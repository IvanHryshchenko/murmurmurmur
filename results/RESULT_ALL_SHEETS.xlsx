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TOTAL values GCSD" sheetId="1" state="visible" r:id="rId1"/>
    <sheet name="CUTTING" sheetId="2" state="visible" r:id="rId2"/>
    <sheet name="LEAD PREP" sheetId="3" state="visible" r:id="rId3"/>
    <sheet name="LEAD PREP FA" sheetId="4" state="visible" r:id="rId4"/>
    <sheet name="High Voltage" sheetId="5" state="visible" r:id="rId5"/>
    <sheet name="FA Conns and wires" sheetId="6" state="visible" r:id="rId6"/>
    <sheet name="FA Taping" sheetId="7" state="visible" r:id="rId7"/>
    <sheet name="FA Miscellaneos" sheetId="8" state="visible" r:id="rId8"/>
  </sheets>
  <externalReferences>
    <externalReference r:id="rId9"/>
    <externalReference r:id="rId10"/>
    <externalReference r:id="rId11"/>
  </externalReferences>
  <definedNames>
    <definedName name="Adv_FifteenHundred" hidden="0" function="0" vbProcedure="0">#ref!</definedName>
    <definedName name="Annual_Vol" hidden="0" function="0" vbProcedure="0">#ref!</definedName>
    <definedName name="Buttons" hidden="0" function="0" vbProcedure="0">#ref!</definedName>
    <definedName name="Cell_Qty" hidden="0" function="0" vbProcedure="0">#ref!</definedName>
    <definedName name="Cell_Qty_on_MBC" hidden="0" function="0" vbProcedure="0">#ref!</definedName>
    <definedName name="Chart" hidden="0" function="0" vbProcedure="0">#ref!</definedName>
    <definedName name="Cons_Chg_Interv" hidden="0" function="0" vbProcedure="0">#ref!</definedName>
    <definedName name="Cons_Dur" hidden="0" function="0" vbProcedure="0">#ref!</definedName>
    <definedName name="Cons_Freq" hidden="0" function="0" vbProcedure="0">#ref!</definedName>
    <definedName name="Cons_Percent" hidden="0" function="0" vbProcedure="0">#ref!</definedName>
    <definedName name="Cons_Time_per_Cycle" hidden="0" function="0" vbProcedure="0">#ref!</definedName>
    <definedName name="Copy" hidden="0" function="0" vbProcedure="0">#ref!</definedName>
    <definedName name="Copy_Range" hidden="0" function="0" vbProcedure="0">#ref!</definedName>
    <definedName name="Cost_per_Machine" hidden="0" function="0" vbProcedure="0">#ref!</definedName>
    <definedName name="Co_A" hidden="0" function="0" vbProcedure="0">#ref!</definedName>
    <definedName name="Co_B" hidden="0" function="0" vbProcedure="0">#ref!</definedName>
    <definedName name="Co_C" hidden="0" function="0" vbProcedure="0">#ref!</definedName>
    <definedName name="Co_D" hidden="0" function="0" vbProcedure="0">#ref!</definedName>
    <definedName name="CO_Dur" hidden="0" function="0" vbProcedure="0">#ref!</definedName>
    <definedName name="Co_E" hidden="0" function="0" vbProcedure="0">#ref!</definedName>
    <definedName name="Co_F" hidden="0" function="0" vbProcedure="0">#ref!</definedName>
    <definedName name="CO_Freq" hidden="0" function="0" vbProcedure="0">#ref!</definedName>
    <definedName name="CO_Percent" hidden="0" function="0" vbProcedure="0">#ref!</definedName>
    <definedName name="CO_Time_per_Cycle" hidden="0" function="0" vbProcedure="0">#ref!</definedName>
    <definedName name="Criteria_MI" hidden="0" function="0" vbProcedure="0">#ref!</definedName>
    <definedName name="Cum_FTQ_Loss" hidden="0" function="0" vbProcedure="0">#ref!</definedName>
    <definedName name="Cycle_Time" hidden="0" function="0" vbProcedure="0">#ref!</definedName>
    <definedName name="Daily_Vol" hidden="0" function="0" vbProcedure="0">#ref!</definedName>
    <definedName name="Database_MI" hidden="0" function="0" vbProcedure="0">#ref!</definedName>
    <definedName name="Design_Cycle_Time_on_MB" hidden="0" function="0" vbProcedure="0">#ref!</definedName>
    <definedName name="Design_Thruput_Rate" hidden="0" function="0" vbProcedure="0">#ref!</definedName>
    <definedName name="Downstream_Loss_Contribution" hidden="0" function="0" vbProcedure="0">#ref!</definedName>
    <definedName name="DS_CLTQ" hidden="0" function="0" vbProcedure="0">#ref!</definedName>
    <definedName name="Eff_Mach_CT" hidden="0" function="0" vbProcedure="0">#ref!</definedName>
    <definedName name="Eff_Mach_CT_Sys" hidden="0" function="0" vbProcedure="0">#ref!</definedName>
    <definedName name="Eff_Sys_Thru" hidden="0" function="0" vbProcedure="0">#ref!</definedName>
    <definedName name="End" hidden="0" function="0" vbProcedure="0">#ref!</definedName>
    <definedName name="EST" hidden="0" function="0" vbProcedure="0">#ref!</definedName>
    <definedName name="Fifteenhundred" hidden="0" function="0" vbProcedure="0">#ref!</definedName>
    <definedName name="Final_Range" hidden="0" function="0" vbProcedure="0">#ref!</definedName>
    <definedName name="FTQ_Loss" hidden="0" function="0" vbProcedure="0">#ref!</definedName>
    <definedName name="FTQ_per_Cycle" hidden="0" function="0" vbProcedure="0">#ref!</definedName>
    <definedName name="gcsddata" hidden="0" function="0" vbProcedure="0">[1]summary!$AC$1:$AC$3</definedName>
    <definedName name="Hide_Range" hidden="0" function="0" vbProcedure="0">#ref!</definedName>
    <definedName name="home" hidden="0" function="0" vbProcedure="0">#ref!</definedName>
    <definedName name="implemdate" hidden="0" function="0" vbProcedure="0">[2]summary!$W$1:$W$3</definedName>
    <definedName name="IoI_Mach_Qty_1" hidden="0" function="0" vbProcedure="0">'[3]Incr Inv Tool'!$K$10:$K$19</definedName>
    <definedName name="Item2_Clean" hidden="0" function="0" vbProcedure="0">Item2_Clean</definedName>
    <definedName name="Item_Area" hidden="0" function="0" vbProcedure="0">#ref!</definedName>
    <definedName name="Item_col" hidden="0" function="0" vbProcedure="0">#ref!</definedName>
    <definedName name="Item_RAnge" hidden="0" function="0" vbProcedure="0">#ref!</definedName>
    <definedName name="Item_Subarea" hidden="0" function="0" vbProcedure="0">#ref!</definedName>
    <definedName name="Machine_CT" hidden="0" function="0" vbProcedure="0">#ref!</definedName>
    <definedName name="Machine_DT" hidden="0" function="0" vbProcedure="0">#ref!</definedName>
    <definedName name="Machine_Name" hidden="0" function="0" vbProcedure="0">#ref!</definedName>
    <definedName name="Mach_DT_per_Cycle" hidden="0" function="0" vbProcedure="0">#ref!</definedName>
    <definedName name="Mach_Qty" hidden="0" function="0" vbProcedure="0">#ref!</definedName>
    <definedName name="MB_Chart" hidden="0" function="0" vbProcedure="0">#ref!</definedName>
    <definedName name="MB_Data_Input" hidden="0" function="0" vbProcedure="0">#ref!</definedName>
    <definedName name="MB_Takt_DCT_Table" hidden="0" function="0" vbProcedure="0">#ref!</definedName>
    <definedName name="Next_Increment_Machine_Qty" hidden="0" function="0" vbProcedure="0">'[3]Incr Inv Tool'!$K$10:$K$19</definedName>
    <definedName name="nové" hidden="0" function="0" vbProcedure="0">'[4]tabela sekwencji'!#ref!</definedName>
    <definedName name="Operating_CT" hidden="0" function="0" vbProcedure="0">#ref!</definedName>
    <definedName name="Ops_per_Day" hidden="0" function="0" vbProcedure="0">#ref!</definedName>
    <definedName name="Op_L_Un" hidden="0" function="0" vbProcedure="0">#ref!</definedName>
    <definedName name="Op_Name" hidden="0" function="0" vbProcedure="0">#ref!</definedName>
    <definedName name="packingh" hidden="0" function="0" vbProcedure="0">#ref!</definedName>
    <definedName name="packingv" hidden="0" function="0" vbProcedure="0">#ref!</definedName>
    <definedName name="Pcs_per_Cycle" hidden="0" function="0" vbProcedure="0">#ref!</definedName>
    <definedName name="Pcs_per_Op_Cycle" hidden="0" function="0" vbProcedure="0">#ref!</definedName>
    <definedName name="PRINT_AREA_MI" hidden="0" function="0" vbProcedure="0">#ref!</definedName>
    <definedName name="PROJECT" hidden="0" function="0" vbProcedure="0">#ref!</definedName>
    <definedName name="Range" hidden="0" function="0" vbProcedure="0">#ref!</definedName>
    <definedName name="Raw" hidden="0" function="0" vbProcedure="0">#ref!</definedName>
    <definedName name="Remove_ID" hidden="0" function="0" vbProcedure="0">#ref!</definedName>
    <definedName name="Sch_Days_per_Wk" hidden="0" function="0" vbProcedure="0">#ref!</definedName>
    <definedName name="Sch_Days_per_Yr" hidden="0" function="0" vbProcedure="0">#ref!</definedName>
    <definedName name="SEALCUT" hidden="0" function="0" vbProcedure="0">#ref!</definedName>
    <definedName name="Sort_Item" hidden="0" function="0" vbProcedure="0">Sort_Item</definedName>
    <definedName name="SRT_GTE3" hidden="0" function="0" vbProcedure="0">#ref!</definedName>
    <definedName name="SRT_LT3" hidden="0" function="0" vbProcedure="0">#ref!</definedName>
    <definedName name="SRT_per_Day" hidden="0" function="0" vbProcedure="0">#ref!</definedName>
    <definedName name="Subtot_Off" hidden="0" function="0" vbProcedure="0">Subtot_Off</definedName>
    <definedName name="Subt_On" hidden="0" function="0" vbProcedure="0">Subt_On</definedName>
    <definedName name="System_CT" hidden="0" function="0" vbProcedure="0">#ref!</definedName>
    <definedName name="System_Downtime" hidden="0" function="0" vbProcedure="0">#ref!</definedName>
    <definedName name="System_Level" hidden="0" function="0" vbProcedure="0">#ref!</definedName>
    <definedName name="Sys_Cap_CT" hidden="0" function="0" vbProcedure="0">#ref!</definedName>
    <definedName name="Takt_Range" hidden="0" function="0" vbProcedure="0">#ref!</definedName>
    <definedName name="Takt_Table" hidden="0" function="0" vbProcedure="0">#ref!</definedName>
    <definedName name="Takt_Time" hidden="0" function="0" vbProcedure="0">#ref!</definedName>
    <definedName name="Takt_Time_on_MB" hidden="0" function="0" vbProcedure="0">#ref!</definedName>
    <definedName name="thousand" hidden="0" function="0" vbProcedure="0">#ref!</definedName>
    <definedName name="Total_Equip_Invest" hidden="0" function="0" vbProcedure="0">#ref!</definedName>
    <definedName name="Vol_Table" hidden="0" function="0" vbProcedure="0">#ref!</definedName>
    <definedName name="Wire" hidden="0" function="0" vbProcedure="0">#ref!</definedName>
    <definedName name="Wks_per_Yr" hidden="0" function="0" vbProcedure="0">#ref!</definedName>
    <definedName name="wrn.DFC." hidden="1" function="0" vbProcedure="0">{#N/A,#N/A,FALSE,"Fils";#N/A,#N/A,FALSE,"Composants";#N/A,#N/A,FALSE,"Temps";#N/A,#N/A,FALSE,"Réponse"}</definedName>
    <definedName name="wrn.Divers." hidden="1" function="0" vbProcedure="0">{#N/A,#N/A,FALSE,"fio Q";#N/A,#N/A,FALSE,"épis";#N/A,#N/A,FALSE,"comp. div."}</definedName>
    <definedName name="_a" hidden="0" function="0" vbProcedure="0">#ref!</definedName>
    <definedName name="_b" hidden="0" function="0" vbProcedure="0">#ref!</definedName>
    <definedName name="_Fill" hidden="1" function="0" vbProcedure="0">#ref!</definedName>
    <definedName name="_xlnm.Criteria" hidden="0" function="0" vbProcedure="0">#ref!</definedName>
    <definedName name="_xlnm.Database" hidden="0" function="0" vbProcedure="0">#ref!</definedName>
    <definedName name="Item2_Clean" localSheetId="0" hidden="0" function="0" vbProcedure="0">Item2_Clean</definedName>
    <definedName name="Sort_Item" localSheetId="0" hidden="0" function="0" vbProcedure="0">Sort_Item</definedName>
    <definedName name="Subtot_Off" localSheetId="0" hidden="0" function="0" vbProcedure="0">Subtot_Off</definedName>
    <definedName name="Subt_On" localSheetId="0" hidden="0" function="0" vbProcedure="0">Subt_On</definedName>
    <definedName name="_xlnm.Print_Area" localSheetId="0">'TOTAL values GCSD'!$A$1:$G$30</definedName>
    <definedName name="Item2_Clean" localSheetId="1" hidden="0" function="0" vbProcedure="0">CUTTING!Item2_Clean</definedName>
    <definedName name="Sort_Item" localSheetId="1" hidden="0" function="0" vbProcedure="0">CUTTING!Sort_Item</definedName>
    <definedName name="Subtot_Off" localSheetId="1" hidden="0" function="0" vbProcedure="0">CUTTING!Subtot_Off</definedName>
    <definedName name="Subt_On" localSheetId="1" hidden="0" function="0" vbProcedure="0">CUTTING!Subt_On</definedName>
    <definedName name="_xlnm.Print_Titles" localSheetId="1">'CUTTING'!$2:$2</definedName>
    <definedName name="_xlnm.Print_Area" localSheetId="1">'CUTTING'!$A$2:$L$689</definedName>
    <definedName name="_xlnm.Print_Area" localSheetId="2">'LEAD PREP'!$A$1:$K$351</definedName>
    <definedName name="Adv_FifteenHundred" localSheetId="3" hidden="0" function="0" vbProcedure="0">#ref!</definedName>
    <definedName name="Buttons" localSheetId="3" hidden="0" function="0" vbProcedure="0">#ref!</definedName>
    <definedName name="Copy" localSheetId="3" hidden="0" function="0" vbProcedure="0">#ref!</definedName>
    <definedName name="Copy_Range" localSheetId="3" hidden="0" function="0" vbProcedure="0">#ref!</definedName>
    <definedName name="Co_A" localSheetId="3" hidden="0" function="0" vbProcedure="0">#ref!</definedName>
    <definedName name="Co_B" localSheetId="3" hidden="0" function="0" vbProcedure="0">#ref!</definedName>
    <definedName name="Co_C" localSheetId="3" hidden="0" function="0" vbProcedure="0">#ref!</definedName>
    <definedName name="Co_D" localSheetId="3" hidden="0" function="0" vbProcedure="0">#ref!</definedName>
    <definedName name="Co_E" localSheetId="3" hidden="0" function="0" vbProcedure="0">#ref!</definedName>
    <definedName name="Co_F" localSheetId="3" hidden="0" function="0" vbProcedure="0">#ref!</definedName>
    <definedName name="Criteria_MI" localSheetId="3" hidden="0" function="0" vbProcedure="0">#ref!</definedName>
    <definedName name="Database_MI" localSheetId="3" hidden="0" function="0" vbProcedure="0">#ref!</definedName>
    <definedName name="End" localSheetId="3" hidden="0" function="0" vbProcedure="0">#ref!</definedName>
    <definedName name="Fifteenhundred" localSheetId="3" hidden="0" function="0" vbProcedure="0">#ref!</definedName>
    <definedName name="Final_Range" localSheetId="3" hidden="0" function="0" vbProcedure="0">#ref!</definedName>
    <definedName name="Hide_Range" localSheetId="3" hidden="0" function="0" vbProcedure="0">#ref!</definedName>
    <definedName name="home" localSheetId="3" hidden="0" function="0" vbProcedure="0">#ref!</definedName>
    <definedName name="Item_Area" localSheetId="3" hidden="0" function="0" vbProcedure="0">#ref!</definedName>
    <definedName name="Item_col" localSheetId="3" hidden="0" function="0" vbProcedure="0">#ref!</definedName>
    <definedName name="Item_RAnge" localSheetId="3" hidden="0" function="0" vbProcedure="0">#ref!</definedName>
    <definedName name="Item_Subarea" localSheetId="3" hidden="0" function="0" vbProcedure="0">#ref!</definedName>
    <definedName name="packingh" localSheetId="3" hidden="0" function="0" vbProcedure="0">#ref!</definedName>
    <definedName name="packingv" localSheetId="3" hidden="0" function="0" vbProcedure="0">#ref!</definedName>
    <definedName name="PRINT_AREA_MI" localSheetId="3" hidden="0" function="0" vbProcedure="0">#ref!</definedName>
    <definedName name="PROJECT" localSheetId="3" hidden="0" function="0" vbProcedure="0">#ref!</definedName>
    <definedName name="Range" localSheetId="3" hidden="0" function="0" vbProcedure="0">#ref!</definedName>
    <definedName name="Raw" localSheetId="3" hidden="0" function="0" vbProcedure="0">#ref!</definedName>
    <definedName name="Remove_ID" localSheetId="3" hidden="0" function="0" vbProcedure="0">#ref!</definedName>
    <definedName name="SEALCUT" localSheetId="3" hidden="0" function="0" vbProcedure="0">#ref!</definedName>
    <definedName name="thousand" localSheetId="3" hidden="0" function="0" vbProcedure="0">#ref!</definedName>
    <definedName name="Wire" localSheetId="3" hidden="0" function="0" vbProcedure="0">#ref!</definedName>
    <definedName name="_a" localSheetId="3" hidden="0" function="0" vbProcedure="0">#ref!</definedName>
    <definedName name="_b" localSheetId="3" hidden="0" function="0" vbProcedure="0">#ref!</definedName>
    <definedName name="_Fill" localSheetId="3" hidden="1" function="0" vbProcedure="0">#ref!</definedName>
    <definedName name="_xlnm.Database" localSheetId="3" hidden="0" function="0" vbProcedure="0">#ref!</definedName>
    <definedName name="_xlnm.Print_Area" localSheetId="3">'LEAD PREP FA'!$A$1:$K$342</definedName>
    <definedName name="home" localSheetId="4" hidden="0" function="0" vbProcedure="0">#ref!</definedName>
    <definedName name="Item2_Clean" localSheetId="4" hidden="0" function="0" vbProcedure="0">'High Voltage'!Item2_Clean</definedName>
    <definedName name="Remove_ID" localSheetId="4" hidden="0" function="0" vbProcedure="0">#ref!</definedName>
    <definedName name="Sort_Item" localSheetId="4" hidden="0" function="0" vbProcedure="0">'High Voltage'!Sort_Item</definedName>
    <definedName name="Subtot_Off" localSheetId="4" hidden="0" function="0" vbProcedure="0">'High Voltage'!Subtot_Off</definedName>
    <definedName name="Subt_On" localSheetId="4" hidden="0" function="0" vbProcedure="0">'High Voltage'!Subt_On</definedName>
    <definedName name="_xlnm.Print_Area" localSheetId="4">'High Voltage'!$A$1:$K$112</definedName>
    <definedName name="_xlnm.Print_Area" localSheetId="5">'FA Conns and wires'!$A$2:$T$112</definedName>
    <definedName name="_xlnm.Print_Area" localSheetId="6">'FA Taping'!$A$1:$J$81</definedName>
    <definedName name="_xlnm.Print_Area" localSheetId="7">'FA Miscellaneos'!$A$1:$K$106</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0.0%"/>
    <numFmt numFmtId="165" formatCode="0.000"/>
    <numFmt numFmtId="166" formatCode="0.0000"/>
    <numFmt numFmtId="167" formatCode="0.00_)"/>
    <numFmt numFmtId="168" formatCode="0.0"/>
    <numFmt numFmtId="169" formatCode="0.00_ "/>
    <numFmt numFmtId="170" formatCode="_(\$* #,##0.00_);_(\$* \(#,##0.00\);_(\$* \-??_);_(@_)"/>
    <numFmt numFmtId="171" formatCode="#,##0_);[RED]\(#,##0\)"/>
    <numFmt numFmtId="172" formatCode="#,##0.00_);[RED]\(#,##0.00\)"/>
    <numFmt numFmtId="173" formatCode="\$#,##0_);[RED]&quot;($&quot;#,##0\)"/>
    <numFmt numFmtId="174" formatCode="\$#,##0.00_);[RED]&quot;($&quot;#,##0.00\)"/>
  </numFmts>
  <fonts count="79">
    <font>
      <name val="Arial"/>
      <charset val="1"/>
      <family val="2"/>
      <sz val="10"/>
    </font>
    <font>
      <name val="Arial"/>
      <family val="0"/>
      <sz val="10"/>
    </font>
    <font>
      <name val="Arial"/>
      <family val="0"/>
      <sz val="10"/>
    </font>
    <font>
      <name val="Arial"/>
      <family val="0"/>
      <sz val="10"/>
    </font>
    <font>
      <name val="Calibri"/>
      <charset val="1"/>
      <family val="2"/>
      <color theme="1"/>
      <sz val="11"/>
    </font>
    <font>
      <name val="Courier New"/>
      <charset val="1"/>
      <family val="3"/>
      <sz val="10"/>
    </font>
    <font>
      <name val="Arial"/>
      <charset val="1"/>
      <family val="2"/>
      <b val="1"/>
      <sz val="10"/>
    </font>
    <font>
      <name val="Arial"/>
      <charset val="1"/>
      <family val="2"/>
      <b val="1"/>
      <i val="1"/>
      <sz val="24"/>
    </font>
    <font>
      <name val="Arial"/>
      <charset val="1"/>
      <family val="2"/>
      <b val="1"/>
      <sz val="12"/>
    </font>
    <font>
      <name val="Times New Roman"/>
      <charset val="1"/>
      <family val="0"/>
      <b val="1"/>
      <sz val="10"/>
    </font>
    <font>
      <name val="Arial"/>
      <charset val="1"/>
      <family val="2"/>
      <color rgb="FFFF0000"/>
      <sz val="10"/>
    </font>
    <font>
      <name val="Arial"/>
      <charset val="1"/>
      <family val="2"/>
      <b val="1"/>
      <sz val="11"/>
    </font>
    <font>
      <name val="Arial"/>
      <charset val="1"/>
      <family val="2"/>
      <b val="1"/>
      <sz val="16"/>
    </font>
    <font>
      <name val="Arial"/>
      <charset val="1"/>
      <family val="2"/>
      <sz val="8"/>
    </font>
    <font>
      <name val="Arial"/>
      <charset val="1"/>
      <family val="2"/>
      <b val="1"/>
      <color rgb="FFFF0000"/>
      <sz val="12"/>
    </font>
    <font>
      <name val="Arial"/>
      <charset val="1"/>
      <family val="2"/>
      <sz val="12"/>
    </font>
    <font>
      <name val="Arial"/>
      <charset val="238"/>
      <family val="2"/>
      <b val="1"/>
      <sz val="12"/>
    </font>
    <font>
      <name val="Arial"/>
      <charset val="1"/>
      <family val="2"/>
      <sz val="11"/>
    </font>
    <font>
      <name val="Arial"/>
      <charset val="162"/>
      <family val="2"/>
      <b val="1"/>
      <sz val="11"/>
    </font>
    <font>
      <name val="Arial"/>
      <charset val="1"/>
      <family val="2"/>
      <color theme="0" tint="-0.5"/>
      <sz val="10"/>
    </font>
    <font>
      <name val="Arial"/>
      <charset val="1"/>
      <family val="2"/>
      <sz val="9"/>
    </font>
    <font>
      <name val="Arial"/>
      <charset val="238"/>
      <family val="2"/>
      <sz val="10"/>
    </font>
    <font>
      <name val="Calibri"/>
      <charset val="1"/>
      <family val="2"/>
      <sz val="12"/>
    </font>
    <font>
      <name val="Arial"/>
      <family val="2"/>
      <sz val="10"/>
    </font>
    <font>
      <name val="Tahoma"/>
      <charset val="1"/>
      <family val="2"/>
      <color rgb="FF000000"/>
      <sz val="8"/>
    </font>
    <font>
      <name val="Calibri"/>
      <charset val="238"/>
      <family val="2"/>
      <b val="1"/>
      <color rgb="FF000000"/>
      <sz val="9"/>
    </font>
    <font>
      <name val="Arial"/>
      <charset val="238"/>
      <family val="2"/>
      <b val="1"/>
      <sz val="10"/>
    </font>
    <font>
      <name val="Arial"/>
      <charset val="238"/>
      <family val="2"/>
      <color rgb="FFFF0000"/>
      <sz val="8"/>
    </font>
    <font>
      <name val="Arial"/>
      <charset val="1"/>
      <family val="2"/>
      <strike val="1"/>
      <color rgb="FFFF0000"/>
      <sz val="10"/>
    </font>
    <font>
      <name val="Arial"/>
      <charset val="1"/>
      <family val="2"/>
      <color rgb="FF000000"/>
      <sz val="8"/>
    </font>
    <font>
      <name val="Arial"/>
      <charset val="238"/>
      <family val="2"/>
      <sz val="8"/>
    </font>
    <font>
      <name val="Arial"/>
      <charset val="1"/>
      <family val="2"/>
      <color rgb="FFFF0000"/>
      <sz val="8"/>
    </font>
    <font>
      <name val="Arial"/>
      <charset val="238"/>
      <family val="2"/>
      <b val="1"/>
      <sz val="8"/>
    </font>
    <font>
      <name val="Arial"/>
      <charset val="238"/>
      <family val="2"/>
      <b val="1"/>
      <sz val="9"/>
    </font>
    <font>
      <name val="Arial"/>
      <charset val="238"/>
      <family val="2"/>
      <b val="1"/>
      <color rgb="FF000000"/>
      <sz val="10"/>
    </font>
    <font>
      <name val="Arial"/>
      <charset val="1"/>
      <family val="2"/>
      <color rgb="FF0000FF"/>
      <sz val="10"/>
    </font>
    <font>
      <name val="Arial"/>
      <charset val="1"/>
      <family val="2"/>
      <b val="1"/>
      <color rgb="FF0000FF"/>
      <sz val="10"/>
    </font>
    <font>
      <name val="Arial"/>
      <charset val="1"/>
      <family val="2"/>
      <sz val="8"/>
      <u val="single"/>
    </font>
    <font>
      <name val="Arial"/>
      <charset val="1"/>
      <family val="2"/>
      <color rgb="FF000000"/>
      <sz val="10"/>
    </font>
    <font>
      <name val="Arial"/>
      <charset val="1"/>
      <family val="2"/>
      <b val="1"/>
      <sz val="8"/>
    </font>
    <font>
      <name val="Calibri"/>
      <charset val="238"/>
      <family val="2"/>
      <sz val="8"/>
    </font>
    <font>
      <name val="Calibri"/>
      <charset val="238"/>
      <family val="2"/>
      <b val="1"/>
      <sz val="8"/>
    </font>
    <font>
      <name val="Arial"/>
      <charset val="1"/>
      <family val="2"/>
      <b val="1"/>
      <sz val="9"/>
    </font>
    <font>
      <name val="Tahoma"/>
      <charset val="238"/>
      <family val="2"/>
      <color rgb="FF000000"/>
      <sz val="9"/>
    </font>
    <font>
      <name val="Arial"/>
      <charset val="1"/>
      <family val="2"/>
      <b val="1"/>
      <color rgb="FFFF0000"/>
      <sz val="10"/>
    </font>
    <font>
      <name val="Arial"/>
      <charset val="1"/>
      <family val="2"/>
      <b val="1"/>
      <sz val="22"/>
    </font>
    <font>
      <name val="Arial"/>
      <charset val="238"/>
      <family val="2"/>
      <b val="1"/>
      <sz val="22"/>
      <u val="single"/>
    </font>
    <font>
      <name val="Arial"/>
      <charset val="1"/>
      <family val="2"/>
      <color rgb="FF0000FF"/>
      <sz val="10"/>
      <u val="single"/>
    </font>
    <font>
      <name val="Arial"/>
      <charset val="1"/>
      <family val="2"/>
      <b val="1"/>
      <sz val="14"/>
    </font>
    <font>
      <name val="Microsoft YaHei"/>
      <family val="2"/>
      <sz val="10"/>
    </font>
    <font>
      <name val="Microsoft YaHei"/>
      <family val="2"/>
      <b val="1"/>
      <color rgb="FF0066CC"/>
      <sz val="11"/>
    </font>
    <font>
      <name val="Arial"/>
      <charset val="1"/>
      <family val="2"/>
      <b val="1"/>
      <sz val="72"/>
    </font>
    <font>
      <name val="Arial"/>
      <charset val="1"/>
      <family val="2"/>
      <b val="1"/>
      <color rgb="FF0000FF"/>
      <sz val="11"/>
    </font>
    <font>
      <name val="Calibri"/>
      <family val="0"/>
      <color theme="1"/>
      <sz val="24"/>
    </font>
    <font>
      <name val="Arial"/>
      <charset val="238"/>
      <family val="2"/>
      <b val="1"/>
      <color rgb="FFFF0000"/>
      <sz val="10"/>
    </font>
    <font>
      <name val="Arial"/>
      <charset val="238"/>
      <family val="2"/>
      <b val="1"/>
      <strike val="1"/>
      <sz val="10"/>
    </font>
    <font>
      <name val="Arial"/>
      <charset val="238"/>
      <family val="2"/>
      <strike val="1"/>
      <sz val="10"/>
    </font>
    <font>
      <name val="Arial"/>
      <charset val="238"/>
      <family val="2"/>
      <strike val="1"/>
      <sz val="8"/>
    </font>
    <font>
      <name val="Arial"/>
      <charset val="238"/>
      <family val="2"/>
      <b val="1"/>
      <strike val="1"/>
      <color rgb="FF0000FF"/>
      <sz val="10"/>
    </font>
    <font>
      <name val="Arial"/>
      <charset val="238"/>
      <family val="2"/>
      <strike val="1"/>
      <sz val="11"/>
    </font>
    <font>
      <name val="Arial"/>
      <charset val="238"/>
      <family val="2"/>
      <sz val="10"/>
      <u val="single"/>
    </font>
    <font>
      <name val="Arial"/>
      <charset val="1"/>
      <family val="2"/>
      <strike val="1"/>
      <sz val="10"/>
    </font>
    <font>
      <name val="Arial"/>
      <charset val="1"/>
      <family val="2"/>
      <b val="1"/>
      <strike val="1"/>
      <color rgb="FF0000FF"/>
      <sz val="10"/>
    </font>
    <font>
      <name val="Arial"/>
      <charset val="1"/>
      <family val="2"/>
      <strike val="1"/>
      <sz val="11"/>
    </font>
    <font>
      <name val="Arial"/>
      <charset val="238"/>
      <family val="2"/>
      <sz val="9"/>
    </font>
    <font>
      <name val="Arial"/>
      <charset val="1"/>
      <family val="2"/>
      <b val="1"/>
      <color rgb="FF000000"/>
      <sz val="12"/>
    </font>
    <font>
      <name val="Arial"/>
      <charset val="1"/>
      <family val="2"/>
      <color rgb="FFFF0000"/>
      <sz val="11"/>
    </font>
    <font>
      <name val="Arial"/>
      <charset val="1"/>
      <family val="2"/>
      <b val="1"/>
      <color rgb="FF0066CC"/>
      <sz val="11"/>
    </font>
    <font>
      <name val="Tahoma"/>
      <charset val="1"/>
      <family val="2"/>
      <b val="1"/>
      <color rgb="FF000000"/>
      <sz val="8"/>
    </font>
    <font>
      <name val="Tahoma"/>
      <charset val="1"/>
      <family val="2"/>
      <color rgb="FF339966"/>
      <sz val="11"/>
    </font>
    <font>
      <name val="Arial"/>
      <charset val="1"/>
      <family val="2"/>
      <b val="1"/>
      <strike val="1"/>
      <color rgb="FF0000FF"/>
      <sz val="11"/>
    </font>
    <font>
      <name val="Arial"/>
      <charset val="1"/>
      <family val="2"/>
      <sz val="14"/>
    </font>
    <font>
      <name val="Arial"/>
      <charset val="238"/>
      <family val="2"/>
      <b val="1"/>
      <sz val="11"/>
    </font>
    <font>
      <name val="Arial"/>
      <charset val="1"/>
      <family val="2"/>
      <b val="1"/>
      <color rgb="FF3333CC"/>
      <sz val="11"/>
    </font>
    <font>
      <name val="Arial"/>
      <charset val="1"/>
      <family val="2"/>
      <b val="1"/>
      <strike val="1"/>
      <color rgb="FFFF0000"/>
      <sz val="11"/>
    </font>
    <font>
      <name val="Arial"/>
      <charset val="238"/>
      <family val="2"/>
      <sz val="11"/>
    </font>
    <font>
      <name val="宋体"/>
      <charset val="134"/>
      <family val="0"/>
      <sz val="11"/>
    </font>
    <font>
      <name val="Arial"/>
      <charset val="238"/>
      <family val="2"/>
      <b val="1"/>
      <color rgb="FF0000FF"/>
      <sz val="11"/>
    </font>
    <font>
      <name val="Arial"/>
      <charset val="1"/>
      <family val="2"/>
      <color theme="1"/>
      <sz val="10"/>
    </font>
  </fonts>
  <fills count="18">
    <fill>
      <patternFill/>
    </fill>
    <fill>
      <patternFill patternType="gray125"/>
    </fill>
    <fill>
      <patternFill patternType="solid">
        <fgColor rgb="FFC0C0C0"/>
        <bgColor rgb="FFBFBFBF"/>
      </patternFill>
    </fill>
    <fill>
      <patternFill patternType="solid">
        <fgColor rgb="FFCCFFCC"/>
        <bgColor rgb="FFCCFFFF"/>
      </patternFill>
    </fill>
    <fill>
      <patternFill patternType="solid">
        <fgColor rgb="FFFFFF99"/>
        <bgColor rgb="FFCCFFCC"/>
      </patternFill>
    </fill>
    <fill>
      <patternFill patternType="solid">
        <fgColor rgb="FFFFFF00"/>
        <bgColor rgb="FFFFFF00"/>
      </patternFill>
    </fill>
    <fill>
      <patternFill patternType="solid">
        <fgColor rgb="FF00B050"/>
        <bgColor rgb="FF339966"/>
      </patternFill>
    </fill>
    <fill>
      <patternFill patternType="solid">
        <fgColor theme="0" tint="-0.25"/>
        <bgColor rgb="FFC0C0C0"/>
      </patternFill>
    </fill>
    <fill>
      <patternFill patternType="solid">
        <fgColor theme="0" tint="-0.5"/>
        <bgColor rgb="FF969696"/>
      </patternFill>
    </fill>
    <fill>
      <patternFill patternType="solid">
        <fgColor theme="0"/>
        <bgColor rgb="FFDBEEF4"/>
      </patternFill>
    </fill>
    <fill>
      <patternFill patternType="solid">
        <fgColor rgb="FFFF99CC"/>
        <bgColor rgb="FFFF8080"/>
      </patternFill>
    </fill>
    <fill>
      <patternFill patternType="solid">
        <fgColor theme="7" tint="0.5999"/>
        <bgColor rgb="FFC0C0C0"/>
      </patternFill>
    </fill>
    <fill>
      <patternFill patternType="solid">
        <fgColor theme="8" tint="0.7999000000000001"/>
        <bgColor rgb="FFCCFFFF"/>
      </patternFill>
    </fill>
    <fill>
      <patternFill patternType="solid">
        <fgColor rgb="FF92D050"/>
        <bgColor rgb="FFBFBFBF"/>
      </patternFill>
    </fill>
    <fill>
      <patternFill patternType="solid">
        <fgColor theme="9" tint="0.5999"/>
        <bgColor rgb="FFFCD5B4"/>
      </patternFill>
    </fill>
    <fill>
      <patternFill patternType="solid">
        <fgColor rgb="FFFCD5B4"/>
        <bgColor rgb="FFFCD5B5"/>
      </patternFill>
    </fill>
    <fill>
      <patternFill patternType="solid">
        <fgColor rgb="FFFF0000"/>
        <bgColor rgb="FF993300"/>
      </patternFill>
    </fill>
    <fill>
      <patternFill patternType="solid">
        <fgColor rgb="FFFFCC00"/>
        <bgColor rgb="FFFFC000"/>
      </patternFill>
    </fill>
  </fills>
  <borders count="116">
    <border>
      <left/>
      <right/>
      <top/>
      <bottom/>
      <diagonal/>
    </border>
    <border>
      <left style="medium"/>
      <right style="medium"/>
      <top style="medium"/>
      <bottom/>
      <diagonal/>
    </border>
    <border>
      <left style="medium"/>
      <right style="thin"/>
      <top style="medium"/>
      <bottom/>
      <diagonal/>
    </border>
    <border>
      <left style="thin"/>
      <right style="thin"/>
      <top style="medium"/>
      <bottom/>
      <diagonal/>
    </border>
    <border>
      <left/>
      <right style="medium"/>
      <top style="medium"/>
      <bottom/>
      <diagonal/>
    </border>
    <border>
      <left style="medium"/>
      <right/>
      <top style="medium"/>
      <bottom/>
      <diagonal/>
    </border>
    <border>
      <left/>
      <right/>
      <top style="medium"/>
      <bottom/>
      <diagonal/>
    </border>
    <border>
      <left style="medium"/>
      <right/>
      <top/>
      <bottom style="thin"/>
      <diagonal/>
    </border>
    <border>
      <left/>
      <right/>
      <top/>
      <bottom style="thin"/>
      <diagonal/>
    </border>
    <border>
      <left/>
      <right style="medium"/>
      <top/>
      <bottom style="thin"/>
      <diagonal/>
    </border>
    <border>
      <left/>
      <right style="thin"/>
      <top/>
      <bottom/>
      <diagonal/>
    </border>
    <border>
      <left style="medium"/>
      <right style="medium"/>
      <top/>
      <bottom style="thin"/>
      <diagonal/>
    </border>
    <border>
      <left style="medium"/>
      <right style="thin"/>
      <top/>
      <bottom style="thin"/>
      <diagonal/>
    </border>
    <border>
      <left style="thin"/>
      <right style="thin"/>
      <top/>
      <bottom style="thin"/>
      <diagonal/>
    </border>
    <border>
      <left style="thin"/>
      <right style="thin"/>
      <top style="thin"/>
      <bottom style="thin"/>
      <diagonal/>
    </border>
    <border>
      <left style="medium"/>
      <right style="medium"/>
      <top style="thin"/>
      <bottom style="thin"/>
      <diagonal/>
    </border>
    <border>
      <left/>
      <right style="medium"/>
      <top style="thin"/>
      <bottom style="thin"/>
      <diagonal/>
    </border>
    <border>
      <left style="thin"/>
      <right style="thin"/>
      <top style="thin"/>
      <bottom/>
      <diagonal/>
    </border>
    <border>
      <left/>
      <right style="medium"/>
      <top style="thin"/>
      <bottom/>
      <diagonal/>
    </border>
    <border>
      <left/>
      <right style="thin"/>
      <top style="thin"/>
      <bottom/>
      <diagonal/>
    </border>
    <border>
      <left/>
      <right/>
      <top style="thin"/>
      <bottom/>
      <diagonal/>
    </border>
    <border>
      <left style="medium"/>
      <right style="thin"/>
      <top style="thin"/>
      <bottom style="medium"/>
      <diagonal/>
    </border>
    <border>
      <left/>
      <right style="medium"/>
      <top style="thin"/>
      <bottom style="medium"/>
      <diagonal/>
    </border>
    <border>
      <left style="medium"/>
      <right style="medium"/>
      <top style="medium"/>
      <bottom style="medium"/>
      <diagonal/>
    </border>
    <border>
      <left style="medium"/>
      <right style="thin"/>
      <top style="medium"/>
      <bottom style="medium"/>
      <diagonal/>
    </border>
    <border>
      <left style="thin"/>
      <right style="thin"/>
      <top style="medium"/>
      <bottom style="medium"/>
      <diagonal/>
    </border>
    <border>
      <left/>
      <right style="medium"/>
      <top style="medium"/>
      <bottom style="medium"/>
      <diagonal/>
    </border>
    <border>
      <left style="medium"/>
      <right style="thin"/>
      <top style="thin"/>
      <bottom style="thin"/>
      <diagonal/>
    </border>
    <border>
      <left style="thin"/>
      <right style="medium"/>
      <top style="thin"/>
      <bottom style="thin"/>
      <diagonal/>
    </border>
    <border>
      <left style="medium"/>
      <right style="medium"/>
      <top/>
      <bottom style="medium"/>
      <diagonal/>
    </border>
    <border>
      <left style="medium"/>
      <right style="thin"/>
      <top/>
      <bottom style="medium"/>
      <diagonal/>
    </border>
    <border>
      <left style="thin"/>
      <right style="thin"/>
      <top/>
      <bottom style="medium"/>
      <diagonal/>
    </border>
    <border>
      <left/>
      <right style="medium"/>
      <top/>
      <bottom style="medium"/>
      <diagonal/>
    </border>
    <border>
      <left style="medium"/>
      <right style="hair"/>
      <top style="medium"/>
      <bottom style="hair"/>
      <diagonal/>
    </border>
    <border>
      <left style="hair"/>
      <right style="hair"/>
      <top style="medium"/>
      <bottom style="hair"/>
      <diagonal/>
    </border>
    <border>
      <left style="hair"/>
      <right/>
      <top style="medium"/>
      <bottom style="hair"/>
      <diagonal/>
    </border>
    <border>
      <left style="hair"/>
      <right style="medium"/>
      <top style="medium"/>
      <bottom style="hair"/>
      <diagonal/>
    </border>
    <border>
      <left style="medium"/>
      <right style="hair"/>
      <top style="hair"/>
      <bottom style="medium"/>
      <diagonal/>
    </border>
    <border>
      <left style="hair"/>
      <right style="hair"/>
      <top style="hair"/>
      <bottom style="medium"/>
      <diagonal/>
    </border>
    <border>
      <left style="hair"/>
      <right style="hair"/>
      <top/>
      <bottom style="hair"/>
      <diagonal/>
    </border>
    <border>
      <left style="hair"/>
      <right style="hair"/>
      <top style="hair"/>
      <bottom style="hair"/>
      <diagonal/>
    </border>
    <border>
      <left style="hair"/>
      <right style="medium"/>
      <top style="hair"/>
      <bottom style="hair"/>
      <diagonal/>
    </border>
    <border>
      <left/>
      <right style="hair"/>
      <top/>
      <bottom style="hair"/>
      <diagonal/>
    </border>
    <border>
      <left style="hair"/>
      <right style="medium"/>
      <top/>
      <bottom style="hair"/>
      <diagonal/>
    </border>
    <border>
      <left style="hair"/>
      <right style="medium"/>
      <top style="hair"/>
      <bottom style="medium"/>
      <diagonal/>
    </border>
    <border>
      <left/>
      <right style="hair"/>
      <top style="hair"/>
      <bottom style="medium"/>
      <diagonal/>
    </border>
    <border>
      <left style="medium"/>
      <right style="hair"/>
      <top/>
      <bottom style="medium"/>
      <diagonal/>
    </border>
    <border>
      <left style="hair"/>
      <right style="hair"/>
      <top/>
      <bottom style="medium"/>
      <diagonal/>
    </border>
    <border>
      <left style="medium"/>
      <right style="hair"/>
      <top style="medium"/>
      <bottom style="medium"/>
      <diagonal/>
    </border>
    <border>
      <left style="hair"/>
      <right style="hair"/>
      <top style="medium"/>
      <bottom style="medium"/>
      <diagonal/>
    </border>
    <border>
      <left style="hair"/>
      <right style="hair"/>
      <top style="hair"/>
      <bottom/>
      <diagonal/>
    </border>
    <border>
      <left style="hair"/>
      <right style="medium"/>
      <top style="hair"/>
      <bottom/>
      <diagonal/>
    </border>
    <border>
      <left style="hair"/>
      <right/>
      <top/>
      <bottom style="hair"/>
      <diagonal/>
    </border>
    <border>
      <left style="hair"/>
      <right/>
      <top style="hair"/>
      <bottom style="hair"/>
      <diagonal/>
    </border>
    <border>
      <left style="hair"/>
      <right/>
      <top style="hair"/>
      <bottom/>
      <diagonal/>
    </border>
    <border>
      <left style="hair"/>
      <right/>
      <top style="hair"/>
      <bottom style="medium"/>
      <diagonal/>
    </border>
    <border>
      <left style="medium"/>
      <right style="hair"/>
      <top/>
      <bottom style="hair"/>
      <diagonal/>
    </border>
    <border>
      <left style="medium"/>
      <right style="hair"/>
      <top style="hair"/>
      <bottom style="hair"/>
      <diagonal/>
    </border>
    <border>
      <left/>
      <right style="hair"/>
      <top style="medium"/>
      <bottom style="medium"/>
      <diagonal/>
    </border>
    <border>
      <left style="hair"/>
      <right style="hair"/>
      <top/>
      <bottom/>
      <diagonal/>
    </border>
    <border>
      <left style="thin"/>
      <right style="hair"/>
      <top style="medium"/>
      <bottom style="medium"/>
      <diagonal/>
    </border>
    <border>
      <left style="hair"/>
      <right style="medium"/>
      <top/>
      <bottom/>
      <diagonal/>
    </border>
    <border>
      <left style="medium"/>
      <right/>
      <top style="medium"/>
      <bottom style="medium"/>
      <diagonal/>
    </border>
    <border>
      <left style="medium"/>
      <right style="hair"/>
      <top style="hair"/>
      <bottom/>
      <diagonal/>
    </border>
    <border>
      <left style="thin"/>
      <right/>
      <top style="thin"/>
      <bottom style="thin"/>
      <diagonal/>
    </border>
    <border>
      <left/>
      <right style="hair"/>
      <top/>
      <bottom/>
      <diagonal/>
    </border>
    <border>
      <left/>
      <right style="hair"/>
      <top style="medium"/>
      <bottom style="hair"/>
      <diagonal/>
    </border>
    <border>
      <left/>
      <right style="hair"/>
      <top style="hair"/>
      <bottom style="hair"/>
      <diagonal/>
    </border>
    <border>
      <left style="hair"/>
      <right style="medium"/>
      <top style="medium"/>
      <bottom/>
      <diagonal/>
    </border>
    <border>
      <left style="hair"/>
      <right style="hair"/>
      <top style="medium"/>
      <bottom/>
      <diagonal/>
    </border>
    <border>
      <left style="medium"/>
      <right style="hair"/>
      <top/>
      <bottom/>
      <diagonal/>
    </border>
    <border>
      <left style="hair"/>
      <right style="medium"/>
      <top style="medium"/>
      <bottom style="medium"/>
      <diagonal/>
    </border>
    <border>
      <left style="medium"/>
      <right style="hair"/>
      <top style="medium"/>
      <bottom/>
      <diagonal/>
    </border>
    <border>
      <left/>
      <right/>
      <top/>
      <bottom style="medium"/>
      <diagonal/>
    </border>
    <border>
      <left style="medium"/>
      <right/>
      <top/>
      <bottom/>
      <diagonal/>
    </border>
    <border>
      <left/>
      <right/>
      <top/>
      <bottom style="hair"/>
      <diagonal/>
    </border>
    <border>
      <left style="hair"/>
      <right/>
      <top/>
      <bottom/>
      <diagonal/>
    </border>
    <border>
      <left style="thin"/>
      <right style="hair"/>
      <top style="hair"/>
      <bottom style="hair"/>
      <diagonal/>
    </border>
    <border>
      <left/>
      <right style="hair"/>
      <top style="hair"/>
      <bottom/>
      <diagonal/>
    </border>
    <border>
      <left style="hair"/>
      <right style="medium"/>
      <top/>
      <bottom style="medium"/>
      <diagonal/>
    </border>
    <border>
      <left style="medium"/>
      <right/>
      <top/>
      <bottom style="medium"/>
      <diagonal/>
    </border>
    <border>
      <left/>
      <right/>
      <top style="medium"/>
      <bottom style="medium"/>
      <diagonal/>
    </border>
    <border>
      <left style="hair"/>
      <right/>
      <top style="medium"/>
      <bottom/>
      <diagonal/>
    </border>
    <border>
      <left style="hair"/>
      <right/>
      <top/>
      <bottom style="medium"/>
      <diagonal/>
    </border>
    <border>
      <left style="medium"/>
      <right style="medium"/>
      <top style="medium"/>
      <bottom style="hair"/>
      <diagonal/>
    </border>
    <border>
      <left/>
      <right/>
      <top style="hair"/>
      <bottom style="hair"/>
      <diagonal/>
    </border>
    <border>
      <left/>
      <right style="thin"/>
      <top style="medium"/>
      <bottom/>
      <diagonal/>
    </border>
    <border>
      <left style="thin"/>
      <right style="thin"/>
      <top style="medium"/>
      <bottom style="thin"/>
      <diagonal/>
    </border>
    <border>
      <left/>
      <right style="hair"/>
      <top/>
      <bottom style="medium"/>
      <diagonal/>
    </border>
    <border>
      <left style="medium"/>
      <right/>
      <top/>
      <bottom style="hair"/>
      <diagonal/>
    </border>
    <border>
      <left style="thin"/>
      <right style="hair"/>
      <top style="medium"/>
      <bottom style="hair"/>
      <diagonal/>
    </border>
    <border>
      <left style="thin"/>
      <right style="hair"/>
      <top style="hair"/>
      <bottom style="medium"/>
      <diagonal/>
    </border>
    <border>
      <left/>
      <right/>
      <top style="hair"/>
      <bottom/>
      <diagonal/>
    </border>
    <border>
      <left style="medium"/>
      <right style="hair"/>
      <top style="medium"/>
      <bottom style="dashed"/>
      <diagonal/>
    </border>
    <border>
      <left style="hair"/>
      <right style="hair"/>
      <top style="medium"/>
      <bottom style="dashed"/>
      <diagonal/>
    </border>
    <border>
      <left/>
      <right/>
      <top style="medium"/>
      <bottom style="dashed"/>
      <diagonal/>
    </border>
    <border>
      <left style="dashed"/>
      <right style="dashed"/>
      <top style="medium"/>
      <bottom style="dashed"/>
      <diagonal/>
    </border>
    <border>
      <left style="medium"/>
      <right style="hair"/>
      <top style="dashed"/>
      <bottom style="dashed"/>
      <diagonal/>
    </border>
    <border>
      <left style="hair"/>
      <right style="hair"/>
      <top style="dashed"/>
      <bottom style="dashed"/>
      <diagonal/>
    </border>
    <border>
      <left/>
      <right/>
      <top style="dashed"/>
      <bottom style="dashed"/>
      <diagonal/>
    </border>
    <border>
      <left style="dashed"/>
      <right style="dashed"/>
      <top style="dashed"/>
      <bottom style="dashed"/>
      <diagonal/>
    </border>
    <border>
      <left style="dashed"/>
      <right style="medium"/>
      <top style="dashed"/>
      <bottom style="dashed"/>
      <diagonal/>
    </border>
    <border>
      <left/>
      <right style="medium"/>
      <top/>
      <bottom/>
      <diagonal/>
    </border>
    <border>
      <left/>
      <right/>
      <top style="thin"/>
      <bottom style="thin"/>
      <diagonal/>
    </border>
    <border>
      <left/>
      <right style="thin"/>
      <top style="thin"/>
      <bottom style="thin"/>
      <diagonal/>
    </border>
    <border>
      <left style="thin"/>
      <right/>
      <top/>
      <bottom/>
      <diagonal/>
    </border>
    <border>
      <left style="thin"/>
      <right style="hair"/>
      <top/>
      <bottom/>
      <diagonal/>
    </border>
    <border>
      <left style="thin"/>
      <right style="hair"/>
      <top/>
      <bottom style="medium"/>
      <diagonal/>
    </border>
    <border>
      <left/>
      <right style="hair"/>
      <top style="medium"/>
      <bottom/>
      <diagonal/>
    </border>
    <border>
      <left/>
      <right/>
      <top style="medium"/>
      <bottom style="hair"/>
      <diagonal/>
    </border>
    <border>
      <left style="thin"/>
      <right style="hair"/>
      <top/>
      <bottom style="hair"/>
      <diagonal/>
    </border>
    <border>
      <left/>
      <right style="medium"/>
      <top/>
      <bottom style="hair"/>
      <diagonal/>
    </border>
    <border>
      <left/>
      <right/>
      <top style="hair"/>
      <bottom style="medium"/>
      <diagonal/>
    </border>
    <border>
      <left/>
      <right/>
      <top style="dashed"/>
      <bottom/>
      <diagonal/>
    </border>
    <border>
      <left/>
      <right style="hair"/>
      <top style="dashed"/>
      <bottom/>
      <diagonal/>
    </border>
    <border>
      <left/>
      <right style="hair"/>
      <top style="dashed"/>
      <bottom style="dashed"/>
      <diagonal/>
    </border>
  </borders>
  <cellStyleXfs count="20">
    <xf numFmtId="0" fontId="0" fillId="0" borderId="0" applyAlignment="1">
      <alignment horizontal="general" vertical="bottom"/>
    </xf>
    <xf numFmtId="43" fontId="3" fillId="0" borderId="0"/>
    <xf numFmtId="41" fontId="3" fillId="0" borderId="0"/>
    <xf numFmtId="170" fontId="0" fillId="0" borderId="0" applyAlignment="1">
      <alignment horizontal="general" vertical="bottom"/>
    </xf>
    <xf numFmtId="42" fontId="3" fillId="0" borderId="0"/>
    <xf numFmtId="9" fontId="3" fillId="0" borderId="0"/>
    <xf numFmtId="0" fontId="47" fillId="0" borderId="0" applyAlignment="1">
      <alignment horizontal="general" vertical="bottom"/>
    </xf>
    <xf numFmtId="170" fontId="0" fillId="0" borderId="0" applyAlignment="1">
      <alignment horizontal="general" vertical="bottom"/>
    </xf>
    <xf numFmtId="171" fontId="0" fillId="0" borderId="0" applyAlignment="1">
      <alignment horizontal="general" vertical="bottom"/>
    </xf>
    <xf numFmtId="172"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167" fontId="5" fillId="0" borderId="0" applyAlignment="1">
      <alignment horizontal="general" vertical="bottom"/>
    </xf>
    <xf numFmtId="0" fontId="6" fillId="0" borderId="0" applyAlignment="1">
      <alignment horizontal="general" vertical="bottom"/>
    </xf>
    <xf numFmtId="173" fontId="0" fillId="0" borderId="0" applyAlignment="1">
      <alignment horizontal="general" vertical="bottom"/>
    </xf>
    <xf numFmtId="174" fontId="0" fillId="0" borderId="0" applyAlignment="1">
      <alignment horizontal="general" vertical="bottom"/>
    </xf>
    <xf numFmtId="0" fontId="4" fillId="0" borderId="0" applyAlignment="1">
      <alignment horizontal="general" vertical="bottom"/>
    </xf>
  </cellStyleXfs>
  <cellXfs count="205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applyProtection="1" pivotButton="0" quotePrefix="0" xfId="0">
      <alignment horizontal="general" vertical="bottom"/>
      <protection locked="0" hidden="0"/>
    </xf>
    <xf numFmtId="0" fontId="7" fillId="0" borderId="0" applyAlignment="1" pivotButton="0" quotePrefix="0" xfId="0">
      <alignment horizontal="center" vertical="bottom"/>
    </xf>
    <xf numFmtId="0" fontId="8" fillId="2" borderId="1" applyAlignment="1" pivotButton="0" quotePrefix="0" xfId="0">
      <alignment horizontal="center" vertical="center"/>
    </xf>
    <xf numFmtId="0" fontId="8" fillId="2" borderId="2" applyAlignment="1" pivotButton="0" quotePrefix="0" xfId="0">
      <alignment horizontal="center" vertical="center"/>
    </xf>
    <xf numFmtId="0" fontId="8" fillId="2" borderId="3" applyAlignment="1" applyProtection="1" pivotButton="0" quotePrefix="0" xfId="0">
      <alignment horizontal="center" vertical="center"/>
      <protection locked="0" hidden="0"/>
    </xf>
    <xf numFmtId="0" fontId="8" fillId="2" borderId="4" applyAlignment="1" pivotButton="0" quotePrefix="0" xfId="0">
      <alignment horizontal="center" vertical="center" wrapText="1"/>
    </xf>
    <xf numFmtId="0" fontId="6" fillId="3" borderId="5" applyAlignment="1" pivotButton="0" quotePrefix="0" xfId="0">
      <alignment horizontal="center" vertical="center" wrapText="1"/>
    </xf>
    <xf numFmtId="0" fontId="6" fillId="3" borderId="6" applyAlignment="1" pivotButton="0" quotePrefix="0" xfId="0">
      <alignment horizontal="center" vertical="top"/>
    </xf>
    <xf numFmtId="0" fontId="6" fillId="3" borderId="6" applyAlignment="1" applyProtection="1" pivotButton="0" quotePrefix="0" xfId="0">
      <alignment horizontal="center" vertical="top"/>
      <protection locked="0" hidden="0"/>
    </xf>
    <xf numFmtId="0" fontId="6" fillId="3" borderId="4" applyAlignment="1" pivotButton="0" quotePrefix="0" xfId="0">
      <alignment horizontal="center" vertical="top"/>
    </xf>
    <xf numFmtId="0" fontId="6" fillId="3" borderId="7" applyAlignment="1" pivotButton="0" quotePrefix="0" xfId="0">
      <alignment horizontal="center" vertical="top"/>
    </xf>
    <xf numFmtId="0" fontId="0" fillId="3" borderId="8" applyAlignment="1" pivotButton="0" quotePrefix="0" xfId="0">
      <alignment horizontal="center" vertical="center"/>
    </xf>
    <xf numFmtId="9" fontId="0" fillId="3" borderId="8" applyAlignment="1" applyProtection="1" pivotButton="0" quotePrefix="0" xfId="0">
      <alignment horizontal="center" vertical="center"/>
      <protection locked="0" hidden="0"/>
    </xf>
    <xf numFmtId="0" fontId="0" fillId="3" borderId="9" applyAlignment="1" pivotButton="0" quotePrefix="0" xfId="0">
      <alignment horizontal="center" vertical="center"/>
    </xf>
    <xf numFmtId="0" fontId="9" fillId="0" borderId="0" applyAlignment="1" pivotButton="0" quotePrefix="0" xfId="0">
      <alignment horizontal="right" vertical="bottom"/>
    </xf>
    <xf numFmtId="0" fontId="9" fillId="0" borderId="10" applyAlignment="1" pivotButton="0" quotePrefix="0" xfId="0">
      <alignment horizontal="center" vertical="bottom"/>
    </xf>
    <xf numFmtId="0" fontId="0" fillId="0" borderId="11" applyAlignment="1" pivotButton="0" quotePrefix="0" xfId="0">
      <alignment horizontal="center" vertical="center" wrapText="1"/>
    </xf>
    <xf numFmtId="0" fontId="0" fillId="0" borderId="12" applyAlignment="1" pivotButton="0" quotePrefix="0" xfId="0">
      <alignment horizontal="center" vertical="center"/>
    </xf>
    <xf numFmtId="164" fontId="0" fillId="0" borderId="13" applyAlignment="1" applyProtection="1" pivotButton="0" quotePrefix="0" xfId="0">
      <alignment horizontal="center" vertical="center"/>
      <protection locked="0" hidden="0"/>
    </xf>
    <xf numFmtId="0" fontId="0" fillId="0" borderId="9" applyAlignment="1" pivotButton="0" quotePrefix="0" xfId="0">
      <alignment horizontal="center" vertical="center"/>
    </xf>
    <xf numFmtId="1" fontId="9" fillId="3" borderId="14" applyAlignment="1" applyProtection="1" pivotButton="0" quotePrefix="0" xfId="0">
      <alignment horizontal="center" vertical="bottom"/>
      <protection locked="0" hidden="0"/>
    </xf>
    <xf numFmtId="0" fontId="10" fillId="0" borderId="11" applyAlignment="1" pivotButton="0" quotePrefix="0" xfId="0">
      <alignment horizontal="center" vertical="center" wrapText="1"/>
    </xf>
    <xf numFmtId="165" fontId="9" fillId="0" borderId="14" applyAlignment="1" applyProtection="1" pivotButton="0" quotePrefix="0" xfId="0">
      <alignment horizontal="center" vertical="bottom"/>
      <protection locked="0" hidden="0"/>
    </xf>
    <xf numFmtId="0" fontId="0" fillId="0" borderId="15" applyAlignment="1" pivotButton="0" quotePrefix="0" xfId="0">
      <alignment horizontal="center" vertical="center" wrapText="1"/>
    </xf>
    <xf numFmtId="0" fontId="0" fillId="0" borderId="14" applyAlignment="1" pivotButton="0" quotePrefix="0" xfId="0">
      <alignment horizontal="center" vertical="center"/>
    </xf>
    <xf numFmtId="164" fontId="0" fillId="0" borderId="14" applyAlignment="1" applyProtection="1" pivotButton="0" quotePrefix="0" xfId="0">
      <alignment horizontal="center" vertical="center"/>
      <protection locked="0" hidden="0"/>
    </xf>
    <xf numFmtId="0" fontId="0" fillId="0" borderId="16" applyAlignment="1" pivotButton="0" quotePrefix="0" xfId="0">
      <alignment horizontal="center" vertical="center"/>
    </xf>
    <xf numFmtId="165" fontId="9" fillId="0" borderId="14" applyAlignment="1" pivotButton="0" quotePrefix="0" xfId="0">
      <alignment horizontal="center" vertical="bottom"/>
    </xf>
    <xf numFmtId="0" fontId="0" fillId="0" borderId="17" applyAlignment="1" pivotButton="0" quotePrefix="0" xfId="0">
      <alignment horizontal="center" vertical="center"/>
    </xf>
    <xf numFmtId="164" fontId="0" fillId="0" borderId="17" applyAlignment="1" applyProtection="1" pivotButton="0" quotePrefix="0" xfId="0">
      <alignment horizontal="center" vertical="center"/>
      <protection locked="0" hidden="0"/>
    </xf>
    <xf numFmtId="0" fontId="0" fillId="0" borderId="18" applyAlignment="1" pivotButton="0" quotePrefix="0" xfId="0">
      <alignment horizontal="center" vertical="center"/>
    </xf>
    <xf numFmtId="0" fontId="9" fillId="0" borderId="0" applyAlignment="1" pivotButton="0" quotePrefix="0" xfId="0">
      <alignment horizontal="right" vertical="bottom"/>
    </xf>
    <xf numFmtId="0" fontId="0" fillId="4" borderId="15" applyAlignment="1" pivotButton="0" quotePrefix="0" xfId="0">
      <alignment horizontal="center" vertical="center" wrapText="1"/>
    </xf>
    <xf numFmtId="0" fontId="0" fillId="0" borderId="19" applyAlignment="1" pivotButton="0" quotePrefix="0" xfId="0">
      <alignment horizontal="center" vertical="center"/>
    </xf>
    <xf numFmtId="0" fontId="0" fillId="4" borderId="18" applyAlignment="1" pivotButton="0" quotePrefix="0" xfId="0">
      <alignment horizontal="center" vertical="center"/>
    </xf>
    <xf numFmtId="0" fontId="0" fillId="4" borderId="20" applyAlignment="1" pivotButton="0" quotePrefix="0" xfId="0">
      <alignment horizontal="general" vertical="center"/>
    </xf>
    <xf numFmtId="0" fontId="0" fillId="4" borderId="18" applyAlignment="1" pivotButton="0" quotePrefix="0" xfId="0">
      <alignment horizontal="general" vertical="center"/>
    </xf>
    <xf numFmtId="0" fontId="9" fillId="0" borderId="8" applyAlignment="1" pivotButton="0" quotePrefix="0" xfId="0">
      <alignment horizontal="right" vertical="bottom"/>
    </xf>
    <xf numFmtId="165" fontId="9" fillId="3" borderId="14" applyAlignment="1" pivotButton="0" quotePrefix="0" xfId="0">
      <alignment horizontal="center" vertical="bottom"/>
    </xf>
    <xf numFmtId="0" fontId="0" fillId="0" borderId="21" applyAlignment="1" pivotButton="0" quotePrefix="0" xfId="0">
      <alignment horizontal="center" vertical="center"/>
    </xf>
    <xf numFmtId="0" fontId="0" fillId="4" borderId="22" applyAlignment="1" pivotButton="0" quotePrefix="0" xfId="0">
      <alignment horizontal="center" vertical="center"/>
    </xf>
    <xf numFmtId="0" fontId="11" fillId="3" borderId="23" applyAlignment="1" pivotButton="0" quotePrefix="0" xfId="0">
      <alignment horizontal="center" vertical="center"/>
    </xf>
    <xf numFmtId="0" fontId="0" fillId="3" borderId="24" applyAlignment="1" pivotButton="0" quotePrefix="0" xfId="0">
      <alignment horizontal="center" vertical="center"/>
    </xf>
    <xf numFmtId="9" fontId="0" fillId="3" borderId="25" applyAlignment="1" applyProtection="1" pivotButton="0" quotePrefix="0" xfId="0">
      <alignment horizontal="center" vertical="center"/>
      <protection locked="0" hidden="0"/>
    </xf>
    <xf numFmtId="0" fontId="0" fillId="3" borderId="26" applyAlignment="1" pivotButton="0" quotePrefix="0" xfId="0">
      <alignment horizontal="center" vertical="center"/>
    </xf>
    <xf numFmtId="0" fontId="11" fillId="5" borderId="14" applyAlignment="1" pivotButton="0" quotePrefix="0" xfId="0">
      <alignment horizontal="center" vertical="center"/>
    </xf>
    <xf numFmtId="0" fontId="12" fillId="0" borderId="0" applyAlignment="1" pivotButton="0" quotePrefix="0" xfId="0">
      <alignment horizontal="general" vertical="bottom"/>
    </xf>
    <xf numFmtId="0" fontId="8" fillId="5" borderId="1" applyAlignment="1" pivotButton="0" quotePrefix="0" xfId="0">
      <alignment horizontal="center" vertical="center"/>
    </xf>
    <xf numFmtId="0" fontId="8" fillId="5" borderId="2" applyAlignment="1" pivotButton="0" quotePrefix="0" xfId="0">
      <alignment horizontal="center" vertical="center"/>
    </xf>
    <xf numFmtId="0" fontId="8" fillId="5" borderId="3" applyAlignment="1" applyProtection="1" pivotButton="0" quotePrefix="0" xfId="0">
      <alignment horizontal="center" vertical="center"/>
      <protection locked="0" hidden="0"/>
    </xf>
    <xf numFmtId="0" fontId="8" fillId="5" borderId="4" applyAlignment="1" pivotButton="0" quotePrefix="0" xfId="0">
      <alignment horizontal="center" vertical="center" wrapText="1"/>
    </xf>
    <xf numFmtId="0" fontId="6" fillId="6" borderId="5" applyAlignment="1" pivotButton="0" quotePrefix="0" xfId="0">
      <alignment horizontal="center" vertical="center" wrapText="1"/>
    </xf>
    <xf numFmtId="0" fontId="6" fillId="6" borderId="6" applyAlignment="1" pivotButton="0" quotePrefix="0" xfId="0">
      <alignment horizontal="center" vertical="top"/>
    </xf>
    <xf numFmtId="0" fontId="6" fillId="6" borderId="6" applyAlignment="1" applyProtection="1" pivotButton="0" quotePrefix="0" xfId="0">
      <alignment horizontal="center" vertical="top"/>
      <protection locked="0" hidden="0"/>
    </xf>
    <xf numFmtId="0" fontId="6" fillId="6" borderId="4" applyAlignment="1" pivotButton="0" quotePrefix="0" xfId="0">
      <alignment horizontal="center" vertical="top"/>
    </xf>
    <xf numFmtId="0" fontId="6" fillId="6" borderId="7" applyAlignment="1" pivotButton="0" quotePrefix="0" xfId="0">
      <alignment horizontal="center" vertical="top"/>
    </xf>
    <xf numFmtId="0" fontId="0" fillId="6" borderId="8" applyAlignment="1" pivotButton="0" quotePrefix="0" xfId="0">
      <alignment horizontal="center" vertical="center"/>
    </xf>
    <xf numFmtId="9" fontId="0" fillId="6" borderId="8" applyAlignment="1" applyProtection="1" pivotButton="0" quotePrefix="0" xfId="0">
      <alignment horizontal="center" vertical="center"/>
      <protection locked="0" hidden="0"/>
    </xf>
    <xf numFmtId="0" fontId="0" fillId="6" borderId="9" applyAlignment="1" pivotButton="0" quotePrefix="0" xfId="0">
      <alignment horizontal="center" vertical="center"/>
    </xf>
    <xf numFmtId="0" fontId="0" fillId="0" borderId="11" applyAlignment="1" pivotButton="0" quotePrefix="0" xfId="0">
      <alignment horizontal="center" vertical="center"/>
    </xf>
    <xf numFmtId="0" fontId="0" fillId="0" borderId="27" applyAlignment="1" pivotButton="0" quotePrefix="0" xfId="0">
      <alignment horizontal="center" vertical="center" wrapText="1"/>
    </xf>
    <xf numFmtId="166" fontId="0" fillId="0" borderId="14" applyAlignment="1" pivotButton="0" quotePrefix="0" xfId="0">
      <alignment horizontal="center" vertical="center"/>
    </xf>
    <xf numFmtId="166" fontId="0" fillId="0" borderId="28" applyAlignment="1" pivotButton="0" quotePrefix="0" xfId="0">
      <alignment horizontal="center" vertical="center"/>
    </xf>
    <xf numFmtId="0" fontId="10" fillId="0" borderId="27" applyAlignment="1" pivotButton="0" quotePrefix="0" xfId="0">
      <alignment horizontal="center" vertical="center" wrapText="1"/>
    </xf>
    <xf numFmtId="0" fontId="11" fillId="6" borderId="23" applyAlignment="1" pivotButton="0" quotePrefix="0" xfId="0">
      <alignment horizontal="center" vertical="center"/>
    </xf>
    <xf numFmtId="0" fontId="0" fillId="6" borderId="24" applyAlignment="1" pivotButton="0" quotePrefix="0" xfId="0">
      <alignment horizontal="center" vertical="center"/>
    </xf>
    <xf numFmtId="9" fontId="0" fillId="6" borderId="25" applyAlignment="1" applyProtection="1" pivotButton="0" quotePrefix="0" xfId="0">
      <alignment horizontal="center" vertical="center"/>
      <protection locked="0" hidden="0"/>
    </xf>
    <xf numFmtId="0" fontId="0" fillId="6" borderId="26" applyAlignment="1" pivotButton="0" quotePrefix="0" xfId="0">
      <alignment horizontal="center" vertical="center"/>
    </xf>
    <xf numFmtId="0" fontId="0" fillId="0" borderId="27" applyAlignment="1" pivotButton="0" quotePrefix="0" xfId="0">
      <alignment horizontal="center" vertical="center" wrapText="1"/>
    </xf>
    <xf numFmtId="166" fontId="0" fillId="0" borderId="28" applyAlignment="1" pivotButton="0" quotePrefix="0" xfId="0">
      <alignment horizontal="center" vertical="center"/>
    </xf>
    <xf numFmtId="0" fontId="11" fillId="3" borderId="29" applyAlignment="1" pivotButton="0" quotePrefix="0" xfId="0">
      <alignment horizontal="center" vertical="center"/>
    </xf>
    <xf numFmtId="166" fontId="0" fillId="3" borderId="30" applyAlignment="1" pivotButton="0" quotePrefix="0" xfId="0">
      <alignment horizontal="center" vertical="center"/>
    </xf>
    <xf numFmtId="9" fontId="0" fillId="3" borderId="31" applyAlignment="1" applyProtection="1" pivotButton="0" quotePrefix="0" xfId="0">
      <alignment horizontal="center" vertical="center"/>
      <protection locked="0" hidden="0"/>
    </xf>
    <xf numFmtId="166" fontId="0" fillId="3" borderId="32" applyAlignment="1" pivotButton="0" quotePrefix="0" xfId="0">
      <alignment horizontal="center" vertical="center"/>
    </xf>
    <xf numFmtId="0" fontId="13" fillId="0" borderId="0" applyAlignment="1" pivotButton="0" quotePrefix="0" xfId="0">
      <alignment horizontal="general" vertical="bottom"/>
    </xf>
    <xf numFmtId="0" fontId="0" fillId="0" borderId="0" applyAlignment="1" pivotButton="0" quotePrefix="0" xfId="0">
      <alignment horizontal="general" vertical="bottom"/>
    </xf>
    <xf numFmtId="166"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2" borderId="33" applyAlignment="1" pivotButton="0" quotePrefix="0" xfId="0">
      <alignment horizontal="center" vertical="center" wrapText="1"/>
    </xf>
    <xf numFmtId="0" fontId="6" fillId="2" borderId="34" applyAlignment="1" pivotButton="0" quotePrefix="0" xfId="0">
      <alignment horizontal="center" vertical="center" wrapText="1"/>
    </xf>
    <xf numFmtId="166" fontId="6" fillId="2" borderId="35" applyAlignment="1" pivotButton="0" quotePrefix="0" xfId="0">
      <alignment horizontal="center" vertical="center" wrapText="1"/>
    </xf>
    <xf numFmtId="0" fontId="14" fillId="2" borderId="34" applyAlignment="1" pivotButton="0" quotePrefix="0" xfId="0">
      <alignment horizontal="center" vertical="center" wrapText="1"/>
    </xf>
    <xf numFmtId="0" fontId="8" fillId="2" borderId="36" applyAlignment="1" pivotButton="0" quotePrefix="0" xfId="0">
      <alignment horizontal="center" vertical="center" wrapText="1"/>
    </xf>
    <xf numFmtId="0" fontId="8" fillId="3" borderId="33" applyAlignment="1" pivotButton="0" quotePrefix="0" xfId="0">
      <alignment horizontal="center" vertical="center" wrapText="1"/>
    </xf>
    <xf numFmtId="0" fontId="8" fillId="3" borderId="36" applyAlignment="1" pivotButton="0" quotePrefix="0" xfId="0">
      <alignment horizontal="center" vertical="center" wrapText="1"/>
    </xf>
    <xf numFmtId="0" fontId="15" fillId="0" borderId="37" applyAlignment="1" pivotButton="0" quotePrefix="0" xfId="0">
      <alignment horizontal="center" vertical="center" wrapText="1"/>
    </xf>
    <xf numFmtId="0" fontId="15" fillId="0" borderId="38" applyAlignment="1" pivotButton="0" quotePrefix="0" xfId="0">
      <alignment horizontal="center" vertical="center" wrapText="1"/>
    </xf>
    <xf numFmtId="0" fontId="0" fillId="0" borderId="39" applyAlignment="1" pivotButton="0" quotePrefix="0" xfId="0">
      <alignment horizontal="general" vertical="bottom" wrapText="1"/>
    </xf>
    <xf numFmtId="166" fontId="0" fillId="2" borderId="40" applyAlignment="1" pivotButton="0" quotePrefix="0" xfId="0">
      <alignment horizontal="general" vertical="bottom" wrapText="1"/>
    </xf>
    <xf numFmtId="0" fontId="14" fillId="0" borderId="39" applyAlignment="1" pivotButton="0" quotePrefix="0" xfId="0">
      <alignment horizontal="center" vertical="center" wrapText="1"/>
    </xf>
    <xf numFmtId="0" fontId="0" fillId="0" borderId="41" applyAlignment="1" pivotButton="0" quotePrefix="0" xfId="0">
      <alignment horizontal="general" vertical="bottom" wrapText="1"/>
    </xf>
    <xf numFmtId="0" fontId="8" fillId="7" borderId="42" applyAlignment="1" pivotButton="0" quotePrefix="0" xfId="0">
      <alignment horizontal="center" vertical="center" wrapText="1"/>
    </xf>
    <xf numFmtId="0" fontId="0" fillId="0" borderId="43" applyAlignment="1" pivotButton="0" quotePrefix="0" xfId="0">
      <alignment horizontal="right" vertical="center" wrapText="1"/>
    </xf>
    <xf numFmtId="0" fontId="0" fillId="0" borderId="0" applyAlignment="1" pivotButton="0" quotePrefix="0" xfId="0">
      <alignment horizontal="general" vertical="top"/>
    </xf>
    <xf numFmtId="166" fontId="0" fillId="0" borderId="0" applyAlignment="1" pivotButton="0" quotePrefix="0" xfId="0">
      <alignment horizontal="general" vertical="bottom"/>
    </xf>
    <xf numFmtId="0" fontId="0" fillId="0" borderId="40" applyAlignment="1" pivotButton="0" quotePrefix="0" xfId="0">
      <alignment horizontal="general" vertical="bottom" wrapText="1"/>
    </xf>
    <xf numFmtId="0" fontId="0" fillId="0" borderId="38" applyAlignment="1" pivotButton="0" quotePrefix="0" xfId="0">
      <alignment horizontal="general" vertical="bottom" wrapText="1"/>
    </xf>
    <xf numFmtId="166" fontId="0" fillId="2" borderId="38" applyAlignment="1" pivotButton="0" quotePrefix="0" xfId="0">
      <alignment horizontal="general" vertical="bottom" wrapText="1"/>
    </xf>
    <xf numFmtId="0" fontId="14" fillId="0" borderId="38" applyAlignment="1" pivotButton="0" quotePrefix="0" xfId="0">
      <alignment horizontal="center" vertical="center" wrapText="1"/>
    </xf>
    <xf numFmtId="0" fontId="0" fillId="0" borderId="44" applyAlignment="1" pivotButton="0" quotePrefix="0" xfId="0">
      <alignment horizontal="general" vertical="bottom" wrapText="1"/>
    </xf>
    <xf numFmtId="0" fontId="8" fillId="7" borderId="45" applyAlignment="1" pivotButton="0" quotePrefix="0" xfId="0">
      <alignment horizontal="center" vertical="center" wrapText="1"/>
    </xf>
    <xf numFmtId="0" fontId="0" fillId="0" borderId="44" applyAlignment="1" pivotButton="0" quotePrefix="0" xfId="0">
      <alignment horizontal="right" vertical="center" wrapText="1"/>
    </xf>
    <xf numFmtId="0" fontId="15" fillId="0" borderId="46" applyAlignment="1" pivotButton="0" quotePrefix="0" xfId="0">
      <alignment horizontal="center" vertical="center" wrapText="1"/>
    </xf>
    <xf numFmtId="167" fontId="15" fillId="0" borderId="47" applyAlignment="1" pivotButton="0" quotePrefix="0" xfId="29">
      <alignment horizontal="center" vertical="center" wrapText="1"/>
    </xf>
    <xf numFmtId="166" fontId="0" fillId="2" borderId="39" applyAlignment="1" pivotButton="0" quotePrefix="0" xfId="0">
      <alignment horizontal="general" vertical="bottom" wrapText="1"/>
    </xf>
    <xf numFmtId="0" fontId="0" fillId="0" borderId="39" applyAlignment="1" applyProtection="1" pivotButton="0" quotePrefix="0" xfId="0">
      <alignment horizontal="general" vertical="bottom" wrapText="1"/>
      <protection locked="0" hidden="0"/>
    </xf>
    <xf numFmtId="0" fontId="0" fillId="0" borderId="43" applyAlignment="1" pivotButton="0" quotePrefix="0" xfId="0">
      <alignment horizontal="general" vertical="bottom" wrapText="1"/>
    </xf>
    <xf numFmtId="0" fontId="0" fillId="4" borderId="39" applyAlignment="1" applyProtection="1" pivotButton="0" quotePrefix="0" xfId="0">
      <alignment horizontal="general" vertical="bottom" wrapText="1"/>
      <protection locked="0" hidden="0"/>
    </xf>
    <xf numFmtId="0" fontId="0" fillId="0" borderId="40" applyAlignment="1" applyProtection="1" pivotButton="0" quotePrefix="0" xfId="0">
      <alignment horizontal="general" vertical="bottom" wrapText="1"/>
      <protection locked="0" hidden="0"/>
    </xf>
    <xf numFmtId="0" fontId="0" fillId="4" borderId="40" applyAlignment="1" applyProtection="1" pivotButton="0" quotePrefix="0" xfId="0">
      <alignment horizontal="general" vertical="bottom" wrapText="1"/>
      <protection locked="0" hidden="0"/>
    </xf>
    <xf numFmtId="0" fontId="0" fillId="0" borderId="38" applyAlignment="1" applyProtection="1" pivotButton="0" quotePrefix="0" xfId="0">
      <alignment horizontal="general" vertical="bottom" wrapText="1"/>
      <protection locked="0" hidden="0"/>
    </xf>
    <xf numFmtId="0" fontId="0" fillId="4" borderId="38" applyAlignment="1" applyProtection="1" pivotButton="0" quotePrefix="0" xfId="0">
      <alignment horizontal="general" vertical="bottom" wrapText="1"/>
      <protection locked="0" hidden="0"/>
    </xf>
    <xf numFmtId="0" fontId="15" fillId="0" borderId="48" applyAlignment="1" pivotButton="0" quotePrefix="0" xfId="0">
      <alignment horizontal="center" vertical="center" wrapText="1"/>
    </xf>
    <xf numFmtId="167" fontId="15" fillId="0" borderId="49" applyAlignment="1" pivotButton="0" quotePrefix="0" xfId="29">
      <alignment horizontal="center" vertical="center" wrapText="1"/>
    </xf>
    <xf numFmtId="0" fontId="0" fillId="0" borderId="34" applyAlignment="1" pivotButton="0" quotePrefix="0" xfId="0">
      <alignment horizontal="general" vertical="bottom" wrapText="1"/>
    </xf>
    <xf numFmtId="0" fontId="0" fillId="0" borderId="34" applyAlignment="1" applyProtection="1" pivotButton="0" quotePrefix="0" xfId="0">
      <alignment horizontal="general" vertical="bottom" wrapText="1"/>
      <protection locked="0" hidden="0"/>
    </xf>
    <xf numFmtId="0" fontId="0" fillId="0" borderId="36" applyAlignment="1" pivotButton="0" quotePrefix="0" xfId="0">
      <alignment horizontal="general" vertical="bottom" wrapText="1"/>
    </xf>
    <xf numFmtId="0" fontId="0" fillId="4" borderId="34" applyAlignment="1" applyProtection="1" pivotButton="0" quotePrefix="0" xfId="0">
      <alignment horizontal="general" vertical="bottom" wrapText="1"/>
      <protection locked="0" hidden="0"/>
    </xf>
    <xf numFmtId="166" fontId="0" fillId="2" borderId="50" applyAlignment="1" pivotButton="0" quotePrefix="0" xfId="0">
      <alignment horizontal="general" vertical="bottom" wrapText="1"/>
    </xf>
    <xf numFmtId="0" fontId="0" fillId="0" borderId="50" applyAlignment="1" applyProtection="1" pivotButton="0" quotePrefix="0" xfId="0">
      <alignment horizontal="general" vertical="bottom" wrapText="1"/>
      <protection locked="0" hidden="0"/>
    </xf>
    <xf numFmtId="0" fontId="0" fillId="0" borderId="50" applyAlignment="1" pivotButton="0" quotePrefix="0" xfId="0">
      <alignment horizontal="general" vertical="bottom" wrapText="1"/>
    </xf>
    <xf numFmtId="0" fontId="0" fillId="0" borderId="51" applyAlignment="1" pivotButton="0" quotePrefix="0" xfId="0">
      <alignment horizontal="general" vertical="bottom" wrapText="1"/>
    </xf>
    <xf numFmtId="0" fontId="0" fillId="4" borderId="50" applyAlignment="1" applyProtection="1" pivotButton="0" quotePrefix="0" xfId="0">
      <alignment horizontal="general" vertical="bottom" wrapText="1"/>
      <protection locked="0" hidden="0"/>
    </xf>
    <xf numFmtId="0" fontId="0" fillId="0" borderId="41" applyAlignment="1" pivotButton="0" quotePrefix="0" xfId="0">
      <alignment horizontal="general" vertical="bottom" wrapText="1"/>
    </xf>
    <xf numFmtId="0" fontId="0" fillId="0" borderId="35" applyAlignment="1" pivotButton="0" quotePrefix="0" xfId="0">
      <alignment horizontal="general" vertical="bottom" wrapText="1"/>
    </xf>
    <xf numFmtId="0" fontId="0" fillId="7" borderId="40" applyAlignment="1" pivotButton="0" quotePrefix="0" xfId="0">
      <alignment horizontal="general" vertical="bottom"/>
    </xf>
    <xf numFmtId="0" fontId="0" fillId="0" borderId="36" applyAlignment="1" pivotButton="0" quotePrefix="0" xfId="0">
      <alignment horizontal="general" vertical="bottom" wrapText="1"/>
    </xf>
    <xf numFmtId="0" fontId="0" fillId="0" borderId="52" applyAlignment="1" pivotButton="0" quotePrefix="0" xfId="0">
      <alignment horizontal="general" vertical="bottom" wrapText="1"/>
    </xf>
    <xf numFmtId="0" fontId="0" fillId="0" borderId="43" applyAlignment="1" pivotButton="0" quotePrefix="0" xfId="0">
      <alignment horizontal="general" vertical="bottom" wrapText="1"/>
    </xf>
    <xf numFmtId="0" fontId="0" fillId="0" borderId="53" applyAlignment="1" pivotButton="0" quotePrefix="0" xfId="0">
      <alignment horizontal="general" vertical="bottom" wrapText="1"/>
    </xf>
    <xf numFmtId="0" fontId="0" fillId="7" borderId="50" applyAlignment="1" pivotButton="0" quotePrefix="0" xfId="0">
      <alignment horizontal="general" vertical="bottom"/>
    </xf>
    <xf numFmtId="0" fontId="0" fillId="0" borderId="54" applyAlignment="1" pivotButton="0" quotePrefix="0" xfId="0">
      <alignment horizontal="general" vertical="bottom" wrapText="1"/>
    </xf>
    <xf numFmtId="0" fontId="0" fillId="0" borderId="55" applyAlignment="1" pivotButton="0" quotePrefix="0" xfId="0">
      <alignment horizontal="general" vertical="bottom" wrapText="1"/>
    </xf>
    <xf numFmtId="0" fontId="0" fillId="7" borderId="38" applyAlignment="1" pivotButton="0" quotePrefix="0" xfId="0">
      <alignment horizontal="general" vertical="bottom"/>
    </xf>
    <xf numFmtId="166" fontId="0" fillId="7" borderId="40" applyAlignment="1" pivotButton="0" quotePrefix="0" xfId="0">
      <alignment horizontal="general" vertical="bottom"/>
    </xf>
    <xf numFmtId="0" fontId="0" fillId="8" borderId="34" applyAlignment="1" applyProtection="1" pivotButton="0" quotePrefix="0" xfId="0">
      <alignment horizontal="general" vertical="bottom" wrapText="1"/>
      <protection locked="0" hidden="0"/>
    </xf>
    <xf numFmtId="0" fontId="0" fillId="8" borderId="36" applyAlignment="1" pivotButton="0" quotePrefix="0" xfId="0">
      <alignment horizontal="general" vertical="bottom" wrapText="1"/>
    </xf>
    <xf numFmtId="0" fontId="0" fillId="8" borderId="39" applyAlignment="1" applyProtection="1" pivotButton="0" quotePrefix="0" xfId="0">
      <alignment horizontal="general" vertical="bottom" wrapText="1"/>
      <protection locked="0" hidden="0"/>
    </xf>
    <xf numFmtId="0" fontId="0" fillId="8" borderId="43" applyAlignment="1" pivotButton="0" quotePrefix="0" xfId="0">
      <alignment horizontal="general" vertical="bottom" wrapText="1"/>
    </xf>
    <xf numFmtId="0" fontId="0" fillId="8" borderId="40" applyAlignment="1" applyProtection="1" pivotButton="0" quotePrefix="0" xfId="0">
      <alignment horizontal="general" vertical="bottom" wrapText="1"/>
      <protection locked="0" hidden="0"/>
    </xf>
    <xf numFmtId="0" fontId="0" fillId="8" borderId="41" applyAlignment="1" pivotButton="0" quotePrefix="0" xfId="0">
      <alignment horizontal="general" vertical="bottom" wrapText="1"/>
    </xf>
    <xf numFmtId="0" fontId="0" fillId="8" borderId="50" applyAlignment="1" applyProtection="1" pivotButton="0" quotePrefix="0" xfId="0">
      <alignment horizontal="general" vertical="bottom" wrapText="1"/>
      <protection locked="0" hidden="0"/>
    </xf>
    <xf numFmtId="0" fontId="0" fillId="0" borderId="34" applyAlignment="1" pivotButton="0" quotePrefix="0" xfId="0">
      <alignment horizontal="general" vertical="bottom" wrapText="1"/>
    </xf>
    <xf numFmtId="0" fontId="0" fillId="2" borderId="34" applyAlignment="1" applyProtection="1" pivotButton="0" quotePrefix="0" xfId="0">
      <alignment horizontal="general" vertical="bottom" wrapText="1"/>
      <protection locked="0" hidden="0"/>
    </xf>
    <xf numFmtId="0" fontId="0" fillId="0" borderId="34" applyAlignment="1" applyProtection="1" pivotButton="0" quotePrefix="0" xfId="0">
      <alignment horizontal="general" vertical="bottom" wrapText="1"/>
      <protection locked="0" hidden="0"/>
    </xf>
    <xf numFmtId="0" fontId="0" fillId="0" borderId="35" applyAlignment="1" pivotButton="0" quotePrefix="0" xfId="0">
      <alignment horizontal="general" vertical="bottom" wrapText="1"/>
    </xf>
    <xf numFmtId="0" fontId="0" fillId="4" borderId="33" applyAlignment="1" applyProtection="1" pivotButton="0" quotePrefix="0" xfId="0">
      <alignment horizontal="general" vertical="bottom" wrapText="1"/>
      <protection locked="0" hidden="0"/>
    </xf>
    <xf numFmtId="0" fontId="0" fillId="0" borderId="39" applyAlignment="1" pivotButton="0" quotePrefix="0" xfId="0">
      <alignment horizontal="general" vertical="bottom" wrapText="1"/>
    </xf>
    <xf numFmtId="0" fontId="0" fillId="2" borderId="40" applyAlignment="1" applyProtection="1" pivotButton="0" quotePrefix="0" xfId="0">
      <alignment horizontal="general" vertical="bottom" wrapText="1"/>
      <protection locked="0" hidden="0"/>
    </xf>
    <xf numFmtId="0" fontId="0" fillId="0" borderId="39" applyAlignment="1" applyProtection="1" pivotButton="0" quotePrefix="0" xfId="0">
      <alignment horizontal="general" vertical="bottom" wrapText="1"/>
      <protection locked="0" hidden="0"/>
    </xf>
    <xf numFmtId="0" fontId="0" fillId="0" borderId="52" applyAlignment="1" pivotButton="0" quotePrefix="0" xfId="0">
      <alignment horizontal="general" vertical="bottom" wrapText="1"/>
    </xf>
    <xf numFmtId="0" fontId="0" fillId="4" borderId="56" applyAlignment="1" applyProtection="1" pivotButton="0" quotePrefix="0" xfId="0">
      <alignment horizontal="general" vertical="bottom" wrapText="1"/>
      <protection locked="0" hidden="0"/>
    </xf>
    <xf numFmtId="0" fontId="0" fillId="0" borderId="40" applyAlignment="1" pivotButton="0" quotePrefix="0" xfId="0">
      <alignment horizontal="general" vertical="bottom" wrapText="1"/>
    </xf>
    <xf numFmtId="0" fontId="0" fillId="0" borderId="40" applyAlignment="1" applyProtection="1" pivotButton="0" quotePrefix="0" xfId="0">
      <alignment horizontal="general" vertical="bottom" wrapText="1"/>
      <protection locked="0" hidden="0"/>
    </xf>
    <xf numFmtId="0" fontId="0" fillId="0" borderId="53" applyAlignment="1" pivotButton="0" quotePrefix="0" xfId="0">
      <alignment horizontal="general" vertical="bottom" wrapText="1"/>
    </xf>
    <xf numFmtId="0" fontId="0" fillId="4" borderId="57" applyAlignment="1" applyProtection="1" pivotButton="0" quotePrefix="0" xfId="0">
      <alignment horizontal="general" vertical="bottom" wrapText="1"/>
      <protection locked="0" hidden="0"/>
    </xf>
    <xf numFmtId="0" fontId="0" fillId="0" borderId="50" applyAlignment="1" pivotButton="0" quotePrefix="0" xfId="0">
      <alignment horizontal="general" vertical="bottom" wrapText="1"/>
    </xf>
    <xf numFmtId="0" fontId="0" fillId="2" borderId="50" applyAlignment="1" applyProtection="1" pivotButton="0" quotePrefix="0" xfId="0">
      <alignment horizontal="general" vertical="bottom" wrapText="1"/>
      <protection locked="0" hidden="0"/>
    </xf>
    <xf numFmtId="0" fontId="0" fillId="0" borderId="50" applyAlignment="1" applyProtection="1" pivotButton="0" quotePrefix="0" xfId="0">
      <alignment horizontal="general" vertical="bottom" wrapText="1"/>
      <protection locked="0" hidden="0"/>
    </xf>
    <xf numFmtId="0" fontId="0" fillId="0" borderId="54" applyAlignment="1" pivotButton="0" quotePrefix="0" xfId="0">
      <alignment horizontal="general" vertical="bottom" wrapText="1"/>
    </xf>
    <xf numFmtId="165" fontId="0" fillId="2" borderId="50" applyAlignment="1" pivotButton="0" quotePrefix="0" xfId="0">
      <alignment horizontal="general" vertical="bottom" wrapText="1"/>
    </xf>
    <xf numFmtId="0" fontId="0" fillId="0" borderId="38" applyAlignment="1" pivotButton="0" quotePrefix="0" xfId="0">
      <alignment horizontal="general" vertical="bottom" wrapText="1"/>
    </xf>
    <xf numFmtId="0" fontId="0" fillId="2" borderId="38" applyAlignment="1" applyProtection="1" pivotButton="0" quotePrefix="0" xfId="0">
      <alignment horizontal="general" vertical="bottom" wrapText="1"/>
      <protection locked="0" hidden="0"/>
    </xf>
    <xf numFmtId="0" fontId="0" fillId="0" borderId="38" applyAlignment="1" applyProtection="1" pivotButton="0" quotePrefix="0" xfId="0">
      <alignment horizontal="general" vertical="bottom" wrapText="1"/>
      <protection locked="0" hidden="0"/>
    </xf>
    <xf numFmtId="0" fontId="0" fillId="0" borderId="55" applyAlignment="1" pivotButton="0" quotePrefix="0" xfId="0">
      <alignment horizontal="general" vertical="bottom" wrapText="1"/>
    </xf>
    <xf numFmtId="0" fontId="0" fillId="4" borderId="37" applyAlignment="1" applyProtection="1" pivotButton="0" quotePrefix="0" xfId="0">
      <alignment horizontal="general" vertical="bottom" wrapText="1"/>
      <protection locked="0" hidden="0"/>
    </xf>
    <xf numFmtId="0" fontId="0" fillId="7" borderId="34" applyAlignment="1" applyProtection="1" pivotButton="0" quotePrefix="0" xfId="0">
      <alignment horizontal="general" vertical="bottom" wrapText="1"/>
      <protection locked="0" hidden="0"/>
    </xf>
    <xf numFmtId="0" fontId="0" fillId="7" borderId="39" applyAlignment="1" applyProtection="1" pivotButton="0" quotePrefix="0" xfId="0">
      <alignment horizontal="general" vertical="bottom" wrapText="1"/>
      <protection locked="0" hidden="0"/>
    </xf>
    <xf numFmtId="0" fontId="0" fillId="7" borderId="40" applyAlignment="1" applyProtection="1" pivotButton="0" quotePrefix="0" xfId="0">
      <alignment horizontal="general" vertical="bottom" wrapText="1"/>
      <protection locked="0" hidden="0"/>
    </xf>
    <xf numFmtId="0" fontId="0" fillId="7" borderId="50" applyAlignment="1" applyProtection="1" pivotButton="0" quotePrefix="0" xfId="0">
      <alignment horizontal="general" vertical="bottom" wrapText="1"/>
      <protection locked="0" hidden="0"/>
    </xf>
    <xf numFmtId="0" fontId="15" fillId="0" borderId="58" applyAlignment="1" pivotButton="0" quotePrefix="0" xfId="0">
      <alignment horizontal="center" vertical="center" wrapText="1"/>
    </xf>
    <xf numFmtId="0" fontId="0" fillId="0" borderId="59" applyAlignment="1" applyProtection="1" pivotButton="0" quotePrefix="0" xfId="0">
      <alignment horizontal="general" vertical="bottom" wrapText="1"/>
      <protection locked="0" hidden="0"/>
    </xf>
    <xf numFmtId="0" fontId="0" fillId="0" borderId="59" applyAlignment="1" pivotButton="0" quotePrefix="0" xfId="0">
      <alignment horizontal="general" vertical="bottom" wrapText="1"/>
    </xf>
    <xf numFmtId="0" fontId="15" fillId="0" borderId="60" applyAlignment="1" pivotButton="0" quotePrefix="0" xfId="0">
      <alignment horizontal="center" vertical="center" wrapText="1"/>
    </xf>
    <xf numFmtId="0" fontId="15" fillId="0" borderId="49" applyAlignment="1" pivotButton="0" quotePrefix="0" xfId="0">
      <alignment horizontal="center" vertical="center" wrapText="1"/>
    </xf>
    <xf numFmtId="0" fontId="0" fillId="7" borderId="39" applyAlignment="1" pivotButton="0" quotePrefix="0" xfId="0">
      <alignment horizontal="general" vertical="bottom"/>
    </xf>
    <xf numFmtId="0" fontId="0" fillId="0" borderId="34" applyAlignment="1" pivotButton="0" quotePrefix="0" xfId="0">
      <alignment horizontal="general" vertical="bottom"/>
    </xf>
    <xf numFmtId="0" fontId="0" fillId="8" borderId="34" applyAlignment="1" pivotButton="0" quotePrefix="0" xfId="0">
      <alignment horizontal="general" vertical="bottom"/>
    </xf>
    <xf numFmtId="0" fontId="0" fillId="8" borderId="36" applyAlignment="1" pivotButton="0" quotePrefix="0" xfId="0">
      <alignment horizontal="general" vertical="bottom"/>
    </xf>
    <xf numFmtId="0" fontId="0" fillId="7" borderId="40" applyAlignment="1" pivotButton="0" quotePrefix="0" xfId="0">
      <alignment horizontal="general" vertical="bottom"/>
    </xf>
    <xf numFmtId="0" fontId="0" fillId="0" borderId="39" applyAlignment="1" pivotButton="0" quotePrefix="0" xfId="0">
      <alignment horizontal="general" vertical="bottom"/>
    </xf>
    <xf numFmtId="0" fontId="0" fillId="0" borderId="61" applyAlignment="1" pivotButton="0" quotePrefix="0" xfId="0">
      <alignment horizontal="general" vertical="bottom" wrapText="1"/>
    </xf>
    <xf numFmtId="0" fontId="0" fillId="8" borderId="39" applyAlignment="1" pivotButton="0" quotePrefix="0" xfId="0">
      <alignment horizontal="general" vertical="bottom"/>
    </xf>
    <xf numFmtId="0" fontId="0" fillId="8" borderId="43" applyAlignment="1" pivotButton="0" quotePrefix="0" xfId="0">
      <alignment horizontal="general" vertical="bottom"/>
    </xf>
    <xf numFmtId="0" fontId="0" fillId="0" borderId="40" applyAlignment="1" pivotButton="0" quotePrefix="0" xfId="0">
      <alignment horizontal="general" vertical="bottom"/>
    </xf>
    <xf numFmtId="0" fontId="0" fillId="8" borderId="40" applyAlignment="1" pivotButton="0" quotePrefix="0" xfId="0">
      <alignment horizontal="general" vertical="bottom"/>
    </xf>
    <xf numFmtId="0" fontId="0" fillId="8" borderId="41" applyAlignment="1" pivotButton="0" quotePrefix="0" xfId="0">
      <alignment horizontal="general" vertical="bottom"/>
    </xf>
    <xf numFmtId="0" fontId="0" fillId="0" borderId="50" applyAlignment="1" pivotButton="0" quotePrefix="0" xfId="0">
      <alignment horizontal="general" vertical="bottom"/>
    </xf>
    <xf numFmtId="0" fontId="0" fillId="7" borderId="50" applyAlignment="1" pivotButton="0" quotePrefix="0" xfId="0">
      <alignment horizontal="general" vertical="bottom"/>
    </xf>
    <xf numFmtId="0" fontId="0" fillId="0" borderId="0" applyAlignment="1" pivotButton="0" quotePrefix="0" xfId="0">
      <alignment horizontal="general" vertical="bottom"/>
    </xf>
    <xf numFmtId="0" fontId="0" fillId="0" borderId="38" applyAlignment="1" pivotButton="0" quotePrefix="0" xfId="0">
      <alignment horizontal="general" vertical="bottom"/>
    </xf>
    <xf numFmtId="0" fontId="0" fillId="0" borderId="38" applyAlignment="1" pivotButton="0" quotePrefix="0" xfId="0">
      <alignment horizontal="general" vertical="bottom"/>
    </xf>
    <xf numFmtId="166" fontId="0" fillId="0" borderId="38" applyAlignment="1" pivotButton="0" quotePrefix="0" xfId="0">
      <alignment horizontal="general" vertical="bottom" wrapText="1"/>
    </xf>
    <xf numFmtId="0" fontId="15" fillId="0" borderId="62" applyAlignment="1" pivotButton="0" quotePrefix="0" xfId="0">
      <alignment horizontal="center" vertical="center" wrapText="1"/>
    </xf>
    <xf numFmtId="167" fontId="17" fillId="0" borderId="49" applyAlignment="1" pivotButton="0" quotePrefix="0" xfId="29">
      <alignment horizontal="center" vertical="center" wrapText="1"/>
    </xf>
    <xf numFmtId="0" fontId="0" fillId="0" borderId="49" applyAlignment="1" pivotButton="0" quotePrefix="0" xfId="0">
      <alignment horizontal="center" vertical="center" wrapText="1"/>
    </xf>
    <xf numFmtId="0" fontId="0" fillId="0" borderId="61" applyAlignment="1" pivotButton="0" quotePrefix="0" xfId="0">
      <alignment horizontal="general" vertical="bottom" wrapText="1"/>
    </xf>
    <xf numFmtId="0" fontId="0" fillId="8" borderId="33" applyAlignment="1" applyProtection="1" pivotButton="0" quotePrefix="0" xfId="0">
      <alignment horizontal="general" vertical="bottom" wrapText="1"/>
      <protection locked="0" hidden="0"/>
    </xf>
    <xf numFmtId="0" fontId="19" fillId="8" borderId="36" applyAlignment="1" pivotButton="0" quotePrefix="0" xfId="0">
      <alignment horizontal="general" vertical="bottom" wrapText="1"/>
    </xf>
    <xf numFmtId="2" fontId="0" fillId="2" borderId="40" applyAlignment="1" applyProtection="1" pivotButton="0" quotePrefix="0" xfId="0">
      <alignment horizontal="general" vertical="bottom" wrapText="1"/>
      <protection locked="0" hidden="0"/>
    </xf>
    <xf numFmtId="0" fontId="0" fillId="7" borderId="59" applyAlignment="1" pivotButton="0" quotePrefix="0" xfId="0">
      <alignment horizontal="general" vertical="bottom"/>
    </xf>
    <xf numFmtId="2" fontId="0" fillId="2" borderId="38" applyAlignment="1" applyProtection="1" pivotButton="0" quotePrefix="0" xfId="0">
      <alignment horizontal="general" vertical="bottom" wrapText="1"/>
      <protection locked="0" hidden="0"/>
    </xf>
    <xf numFmtId="0" fontId="0" fillId="8" borderId="37" applyAlignment="1" applyProtection="1" pivotButton="0" quotePrefix="0" xfId="0">
      <alignment horizontal="general" vertical="bottom" wrapText="1"/>
      <protection locked="0" hidden="0"/>
    </xf>
    <xf numFmtId="0" fontId="19" fillId="8" borderId="44" applyAlignment="1" pivotButton="0" quotePrefix="0" xfId="0">
      <alignment horizontal="general" vertical="bottom" wrapText="1"/>
    </xf>
    <xf numFmtId="0" fontId="0" fillId="0" borderId="51" applyAlignment="1" pivotButton="0" quotePrefix="0" xfId="0">
      <alignment horizontal="general" vertical="bottom" wrapText="1"/>
    </xf>
    <xf numFmtId="0" fontId="0" fillId="8" borderId="63" applyAlignment="1" applyProtection="1" pivotButton="0" quotePrefix="0" xfId="0">
      <alignment horizontal="general" vertical="bottom" wrapText="1"/>
      <protection locked="0" hidden="0"/>
    </xf>
    <xf numFmtId="0" fontId="19" fillId="8" borderId="51" applyAlignment="1" pivotButton="0" quotePrefix="0" xfId="0">
      <alignment horizontal="general" vertical="bottom" wrapText="1"/>
    </xf>
    <xf numFmtId="0" fontId="0" fillId="0" borderId="64" applyAlignment="1" pivotButton="0" quotePrefix="0" xfId="27">
      <alignment horizontal="left" vertical="center" wrapText="1"/>
    </xf>
    <xf numFmtId="168" fontId="20" fillId="0" borderId="49" applyAlignment="1" pivotButton="0" quotePrefix="0" xfId="0">
      <alignment horizontal="center" vertical="center" wrapText="1"/>
    </xf>
    <xf numFmtId="166" fontId="0" fillId="0" borderId="49" applyAlignment="1" pivotButton="0" quotePrefix="0" xfId="27">
      <alignment horizontal="left" vertical="center" wrapText="1"/>
    </xf>
    <xf numFmtId="0" fontId="0" fillId="0" borderId="45" applyAlignment="1" pivotButton="0" quotePrefix="0" xfId="0">
      <alignment horizontal="general" vertical="bottom" wrapText="1"/>
    </xf>
    <xf numFmtId="0" fontId="0" fillId="2" borderId="49" applyAlignment="1" applyProtection="1" pivotButton="0" quotePrefix="0" xfId="0">
      <alignment horizontal="general" vertical="bottom" wrapText="1"/>
      <protection locked="0" hidden="0"/>
    </xf>
    <xf numFmtId="0" fontId="0" fillId="0" borderId="59" applyAlignment="1" applyProtection="1" pivotButton="0" quotePrefix="0" xfId="0">
      <alignment horizontal="general" vertical="bottom" wrapText="1"/>
      <protection locked="0" hidden="0"/>
    </xf>
    <xf numFmtId="0" fontId="0" fillId="8" borderId="65" applyAlignment="1" applyProtection="1" pivotButton="0" quotePrefix="0" xfId="0">
      <alignment horizontal="general" vertical="bottom" wrapText="1"/>
      <protection locked="0" hidden="0"/>
    </xf>
    <xf numFmtId="0" fontId="19" fillId="8" borderId="61" applyAlignment="1" pivotButton="0" quotePrefix="0" xfId="0">
      <alignment horizontal="general" vertical="bottom" wrapText="1"/>
    </xf>
    <xf numFmtId="166" fontId="0" fillId="2" borderId="34" applyAlignment="1" pivotButton="0" quotePrefix="0" xfId="0">
      <alignment horizontal="general" vertical="bottom" wrapText="1"/>
    </xf>
    <xf numFmtId="0" fontId="0" fillId="0" borderId="0" applyAlignment="1" pivotButton="0" quotePrefix="0" xfId="0">
      <alignment horizontal="right" vertical="center"/>
    </xf>
    <xf numFmtId="0" fontId="0" fillId="0" borderId="0" applyAlignment="1" pivotButton="0" quotePrefix="0" xfId="0">
      <alignment horizontal="left" vertical="center"/>
    </xf>
    <xf numFmtId="0" fontId="0" fillId="0" borderId="0" applyAlignment="1" pivotButton="0" quotePrefix="0" xfId="0">
      <alignment horizontal="right" vertical="bottom"/>
    </xf>
    <xf numFmtId="166" fontId="21" fillId="7" borderId="34" applyAlignment="1" pivotButton="0" quotePrefix="0" xfId="0">
      <alignment horizontal="right" vertical="center"/>
    </xf>
    <xf numFmtId="0" fontId="0" fillId="0" borderId="66" applyAlignment="1" applyProtection="1" pivotButton="0" quotePrefix="0" xfId="0">
      <alignment horizontal="general" vertical="bottom" wrapText="1"/>
      <protection locked="0" hidden="0"/>
    </xf>
    <xf numFmtId="166" fontId="21" fillId="7" borderId="40" applyAlignment="1" pivotButton="0" quotePrefix="0" xfId="0">
      <alignment horizontal="right" vertical="center"/>
    </xf>
    <xf numFmtId="0" fontId="0" fillId="0" borderId="67" applyAlignment="1" applyProtection="1" pivotButton="0" quotePrefix="0" xfId="0">
      <alignment horizontal="general" vertical="bottom" wrapText="1"/>
      <protection locked="0" hidden="0"/>
    </xf>
    <xf numFmtId="166" fontId="21" fillId="7" borderId="38" applyAlignment="1" pivotButton="0" quotePrefix="0" xfId="0">
      <alignment horizontal="right" vertical="center"/>
    </xf>
    <xf numFmtId="0" fontId="0" fillId="0" borderId="45" applyAlignment="1" applyProtection="1" pivotButton="0" quotePrefix="0" xfId="0">
      <alignment horizontal="general" vertical="bottom" wrapText="1"/>
      <protection locked="0" hidden="0"/>
    </xf>
    <xf numFmtId="0" fontId="0" fillId="8" borderId="51" applyAlignment="1" pivotButton="0" quotePrefix="0" xfId="0">
      <alignment horizontal="general" vertical="bottom" wrapText="1"/>
    </xf>
    <xf numFmtId="0" fontId="0" fillId="8" borderId="38" applyAlignment="1" applyProtection="1" pivotButton="0" quotePrefix="0" xfId="0">
      <alignment horizontal="general" vertical="bottom" wrapText="1"/>
      <protection locked="0" hidden="0"/>
    </xf>
    <xf numFmtId="0" fontId="0" fillId="8" borderId="44" applyAlignment="1" pivotButton="0" quotePrefix="0" xfId="0">
      <alignment horizontal="general" vertical="bottom" wrapText="1"/>
    </xf>
    <xf numFmtId="0" fontId="0" fillId="0" borderId="49" applyAlignment="1" pivotButton="0" quotePrefix="0" xfId="0">
      <alignment horizontal="center" vertical="center" wrapText="1"/>
    </xf>
    <xf numFmtId="0" fontId="0" fillId="0" borderId="59" applyAlignment="1" pivotButton="0" quotePrefix="0" xfId="0">
      <alignment horizontal="general" vertical="bottom" wrapText="1"/>
    </xf>
    <xf numFmtId="0" fontId="0" fillId="2" borderId="59" applyAlignment="1" applyProtection="1" pivotButton="0" quotePrefix="0" xfId="0">
      <alignment horizontal="general" vertical="bottom" wrapText="1"/>
      <protection locked="0" hidden="0"/>
    </xf>
    <xf numFmtId="0" fontId="0" fillId="0" borderId="68" applyAlignment="1" pivotButton="0" quotePrefix="0" xfId="0">
      <alignment horizontal="general" vertical="bottom" wrapText="1"/>
    </xf>
    <xf numFmtId="0" fontId="0" fillId="8" borderId="69" applyAlignment="1" applyProtection="1" pivotButton="0" quotePrefix="0" xfId="0">
      <alignment horizontal="general" vertical="bottom" wrapText="1"/>
      <protection locked="0" hidden="0"/>
    </xf>
    <xf numFmtId="0" fontId="0" fillId="8" borderId="68" applyAlignment="1" pivotButton="0" quotePrefix="0" xfId="0">
      <alignment horizontal="general" vertical="bottom" wrapText="1"/>
    </xf>
    <xf numFmtId="0" fontId="10" fillId="0" borderId="59" applyAlignment="1" pivotButton="0" quotePrefix="0" xfId="0">
      <alignment horizontal="general" vertical="bottom" wrapText="1"/>
    </xf>
    <xf numFmtId="166" fontId="10" fillId="2" borderId="40" applyAlignment="1" pivotButton="0" quotePrefix="0" xfId="0">
      <alignment horizontal="general" vertical="bottom" wrapText="1"/>
    </xf>
    <xf numFmtId="0" fontId="0" fillId="8" borderId="59" applyAlignment="1" applyProtection="1" pivotButton="0" quotePrefix="0" xfId="0">
      <alignment horizontal="general" vertical="bottom" wrapText="1"/>
      <protection locked="0" hidden="0"/>
    </xf>
    <xf numFmtId="0" fontId="0" fillId="8" borderId="61" applyAlignment="1" pivotButton="0" quotePrefix="0" xfId="0">
      <alignment horizontal="general" vertical="bottom" wrapText="1"/>
    </xf>
    <xf numFmtId="0" fontId="17" fillId="0" borderId="48" applyAlignment="1" pivotButton="0" quotePrefix="0" xfId="0">
      <alignment horizontal="center" vertical="center" wrapText="1"/>
    </xf>
    <xf numFmtId="0" fontId="17" fillId="0" borderId="70" applyAlignment="1" pivotButton="0" quotePrefix="0" xfId="0">
      <alignment horizontal="center" vertical="center" wrapText="1"/>
    </xf>
    <xf numFmtId="167" fontId="15" fillId="0" borderId="59" applyAlignment="1" pivotButton="0" quotePrefix="0" xfId="29">
      <alignment horizontal="center" vertical="center" wrapText="1"/>
    </xf>
    <xf numFmtId="0" fontId="0" fillId="0" borderId="59" applyAlignment="1" pivotButton="0" quotePrefix="0" xfId="0">
      <alignment horizontal="center" vertical="center" wrapText="1"/>
    </xf>
    <xf numFmtId="166" fontId="0" fillId="2" borderId="59" applyAlignment="1" pivotButton="0" quotePrefix="0" xfId="0">
      <alignment horizontal="general" vertical="bottom" wrapText="1"/>
    </xf>
    <xf numFmtId="0" fontId="0" fillId="0" borderId="0" applyAlignment="1" applyProtection="1" pivotButton="0" quotePrefix="0" xfId="0">
      <alignment horizontal="general" vertical="bottom" wrapText="1"/>
      <protection locked="0" hidden="0"/>
    </xf>
    <xf numFmtId="0" fontId="0" fillId="0" borderId="71" applyAlignment="1" pivotButton="0" quotePrefix="0" xfId="0">
      <alignment horizontal="general" vertical="bottom" wrapText="1"/>
    </xf>
    <xf numFmtId="0" fontId="0" fillId="8" borderId="0" applyAlignment="1" applyProtection="1" pivotButton="0" quotePrefix="0" xfId="0">
      <alignment horizontal="general" vertical="bottom" wrapText="1"/>
      <protection locked="0" hidden="0"/>
    </xf>
    <xf numFmtId="0" fontId="0" fillId="8" borderId="71" applyAlignment="1" pivotButton="0" quotePrefix="0" xfId="0">
      <alignment horizontal="general" vertical="bottom" wrapText="1"/>
    </xf>
    <xf numFmtId="0" fontId="15" fillId="9" borderId="72" applyAlignment="1" pivotButton="0" quotePrefix="0" xfId="0">
      <alignment horizontal="center" vertical="center" wrapText="1"/>
    </xf>
    <xf numFmtId="0" fontId="15" fillId="0" borderId="69" applyAlignment="1" pivotButton="0" quotePrefix="0" xfId="0">
      <alignment horizontal="center" vertical="center" wrapText="1"/>
    </xf>
    <xf numFmtId="0" fontId="17" fillId="0" borderId="49" applyAlignment="1" pivotButton="0" quotePrefix="0" xfId="0">
      <alignment horizontal="center" vertical="center" wrapText="1"/>
    </xf>
    <xf numFmtId="0" fontId="0" fillId="0" borderId="69" applyAlignment="1" pivotButton="0" quotePrefix="0" xfId="0">
      <alignment horizontal="general" vertical="bottom" wrapText="1"/>
    </xf>
    <xf numFmtId="166" fontId="0" fillId="7" borderId="69" applyAlignment="1" pivotButton="0" quotePrefix="0" xfId="0">
      <alignment horizontal="general" vertical="bottom" wrapText="1"/>
    </xf>
    <xf numFmtId="0" fontId="0" fillId="0" borderId="69" applyAlignment="1" applyProtection="1" pivotButton="0" quotePrefix="0" xfId="0">
      <alignment horizontal="general" vertical="bottom" wrapText="1"/>
      <protection locked="0" hidden="0"/>
    </xf>
    <xf numFmtId="166" fontId="0" fillId="7" borderId="50" applyAlignment="1" pivotButton="0" quotePrefix="0" xfId="0">
      <alignment horizontal="general" vertical="bottom" wrapText="1"/>
    </xf>
    <xf numFmtId="166" fontId="0" fillId="7" borderId="38" applyAlignment="1" pivotButton="0" quotePrefix="0" xfId="0">
      <alignment horizontal="general" vertical="bottom" wrapText="1"/>
    </xf>
    <xf numFmtId="0" fontId="13" fillId="0" borderId="0" applyAlignment="1" pivotButton="0" quotePrefix="0" xfId="0">
      <alignment horizontal="general" vertical="bottom" wrapText="1"/>
    </xf>
    <xf numFmtId="0" fontId="0" fillId="0" borderId="0" applyAlignment="1" pivotButton="0" quotePrefix="0" xfId="0">
      <alignment horizontal="general" vertical="bottom" wrapText="1"/>
    </xf>
    <xf numFmtId="166" fontId="6" fillId="0" borderId="0" applyAlignment="1" pivotButton="0" quotePrefix="0" xfId="0">
      <alignment horizontal="general" vertical="bottom" wrapText="1"/>
    </xf>
    <xf numFmtId="166" fontId="6" fillId="10" borderId="0" applyAlignment="1" pivotButton="0" quotePrefix="0" xfId="0">
      <alignment horizontal="general" vertical="bottom" wrapText="1"/>
    </xf>
    <xf numFmtId="0" fontId="0" fillId="10" borderId="0" applyAlignment="1" pivotButton="0" quotePrefix="0" xfId="0">
      <alignment horizontal="general" vertical="bottom" wrapText="1"/>
    </xf>
    <xf numFmtId="0" fontId="6" fillId="10" borderId="0" applyAlignment="1" pivotButton="0" quotePrefix="0" xfId="0">
      <alignment horizontal="general" vertical="bottom" wrapText="1"/>
    </xf>
    <xf numFmtId="166" fontId="0" fillId="10" borderId="0" applyAlignment="1" pivotButton="0" quotePrefix="0" xfId="0">
      <alignment horizontal="general" vertical="bottom" wrapText="1"/>
    </xf>
    <xf numFmtId="166" fontId="0" fillId="0" borderId="0" applyAlignment="1" pivotButton="0" quotePrefix="0" xfId="0">
      <alignment horizontal="general" vertical="bottom" wrapText="1"/>
    </xf>
    <xf numFmtId="0" fontId="13" fillId="0" borderId="0" applyAlignment="1" pivotButton="0" quotePrefix="0" xfId="0">
      <alignment horizontal="general" vertical="bottom"/>
    </xf>
    <xf numFmtId="166" fontId="0" fillId="0" borderId="0" applyAlignment="1" pivotButton="0" quotePrefix="0" xfId="0">
      <alignment horizontal="general" vertical="bottom"/>
    </xf>
    <xf numFmtId="0" fontId="0" fillId="0" borderId="0" applyAlignment="1" pivotButton="0" quotePrefix="0" xfId="0">
      <alignment horizontal="general" vertical="bottom"/>
    </xf>
    <xf numFmtId="0" fontId="13" fillId="0" borderId="0" applyAlignment="1" pivotButton="0" quotePrefix="0" xfId="0">
      <alignment horizontal="general" vertical="bottom"/>
    </xf>
    <xf numFmtId="166"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left" vertical="center"/>
    </xf>
    <xf numFmtId="0" fontId="0" fillId="0" borderId="0" applyAlignment="1" pivotButton="0" quotePrefix="0" xfId="0">
      <alignment horizontal="right" vertical="center"/>
    </xf>
    <xf numFmtId="0" fontId="12" fillId="0" borderId="73" applyAlignment="1" pivotButton="0" quotePrefix="0" xfId="0">
      <alignment horizontal="center" vertical="bottom"/>
    </xf>
    <xf numFmtId="0" fontId="6" fillId="2" borderId="33" applyAlignment="1" pivotButton="0" quotePrefix="0" xfId="0">
      <alignment horizontal="center" vertical="center" wrapText="1"/>
    </xf>
    <xf numFmtId="0" fontId="6" fillId="2" borderId="34" applyAlignment="1" pivotButton="0" quotePrefix="0" xfId="0">
      <alignment horizontal="center" vertical="center" wrapText="1"/>
    </xf>
    <xf numFmtId="166" fontId="6" fillId="2" borderId="34" applyAlignment="1" pivotButton="0" quotePrefix="0" xfId="0">
      <alignment horizontal="center" vertical="center" wrapText="1"/>
    </xf>
    <xf numFmtId="0" fontId="6" fillId="2" borderId="36"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6" fillId="0" borderId="0" applyAlignment="1" pivotButton="0" quotePrefix="0" xfId="0">
      <alignment horizontal="right" vertical="center" wrapText="1"/>
    </xf>
    <xf numFmtId="0" fontId="0" fillId="0" borderId="57" applyAlignment="1" pivotButton="0" quotePrefix="0" xfId="0">
      <alignment horizontal="left" vertical="center" wrapText="1"/>
    </xf>
    <xf numFmtId="0" fontId="13" fillId="0" borderId="40" applyAlignment="1" pivotButton="0" quotePrefix="0" xfId="0">
      <alignment horizontal="left" vertical="center" wrapText="1"/>
    </xf>
    <xf numFmtId="167" fontId="13" fillId="0" borderId="40" applyAlignment="1" pivotButton="0" quotePrefix="0" xfId="29">
      <alignment horizontal="left" vertical="center" wrapText="1"/>
    </xf>
    <xf numFmtId="0" fontId="0" fillId="0" borderId="40" applyAlignment="1" pivotButton="0" quotePrefix="0" xfId="0">
      <alignment horizontal="general" vertical="bottom"/>
    </xf>
    <xf numFmtId="0" fontId="0" fillId="0" borderId="40" applyAlignment="1" pivotButton="0" quotePrefix="0" xfId="0">
      <alignment horizontal="general" vertical="bottom"/>
    </xf>
    <xf numFmtId="166" fontId="26" fillId="2" borderId="40" applyAlignment="1" pivotButton="0" quotePrefix="0" xfId="0">
      <alignment horizontal="general" vertical="bottom"/>
    </xf>
    <xf numFmtId="166" fontId="0" fillId="3" borderId="40" applyAlignment="1" applyProtection="1" pivotButton="0" quotePrefix="0" xfId="0">
      <alignment horizontal="general" vertical="bottom"/>
      <protection locked="0" hidden="0"/>
    </xf>
    <xf numFmtId="0" fontId="0" fillId="0" borderId="40" applyAlignment="1" applyProtection="1" pivotButton="0" quotePrefix="0" xfId="0">
      <alignment horizontal="general" vertical="bottom"/>
      <protection locked="0" hidden="0"/>
    </xf>
    <xf numFmtId="0" fontId="0" fillId="0" borderId="41"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left" vertical="center"/>
    </xf>
    <xf numFmtId="0" fontId="0" fillId="0" borderId="0" applyAlignment="1" pivotButton="0" quotePrefix="0" xfId="0">
      <alignment horizontal="right" vertical="center"/>
    </xf>
    <xf numFmtId="166" fontId="0" fillId="0" borderId="0" applyAlignment="1" pivotButton="0" quotePrefix="0" xfId="0">
      <alignment horizontal="left" vertical="center" wrapText="1"/>
    </xf>
    <xf numFmtId="0" fontId="6" fillId="0" borderId="0" applyAlignment="1" pivotButton="0" quotePrefix="0" xfId="0">
      <alignment horizontal="right" vertical="center"/>
    </xf>
    <xf numFmtId="0" fontId="0" fillId="11" borderId="57" applyAlignment="1" pivotButton="0" quotePrefix="0" xfId="0">
      <alignment horizontal="left" vertical="center" wrapText="1"/>
    </xf>
    <xf numFmtId="0" fontId="13" fillId="11" borderId="40" applyAlignment="1" pivotButton="0" quotePrefix="0" xfId="0">
      <alignment horizontal="left" vertical="center" wrapText="1"/>
    </xf>
    <xf numFmtId="167" fontId="13" fillId="11" borderId="40" applyAlignment="1" pivotButton="0" quotePrefix="0" xfId="29">
      <alignment horizontal="left" vertical="center" wrapText="1"/>
    </xf>
    <xf numFmtId="0" fontId="0" fillId="11" borderId="40" applyAlignment="1" pivotButton="0" quotePrefix="0" xfId="0">
      <alignment horizontal="general" vertical="bottom"/>
    </xf>
    <xf numFmtId="0" fontId="0" fillId="11" borderId="0" applyAlignment="1" pivotButton="0" quotePrefix="0" xfId="0">
      <alignment horizontal="left" vertical="center"/>
    </xf>
    <xf numFmtId="165" fontId="0" fillId="0" borderId="0" applyAlignment="1" pivotButton="0" quotePrefix="0" xfId="0">
      <alignment horizontal="left" vertical="center"/>
    </xf>
    <xf numFmtId="0" fontId="0" fillId="0" borderId="57" applyAlignment="1" pivotButton="0" quotePrefix="0" xfId="0">
      <alignment horizontal="left" vertical="center" wrapText="1"/>
    </xf>
    <xf numFmtId="0" fontId="0" fillId="0" borderId="65" applyAlignment="1" pivotButton="0" quotePrefix="0" xfId="0">
      <alignment horizontal="left" vertical="center" wrapText="1"/>
    </xf>
    <xf numFmtId="0" fontId="13" fillId="0" borderId="50" applyAlignment="1" pivotButton="0" quotePrefix="0" xfId="0">
      <alignment horizontal="left" vertical="center" wrapText="1"/>
    </xf>
    <xf numFmtId="0" fontId="0" fillId="0" borderId="0" applyAlignment="1" pivotButton="0" quotePrefix="0" xfId="0">
      <alignment horizontal="general" vertical="top"/>
    </xf>
    <xf numFmtId="0" fontId="13" fillId="0" borderId="40" applyAlignment="1" pivotButton="0" quotePrefix="0" xfId="0">
      <alignment horizontal="left" vertical="center" wrapText="1"/>
    </xf>
    <xf numFmtId="167" fontId="13" fillId="0" borderId="40" applyAlignment="1" pivotButton="0" quotePrefix="0" xfId="29">
      <alignment horizontal="left" vertical="bottom" wrapText="1"/>
    </xf>
    <xf numFmtId="0" fontId="0" fillId="11" borderId="63" applyAlignment="1" pivotButton="0" quotePrefix="0" xfId="0">
      <alignment horizontal="left" vertical="center" wrapText="1"/>
    </xf>
    <xf numFmtId="167" fontId="13" fillId="11" borderId="40" applyAlignment="1" pivotButton="0" quotePrefix="0" xfId="29">
      <alignment horizontal="left" vertical="bottom" wrapText="1"/>
    </xf>
    <xf numFmtId="0" fontId="0" fillId="11" borderId="50" applyAlignment="1" pivotButton="0" quotePrefix="0" xfId="0">
      <alignment horizontal="general" vertical="bottom"/>
    </xf>
    <xf numFmtId="166" fontId="26" fillId="2" borderId="50" applyAlignment="1" pivotButton="0" quotePrefix="0" xfId="0">
      <alignment horizontal="general" vertical="bottom"/>
    </xf>
    <xf numFmtId="0" fontId="0" fillId="0" borderId="63" applyAlignment="1" pivotButton="0" quotePrefix="0" xfId="0">
      <alignment horizontal="left" vertical="center" wrapText="1"/>
    </xf>
    <xf numFmtId="167" fontId="13" fillId="0" borderId="50" applyAlignment="1" pivotButton="0" quotePrefix="0" xfId="29">
      <alignment horizontal="left" vertical="center" wrapText="1"/>
    </xf>
    <xf numFmtId="167" fontId="13" fillId="0" borderId="50" applyAlignment="1" pivotButton="0" quotePrefix="0" xfId="29">
      <alignment horizontal="left" vertical="bottom" wrapText="1"/>
    </xf>
    <xf numFmtId="0" fontId="0" fillId="0" borderId="50" applyAlignment="1" pivotButton="0" quotePrefix="0" xfId="0">
      <alignment horizontal="general" vertical="bottom"/>
    </xf>
    <xf numFmtId="0" fontId="0" fillId="0" borderId="50" applyAlignment="1" pivotButton="0" quotePrefix="0" xfId="0">
      <alignment horizontal="general" vertical="bottom"/>
    </xf>
    <xf numFmtId="166" fontId="0" fillId="2" borderId="50" applyAlignment="1" pivotButton="0" quotePrefix="0" xfId="0">
      <alignment horizontal="general" vertical="bottom"/>
    </xf>
    <xf numFmtId="0" fontId="0" fillId="0" borderId="37" applyAlignment="1" pivotButton="0" quotePrefix="0" xfId="0">
      <alignment horizontal="general" vertical="bottom"/>
    </xf>
    <xf numFmtId="0" fontId="13" fillId="0" borderId="38" applyAlignment="1" pivotButton="0" quotePrefix="0" xfId="0">
      <alignment horizontal="general" vertical="bottom"/>
    </xf>
    <xf numFmtId="167" fontId="13" fillId="0" borderId="38" applyAlignment="1" pivotButton="0" quotePrefix="0" xfId="29">
      <alignment horizontal="left" vertical="bottom" wrapText="1"/>
    </xf>
    <xf numFmtId="0" fontId="0" fillId="0" borderId="38" applyAlignment="1" pivotButton="0" quotePrefix="0" xfId="0">
      <alignment horizontal="general" vertical="bottom"/>
    </xf>
    <xf numFmtId="0" fontId="0" fillId="0" borderId="38" applyAlignment="1" pivotButton="0" quotePrefix="0" xfId="0">
      <alignment horizontal="general" vertical="bottom"/>
    </xf>
    <xf numFmtId="166" fontId="0" fillId="0" borderId="38" applyAlignment="1" pivotButton="0" quotePrefix="0" xfId="0">
      <alignment horizontal="general" vertical="bottom"/>
    </xf>
    <xf numFmtId="0" fontId="0" fillId="0" borderId="38" applyAlignment="1" applyProtection="1" pivotButton="0" quotePrefix="0" xfId="0">
      <alignment horizontal="general" vertical="bottom"/>
      <protection locked="0" hidden="0"/>
    </xf>
    <xf numFmtId="0" fontId="0" fillId="0" borderId="44" applyAlignment="1" pivotButton="0" quotePrefix="0" xfId="0">
      <alignment horizontal="general" vertical="bottom"/>
    </xf>
    <xf numFmtId="0" fontId="6" fillId="2" borderId="69" applyAlignment="1" pivotButton="0" quotePrefix="0" xfId="0">
      <alignment horizontal="center" vertical="center" wrapText="1"/>
    </xf>
    <xf numFmtId="0" fontId="6" fillId="2" borderId="34" applyAlignment="1" applyProtection="1" pivotButton="0" quotePrefix="0" xfId="0">
      <alignment horizontal="center" vertical="center" wrapText="1"/>
      <protection locked="0" hidden="0"/>
    </xf>
    <xf numFmtId="0" fontId="0" fillId="0" borderId="50" applyAlignment="1" pivotButton="0" quotePrefix="0" xfId="0">
      <alignment horizontal="general" vertical="bottom"/>
    </xf>
    <xf numFmtId="0" fontId="28" fillId="0" borderId="40" applyAlignment="1" pivotButton="0" quotePrefix="0" xfId="0">
      <alignment horizontal="general" vertical="bottom"/>
    </xf>
    <xf numFmtId="166" fontId="26" fillId="7" borderId="40" applyAlignment="1" pivotButton="0" quotePrefix="0" xfId="0">
      <alignment horizontal="general" vertical="bottom"/>
    </xf>
    <xf numFmtId="0" fontId="0" fillId="0" borderId="74" applyAlignment="1" pivotButton="0" quotePrefix="0" xfId="0">
      <alignment horizontal="general" vertical="bottom" wrapText="1"/>
    </xf>
    <xf numFmtId="0" fontId="0" fillId="0" borderId="40" applyAlignment="1" pivotButton="0" quotePrefix="0" xfId="0">
      <alignment horizontal="general" vertical="bottom"/>
    </xf>
    <xf numFmtId="0" fontId="0" fillId="0" borderId="63" applyAlignment="1" pivotButton="0" quotePrefix="0" xfId="0">
      <alignment horizontal="left" vertical="center" wrapText="1"/>
    </xf>
    <xf numFmtId="167" fontId="29" fillId="0" borderId="50" applyAlignment="1" pivotButton="0" quotePrefix="0" xfId="29">
      <alignment horizontal="left" vertical="center" wrapText="1"/>
    </xf>
    <xf numFmtId="0" fontId="0" fillId="0" borderId="39" applyAlignment="1" pivotButton="0" quotePrefix="0" xfId="0">
      <alignment horizontal="general" vertical="bottom"/>
    </xf>
    <xf numFmtId="166" fontId="0" fillId="3" borderId="50" applyAlignment="1" applyProtection="1" pivotButton="0" quotePrefix="0" xfId="0">
      <alignment horizontal="general" vertical="bottom"/>
      <protection locked="0" hidden="0"/>
    </xf>
    <xf numFmtId="0" fontId="0" fillId="0" borderId="50" applyAlignment="1" applyProtection="1" pivotButton="0" quotePrefix="0" xfId="0">
      <alignment horizontal="general" vertical="bottom"/>
      <protection locked="0" hidden="0"/>
    </xf>
    <xf numFmtId="0" fontId="0" fillId="0" borderId="51" applyAlignment="1" pivotButton="0" quotePrefix="0" xfId="0">
      <alignment horizontal="general" vertical="bottom"/>
    </xf>
    <xf numFmtId="0" fontId="0" fillId="0" borderId="48" applyAlignment="1" pivotButton="0" quotePrefix="0" xfId="0">
      <alignment horizontal="left" vertical="center" wrapText="1"/>
    </xf>
    <xf numFmtId="0" fontId="13" fillId="0" borderId="34" applyAlignment="1" pivotButton="0" quotePrefix="0" xfId="0">
      <alignment horizontal="left" vertical="center" wrapText="1"/>
    </xf>
    <xf numFmtId="0" fontId="30" fillId="0" borderId="34" applyAlignment="1" pivotButton="0" quotePrefix="0" xfId="0">
      <alignment horizontal="left" vertical="center" wrapText="1"/>
    </xf>
    <xf numFmtId="0" fontId="0" fillId="0" borderId="34" applyAlignment="1" pivotButton="0" quotePrefix="0" xfId="0">
      <alignment horizontal="general" vertical="bottom"/>
    </xf>
    <xf numFmtId="166" fontId="26" fillId="2" borderId="34" applyAlignment="1" pivotButton="0" quotePrefix="0" xfId="0">
      <alignment horizontal="general" vertical="bottom"/>
    </xf>
    <xf numFmtId="166" fontId="0" fillId="3" borderId="34" applyAlignment="1" applyProtection="1" pivotButton="0" quotePrefix="0" xfId="0">
      <alignment horizontal="general" vertical="bottom"/>
      <protection locked="0" hidden="0"/>
    </xf>
    <xf numFmtId="0" fontId="0" fillId="0" borderId="34" applyAlignment="1" applyProtection="1" pivotButton="0" quotePrefix="0" xfId="0">
      <alignment horizontal="general" vertical="bottom"/>
      <protection locked="0" hidden="0"/>
    </xf>
    <xf numFmtId="0" fontId="0" fillId="0" borderId="36" applyAlignment="1" pivotButton="0" quotePrefix="0" xfId="0">
      <alignment horizontal="general" vertical="bottom"/>
    </xf>
    <xf numFmtId="0" fontId="13" fillId="0" borderId="38" applyAlignment="1" pivotButton="0" quotePrefix="0" xfId="0">
      <alignment horizontal="left" vertical="center" wrapText="1"/>
    </xf>
    <xf numFmtId="0" fontId="31" fillId="0" borderId="38" applyAlignment="1" pivotButton="0" quotePrefix="0" xfId="0">
      <alignment horizontal="left" vertical="center" wrapText="1"/>
    </xf>
    <xf numFmtId="166" fontId="26" fillId="2" borderId="38" applyAlignment="1" pivotButton="0" quotePrefix="0" xfId="0">
      <alignment horizontal="general" vertical="bottom"/>
    </xf>
    <xf numFmtId="166" fontId="0" fillId="3" borderId="38" applyAlignment="1" applyProtection="1" pivotButton="0" quotePrefix="0" xfId="0">
      <alignment horizontal="general" vertical="bottom"/>
      <protection locked="0" hidden="0"/>
    </xf>
    <xf numFmtId="0" fontId="0" fillId="0" borderId="72" applyAlignment="1" pivotButton="0" quotePrefix="0" xfId="0">
      <alignment horizontal="general" vertical="center" wrapText="1"/>
    </xf>
    <xf numFmtId="0" fontId="13" fillId="0" borderId="69" applyAlignment="1" pivotButton="0" quotePrefix="0" xfId="0">
      <alignment horizontal="general" vertical="center" wrapText="1"/>
    </xf>
    <xf numFmtId="0" fontId="28" fillId="0" borderId="69" applyAlignment="1" pivotButton="0" quotePrefix="0" xfId="0">
      <alignment horizontal="general" vertical="bottom"/>
    </xf>
    <xf numFmtId="166" fontId="26" fillId="7" borderId="69" applyAlignment="1" pivotButton="0" quotePrefix="0" xfId="0">
      <alignment horizontal="general" vertical="bottom"/>
    </xf>
    <xf numFmtId="166" fontId="0" fillId="0" borderId="69" applyAlignment="1" applyProtection="1" pivotButton="0" quotePrefix="0" xfId="0">
      <alignment horizontal="general" vertical="bottom"/>
      <protection locked="0" hidden="0"/>
    </xf>
    <xf numFmtId="0" fontId="0" fillId="0" borderId="69" applyAlignment="1" applyProtection="1" pivotButton="0" quotePrefix="0" xfId="0">
      <alignment horizontal="general" vertical="bottom"/>
      <protection locked="0" hidden="0"/>
    </xf>
    <xf numFmtId="0" fontId="0" fillId="0" borderId="68" applyAlignment="1" pivotButton="0" quotePrefix="0" xfId="0">
      <alignment horizontal="general" vertical="bottom"/>
    </xf>
    <xf numFmtId="0" fontId="0" fillId="0" borderId="37" applyAlignment="1" pivotButton="0" quotePrefix="0" xfId="0">
      <alignment horizontal="general" vertical="center" wrapText="1"/>
    </xf>
    <xf numFmtId="0" fontId="13" fillId="0" borderId="38" applyAlignment="1" pivotButton="0" quotePrefix="0" xfId="0">
      <alignment horizontal="general" vertical="center" wrapText="1"/>
    </xf>
    <xf numFmtId="0" fontId="0" fillId="0" borderId="38" applyAlignment="1" pivotButton="0" quotePrefix="0" xfId="0">
      <alignment horizontal="general" vertical="bottom"/>
    </xf>
    <xf numFmtId="166" fontId="26" fillId="0" borderId="38" applyAlignment="1" pivotButton="0" quotePrefix="0" xfId="0">
      <alignment horizontal="general" vertical="bottom"/>
    </xf>
    <xf numFmtId="166" fontId="0" fillId="0" borderId="38" applyAlignment="1" applyProtection="1" pivotButton="0" quotePrefix="0" xfId="0">
      <alignment horizontal="general" vertical="bottom"/>
      <protection locked="0" hidden="0"/>
    </xf>
    <xf numFmtId="0" fontId="0" fillId="0" borderId="38" applyAlignment="1" applyProtection="1" pivotButton="0" quotePrefix="0" xfId="0">
      <alignment horizontal="general" vertical="bottom"/>
      <protection locked="0" hidden="0"/>
    </xf>
    <xf numFmtId="0" fontId="0" fillId="0" borderId="44" applyAlignment="1" pivotButton="0" quotePrefix="0" xfId="0">
      <alignment horizontal="general" vertical="bottom"/>
    </xf>
    <xf numFmtId="0" fontId="0" fillId="0" borderId="56" applyAlignment="1" pivotButton="0" quotePrefix="0" xfId="0">
      <alignment horizontal="left" vertical="center" wrapText="1"/>
    </xf>
    <xf numFmtId="0" fontId="13" fillId="0" borderId="39" applyAlignment="1" pivotButton="0" quotePrefix="0" xfId="0">
      <alignment horizontal="left" vertical="center" wrapText="1"/>
    </xf>
    <xf numFmtId="0" fontId="31" fillId="0" borderId="39" applyAlignment="1" pivotButton="0" quotePrefix="0" xfId="0">
      <alignment horizontal="left" vertical="center" wrapText="1"/>
    </xf>
    <xf numFmtId="0" fontId="0" fillId="0" borderId="39" applyAlignment="1" pivotButton="0" quotePrefix="0" xfId="0">
      <alignment horizontal="general" vertical="bottom"/>
    </xf>
    <xf numFmtId="166" fontId="26" fillId="2" borderId="39" applyAlignment="1" pivotButton="0" quotePrefix="0" xfId="0">
      <alignment horizontal="general" vertical="bottom"/>
    </xf>
    <xf numFmtId="166" fontId="0" fillId="3" borderId="39" applyAlignment="1" applyProtection="1" pivotButton="0" quotePrefix="0" xfId="0">
      <alignment horizontal="general" vertical="bottom"/>
      <protection locked="0" hidden="0"/>
    </xf>
    <xf numFmtId="0" fontId="0" fillId="0" borderId="39" applyAlignment="1" applyProtection="1" pivotButton="0" quotePrefix="0" xfId="0">
      <alignment horizontal="general" vertical="bottom"/>
      <protection locked="0" hidden="0"/>
    </xf>
    <xf numFmtId="0" fontId="0" fillId="0" borderId="43" applyAlignment="1" pivotButton="0" quotePrefix="0" xfId="0">
      <alignment horizontal="general" vertical="bottom"/>
    </xf>
    <xf numFmtId="0" fontId="13" fillId="0" borderId="40" applyAlignment="1" pivotButton="0" quotePrefix="0" xfId="0">
      <alignment horizontal="left" vertical="center" shrinkToFit="1"/>
    </xf>
    <xf numFmtId="0" fontId="0" fillId="0" borderId="41" applyAlignment="1" pivotButton="0" quotePrefix="0" xfId="0">
      <alignment horizontal="general" vertical="bottom"/>
    </xf>
    <xf numFmtId="0" fontId="0" fillId="11" borderId="37" applyAlignment="1" pivotButton="0" quotePrefix="0" xfId="0">
      <alignment horizontal="center" vertical="center"/>
    </xf>
    <xf numFmtId="0" fontId="13" fillId="11" borderId="59" applyAlignment="1" pivotButton="0" quotePrefix="0" xfId="0">
      <alignment horizontal="left" vertical="center" wrapText="1"/>
    </xf>
    <xf numFmtId="0" fontId="20" fillId="11" borderId="39" applyAlignment="1" pivotButton="0" quotePrefix="0" xfId="0">
      <alignment horizontal="general" vertical="bottom"/>
    </xf>
    <xf numFmtId="0" fontId="0" fillId="11" borderId="59" applyAlignment="1" pivotButton="0" quotePrefix="0" xfId="0">
      <alignment horizontal="general" vertical="bottom"/>
    </xf>
    <xf numFmtId="166" fontId="26" fillId="2" borderId="59" applyAlignment="1" pivotButton="0" quotePrefix="0" xfId="0">
      <alignment horizontal="general" vertical="bottom"/>
    </xf>
    <xf numFmtId="0" fontId="0" fillId="0" borderId="61" applyAlignment="1" pivotButton="0" quotePrefix="0" xfId="0">
      <alignment horizontal="general" vertical="bottom"/>
    </xf>
    <xf numFmtId="0" fontId="0" fillId="11" borderId="39" applyAlignment="1" pivotButton="0" quotePrefix="0" xfId="0">
      <alignment horizontal="general" vertical="bottom"/>
    </xf>
    <xf numFmtId="166" fontId="6" fillId="2" borderId="34" applyAlignment="1" applyProtection="1" pivotButton="0" quotePrefix="0" xfId="0">
      <alignment horizontal="center" vertical="center" wrapText="1"/>
      <protection locked="0" hidden="0"/>
    </xf>
    <xf numFmtId="0" fontId="0" fillId="0" borderId="57" applyAlignment="1" pivotButton="0" quotePrefix="0" xfId="0">
      <alignment horizontal="general" vertical="center"/>
    </xf>
    <xf numFmtId="0" fontId="13" fillId="0" borderId="40" applyAlignment="1" pivotButton="0" quotePrefix="0" xfId="0">
      <alignment horizontal="general" vertical="center"/>
    </xf>
    <xf numFmtId="167" fontId="13" fillId="0" borderId="40" applyAlignment="1" pivotButton="0" quotePrefix="0" xfId="29">
      <alignment horizontal="left" vertical="center"/>
    </xf>
    <xf numFmtId="0" fontId="0" fillId="0" borderId="0" applyAlignment="1" pivotButton="0" quotePrefix="0" xfId="0">
      <alignment horizontal="general" vertical="bottom"/>
    </xf>
    <xf numFmtId="0" fontId="0" fillId="0" borderId="57" applyAlignment="1" pivotButton="0" quotePrefix="0" xfId="0">
      <alignment horizontal="left" vertical="center"/>
    </xf>
    <xf numFmtId="0" fontId="0" fillId="0" borderId="63" applyAlignment="1" pivotButton="0" quotePrefix="0" xfId="0">
      <alignment horizontal="left" vertical="center"/>
    </xf>
    <xf numFmtId="0" fontId="13" fillId="0" borderId="50" applyAlignment="1" pivotButton="0" quotePrefix="0" xfId="0">
      <alignment horizontal="general" vertical="bottom"/>
    </xf>
    <xf numFmtId="0" fontId="0" fillId="0" borderId="0" applyAlignment="1" pivotButton="0" quotePrefix="0" xfId="0">
      <alignment horizontal="general" vertical="top"/>
    </xf>
    <xf numFmtId="166" fontId="0" fillId="2" borderId="40" applyAlignment="1" pivotButton="0" quotePrefix="0" xfId="0">
      <alignment horizontal="general" vertical="bottom"/>
    </xf>
    <xf numFmtId="0" fontId="13" fillId="0" borderId="38" applyAlignment="1" pivotButton="0" quotePrefix="0" xfId="0">
      <alignment horizontal="general" vertical="bottom"/>
    </xf>
    <xf numFmtId="166" fontId="0" fillId="0" borderId="38" applyAlignment="1" applyProtection="1" pivotButton="0" quotePrefix="0" xfId="0">
      <alignment horizontal="general" vertical="bottom"/>
      <protection locked="0" hidden="0"/>
    </xf>
    <xf numFmtId="0" fontId="0" fillId="0" borderId="63" applyAlignment="1" pivotButton="0" quotePrefix="0" xfId="0">
      <alignment horizontal="center" vertical="center" wrapText="1"/>
    </xf>
    <xf numFmtId="0" fontId="13" fillId="0" borderId="50" applyAlignment="1" pivotButton="0" quotePrefix="0" xfId="0">
      <alignment horizontal="center" vertical="center"/>
    </xf>
    <xf numFmtId="0" fontId="13" fillId="0" borderId="50" applyAlignment="1" pivotButton="0" quotePrefix="0" xfId="0">
      <alignment horizontal="center" vertical="center" wrapText="1"/>
    </xf>
    <xf numFmtId="0" fontId="0" fillId="0" borderId="40" applyAlignment="1" pivotButton="0" quotePrefix="0" xfId="0">
      <alignment horizontal="general" vertical="bottom" wrapText="1"/>
    </xf>
    <xf numFmtId="0" fontId="0" fillId="0" borderId="59" applyAlignment="1" pivotButton="0" quotePrefix="0" xfId="0">
      <alignment horizontal="general" vertical="bottom"/>
    </xf>
    <xf numFmtId="0" fontId="0" fillId="0" borderId="57" applyAlignment="1" pivotButton="0" quotePrefix="0" xfId="0">
      <alignment horizontal="center" vertical="center" wrapText="1"/>
    </xf>
    <xf numFmtId="0" fontId="13" fillId="0" borderId="40" applyAlignment="1" pivotButton="0" quotePrefix="0" xfId="0">
      <alignment horizontal="center" vertical="center"/>
    </xf>
    <xf numFmtId="0" fontId="13" fillId="0" borderId="40" applyAlignment="1" pivotButton="0" quotePrefix="0" xfId="0">
      <alignment horizontal="center" vertical="center" wrapText="1"/>
    </xf>
    <xf numFmtId="166" fontId="26" fillId="0" borderId="40" applyAlignment="1" pivotButton="0" quotePrefix="0" xfId="0">
      <alignment horizontal="general" vertical="bottom"/>
    </xf>
    <xf numFmtId="166" fontId="0" fillId="0" borderId="40" applyAlignment="1" pivotButton="0" quotePrefix="0" xfId="0">
      <alignment horizontal="general" vertical="bottom"/>
    </xf>
    <xf numFmtId="0" fontId="0" fillId="0" borderId="57" applyAlignment="1" pivotButton="0" quotePrefix="0" xfId="0">
      <alignment horizontal="general" vertical="center" wrapText="1"/>
    </xf>
    <xf numFmtId="0" fontId="0" fillId="0" borderId="40" applyAlignment="1" pivotButton="0" quotePrefix="0" xfId="0">
      <alignment horizontal="general" vertical="bottom" wrapText="1"/>
    </xf>
    <xf numFmtId="0" fontId="13" fillId="0" borderId="40" applyAlignment="1" pivotButton="0" quotePrefix="0" xfId="0">
      <alignment horizontal="general" vertical="center" wrapText="1"/>
    </xf>
    <xf numFmtId="0" fontId="0" fillId="0" borderId="40" applyAlignment="1" applyProtection="1" pivotButton="0" quotePrefix="0" xfId="0">
      <alignment horizontal="general" vertical="bottom"/>
      <protection locked="0" hidden="0"/>
    </xf>
    <xf numFmtId="0" fontId="0" fillId="0" borderId="57" applyAlignment="1" pivotButton="0" quotePrefix="0" xfId="0">
      <alignment horizontal="general" vertical="bottom"/>
    </xf>
    <xf numFmtId="0" fontId="13" fillId="0" borderId="40" applyAlignment="1" pivotButton="0" quotePrefix="0" xfId="0">
      <alignment horizontal="general" vertical="bottom"/>
    </xf>
    <xf numFmtId="0" fontId="0" fillId="0" borderId="63" applyAlignment="1" pivotButton="0" quotePrefix="0" xfId="0">
      <alignment horizontal="general" vertical="bottom"/>
    </xf>
    <xf numFmtId="0" fontId="13" fillId="0" borderId="50" applyAlignment="1" pivotButton="0" quotePrefix="0" xfId="0">
      <alignment horizontal="general" vertical="bottom"/>
    </xf>
    <xf numFmtId="0" fontId="6" fillId="0" borderId="57" applyAlignment="1" pivotButton="0" quotePrefix="0" xfId="0">
      <alignment horizontal="center" vertical="center"/>
    </xf>
    <xf numFmtId="0" fontId="0" fillId="0" borderId="0" applyAlignment="1" pivotButton="0" quotePrefix="0" xfId="0">
      <alignment horizontal="general" vertical="center"/>
    </xf>
    <xf numFmtId="167" fontId="13" fillId="0" borderId="40" applyAlignment="1" pivotButton="0" quotePrefix="0" xfId="29">
      <alignment horizontal="center" vertical="center" wrapText="1"/>
    </xf>
    <xf numFmtId="0" fontId="0" fillId="0" borderId="40" applyAlignment="1" pivotButton="0" quotePrefix="0" xfId="0">
      <alignment horizontal="right" vertical="bottom"/>
    </xf>
    <xf numFmtId="0" fontId="0" fillId="0" borderId="63" applyAlignment="1" pivotButton="0" quotePrefix="0" xfId="0">
      <alignment horizontal="left" vertical="center" wrapText="1"/>
    </xf>
    <xf numFmtId="0" fontId="13" fillId="0" borderId="40" applyAlignment="1" pivotButton="0" quotePrefix="0" xfId="0">
      <alignment horizontal="left" vertical="center" wrapText="1"/>
    </xf>
    <xf numFmtId="0" fontId="0" fillId="0" borderId="56" applyAlignment="1" pivotButton="0" quotePrefix="0" xfId="0">
      <alignment horizontal="general" vertical="center" wrapText="1"/>
    </xf>
    <xf numFmtId="0" fontId="0" fillId="0" borderId="40" applyAlignment="1" pivotButton="0" quotePrefix="0" xfId="0">
      <alignment horizontal="left" vertical="center" wrapText="1"/>
    </xf>
    <xf numFmtId="0" fontId="0" fillId="0" borderId="70" applyAlignment="1" pivotButton="0" quotePrefix="0" xfId="0">
      <alignment horizontal="left" vertical="center" wrapText="1"/>
    </xf>
    <xf numFmtId="0" fontId="13" fillId="0" borderId="59" applyAlignment="1" pivotButton="0" quotePrefix="0" xfId="0">
      <alignment horizontal="left" vertical="center" wrapText="1"/>
    </xf>
    <xf numFmtId="166" fontId="0" fillId="2" borderId="39" applyAlignment="1" pivotButton="0" quotePrefix="0" xfId="0">
      <alignment horizontal="general" vertical="bottom"/>
    </xf>
    <xf numFmtId="0" fontId="0" fillId="0" borderId="61" applyAlignment="1" pivotButton="0" quotePrefix="0" xfId="0">
      <alignment horizontal="general" vertical="bottom"/>
    </xf>
    <xf numFmtId="0" fontId="0" fillId="0" borderId="57" applyAlignment="1" pivotButton="0" quotePrefix="0" xfId="0">
      <alignment horizontal="center" vertical="center"/>
    </xf>
    <xf numFmtId="0" fontId="13" fillId="0" borderId="40" applyAlignment="1" pivotButton="0" quotePrefix="0" xfId="0">
      <alignment horizontal="general" vertical="bottom"/>
    </xf>
    <xf numFmtId="0" fontId="13" fillId="0" borderId="40" applyAlignment="1" pivotButton="0" quotePrefix="0" xfId="0">
      <alignment horizontal="general" vertical="bottom" wrapText="1"/>
    </xf>
    <xf numFmtId="0" fontId="13" fillId="0" borderId="40" applyAlignment="1" pivotButton="0" quotePrefix="0" xfId="0">
      <alignment horizontal="general" vertical="bottom" wrapText="1"/>
    </xf>
    <xf numFmtId="0" fontId="0" fillId="0" borderId="37" applyAlignment="1" pivotButton="0" quotePrefix="0" xfId="0">
      <alignment horizontal="general" vertical="bottom"/>
    </xf>
    <xf numFmtId="0" fontId="0" fillId="0" borderId="38" applyAlignment="1" pivotButton="0" quotePrefix="0" xfId="0">
      <alignment horizontal="general" vertical="bottom" wrapText="1"/>
    </xf>
    <xf numFmtId="0" fontId="26" fillId="0" borderId="38" applyAlignment="1" pivotButton="0" quotePrefix="0" xfId="0">
      <alignment horizontal="general" vertical="bottom"/>
    </xf>
    <xf numFmtId="0" fontId="13" fillId="0" borderId="40" applyAlignment="1" pivotButton="0" quotePrefix="0" xfId="0">
      <alignment horizontal="left" vertical="center"/>
    </xf>
    <xf numFmtId="0" fontId="0" fillId="0" borderId="57" applyAlignment="1" pivotButton="0" quotePrefix="0" xfId="0">
      <alignment horizontal="general" vertical="bottom"/>
    </xf>
    <xf numFmtId="0" fontId="0" fillId="0" borderId="63" applyAlignment="1" pivotButton="0" quotePrefix="0" xfId="0">
      <alignment horizontal="general" vertical="bottom"/>
    </xf>
    <xf numFmtId="0" fontId="0" fillId="0" borderId="0" applyAlignment="1" pivotButton="0" quotePrefix="0" xfId="0">
      <alignment horizontal="general" vertical="bottom"/>
    </xf>
    <xf numFmtId="167" fontId="13" fillId="0" borderId="50" applyAlignment="1" pivotButton="0" quotePrefix="0" xfId="29">
      <alignment horizontal="general" vertical="center" wrapText="1"/>
    </xf>
    <xf numFmtId="167" fontId="13" fillId="0" borderId="39" applyAlignment="1" pivotButton="0" quotePrefix="0" xfId="29">
      <alignment horizontal="left" vertical="center" wrapText="1"/>
    </xf>
    <xf numFmtId="0" fontId="10" fillId="0" borderId="40" applyAlignment="1" pivotButton="0" quotePrefix="0" xfId="0">
      <alignment horizontal="general" vertical="bottom"/>
    </xf>
    <xf numFmtId="167" fontId="29" fillId="0" borderId="40" applyAlignment="1" pivotButton="0" quotePrefix="0" xfId="29">
      <alignment horizontal="left" vertical="center" wrapText="1"/>
    </xf>
    <xf numFmtId="0" fontId="0" fillId="0" borderId="59" applyAlignment="1" pivotButton="0" quotePrefix="0" xfId="0">
      <alignment horizontal="general" vertical="bottom"/>
    </xf>
    <xf numFmtId="0" fontId="0" fillId="0" borderId="59" applyAlignment="1" applyProtection="1" pivotButton="0" quotePrefix="0" xfId="0">
      <alignment horizontal="general" vertical="bottom"/>
      <protection locked="0" hidden="0"/>
    </xf>
    <xf numFmtId="0" fontId="0" fillId="0" borderId="0" applyAlignment="1" pivotButton="0" quotePrefix="0" xfId="0">
      <alignment horizontal="general" vertical="bottom"/>
    </xf>
    <xf numFmtId="0" fontId="0" fillId="0" borderId="56" applyAlignment="1" pivotButton="0" quotePrefix="0" xfId="0">
      <alignment horizontal="left" vertical="center" wrapText="1"/>
    </xf>
    <xf numFmtId="166" fontId="0" fillId="2" borderId="59" applyAlignment="1" pivotButton="0" quotePrefix="0" xfId="0">
      <alignment horizontal="general" vertical="bottom"/>
    </xf>
    <xf numFmtId="167" fontId="13" fillId="0" borderId="40" applyAlignment="1" pivotButton="0" quotePrefix="0" xfId="29">
      <alignment horizontal="general" vertical="center" wrapText="1"/>
    </xf>
    <xf numFmtId="166" fontId="34" fillId="2" borderId="40" applyAlignment="1" pivotButton="0" quotePrefix="0" xfId="0">
      <alignment horizontal="general" vertical="bottom"/>
    </xf>
    <xf numFmtId="0" fontId="0" fillId="0" borderId="40" applyAlignment="1" pivotButton="0" quotePrefix="0" xfId="0">
      <alignment horizontal="center" vertical="bottom"/>
    </xf>
    <xf numFmtId="166" fontId="34" fillId="2" borderId="40" applyAlignment="1" pivotButton="0" quotePrefix="0" xfId="0">
      <alignment horizontal="center" vertical="bottom"/>
    </xf>
    <xf numFmtId="166" fontId="10" fillId="3" borderId="40" applyAlignment="1" applyProtection="1" pivotButton="0" quotePrefix="0" xfId="0">
      <alignment horizontal="center" vertical="bottom"/>
      <protection locked="0" hidden="0"/>
    </xf>
    <xf numFmtId="0" fontId="0" fillId="0" borderId="41" applyAlignment="1" pivotButton="0" quotePrefix="0" xfId="0">
      <alignment horizontal="right" vertical="bottom"/>
    </xf>
    <xf numFmtId="0" fontId="0" fillId="0" borderId="0" applyAlignment="1" pivotButton="0" quotePrefix="0" xfId="0">
      <alignment horizontal="general" vertical="bottom"/>
    </xf>
    <xf numFmtId="0" fontId="0" fillId="0" borderId="74" applyAlignment="1" pivotButton="0" quotePrefix="0" xfId="0">
      <alignment horizontal="general" vertical="bottom"/>
    </xf>
    <xf numFmtId="0" fontId="0" fillId="0" borderId="75" applyAlignment="1" pivotButton="0" quotePrefix="0" xfId="0">
      <alignment horizontal="general" vertical="bottom"/>
    </xf>
    <xf numFmtId="0" fontId="0" fillId="0" borderId="57" applyAlignment="1" pivotButton="0" quotePrefix="0" xfId="0">
      <alignment horizontal="center" vertical="center" wrapText="1"/>
    </xf>
    <xf numFmtId="0" fontId="0" fillId="0" borderId="74" applyAlignment="1" pivotButton="0" quotePrefix="0" xfId="0">
      <alignment horizontal="general" vertical="center" wrapText="1"/>
    </xf>
    <xf numFmtId="0" fontId="0" fillId="0" borderId="40" applyAlignment="1" pivotButton="0" quotePrefix="0" xfId="0">
      <alignment horizontal="left" vertical="center" wrapText="1"/>
    </xf>
    <xf numFmtId="0" fontId="0" fillId="0" borderId="56" applyAlignment="1" pivotButton="0" quotePrefix="0" xfId="0">
      <alignment horizontal="center" vertical="center" wrapText="1"/>
    </xf>
    <xf numFmtId="0" fontId="0" fillId="0" borderId="52" applyAlignment="1" pivotButton="0" quotePrefix="0" xfId="0">
      <alignment horizontal="left" vertical="center" wrapText="1"/>
    </xf>
    <xf numFmtId="0" fontId="13" fillId="0" borderId="39" applyAlignment="1" pivotButton="0" quotePrefix="0" xfId="0">
      <alignment horizontal="general" vertical="center" wrapText="1"/>
    </xf>
    <xf numFmtId="0" fontId="20" fillId="0" borderId="40" applyAlignment="1" pivotButton="0" quotePrefix="0" xfId="0">
      <alignment horizontal="left" vertical="center" wrapText="1"/>
    </xf>
    <xf numFmtId="0" fontId="0" fillId="0" borderId="39" applyAlignment="1" pivotButton="0" quotePrefix="0" xfId="0">
      <alignment horizontal="center" vertical="center" wrapText="1"/>
    </xf>
    <xf numFmtId="0" fontId="0" fillId="12" borderId="43" applyAlignment="1" pivotButton="0" quotePrefix="0" xfId="0">
      <alignment horizontal="general" vertical="bottom"/>
    </xf>
    <xf numFmtId="0" fontId="0" fillId="12" borderId="0" applyAlignment="1" pivotButton="0" quotePrefix="0" xfId="0">
      <alignment horizontal="left" vertical="center"/>
    </xf>
    <xf numFmtId="0" fontId="0" fillId="0" borderId="53" applyAlignment="1" pivotButton="0" quotePrefix="0" xfId="0">
      <alignment horizontal="center" vertical="center" wrapText="1"/>
    </xf>
    <xf numFmtId="0" fontId="0" fillId="0" borderId="67" applyAlignment="1" pivotButton="0" quotePrefix="0" xfId="0">
      <alignment horizontal="center" vertical="center" wrapText="1"/>
    </xf>
    <xf numFmtId="0" fontId="0" fillId="0" borderId="40" applyAlignment="1" pivotButton="0" quotePrefix="0" xfId="0">
      <alignment horizontal="center" vertical="bottom" wrapText="1"/>
    </xf>
    <xf numFmtId="166" fontId="26" fillId="7" borderId="39" applyAlignment="1" pivotButton="0" quotePrefix="0" xfId="0">
      <alignment horizontal="general" vertical="bottom"/>
    </xf>
    <xf numFmtId="0" fontId="0" fillId="0" borderId="39" applyAlignment="1" applyProtection="1" pivotButton="0" quotePrefix="0" xfId="0">
      <alignment horizontal="general" vertical="bottom"/>
      <protection locked="0" hidden="0"/>
    </xf>
    <xf numFmtId="0" fontId="0" fillId="0" borderId="43" applyAlignment="1" pivotButton="0" quotePrefix="0" xfId="0">
      <alignment horizontal="general" vertical="bottom"/>
    </xf>
    <xf numFmtId="0" fontId="0" fillId="11" borderId="56" applyAlignment="1" pivotButton="0" quotePrefix="0" xfId="0">
      <alignment horizontal="center" vertical="center" wrapText="1"/>
    </xf>
    <xf numFmtId="0" fontId="13" fillId="11" borderId="39" applyAlignment="1" pivotButton="0" quotePrefix="0" xfId="0">
      <alignment horizontal="general" vertical="center" wrapText="1"/>
    </xf>
    <xf numFmtId="167" fontId="13" fillId="11" borderId="39" applyAlignment="1" pivotButton="0" quotePrefix="0" xfId="29">
      <alignment horizontal="center" vertical="center" wrapText="1"/>
    </xf>
    <xf numFmtId="0" fontId="0" fillId="11" borderId="39" applyAlignment="1" pivotButton="0" quotePrefix="0" xfId="0">
      <alignment horizontal="center" vertical="bottom" wrapText="1"/>
    </xf>
    <xf numFmtId="0" fontId="0" fillId="11" borderId="39" applyAlignment="1" pivotButton="0" quotePrefix="0" xfId="0">
      <alignment horizontal="center" vertical="bottom"/>
    </xf>
    <xf numFmtId="166" fontId="34" fillId="11" borderId="39" applyAlignment="1" pivotButton="0" quotePrefix="0" xfId="0">
      <alignment horizontal="center" vertical="bottom"/>
    </xf>
    <xf numFmtId="0" fontId="0" fillId="0" borderId="39" applyAlignment="1" pivotButton="0" quotePrefix="0" xfId="0">
      <alignment horizontal="center" vertical="bottom"/>
    </xf>
    <xf numFmtId="0" fontId="13" fillId="0" borderId="74" applyAlignment="1" pivotButton="0" quotePrefix="0" xfId="0">
      <alignment horizontal="left" vertical="center" wrapText="1"/>
    </xf>
    <xf numFmtId="0" fontId="0" fillId="0" borderId="63" applyAlignment="1" pivotButton="0" quotePrefix="0" xfId="0">
      <alignment horizontal="general" vertical="center" wrapText="1"/>
    </xf>
    <xf numFmtId="0" fontId="13" fillId="0" borderId="50" applyAlignment="1" pivotButton="0" quotePrefix="0" xfId="0">
      <alignment horizontal="general" vertical="center" wrapText="1"/>
    </xf>
    <xf numFmtId="166" fontId="34" fillId="2" borderId="50" applyAlignment="1" pivotButton="0" quotePrefix="0" xfId="0">
      <alignment horizontal="general" vertical="bottom"/>
    </xf>
    <xf numFmtId="166" fontId="38" fillId="2" borderId="50" applyAlignment="1" pivotButton="0" quotePrefix="0" xfId="0">
      <alignment horizontal="general" vertical="bottom"/>
    </xf>
    <xf numFmtId="0" fontId="0" fillId="0" borderId="37" applyAlignment="1" pivotButton="0" quotePrefix="0" xfId="0">
      <alignment horizontal="left" vertical="center" wrapText="1"/>
    </xf>
    <xf numFmtId="0" fontId="13" fillId="0" borderId="38" applyAlignment="1" pivotButton="0" quotePrefix="0" xfId="0">
      <alignment horizontal="left" vertical="center" wrapText="1"/>
    </xf>
    <xf numFmtId="0" fontId="0" fillId="0" borderId="38" applyAlignment="1" pivotButton="0" quotePrefix="0" xfId="0">
      <alignment horizontal="left" vertical="center" wrapText="1"/>
    </xf>
    <xf numFmtId="166" fontId="0" fillId="0" borderId="40" applyAlignment="1" applyProtection="1" pivotButton="0" quotePrefix="0" xfId="0">
      <alignment horizontal="general" vertical="bottom"/>
      <protection locked="0" hidden="0"/>
    </xf>
    <xf numFmtId="0" fontId="0" fillId="0" borderId="40" applyAlignment="1" pivotButton="0" quotePrefix="0" xfId="0">
      <alignment horizontal="center" vertical="center" wrapText="1"/>
    </xf>
    <xf numFmtId="167" fontId="5" fillId="0" borderId="40" applyAlignment="1" pivotButton="0" quotePrefix="0" xfId="0">
      <alignment horizontal="left" vertical="bottom"/>
    </xf>
    <xf numFmtId="166" fontId="0" fillId="3" borderId="40" applyAlignment="1" applyProtection="1" pivotButton="0" quotePrefix="0" xfId="0">
      <alignment horizontal="center" vertical="bottom"/>
      <protection locked="0" hidden="0"/>
    </xf>
    <xf numFmtId="0" fontId="0" fillId="0" borderId="40" applyAlignment="1" applyProtection="1" pivotButton="0" quotePrefix="0" xfId="0">
      <alignment horizontal="center" vertical="center"/>
      <protection locked="0" hidden="0"/>
    </xf>
    <xf numFmtId="0" fontId="0" fillId="0" borderId="51" applyAlignment="1" pivotButton="0" quotePrefix="0" xfId="0">
      <alignment horizontal="right" vertical="center" wrapText="1"/>
    </xf>
    <xf numFmtId="0" fontId="0" fillId="0" borderId="74" applyAlignment="1" pivotButton="0" quotePrefix="0" xfId="0">
      <alignment horizontal="left" vertical="center"/>
    </xf>
    <xf numFmtId="0" fontId="30" fillId="0" borderId="40" applyAlignment="1" pivotButton="0" quotePrefix="0" xfId="0">
      <alignment horizontal="center" vertical="center" wrapText="1"/>
    </xf>
    <xf numFmtId="0" fontId="0" fillId="0" borderId="40" applyAlignment="1" pivotButton="0" quotePrefix="0" xfId="0">
      <alignment horizontal="center" vertical="center" wrapText="1"/>
    </xf>
    <xf numFmtId="167" fontId="13" fillId="0" borderId="40" applyAlignment="1" pivotButton="0" quotePrefix="0" xfId="0">
      <alignment horizontal="center" vertical="center" wrapText="1"/>
    </xf>
    <xf numFmtId="0" fontId="0" fillId="0" borderId="41" applyAlignment="1" pivotButton="0" quotePrefix="0" xfId="0">
      <alignment horizontal="general" vertical="bottom" wrapText="1"/>
    </xf>
    <xf numFmtId="0" fontId="13" fillId="0" borderId="50" applyAlignment="1" pivotButton="0" quotePrefix="0" xfId="0">
      <alignment horizontal="left" vertical="center" wrapText="1"/>
    </xf>
    <xf numFmtId="0" fontId="13" fillId="0" borderId="67" applyAlignment="1" pivotButton="0" quotePrefix="0" xfId="0">
      <alignment horizontal="center" vertical="center" wrapText="1"/>
    </xf>
    <xf numFmtId="0" fontId="13" fillId="0" borderId="40" applyAlignment="1" pivotButton="0" quotePrefix="0" xfId="0">
      <alignment horizontal="center" vertical="center" wrapText="1"/>
    </xf>
    <xf numFmtId="0" fontId="0" fillId="0" borderId="54" applyAlignment="1" pivotButton="0" quotePrefix="0" xfId="0">
      <alignment horizontal="general" vertical="bottom"/>
    </xf>
    <xf numFmtId="169" fontId="26" fillId="2" borderId="40" applyAlignment="1" pivotButton="0" quotePrefix="0" xfId="0">
      <alignment horizontal="center" vertical="center"/>
    </xf>
    <xf numFmtId="0" fontId="0" fillId="0" borderId="41" applyAlignment="1" pivotButton="0" quotePrefix="0" xfId="0">
      <alignment horizontal="right" vertical="center"/>
    </xf>
    <xf numFmtId="0" fontId="0" fillId="0" borderId="74" applyAlignment="1" pivotButton="0" quotePrefix="0" xfId="0">
      <alignment horizontal="left" vertical="center"/>
    </xf>
    <xf numFmtId="0" fontId="13" fillId="0" borderId="40" applyAlignment="1" pivotButton="0" quotePrefix="0" xfId="0">
      <alignment horizontal="center" vertical="center" wrapText="1"/>
    </xf>
    <xf numFmtId="0" fontId="0" fillId="0" borderId="53" applyAlignment="1" pivotButton="0" quotePrefix="0" xfId="0">
      <alignment horizontal="general" vertical="bottom"/>
    </xf>
    <xf numFmtId="0" fontId="0" fillId="13" borderId="57" applyAlignment="1" pivotButton="0" quotePrefix="0" xfId="0">
      <alignment horizontal="left" vertical="center" wrapText="1"/>
    </xf>
    <xf numFmtId="0" fontId="13" fillId="13" borderId="40" applyAlignment="1" pivotButton="0" quotePrefix="0" xfId="0">
      <alignment horizontal="center" vertical="center" wrapText="1"/>
    </xf>
    <xf numFmtId="0" fontId="0" fillId="13" borderId="40" applyAlignment="1" pivotButton="0" quotePrefix="0" xfId="0">
      <alignment horizontal="general" vertical="bottom"/>
    </xf>
    <xf numFmtId="169" fontId="0" fillId="2" borderId="40" applyAlignment="1" pivotButton="0" quotePrefix="0" xfId="0">
      <alignment horizontal="center" vertical="center"/>
    </xf>
    <xf numFmtId="0" fontId="0" fillId="0" borderId="41" applyAlignment="1" pivotButton="0" quotePrefix="0" xfId="0">
      <alignment horizontal="center" vertical="center"/>
    </xf>
    <xf numFmtId="0" fontId="13" fillId="0" borderId="65" applyAlignment="1" pivotButton="0" quotePrefix="0" xfId="0">
      <alignment horizontal="center" vertical="center" wrapText="1"/>
    </xf>
    <xf numFmtId="0" fontId="13" fillId="0" borderId="59" applyAlignment="1" pivotButton="0" quotePrefix="0" xfId="0">
      <alignment horizontal="center" vertical="center" wrapText="1"/>
    </xf>
    <xf numFmtId="0" fontId="0" fillId="0" borderId="76" applyAlignment="1" pivotButton="0" quotePrefix="0" xfId="0">
      <alignment horizontal="general" vertical="bottom"/>
    </xf>
    <xf numFmtId="169" fontId="0" fillId="2" borderId="59" applyAlignment="1" pivotButton="0" quotePrefix="0" xfId="0">
      <alignment horizontal="center" vertical="center"/>
    </xf>
    <xf numFmtId="166" fontId="0" fillId="3" borderId="59" applyAlignment="1" applyProtection="1" pivotButton="0" quotePrefix="0" xfId="0">
      <alignment horizontal="center" vertical="bottom"/>
      <protection locked="0" hidden="0"/>
    </xf>
    <xf numFmtId="0" fontId="0" fillId="0" borderId="59" applyAlignment="1" applyProtection="1" pivotButton="0" quotePrefix="0" xfId="0">
      <alignment horizontal="center" vertical="center"/>
      <protection locked="0" hidden="0"/>
    </xf>
    <xf numFmtId="0" fontId="0" fillId="0" borderId="61" applyAlignment="1" pivotButton="0" quotePrefix="0" xfId="0">
      <alignment horizontal="center" vertical="center"/>
    </xf>
    <xf numFmtId="0" fontId="6" fillId="2" borderId="72" applyAlignment="1" pivotButton="0" quotePrefix="0" xfId="0">
      <alignment horizontal="center" vertical="center" wrapText="1"/>
    </xf>
    <xf numFmtId="166" fontId="6" fillId="2" borderId="69" applyAlignment="1" pivotButton="0" quotePrefix="0" xfId="0">
      <alignment horizontal="center" vertical="center" wrapText="1"/>
    </xf>
    <xf numFmtId="166" fontId="6" fillId="2" borderId="69" applyAlignment="1" applyProtection="1" pivotButton="0" quotePrefix="0" xfId="0">
      <alignment horizontal="center" vertical="center" wrapText="1"/>
      <protection locked="0" hidden="0"/>
    </xf>
    <xf numFmtId="0" fontId="6" fillId="2" borderId="69" applyAlignment="1" applyProtection="1" pivotButton="0" quotePrefix="0" xfId="0">
      <alignment horizontal="center" vertical="center" wrapText="1"/>
      <protection locked="0" hidden="0"/>
    </xf>
    <xf numFmtId="0" fontId="0" fillId="0" borderId="77" applyAlignment="1" pivotButton="0" quotePrefix="0" xfId="0">
      <alignment horizontal="general" vertical="bottom" wrapText="1"/>
    </xf>
    <xf numFmtId="166" fontId="26" fillId="0" borderId="40" applyAlignment="1" pivotButton="0" quotePrefix="0" xfId="0">
      <alignment horizontal="general" vertical="bottom"/>
    </xf>
    <xf numFmtId="1" fontId="0" fillId="0" borderId="41" applyAlignment="1" pivotButton="0" quotePrefix="0" xfId="0">
      <alignment horizontal="general" vertical="bottom"/>
    </xf>
    <xf numFmtId="0" fontId="0" fillId="0" borderId="77" applyAlignment="1" pivotButton="0" quotePrefix="0" xfId="0">
      <alignment horizontal="left" vertical="center" wrapText="1"/>
    </xf>
    <xf numFmtId="0" fontId="0" fillId="0" borderId="67" applyAlignment="1" pivotButton="0" quotePrefix="0" xfId="0">
      <alignment horizontal="left" vertical="center" wrapText="1"/>
    </xf>
    <xf numFmtId="166" fontId="0" fillId="0" borderId="40" applyAlignment="1" pivotButton="0" quotePrefix="0" xfId="0">
      <alignment horizontal="general" vertical="bottom"/>
    </xf>
    <xf numFmtId="0" fontId="0" fillId="0" borderId="65" applyAlignment="1" pivotButton="0" quotePrefix="0" xfId="0">
      <alignment horizontal="left" vertical="center" wrapText="1"/>
    </xf>
    <xf numFmtId="0" fontId="13" fillId="0" borderId="59" applyAlignment="1" pivotButton="0" quotePrefix="0" xfId="0">
      <alignment horizontal="general" vertical="bottom"/>
    </xf>
    <xf numFmtId="0" fontId="0" fillId="0" borderId="59" applyAlignment="1" pivotButton="0" quotePrefix="0" xfId="0">
      <alignment horizontal="center" vertical="bottom"/>
    </xf>
    <xf numFmtId="166" fontId="0" fillId="0" borderId="59" applyAlignment="1" pivotButton="0" quotePrefix="0" xfId="0">
      <alignment horizontal="general" vertical="bottom"/>
    </xf>
    <xf numFmtId="166" fontId="0" fillId="3" borderId="59" applyAlignment="1" applyProtection="1" pivotButton="0" quotePrefix="0" xfId="0">
      <alignment horizontal="general" vertical="bottom"/>
      <protection locked="0" hidden="0"/>
    </xf>
    <xf numFmtId="0" fontId="13" fillId="0" borderId="59" applyAlignment="1" pivotButton="0" quotePrefix="0" xfId="0">
      <alignment horizontal="center" vertical="center"/>
    </xf>
    <xf numFmtId="0" fontId="13" fillId="0" borderId="50" applyAlignment="1" pivotButton="0" quotePrefix="0" xfId="0">
      <alignment horizontal="center" vertical="bottom" wrapText="1"/>
    </xf>
    <xf numFmtId="0" fontId="13" fillId="0" borderId="40" applyAlignment="1" pivotButton="0" quotePrefix="0" xfId="0">
      <alignment horizontal="center" vertical="bottom" wrapText="1"/>
    </xf>
    <xf numFmtId="0" fontId="0" fillId="0" borderId="70" applyAlignment="1" pivotButton="0" quotePrefix="0" xfId="0">
      <alignment horizontal="general" vertical="bottom"/>
    </xf>
    <xf numFmtId="0" fontId="13" fillId="0" borderId="59" applyAlignment="1" pivotButton="0" quotePrefix="0" xfId="0">
      <alignment horizontal="general" vertical="bottom"/>
    </xf>
    <xf numFmtId="166" fontId="0" fillId="0" borderId="59" applyAlignment="1" applyProtection="1" pivotButton="0" quotePrefix="0" xfId="0">
      <alignment horizontal="general" vertical="bottom"/>
      <protection locked="0" hidden="0"/>
    </xf>
    <xf numFmtId="166" fontId="26" fillId="7" borderId="50" applyAlignment="1" pivotButton="0" quotePrefix="0" xfId="0">
      <alignment horizontal="general" vertical="bottom"/>
    </xf>
    <xf numFmtId="0" fontId="0" fillId="0" borderId="50" applyAlignment="1" applyProtection="1" pivotButton="0" quotePrefix="0" xfId="0">
      <alignment horizontal="general" vertical="bottom"/>
      <protection locked="0" hidden="0"/>
    </xf>
    <xf numFmtId="0" fontId="0" fillId="0" borderId="51" applyAlignment="1" pivotButton="0" quotePrefix="0" xfId="0">
      <alignment horizontal="general" vertical="bottom"/>
    </xf>
    <xf numFmtId="0" fontId="13" fillId="0" borderId="50" applyAlignment="1" pivotButton="0" quotePrefix="0" xfId="0">
      <alignment horizontal="center" vertical="center" wrapText="1"/>
    </xf>
    <xf numFmtId="0" fontId="13" fillId="0" borderId="76" applyAlignment="1" pivotButton="0" quotePrefix="0" xfId="0">
      <alignment horizontal="center" vertical="center" wrapText="1"/>
    </xf>
    <xf numFmtId="0" fontId="13" fillId="0" borderId="0" applyAlignment="1" pivotButton="0" quotePrefix="0" xfId="0">
      <alignment horizontal="center" vertical="center" wrapText="1"/>
    </xf>
    <xf numFmtId="0" fontId="13" fillId="0" borderId="65" applyAlignment="1" pivotButton="0" quotePrefix="0" xfId="0">
      <alignment horizontal="center" vertical="center" wrapText="1"/>
    </xf>
    <xf numFmtId="0" fontId="26" fillId="2" borderId="40" applyAlignment="1" pivotButton="0" quotePrefix="0" xfId="0">
      <alignment horizontal="general" vertical="bottom"/>
    </xf>
    <xf numFmtId="0" fontId="0" fillId="0" borderId="78" applyAlignment="1" pivotButton="0" quotePrefix="0" xfId="0">
      <alignment horizontal="left" vertical="center" wrapText="1"/>
    </xf>
    <xf numFmtId="0" fontId="13" fillId="0" borderId="59" applyAlignment="1" pivotButton="0" quotePrefix="0" xfId="0">
      <alignment horizontal="center" vertical="center" wrapText="1"/>
    </xf>
    <xf numFmtId="0" fontId="0" fillId="2" borderId="59" applyAlignment="1" pivotButton="0" quotePrefix="0" xfId="0">
      <alignment horizontal="general" vertical="bottom"/>
    </xf>
    <xf numFmtId="0" fontId="0" fillId="0" borderId="67" applyAlignment="1" pivotButton="0" quotePrefix="0" xfId="0">
      <alignment horizontal="left" vertical="center" wrapText="1"/>
    </xf>
    <xf numFmtId="0" fontId="0" fillId="0" borderId="67" applyAlignment="1" pivotButton="0" quotePrefix="0" xfId="0">
      <alignment horizontal="center" vertical="center" wrapText="1"/>
    </xf>
    <xf numFmtId="0" fontId="13" fillId="0" borderId="39" applyAlignment="1" pivotButton="0" quotePrefix="0" xfId="0">
      <alignment horizontal="center" vertical="center" wrapText="1"/>
    </xf>
    <xf numFmtId="2" fontId="26" fillId="2" borderId="40" applyAlignment="1" pivotButton="0" quotePrefix="0" xfId="0">
      <alignment horizontal="general" vertical="bottom"/>
    </xf>
    <xf numFmtId="0" fontId="13" fillId="0" borderId="76" applyAlignment="1" pivotButton="0" quotePrefix="0" xfId="0">
      <alignment horizontal="center" vertical="center" wrapText="1"/>
    </xf>
    <xf numFmtId="0" fontId="13" fillId="0" borderId="0" applyAlignment="1" pivotButton="0" quotePrefix="0" xfId="0">
      <alignment horizontal="center" vertical="center" wrapText="1"/>
    </xf>
    <xf numFmtId="0" fontId="13" fillId="0" borderId="65" applyAlignment="1" pivotButton="0" quotePrefix="0" xfId="0">
      <alignment horizontal="center" vertical="center" wrapText="1"/>
    </xf>
    <xf numFmtId="2" fontId="26" fillId="2" borderId="50" applyAlignment="1" pivotButton="0" quotePrefix="0" xfId="0">
      <alignment horizontal="general" vertical="bottom"/>
    </xf>
    <xf numFmtId="166" fontId="0" fillId="0" borderId="38" applyAlignment="1" pivotButton="0" quotePrefix="0" xfId="0">
      <alignment horizontal="general" vertical="bottom"/>
    </xf>
    <xf numFmtId="166" fontId="0" fillId="0" borderId="38" applyAlignment="1" applyProtection="1" pivotButton="0" quotePrefix="0" xfId="0">
      <alignment horizontal="general" vertical="bottom"/>
      <protection locked="0" hidden="0"/>
    </xf>
    <xf numFmtId="0" fontId="0" fillId="0" borderId="77" applyAlignment="1" pivotButton="0" quotePrefix="0" xfId="0">
      <alignment horizontal="center" vertical="bottom" wrapText="1"/>
    </xf>
    <xf numFmtId="0" fontId="0" fillId="0" borderId="50" applyAlignment="1" pivotButton="0" quotePrefix="0" xfId="0">
      <alignment horizontal="center" vertical="center" wrapText="1"/>
    </xf>
    <xf numFmtId="0" fontId="21" fillId="0" borderId="40" applyAlignment="1" pivotButton="0" quotePrefix="0" xfId="0">
      <alignment horizontal="center" vertical="center" wrapText="1"/>
    </xf>
    <xf numFmtId="0" fontId="0" fillId="0" borderId="40" applyAlignment="1" applyProtection="1" pivotButton="0" quotePrefix="0" xfId="0">
      <alignment horizontal="general" vertical="bottom"/>
      <protection locked="0" hidden="0"/>
    </xf>
    <xf numFmtId="0" fontId="0" fillId="0" borderId="41" applyAlignment="1" pivotButton="0" quotePrefix="0" xfId="0">
      <alignment horizontal="general" vertical="bottom"/>
    </xf>
    <xf numFmtId="0" fontId="0" fillId="0" borderId="59" applyAlignment="1" pivotButton="0" quotePrefix="0" xfId="0">
      <alignment horizontal="center" vertical="center" wrapText="1"/>
    </xf>
    <xf numFmtId="0" fontId="13" fillId="0" borderId="59" applyAlignment="1" pivotButton="0" quotePrefix="0" xfId="0">
      <alignment horizontal="center" vertical="center" wrapText="1"/>
    </xf>
    <xf numFmtId="2" fontId="0" fillId="2" borderId="59" applyAlignment="1" pivotButton="0" quotePrefix="0" xfId="0">
      <alignment horizontal="general" vertical="bottom"/>
    </xf>
    <xf numFmtId="2" fontId="26" fillId="2" borderId="50" applyAlignment="1" pivotButton="0" quotePrefix="0" xfId="0">
      <alignment horizontal="right" vertical="center"/>
    </xf>
    <xf numFmtId="166" fontId="0" fillId="3" borderId="59" applyAlignment="1" applyProtection="1" pivotButton="0" quotePrefix="0" xfId="0">
      <alignment horizontal="general" vertical="bottom"/>
      <protection locked="0" hidden="0"/>
    </xf>
    <xf numFmtId="0" fontId="0" fillId="0" borderId="47" applyAlignment="1" pivotButton="0" quotePrefix="0" xfId="0">
      <alignment horizontal="general" vertical="center" wrapText="1"/>
    </xf>
    <xf numFmtId="0" fontId="0" fillId="0" borderId="47" applyAlignment="1" pivotButton="0" quotePrefix="0" xfId="0">
      <alignment horizontal="center" vertical="center" wrapText="1"/>
    </xf>
    <xf numFmtId="0" fontId="0" fillId="0" borderId="47" applyAlignment="1" pivotButton="0" quotePrefix="0" xfId="0">
      <alignment horizontal="general" vertical="bottom"/>
    </xf>
    <xf numFmtId="166" fontId="0" fillId="0" borderId="47" applyAlignment="1" pivotButton="0" quotePrefix="0" xfId="0">
      <alignment horizontal="general" vertical="bottom"/>
    </xf>
    <xf numFmtId="166" fontId="0" fillId="0" borderId="47" applyAlignment="1" applyProtection="1" pivotButton="0" quotePrefix="0" xfId="0">
      <alignment horizontal="general" vertical="bottom"/>
      <protection locked="0" hidden="0"/>
    </xf>
    <xf numFmtId="0" fontId="0" fillId="0" borderId="47" applyAlignment="1" applyProtection="1" pivotButton="0" quotePrefix="0" xfId="0">
      <alignment horizontal="general" vertical="bottom"/>
      <protection locked="0" hidden="0"/>
    </xf>
    <xf numFmtId="0" fontId="0" fillId="0" borderId="79" applyAlignment="1" pivotButton="0" quotePrefix="0" xfId="0">
      <alignment horizontal="general" vertical="bottom"/>
    </xf>
    <xf numFmtId="0" fontId="6" fillId="2" borderId="35" applyAlignment="1" pivotButton="0" quotePrefix="0" xfId="0">
      <alignment horizontal="center" vertical="center" wrapText="1"/>
    </xf>
    <xf numFmtId="0" fontId="6" fillId="2" borderId="35" applyAlignment="1" pivotButton="0" quotePrefix="0" xfId="0">
      <alignment horizontal="center" vertical="center"/>
    </xf>
    <xf numFmtId="0" fontId="6" fillId="2" borderId="66" applyAlignment="1" pivotButton="0" quotePrefix="0" xfId="0">
      <alignment horizontal="center" vertical="center"/>
    </xf>
    <xf numFmtId="0" fontId="0" fillId="11" borderId="80" applyAlignment="1" pivotButton="0" quotePrefix="0" xfId="0">
      <alignment horizontal="center" vertical="center" wrapText="1"/>
    </xf>
    <xf numFmtId="0" fontId="0" fillId="11" borderId="0" applyAlignment="1" pivotButton="0" quotePrefix="0" xfId="0">
      <alignment horizontal="center" vertical="center" wrapText="1"/>
    </xf>
    <xf numFmtId="0" fontId="0" fillId="11" borderId="73" applyAlignment="1" pivotButton="0" quotePrefix="0" xfId="0">
      <alignment horizontal="center" vertical="center"/>
    </xf>
    <xf numFmtId="0" fontId="0" fillId="11" borderId="73" applyAlignment="1" pivotButton="0" quotePrefix="0" xfId="0">
      <alignment horizontal="center" vertical="center" wrapText="1"/>
    </xf>
    <xf numFmtId="0" fontId="0" fillId="11" borderId="0" applyAlignment="1" pivotButton="0" quotePrefix="0" xfId="0">
      <alignment horizontal="general" vertical="bottom"/>
    </xf>
    <xf numFmtId="2" fontId="26" fillId="2" borderId="59" applyAlignment="1" pivotButton="0" quotePrefix="0" xfId="0">
      <alignment horizontal="general" vertical="bottom"/>
    </xf>
    <xf numFmtId="0" fontId="0" fillId="0" borderId="0" applyAlignment="1" applyProtection="1" pivotButton="0" quotePrefix="0" xfId="0">
      <alignment horizontal="general" vertical="bottom"/>
      <protection locked="0" hidden="0"/>
    </xf>
    <xf numFmtId="0" fontId="0" fillId="11" borderId="73" applyAlignment="1" pivotButton="0" quotePrefix="0" xfId="0">
      <alignment horizontal="general" vertical="bottom"/>
    </xf>
    <xf numFmtId="2" fontId="26" fillId="2" borderId="38" applyAlignment="1" pivotButton="0" quotePrefix="0" xfId="0">
      <alignment horizontal="general" vertical="bottom"/>
    </xf>
    <xf numFmtId="166" fontId="0" fillId="3" borderId="47" applyAlignment="1" applyProtection="1" pivotButton="0" quotePrefix="0" xfId="0">
      <alignment horizontal="general" vertical="bottom"/>
      <protection locked="0" hidden="0"/>
    </xf>
    <xf numFmtId="0" fontId="0" fillId="0" borderId="73" applyAlignment="1" applyProtection="1" pivotButton="0" quotePrefix="0" xfId="0">
      <alignment horizontal="general" vertical="bottom"/>
      <protection locked="0" hidden="0"/>
    </xf>
    <xf numFmtId="0" fontId="0" fillId="11" borderId="6" applyAlignment="1" pivotButton="0" quotePrefix="0" xfId="0">
      <alignment horizontal="general" vertical="bottom"/>
    </xf>
    <xf numFmtId="0" fontId="0" fillId="0" borderId="0" applyAlignment="1" pivotButton="0" quotePrefix="0" xfId="0">
      <alignment horizontal="left" vertical="center"/>
    </xf>
    <xf numFmtId="0" fontId="0" fillId="0" borderId="73" applyAlignment="1" pivotButton="0" quotePrefix="0" xfId="0">
      <alignment horizontal="general" vertical="bottom"/>
    </xf>
    <xf numFmtId="0" fontId="0" fillId="0" borderId="0" applyAlignment="1" pivotButton="0" quotePrefix="0" xfId="0">
      <alignment horizontal="general" vertical="center" wrapText="1"/>
    </xf>
    <xf numFmtId="0" fontId="0" fillId="0" borderId="0" applyAlignment="1" pivotButton="0" quotePrefix="0" xfId="0">
      <alignment horizontal="center" vertical="center" wrapText="1"/>
    </xf>
    <xf numFmtId="0" fontId="6" fillId="14" borderId="48" applyAlignment="1" pivotButton="0" quotePrefix="0" xfId="0">
      <alignment horizontal="center" vertical="center" wrapText="1"/>
    </xf>
    <xf numFmtId="0" fontId="6" fillId="14" borderId="49" applyAlignment="1" pivotButton="0" quotePrefix="0" xfId="0">
      <alignment horizontal="center" vertical="center" wrapText="1"/>
    </xf>
    <xf numFmtId="165" fontId="6" fillId="14" borderId="49" applyAlignment="1" pivotButton="0" quotePrefix="0" xfId="0">
      <alignment horizontal="center" vertical="center" wrapText="1"/>
    </xf>
    <xf numFmtId="165" fontId="6" fillId="14" borderId="49" applyAlignment="1" pivotButton="0" quotePrefix="0" xfId="0">
      <alignment horizontal="center" vertical="center" shrinkToFit="1"/>
    </xf>
    <xf numFmtId="166" fontId="6" fillId="14" borderId="49" applyAlignment="1" applyProtection="1" pivotButton="0" quotePrefix="0" xfId="0">
      <alignment horizontal="center" vertical="center" wrapText="1"/>
      <protection locked="0" hidden="0"/>
    </xf>
    <xf numFmtId="0" fontId="6" fillId="14" borderId="49" applyAlignment="1" pivotButton="0" quotePrefix="0" xfId="0">
      <alignment horizontal="center" vertical="center"/>
    </xf>
    <xf numFmtId="0" fontId="6" fillId="14" borderId="71" applyAlignment="1" pivotButton="0" quotePrefix="0" xfId="0">
      <alignment horizontal="center" vertical="center"/>
    </xf>
    <xf numFmtId="0" fontId="6" fillId="0" borderId="56" applyAlignment="1" pivotButton="0" quotePrefix="0" xfId="0">
      <alignment horizontal="center" vertical="center"/>
    </xf>
    <xf numFmtId="0" fontId="0" fillId="0" borderId="59" applyAlignment="1" pivotButton="0" quotePrefix="0" xfId="0">
      <alignment horizontal="general" vertical="center" wrapText="1"/>
    </xf>
    <xf numFmtId="0" fontId="0" fillId="0" borderId="39" applyAlignment="1" pivotButton="0" quotePrefix="0" xfId="0">
      <alignment horizontal="general" vertical="center" wrapText="1"/>
    </xf>
    <xf numFmtId="0" fontId="17" fillId="0" borderId="39" applyAlignment="1" pivotButton="0" quotePrefix="0" xfId="0">
      <alignment horizontal="center" vertical="center"/>
    </xf>
    <xf numFmtId="2" fontId="17" fillId="14" borderId="39" applyAlignment="1" pivotButton="0" quotePrefix="0" xfId="0">
      <alignment horizontal="center" vertical="center"/>
    </xf>
    <xf numFmtId="0" fontId="17" fillId="0" borderId="61" applyAlignment="1" pivotButton="0" quotePrefix="0" xfId="0">
      <alignment horizontal="center" vertical="center"/>
    </xf>
    <xf numFmtId="0" fontId="6" fillId="0" borderId="37" applyAlignment="1" pivotButton="0" quotePrefix="0" xfId="0">
      <alignment horizontal="center" vertical="center" wrapText="1"/>
    </xf>
    <xf numFmtId="0" fontId="0" fillId="0" borderId="38" applyAlignment="1" pivotButton="0" quotePrefix="0" xfId="0">
      <alignment horizontal="general" vertical="center" wrapText="1"/>
    </xf>
    <xf numFmtId="0" fontId="0" fillId="0" borderId="38" applyAlignment="1" pivotButton="0" quotePrefix="0" xfId="0">
      <alignment horizontal="center" vertical="center" wrapText="1"/>
    </xf>
    <xf numFmtId="165" fontId="17" fillId="14" borderId="38" applyAlignment="1" pivotButton="0" quotePrefix="0" xfId="0">
      <alignment horizontal="center" vertical="center" wrapText="1"/>
    </xf>
    <xf numFmtId="166" fontId="0" fillId="3" borderId="47" applyAlignment="1" applyProtection="1" pivotButton="0" quotePrefix="0" xfId="0">
      <alignment horizontal="general" vertical="bottom"/>
      <protection locked="0" hidden="0"/>
    </xf>
    <xf numFmtId="0" fontId="17" fillId="0" borderId="38" applyAlignment="1" applyProtection="1" pivotButton="0" quotePrefix="0" xfId="0">
      <alignment horizontal="center" vertical="center"/>
      <protection locked="0" hidden="0"/>
    </xf>
    <xf numFmtId="0" fontId="17" fillId="0" borderId="44" applyAlignment="1" pivotButton="0" quotePrefix="0" xfId="0">
      <alignment horizontal="center" vertical="center"/>
    </xf>
    <xf numFmtId="0" fontId="6" fillId="14" borderId="62" applyAlignment="1" pivotButton="0" quotePrefix="0" xfId="0">
      <alignment horizontal="center" vertical="center" wrapText="1"/>
    </xf>
    <xf numFmtId="0" fontId="8" fillId="14" borderId="49" applyAlignment="1" pivotButton="0" quotePrefix="0" xfId="0">
      <alignment horizontal="center" vertical="center" wrapText="1"/>
    </xf>
    <xf numFmtId="165" fontId="8" fillId="14" borderId="49" applyAlignment="1" pivotButton="0" quotePrefix="0" xfId="0">
      <alignment horizontal="left" vertical="center" shrinkToFit="1"/>
    </xf>
    <xf numFmtId="166" fontId="6" fillId="14" borderId="49" applyAlignment="1" pivotButton="0" quotePrefix="0" xfId="0">
      <alignment horizontal="center" vertical="center" wrapText="1"/>
    </xf>
    <xf numFmtId="0" fontId="6" fillId="14" borderId="81" applyAlignment="1" pivotButton="0" quotePrefix="0" xfId="0">
      <alignment horizontal="general" vertical="center" wrapText="1"/>
    </xf>
    <xf numFmtId="0" fontId="6" fillId="14" borderId="26" applyAlignment="1" pivotButton="0" quotePrefix="0" xfId="0">
      <alignment horizontal="general" vertical="center" wrapText="1"/>
    </xf>
    <xf numFmtId="0" fontId="0" fillId="0" borderId="62" applyAlignment="1" pivotButton="0" quotePrefix="0" xfId="0">
      <alignment horizontal="center" vertical="center" wrapText="1"/>
    </xf>
    <xf numFmtId="0" fontId="0" fillId="0" borderId="82" applyAlignment="1" pivotButton="0" quotePrefix="0" xfId="0">
      <alignment horizontal="center" vertical="center" wrapText="1"/>
    </xf>
    <xf numFmtId="0" fontId="0" fillId="0" borderId="6" applyAlignment="1" pivotButton="0" quotePrefix="0" xfId="0">
      <alignment horizontal="general" vertical="bottom"/>
    </xf>
    <xf numFmtId="0" fontId="17" fillId="0" borderId="34" applyAlignment="1" pivotButton="0" quotePrefix="0" xfId="0">
      <alignment horizontal="center" vertical="center"/>
    </xf>
    <xf numFmtId="0" fontId="13" fillId="14" borderId="52" applyAlignment="1" pivotButton="0" quotePrefix="0" xfId="0">
      <alignment horizontal="center" vertical="center" wrapText="1"/>
    </xf>
    <xf numFmtId="166" fontId="0" fillId="3" borderId="69" applyAlignment="1" applyProtection="1" pivotButton="0" quotePrefix="0" xfId="0">
      <alignment horizontal="general" vertical="bottom"/>
      <protection locked="0" hidden="0"/>
    </xf>
    <xf numFmtId="0" fontId="0" fillId="0" borderId="6" applyAlignment="1" applyProtection="1" pivotButton="0" quotePrefix="0" xfId="0">
      <alignment horizontal="general" vertical="bottom"/>
      <protection locked="0" hidden="0"/>
    </xf>
    <xf numFmtId="0" fontId="0" fillId="0" borderId="76" applyAlignment="1" pivotButton="0" quotePrefix="0" xfId="0">
      <alignment horizontal="center" vertical="center" wrapText="1"/>
    </xf>
    <xf numFmtId="0" fontId="17" fillId="0" borderId="40" applyAlignment="1" pivotButton="0" quotePrefix="0" xfId="0">
      <alignment horizontal="center" vertical="center"/>
    </xf>
    <xf numFmtId="0" fontId="13" fillId="14" borderId="53" applyAlignment="1" pivotButton="0" quotePrefix="0" xfId="0">
      <alignment horizontal="center" vertical="center" wrapText="1"/>
    </xf>
    <xf numFmtId="0" fontId="0" fillId="0" borderId="83" applyAlignment="1" pivotButton="0" quotePrefix="0" xfId="0">
      <alignment horizontal="center" vertical="center" wrapText="1"/>
    </xf>
    <xf numFmtId="0" fontId="17" fillId="0" borderId="38" applyAlignment="1" pivotButton="0" quotePrefix="0" xfId="0">
      <alignment horizontal="center" vertical="center"/>
    </xf>
    <xf numFmtId="0" fontId="13" fillId="14" borderId="73" applyAlignment="1" pivotButton="0" quotePrefix="0" xfId="0">
      <alignment horizontal="center" vertical="center" wrapText="1"/>
    </xf>
    <xf numFmtId="0" fontId="8" fillId="15" borderId="49" applyAlignment="1" pivotButton="0" quotePrefix="0" xfId="0">
      <alignment horizontal="center" vertical="center" wrapText="1"/>
    </xf>
    <xf numFmtId="0" fontId="0" fillId="0" borderId="48" applyAlignment="1" pivotButton="0" quotePrefix="0" xfId="0">
      <alignment horizontal="center" vertical="center" wrapText="1"/>
    </xf>
    <xf numFmtId="0" fontId="0" fillId="0" borderId="34" applyAlignment="1" pivotButton="0" quotePrefix="0" xfId="0">
      <alignment horizontal="center" vertical="center" wrapText="1"/>
    </xf>
    <xf numFmtId="2" fontId="13" fillId="14" borderId="35" applyAlignment="1" pivotButton="0" quotePrefix="0" xfId="0">
      <alignment horizontal="center" vertical="center" wrapText="1"/>
    </xf>
    <xf numFmtId="2" fontId="0" fillId="0" borderId="36" applyAlignment="1" pivotButton="0" quotePrefix="0" xfId="0">
      <alignment horizontal="general" vertical="bottom"/>
    </xf>
    <xf numFmtId="0" fontId="17" fillId="0" borderId="73" applyAlignment="1" pivotButton="0" quotePrefix="0" xfId="0">
      <alignment horizontal="center" vertical="center"/>
    </xf>
    <xf numFmtId="2" fontId="13" fillId="14" borderId="73" applyAlignment="1" pivotButton="0" quotePrefix="0" xfId="0">
      <alignment horizontal="center" vertical="center" wrapText="1"/>
    </xf>
    <xf numFmtId="2" fontId="0" fillId="0" borderId="44" applyAlignment="1" pivotButton="0" quotePrefix="0" xfId="0">
      <alignment horizontal="general" vertical="bottom"/>
    </xf>
    <xf numFmtId="0" fontId="13" fillId="0" borderId="0" applyAlignment="1" pivotButton="0" quotePrefix="0" xfId="0">
      <alignment horizontal="general" vertical="bottom"/>
    </xf>
    <xf numFmtId="0" fontId="8" fillId="2" borderId="6"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general" vertical="bottom" wrapText="1"/>
    </xf>
    <xf numFmtId="0" fontId="0" fillId="0" borderId="0" applyAlignment="1" pivotButton="0" quotePrefix="0" xfId="0">
      <alignment horizontal="center" vertical="center" wrapText="1"/>
    </xf>
    <xf numFmtId="2" fontId="8" fillId="2" borderId="0" applyAlignment="1" pivotButton="0" quotePrefix="0" xfId="0">
      <alignment horizontal="general" vertical="bottom"/>
    </xf>
    <xf numFmtId="0" fontId="0" fillId="0" borderId="0" applyAlignment="1" pivotButton="0" quotePrefix="0" xfId="0">
      <alignment horizontal="left" vertical="center" wrapText="1"/>
    </xf>
    <xf numFmtId="0" fontId="8" fillId="2" borderId="0" applyAlignment="1" pivotButton="0" quotePrefix="0" xfId="0">
      <alignment horizontal="center" vertical="center" wrapText="1"/>
    </xf>
    <xf numFmtId="0" fontId="8" fillId="15" borderId="0" applyAlignment="1" pivotButton="0" quotePrefix="0" xfId="0">
      <alignment horizontal="general" vertical="bottom"/>
    </xf>
    <xf numFmtId="0" fontId="6" fillId="15" borderId="0" applyAlignment="1" pivotButton="0" quotePrefix="0" xfId="0">
      <alignment horizontal="general" vertical="bottom"/>
    </xf>
    <xf numFmtId="166" fontId="6" fillId="15" borderId="0" applyAlignment="1" pivotButton="0" quotePrefix="0" xfId="0">
      <alignment horizontal="general" vertical="bottom"/>
    </xf>
    <xf numFmtId="2" fontId="8" fillId="15" borderId="0" applyAlignment="1" pivotButton="0" quotePrefix="0" xfId="0">
      <alignment horizontal="general" vertical="bottom"/>
    </xf>
    <xf numFmtId="0" fontId="44" fillId="0" borderId="74" applyAlignment="1" pivotButton="0" quotePrefix="0" xfId="0">
      <alignment horizontal="general" vertical="bottom"/>
    </xf>
    <xf numFmtId="0" fontId="0" fillId="0" borderId="0" applyAlignment="1" pivotButton="0" quotePrefix="0" xfId="0">
      <alignment horizontal="center" vertical="center" wrapText="1"/>
    </xf>
    <xf numFmtId="166" fontId="0"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0" fillId="0" borderId="0" applyAlignment="1" pivotButton="0" quotePrefix="0" xfId="0">
      <alignment horizontal="left" vertical="center" wrapText="1"/>
    </xf>
    <xf numFmtId="0" fontId="14" fillId="0" borderId="0" applyAlignment="1" pivotButton="0" quotePrefix="0" xfId="0">
      <alignment horizontal="general" vertical="bottom" wrapText="1"/>
    </xf>
    <xf numFmtId="0" fontId="45" fillId="0" borderId="73" applyAlignment="1" pivotButton="0" quotePrefix="0" xfId="0">
      <alignment horizontal="center" vertical="center" wrapText="1"/>
    </xf>
    <xf numFmtId="0" fontId="0" fillId="0" borderId="0" applyAlignment="1" pivotButton="0" quotePrefix="0" xfId="0">
      <alignment horizontal="general" vertical="center" wrapText="1"/>
    </xf>
    <xf numFmtId="0" fontId="0" fillId="0" borderId="0" applyAlignment="1" pivotButton="0" quotePrefix="0" xfId="0">
      <alignment horizontal="general" vertical="center" wrapText="1"/>
    </xf>
    <xf numFmtId="0" fontId="14" fillId="0" borderId="0" applyAlignment="1" pivotButton="0" quotePrefix="0" xfId="0">
      <alignment horizontal="general" vertical="center" wrapText="1"/>
    </xf>
    <xf numFmtId="0" fontId="46" fillId="7" borderId="81" applyAlignment="1" pivotButton="0" quotePrefix="0" xfId="0">
      <alignment horizontal="left" vertical="center" wrapText="1"/>
    </xf>
    <xf numFmtId="0" fontId="47" fillId="11" borderId="81" applyAlignment="1" pivotButton="0" quotePrefix="0" xfId="20">
      <alignment horizontal="center" vertical="center" wrapText="1"/>
    </xf>
    <xf numFmtId="0" fontId="45" fillId="0" borderId="23" applyAlignment="1" pivotButton="0" quotePrefix="0" xfId="0">
      <alignment horizontal="left" vertical="center" wrapText="1"/>
    </xf>
    <xf numFmtId="166" fontId="6" fillId="2" borderId="34" applyAlignment="1" pivotButton="0" quotePrefix="0" xfId="0">
      <alignment horizontal="center" vertical="center" wrapText="1"/>
    </xf>
    <xf numFmtId="165" fontId="6" fillId="2" borderId="34" applyAlignment="1" pivotButton="0" quotePrefix="0" xfId="0">
      <alignment horizontal="center" vertical="center" wrapText="1"/>
    </xf>
    <xf numFmtId="0" fontId="6" fillId="2" borderId="34" applyAlignment="1" pivotButton="0" quotePrefix="0" xfId="0">
      <alignment horizontal="center" vertical="bottom" wrapText="1"/>
    </xf>
    <xf numFmtId="0" fontId="8" fillId="2" borderId="36" applyAlignment="1" pivotButton="0" quotePrefix="0" xfId="0">
      <alignment horizontal="center" vertical="bottom" wrapText="1"/>
    </xf>
    <xf numFmtId="0" fontId="48" fillId="0" borderId="57" applyAlignment="1" pivotButton="0" quotePrefix="0" xfId="0">
      <alignment horizontal="left" vertical="center" wrapText="1"/>
    </xf>
    <xf numFmtId="0" fontId="48" fillId="0" borderId="40" applyAlignment="1" pivotButton="0" quotePrefix="0" xfId="0">
      <alignment horizontal="left" vertical="center" wrapText="1"/>
    </xf>
    <xf numFmtId="0" fontId="48" fillId="0" borderId="40" applyAlignment="1" pivotButton="0" quotePrefix="0" xfId="0">
      <alignment horizontal="center" vertical="center" wrapText="1"/>
    </xf>
    <xf numFmtId="0" fontId="48" fillId="0" borderId="53" applyAlignment="1" pivotButton="0" quotePrefix="0" xfId="0">
      <alignment horizontal="center" vertical="center" wrapText="1"/>
    </xf>
    <xf numFmtId="0" fontId="48" fillId="0" borderId="53" applyAlignment="1" pivotButton="0" quotePrefix="0" xfId="0">
      <alignment horizontal="left" vertical="center" wrapText="1"/>
    </xf>
    <xf numFmtId="0" fontId="48" fillId="0" borderId="41" applyAlignment="1" pivotButton="0" quotePrefix="0" xfId="0">
      <alignment horizontal="left" vertical="center" wrapText="1"/>
    </xf>
    <xf numFmtId="0" fontId="0" fillId="0" borderId="41" applyAlignment="1" pivotButton="0" quotePrefix="0" xfId="0">
      <alignment horizontal="general" vertical="bottom" wrapText="1"/>
    </xf>
    <xf numFmtId="0" fontId="48" fillId="0" borderId="56" applyAlignment="1" pivotButton="0" quotePrefix="0" xfId="0">
      <alignment horizontal="left" vertical="center" wrapText="1"/>
    </xf>
    <xf numFmtId="0" fontId="48" fillId="0" borderId="39" applyAlignment="1" pivotButton="0" quotePrefix="0" xfId="0">
      <alignment horizontal="left" vertical="center" wrapText="1"/>
    </xf>
    <xf numFmtId="0" fontId="48" fillId="0" borderId="39" applyAlignment="1" pivotButton="0" quotePrefix="0" xfId="0">
      <alignment horizontal="center" vertical="center" wrapText="1"/>
    </xf>
    <xf numFmtId="0" fontId="48" fillId="0" borderId="52" applyAlignment="1" pivotButton="0" quotePrefix="0" xfId="0">
      <alignment horizontal="center" vertical="center" wrapText="1"/>
    </xf>
    <xf numFmtId="0" fontId="48" fillId="0" borderId="52" applyAlignment="1" pivotButton="0" quotePrefix="0" xfId="0">
      <alignment horizontal="left" vertical="center" wrapText="1"/>
    </xf>
    <xf numFmtId="0" fontId="0" fillId="0" borderId="43" applyAlignment="1" pivotButton="0" quotePrefix="0" xfId="0">
      <alignment horizontal="general" vertical="bottom" wrapText="1"/>
    </xf>
    <xf numFmtId="0" fontId="45" fillId="0" borderId="84" applyAlignment="1" pivotButton="0" quotePrefix="0" xfId="0">
      <alignment horizontal="left" vertical="center" wrapText="1"/>
    </xf>
    <xf numFmtId="0" fontId="6" fillId="0" borderId="67" applyAlignment="1" pivotButton="0" quotePrefix="0" xfId="0">
      <alignment horizontal="general" vertical="bottom" wrapText="1"/>
    </xf>
    <xf numFmtId="0" fontId="0" fillId="0" borderId="40" applyAlignment="1" pivotButton="0" quotePrefix="0" xfId="0">
      <alignment horizontal="general" vertical="bottom" wrapText="1"/>
    </xf>
    <xf numFmtId="166" fontId="36" fillId="2" borderId="40" applyAlignment="1" pivotButton="0" quotePrefix="0" xfId="0">
      <alignment horizontal="center" vertical="center" wrapText="1"/>
    </xf>
    <xf numFmtId="0" fontId="17" fillId="0" borderId="40" applyAlignment="1" pivotButton="0" quotePrefix="0" xfId="0">
      <alignment horizontal="center" vertical="center" wrapText="1"/>
    </xf>
    <xf numFmtId="0" fontId="0" fillId="0" borderId="40" applyAlignment="1" applyProtection="1" pivotButton="0" quotePrefix="0" xfId="0">
      <alignment horizontal="general" vertical="bottom" wrapText="1"/>
      <protection locked="0" hidden="0"/>
    </xf>
    <xf numFmtId="166" fontId="0" fillId="0" borderId="0" applyAlignment="1" pivotButton="0" quotePrefix="0" xfId="0">
      <alignment horizontal="general" vertical="bottom" wrapText="1"/>
    </xf>
    <xf numFmtId="0" fontId="14" fillId="0" borderId="0" applyAlignment="1" pivotButton="0" quotePrefix="0" xfId="0">
      <alignment horizontal="general" vertical="bottom" wrapText="1"/>
    </xf>
    <xf numFmtId="0" fontId="6" fillId="11" borderId="67" applyAlignment="1" pivotButton="0" quotePrefix="0" xfId="0">
      <alignment horizontal="general" vertical="bottom" wrapText="1"/>
    </xf>
    <xf numFmtId="0" fontId="0" fillId="11" borderId="40" applyAlignment="1" pivotButton="0" quotePrefix="0" xfId="0">
      <alignment horizontal="general" vertical="bottom" wrapText="1"/>
    </xf>
    <xf numFmtId="166" fontId="36" fillId="11" borderId="40" applyAlignment="1" pivotButton="0" quotePrefix="0" xfId="0">
      <alignment horizontal="center" vertical="center" wrapText="1"/>
    </xf>
    <xf numFmtId="0" fontId="17" fillId="0" borderId="40" applyAlignment="1" pivotButton="0" quotePrefix="0" xfId="0">
      <alignment horizontal="center" vertical="center" wrapText="1"/>
    </xf>
    <xf numFmtId="0" fontId="6" fillId="0" borderId="67" applyAlignment="1" pivotButton="0" quotePrefix="0" xfId="0">
      <alignment horizontal="left" vertical="center" wrapText="1"/>
    </xf>
    <xf numFmtId="0" fontId="6" fillId="0" borderId="40" applyAlignment="1" pivotButton="0" quotePrefix="0" xfId="0">
      <alignment horizontal="general" vertical="bottom" wrapText="1"/>
    </xf>
    <xf numFmtId="0" fontId="6" fillId="0" borderId="57" applyAlignment="1" pivotButton="0" quotePrefix="0" xfId="0">
      <alignment horizontal="left" vertical="center" wrapText="1"/>
    </xf>
    <xf numFmtId="0" fontId="6" fillId="11" borderId="57" applyAlignment="1" pivotButton="0" quotePrefix="0" xfId="0">
      <alignment horizontal="left" vertical="center" wrapText="1"/>
    </xf>
    <xf numFmtId="0" fontId="0" fillId="11" borderId="50" applyAlignment="1" pivotButton="0" quotePrefix="0" xfId="0">
      <alignment horizontal="general" vertical="bottom" wrapText="1"/>
    </xf>
    <xf numFmtId="0" fontId="6" fillId="0" borderId="50" applyAlignment="1" pivotButton="0" quotePrefix="0" xfId="24">
      <alignment horizontal="general" vertical="center" wrapText="1"/>
    </xf>
    <xf numFmtId="0" fontId="0" fillId="0" borderId="50" applyAlignment="1" pivotButton="0" quotePrefix="0" xfId="24">
      <alignment horizontal="general" vertical="center" wrapText="1"/>
    </xf>
    <xf numFmtId="0" fontId="0" fillId="0" borderId="40" applyAlignment="1" pivotButton="0" quotePrefix="0" xfId="24">
      <alignment horizontal="center" vertical="center" wrapText="1"/>
    </xf>
    <xf numFmtId="0" fontId="13" fillId="0" borderId="40" applyAlignment="1" pivotButton="0" quotePrefix="0" xfId="24">
      <alignment horizontal="center" vertical="center" wrapText="1"/>
    </xf>
    <xf numFmtId="0" fontId="6" fillId="0" borderId="40" applyAlignment="1" pivotButton="0" quotePrefix="0" xfId="24">
      <alignment horizontal="general" vertical="center" wrapText="1"/>
    </xf>
    <xf numFmtId="0" fontId="0" fillId="0" borderId="40" applyAlignment="1" pivotButton="0" quotePrefix="0" xfId="24">
      <alignment horizontal="general" vertical="center" wrapText="1"/>
    </xf>
    <xf numFmtId="0" fontId="0" fillId="0" borderId="40" applyAlignment="1" pivotButton="0" quotePrefix="0" xfId="0">
      <alignment horizontal="center" vertical="center" wrapText="1"/>
    </xf>
    <xf numFmtId="0" fontId="0" fillId="0" borderId="40" applyAlignment="1" pivotButton="0" quotePrefix="0" xfId="0">
      <alignment horizontal="general" vertical="center" wrapText="1"/>
    </xf>
    <xf numFmtId="0" fontId="6" fillId="0" borderId="63" applyAlignment="1" pivotButton="0" quotePrefix="0" xfId="0">
      <alignment horizontal="left" vertical="center" wrapText="1"/>
    </xf>
    <xf numFmtId="0" fontId="0" fillId="0" borderId="50" applyAlignment="1" pivotButton="0" quotePrefix="0" xfId="0">
      <alignment horizontal="general" vertical="center" wrapText="1"/>
    </xf>
    <xf numFmtId="0" fontId="0" fillId="0" borderId="0" applyAlignment="1" pivotButton="0" quotePrefix="0" xfId="0">
      <alignment horizontal="general" vertical="center" wrapText="1"/>
    </xf>
    <xf numFmtId="0" fontId="0" fillId="0" borderId="52" applyAlignment="1" pivotButton="0" quotePrefix="0" xfId="0">
      <alignment horizontal="center" vertical="center" wrapText="1"/>
    </xf>
    <xf numFmtId="0" fontId="0" fillId="0" borderId="85" applyAlignment="1" pivotButton="0" quotePrefix="0" xfId="0">
      <alignment horizontal="general" vertical="bottom" wrapText="1"/>
    </xf>
    <xf numFmtId="0" fontId="45" fillId="0" borderId="70" applyAlignment="1" pivotButton="0" quotePrefix="0" xfId="0">
      <alignment horizontal="left" vertical="center" wrapText="1"/>
    </xf>
    <xf numFmtId="0" fontId="0" fillId="0" borderId="39" applyAlignment="1" pivotButton="0" quotePrefix="0" xfId="0">
      <alignment horizontal="general" vertical="center" wrapText="1"/>
    </xf>
    <xf numFmtId="0" fontId="0" fillId="0" borderId="75" applyAlignment="1" pivotButton="0" quotePrefix="0" xfId="0">
      <alignment horizontal="general" vertical="bottom" wrapText="1"/>
    </xf>
    <xf numFmtId="0" fontId="13" fillId="0" borderId="39" applyAlignment="1" pivotButton="0" quotePrefix="0" xfId="0">
      <alignment horizontal="center" vertical="center" wrapText="1"/>
    </xf>
    <xf numFmtId="166" fontId="36" fillId="2" borderId="39" applyAlignment="1" pivotButton="0" quotePrefix="0" xfId="0">
      <alignment horizontal="center" vertical="center" wrapText="1"/>
    </xf>
    <xf numFmtId="0" fontId="17" fillId="0" borderId="39" applyAlignment="1" pivotButton="0" quotePrefix="0" xfId="0">
      <alignment horizontal="center" vertical="center" wrapText="1"/>
    </xf>
    <xf numFmtId="0" fontId="0" fillId="0" borderId="39" applyAlignment="1" applyProtection="1" pivotButton="0" quotePrefix="0" xfId="0">
      <alignment horizontal="general" vertical="bottom" wrapText="1"/>
      <protection locked="0" hidden="0"/>
    </xf>
    <xf numFmtId="0" fontId="51" fillId="0" borderId="65" applyAlignment="1" pivotButton="0" quotePrefix="0" xfId="0">
      <alignment horizontal="left" vertical="center" wrapText="1"/>
    </xf>
    <xf numFmtId="0" fontId="48" fillId="0" borderId="68" applyAlignment="1" pivotButton="0" quotePrefix="0" xfId="0">
      <alignment horizontal="left" vertical="center" wrapText="1"/>
    </xf>
    <xf numFmtId="0" fontId="6" fillId="2" borderId="39" applyAlignment="1" pivotButton="0" quotePrefix="0" xfId="0">
      <alignment horizontal="left" vertical="center" wrapText="1"/>
    </xf>
    <xf numFmtId="0" fontId="6" fillId="2" borderId="52" applyAlignment="1" pivotButton="0" quotePrefix="0" xfId="0">
      <alignment horizontal="center" vertical="center" wrapText="1"/>
    </xf>
    <xf numFmtId="0" fontId="6" fillId="2" borderId="39" applyAlignment="1" pivotButton="0" quotePrefix="0" xfId="0">
      <alignment horizontal="center" vertical="center" wrapText="1"/>
    </xf>
    <xf numFmtId="166" fontId="6" fillId="2" borderId="39" applyAlignment="1" pivotButton="0" quotePrefix="0" xfId="0">
      <alignment horizontal="center" vertical="center" wrapText="1"/>
    </xf>
    <xf numFmtId="165" fontId="6" fillId="2" borderId="39" applyAlignment="1" pivotButton="0" quotePrefix="0" xfId="0">
      <alignment horizontal="center" vertical="center" wrapText="1"/>
    </xf>
    <xf numFmtId="0" fontId="6" fillId="2" borderId="39" applyAlignment="1" pivotButton="0" quotePrefix="0" xfId="0">
      <alignment horizontal="center" vertical="bottom" wrapText="1"/>
    </xf>
    <xf numFmtId="0" fontId="8" fillId="2" borderId="43" applyAlignment="1" pivotButton="0" quotePrefix="0" xfId="0">
      <alignment horizontal="center" vertical="bottom" wrapText="1"/>
    </xf>
    <xf numFmtId="0" fontId="6" fillId="0" borderId="57" applyAlignment="1" pivotButton="0" quotePrefix="0" xfId="0">
      <alignment horizontal="left" vertical="center" wrapText="1"/>
    </xf>
    <xf numFmtId="0" fontId="0" fillId="0" borderId="40" applyAlignment="1" pivotButton="0" quotePrefix="0" xfId="0">
      <alignment horizontal="left" vertical="center" wrapText="1"/>
    </xf>
    <xf numFmtId="0" fontId="0" fillId="0" borderId="40" applyAlignment="1" pivotButton="0" quotePrefix="0" xfId="0">
      <alignment horizontal="center" vertical="center" wrapText="1"/>
    </xf>
    <xf numFmtId="0" fontId="14" fillId="0" borderId="0" applyAlignment="1" pivotButton="0" quotePrefix="0" xfId="0">
      <alignment horizontal="center" vertical="bottom" wrapText="1"/>
    </xf>
    <xf numFmtId="0" fontId="0" fillId="11" borderId="40" applyAlignment="1" pivotButton="0" quotePrefix="0" xfId="0">
      <alignment horizontal="left" vertical="center" wrapText="1"/>
    </xf>
    <xf numFmtId="0" fontId="0" fillId="11" borderId="40" applyAlignment="1" pivotButton="0" quotePrefix="0" xfId="0">
      <alignment horizontal="center" vertical="center" wrapText="1"/>
    </xf>
    <xf numFmtId="0" fontId="13" fillId="11" borderId="40" applyAlignment="1" pivotButton="0" quotePrefix="0" xfId="0">
      <alignment horizontal="center" vertical="center" wrapText="1"/>
    </xf>
    <xf numFmtId="0" fontId="6" fillId="0" borderId="57" applyAlignment="1" pivotButton="0" quotePrefix="0" xfId="24">
      <alignment horizontal="left" vertical="center" wrapText="1"/>
    </xf>
    <xf numFmtId="0" fontId="0" fillId="0" borderId="40" applyAlignment="1" pivotButton="0" quotePrefix="0" xfId="24">
      <alignment horizontal="left" vertical="center" wrapText="1"/>
    </xf>
    <xf numFmtId="0" fontId="6" fillId="11" borderId="57" applyAlignment="1" pivotButton="0" quotePrefix="0" xfId="24">
      <alignment horizontal="left" vertical="center" wrapText="1"/>
    </xf>
    <xf numFmtId="0" fontId="0" fillId="11" borderId="40" applyAlignment="1" pivotButton="0" quotePrefix="0" xfId="24">
      <alignment horizontal="left" vertical="center" wrapText="1"/>
    </xf>
    <xf numFmtId="0" fontId="6" fillId="16" borderId="57" applyAlignment="1" pivotButton="0" quotePrefix="0" xfId="0">
      <alignment horizontal="left" vertical="center" wrapText="1"/>
    </xf>
    <xf numFmtId="0" fontId="0" fillId="0" borderId="39" applyAlignment="1" pivotButton="0" quotePrefix="0" xfId="0">
      <alignment horizontal="left" vertical="center" wrapText="1"/>
    </xf>
    <xf numFmtId="0" fontId="0" fillId="0" borderId="39" applyAlignment="1" pivotButton="0" quotePrefix="0" xfId="0">
      <alignment horizontal="center" vertical="center" wrapText="1"/>
    </xf>
    <xf numFmtId="0" fontId="6" fillId="11" borderId="63" applyAlignment="1" pivotButton="0" quotePrefix="0" xfId="0">
      <alignment horizontal="left" vertical="center" wrapText="1"/>
    </xf>
    <xf numFmtId="0" fontId="0" fillId="11" borderId="59" applyAlignment="1" pivotButton="0" quotePrefix="0" xfId="0">
      <alignment horizontal="left" vertical="center" wrapText="1"/>
    </xf>
    <xf numFmtId="0" fontId="0" fillId="11" borderId="59" applyAlignment="1" pivotButton="0" quotePrefix="0" xfId="0">
      <alignment horizontal="center" vertical="center" wrapText="1"/>
    </xf>
    <xf numFmtId="0" fontId="0" fillId="11" borderId="50" applyAlignment="1" pivotButton="0" quotePrefix="0" xfId="0">
      <alignment horizontal="center" vertical="center" wrapText="1"/>
    </xf>
    <xf numFmtId="0" fontId="6" fillId="0" borderId="63"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50" applyAlignment="1" pivotButton="0" quotePrefix="0" xfId="0">
      <alignment horizontal="center" vertical="center" wrapText="1"/>
    </xf>
    <xf numFmtId="0" fontId="26" fillId="0" borderId="40" applyAlignment="1" pivotButton="0" quotePrefix="0" xfId="0">
      <alignment horizontal="left" vertical="center" wrapText="1"/>
    </xf>
    <xf numFmtId="0" fontId="26" fillId="11" borderId="40" applyAlignment="1" pivotButton="0" quotePrefix="0" xfId="0">
      <alignment horizontal="left" vertical="center" wrapText="1"/>
    </xf>
    <xf numFmtId="0" fontId="0" fillId="11" borderId="40" applyAlignment="1" pivotButton="0" quotePrefix="0" xfId="0">
      <alignment horizontal="center" vertical="center" wrapText="1"/>
    </xf>
    <xf numFmtId="0" fontId="13" fillId="0" borderId="39" applyAlignment="1" pivotButton="0" quotePrefix="0" xfId="0">
      <alignment horizontal="center" vertical="center" wrapText="1"/>
    </xf>
    <xf numFmtId="2" fontId="52" fillId="7" borderId="40" applyAlignment="1" pivotButton="0" quotePrefix="0" xfId="0">
      <alignment horizontal="center" vertical="center" wrapText="1"/>
    </xf>
    <xf numFmtId="0" fontId="6" fillId="0" borderId="56" applyAlignment="1" pivotButton="0" quotePrefix="0" xfId="0">
      <alignment horizontal="left" vertical="center" wrapText="1"/>
    </xf>
    <xf numFmtId="0" fontId="17" fillId="0" borderId="39" applyAlignment="1" pivotButton="0" quotePrefix="0" xfId="0">
      <alignment horizontal="center" vertical="center" wrapText="1"/>
    </xf>
    <xf numFmtId="0" fontId="13" fillId="0" borderId="38" applyAlignment="1" pivotButton="0" quotePrefix="0" xfId="0">
      <alignment horizontal="center" vertical="center" wrapText="1"/>
    </xf>
    <xf numFmtId="166" fontId="36" fillId="2" borderId="38" applyAlignment="1" pivotButton="0" quotePrefix="0" xfId="0">
      <alignment horizontal="center" vertical="center" wrapText="1"/>
    </xf>
    <xf numFmtId="0" fontId="17" fillId="0" borderId="38" applyAlignment="1" pivotButton="0" quotePrefix="0" xfId="0">
      <alignment horizontal="center" vertical="center" wrapText="1"/>
    </xf>
    <xf numFmtId="0" fontId="0" fillId="0" borderId="38" applyAlignment="1" applyProtection="1" pivotButton="0" quotePrefix="0" xfId="0">
      <alignment horizontal="general" vertical="bottom" wrapText="1"/>
      <protection locked="0" hidden="0"/>
    </xf>
    <xf numFmtId="0" fontId="0" fillId="0" borderId="6" applyAlignment="1" pivotButton="0" quotePrefix="0" xfId="0">
      <alignment horizontal="general" vertical="center" wrapText="1"/>
    </xf>
    <xf numFmtId="0" fontId="0" fillId="0" borderId="6" applyAlignment="1" pivotButton="0" quotePrefix="0" xfId="0">
      <alignment horizontal="general" vertical="bottom" wrapText="1"/>
    </xf>
    <xf numFmtId="0" fontId="0" fillId="0" borderId="6" applyAlignment="1" pivotButton="0" quotePrefix="0" xfId="0">
      <alignment horizontal="center" vertical="bottom" wrapText="1"/>
    </xf>
    <xf numFmtId="0" fontId="0" fillId="0" borderId="86" applyAlignment="1" pivotButton="0" quotePrefix="0" xfId="0">
      <alignment horizontal="center" vertical="bottom" wrapText="1"/>
    </xf>
    <xf numFmtId="0" fontId="0" fillId="0" borderId="10" applyAlignment="1" pivotButton="0" quotePrefix="0" xfId="0">
      <alignment horizontal="general" vertical="bottom" wrapText="1"/>
    </xf>
    <xf numFmtId="166" fontId="36" fillId="2" borderId="13" applyAlignment="1" pivotButton="0" quotePrefix="0" xfId="0">
      <alignment horizontal="center" vertical="center" wrapText="1"/>
    </xf>
    <xf numFmtId="0" fontId="0" fillId="2" borderId="87" applyAlignment="1" pivotButton="0" quotePrefix="0" xfId="0">
      <alignment horizontal="general" vertical="bottom" wrapText="1"/>
    </xf>
    <xf numFmtId="0" fontId="0" fillId="0" borderId="0" applyAlignment="1" pivotButton="0" quotePrefix="0" xfId="0">
      <alignment horizontal="center" vertical="bottom" wrapText="1"/>
    </xf>
    <xf numFmtId="0" fontId="0" fillId="0" borderId="0" applyAlignment="1" pivotButton="0" quotePrefix="0" xfId="0">
      <alignment horizontal="center" vertical="center"/>
    </xf>
    <xf numFmtId="166" fontId="0" fillId="0" borderId="0" applyAlignment="1" pivotButton="0" quotePrefix="0" xfId="0">
      <alignment horizontal="general" vertical="bottom"/>
    </xf>
    <xf numFmtId="0" fontId="0" fillId="0" borderId="0" applyAlignment="1" pivotButton="0" quotePrefix="0" xfId="0">
      <alignment horizontal="general" vertical="bottom"/>
    </xf>
    <xf numFmtId="0" fontId="48" fillId="0" borderId="73" applyAlignment="1" pivotButton="0" quotePrefix="0" xfId="0">
      <alignment horizontal="center" vertical="center" wrapText="1"/>
    </xf>
    <xf numFmtId="0" fontId="6" fillId="2" borderId="34" applyAlignment="1" pivotButton="0" quotePrefix="0" xfId="0">
      <alignment horizontal="center" vertical="center"/>
    </xf>
    <xf numFmtId="165" fontId="6" fillId="2" borderId="34" applyAlignment="1" pivotButton="0" quotePrefix="0" xfId="0">
      <alignment horizontal="center" vertical="center" shrinkToFit="1"/>
    </xf>
    <xf numFmtId="0" fontId="6" fillId="2" borderId="36"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17" fillId="0" borderId="40" applyAlignment="1" pivotButton="0" quotePrefix="0" xfId="0">
      <alignment horizontal="center" vertical="center"/>
    </xf>
    <xf numFmtId="0" fontId="0" fillId="0" borderId="40" applyAlignment="1" applyProtection="1" pivotButton="0" quotePrefix="0" xfId="0">
      <alignment horizontal="general" vertical="bottom"/>
      <protection locked="0" hidden="0"/>
    </xf>
    <xf numFmtId="0" fontId="0" fillId="0" borderId="41" applyAlignment="1" pivotButton="0" quotePrefix="0" xfId="0">
      <alignment horizontal="general" vertical="bottom"/>
    </xf>
    <xf numFmtId="0" fontId="15" fillId="0" borderId="0" applyAlignment="1" pivotButton="0" quotePrefix="0" xfId="0">
      <alignment horizontal="general" vertical="bottom" wrapText="1"/>
    </xf>
    <xf numFmtId="0" fontId="0" fillId="0" borderId="0" applyAlignment="1" pivotButton="0" quotePrefix="0" xfId="0">
      <alignment horizontal="general" vertical="bottom"/>
    </xf>
    <xf numFmtId="0" fontId="17" fillId="0" borderId="38" applyAlignment="1" pivotButton="0" quotePrefix="0" xfId="0">
      <alignment horizontal="center" vertical="center"/>
    </xf>
    <xf numFmtId="0" fontId="0" fillId="0" borderId="38" applyAlignment="1" applyProtection="1" pivotButton="0" quotePrefix="0" xfId="0">
      <alignment horizontal="general" vertical="bottom"/>
      <protection locked="0" hidden="0"/>
    </xf>
    <xf numFmtId="0" fontId="0" fillId="0" borderId="44" applyAlignment="1" pivotButton="0" quotePrefix="0" xfId="0">
      <alignment horizontal="general" vertical="bottom"/>
    </xf>
    <xf numFmtId="0" fontId="6" fillId="0" borderId="33" applyAlignment="1" pivotButton="0" quotePrefix="0" xfId="0">
      <alignment horizontal="center" vertical="center" wrapText="1"/>
    </xf>
    <xf numFmtId="0" fontId="0" fillId="0" borderId="34" applyAlignment="1" pivotButton="0" quotePrefix="0" xfId="0">
      <alignment horizontal="center" vertical="center" wrapText="1"/>
    </xf>
    <xf numFmtId="0" fontId="0" fillId="0" borderId="34" applyAlignment="1" pivotButton="0" quotePrefix="0" xfId="0">
      <alignment horizontal="center" vertical="center" wrapText="1"/>
    </xf>
    <xf numFmtId="166" fontId="36" fillId="2" borderId="34" applyAlignment="1" pivotButton="0" quotePrefix="0" xfId="0">
      <alignment horizontal="center" vertical="center" wrapText="1"/>
    </xf>
    <xf numFmtId="0" fontId="17" fillId="0" borderId="34" applyAlignment="1" pivotButton="0" quotePrefix="0" xfId="0">
      <alignment horizontal="center" vertical="center"/>
    </xf>
    <xf numFmtId="0" fontId="0" fillId="0" borderId="34" applyAlignment="1" applyProtection="1" pivotButton="0" quotePrefix="0" xfId="0">
      <alignment horizontal="general" vertical="bottom"/>
      <protection locked="0" hidden="0"/>
    </xf>
    <xf numFmtId="0" fontId="0" fillId="0" borderId="36" applyAlignment="1" pivotButton="0" quotePrefix="0" xfId="0">
      <alignment horizontal="general" vertical="bottom"/>
    </xf>
    <xf numFmtId="166" fontId="0" fillId="0" borderId="0" applyAlignment="1" pivotButton="0" quotePrefix="0" xfId="0">
      <alignment horizontal="general" vertical="bottom"/>
    </xf>
    <xf numFmtId="0" fontId="6" fillId="0" borderId="57" applyAlignment="1" pivotButton="0" quotePrefix="0" xfId="0">
      <alignment horizontal="center" vertical="center" wrapText="1"/>
    </xf>
    <xf numFmtId="0" fontId="0" fillId="0" borderId="40" applyAlignment="1" pivotButton="0" quotePrefix="0" xfId="0">
      <alignment horizontal="center" vertical="center" wrapText="1"/>
    </xf>
    <xf numFmtId="0" fontId="6" fillId="0" borderId="37" applyAlignment="1" pivotButton="0" quotePrefix="0" xfId="0">
      <alignment horizontal="center" vertical="center" wrapText="1"/>
    </xf>
    <xf numFmtId="0" fontId="0" fillId="0" borderId="38" applyAlignment="1" pivotButton="0" quotePrefix="0" xfId="0">
      <alignment horizontal="center" vertical="center" wrapText="1"/>
    </xf>
    <xf numFmtId="0" fontId="55" fillId="0" borderId="48" applyAlignment="1" pivotButton="0" quotePrefix="0" xfId="0">
      <alignment horizontal="center" vertical="center" wrapText="1"/>
    </xf>
    <xf numFmtId="0" fontId="57" fillId="0" borderId="39" applyAlignment="1" pivotButton="0" quotePrefix="0" xfId="0">
      <alignment horizontal="center" vertical="center" wrapText="1"/>
    </xf>
    <xf numFmtId="0" fontId="56" fillId="0" borderId="49" applyAlignment="1" pivotButton="0" quotePrefix="0" xfId="0">
      <alignment horizontal="center" vertical="center" wrapText="1"/>
    </xf>
    <xf numFmtId="0" fontId="56" fillId="0" borderId="0" applyAlignment="1" pivotButton="0" quotePrefix="0" xfId="0">
      <alignment horizontal="center" vertical="center" wrapText="1"/>
    </xf>
    <xf numFmtId="0" fontId="56" fillId="0" borderId="58" applyAlignment="1" pivotButton="0" quotePrefix="0" xfId="0">
      <alignment horizontal="center" vertical="center" wrapText="1"/>
    </xf>
    <xf numFmtId="166" fontId="58" fillId="2" borderId="39" applyAlignment="1" pivotButton="0" quotePrefix="0" xfId="0">
      <alignment horizontal="center" vertical="bottom"/>
    </xf>
    <xf numFmtId="0" fontId="59" fillId="0" borderId="39" applyAlignment="1" pivotButton="0" quotePrefix="0" xfId="0">
      <alignment horizontal="center" vertical="center"/>
    </xf>
    <xf numFmtId="0" fontId="56" fillId="0" borderId="39" applyAlignment="1" applyProtection="1" pivotButton="0" quotePrefix="0" xfId="0">
      <alignment horizontal="general" vertical="bottom"/>
      <protection locked="0" hidden="0"/>
    </xf>
    <xf numFmtId="0" fontId="56" fillId="0" borderId="43" applyAlignment="1" pivotButton="0" quotePrefix="0" xfId="0">
      <alignment horizontal="general" vertical="bottom"/>
    </xf>
    <xf numFmtId="0" fontId="57" fillId="0" borderId="40" applyAlignment="1" pivotButton="0" quotePrefix="0" xfId="0">
      <alignment horizontal="center" vertical="center" wrapText="1"/>
    </xf>
    <xf numFmtId="166" fontId="58" fillId="2" borderId="50" applyAlignment="1" pivotButton="0" quotePrefix="0" xfId="0">
      <alignment horizontal="center" vertical="bottom"/>
    </xf>
    <xf numFmtId="0" fontId="59" fillId="0" borderId="40" applyAlignment="1" pivotButton="0" quotePrefix="0" xfId="0">
      <alignment horizontal="center" vertical="center"/>
    </xf>
    <xf numFmtId="0" fontId="56" fillId="0" borderId="40" applyAlignment="1" applyProtection="1" pivotButton="0" quotePrefix="0" xfId="0">
      <alignment horizontal="general" vertical="bottom"/>
      <protection locked="0" hidden="0"/>
    </xf>
    <xf numFmtId="0" fontId="56" fillId="0" borderId="41" applyAlignment="1" pivotButton="0" quotePrefix="0" xfId="0">
      <alignment horizontal="general" vertical="bottom"/>
    </xf>
    <xf numFmtId="0" fontId="57" fillId="0" borderId="50" applyAlignment="1" pivotButton="0" quotePrefix="0" xfId="0">
      <alignment horizontal="center" vertical="center" wrapText="1"/>
    </xf>
    <xf numFmtId="0" fontId="59" fillId="0" borderId="50" applyAlignment="1" pivotButton="0" quotePrefix="0" xfId="0">
      <alignment horizontal="center" vertical="center"/>
    </xf>
    <xf numFmtId="0" fontId="56" fillId="0" borderId="50" applyAlignment="1" applyProtection="1" pivotButton="0" quotePrefix="0" xfId="0">
      <alignment horizontal="general" vertical="bottom"/>
      <protection locked="0" hidden="0"/>
    </xf>
    <xf numFmtId="0" fontId="56" fillId="0" borderId="51" applyAlignment="1" pivotButton="0" quotePrefix="0" xfId="0">
      <alignment horizontal="general" vertical="bottom"/>
    </xf>
    <xf numFmtId="0" fontId="59" fillId="0" borderId="59" applyAlignment="1" pivotButton="0" quotePrefix="0" xfId="0">
      <alignment horizontal="center" vertical="center"/>
    </xf>
    <xf numFmtId="0" fontId="56" fillId="0" borderId="59" applyAlignment="1" applyProtection="1" pivotButton="0" quotePrefix="0" xfId="0">
      <alignment horizontal="general" vertical="bottom"/>
      <protection locked="0" hidden="0"/>
    </xf>
    <xf numFmtId="0" fontId="56" fillId="0" borderId="61" applyAlignment="1" pivotButton="0" quotePrefix="0" xfId="0">
      <alignment horizontal="general" vertical="bottom"/>
    </xf>
    <xf numFmtId="166" fontId="58" fillId="2" borderId="40" applyAlignment="1" pivotButton="0" quotePrefix="0" xfId="0">
      <alignment horizontal="center" vertical="bottom"/>
    </xf>
    <xf numFmtId="166" fontId="44" fillId="0" borderId="0" applyAlignment="1" pivotButton="0" quotePrefix="0" xfId="0">
      <alignment horizontal="general" vertical="bottom" wrapText="1"/>
    </xf>
    <xf numFmtId="0" fontId="57" fillId="0" borderId="47" applyAlignment="1" pivotButton="0" quotePrefix="0" xfId="0">
      <alignment horizontal="center" vertical="center" wrapText="1"/>
    </xf>
    <xf numFmtId="166" fontId="58" fillId="2" borderId="47" applyAlignment="1" pivotButton="0" quotePrefix="0" xfId="0">
      <alignment horizontal="center" vertical="bottom"/>
    </xf>
    <xf numFmtId="0" fontId="57" fillId="0" borderId="34" applyAlignment="1" pivotButton="0" quotePrefix="0" xfId="0">
      <alignment horizontal="center" vertical="center" wrapText="1"/>
    </xf>
    <xf numFmtId="166" fontId="58" fillId="2" borderId="59" applyAlignment="1" pivotButton="0" quotePrefix="0" xfId="0">
      <alignment horizontal="center" vertical="bottom"/>
    </xf>
    <xf numFmtId="0" fontId="59" fillId="0" borderId="34" applyAlignment="1" pivotButton="0" quotePrefix="0" xfId="0">
      <alignment horizontal="center" vertical="center"/>
    </xf>
    <xf numFmtId="0" fontId="56" fillId="0" borderId="34" applyAlignment="1" applyProtection="1" pivotButton="0" quotePrefix="0" xfId="0">
      <alignment horizontal="general" vertical="bottom"/>
      <protection locked="0" hidden="0"/>
    </xf>
    <xf numFmtId="0" fontId="56" fillId="0" borderId="36" applyAlignment="1" pivotButton="0" quotePrefix="0" xfId="0">
      <alignment horizontal="general" vertical="bottom"/>
    </xf>
    <xf numFmtId="0" fontId="44" fillId="0" borderId="0" applyAlignment="1" pivotButton="0" quotePrefix="0" xfId="0">
      <alignment horizontal="center" vertical="bottom" wrapText="1"/>
    </xf>
    <xf numFmtId="0" fontId="59" fillId="0" borderId="47" applyAlignment="1" pivotButton="0" quotePrefix="0" xfId="0">
      <alignment horizontal="center" vertical="center"/>
    </xf>
    <xf numFmtId="0" fontId="56" fillId="0" borderId="47" applyAlignment="1" applyProtection="1" pivotButton="0" quotePrefix="0" xfId="0">
      <alignment horizontal="general" vertical="bottom"/>
      <protection locked="0" hidden="0"/>
    </xf>
    <xf numFmtId="0" fontId="56" fillId="0" borderId="79" applyAlignment="1" pivotButton="0" quotePrefix="0" xfId="0">
      <alignment horizontal="general" vertical="bottom"/>
    </xf>
    <xf numFmtId="0" fontId="6" fillId="0" borderId="48" applyAlignment="1" pivotButton="0" quotePrefix="0" xfId="0">
      <alignment horizontal="center" vertical="center" wrapText="1"/>
    </xf>
    <xf numFmtId="0" fontId="0" fillId="11" borderId="49"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58" applyAlignment="1" pivotButton="0" quotePrefix="0" xfId="0">
      <alignment horizontal="center" vertical="center" wrapText="1"/>
    </xf>
    <xf numFmtId="166" fontId="36" fillId="2" borderId="47" applyAlignment="1" pivotButton="0" quotePrefix="0" xfId="0">
      <alignment horizontal="center" vertical="center" wrapText="1"/>
    </xf>
    <xf numFmtId="0" fontId="17" fillId="0" borderId="47" applyAlignment="1" pivotButton="0" quotePrefix="0" xfId="0">
      <alignment horizontal="center" vertical="center"/>
    </xf>
    <xf numFmtId="0" fontId="0" fillId="0" borderId="47" applyAlignment="1" applyProtection="1" pivotButton="0" quotePrefix="0" xfId="0">
      <alignment horizontal="general" vertical="bottom"/>
      <protection locked="0" hidden="0"/>
    </xf>
    <xf numFmtId="0" fontId="0" fillId="0" borderId="79" applyAlignment="1" pivotButton="0" quotePrefix="0" xfId="0">
      <alignment horizontal="general" vertical="bottom"/>
    </xf>
    <xf numFmtId="0" fontId="6" fillId="0" borderId="72" applyAlignment="1" pivotButton="0" quotePrefix="0" xfId="0">
      <alignment horizontal="center" vertical="center" wrapText="1"/>
    </xf>
    <xf numFmtId="0" fontId="0" fillId="0" borderId="34" applyAlignment="1" pivotButton="0" quotePrefix="0" xfId="0">
      <alignment horizontal="center" vertical="center" wrapText="1"/>
    </xf>
    <xf numFmtId="166" fontId="36" fillId="2" borderId="34" applyAlignment="1" pivotButton="0" quotePrefix="0" xfId="0">
      <alignment horizontal="center" vertical="center"/>
    </xf>
    <xf numFmtId="166" fontId="36" fillId="2" borderId="40" applyAlignment="1" pivotButton="0" quotePrefix="0" xfId="0">
      <alignment horizontal="center" vertical="center"/>
    </xf>
    <xf numFmtId="0" fontId="0" fillId="9" borderId="40" applyAlignment="1" pivotButton="0" quotePrefix="0" xfId="0">
      <alignment horizontal="center" vertical="center" wrapText="1"/>
    </xf>
    <xf numFmtId="166" fontId="0" fillId="0" borderId="0" applyAlignment="1" pivotButton="0" quotePrefix="0" xfId="0">
      <alignment horizontal="general" vertical="bottom"/>
    </xf>
    <xf numFmtId="0" fontId="0" fillId="0" borderId="50" applyAlignment="1" applyProtection="1" pivotButton="0" quotePrefix="0" xfId="0">
      <alignment horizontal="general" vertical="bottom"/>
      <protection locked="0" hidden="0"/>
    </xf>
    <xf numFmtId="0" fontId="0" fillId="0" borderId="78" applyAlignment="1" pivotButton="0" quotePrefix="0" xfId="0">
      <alignment horizontal="center" vertical="center" wrapText="1"/>
    </xf>
    <xf numFmtId="166" fontId="36" fillId="2" borderId="50" applyAlignment="1" pivotButton="0" quotePrefix="0" xfId="0">
      <alignment horizontal="center" vertical="center"/>
    </xf>
    <xf numFmtId="0" fontId="17" fillId="0" borderId="50" applyAlignment="1" pivotButton="0" quotePrefix="0" xfId="0">
      <alignment horizontal="center" vertical="center"/>
    </xf>
    <xf numFmtId="166" fontId="36" fillId="2" borderId="50" applyAlignment="1" pivotButton="0" quotePrefix="0" xfId="0">
      <alignment horizontal="center" vertical="center" wrapText="1"/>
    </xf>
    <xf numFmtId="0" fontId="0" fillId="0" borderId="51" applyAlignment="1" pivotButton="0" quotePrefix="0" xfId="0">
      <alignment horizontal="general" vertical="bottom"/>
    </xf>
    <xf numFmtId="0" fontId="0" fillId="0" borderId="39" applyAlignment="1" pivotButton="0" quotePrefix="0" xfId="0">
      <alignment horizontal="center" vertical="center" wrapText="1"/>
    </xf>
    <xf numFmtId="0" fontId="0" fillId="0" borderId="47" applyAlignment="1" pivotButton="0" quotePrefix="0" xfId="0">
      <alignment horizontal="center" vertical="center" wrapText="1"/>
    </xf>
    <xf numFmtId="0" fontId="0" fillId="11" borderId="34" applyAlignment="1" pivotButton="0" quotePrefix="0" xfId="0">
      <alignment horizontal="center" vertical="center" wrapText="1"/>
    </xf>
    <xf numFmtId="0" fontId="0" fillId="0" borderId="74" applyAlignment="1" pivotButton="0" quotePrefix="0" xfId="0">
      <alignment horizontal="general" vertical="bottom" wrapText="1"/>
    </xf>
    <xf numFmtId="0" fontId="0" fillId="11" borderId="39" applyAlignment="1" pivotButton="0" quotePrefix="0" xfId="0">
      <alignment horizontal="center" vertical="center" wrapText="1"/>
    </xf>
    <xf numFmtId="0" fontId="0" fillId="0" borderId="39" applyAlignment="1" applyProtection="1" pivotButton="0" quotePrefix="0" xfId="0">
      <alignment horizontal="general" vertical="bottom"/>
      <protection locked="0" hidden="0"/>
    </xf>
    <xf numFmtId="0" fontId="0" fillId="0" borderId="43" applyAlignment="1" pivotButton="0" quotePrefix="0" xfId="0">
      <alignment horizontal="general" vertical="bottom"/>
    </xf>
    <xf numFmtId="0" fontId="0" fillId="0" borderId="40" applyAlignment="1" applyProtection="1" pivotButton="0" quotePrefix="0" xfId="0">
      <alignment horizontal="general" vertical="bottom"/>
      <protection locked="0" hidden="0"/>
    </xf>
    <xf numFmtId="0" fontId="0" fillId="0" borderId="41"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right" vertical="bottom"/>
    </xf>
    <xf numFmtId="0" fontId="61" fillId="0" borderId="40" applyAlignment="1" pivotButton="0" quotePrefix="0" xfId="0">
      <alignment horizontal="center" vertical="center" wrapText="1"/>
    </xf>
    <xf numFmtId="0" fontId="61" fillId="0" borderId="40" applyAlignment="1" pivotButton="0" quotePrefix="0" xfId="0">
      <alignment horizontal="center" vertical="center" wrapText="1"/>
    </xf>
    <xf numFmtId="166" fontId="62" fillId="2" borderId="40" applyAlignment="1" pivotButton="0" quotePrefix="0" xfId="0">
      <alignment horizontal="center" vertical="center" wrapText="1"/>
    </xf>
    <xf numFmtId="0" fontId="63" fillId="0" borderId="40" applyAlignment="1" pivotButton="0" quotePrefix="0" xfId="0">
      <alignment horizontal="center" vertical="center"/>
    </xf>
    <xf numFmtId="0" fontId="0" fillId="0" borderId="76" applyAlignment="1" pivotButton="0" quotePrefix="0" xfId="0">
      <alignment horizontal="center" vertical="center" wrapText="1"/>
    </xf>
    <xf numFmtId="0" fontId="17" fillId="0" borderId="59" applyAlignment="1" pivotButton="0" quotePrefix="0" xfId="0">
      <alignment horizontal="center" vertical="center"/>
    </xf>
    <xf numFmtId="0" fontId="0" fillId="0" borderId="59" applyAlignment="1" applyProtection="1" pivotButton="0" quotePrefix="0" xfId="0">
      <alignment horizontal="general" vertical="bottom"/>
      <protection locked="0" hidden="0"/>
    </xf>
    <xf numFmtId="166" fontId="36" fillId="2" borderId="59" applyAlignment="1" pivotButton="0" quotePrefix="0" xfId="0">
      <alignment horizontal="center" vertical="center" wrapText="1"/>
    </xf>
    <xf numFmtId="0" fontId="0" fillId="0" borderId="61" applyAlignment="1" pivotButton="0" quotePrefix="0" xfId="0">
      <alignment horizontal="general" vertical="bottom"/>
    </xf>
    <xf numFmtId="0" fontId="0" fillId="0" borderId="48" applyAlignment="1" pivotButton="0" quotePrefix="0" xfId="0">
      <alignment horizontal="center" vertical="center" wrapText="1"/>
    </xf>
    <xf numFmtId="0" fontId="0" fillId="0" borderId="34" applyAlignment="1" pivotButton="0" quotePrefix="0" xfId="0">
      <alignment horizontal="center" vertical="center" wrapText="1"/>
    </xf>
    <xf numFmtId="166" fontId="36" fillId="7" borderId="34" applyAlignment="1" pivotButton="0" quotePrefix="0" xfId="0">
      <alignment horizontal="center" vertical="center" wrapText="1"/>
    </xf>
    <xf numFmtId="0" fontId="17" fillId="0" borderId="34" applyAlignment="1" pivotButton="0" quotePrefix="0" xfId="0">
      <alignment horizontal="center" vertical="center"/>
    </xf>
    <xf numFmtId="0" fontId="0" fillId="0" borderId="66" applyAlignment="1" applyProtection="1" pivotButton="0" quotePrefix="0" xfId="0">
      <alignment horizontal="general" vertical="bottom"/>
      <protection locked="0" hidden="0"/>
    </xf>
    <xf numFmtId="0" fontId="0" fillId="0" borderId="36" applyAlignment="1" pivotButton="0" quotePrefix="0" xfId="0">
      <alignment horizontal="general" vertical="bottom"/>
    </xf>
    <xf numFmtId="0" fontId="44" fillId="0" borderId="0" applyAlignment="1" pivotButton="0" quotePrefix="0" xfId="0">
      <alignment horizontal="general" vertical="bottom"/>
    </xf>
    <xf numFmtId="166" fontId="36" fillId="7" borderId="40" applyAlignment="1" pivotButton="0" quotePrefix="0" xfId="0">
      <alignment horizontal="center" vertical="center" wrapText="1"/>
    </xf>
    <xf numFmtId="0" fontId="17" fillId="0" borderId="40" applyAlignment="1" pivotButton="0" quotePrefix="0" xfId="0">
      <alignment horizontal="center" vertical="center"/>
    </xf>
    <xf numFmtId="0" fontId="0" fillId="0" borderId="42" applyAlignment="1" applyProtection="1" pivotButton="0" quotePrefix="0" xfId="0">
      <alignment horizontal="general" vertical="bottom"/>
      <protection locked="0" hidden="0"/>
    </xf>
    <xf numFmtId="0" fontId="0" fillId="0" borderId="43" applyAlignment="1" pivotButton="0" quotePrefix="0" xfId="0">
      <alignment horizontal="general" vertical="bottom"/>
    </xf>
    <xf numFmtId="0" fontId="21" fillId="0" borderId="0" applyAlignment="1" pivotButton="0" quotePrefix="0" xfId="0">
      <alignment horizontal="general" vertical="bottom"/>
    </xf>
    <xf numFmtId="0" fontId="0" fillId="0" borderId="38" applyAlignment="1" pivotButton="0" quotePrefix="0" xfId="0">
      <alignment horizontal="center" vertical="center" wrapText="1"/>
    </xf>
    <xf numFmtId="0" fontId="21" fillId="0" borderId="38" applyAlignment="1" pivotButton="0" quotePrefix="0" xfId="0">
      <alignment horizontal="center" vertical="center" wrapText="1"/>
    </xf>
    <xf numFmtId="166" fontId="36" fillId="7" borderId="38" applyAlignment="1" pivotButton="0" quotePrefix="0" xfId="0">
      <alignment horizontal="center" vertical="center" wrapText="1"/>
    </xf>
    <xf numFmtId="0" fontId="17" fillId="0" borderId="38" applyAlignment="1" pivotButton="0" quotePrefix="0" xfId="0">
      <alignment horizontal="center" vertical="center"/>
    </xf>
    <xf numFmtId="0" fontId="0" fillId="0" borderId="88" applyAlignment="1" applyProtection="1" pivotButton="0" quotePrefix="0" xfId="0">
      <alignment horizontal="general" vertical="bottom"/>
      <protection locked="0" hidden="0"/>
    </xf>
    <xf numFmtId="0" fontId="0" fillId="0" borderId="79" applyAlignment="1" pivotButton="0" quotePrefix="0" xfId="0">
      <alignment horizontal="general" vertical="bottom"/>
    </xf>
    <xf numFmtId="0" fontId="0" fillId="0" borderId="34" applyAlignment="1" pivotButton="0" quotePrefix="0" xfId="0">
      <alignment horizontal="center" vertical="center" wrapText="1"/>
    </xf>
    <xf numFmtId="0" fontId="0" fillId="0" borderId="34" applyAlignment="1" applyProtection="1" pivotButton="0" quotePrefix="0" xfId="0">
      <alignment horizontal="general" vertical="bottom"/>
      <protection locked="0" hidden="0"/>
    </xf>
    <xf numFmtId="0" fontId="0" fillId="0" borderId="0" applyAlignment="1" pivotButton="0" quotePrefix="0" xfId="0">
      <alignment horizontal="left" vertical="center"/>
    </xf>
    <xf numFmtId="0" fontId="21" fillId="0" borderId="40" applyAlignment="1" pivotButton="0" quotePrefix="0" xfId="0">
      <alignment horizontal="center" vertical="center" wrapText="1"/>
    </xf>
    <xf numFmtId="166" fontId="36" fillId="7" borderId="39" applyAlignment="1" pivotButton="0" quotePrefix="0" xfId="0">
      <alignment horizontal="center" vertical="center" wrapText="1"/>
    </xf>
    <xf numFmtId="0" fontId="0" fillId="0" borderId="41" applyAlignment="1" pivotButton="0" quotePrefix="0" xfId="0">
      <alignment horizontal="general" vertical="bottom"/>
    </xf>
    <xf numFmtId="166" fontId="0" fillId="0" borderId="0" applyAlignment="1" pivotButton="0" quotePrefix="0" xfId="0">
      <alignment horizontal="center" vertical="bottom"/>
    </xf>
    <xf numFmtId="0" fontId="0" fillId="0" borderId="0" applyAlignment="1" pivotButton="0" quotePrefix="0" xfId="0">
      <alignment horizontal="general" vertical="center"/>
    </xf>
    <xf numFmtId="0" fontId="0" fillId="0" borderId="38" applyAlignment="1" pivotButton="0" quotePrefix="0" xfId="0">
      <alignment horizontal="center" vertical="center" wrapText="1"/>
    </xf>
    <xf numFmtId="0" fontId="0" fillId="0" borderId="38" applyAlignment="1" applyProtection="1" pivotButton="0" quotePrefix="0" xfId="0">
      <alignment horizontal="general" vertical="bottom"/>
      <protection locked="0" hidden="0"/>
    </xf>
    <xf numFmtId="0" fontId="0" fillId="0" borderId="44" applyAlignment="1" pivotButton="0" quotePrefix="0" xfId="0">
      <alignment horizontal="general" vertical="bottom"/>
    </xf>
    <xf numFmtId="0" fontId="0" fillId="0" borderId="89" applyAlignment="1" pivotButton="0" quotePrefix="0" xfId="0">
      <alignment horizontal="general" vertical="center" wrapText="1"/>
    </xf>
    <xf numFmtId="0" fontId="0" fillId="0" borderId="75" applyAlignment="1" pivotButton="0" quotePrefix="0" xfId="0">
      <alignment horizontal="general" vertical="center" wrapText="1"/>
    </xf>
    <xf numFmtId="0" fontId="0" fillId="0" borderId="42" applyAlignment="1" pivotButton="0" quotePrefix="0" xfId="0">
      <alignment horizontal="general" vertical="center" wrapText="1"/>
    </xf>
    <xf numFmtId="0" fontId="0" fillId="0" borderId="0" applyAlignment="1" pivotButton="0" quotePrefix="0" xfId="0">
      <alignment horizontal="general" vertical="bottom"/>
    </xf>
    <xf numFmtId="0" fontId="0" fillId="0" borderId="10" applyAlignment="1" pivotButton="0" quotePrefix="0" xfId="0">
      <alignment horizontal="general" vertical="bottom"/>
    </xf>
    <xf numFmtId="0" fontId="0" fillId="2" borderId="13" applyAlignment="1" pivotButton="0" quotePrefix="0" xfId="0">
      <alignment horizontal="general" vertical="bottom"/>
    </xf>
    <xf numFmtId="0" fontId="15" fillId="0" borderId="0" applyAlignment="1" pivotButton="0" quotePrefix="0" xfId="0">
      <alignment horizontal="center" vertical="center"/>
    </xf>
    <xf numFmtId="0" fontId="15" fillId="0" borderId="0" applyAlignment="1" pivotButton="0" quotePrefix="0" xfId="0">
      <alignment horizontal="center" vertical="center" wrapText="1"/>
    </xf>
    <xf numFmtId="0" fontId="15" fillId="0" borderId="0" applyAlignment="1" pivotButton="0" quotePrefix="0" xfId="0">
      <alignment horizontal="left" vertical="center"/>
    </xf>
    <xf numFmtId="165" fontId="14"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horizontal="left" vertical="center"/>
    </xf>
    <xf numFmtId="166" fontId="48" fillId="0" borderId="0" applyAlignment="1" pivotButton="0" quotePrefix="0" xfId="0">
      <alignment horizontal="center" vertical="center" wrapText="1"/>
    </xf>
    <xf numFmtId="165" fontId="52" fillId="2" borderId="40" applyAlignment="1" pivotButton="0" quotePrefix="0" xfId="0">
      <alignment horizontal="center" vertical="center"/>
    </xf>
    <xf numFmtId="0" fontId="17" fillId="0" borderId="40" applyAlignment="1" applyProtection="1" pivotButton="0" quotePrefix="0" xfId="0">
      <alignment horizontal="center" vertical="center"/>
      <protection locked="0" hidden="0"/>
    </xf>
    <xf numFmtId="0" fontId="17" fillId="0" borderId="4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xf>
    <xf numFmtId="165" fontId="17" fillId="0" borderId="0" applyAlignment="1" pivotButton="0" quotePrefix="0" xfId="0">
      <alignment horizontal="center" vertical="center"/>
    </xf>
    <xf numFmtId="0" fontId="0" fillId="0" borderId="47" applyAlignment="1" pivotButton="0" quotePrefix="0" xfId="0">
      <alignment horizontal="left" vertical="center" wrapText="1"/>
    </xf>
    <xf numFmtId="165" fontId="52" fillId="2" borderId="47" applyAlignment="1" pivotButton="0" quotePrefix="0" xfId="0">
      <alignment horizontal="center" vertical="center"/>
    </xf>
    <xf numFmtId="0" fontId="17" fillId="0" borderId="47" applyAlignment="1" applyProtection="1" pivotButton="0" quotePrefix="0" xfId="0">
      <alignment horizontal="center" vertical="center"/>
      <protection locked="0" hidden="0"/>
    </xf>
    <xf numFmtId="0" fontId="17" fillId="0" borderId="79" applyAlignment="1" pivotButton="0" quotePrefix="0" xfId="0">
      <alignment horizontal="center" vertical="center"/>
    </xf>
    <xf numFmtId="0" fontId="0" fillId="0" borderId="73" applyAlignment="1" pivotButton="0" quotePrefix="0" xfId="0">
      <alignment horizontal="center" vertical="center" wrapText="1"/>
    </xf>
    <xf numFmtId="0" fontId="0" fillId="0" borderId="73" applyAlignment="1" pivotButton="0" quotePrefix="0" xfId="0">
      <alignment horizontal="left" vertical="center" wrapText="1"/>
    </xf>
    <xf numFmtId="165" fontId="52" fillId="0" borderId="73" applyAlignment="1" pivotButton="0" quotePrefix="0" xfId="0">
      <alignment horizontal="center" vertical="center"/>
    </xf>
    <xf numFmtId="0" fontId="17" fillId="0" borderId="73" applyAlignment="1" pivotButton="0" quotePrefix="0" xfId="0">
      <alignment horizontal="center" vertical="center"/>
    </xf>
    <xf numFmtId="0" fontId="17" fillId="0" borderId="73" applyAlignment="1" applyProtection="1" pivotButton="0" quotePrefix="0" xfId="0">
      <alignment horizontal="center" vertical="center"/>
      <protection locked="0" hidden="0"/>
    </xf>
    <xf numFmtId="0" fontId="6" fillId="0" borderId="48" applyAlignment="1" pivotButton="0" quotePrefix="0" xfId="0">
      <alignment horizontal="center" vertical="center"/>
    </xf>
    <xf numFmtId="0" fontId="0" fillId="0" borderId="90" applyAlignment="1" pivotButton="0" quotePrefix="0" xfId="0">
      <alignment horizontal="left" vertical="center" wrapText="1"/>
    </xf>
    <xf numFmtId="0" fontId="0" fillId="0" borderId="34" applyAlignment="1" pivotButton="0" quotePrefix="0" xfId="0">
      <alignment horizontal="left" vertical="center" wrapText="1"/>
    </xf>
    <xf numFmtId="2" fontId="52" fillId="2" borderId="34" applyAlignment="1" pivotButton="0" quotePrefix="0" xfId="0">
      <alignment horizontal="center" vertical="center"/>
    </xf>
    <xf numFmtId="0" fontId="17" fillId="0" borderId="34" applyAlignment="1" applyProtection="1" pivotButton="0" quotePrefix="0" xfId="0">
      <alignment horizontal="center" vertical="center"/>
      <protection locked="0" hidden="0"/>
    </xf>
    <xf numFmtId="0" fontId="17" fillId="0" borderId="68" applyAlignment="1" pivotButton="0" quotePrefix="0" xfId="0">
      <alignment horizontal="center" vertical="center"/>
    </xf>
    <xf numFmtId="2" fontId="52" fillId="2" borderId="40" applyAlignment="1" pivotButton="0" quotePrefix="0" xfId="0">
      <alignment horizontal="center" vertical="center"/>
    </xf>
    <xf numFmtId="0" fontId="17" fillId="0" borderId="51" applyAlignment="1" pivotButton="0" quotePrefix="0" xfId="0">
      <alignment horizontal="center" vertical="center"/>
    </xf>
    <xf numFmtId="2" fontId="52" fillId="2" borderId="40" applyAlignment="1" pivotButton="0" quotePrefix="0" xfId="0">
      <alignment horizontal="center" vertical="center" wrapText="1"/>
    </xf>
    <xf numFmtId="0" fontId="0" fillId="0" borderId="38" applyAlignment="1" pivotButton="0" quotePrefix="0" xfId="0">
      <alignment horizontal="left" vertical="center" wrapText="1"/>
    </xf>
    <xf numFmtId="0" fontId="0" fillId="0" borderId="91" applyAlignment="1" pivotButton="0" quotePrefix="0" xfId="0">
      <alignment horizontal="left" vertical="center" wrapText="1"/>
    </xf>
    <xf numFmtId="165" fontId="52" fillId="2" borderId="38" applyAlignment="1" pivotButton="0" quotePrefix="0" xfId="0">
      <alignment horizontal="center" vertical="center"/>
    </xf>
    <xf numFmtId="0" fontId="65" fillId="0" borderId="0" applyAlignment="1" pivotButton="0" quotePrefix="0" xfId="0">
      <alignment horizontal="left" vertical="center" wrapText="1"/>
    </xf>
    <xf numFmtId="0" fontId="6" fillId="0" borderId="33" applyAlignment="1" pivotButton="0" quotePrefix="0" xfId="0">
      <alignment horizontal="center" vertical="center" wrapText="1"/>
    </xf>
    <xf numFmtId="165" fontId="52" fillId="2" borderId="34" applyAlignment="1" pivotButton="0" quotePrefix="0" xfId="0">
      <alignment horizontal="center" vertical="center"/>
    </xf>
    <xf numFmtId="0" fontId="17" fillId="12" borderId="36" applyAlignment="1" pivotButton="0" quotePrefix="0" xfId="0">
      <alignment horizontal="center" vertical="center"/>
    </xf>
    <xf numFmtId="0" fontId="17" fillId="12" borderId="0" applyAlignment="1" pivotButton="0" quotePrefix="0" xfId="0">
      <alignment horizontal="center" vertical="center"/>
    </xf>
    <xf numFmtId="165" fontId="66" fillId="0" borderId="0" applyAlignment="1" pivotButton="0" quotePrefix="0" xfId="0">
      <alignment horizontal="center" vertical="center"/>
    </xf>
    <xf numFmtId="170" fontId="0" fillId="0" borderId="40" applyAlignment="1" pivotButton="0" quotePrefix="0" xfId="17">
      <alignment horizontal="center" vertical="center" wrapText="1"/>
    </xf>
    <xf numFmtId="0" fontId="0" fillId="9" borderId="0" applyAlignment="1" pivotButton="0" quotePrefix="0" xfId="0">
      <alignment horizontal="general" vertical="bottom" wrapText="1"/>
    </xf>
    <xf numFmtId="0" fontId="0" fillId="11" borderId="40" applyAlignment="1" pivotButton="0" quotePrefix="0" xfId="0">
      <alignment horizontal="left" vertical="center" wrapText="1"/>
    </xf>
    <xf numFmtId="165" fontId="52" fillId="11" borderId="40" applyAlignment="1" pivotButton="0" quotePrefix="0" xfId="0">
      <alignment horizontal="center" vertical="center"/>
    </xf>
    <xf numFmtId="165" fontId="52" fillId="2" borderId="40" applyAlignment="1" pivotButton="0" quotePrefix="0" xfId="0">
      <alignment horizontal="center" vertical="center" wrapText="1"/>
    </xf>
    <xf numFmtId="165" fontId="52" fillId="11" borderId="40" applyAlignment="1" pivotButton="0" quotePrefix="0" xfId="0">
      <alignment horizontal="center" vertical="center" wrapText="1"/>
    </xf>
    <xf numFmtId="0" fontId="17" fillId="0" borderId="50" applyAlignment="1" applyProtection="1" pivotButton="0" quotePrefix="0" xfId="0">
      <alignment horizontal="center" vertical="center"/>
      <protection locked="0" hidden="0"/>
    </xf>
    <xf numFmtId="0" fontId="17" fillId="0" borderId="50" applyAlignment="1" applyProtection="1" pivotButton="0" quotePrefix="0" xfId="0">
      <alignment horizontal="center" vertical="center"/>
      <protection locked="0" hidden="0"/>
    </xf>
    <xf numFmtId="0" fontId="17" fillId="0" borderId="41" applyAlignment="1" pivotButton="0" quotePrefix="0" xfId="0">
      <alignment horizontal="center" vertical="center"/>
    </xf>
    <xf numFmtId="165" fontId="52" fillId="0" borderId="38" applyAlignment="1" pivotButton="0" quotePrefix="0" xfId="0">
      <alignment horizontal="center" vertical="center"/>
    </xf>
    <xf numFmtId="0" fontId="66" fillId="0" borderId="74" applyAlignment="1" pivotButton="0" quotePrefix="0" xfId="0">
      <alignment horizontal="general" vertical="center" wrapText="1"/>
    </xf>
    <xf numFmtId="0" fontId="6" fillId="0" borderId="48" applyAlignment="1" pivotButton="0" quotePrefix="0" xfId="0">
      <alignment horizontal="center" vertical="center"/>
    </xf>
    <xf numFmtId="0" fontId="17" fillId="0" borderId="36" applyAlignment="1" pivotButton="0" quotePrefix="0" xfId="0">
      <alignment horizontal="center" vertical="center"/>
    </xf>
    <xf numFmtId="0" fontId="6" fillId="0" borderId="81" applyAlignment="1" pivotButton="0" quotePrefix="0" xfId="0">
      <alignment horizontal="center" vertical="center"/>
    </xf>
    <xf numFmtId="0" fontId="0" fillId="0" borderId="34" applyAlignment="1" pivotButton="0" quotePrefix="0" xfId="0">
      <alignment horizontal="center" vertical="bottom"/>
    </xf>
    <xf numFmtId="0" fontId="0" fillId="0" borderId="40" applyAlignment="1" pivotButton="0" quotePrefix="0" xfId="0">
      <alignment horizontal="center" vertical="bottom"/>
    </xf>
    <xf numFmtId="0" fontId="0" fillId="0" borderId="50" applyAlignment="1" pivotButton="0" quotePrefix="0" xfId="0">
      <alignment horizontal="center" vertical="bottom"/>
    </xf>
    <xf numFmtId="0" fontId="0" fillId="0" borderId="50" applyAlignment="1" pivotButton="0" quotePrefix="0" xfId="0">
      <alignment horizontal="center" vertical="center" wrapText="1"/>
    </xf>
    <xf numFmtId="165" fontId="52" fillId="2" borderId="50" applyAlignment="1" pivotButton="0" quotePrefix="0" xfId="0">
      <alignment horizontal="center" vertical="center"/>
    </xf>
    <xf numFmtId="0" fontId="17" fillId="0" borderId="50" applyAlignment="1" pivotButton="0" quotePrefix="0" xfId="0">
      <alignment horizontal="center" vertical="center"/>
    </xf>
    <xf numFmtId="0" fontId="6" fillId="0" borderId="33" applyAlignment="1" pivotButton="0" quotePrefix="0" xfId="0">
      <alignment horizontal="center" vertical="center"/>
    </xf>
    <xf numFmtId="0" fontId="6" fillId="0" borderId="37" applyAlignment="1" pivotButton="0" quotePrefix="0" xfId="0">
      <alignment horizontal="center" vertical="center"/>
    </xf>
    <xf numFmtId="165" fontId="17" fillId="0" borderId="0" applyAlignment="1" pivotButton="0" quotePrefix="0" xfId="0">
      <alignment horizontal="left" vertical="center"/>
    </xf>
    <xf numFmtId="0" fontId="6" fillId="0" borderId="48" applyAlignment="1" pivotButton="0" quotePrefix="0" xfId="0">
      <alignment horizontal="center" vertical="center" wrapText="1"/>
    </xf>
    <xf numFmtId="0" fontId="17" fillId="12" borderId="4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center" vertical="center"/>
    </xf>
    <xf numFmtId="0" fontId="17" fillId="0" borderId="75" applyAlignment="1" pivotButton="0" quotePrefix="0" xfId="0">
      <alignment horizontal="center" vertical="center"/>
    </xf>
    <xf numFmtId="0" fontId="17" fillId="0" borderId="85" applyAlignment="1" pivotButton="0" quotePrefix="0" xfId="0">
      <alignment horizontal="center" vertical="center"/>
    </xf>
    <xf numFmtId="0" fontId="17" fillId="0" borderId="92"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165" fontId="52" fillId="0" borderId="87" applyAlignment="1" pivotButton="0" quotePrefix="0" xfId="0">
      <alignment horizontal="center" vertical="center"/>
    </xf>
    <xf numFmtId="0" fontId="11" fillId="0" borderId="87" applyAlignment="1" pivotButton="0" quotePrefix="0" xfId="0">
      <alignment horizontal="center" vertical="center"/>
    </xf>
    <xf numFmtId="165" fontId="52" fillId="0" borderId="0" applyAlignment="1" pivotButton="0" quotePrefix="0" xfId="0">
      <alignment horizontal="center" vertical="center"/>
    </xf>
    <xf numFmtId="165" fontId="14" fillId="0" borderId="0" applyAlignment="1" pivotButton="0" quotePrefix="0" xfId="0">
      <alignment horizontal="center" vertical="center" wrapText="1"/>
    </xf>
    <xf numFmtId="0" fontId="8" fillId="0" borderId="73" applyAlignment="1" pivotButton="0" quotePrefix="0" xfId="0">
      <alignment horizontal="center" vertical="center"/>
    </xf>
    <xf numFmtId="0" fontId="8" fillId="2" borderId="33" applyAlignment="1" pivotButton="0" quotePrefix="0" xfId="0">
      <alignment horizontal="center" vertical="center" wrapText="1"/>
    </xf>
    <xf numFmtId="0" fontId="8" fillId="2" borderId="34" applyAlignment="1" pivotButton="0" quotePrefix="0" xfId="0">
      <alignment horizontal="center" vertical="center" wrapText="1"/>
    </xf>
    <xf numFmtId="165" fontId="8" fillId="2" borderId="34" applyAlignment="1" pivotButton="0" quotePrefix="0" xfId="0">
      <alignment horizontal="left" vertical="center" shrinkToFit="1"/>
    </xf>
    <xf numFmtId="0" fontId="0" fillId="0" borderId="63" applyAlignment="1" pivotButton="0" quotePrefix="0" xfId="0">
      <alignment horizontal="center" vertical="center" wrapText="1"/>
    </xf>
    <xf numFmtId="165" fontId="0" fillId="0" borderId="0" applyAlignment="1" pivotButton="0" quotePrefix="0" xfId="0">
      <alignment horizontal="general" vertical="top" wrapText="1"/>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17" fillId="0" borderId="40" applyAlignment="1" applyProtection="1" pivotButton="0" quotePrefix="0" xfId="0">
      <alignment horizontal="center" vertical="center"/>
      <protection locked="0" hidden="0"/>
    </xf>
    <xf numFmtId="165" fontId="52" fillId="2" borderId="5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75" applyAlignment="1" pivotButton="0" quotePrefix="0" xfId="0">
      <alignment horizontal="center" vertical="center"/>
    </xf>
    <xf numFmtId="0" fontId="0" fillId="11" borderId="72" applyAlignment="1" pivotButton="0" quotePrefix="0" xfId="0">
      <alignment horizontal="center" vertical="center" wrapText="1"/>
    </xf>
    <xf numFmtId="0" fontId="0" fillId="11" borderId="34" applyAlignment="1" pivotButton="0" quotePrefix="0" xfId="0">
      <alignment horizontal="center" vertical="center" wrapText="1"/>
    </xf>
    <xf numFmtId="2" fontId="52" fillId="11" borderId="34" applyAlignment="1" pivotButton="0" quotePrefix="0" xfId="0">
      <alignment horizontal="center" vertical="center" wrapText="1"/>
    </xf>
    <xf numFmtId="0" fontId="0" fillId="11" borderId="40" applyAlignment="1" pivotButton="0" quotePrefix="0" xfId="0">
      <alignment horizontal="center" vertical="center"/>
    </xf>
    <xf numFmtId="2" fontId="52" fillId="11" borderId="39" applyAlignment="1" pivotButton="0" quotePrefix="0" xfId="0">
      <alignment horizontal="center" vertical="center" wrapText="1"/>
    </xf>
    <xf numFmtId="0" fontId="17" fillId="0" borderId="39" applyAlignment="1" applyProtection="1" pivotButton="0" quotePrefix="0" xfId="0">
      <alignment horizontal="center" vertical="center"/>
      <protection locked="0" hidden="0"/>
    </xf>
    <xf numFmtId="0" fontId="17" fillId="0" borderId="43" applyAlignment="1" pivotButton="0" quotePrefix="0" xfId="0">
      <alignment horizontal="center" vertical="center"/>
    </xf>
    <xf numFmtId="0" fontId="0" fillId="11" borderId="40" applyAlignment="1" pivotButton="0" quotePrefix="0" xfId="0">
      <alignment horizontal="center" vertical="center" wrapText="1"/>
    </xf>
    <xf numFmtId="2" fontId="52" fillId="11" borderId="40" applyAlignment="1" pivotButton="0" quotePrefix="0" xfId="0">
      <alignment horizontal="center" vertical="center" wrapText="1"/>
    </xf>
    <xf numFmtId="0" fontId="0" fillId="0" borderId="85" applyAlignment="1" pivotButton="0" quotePrefix="0" xfId="0">
      <alignment horizontal="center" vertical="center"/>
    </xf>
    <xf numFmtId="165" fontId="70" fillId="2" borderId="40" applyAlignment="1" pivotButton="0" quotePrefix="0" xfId="0">
      <alignment horizontal="center" vertical="center"/>
    </xf>
    <xf numFmtId="0" fontId="63" fillId="0" borderId="40" applyAlignment="1" pivotButton="0" quotePrefix="0" xfId="0">
      <alignment horizontal="center" vertical="center"/>
    </xf>
    <xf numFmtId="0" fontId="0" fillId="0" borderId="92" applyAlignment="1" pivotButton="0" quotePrefix="0" xfId="0">
      <alignment horizontal="center" vertical="center"/>
    </xf>
    <xf numFmtId="165" fontId="52" fillId="2" borderId="34" applyAlignment="1" pivotButton="0" quotePrefix="0" xfId="0">
      <alignment horizontal="center" vertical="center" wrapText="1"/>
    </xf>
    <xf numFmtId="0" fontId="0" fillId="0" borderId="33" applyAlignment="1" pivotButton="0" quotePrefix="0" xfId="0">
      <alignment horizontal="center" vertical="center" wrapText="1"/>
    </xf>
    <xf numFmtId="0" fontId="15" fillId="0" borderId="34" applyAlignment="1" pivotButton="0" quotePrefix="0" xfId="0">
      <alignment horizontal="center" vertical="center" wrapText="1"/>
    </xf>
    <xf numFmtId="0" fontId="0" fillId="0" borderId="57" applyAlignment="1" pivotButton="0" quotePrefix="0" xfId="0">
      <alignment horizontal="center" vertical="center" wrapText="1"/>
    </xf>
    <xf numFmtId="0" fontId="15" fillId="0" borderId="40" applyAlignment="1" pivotButton="0" quotePrefix="0" xfId="0">
      <alignment horizontal="general" vertical="center" wrapText="1"/>
    </xf>
    <xf numFmtId="0" fontId="15" fillId="0" borderId="37" applyAlignment="1" pivotButton="0" quotePrefix="0" xfId="0">
      <alignment horizontal="center" vertical="center" wrapText="1"/>
    </xf>
    <xf numFmtId="0" fontId="71" fillId="0" borderId="38" applyAlignment="1" pivotButton="0" quotePrefix="0" xfId="0">
      <alignment horizontal="general" vertical="center" wrapText="1"/>
    </xf>
    <xf numFmtId="0" fontId="0" fillId="0" borderId="38" applyAlignment="1" pivotButton="0" quotePrefix="0" xfId="0">
      <alignment horizontal="general" vertical="center" wrapText="1"/>
    </xf>
    <xf numFmtId="0" fontId="17" fillId="0" borderId="34" applyAlignment="1" applyProtection="1" pivotButton="0" quotePrefix="0" xfId="0">
      <alignment horizontal="center" vertical="center"/>
      <protection locked="0" hidden="0"/>
    </xf>
    <xf numFmtId="0" fontId="17" fillId="0" borderId="36" applyAlignment="1" pivotButton="0" quotePrefix="0" xfId="0">
      <alignment horizontal="center" vertical="center"/>
    </xf>
    <xf numFmtId="165" fontId="6" fillId="0" borderId="0" applyAlignment="1" pivotButton="0" quotePrefix="0" xfId="0">
      <alignment horizontal="right" vertical="center"/>
    </xf>
    <xf numFmtId="0" fontId="6" fillId="0" borderId="0" applyAlignment="1" pivotButton="0" quotePrefix="0" xfId="0">
      <alignment horizontal="right" vertical="center"/>
    </xf>
    <xf numFmtId="165" fontId="52" fillId="2" borderId="38" applyAlignment="1" pivotButton="0" quotePrefix="0" xfId="0">
      <alignment horizontal="center" vertical="center" wrapText="1"/>
    </xf>
    <xf numFmtId="0" fontId="17" fillId="0" borderId="38" applyAlignment="1" applyProtection="1" pivotButton="0" quotePrefix="0" xfId="0">
      <alignment horizontal="center" vertical="center"/>
      <protection locked="0" hidden="0"/>
    </xf>
    <xf numFmtId="0" fontId="17" fillId="0" borderId="44" applyAlignment="1" pivotButton="0" quotePrefix="0" xfId="0">
      <alignment horizontal="center" vertical="center"/>
    </xf>
    <xf numFmtId="0" fontId="0" fillId="0" borderId="46" applyAlignment="1" pivotButton="0" quotePrefix="0" xfId="0">
      <alignment horizontal="center" vertical="center" wrapText="1"/>
    </xf>
    <xf numFmtId="166" fontId="52" fillId="2" borderId="47" applyAlignment="1" pivotButton="0" quotePrefix="0" xfId="0">
      <alignment horizontal="center" vertical="center" wrapText="1"/>
    </xf>
    <xf numFmtId="165" fontId="52" fillId="2" borderId="39" applyAlignment="1" pivotButton="0" quotePrefix="0" xfId="0">
      <alignment horizontal="center" vertical="center" wrapText="1"/>
    </xf>
    <xf numFmtId="0" fontId="0" fillId="0" borderId="0" applyAlignment="1" pivotButton="0" quotePrefix="0" xfId="0">
      <alignment horizontal="left" vertical="center" wrapText="1"/>
    </xf>
    <xf numFmtId="165" fontId="6" fillId="0" borderId="0" applyAlignment="1" pivotButton="0" quotePrefix="0" xfId="0">
      <alignment horizontal="center" vertical="center"/>
    </xf>
    <xf numFmtId="165" fontId="52" fillId="2" borderId="34" applyAlignment="1" pivotButton="0" quotePrefix="0" xfId="0">
      <alignment horizontal="center" vertical="center" wrapText="1"/>
    </xf>
    <xf numFmtId="0" fontId="17" fillId="0" borderId="35" applyAlignment="1" pivotButton="0" quotePrefix="0" xfId="0">
      <alignment horizontal="center" vertical="center"/>
    </xf>
    <xf numFmtId="0" fontId="17" fillId="0" borderId="59" applyAlignment="1" applyProtection="1" pivotButton="0" quotePrefix="0" xfId="0">
      <alignment horizontal="center" vertical="center"/>
      <protection locked="0" hidden="0"/>
    </xf>
    <xf numFmtId="0" fontId="0" fillId="0" borderId="48" applyAlignment="1" pivotButton="0" quotePrefix="0" xfId="0">
      <alignment horizontal="center" vertical="center"/>
    </xf>
    <xf numFmtId="0" fontId="61" fillId="0" borderId="34" applyAlignment="1" pivotButton="0" quotePrefix="0" xfId="0">
      <alignment horizontal="center" vertical="center" wrapText="1"/>
    </xf>
    <xf numFmtId="165" fontId="70" fillId="2" borderId="34" applyAlignment="1" pivotButton="0" quotePrefix="0" xfId="0">
      <alignment horizontal="center" vertical="center" wrapText="1"/>
    </xf>
    <xf numFmtId="0" fontId="63" fillId="0" borderId="34" applyAlignment="1" pivotButton="0" quotePrefix="0" xfId="0">
      <alignment horizontal="center" vertical="center"/>
    </xf>
    <xf numFmtId="0" fontId="63" fillId="0" borderId="34" applyAlignment="1" applyProtection="1" pivotButton="0" quotePrefix="0" xfId="0">
      <alignment horizontal="center" vertical="center"/>
      <protection locked="0" hidden="0"/>
    </xf>
    <xf numFmtId="0" fontId="63" fillId="0" borderId="36" applyAlignment="1" pivotButton="0" quotePrefix="0" xfId="0">
      <alignment horizontal="center" vertical="center"/>
    </xf>
    <xf numFmtId="2" fontId="52" fillId="2" borderId="39" applyAlignment="1" pivotButton="0" quotePrefix="0" xfId="0">
      <alignment horizontal="center" vertical="center" wrapText="1"/>
    </xf>
    <xf numFmtId="0" fontId="17" fillId="0" borderId="39" applyAlignment="1" pivotButton="0" quotePrefix="0" xfId="0">
      <alignment horizontal="center" vertical="center"/>
    </xf>
    <xf numFmtId="2" fontId="52" fillId="2" borderId="38" applyAlignment="1" pivotButton="0" quotePrefix="0" xfId="0">
      <alignment horizontal="center" vertical="center" wrapText="1"/>
    </xf>
    <xf numFmtId="0" fontId="0" fillId="11" borderId="46" applyAlignment="1" pivotButton="0" quotePrefix="0" xfId="0">
      <alignment horizontal="center" vertical="center" wrapText="1"/>
    </xf>
    <xf numFmtId="0" fontId="0" fillId="11" borderId="39" applyAlignment="1" pivotButton="0" quotePrefix="0" xfId="0">
      <alignment horizontal="center" vertical="center" wrapText="1"/>
    </xf>
    <xf numFmtId="165" fontId="52" fillId="11" borderId="39" applyAlignment="1" pivotButton="0" quotePrefix="0" xfId="0">
      <alignment horizontal="center" vertical="center" wrapText="1"/>
    </xf>
    <xf numFmtId="0" fontId="17" fillId="11" borderId="52" applyAlignment="1" pivotButton="0" quotePrefix="0" xfId="0">
      <alignment horizontal="center" vertical="center"/>
    </xf>
    <xf numFmtId="0" fontId="0" fillId="11" borderId="38" applyAlignment="1" pivotButton="0" quotePrefix="0" xfId="0">
      <alignment horizontal="center" vertical="center" wrapText="1"/>
    </xf>
    <xf numFmtId="2" fontId="70" fillId="2" borderId="34" applyAlignment="1" pivotButton="0" quotePrefix="0" xfId="0">
      <alignment horizontal="center" vertical="center" wrapText="1"/>
    </xf>
    <xf numFmtId="0" fontId="63" fillId="0" borderId="34" applyAlignment="1" applyProtection="1" pivotButton="0" quotePrefix="0" xfId="0">
      <alignment horizontal="center" vertical="center"/>
      <protection locked="0" hidden="0"/>
    </xf>
    <xf numFmtId="0" fontId="63" fillId="0" borderId="36" applyAlignment="1" pivotButton="0" quotePrefix="0" xfId="0">
      <alignment horizontal="center" vertical="center"/>
    </xf>
    <xf numFmtId="0" fontId="0" fillId="11" borderId="0" applyAlignment="1" pivotButton="0" quotePrefix="0" xfId="0">
      <alignment horizontal="general" vertical="bottom"/>
    </xf>
    <xf numFmtId="0" fontId="13" fillId="0" borderId="40" applyAlignment="1" pivotButton="0" quotePrefix="0" xfId="0">
      <alignment horizontal="center" vertical="center"/>
    </xf>
    <xf numFmtId="0" fontId="52" fillId="2" borderId="38" applyAlignment="1" pivotButton="0" quotePrefix="0" xfId="0">
      <alignment horizontal="center" vertical="center"/>
    </xf>
    <xf numFmtId="165" fontId="52" fillId="2" borderId="49" applyAlignment="1" pivotButton="0" quotePrefix="0" xfId="0">
      <alignment horizontal="center" vertical="center" wrapText="1"/>
    </xf>
    <xf numFmtId="0" fontId="17" fillId="0" borderId="49" applyAlignment="1" pivotButton="0" quotePrefix="0" xfId="0">
      <alignment horizontal="center" vertical="center" wrapText="1"/>
    </xf>
    <xf numFmtId="0" fontId="17" fillId="0" borderId="49" applyAlignment="1" applyProtection="1" pivotButton="0" quotePrefix="0" xfId="0">
      <alignment horizontal="center" vertical="center"/>
      <protection locked="0" hidden="0"/>
    </xf>
    <xf numFmtId="0" fontId="17" fillId="0" borderId="71" applyAlignment="1" pivotButton="0" quotePrefix="0" xfId="0">
      <alignment horizontal="center" vertical="center"/>
    </xf>
    <xf numFmtId="165" fontId="36" fillId="2" borderId="49" applyAlignment="1" pivotButton="0" quotePrefix="0" xfId="0">
      <alignment horizontal="center" vertical="center" wrapText="1"/>
    </xf>
    <xf numFmtId="0" fontId="17" fillId="0" borderId="49" applyAlignment="1" pivotButton="0" quotePrefix="0" xfId="0">
      <alignment horizontal="center" vertical="center"/>
    </xf>
    <xf numFmtId="0" fontId="0" fillId="0" borderId="33" applyAlignment="1" pivotButton="0" quotePrefix="0" xfId="0">
      <alignment horizontal="center" vertical="center" wrapText="1"/>
    </xf>
    <xf numFmtId="2" fontId="73" fillId="2" borderId="34" applyAlignment="1" pivotButton="0" quotePrefix="0" xfId="0">
      <alignment horizontal="center" vertical="center" wrapText="1"/>
    </xf>
    <xf numFmtId="0" fontId="0" fillId="0" borderId="57" applyAlignment="1" pivotButton="0" quotePrefix="0" xfId="0">
      <alignment horizontal="center" vertical="center" wrapText="1"/>
    </xf>
    <xf numFmtId="165" fontId="73" fillId="2" borderId="40" applyAlignment="1" pivotButton="0" quotePrefix="0" xfId="0">
      <alignment horizontal="center" vertical="center" wrapText="1"/>
    </xf>
    <xf numFmtId="166" fontId="73" fillId="2" borderId="40" applyAlignment="1" pivotButton="0" quotePrefix="0" xfId="0">
      <alignment horizontal="center" vertical="bottom"/>
    </xf>
    <xf numFmtId="0" fontId="0" fillId="0" borderId="37" applyAlignment="1" pivotButton="0" quotePrefix="0" xfId="0">
      <alignment horizontal="center" vertical="center" wrapText="1"/>
    </xf>
    <xf numFmtId="0" fontId="0" fillId="0" borderId="58" applyAlignment="1" pivotButton="0" quotePrefix="0" xfId="0">
      <alignment horizontal="center" vertical="center" wrapText="1"/>
    </xf>
    <xf numFmtId="2" fontId="52" fillId="2" borderId="34" applyAlignment="1" pivotButton="0" quotePrefix="0" xfId="0">
      <alignment horizontal="center" vertical="center" wrapText="1"/>
    </xf>
    <xf numFmtId="0" fontId="0" fillId="0" borderId="38" applyAlignment="1" pivotButton="0" quotePrefix="0" xfId="0">
      <alignment horizontal="center" vertical="center" wrapText="1"/>
    </xf>
    <xf numFmtId="0" fontId="0" fillId="0" borderId="40" applyAlignment="1" pivotButton="0" quotePrefix="0" xfId="0">
      <alignment horizontal="general" vertical="center" wrapText="1"/>
    </xf>
    <xf numFmtId="0" fontId="17" fillId="0" borderId="39" applyAlignment="1" applyProtection="1" pivotButton="0" quotePrefix="0" xfId="0">
      <alignment horizontal="center" vertical="center"/>
      <protection locked="0" hidden="0"/>
    </xf>
    <xf numFmtId="2" fontId="52" fillId="11" borderId="59" applyAlignment="1" pivotButton="0" quotePrefix="0" xfId="0">
      <alignment horizontal="center" vertical="center" wrapText="1"/>
    </xf>
    <xf numFmtId="0" fontId="17" fillId="0" borderId="59" applyAlignment="1" pivotButton="0" quotePrefix="0" xfId="0">
      <alignment horizontal="center" vertical="center"/>
    </xf>
    <xf numFmtId="0" fontId="17" fillId="0" borderId="59" applyAlignment="1" applyProtection="1" pivotButton="0" quotePrefix="0" xfId="0">
      <alignment horizontal="center" vertical="center"/>
      <protection locked="0" hidden="0"/>
    </xf>
    <xf numFmtId="0" fontId="17" fillId="0" borderId="51" applyAlignment="1" pivotButton="0" quotePrefix="0" xfId="0">
      <alignment horizontal="center" vertical="center"/>
    </xf>
    <xf numFmtId="0" fontId="0" fillId="0" borderId="0" applyAlignment="1" pivotButton="0" quotePrefix="0" xfId="0">
      <alignment horizontal="center" vertical="center" wrapText="1"/>
    </xf>
    <xf numFmtId="0" fontId="0" fillId="0" borderId="39" applyAlignment="1" pivotButton="0" quotePrefix="0" xfId="0">
      <alignment horizontal="center" vertical="center" wrapText="1"/>
    </xf>
    <xf numFmtId="0" fontId="28" fillId="11" borderId="40" applyAlignment="1" pivotButton="0" quotePrefix="0" xfId="0">
      <alignment horizontal="center" vertical="center" wrapText="1"/>
    </xf>
    <xf numFmtId="0" fontId="28" fillId="11" borderId="40" applyAlignment="1" pivotButton="0" quotePrefix="0" xfId="0">
      <alignment horizontal="center" vertical="center" wrapText="1"/>
    </xf>
    <xf numFmtId="2" fontId="74" fillId="11" borderId="40" applyAlignment="1" pivotButton="0" quotePrefix="0" xfId="0">
      <alignment horizontal="center" vertical="center" wrapText="1"/>
    </xf>
    <xf numFmtId="0" fontId="63" fillId="11" borderId="40" applyAlignment="1" pivotButton="0" quotePrefix="0" xfId="0">
      <alignment horizontal="center" vertical="center"/>
    </xf>
    <xf numFmtId="0" fontId="63" fillId="11" borderId="40" applyAlignment="1" applyProtection="1" pivotButton="0" quotePrefix="0" xfId="0">
      <alignment horizontal="center" vertical="center"/>
      <protection locked="0" hidden="0"/>
    </xf>
    <xf numFmtId="0" fontId="63" fillId="11" borderId="41" applyAlignment="1" pivotButton="0" quotePrefix="0" xfId="0">
      <alignment horizontal="center" vertical="center"/>
    </xf>
    <xf numFmtId="0" fontId="61" fillId="0" borderId="0" applyAlignment="1" pivotButton="0" quotePrefix="0" xfId="0">
      <alignment horizontal="left" vertical="center"/>
    </xf>
    <xf numFmtId="0" fontId="0" fillId="0" borderId="74" applyAlignment="1" pivotButton="0" quotePrefix="0" xfId="0">
      <alignment horizontal="left" vertical="center" wrapText="1"/>
    </xf>
    <xf numFmtId="0" fontId="52" fillId="2" borderId="40" applyAlignment="1" pivotButton="0" quotePrefix="0" xfId="0">
      <alignment horizontal="center" vertical="center"/>
    </xf>
    <xf numFmtId="0" fontId="21" fillId="11" borderId="23" applyAlignment="1" pivotButton="0" quotePrefix="0" xfId="0">
      <alignment horizontal="center" vertical="center" wrapText="1"/>
    </xf>
    <xf numFmtId="0" fontId="0" fillId="0" borderId="0" applyAlignment="1" pivotButton="0" quotePrefix="0" xfId="0">
      <alignment horizontal="general" vertical="center"/>
    </xf>
    <xf numFmtId="0" fontId="10" fillId="0" borderId="0" applyAlignment="1" pivotButton="0" quotePrefix="0" xfId="0">
      <alignment horizontal="left" vertical="center" wrapText="1"/>
    </xf>
    <xf numFmtId="2" fontId="52" fillId="11" borderId="50" applyAlignment="1" pivotButton="0" quotePrefix="0" xfId="0">
      <alignment horizontal="center" vertical="center" wrapText="1"/>
    </xf>
    <xf numFmtId="0" fontId="0" fillId="11" borderId="47" applyAlignment="1" pivotButton="0" quotePrefix="0" xfId="0">
      <alignment horizontal="center" vertical="center" wrapText="1"/>
    </xf>
    <xf numFmtId="2" fontId="52" fillId="11" borderId="38" applyAlignment="1" pivotButton="0" quotePrefix="0" xfId="0">
      <alignment horizontal="center" vertical="center" wrapText="1"/>
    </xf>
    <xf numFmtId="0" fontId="75" fillId="11" borderId="48" applyAlignment="1" pivotButton="0" quotePrefix="0" xfId="0">
      <alignment horizontal="center" vertical="center" wrapText="1"/>
    </xf>
    <xf numFmtId="0" fontId="21" fillId="11" borderId="40" applyAlignment="1" pivotButton="0" quotePrefix="0" xfId="0">
      <alignment horizontal="center" vertical="center" wrapText="1"/>
    </xf>
    <xf numFmtId="0" fontId="21" fillId="11" borderId="40" applyAlignment="1" pivotButton="0" quotePrefix="0" xfId="0">
      <alignment horizontal="center" vertical="center" wrapText="1"/>
    </xf>
    <xf numFmtId="2" fontId="77" fillId="11" borderId="40" applyAlignment="1" pivotButton="0" quotePrefix="0" xfId="0">
      <alignment horizontal="center" vertical="center" wrapText="1"/>
    </xf>
    <xf numFmtId="0" fontId="75" fillId="0" borderId="53" applyAlignment="1" pivotButton="0" quotePrefix="0" xfId="0">
      <alignment horizontal="center" vertical="center"/>
    </xf>
    <xf numFmtId="0" fontId="75" fillId="0" borderId="40" applyAlignment="1" applyProtection="1" pivotButton="0" quotePrefix="0" xfId="0">
      <alignment horizontal="center" vertical="center"/>
      <protection locked="0" hidden="0"/>
    </xf>
    <xf numFmtId="0" fontId="75" fillId="0" borderId="41" applyAlignment="1" pivotButton="0" quotePrefix="0" xfId="0">
      <alignment horizontal="center" vertical="center"/>
    </xf>
    <xf numFmtId="0" fontId="78" fillId="0" borderId="74" applyAlignment="1" pivotButton="0" quotePrefix="0" xfId="0">
      <alignment horizontal="center" vertical="center" wrapText="1"/>
    </xf>
    <xf numFmtId="0" fontId="21" fillId="11" borderId="38" applyAlignment="1" pivotButton="0" quotePrefix="0" xfId="0">
      <alignment horizontal="center" vertical="center" wrapText="1"/>
    </xf>
    <xf numFmtId="0" fontId="75" fillId="0" borderId="53" applyAlignment="1" pivotButton="0" quotePrefix="0" xfId="0">
      <alignment horizontal="center" vertical="center"/>
    </xf>
    <xf numFmtId="0" fontId="75" fillId="0" borderId="40" applyAlignment="1" applyProtection="1" pivotButton="0" quotePrefix="0" xfId="0">
      <alignment horizontal="center" vertical="center"/>
      <protection locked="0" hidden="0"/>
    </xf>
    <xf numFmtId="0" fontId="75" fillId="0" borderId="41" applyAlignment="1" pivotButton="0" quotePrefix="0" xfId="0">
      <alignment horizontal="center" vertical="center"/>
    </xf>
    <xf numFmtId="2" fontId="52" fillId="2" borderId="39" applyAlignment="1" pivotButton="0" quotePrefix="0" xfId="0">
      <alignment horizontal="center" vertical="center"/>
    </xf>
    <xf numFmtId="0" fontId="21" fillId="0" borderId="39" applyAlignment="1" pivotButton="0" quotePrefix="0" xfId="0">
      <alignment horizontal="center" vertical="center"/>
    </xf>
    <xf numFmtId="0" fontId="52" fillId="2" borderId="39" applyAlignment="1" pivotButton="0" quotePrefix="0" xfId="0">
      <alignment horizontal="center" vertical="center"/>
    </xf>
    <xf numFmtId="0" fontId="0" fillId="11" borderId="58" applyAlignment="1" pivotButton="0" quotePrefix="0" xfId="0">
      <alignment horizontal="center" vertical="center" wrapText="1"/>
    </xf>
    <xf numFmtId="0" fontId="0" fillId="11" borderId="38" applyAlignment="1" pivotButton="0" quotePrefix="0" xfId="0">
      <alignment horizontal="center" vertical="center" wrapText="1"/>
    </xf>
    <xf numFmtId="0" fontId="6" fillId="14" borderId="93" applyAlignment="1" pivotButton="0" quotePrefix="0" xfId="0">
      <alignment horizontal="left" vertical="center"/>
    </xf>
    <xf numFmtId="0" fontId="0" fillId="14" borderId="94" applyAlignment="1" pivotButton="0" quotePrefix="0" xfId="0">
      <alignment horizontal="left" vertical="center"/>
    </xf>
    <xf numFmtId="0" fontId="0" fillId="14" borderId="95" applyAlignment="1" pivotButton="0" quotePrefix="0" xfId="0">
      <alignment horizontal="center" vertical="center"/>
    </xf>
    <xf numFmtId="2" fontId="52" fillId="2" borderId="96" applyAlignment="1" pivotButton="0" quotePrefix="0" xfId="0">
      <alignment horizontal="center" vertical="center"/>
    </xf>
    <xf numFmtId="0" fontId="17" fillId="0" borderId="96" applyAlignment="1" pivotButton="0" quotePrefix="0" xfId="0">
      <alignment horizontal="center" vertical="center"/>
    </xf>
    <xf numFmtId="0" fontId="17" fillId="0" borderId="96" applyAlignment="1" applyProtection="1" pivotButton="0" quotePrefix="0" xfId="0">
      <alignment horizontal="center" vertical="center"/>
      <protection locked="0" hidden="0"/>
    </xf>
    <xf numFmtId="0" fontId="17" fillId="0" borderId="4" applyAlignment="1" pivotButton="0" quotePrefix="0" xfId="0">
      <alignment horizontal="center" vertical="center"/>
    </xf>
    <xf numFmtId="0" fontId="6" fillId="14" borderId="97" applyAlignment="1" pivotButton="0" quotePrefix="0" xfId="0">
      <alignment horizontal="left" vertical="center" wrapText="1"/>
    </xf>
    <xf numFmtId="0" fontId="0" fillId="14" borderId="98" applyAlignment="1" pivotButton="0" quotePrefix="0" xfId="0">
      <alignment horizontal="left" vertical="center"/>
    </xf>
    <xf numFmtId="0" fontId="0" fillId="14" borderId="99" applyAlignment="1" pivotButton="0" quotePrefix="0" xfId="0">
      <alignment horizontal="center" vertical="center"/>
    </xf>
    <xf numFmtId="2" fontId="52" fillId="2" borderId="100" applyAlignment="1" pivotButton="0" quotePrefix="0" xfId="0">
      <alignment horizontal="center" vertical="center"/>
    </xf>
    <xf numFmtId="0" fontId="17" fillId="0" borderId="100" applyAlignment="1" pivotButton="0" quotePrefix="0" xfId="0">
      <alignment horizontal="center" vertical="center"/>
    </xf>
    <xf numFmtId="0" fontId="17" fillId="0" borderId="100" applyAlignment="1" applyProtection="1" pivotButton="0" quotePrefix="0" xfId="0">
      <alignment horizontal="center" vertical="center"/>
      <protection locked="0" hidden="0"/>
    </xf>
    <xf numFmtId="0" fontId="17" fillId="0" borderId="101" applyAlignment="1" pivotButton="0" quotePrefix="0" xfId="0">
      <alignment horizontal="center" vertical="center"/>
    </xf>
    <xf numFmtId="0" fontId="17" fillId="0" borderId="0" applyAlignment="1" pivotButton="0" quotePrefix="0" xfId="0">
      <alignment horizontal="general" vertical="bottom"/>
    </xf>
    <xf numFmtId="0" fontId="17" fillId="0" borderId="87" applyAlignment="1" pivotButton="0" quotePrefix="0" xfId="0">
      <alignment horizontal="center" vertical="center"/>
    </xf>
    <xf numFmtId="2" fontId="36" fillId="0" borderId="0" applyAlignment="1" pivotButton="0" quotePrefix="0" xfId="0">
      <alignment horizontal="center" vertical="center" wrapText="1"/>
    </xf>
    <xf numFmtId="0" fontId="15" fillId="17"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horizontal="center" vertical="center" wrapText="1"/>
    </xf>
    <xf numFmtId="2" fontId="36" fillId="0" borderId="0" applyAlignment="1" pivotButton="0" quotePrefix="0" xfId="0">
      <alignment horizontal="center" vertical="center" wrapText="1"/>
    </xf>
    <xf numFmtId="0" fontId="0" fillId="0" borderId="0" applyAlignment="1" pivotButton="0" quotePrefix="0" xfId="0">
      <alignment horizontal="general" vertical="center"/>
    </xf>
    <xf numFmtId="0" fontId="0" fillId="0"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applyAlignment="1" applyProtection="1" pivotButton="0" quotePrefix="0" xfId="0">
      <alignment horizontal="general" vertical="bottom"/>
      <protection locked="0" hidden="0"/>
    </xf>
    <xf numFmtId="0" fontId="0" fillId="0" borderId="0" pivotButton="0" quotePrefix="0" xfId="0"/>
    <xf numFmtId="0" fontId="7" fillId="0" borderId="0" applyAlignment="1" pivotButton="0" quotePrefix="0" xfId="0">
      <alignment horizontal="center" vertical="bottom"/>
    </xf>
    <xf numFmtId="0" fontId="8" fillId="2" borderId="1" applyAlignment="1" pivotButton="0" quotePrefix="0" xfId="0">
      <alignment horizontal="center" vertical="center"/>
    </xf>
    <xf numFmtId="0" fontId="8" fillId="2" borderId="2" applyAlignment="1" pivotButton="0" quotePrefix="0" xfId="0">
      <alignment horizontal="center" vertical="center"/>
    </xf>
    <xf numFmtId="0" fontId="8" fillId="2" borderId="3" applyAlignment="1" applyProtection="1" pivotButton="0" quotePrefix="0" xfId="0">
      <alignment horizontal="center" vertical="center"/>
      <protection locked="0" hidden="0"/>
    </xf>
    <xf numFmtId="0" fontId="8" fillId="2" borderId="4" applyAlignment="1" pivotButton="0" quotePrefix="0" xfId="0">
      <alignment horizontal="center" vertical="center" wrapText="1"/>
    </xf>
    <xf numFmtId="0" fontId="0" fillId="0" borderId="4" pivotButton="0" quotePrefix="0" xfId="0"/>
    <xf numFmtId="0" fontId="6" fillId="3" borderId="5" applyAlignment="1" pivotButton="0" quotePrefix="0" xfId="0">
      <alignment horizontal="center" vertical="center" wrapText="1"/>
    </xf>
    <xf numFmtId="0" fontId="6" fillId="3" borderId="6" applyAlignment="1" pivotButton="0" quotePrefix="0" xfId="0">
      <alignment horizontal="center" vertical="top"/>
    </xf>
    <xf numFmtId="0" fontId="6" fillId="3" borderId="6" applyAlignment="1" applyProtection="1" pivotButton="0" quotePrefix="0" xfId="0">
      <alignment horizontal="center" vertical="top"/>
      <protection locked="0" hidden="0"/>
    </xf>
    <xf numFmtId="0" fontId="6" fillId="3" borderId="4" applyAlignment="1" pivotButton="0" quotePrefix="0" xfId="0">
      <alignment horizontal="center" vertical="top"/>
    </xf>
    <xf numFmtId="0" fontId="6" fillId="3" borderId="7" applyAlignment="1" pivotButton="0" quotePrefix="0" xfId="0">
      <alignment horizontal="center" vertical="top"/>
    </xf>
    <xf numFmtId="0" fontId="0" fillId="3" borderId="8" applyAlignment="1" pivotButton="0" quotePrefix="0" xfId="0">
      <alignment horizontal="center" vertical="center"/>
    </xf>
    <xf numFmtId="9" fontId="0" fillId="3" borderId="8" applyAlignment="1" applyProtection="1" pivotButton="0" quotePrefix="0" xfId="0">
      <alignment horizontal="center" vertical="center"/>
      <protection locked="0" hidden="0"/>
    </xf>
    <xf numFmtId="0" fontId="0" fillId="3" borderId="9" applyAlignment="1" pivotButton="0" quotePrefix="0" xfId="0">
      <alignment horizontal="center" vertical="center"/>
    </xf>
    <xf numFmtId="0" fontId="9" fillId="0" borderId="0" applyAlignment="1" pivotButton="0" quotePrefix="0" xfId="0">
      <alignment horizontal="right" vertical="bottom"/>
    </xf>
    <xf numFmtId="0" fontId="9" fillId="0" borderId="10" applyAlignment="1" pivotButton="0" quotePrefix="0" xfId="0">
      <alignment horizontal="center" vertical="bottom"/>
    </xf>
    <xf numFmtId="0" fontId="0" fillId="0" borderId="11" applyAlignment="1" pivotButton="0" quotePrefix="0" xfId="0">
      <alignment horizontal="center" vertical="center" wrapText="1"/>
    </xf>
    <xf numFmtId="0" fontId="0" fillId="0" borderId="12" applyAlignment="1" pivotButton="0" quotePrefix="0" xfId="0">
      <alignment horizontal="center" vertical="center"/>
    </xf>
    <xf numFmtId="164" fontId="0" fillId="0" borderId="13" applyAlignment="1" applyProtection="1" pivotButton="0" quotePrefix="0" xfId="0">
      <alignment horizontal="center" vertical="center"/>
      <protection locked="0" hidden="0"/>
    </xf>
    <xf numFmtId="0" fontId="0" fillId="0" borderId="9" applyAlignment="1" pivotButton="0" quotePrefix="0" xfId="0">
      <alignment horizontal="center" vertical="center"/>
    </xf>
    <xf numFmtId="0" fontId="0" fillId="0" borderId="9" pivotButton="0" quotePrefix="0" xfId="0"/>
    <xf numFmtId="1" fontId="9" fillId="3" borderId="14" applyAlignment="1" applyProtection="1" pivotButton="0" quotePrefix="0" xfId="0">
      <alignment horizontal="center" vertical="bottom"/>
      <protection locked="0" hidden="0"/>
    </xf>
    <xf numFmtId="0" fontId="10" fillId="0" borderId="11" applyAlignment="1" pivotButton="0" quotePrefix="0" xfId="0">
      <alignment horizontal="center" vertical="center" wrapText="1"/>
    </xf>
    <xf numFmtId="165" fontId="9" fillId="0" borderId="14" applyAlignment="1" applyProtection="1" pivotButton="0" quotePrefix="0" xfId="0">
      <alignment horizontal="center" vertical="bottom"/>
      <protection locked="0" hidden="0"/>
    </xf>
    <xf numFmtId="0" fontId="0" fillId="0" borderId="15" applyAlignment="1" pivotButton="0" quotePrefix="0" xfId="0">
      <alignment horizontal="center" vertical="center" wrapText="1"/>
    </xf>
    <xf numFmtId="0" fontId="0" fillId="0" borderId="14" applyAlignment="1" pivotButton="0" quotePrefix="0" xfId="0">
      <alignment horizontal="center" vertical="center"/>
    </xf>
    <xf numFmtId="164" fontId="0" fillId="0" borderId="14" applyAlignment="1" applyProtection="1" pivotButton="0" quotePrefix="0" xfId="0">
      <alignment horizontal="center" vertical="center"/>
      <protection locked="0" hidden="0"/>
    </xf>
    <xf numFmtId="0" fontId="0" fillId="0" borderId="16" applyAlignment="1" pivotButton="0" quotePrefix="0" xfId="0">
      <alignment horizontal="center" vertical="center"/>
    </xf>
    <xf numFmtId="0" fontId="0" fillId="0" borderId="16" pivotButton="0" quotePrefix="0" xfId="0"/>
    <xf numFmtId="165" fontId="9" fillId="0" borderId="14" applyAlignment="1" pivotButton="0" quotePrefix="0" xfId="0">
      <alignment horizontal="center" vertical="bottom"/>
    </xf>
    <xf numFmtId="0" fontId="0" fillId="0" borderId="17" applyAlignment="1" pivotButton="0" quotePrefix="0" xfId="0">
      <alignment horizontal="center" vertical="center"/>
    </xf>
    <xf numFmtId="164" fontId="0" fillId="0" borderId="17" applyAlignment="1" applyProtection="1" pivotButton="0" quotePrefix="0" xfId="0">
      <alignment horizontal="center" vertical="center"/>
      <protection locked="0" hidden="0"/>
    </xf>
    <xf numFmtId="0" fontId="0" fillId="0" borderId="18" applyAlignment="1" pivotButton="0" quotePrefix="0" xfId="0">
      <alignment horizontal="center" vertical="center"/>
    </xf>
    <xf numFmtId="0" fontId="0" fillId="0" borderId="18" pivotButton="0" quotePrefix="0" xfId="0"/>
    <xf numFmtId="0" fontId="0" fillId="4" borderId="15" applyAlignment="1" pivotButton="0" quotePrefix="0" xfId="0">
      <alignment horizontal="center" vertical="center" wrapText="1"/>
    </xf>
    <xf numFmtId="0" fontId="0" fillId="0" borderId="19" applyAlignment="1" pivotButton="0" quotePrefix="0" xfId="0">
      <alignment horizontal="center" vertical="center"/>
    </xf>
    <xf numFmtId="0" fontId="0" fillId="4" borderId="18" applyAlignment="1" pivotButton="0" quotePrefix="0" xfId="0">
      <alignment horizontal="center" vertical="center"/>
    </xf>
    <xf numFmtId="0" fontId="0" fillId="4" borderId="20" applyAlignment="1" pivotButton="0" quotePrefix="0" xfId="0">
      <alignment horizontal="general" vertical="center"/>
    </xf>
    <xf numFmtId="0" fontId="0" fillId="4" borderId="18" applyAlignment="1" pivotButton="0" quotePrefix="0" xfId="0">
      <alignment horizontal="general" vertical="center"/>
    </xf>
    <xf numFmtId="0" fontId="9" fillId="0" borderId="8" applyAlignment="1" pivotButton="0" quotePrefix="0" xfId="0">
      <alignment horizontal="right" vertical="bottom"/>
    </xf>
    <xf numFmtId="165" fontId="9" fillId="3" borderId="14" applyAlignment="1" pivotButton="0" quotePrefix="0" xfId="0">
      <alignment horizontal="center" vertical="bottom"/>
    </xf>
    <xf numFmtId="0" fontId="0" fillId="0" borderId="21" applyAlignment="1" pivotButton="0" quotePrefix="0" xfId="0">
      <alignment horizontal="center" vertical="center"/>
    </xf>
    <xf numFmtId="0" fontId="0" fillId="4" borderId="22" applyAlignment="1" pivotButton="0" quotePrefix="0" xfId="0">
      <alignment horizontal="center" vertical="center"/>
    </xf>
    <xf numFmtId="0" fontId="0" fillId="0" borderId="22" pivotButton="0" quotePrefix="0" xfId="0"/>
    <xf numFmtId="0" fontId="11" fillId="3" borderId="23" applyAlignment="1" pivotButton="0" quotePrefix="0" xfId="0">
      <alignment horizontal="center" vertical="center"/>
    </xf>
    <xf numFmtId="0" fontId="0" fillId="3" borderId="24" applyAlignment="1" pivotButton="0" quotePrefix="0" xfId="0">
      <alignment horizontal="center" vertical="center"/>
    </xf>
    <xf numFmtId="9" fontId="0" fillId="3" borderId="25" applyAlignment="1" applyProtection="1" pivotButton="0" quotePrefix="0" xfId="0">
      <alignment horizontal="center" vertical="center"/>
      <protection locked="0" hidden="0"/>
    </xf>
    <xf numFmtId="0" fontId="0" fillId="3" borderId="26" applyAlignment="1" pivotButton="0" quotePrefix="0" xfId="0">
      <alignment horizontal="center" vertical="center"/>
    </xf>
    <xf numFmtId="0" fontId="0" fillId="0" borderId="26" pivotButton="0" quotePrefix="0" xfId="0"/>
    <xf numFmtId="0" fontId="11" fillId="5" borderId="14" applyAlignment="1" pivotButton="0" quotePrefix="0" xfId="0">
      <alignment horizontal="center" vertical="center"/>
    </xf>
    <xf numFmtId="0" fontId="0" fillId="0" borderId="103" pivotButton="0" quotePrefix="0" xfId="0"/>
    <xf numFmtId="0" fontId="0" fillId="0" borderId="104" pivotButton="0" quotePrefix="0" xfId="0"/>
    <xf numFmtId="0" fontId="12" fillId="0" borderId="0" applyAlignment="1" pivotButton="0" quotePrefix="0" xfId="0">
      <alignment horizontal="general" vertical="bottom"/>
    </xf>
    <xf numFmtId="0" fontId="8" fillId="5" borderId="1" applyAlignment="1" pivotButton="0" quotePrefix="0" xfId="0">
      <alignment horizontal="center" vertical="center"/>
    </xf>
    <xf numFmtId="0" fontId="8" fillId="5" borderId="2" applyAlignment="1" pivotButton="0" quotePrefix="0" xfId="0">
      <alignment horizontal="center" vertical="center"/>
    </xf>
    <xf numFmtId="0" fontId="8" fillId="5" borderId="3" applyAlignment="1" applyProtection="1" pivotButton="0" quotePrefix="0" xfId="0">
      <alignment horizontal="center" vertical="center"/>
      <protection locked="0" hidden="0"/>
    </xf>
    <xf numFmtId="0" fontId="8" fillId="5" borderId="4" applyAlignment="1" pivotButton="0" quotePrefix="0" xfId="0">
      <alignment horizontal="center" vertical="center" wrapText="1"/>
    </xf>
    <xf numFmtId="0" fontId="6" fillId="6" borderId="5" applyAlignment="1" pivotButton="0" quotePrefix="0" xfId="0">
      <alignment horizontal="center" vertical="center" wrapText="1"/>
    </xf>
    <xf numFmtId="0" fontId="6" fillId="6" borderId="6" applyAlignment="1" pivotButton="0" quotePrefix="0" xfId="0">
      <alignment horizontal="center" vertical="top"/>
    </xf>
    <xf numFmtId="0" fontId="6" fillId="6" borderId="6" applyAlignment="1" applyProtection="1" pivotButton="0" quotePrefix="0" xfId="0">
      <alignment horizontal="center" vertical="top"/>
      <protection locked="0" hidden="0"/>
    </xf>
    <xf numFmtId="0" fontId="6" fillId="6" borderId="4" applyAlignment="1" pivotButton="0" quotePrefix="0" xfId="0">
      <alignment horizontal="center" vertical="top"/>
    </xf>
    <xf numFmtId="0" fontId="6" fillId="6" borderId="7" applyAlignment="1" pivotButton="0" quotePrefix="0" xfId="0">
      <alignment horizontal="center" vertical="top"/>
    </xf>
    <xf numFmtId="0" fontId="0" fillId="6" borderId="8" applyAlignment="1" pivotButton="0" quotePrefix="0" xfId="0">
      <alignment horizontal="center" vertical="center"/>
    </xf>
    <xf numFmtId="9" fontId="0" fillId="6" borderId="8" applyAlignment="1" applyProtection="1" pivotButton="0" quotePrefix="0" xfId="0">
      <alignment horizontal="center" vertical="center"/>
      <protection locked="0" hidden="0"/>
    </xf>
    <xf numFmtId="0" fontId="0" fillId="6" borderId="9" applyAlignment="1" pivotButton="0" quotePrefix="0" xfId="0">
      <alignment horizontal="center" vertical="center"/>
    </xf>
    <xf numFmtId="0" fontId="0" fillId="0" borderId="11" applyAlignment="1" pivotButton="0" quotePrefix="0" xfId="0">
      <alignment horizontal="center" vertical="center"/>
    </xf>
    <xf numFmtId="0" fontId="0" fillId="0" borderId="27" applyAlignment="1" pivotButton="0" quotePrefix="0" xfId="0">
      <alignment horizontal="center" vertical="center" wrapText="1"/>
    </xf>
    <xf numFmtId="166" fontId="0" fillId="0" borderId="14" applyAlignment="1" pivotButton="0" quotePrefix="0" xfId="0">
      <alignment horizontal="center" vertical="center"/>
    </xf>
    <xf numFmtId="166" fontId="0" fillId="0" borderId="28" applyAlignment="1" pivotButton="0" quotePrefix="0" xfId="0">
      <alignment horizontal="center" vertical="center"/>
    </xf>
    <xf numFmtId="0" fontId="10" fillId="0" borderId="27" applyAlignment="1" pivotButton="0" quotePrefix="0" xfId="0">
      <alignment horizontal="center" vertical="center" wrapText="1"/>
    </xf>
    <xf numFmtId="0" fontId="11" fillId="6" borderId="23" applyAlignment="1" pivotButton="0" quotePrefix="0" xfId="0">
      <alignment horizontal="center" vertical="center"/>
    </xf>
    <xf numFmtId="0" fontId="0" fillId="6" borderId="24" applyAlignment="1" pivotButton="0" quotePrefix="0" xfId="0">
      <alignment horizontal="center" vertical="center"/>
    </xf>
    <xf numFmtId="9" fontId="0" fillId="6" borderId="25" applyAlignment="1" applyProtection="1" pivotButton="0" quotePrefix="0" xfId="0">
      <alignment horizontal="center" vertical="center"/>
      <protection locked="0" hidden="0"/>
    </xf>
    <xf numFmtId="0" fontId="0" fillId="6" borderId="26" applyAlignment="1" pivotButton="0" quotePrefix="0" xfId="0">
      <alignment horizontal="center" vertical="center"/>
    </xf>
    <xf numFmtId="0" fontId="11" fillId="3" borderId="29" applyAlignment="1" pivotButton="0" quotePrefix="0" xfId="0">
      <alignment horizontal="center" vertical="center"/>
    </xf>
    <xf numFmtId="166" fontId="0" fillId="3" borderId="30" applyAlignment="1" pivotButton="0" quotePrefix="0" xfId="0">
      <alignment horizontal="center" vertical="center"/>
    </xf>
    <xf numFmtId="9" fontId="0" fillId="3" borderId="31" applyAlignment="1" applyProtection="1" pivotButton="0" quotePrefix="0" xfId="0">
      <alignment horizontal="center" vertical="center"/>
      <protection locked="0" hidden="0"/>
    </xf>
    <xf numFmtId="166" fontId="0" fillId="3" borderId="32" applyAlignment="1" pivotButton="0" quotePrefix="0" xfId="0">
      <alignment horizontal="center" vertical="center"/>
    </xf>
    <xf numFmtId="0" fontId="0" fillId="0" borderId="32" pivotButton="0" quotePrefix="0" xfId="0"/>
    <xf numFmtId="0" fontId="13" fillId="0" borderId="0" applyAlignment="1" pivotButton="0" quotePrefix="0" xfId="0">
      <alignment horizontal="general" vertical="bottom"/>
    </xf>
    <xf numFmtId="166" fontId="0" fillId="0" borderId="0" applyAlignment="1" pivotButton="0" quotePrefix="0" xfId="0">
      <alignment horizontal="general" vertical="bottom"/>
    </xf>
    <xf numFmtId="0" fontId="6" fillId="2" borderId="33" applyAlignment="1" pivotButton="0" quotePrefix="0" xfId="0">
      <alignment horizontal="center" vertical="center" wrapText="1"/>
    </xf>
    <xf numFmtId="0" fontId="6" fillId="2" borderId="34" applyAlignment="1" pivotButton="0" quotePrefix="0" xfId="0">
      <alignment horizontal="center" vertical="center" wrapText="1"/>
    </xf>
    <xf numFmtId="166" fontId="6" fillId="2" borderId="35" applyAlignment="1" pivotButton="0" quotePrefix="0" xfId="0">
      <alignment horizontal="center" vertical="center" wrapText="1"/>
    </xf>
    <xf numFmtId="0" fontId="14" fillId="2" borderId="34" applyAlignment="1" pivotButton="0" quotePrefix="0" xfId="0">
      <alignment horizontal="center" vertical="center" wrapText="1"/>
    </xf>
    <xf numFmtId="0" fontId="8" fillId="2" borderId="36" applyAlignment="1" pivotButton="0" quotePrefix="0" xfId="0">
      <alignment horizontal="center" vertical="center" wrapText="1"/>
    </xf>
    <xf numFmtId="0" fontId="8" fillId="3" borderId="33" applyAlignment="1" pivotButton="0" quotePrefix="0" xfId="0">
      <alignment horizontal="center" vertical="center" wrapText="1"/>
    </xf>
    <xf numFmtId="0" fontId="8" fillId="3" borderId="36" applyAlignment="1" pivotButton="0" quotePrefix="0" xfId="0">
      <alignment horizontal="center" vertical="center" wrapText="1"/>
    </xf>
    <xf numFmtId="0" fontId="15" fillId="0" borderId="37" applyAlignment="1" pivotButton="0" quotePrefix="0" xfId="0">
      <alignment horizontal="center" vertical="center" wrapText="1"/>
    </xf>
    <xf numFmtId="0" fontId="15" fillId="0" borderId="38" applyAlignment="1" pivotButton="0" quotePrefix="0" xfId="0">
      <alignment horizontal="center" vertical="center" wrapText="1"/>
    </xf>
    <xf numFmtId="0" fontId="0" fillId="0" borderId="39" applyAlignment="1" pivotButton="0" quotePrefix="0" xfId="0">
      <alignment horizontal="general" vertical="bottom" wrapText="1"/>
    </xf>
    <xf numFmtId="166" fontId="0" fillId="2" borderId="40" applyAlignment="1" pivotButton="0" quotePrefix="0" xfId="0">
      <alignment horizontal="general" vertical="bottom" wrapText="1"/>
    </xf>
    <xf numFmtId="1" fontId="14" fillId="0" borderId="39" applyAlignment="1" pivotButton="0" quotePrefix="0" xfId="0">
      <alignment horizontal="center" vertical="center" wrapText="1"/>
    </xf>
    <xf numFmtId="0" fontId="0" fillId="0" borderId="41" applyAlignment="1" pivotButton="0" quotePrefix="0" xfId="0">
      <alignment horizontal="general" vertical="bottom" wrapText="1"/>
    </xf>
    <xf numFmtId="0" fontId="8" fillId="7" borderId="42" applyAlignment="1" pivotButton="0" quotePrefix="0" xfId="0">
      <alignment horizontal="center" vertical="center" wrapText="1"/>
    </xf>
    <xf numFmtId="0" fontId="0" fillId="0" borderId="43" applyAlignment="1" pivotButton="0" quotePrefix="0" xfId="0">
      <alignment horizontal="right" vertical="center" wrapText="1"/>
    </xf>
    <xf numFmtId="0" fontId="0" fillId="0" borderId="0" applyAlignment="1" pivotButton="0" quotePrefix="0" xfId="0">
      <alignment horizontal="general" vertical="top"/>
    </xf>
    <xf numFmtId="0" fontId="0" fillId="0" borderId="70" pivotButton="0" quotePrefix="0" xfId="0"/>
    <xf numFmtId="0" fontId="0" fillId="0" borderId="59" pivotButton="0" quotePrefix="0" xfId="0"/>
    <xf numFmtId="0" fontId="0" fillId="0" borderId="40" applyAlignment="1" pivotButton="0" quotePrefix="0" xfId="0">
      <alignment horizontal="general" vertical="bottom" wrapText="1"/>
    </xf>
    <xf numFmtId="0" fontId="14" fillId="0" borderId="39" applyAlignment="1" pivotButton="0" quotePrefix="0" xfId="0">
      <alignment horizontal="center" vertical="center" wrapText="1"/>
    </xf>
    <xf numFmtId="0" fontId="0" fillId="0" borderId="46" pivotButton="0" quotePrefix="0" xfId="0"/>
    <xf numFmtId="0" fontId="0" fillId="0" borderId="47" pivotButton="0" quotePrefix="0" xfId="0"/>
    <xf numFmtId="0" fontId="0" fillId="0" borderId="38" applyAlignment="1" pivotButton="0" quotePrefix="0" xfId="0">
      <alignment horizontal="general" vertical="bottom" wrapText="1"/>
    </xf>
    <xf numFmtId="166" fontId="0" fillId="2" borderId="38" applyAlignment="1" pivotButton="0" quotePrefix="0" xfId="0">
      <alignment horizontal="general" vertical="bottom" wrapText="1"/>
    </xf>
    <xf numFmtId="0" fontId="14" fillId="0" borderId="38" applyAlignment="1" pivotButton="0" quotePrefix="0" xfId="0">
      <alignment horizontal="center" vertical="center" wrapText="1"/>
    </xf>
    <xf numFmtId="0" fontId="0" fillId="0" borderId="44" applyAlignment="1" pivotButton="0" quotePrefix="0" xfId="0">
      <alignment horizontal="general" vertical="bottom" wrapText="1"/>
    </xf>
    <xf numFmtId="0" fontId="8" fillId="7" borderId="45" applyAlignment="1" pivotButton="0" quotePrefix="0" xfId="0">
      <alignment horizontal="center" vertical="center" wrapText="1"/>
    </xf>
    <xf numFmtId="0" fontId="0" fillId="0" borderId="44" applyAlignment="1" pivotButton="0" quotePrefix="0" xfId="0">
      <alignment horizontal="right" vertical="center" wrapText="1"/>
    </xf>
    <xf numFmtId="0" fontId="15" fillId="0" borderId="46" applyAlignment="1" pivotButton="0" quotePrefix="0" xfId="0">
      <alignment horizontal="center" vertical="center" wrapText="1"/>
    </xf>
    <xf numFmtId="167" fontId="15" fillId="0" borderId="47" applyAlignment="1" pivotButton="0" quotePrefix="0" xfId="29">
      <alignment horizontal="center" vertical="center" wrapText="1"/>
    </xf>
    <xf numFmtId="166" fontId="0" fillId="2" borderId="39" applyAlignment="1" pivotButton="0" quotePrefix="0" xfId="0">
      <alignment horizontal="general" vertical="bottom" wrapText="1"/>
    </xf>
    <xf numFmtId="1" fontId="0" fillId="0" borderId="39" applyAlignment="1" applyProtection="1" pivotButton="0" quotePrefix="0" xfId="0">
      <alignment horizontal="general" vertical="bottom" wrapText="1"/>
      <protection locked="0" hidden="0"/>
    </xf>
    <xf numFmtId="0" fontId="0" fillId="0" borderId="43" applyAlignment="1" pivotButton="0" quotePrefix="0" xfId="0">
      <alignment horizontal="general" vertical="bottom" wrapText="1"/>
    </xf>
    <xf numFmtId="0" fontId="0" fillId="4" borderId="39" applyAlignment="1" applyProtection="1" pivotButton="0" quotePrefix="0" xfId="0">
      <alignment horizontal="general" vertical="bottom" wrapText="1"/>
      <protection locked="0" hidden="0"/>
    </xf>
    <xf numFmtId="1" fontId="0" fillId="0" borderId="40" applyAlignment="1" applyProtection="1" pivotButton="0" quotePrefix="0" xfId="0">
      <alignment horizontal="general" vertical="bottom" wrapText="1"/>
      <protection locked="0" hidden="0"/>
    </xf>
    <xf numFmtId="0" fontId="0" fillId="4" borderId="40" applyAlignment="1" applyProtection="1" pivotButton="0" quotePrefix="0" xfId="0">
      <alignment horizontal="general" vertical="bottom" wrapText="1"/>
      <protection locked="0" hidden="0"/>
    </xf>
    <xf numFmtId="0" fontId="0" fillId="0" borderId="40" applyAlignment="1" applyProtection="1" pivotButton="0" quotePrefix="0" xfId="0">
      <alignment horizontal="general" vertical="bottom" wrapText="1"/>
      <protection locked="0" hidden="0"/>
    </xf>
    <xf numFmtId="0" fontId="0" fillId="0" borderId="38" applyAlignment="1" applyProtection="1" pivotButton="0" quotePrefix="0" xfId="0">
      <alignment horizontal="general" vertical="bottom" wrapText="1"/>
      <protection locked="0" hidden="0"/>
    </xf>
    <xf numFmtId="0" fontId="0" fillId="4" borderId="38" applyAlignment="1" applyProtection="1" pivotButton="0" quotePrefix="0" xfId="0">
      <alignment horizontal="general" vertical="bottom" wrapText="1"/>
      <protection locked="0" hidden="0"/>
    </xf>
    <xf numFmtId="0" fontId="15" fillId="0" borderId="48" applyAlignment="1" pivotButton="0" quotePrefix="0" xfId="0">
      <alignment horizontal="center" vertical="center" wrapText="1"/>
    </xf>
    <xf numFmtId="167" fontId="15" fillId="0" borderId="49" applyAlignment="1" pivotButton="0" quotePrefix="0" xfId="29">
      <alignment horizontal="center" vertical="center" wrapText="1"/>
    </xf>
    <xf numFmtId="0" fontId="0" fillId="0" borderId="34" applyAlignment="1" pivotButton="0" quotePrefix="0" xfId="0">
      <alignment horizontal="general" vertical="bottom" wrapText="1"/>
    </xf>
    <xf numFmtId="1" fontId="0" fillId="0" borderId="34" applyAlignment="1" applyProtection="1" pivotButton="0" quotePrefix="0" xfId="0">
      <alignment horizontal="general" vertical="bottom" wrapText="1"/>
      <protection locked="0" hidden="0"/>
    </xf>
    <xf numFmtId="0" fontId="0" fillId="0" borderId="36" applyAlignment="1" pivotButton="0" quotePrefix="0" xfId="0">
      <alignment horizontal="general" vertical="bottom" wrapText="1"/>
    </xf>
    <xf numFmtId="0" fontId="0" fillId="4" borderId="34" applyAlignment="1" applyProtection="1" pivotButton="0" quotePrefix="0" xfId="0">
      <alignment horizontal="general" vertical="bottom" wrapText="1"/>
      <protection locked="0" hidden="0"/>
    </xf>
    <xf numFmtId="166" fontId="0" fillId="2" borderId="50" applyAlignment="1" pivotButton="0" quotePrefix="0" xfId="0">
      <alignment horizontal="general" vertical="bottom" wrapText="1"/>
    </xf>
    <xf numFmtId="1" fontId="0" fillId="0" borderId="50" applyAlignment="1" applyProtection="1" pivotButton="0" quotePrefix="0" xfId="0">
      <alignment horizontal="general" vertical="bottom" wrapText="1"/>
      <protection locked="0" hidden="0"/>
    </xf>
    <xf numFmtId="0" fontId="0" fillId="0" borderId="50" applyAlignment="1" applyProtection="1" pivotButton="0" quotePrefix="0" xfId="0">
      <alignment horizontal="general" vertical="bottom" wrapText="1"/>
      <protection locked="0" hidden="0"/>
    </xf>
    <xf numFmtId="0" fontId="0" fillId="0" borderId="50" applyAlignment="1" pivotButton="0" quotePrefix="0" xfId="0">
      <alignment horizontal="general" vertical="bottom" wrapText="1"/>
    </xf>
    <xf numFmtId="0" fontId="0" fillId="0" borderId="51" applyAlignment="1" pivotButton="0" quotePrefix="0" xfId="0">
      <alignment horizontal="general" vertical="bottom" wrapText="1"/>
    </xf>
    <xf numFmtId="0" fontId="0" fillId="4" borderId="50" applyAlignment="1" applyProtection="1" pivotButton="0" quotePrefix="0" xfId="0">
      <alignment horizontal="general" vertical="bottom" wrapText="1"/>
      <protection locked="0" hidden="0"/>
    </xf>
    <xf numFmtId="0" fontId="0" fillId="0" borderId="35" applyAlignment="1" pivotButton="0" quotePrefix="0" xfId="0">
      <alignment horizontal="general" vertical="bottom" wrapText="1"/>
    </xf>
    <xf numFmtId="0" fontId="0" fillId="7" borderId="40" applyAlignment="1" pivotButton="0" quotePrefix="0" xfId="0">
      <alignment horizontal="general" vertical="bottom"/>
    </xf>
    <xf numFmtId="0" fontId="0" fillId="0" borderId="52" applyAlignment="1" pivotButton="0" quotePrefix="0" xfId="0">
      <alignment horizontal="general" vertical="bottom" wrapText="1"/>
    </xf>
    <xf numFmtId="0" fontId="0" fillId="0" borderId="53" applyAlignment="1" pivotButton="0" quotePrefix="0" xfId="0">
      <alignment horizontal="general" vertical="bottom" wrapText="1"/>
    </xf>
    <xf numFmtId="0" fontId="0" fillId="7" borderId="50" applyAlignment="1" pivotButton="0" quotePrefix="0" xfId="0">
      <alignment horizontal="general" vertical="bottom"/>
    </xf>
    <xf numFmtId="0" fontId="0" fillId="0" borderId="54" applyAlignment="1" pivotButton="0" quotePrefix="0" xfId="0">
      <alignment horizontal="general" vertical="bottom" wrapText="1"/>
    </xf>
    <xf numFmtId="0" fontId="0" fillId="0" borderId="55" applyAlignment="1" pivotButton="0" quotePrefix="0" xfId="0">
      <alignment horizontal="general" vertical="bottom" wrapText="1"/>
    </xf>
    <xf numFmtId="0" fontId="0" fillId="7" borderId="38" applyAlignment="1" pivotButton="0" quotePrefix="0" xfId="0">
      <alignment horizontal="general" vertical="bottom"/>
    </xf>
    <xf numFmtId="166" fontId="0" fillId="7" borderId="40" applyAlignment="1" pivotButton="0" quotePrefix="0" xfId="0">
      <alignment horizontal="general" vertical="bottom"/>
    </xf>
    <xf numFmtId="0" fontId="0" fillId="8" borderId="34" applyAlignment="1" applyProtection="1" pivotButton="0" quotePrefix="0" xfId="0">
      <alignment horizontal="general" vertical="bottom" wrapText="1"/>
      <protection locked="0" hidden="0"/>
    </xf>
    <xf numFmtId="0" fontId="0" fillId="8" borderId="36" applyAlignment="1" pivotButton="0" quotePrefix="0" xfId="0">
      <alignment horizontal="general" vertical="bottom" wrapText="1"/>
    </xf>
    <xf numFmtId="0" fontId="0" fillId="8" borderId="39" applyAlignment="1" applyProtection="1" pivotButton="0" quotePrefix="0" xfId="0">
      <alignment horizontal="general" vertical="bottom" wrapText="1"/>
      <protection locked="0" hidden="0"/>
    </xf>
    <xf numFmtId="0" fontId="0" fillId="8" borderId="43" applyAlignment="1" pivotButton="0" quotePrefix="0" xfId="0">
      <alignment horizontal="general" vertical="bottom" wrapText="1"/>
    </xf>
    <xf numFmtId="0" fontId="0" fillId="8" borderId="40" applyAlignment="1" applyProtection="1" pivotButton="0" quotePrefix="0" xfId="0">
      <alignment horizontal="general" vertical="bottom" wrapText="1"/>
      <protection locked="0" hidden="0"/>
    </xf>
    <xf numFmtId="0" fontId="0" fillId="8" borderId="41" applyAlignment="1" pivotButton="0" quotePrefix="0" xfId="0">
      <alignment horizontal="general" vertical="bottom" wrapText="1"/>
    </xf>
    <xf numFmtId="0" fontId="0" fillId="8" borderId="50" applyAlignment="1" applyProtection="1" pivotButton="0" quotePrefix="0" xfId="0">
      <alignment horizontal="general" vertical="bottom" wrapText="1"/>
      <protection locked="0" hidden="0"/>
    </xf>
    <xf numFmtId="0" fontId="0" fillId="2" borderId="34" applyAlignment="1" applyProtection="1" pivotButton="0" quotePrefix="0" xfId="0">
      <alignment horizontal="general" vertical="bottom" wrapText="1"/>
      <protection locked="0" hidden="0"/>
    </xf>
    <xf numFmtId="0" fontId="0" fillId="4" borderId="33" applyAlignment="1" applyProtection="1" pivotButton="0" quotePrefix="0" xfId="0">
      <alignment horizontal="general" vertical="bottom" wrapText="1"/>
      <protection locked="0" hidden="0"/>
    </xf>
    <xf numFmtId="0" fontId="0" fillId="2" borderId="40" applyAlignment="1" applyProtection="1" pivotButton="0" quotePrefix="0" xfId="0">
      <alignment horizontal="general" vertical="bottom" wrapText="1"/>
      <protection locked="0" hidden="0"/>
    </xf>
    <xf numFmtId="0" fontId="0" fillId="4" borderId="56" applyAlignment="1" applyProtection="1" pivotButton="0" quotePrefix="0" xfId="0">
      <alignment horizontal="general" vertical="bottom" wrapText="1"/>
      <protection locked="0" hidden="0"/>
    </xf>
    <xf numFmtId="0" fontId="0" fillId="4" borderId="57" applyAlignment="1" applyProtection="1" pivotButton="0" quotePrefix="0" xfId="0">
      <alignment horizontal="general" vertical="bottom" wrapText="1"/>
      <protection locked="0" hidden="0"/>
    </xf>
    <xf numFmtId="0" fontId="0" fillId="2" borderId="50" applyAlignment="1" applyProtection="1" pivotButton="0" quotePrefix="0" xfId="0">
      <alignment horizontal="general" vertical="bottom" wrapText="1"/>
      <protection locked="0" hidden="0"/>
    </xf>
    <xf numFmtId="165" fontId="0" fillId="2" borderId="50" applyAlignment="1" pivotButton="0" quotePrefix="0" xfId="0">
      <alignment horizontal="general" vertical="bottom" wrapText="1"/>
    </xf>
    <xf numFmtId="0" fontId="0" fillId="2" borderId="38" applyAlignment="1" applyProtection="1" pivotButton="0" quotePrefix="0" xfId="0">
      <alignment horizontal="general" vertical="bottom" wrapText="1"/>
      <protection locked="0" hidden="0"/>
    </xf>
    <xf numFmtId="0" fontId="0" fillId="4" borderId="37" applyAlignment="1" applyProtection="1" pivotButton="0" quotePrefix="0" xfId="0">
      <alignment horizontal="general" vertical="bottom" wrapText="1"/>
      <protection locked="0" hidden="0"/>
    </xf>
    <xf numFmtId="0" fontId="0" fillId="7" borderId="34" applyAlignment="1" applyProtection="1" pivotButton="0" quotePrefix="0" xfId="0">
      <alignment horizontal="general" vertical="bottom" wrapText="1"/>
      <protection locked="0" hidden="0"/>
    </xf>
    <xf numFmtId="0" fontId="0" fillId="7" borderId="39" applyAlignment="1" applyProtection="1" pivotButton="0" quotePrefix="0" xfId="0">
      <alignment horizontal="general" vertical="bottom" wrapText="1"/>
      <protection locked="0" hidden="0"/>
    </xf>
    <xf numFmtId="0" fontId="0" fillId="7" borderId="40" applyAlignment="1" applyProtection="1" pivotButton="0" quotePrefix="0" xfId="0">
      <alignment horizontal="general" vertical="bottom" wrapText="1"/>
      <protection locked="0" hidden="0"/>
    </xf>
    <xf numFmtId="0" fontId="0" fillId="7" borderId="50" applyAlignment="1" applyProtection="1" pivotButton="0" quotePrefix="0" xfId="0">
      <alignment horizontal="general" vertical="bottom" wrapText="1"/>
      <protection locked="0" hidden="0"/>
    </xf>
    <xf numFmtId="0" fontId="15" fillId="0" borderId="58" applyAlignment="1" pivotButton="0" quotePrefix="0" xfId="0">
      <alignment horizontal="center" vertical="center" wrapText="1"/>
    </xf>
    <xf numFmtId="0" fontId="0" fillId="0" borderId="65" pivotButton="0" quotePrefix="0" xfId="0"/>
    <xf numFmtId="1" fontId="0" fillId="0" borderId="59" applyAlignment="1" applyProtection="1" pivotButton="0" quotePrefix="0" xfId="0">
      <alignment horizontal="general" vertical="bottom" wrapText="1"/>
      <protection locked="0" hidden="0"/>
    </xf>
    <xf numFmtId="0" fontId="0" fillId="0" borderId="59" applyAlignment="1" pivotButton="0" quotePrefix="0" xfId="0">
      <alignment horizontal="general" vertical="bottom" wrapText="1"/>
    </xf>
    <xf numFmtId="0" fontId="0" fillId="0" borderId="59" applyAlignment="1" applyProtection="1" pivotButton="0" quotePrefix="0" xfId="0">
      <alignment horizontal="general" vertical="bottom" wrapText="1"/>
      <protection locked="0" hidden="0"/>
    </xf>
    <xf numFmtId="0" fontId="0" fillId="0" borderId="88" pivotButton="0" quotePrefix="0" xfId="0"/>
    <xf numFmtId="0" fontId="15" fillId="0" borderId="60" applyAlignment="1" pivotButton="0" quotePrefix="0" xfId="0">
      <alignment horizontal="center" vertical="center" wrapText="1"/>
    </xf>
    <xf numFmtId="0" fontId="15" fillId="0" borderId="49" applyAlignment="1" pivotButton="0" quotePrefix="0" xfId="0">
      <alignment horizontal="center" vertical="center" wrapText="1"/>
    </xf>
    <xf numFmtId="0" fontId="0" fillId="7" borderId="39" applyAlignment="1" pivotButton="0" quotePrefix="0" xfId="0">
      <alignment horizontal="general" vertical="bottom"/>
    </xf>
    <xf numFmtId="1" fontId="0" fillId="0" borderId="34" applyAlignment="1" pivotButton="0" quotePrefix="0" xfId="0">
      <alignment horizontal="general" vertical="bottom"/>
    </xf>
    <xf numFmtId="0" fontId="0" fillId="8" borderId="34" applyAlignment="1" pivotButton="0" quotePrefix="0" xfId="0">
      <alignment horizontal="general" vertical="bottom"/>
    </xf>
    <xf numFmtId="0" fontId="0" fillId="8" borderId="36" applyAlignment="1" pivotButton="0" quotePrefix="0" xfId="0">
      <alignment horizontal="general" vertical="bottom"/>
    </xf>
    <xf numFmtId="0" fontId="0" fillId="0" borderId="106" pivotButton="0" quotePrefix="0" xfId="0"/>
    <xf numFmtId="1" fontId="0" fillId="0" borderId="39" applyAlignment="1" pivotButton="0" quotePrefix="0" xfId="0">
      <alignment horizontal="general" vertical="bottom"/>
    </xf>
    <xf numFmtId="0" fontId="0" fillId="0" borderId="61" applyAlignment="1" pivotButton="0" quotePrefix="0" xfId="0">
      <alignment horizontal="general" vertical="bottom" wrapText="1"/>
    </xf>
    <xf numFmtId="0" fontId="0" fillId="8" borderId="39" applyAlignment="1" pivotButton="0" quotePrefix="0" xfId="0">
      <alignment horizontal="general" vertical="bottom"/>
    </xf>
    <xf numFmtId="0" fontId="0" fillId="8" borderId="43" applyAlignment="1" pivotButton="0" quotePrefix="0" xfId="0">
      <alignment horizontal="general" vertical="bottom"/>
    </xf>
    <xf numFmtId="1" fontId="0" fillId="0" borderId="40" applyAlignment="1" pivotButton="0" quotePrefix="0" xfId="0">
      <alignment horizontal="general" vertical="bottom"/>
    </xf>
    <xf numFmtId="0" fontId="0" fillId="8" borderId="40" applyAlignment="1" pivotButton="0" quotePrefix="0" xfId="0">
      <alignment horizontal="general" vertical="bottom"/>
    </xf>
    <xf numFmtId="0" fontId="0" fillId="8" borderId="41" applyAlignment="1" pivotButton="0" quotePrefix="0" xfId="0">
      <alignment horizontal="general" vertical="bottom"/>
    </xf>
    <xf numFmtId="1" fontId="0" fillId="0" borderId="50" applyAlignment="1" pivotButton="0" quotePrefix="0" xfId="0">
      <alignment horizontal="general" vertical="bottom"/>
    </xf>
    <xf numFmtId="0" fontId="0" fillId="0" borderId="50" applyAlignment="1" pivotButton="0" quotePrefix="0" xfId="0">
      <alignment horizontal="general" vertical="bottom"/>
    </xf>
    <xf numFmtId="0" fontId="0" fillId="0" borderId="107" pivotButton="0" quotePrefix="0" xfId="0"/>
    <xf numFmtId="0" fontId="0" fillId="0" borderId="38" applyAlignment="1" pivotButton="0" quotePrefix="0" xfId="0">
      <alignment horizontal="general" vertical="bottom"/>
    </xf>
    <xf numFmtId="166" fontId="0" fillId="0" borderId="38" applyAlignment="1" pivotButton="0" quotePrefix="0" xfId="0">
      <alignment horizontal="general" vertical="bottom" wrapText="1"/>
    </xf>
    <xf numFmtId="0" fontId="15" fillId="0" borderId="62" applyAlignment="1" pivotButton="0" quotePrefix="0" xfId="0">
      <alignment horizontal="center" vertical="center" wrapText="1"/>
    </xf>
    <xf numFmtId="167" fontId="17" fillId="0" borderId="49" applyAlignment="1" pivotButton="0" quotePrefix="0" xfId="29">
      <alignment horizontal="center" vertical="center" wrapText="1"/>
    </xf>
    <xf numFmtId="0" fontId="0" fillId="0" borderId="49" applyAlignment="1" pivotButton="0" quotePrefix="0" xfId="0">
      <alignment horizontal="center" vertical="center" wrapText="1"/>
    </xf>
    <xf numFmtId="0" fontId="0" fillId="8" borderId="33" applyAlignment="1" applyProtection="1" pivotButton="0" quotePrefix="0" xfId="0">
      <alignment horizontal="general" vertical="bottom" wrapText="1"/>
      <protection locked="0" hidden="0"/>
    </xf>
    <xf numFmtId="0" fontId="19" fillId="8" borderId="36" applyAlignment="1" pivotButton="0" quotePrefix="0" xfId="0">
      <alignment horizontal="general" vertical="bottom" wrapText="1"/>
    </xf>
    <xf numFmtId="0" fontId="0" fillId="0" borderId="74" pivotButton="0" quotePrefix="0" xfId="0"/>
    <xf numFmtId="2" fontId="0" fillId="2" borderId="40" applyAlignment="1" applyProtection="1" pivotButton="0" quotePrefix="0" xfId="0">
      <alignment horizontal="general" vertical="bottom" wrapText="1"/>
      <protection locked="0" hidden="0"/>
    </xf>
    <xf numFmtId="0" fontId="0" fillId="7" borderId="59" applyAlignment="1" pivotButton="0" quotePrefix="0" xfId="0">
      <alignment horizontal="general" vertical="bottom"/>
    </xf>
    <xf numFmtId="0" fontId="0" fillId="0" borderId="80" pivotButton="0" quotePrefix="0" xfId="0"/>
    <xf numFmtId="2" fontId="0" fillId="2" borderId="38" applyAlignment="1" applyProtection="1" pivotButton="0" quotePrefix="0" xfId="0">
      <alignment horizontal="general" vertical="bottom" wrapText="1"/>
      <protection locked="0" hidden="0"/>
    </xf>
    <xf numFmtId="0" fontId="0" fillId="8" borderId="37" applyAlignment="1" applyProtection="1" pivotButton="0" quotePrefix="0" xfId="0">
      <alignment horizontal="general" vertical="bottom" wrapText="1"/>
      <protection locked="0" hidden="0"/>
    </xf>
    <xf numFmtId="0" fontId="19" fillId="8" borderId="44" applyAlignment="1" pivotButton="0" quotePrefix="0" xfId="0">
      <alignment horizontal="general" vertical="bottom" wrapText="1"/>
    </xf>
    <xf numFmtId="0" fontId="0" fillId="8" borderId="63" applyAlignment="1" applyProtection="1" pivotButton="0" quotePrefix="0" xfId="0">
      <alignment horizontal="general" vertical="bottom" wrapText="1"/>
      <protection locked="0" hidden="0"/>
    </xf>
    <xf numFmtId="0" fontId="19" fillId="8" borderId="51" applyAlignment="1" pivotButton="0" quotePrefix="0" xfId="0">
      <alignment horizontal="general" vertical="bottom" wrapText="1"/>
    </xf>
    <xf numFmtId="0" fontId="0" fillId="0" borderId="64" applyAlignment="1" pivotButton="0" quotePrefix="0" xfId="27">
      <alignment horizontal="left" vertical="center" wrapText="1"/>
    </xf>
    <xf numFmtId="168" fontId="20" fillId="0" borderId="49" applyAlignment="1" pivotButton="0" quotePrefix="0" xfId="0">
      <alignment horizontal="center" vertical="center" wrapText="1"/>
    </xf>
    <xf numFmtId="166" fontId="0" fillId="0" borderId="49" applyAlignment="1" pivotButton="0" quotePrefix="0" xfId="27">
      <alignment horizontal="left" vertical="center" wrapText="1"/>
    </xf>
    <xf numFmtId="0" fontId="0" fillId="0" borderId="45" applyAlignment="1" pivotButton="0" quotePrefix="0" xfId="0">
      <alignment horizontal="general" vertical="bottom" wrapText="1"/>
    </xf>
    <xf numFmtId="0" fontId="0" fillId="2" borderId="49" applyAlignment="1" applyProtection="1" pivotButton="0" quotePrefix="0" xfId="0">
      <alignment horizontal="general" vertical="bottom" wrapText="1"/>
      <protection locked="0" hidden="0"/>
    </xf>
    <xf numFmtId="0" fontId="0" fillId="8" borderId="65" applyAlignment="1" applyProtection="1" pivotButton="0" quotePrefix="0" xfId="0">
      <alignment horizontal="general" vertical="bottom" wrapText="1"/>
      <protection locked="0" hidden="0"/>
    </xf>
    <xf numFmtId="0" fontId="19" fillId="8" borderId="61" applyAlignment="1" pivotButton="0" quotePrefix="0" xfId="0">
      <alignment horizontal="general" vertical="bottom" wrapText="1"/>
    </xf>
    <xf numFmtId="166" fontId="0" fillId="2" borderId="34" applyAlignment="1" pivotButton="0" quotePrefix="0" xfId="0">
      <alignment horizontal="general" vertical="bottom" wrapText="1"/>
    </xf>
    <xf numFmtId="0" fontId="0" fillId="0" borderId="0" applyAlignment="1" pivotButton="0" quotePrefix="0" xfId="0">
      <alignment horizontal="right" vertical="center"/>
    </xf>
    <xf numFmtId="0" fontId="0" fillId="0" borderId="0" applyAlignment="1" pivotButton="0" quotePrefix="0" xfId="0">
      <alignment horizontal="left" vertical="center"/>
    </xf>
    <xf numFmtId="0" fontId="0" fillId="0" borderId="0" applyAlignment="1" pivotButton="0" quotePrefix="0" xfId="0">
      <alignment horizontal="right" vertical="bottom"/>
    </xf>
    <xf numFmtId="1" fontId="0" fillId="0" borderId="38" applyAlignment="1" applyProtection="1" pivotButton="0" quotePrefix="0" xfId="0">
      <alignment horizontal="general" vertical="bottom" wrapText="1"/>
      <protection locked="0" hidden="0"/>
    </xf>
    <xf numFmtId="166" fontId="21" fillId="7" borderId="34" applyAlignment="1" pivotButton="0" quotePrefix="0" xfId="0">
      <alignment horizontal="right" vertical="center"/>
    </xf>
    <xf numFmtId="1" fontId="0" fillId="0" borderId="66" applyAlignment="1" applyProtection="1" pivotButton="0" quotePrefix="0" xfId="0">
      <alignment horizontal="general" vertical="bottom" wrapText="1"/>
      <protection locked="0" hidden="0"/>
    </xf>
    <xf numFmtId="166" fontId="21" fillId="7" borderId="40" applyAlignment="1" pivotButton="0" quotePrefix="0" xfId="0">
      <alignment horizontal="right" vertical="center"/>
    </xf>
    <xf numFmtId="1" fontId="0" fillId="0" borderId="67" applyAlignment="1" applyProtection="1" pivotButton="0" quotePrefix="0" xfId="0">
      <alignment horizontal="general" vertical="bottom" wrapText="1"/>
      <protection locked="0" hidden="0"/>
    </xf>
    <xf numFmtId="166" fontId="21" fillId="7" borderId="38" applyAlignment="1" pivotButton="0" quotePrefix="0" xfId="0">
      <alignment horizontal="right" vertical="center"/>
    </xf>
    <xf numFmtId="1" fontId="0" fillId="0" borderId="45" applyAlignment="1" applyProtection="1" pivotButton="0" quotePrefix="0" xfId="0">
      <alignment horizontal="general" vertical="bottom" wrapText="1"/>
      <protection locked="0" hidden="0"/>
    </xf>
    <xf numFmtId="0" fontId="0" fillId="8" borderId="51" applyAlignment="1" pivotButton="0" quotePrefix="0" xfId="0">
      <alignment horizontal="general" vertical="bottom" wrapText="1"/>
    </xf>
    <xf numFmtId="0" fontId="0" fillId="8" borderId="38" applyAlignment="1" applyProtection="1" pivotButton="0" quotePrefix="0" xfId="0">
      <alignment horizontal="general" vertical="bottom" wrapText="1"/>
      <protection locked="0" hidden="0"/>
    </xf>
    <xf numFmtId="0" fontId="0" fillId="8" borderId="44" applyAlignment="1" pivotButton="0" quotePrefix="0" xfId="0">
      <alignment horizontal="general" vertical="bottom" wrapText="1"/>
    </xf>
    <xf numFmtId="0" fontId="0" fillId="2" borderId="59" applyAlignment="1" applyProtection="1" pivotButton="0" quotePrefix="0" xfId="0">
      <alignment horizontal="general" vertical="bottom" wrapText="1"/>
      <protection locked="0" hidden="0"/>
    </xf>
    <xf numFmtId="0" fontId="0" fillId="0" borderId="68" applyAlignment="1" pivotButton="0" quotePrefix="0" xfId="0">
      <alignment horizontal="general" vertical="bottom" wrapText="1"/>
    </xf>
    <xf numFmtId="0" fontId="0" fillId="8" borderId="69" applyAlignment="1" applyProtection="1" pivotButton="0" quotePrefix="0" xfId="0">
      <alignment horizontal="general" vertical="bottom" wrapText="1"/>
      <protection locked="0" hidden="0"/>
    </xf>
    <xf numFmtId="0" fontId="0" fillId="8" borderId="68" applyAlignment="1" pivotButton="0" quotePrefix="0" xfId="0">
      <alignment horizontal="general" vertical="bottom" wrapText="1"/>
    </xf>
    <xf numFmtId="0" fontId="10" fillId="0" borderId="59" applyAlignment="1" pivotButton="0" quotePrefix="0" xfId="0">
      <alignment horizontal="general" vertical="bottom" wrapText="1"/>
    </xf>
    <xf numFmtId="166" fontId="10" fillId="2" borderId="40" applyAlignment="1" pivotButton="0" quotePrefix="0" xfId="0">
      <alignment horizontal="general" vertical="bottom" wrapText="1"/>
    </xf>
    <xf numFmtId="0" fontId="0" fillId="8" borderId="59" applyAlignment="1" applyProtection="1" pivotButton="0" quotePrefix="0" xfId="0">
      <alignment horizontal="general" vertical="bottom" wrapText="1"/>
      <protection locked="0" hidden="0"/>
    </xf>
    <xf numFmtId="0" fontId="0" fillId="8" borderId="61" applyAlignment="1" pivotButton="0" quotePrefix="0" xfId="0">
      <alignment horizontal="general" vertical="bottom" wrapText="1"/>
    </xf>
    <xf numFmtId="0" fontId="17" fillId="0" borderId="48" applyAlignment="1" pivotButton="0" quotePrefix="0" xfId="0">
      <alignment horizontal="center" vertical="center" wrapText="1"/>
    </xf>
    <xf numFmtId="0" fontId="17" fillId="0" borderId="70" applyAlignment="1" pivotButton="0" quotePrefix="0" xfId="0">
      <alignment horizontal="center" vertical="center" wrapText="1"/>
    </xf>
    <xf numFmtId="167" fontId="15" fillId="0" borderId="59" applyAlignment="1" pivotButton="0" quotePrefix="0" xfId="29">
      <alignment horizontal="center" vertical="center" wrapText="1"/>
    </xf>
    <xf numFmtId="0" fontId="0" fillId="0" borderId="59" applyAlignment="1" pivotButton="0" quotePrefix="0" xfId="0">
      <alignment horizontal="center" vertical="center" wrapText="1"/>
    </xf>
    <xf numFmtId="166" fontId="0" fillId="2" borderId="59" applyAlignment="1" pivotButton="0" quotePrefix="0" xfId="0">
      <alignment horizontal="general" vertical="bottom" wrapText="1"/>
    </xf>
    <xf numFmtId="1" fontId="0" fillId="0" borderId="0" applyAlignment="1" applyProtection="1" pivotButton="0" quotePrefix="0" xfId="0">
      <alignment horizontal="general" vertical="bottom" wrapText="1"/>
      <protection locked="0" hidden="0"/>
    </xf>
    <xf numFmtId="0" fontId="0" fillId="0" borderId="71" applyAlignment="1" pivotButton="0" quotePrefix="0" xfId="0">
      <alignment horizontal="general" vertical="bottom" wrapText="1"/>
    </xf>
    <xf numFmtId="0" fontId="0" fillId="8" borderId="0" applyAlignment="1" applyProtection="1" pivotButton="0" quotePrefix="0" xfId="0">
      <alignment horizontal="general" vertical="bottom" wrapText="1"/>
      <protection locked="0" hidden="0"/>
    </xf>
    <xf numFmtId="0" fontId="0" fillId="8" borderId="71" applyAlignment="1" pivotButton="0" quotePrefix="0" xfId="0">
      <alignment horizontal="general" vertical="bottom" wrapText="1"/>
    </xf>
    <xf numFmtId="0" fontId="15" fillId="9" borderId="72" applyAlignment="1" pivotButton="0" quotePrefix="0" xfId="0">
      <alignment horizontal="center" vertical="center" wrapText="1"/>
    </xf>
    <xf numFmtId="0" fontId="15" fillId="0" borderId="69" applyAlignment="1" pivotButton="0" quotePrefix="0" xfId="0">
      <alignment horizontal="center" vertical="center" wrapText="1"/>
    </xf>
    <xf numFmtId="0" fontId="17" fillId="0" borderId="49" applyAlignment="1" pivotButton="0" quotePrefix="0" xfId="0">
      <alignment horizontal="center" vertical="center" wrapText="1"/>
    </xf>
    <xf numFmtId="0" fontId="0" fillId="0" borderId="69" applyAlignment="1" pivotButton="0" quotePrefix="0" xfId="0">
      <alignment horizontal="general" vertical="bottom" wrapText="1"/>
    </xf>
    <xf numFmtId="166" fontId="0" fillId="7" borderId="69" applyAlignment="1" pivotButton="0" quotePrefix="0" xfId="0">
      <alignment horizontal="general" vertical="bottom" wrapText="1"/>
    </xf>
    <xf numFmtId="1" fontId="0" fillId="0" borderId="69" applyAlignment="1" applyProtection="1" pivotButton="0" quotePrefix="0" xfId="0">
      <alignment horizontal="general" vertical="bottom" wrapText="1"/>
      <protection locked="0" hidden="0"/>
    </xf>
    <xf numFmtId="166" fontId="0" fillId="7" borderId="50" applyAlignment="1" pivotButton="0" quotePrefix="0" xfId="0">
      <alignment horizontal="general" vertical="bottom" wrapText="1"/>
    </xf>
    <xf numFmtId="166" fontId="0" fillId="7" borderId="38" applyAlignment="1" pivotButton="0" quotePrefix="0" xfId="0">
      <alignment horizontal="general" vertical="bottom" wrapText="1"/>
    </xf>
    <xf numFmtId="0" fontId="13" fillId="0" borderId="0" applyAlignment="1" pivotButton="0" quotePrefix="0" xfId="0">
      <alignment horizontal="general" vertical="bottom" wrapText="1"/>
    </xf>
    <xf numFmtId="0" fontId="0" fillId="0" borderId="0" applyAlignment="1" pivotButton="0" quotePrefix="0" xfId="0">
      <alignment horizontal="general" vertical="bottom" wrapText="1"/>
    </xf>
    <xf numFmtId="166" fontId="6" fillId="0" borderId="0" applyAlignment="1" pivotButton="0" quotePrefix="0" xfId="0">
      <alignment horizontal="general" vertical="bottom" wrapText="1"/>
    </xf>
    <xf numFmtId="166" fontId="6" fillId="10" borderId="0" applyAlignment="1" pivotButton="0" quotePrefix="0" xfId="0">
      <alignment horizontal="general" vertical="bottom" wrapText="1"/>
    </xf>
    <xf numFmtId="0" fontId="0" fillId="10" borderId="0" applyAlignment="1" pivotButton="0" quotePrefix="0" xfId="0">
      <alignment horizontal="general" vertical="bottom" wrapText="1"/>
    </xf>
    <xf numFmtId="0" fontId="6" fillId="10" borderId="0" applyAlignment="1" pivotButton="0" quotePrefix="0" xfId="0">
      <alignment horizontal="general" vertical="bottom" wrapText="1"/>
    </xf>
    <xf numFmtId="166" fontId="0" fillId="10" borderId="0" applyAlignment="1" pivotButton="0" quotePrefix="0" xfId="0">
      <alignment horizontal="general" vertical="bottom" wrapText="1"/>
    </xf>
    <xf numFmtId="166" fontId="0" fillId="0" borderId="0" applyAlignment="1" pivotButton="0" quotePrefix="0" xfId="0">
      <alignment horizontal="general" vertical="bottom" wrapText="1"/>
    </xf>
    <xf numFmtId="0" fontId="12" fillId="0" borderId="73" applyAlignment="1" pivotButton="0" quotePrefix="0" xfId="0">
      <alignment horizontal="center" vertical="bottom"/>
    </xf>
    <xf numFmtId="0" fontId="0" fillId="0" borderId="73" pivotButton="0" quotePrefix="0" xfId="0"/>
    <xf numFmtId="0" fontId="6" fillId="0" borderId="0" applyAlignment="1" pivotButton="0" quotePrefix="0" xfId="0">
      <alignment horizontal="center" vertical="center" wrapText="1"/>
    </xf>
    <xf numFmtId="166" fontId="6" fillId="2" borderId="34" applyAlignment="1" pivotButton="0" quotePrefix="0" xfId="0">
      <alignment horizontal="center" vertical="center" wrapText="1"/>
    </xf>
    <xf numFmtId="0" fontId="6" fillId="2" borderId="36" applyAlignment="1" pivotButton="0" quotePrefix="0" xfId="0">
      <alignment horizontal="center" vertical="center" wrapText="1"/>
    </xf>
    <xf numFmtId="0" fontId="6" fillId="0" borderId="0" applyAlignment="1" pivotButton="0" quotePrefix="0" xfId="0">
      <alignment horizontal="left" vertical="center" wrapText="1"/>
    </xf>
    <xf numFmtId="0" fontId="6" fillId="0" borderId="0" applyAlignment="1" pivotButton="0" quotePrefix="0" xfId="0">
      <alignment horizontal="right" vertical="center" wrapText="1"/>
    </xf>
    <xf numFmtId="0" fontId="0" fillId="0" borderId="57" applyAlignment="1" pivotButton="0" quotePrefix="0" xfId="0">
      <alignment horizontal="left" vertical="center" wrapText="1"/>
    </xf>
    <xf numFmtId="0" fontId="13" fillId="0" borderId="40" applyAlignment="1" pivotButton="0" quotePrefix="0" xfId="0">
      <alignment horizontal="left" vertical="center" wrapText="1"/>
    </xf>
    <xf numFmtId="167" fontId="13" fillId="0" borderId="40" applyAlignment="1" pivotButton="0" quotePrefix="0" xfId="29">
      <alignment horizontal="left" vertical="center" wrapText="1"/>
    </xf>
    <xf numFmtId="0" fontId="0" fillId="0" borderId="40" applyAlignment="1" pivotButton="0" quotePrefix="0" xfId="0">
      <alignment horizontal="general" vertical="bottom"/>
    </xf>
    <xf numFmtId="166" fontId="26" fillId="2" borderId="40" applyAlignment="1" pivotButton="0" quotePrefix="0" xfId="0">
      <alignment horizontal="general" vertical="bottom"/>
    </xf>
    <xf numFmtId="166" fontId="0" fillId="3" borderId="40" applyAlignment="1" applyProtection="1" pivotButton="0" quotePrefix="0" xfId="0">
      <alignment horizontal="general" vertical="bottom"/>
      <protection locked="0" hidden="0"/>
    </xf>
    <xf numFmtId="1" fontId="0" fillId="0" borderId="40" applyAlignment="1" applyProtection="1" pivotButton="0" quotePrefix="0" xfId="0">
      <alignment horizontal="general" vertical="bottom"/>
      <protection locked="0" hidden="0"/>
    </xf>
    <xf numFmtId="0" fontId="0" fillId="0" borderId="41" applyAlignment="1" pivotButton="0" quotePrefix="0" xfId="0">
      <alignment horizontal="general" vertical="bottom"/>
    </xf>
    <xf numFmtId="166" fontId="0" fillId="0" borderId="0" applyAlignment="1" pivotButton="0" quotePrefix="0" xfId="0">
      <alignment horizontal="left" vertical="center" wrapText="1"/>
    </xf>
    <xf numFmtId="0" fontId="0" fillId="0" borderId="56" pivotButton="0" quotePrefix="0" xfId="0"/>
    <xf numFmtId="0" fontId="0" fillId="0" borderId="39" pivotButton="0" quotePrefix="0" xfId="0"/>
    <xf numFmtId="0" fontId="6" fillId="0" borderId="0" applyAlignment="1" pivotButton="0" quotePrefix="0" xfId="0">
      <alignment horizontal="right" vertical="center"/>
    </xf>
    <xf numFmtId="0" fontId="0" fillId="11" borderId="57" applyAlignment="1" pivotButton="0" quotePrefix="0" xfId="0">
      <alignment horizontal="left" vertical="center" wrapText="1"/>
    </xf>
    <xf numFmtId="0" fontId="13" fillId="11" borderId="40" applyAlignment="1" pivotButton="0" quotePrefix="0" xfId="0">
      <alignment horizontal="left" vertical="center" wrapText="1"/>
    </xf>
    <xf numFmtId="167" fontId="13" fillId="11" borderId="40" applyAlignment="1" pivotButton="0" quotePrefix="0" xfId="29">
      <alignment horizontal="left" vertical="center" wrapText="1"/>
    </xf>
    <xf numFmtId="0" fontId="0" fillId="11" borderId="40" applyAlignment="1" pivotButton="0" quotePrefix="0" xfId="0">
      <alignment horizontal="general" vertical="bottom"/>
    </xf>
    <xf numFmtId="0" fontId="0" fillId="11" borderId="0" applyAlignment="1" pivotButton="0" quotePrefix="0" xfId="0">
      <alignment horizontal="left" vertical="center"/>
    </xf>
    <xf numFmtId="165" fontId="0" fillId="0" borderId="0" applyAlignment="1" pivotButton="0" quotePrefix="0" xfId="0">
      <alignment horizontal="left" vertical="center"/>
    </xf>
    <xf numFmtId="0" fontId="0" fillId="0" borderId="65" applyAlignment="1" pivotButton="0" quotePrefix="0" xfId="0">
      <alignment horizontal="left" vertical="center" wrapText="1"/>
    </xf>
    <xf numFmtId="0" fontId="13" fillId="0" borderId="50" applyAlignment="1" pivotButton="0" quotePrefix="0" xfId="0">
      <alignment horizontal="left" vertical="center" wrapText="1"/>
    </xf>
    <xf numFmtId="167" fontId="13" fillId="0" borderId="40" applyAlignment="1" pivotButton="0" quotePrefix="0" xfId="29">
      <alignment horizontal="left" vertical="bottom" wrapText="1"/>
    </xf>
    <xf numFmtId="0" fontId="0" fillId="11" borderId="63" applyAlignment="1" pivotButton="0" quotePrefix="0" xfId="0">
      <alignment horizontal="left" vertical="center" wrapText="1"/>
    </xf>
    <xf numFmtId="167" fontId="13" fillId="11" borderId="40" applyAlignment="1" pivotButton="0" quotePrefix="0" xfId="29">
      <alignment horizontal="left" vertical="bottom" wrapText="1"/>
    </xf>
    <xf numFmtId="0" fontId="0" fillId="11" borderId="50" applyAlignment="1" pivotButton="0" quotePrefix="0" xfId="0">
      <alignment horizontal="general" vertical="bottom"/>
    </xf>
    <xf numFmtId="166" fontId="26" fillId="2" borderId="50" applyAlignment="1" pivotButton="0" quotePrefix="0" xfId="0">
      <alignment horizontal="general" vertical="bottom"/>
    </xf>
    <xf numFmtId="0" fontId="0" fillId="0" borderId="63" applyAlignment="1" pivotButton="0" quotePrefix="0" xfId="0">
      <alignment horizontal="left" vertical="center" wrapText="1"/>
    </xf>
    <xf numFmtId="167" fontId="13" fillId="0" borderId="50" applyAlignment="1" pivotButton="0" quotePrefix="0" xfId="29">
      <alignment horizontal="left" vertical="center" wrapText="1"/>
    </xf>
    <xf numFmtId="167" fontId="13" fillId="0" borderId="50" applyAlignment="1" pivotButton="0" quotePrefix="0" xfId="29">
      <alignment horizontal="left" vertical="bottom" wrapText="1"/>
    </xf>
    <xf numFmtId="166" fontId="0" fillId="2" borderId="50" applyAlignment="1" pivotButton="0" quotePrefix="0" xfId="0">
      <alignment horizontal="general" vertical="bottom"/>
    </xf>
    <xf numFmtId="0" fontId="0" fillId="0" borderId="37" applyAlignment="1" pivotButton="0" quotePrefix="0" xfId="0">
      <alignment horizontal="general" vertical="bottom"/>
    </xf>
    <xf numFmtId="0" fontId="13" fillId="0" borderId="38" applyAlignment="1" pivotButton="0" quotePrefix="0" xfId="0">
      <alignment horizontal="general" vertical="bottom"/>
    </xf>
    <xf numFmtId="167" fontId="13" fillId="0" borderId="38" applyAlignment="1" pivotButton="0" quotePrefix="0" xfId="29">
      <alignment horizontal="left" vertical="bottom" wrapText="1"/>
    </xf>
    <xf numFmtId="166" fontId="0" fillId="0" borderId="38" applyAlignment="1" pivotButton="0" quotePrefix="0" xfId="0">
      <alignment horizontal="general" vertical="bottom"/>
    </xf>
    <xf numFmtId="1" fontId="0" fillId="0" borderId="38" applyAlignment="1" applyProtection="1" pivotButton="0" quotePrefix="0" xfId="0">
      <alignment horizontal="general" vertical="bottom"/>
      <protection locked="0" hidden="0"/>
    </xf>
    <xf numFmtId="0" fontId="0" fillId="0" borderId="44" applyAlignment="1" pivotButton="0" quotePrefix="0" xfId="0">
      <alignment horizontal="general" vertical="bottom"/>
    </xf>
    <xf numFmtId="0" fontId="6" fillId="2" borderId="69" applyAlignment="1" pivotButton="0" quotePrefix="0" xfId="0">
      <alignment horizontal="center" vertical="center" wrapText="1"/>
    </xf>
    <xf numFmtId="1" fontId="6" fillId="2" borderId="34" applyAlignment="1" applyProtection="1" pivotButton="0" quotePrefix="0" xfId="0">
      <alignment horizontal="center" vertical="center" wrapText="1"/>
      <protection locked="0" hidden="0"/>
    </xf>
    <xf numFmtId="0" fontId="28" fillId="0" borderId="40" applyAlignment="1" pivotButton="0" quotePrefix="0" xfId="0">
      <alignment horizontal="general" vertical="bottom"/>
    </xf>
    <xf numFmtId="166" fontId="26" fillId="7" borderId="40" applyAlignment="1" pivotButton="0" quotePrefix="0" xfId="0">
      <alignment horizontal="general" vertical="bottom"/>
    </xf>
    <xf numFmtId="0" fontId="0" fillId="0" borderId="74" applyAlignment="1" pivotButton="0" quotePrefix="0" xfId="0">
      <alignment horizontal="general" vertical="bottom" wrapText="1"/>
    </xf>
    <xf numFmtId="167" fontId="29" fillId="0" borderId="50" applyAlignment="1" pivotButton="0" quotePrefix="0" xfId="29">
      <alignment horizontal="left" vertical="center" wrapText="1"/>
    </xf>
    <xf numFmtId="0" fontId="0" fillId="0" borderId="39" applyAlignment="1" pivotButton="0" quotePrefix="0" xfId="0">
      <alignment horizontal="general" vertical="bottom"/>
    </xf>
    <xf numFmtId="166" fontId="0" fillId="3" borderId="50" applyAlignment="1" applyProtection="1" pivotButton="0" quotePrefix="0" xfId="0">
      <alignment horizontal="general" vertical="bottom"/>
      <protection locked="0" hidden="0"/>
    </xf>
    <xf numFmtId="1" fontId="0" fillId="0" borderId="50" applyAlignment="1" applyProtection="1" pivotButton="0" quotePrefix="0" xfId="0">
      <alignment horizontal="general" vertical="bottom"/>
      <protection locked="0" hidden="0"/>
    </xf>
    <xf numFmtId="0" fontId="0" fillId="0" borderId="51" applyAlignment="1" pivotButton="0" quotePrefix="0" xfId="0">
      <alignment horizontal="general" vertical="bottom"/>
    </xf>
    <xf numFmtId="0" fontId="0" fillId="0" borderId="48" applyAlignment="1" pivotButton="0" quotePrefix="0" xfId="0">
      <alignment horizontal="left" vertical="center" wrapText="1"/>
    </xf>
    <xf numFmtId="0" fontId="13" fillId="0" borderId="34" applyAlignment="1" pivotButton="0" quotePrefix="0" xfId="0">
      <alignment horizontal="left" vertical="center" wrapText="1"/>
    </xf>
    <xf numFmtId="0" fontId="30" fillId="0" borderId="34" applyAlignment="1" pivotButton="0" quotePrefix="0" xfId="0">
      <alignment horizontal="left" vertical="center" wrapText="1"/>
    </xf>
    <xf numFmtId="0" fontId="0" fillId="0" borderId="34" applyAlignment="1" pivotButton="0" quotePrefix="0" xfId="0">
      <alignment horizontal="general" vertical="bottom"/>
    </xf>
    <xf numFmtId="166" fontId="26" fillId="2" borderId="34" applyAlignment="1" pivotButton="0" quotePrefix="0" xfId="0">
      <alignment horizontal="general" vertical="bottom"/>
    </xf>
    <xf numFmtId="166" fontId="0" fillId="3" borderId="34" applyAlignment="1" applyProtection="1" pivotButton="0" quotePrefix="0" xfId="0">
      <alignment horizontal="general" vertical="bottom"/>
      <protection locked="0" hidden="0"/>
    </xf>
    <xf numFmtId="1" fontId="0" fillId="0" borderId="34" applyAlignment="1" applyProtection="1" pivotButton="0" quotePrefix="0" xfId="0">
      <alignment horizontal="general" vertical="bottom"/>
      <protection locked="0" hidden="0"/>
    </xf>
    <xf numFmtId="0" fontId="0" fillId="0" borderId="36" applyAlignment="1" pivotButton="0" quotePrefix="0" xfId="0">
      <alignment horizontal="general" vertical="bottom"/>
    </xf>
    <xf numFmtId="0" fontId="13" fillId="0" borderId="38" applyAlignment="1" pivotButton="0" quotePrefix="0" xfId="0">
      <alignment horizontal="left" vertical="center" wrapText="1"/>
    </xf>
    <xf numFmtId="0" fontId="31" fillId="0" borderId="38" applyAlignment="1" pivotButton="0" quotePrefix="0" xfId="0">
      <alignment horizontal="left" vertical="center" wrapText="1"/>
    </xf>
    <xf numFmtId="166" fontId="26" fillId="2" borderId="38" applyAlignment="1" pivotButton="0" quotePrefix="0" xfId="0">
      <alignment horizontal="general" vertical="bottom"/>
    </xf>
    <xf numFmtId="166" fontId="0" fillId="3" borderId="38" applyAlignment="1" applyProtection="1" pivotButton="0" quotePrefix="0" xfId="0">
      <alignment horizontal="general" vertical="bottom"/>
      <protection locked="0" hidden="0"/>
    </xf>
    <xf numFmtId="0" fontId="0" fillId="0" borderId="72" applyAlignment="1" pivotButton="0" quotePrefix="0" xfId="0">
      <alignment horizontal="general" vertical="center" wrapText="1"/>
    </xf>
    <xf numFmtId="0" fontId="13" fillId="0" borderId="69" applyAlignment="1" pivotButton="0" quotePrefix="0" xfId="0">
      <alignment horizontal="general" vertical="center" wrapText="1"/>
    </xf>
    <xf numFmtId="0" fontId="28" fillId="0" borderId="69" applyAlignment="1" pivotButton="0" quotePrefix="0" xfId="0">
      <alignment horizontal="general" vertical="bottom"/>
    </xf>
    <xf numFmtId="166" fontId="26" fillId="7" borderId="69" applyAlignment="1" pivotButton="0" quotePrefix="0" xfId="0">
      <alignment horizontal="general" vertical="bottom"/>
    </xf>
    <xf numFmtId="166" fontId="0" fillId="0" borderId="69" applyAlignment="1" applyProtection="1" pivotButton="0" quotePrefix="0" xfId="0">
      <alignment horizontal="general" vertical="bottom"/>
      <protection locked="0" hidden="0"/>
    </xf>
    <xf numFmtId="1" fontId="0" fillId="0" borderId="69" applyAlignment="1" applyProtection="1" pivotButton="0" quotePrefix="0" xfId="0">
      <alignment horizontal="general" vertical="bottom"/>
      <protection locked="0" hidden="0"/>
    </xf>
    <xf numFmtId="0" fontId="0" fillId="0" borderId="68" applyAlignment="1" pivotButton="0" quotePrefix="0" xfId="0">
      <alignment horizontal="general" vertical="bottom"/>
    </xf>
    <xf numFmtId="0" fontId="0" fillId="0" borderId="37" applyAlignment="1" pivotButton="0" quotePrefix="0" xfId="0">
      <alignment horizontal="general" vertical="center" wrapText="1"/>
    </xf>
    <xf numFmtId="0" fontId="13" fillId="0" borderId="38" applyAlignment="1" pivotButton="0" quotePrefix="0" xfId="0">
      <alignment horizontal="general" vertical="center" wrapText="1"/>
    </xf>
    <xf numFmtId="166" fontId="26" fillId="0" borderId="38" applyAlignment="1" pivotButton="0" quotePrefix="0" xfId="0">
      <alignment horizontal="general" vertical="bottom"/>
    </xf>
    <xf numFmtId="166" fontId="0" fillId="0" borderId="38" applyAlignment="1" applyProtection="1" pivotButton="0" quotePrefix="0" xfId="0">
      <alignment horizontal="general" vertical="bottom"/>
      <protection locked="0" hidden="0"/>
    </xf>
    <xf numFmtId="0" fontId="0" fillId="0" borderId="56" applyAlignment="1" pivotButton="0" quotePrefix="0" xfId="0">
      <alignment horizontal="left" vertical="center" wrapText="1"/>
    </xf>
    <xf numFmtId="0" fontId="13" fillId="0" borderId="39" applyAlignment="1" pivotButton="0" quotePrefix="0" xfId="0">
      <alignment horizontal="left" vertical="center" wrapText="1"/>
    </xf>
    <xf numFmtId="0" fontId="31" fillId="0" borderId="39" applyAlignment="1" pivotButton="0" quotePrefix="0" xfId="0">
      <alignment horizontal="left" vertical="center" wrapText="1"/>
    </xf>
    <xf numFmtId="166" fontId="26" fillId="2" borderId="39" applyAlignment="1" pivotButton="0" quotePrefix="0" xfId="0">
      <alignment horizontal="general" vertical="bottom"/>
    </xf>
    <xf numFmtId="166" fontId="0" fillId="3" borderId="39" applyAlignment="1" applyProtection="1" pivotButton="0" quotePrefix="0" xfId="0">
      <alignment horizontal="general" vertical="bottom"/>
      <protection locked="0" hidden="0"/>
    </xf>
    <xf numFmtId="1" fontId="0" fillId="0" borderId="39" applyAlignment="1" applyProtection="1" pivotButton="0" quotePrefix="0" xfId="0">
      <alignment horizontal="general" vertical="bottom"/>
      <protection locked="0" hidden="0"/>
    </xf>
    <xf numFmtId="0" fontId="0" fillId="0" borderId="43" applyAlignment="1" pivotButton="0" quotePrefix="0" xfId="0">
      <alignment horizontal="general" vertical="bottom"/>
    </xf>
    <xf numFmtId="0" fontId="13" fillId="0" borderId="40" applyAlignment="1" pivotButton="0" quotePrefix="0" xfId="0">
      <alignment horizontal="left" vertical="center" shrinkToFit="1"/>
    </xf>
    <xf numFmtId="0" fontId="0" fillId="11" borderId="37" applyAlignment="1" pivotButton="0" quotePrefix="0" xfId="0">
      <alignment horizontal="center" vertical="center"/>
    </xf>
    <xf numFmtId="0" fontId="13" fillId="11" borderId="59" applyAlignment="1" pivotButton="0" quotePrefix="0" xfId="0">
      <alignment horizontal="left" vertical="center" wrapText="1"/>
    </xf>
    <xf numFmtId="0" fontId="20" fillId="11" borderId="39" applyAlignment="1" pivotButton="0" quotePrefix="0" xfId="0">
      <alignment horizontal="general" vertical="bottom"/>
    </xf>
    <xf numFmtId="0" fontId="0" fillId="11" borderId="59" applyAlignment="1" pivotButton="0" quotePrefix="0" xfId="0">
      <alignment horizontal="general" vertical="bottom"/>
    </xf>
    <xf numFmtId="166" fontId="26" fillId="2" borderId="59" applyAlignment="1" pivotButton="0" quotePrefix="0" xfId="0">
      <alignment horizontal="general" vertical="bottom"/>
    </xf>
    <xf numFmtId="0" fontId="0" fillId="0" borderId="61" applyAlignment="1" pivotButton="0" quotePrefix="0" xfId="0">
      <alignment horizontal="general" vertical="bottom"/>
    </xf>
    <xf numFmtId="0" fontId="0" fillId="11" borderId="39" applyAlignment="1" pivotButton="0" quotePrefix="0" xfId="0">
      <alignment horizontal="general" vertical="bottom"/>
    </xf>
    <xf numFmtId="166" fontId="6" fillId="2" borderId="34" applyAlignment="1" applyProtection="1" pivotButton="0" quotePrefix="0" xfId="0">
      <alignment horizontal="center" vertical="center" wrapText="1"/>
      <protection locked="0" hidden="0"/>
    </xf>
    <xf numFmtId="0" fontId="0" fillId="0" borderId="57" applyAlignment="1" pivotButton="0" quotePrefix="0" xfId="0">
      <alignment horizontal="general" vertical="center"/>
    </xf>
    <xf numFmtId="0" fontId="13" fillId="0" borderId="40" applyAlignment="1" pivotButton="0" quotePrefix="0" xfId="0">
      <alignment horizontal="general" vertical="center"/>
    </xf>
    <xf numFmtId="167" fontId="13" fillId="0" borderId="40" applyAlignment="1" pivotButton="0" quotePrefix="0" xfId="29">
      <alignment horizontal="left" vertical="center"/>
    </xf>
    <xf numFmtId="0" fontId="0" fillId="0" borderId="57" applyAlignment="1" pivotButton="0" quotePrefix="0" xfId="0">
      <alignment horizontal="left" vertical="center"/>
    </xf>
    <xf numFmtId="0" fontId="0" fillId="0" borderId="63" applyAlignment="1" pivotButton="0" quotePrefix="0" xfId="0">
      <alignment horizontal="left" vertical="center"/>
    </xf>
    <xf numFmtId="0" fontId="13" fillId="0" borderId="50" applyAlignment="1" pivotButton="0" quotePrefix="0" xfId="0">
      <alignment horizontal="general" vertical="bottom"/>
    </xf>
    <xf numFmtId="166" fontId="0" fillId="2" borderId="40" applyAlignment="1" pivotButton="0" quotePrefix="0" xfId="0">
      <alignment horizontal="general" vertical="bottom"/>
    </xf>
    <xf numFmtId="0" fontId="0" fillId="0" borderId="63" applyAlignment="1" pivotButton="0" quotePrefix="0" xfId="0">
      <alignment horizontal="center" vertical="center" wrapText="1"/>
    </xf>
    <xf numFmtId="0" fontId="13" fillId="0" borderId="50" applyAlignment="1" pivotButton="0" quotePrefix="0" xfId="0">
      <alignment horizontal="center" vertical="center"/>
    </xf>
    <xf numFmtId="0" fontId="13" fillId="0" borderId="50" applyAlignment="1" pivotButton="0" quotePrefix="0" xfId="0">
      <alignment horizontal="center" vertical="center" wrapText="1"/>
    </xf>
    <xf numFmtId="0" fontId="0" fillId="0" borderId="59" applyAlignment="1" pivotButton="0" quotePrefix="0" xfId="0">
      <alignment horizontal="general" vertical="bottom"/>
    </xf>
    <xf numFmtId="0" fontId="0" fillId="0" borderId="57" applyAlignment="1" pivotButton="0" quotePrefix="0" xfId="0">
      <alignment horizontal="center" vertical="center" wrapText="1"/>
    </xf>
    <xf numFmtId="0" fontId="13" fillId="0" borderId="40" applyAlignment="1" pivotButton="0" quotePrefix="0" xfId="0">
      <alignment horizontal="center" vertical="center"/>
    </xf>
    <xf numFmtId="0" fontId="13" fillId="0" borderId="40" applyAlignment="1" pivotButton="0" quotePrefix="0" xfId="0">
      <alignment horizontal="center" vertical="center" wrapText="1"/>
    </xf>
    <xf numFmtId="166" fontId="26" fillId="0" borderId="40" applyAlignment="1" pivotButton="0" quotePrefix="0" xfId="0">
      <alignment horizontal="general" vertical="bottom"/>
    </xf>
    <xf numFmtId="166" fontId="0" fillId="0" borderId="40" applyAlignment="1" pivotButton="0" quotePrefix="0" xfId="0">
      <alignment horizontal="general" vertical="bottom"/>
    </xf>
    <xf numFmtId="0" fontId="0" fillId="0" borderId="57" applyAlignment="1" pivotButton="0" quotePrefix="0" xfId="0">
      <alignment horizontal="general" vertical="center" wrapText="1"/>
    </xf>
    <xf numFmtId="0" fontId="13" fillId="0" borderId="40" applyAlignment="1" pivotButton="0" quotePrefix="0" xfId="0">
      <alignment horizontal="general" vertical="center" wrapText="1"/>
    </xf>
    <xf numFmtId="0" fontId="0" fillId="0" borderId="57" applyAlignment="1" pivotButton="0" quotePrefix="0" xfId="0">
      <alignment horizontal="general" vertical="bottom"/>
    </xf>
    <xf numFmtId="0" fontId="13" fillId="0" borderId="40" applyAlignment="1" pivotButton="0" quotePrefix="0" xfId="0">
      <alignment horizontal="general" vertical="bottom"/>
    </xf>
    <xf numFmtId="0" fontId="0" fillId="0" borderId="63" applyAlignment="1" pivotButton="0" quotePrefix="0" xfId="0">
      <alignment horizontal="general" vertical="bottom"/>
    </xf>
    <xf numFmtId="0" fontId="6" fillId="0" borderId="57" applyAlignment="1" pivotButton="0" quotePrefix="0" xfId="0">
      <alignment horizontal="center" vertical="center"/>
    </xf>
    <xf numFmtId="0" fontId="0" fillId="0" borderId="0" applyAlignment="1" pivotButton="0" quotePrefix="0" xfId="0">
      <alignment horizontal="general" vertical="center"/>
    </xf>
    <xf numFmtId="167" fontId="13" fillId="0" borderId="40" applyAlignment="1" pivotButton="0" quotePrefix="0" xfId="29">
      <alignment horizontal="center" vertical="center" wrapText="1"/>
    </xf>
    <xf numFmtId="0" fontId="0" fillId="0" borderId="40" applyAlignment="1" pivotButton="0" quotePrefix="0" xfId="0">
      <alignment horizontal="right" vertical="bottom"/>
    </xf>
    <xf numFmtId="0" fontId="0" fillId="0" borderId="56" applyAlignment="1" pivotButton="0" quotePrefix="0" xfId="0">
      <alignment horizontal="general" vertical="center" wrapText="1"/>
    </xf>
    <xf numFmtId="0" fontId="0" fillId="0" borderId="40" applyAlignment="1" pivotButton="0" quotePrefix="0" xfId="0">
      <alignment horizontal="left" vertical="center" wrapText="1"/>
    </xf>
    <xf numFmtId="0" fontId="0" fillId="0" borderId="70" applyAlignment="1" pivotButton="0" quotePrefix="0" xfId="0">
      <alignment horizontal="left" vertical="center" wrapText="1"/>
    </xf>
    <xf numFmtId="0" fontId="13" fillId="0" borderId="59" applyAlignment="1" pivotButton="0" quotePrefix="0" xfId="0">
      <alignment horizontal="left" vertical="center" wrapText="1"/>
    </xf>
    <xf numFmtId="166" fontId="0" fillId="2" borderId="39" applyAlignment="1" pivotButton="0" quotePrefix="0" xfId="0">
      <alignment horizontal="general" vertical="bottom"/>
    </xf>
    <xf numFmtId="0" fontId="0" fillId="0" borderId="57" applyAlignment="1" pivotButton="0" quotePrefix="0" xfId="0">
      <alignment horizontal="center" vertical="center"/>
    </xf>
    <xf numFmtId="0" fontId="13" fillId="0" borderId="40" applyAlignment="1" pivotButton="0" quotePrefix="0" xfId="0">
      <alignment horizontal="general" vertical="bottom" wrapText="1"/>
    </xf>
    <xf numFmtId="0" fontId="26" fillId="0" borderId="38" applyAlignment="1" pivotButton="0" quotePrefix="0" xfId="0">
      <alignment horizontal="general" vertical="bottom"/>
    </xf>
    <xf numFmtId="0" fontId="13" fillId="0" borderId="40" applyAlignment="1" pivotButton="0" quotePrefix="0" xfId="0">
      <alignment horizontal="left" vertical="center"/>
    </xf>
    <xf numFmtId="167" fontId="13" fillId="0" borderId="50" applyAlignment="1" pivotButton="0" quotePrefix="0" xfId="29">
      <alignment horizontal="general" vertical="center" wrapText="1"/>
    </xf>
    <xf numFmtId="167" fontId="13" fillId="0" borderId="39" applyAlignment="1" pivotButton="0" quotePrefix="0" xfId="29">
      <alignment horizontal="left" vertical="center" wrapText="1"/>
    </xf>
    <xf numFmtId="0" fontId="10" fillId="0" borderId="40" applyAlignment="1" pivotButton="0" quotePrefix="0" xfId="0">
      <alignment horizontal="general" vertical="bottom"/>
    </xf>
    <xf numFmtId="167" fontId="29" fillId="0" borderId="40" applyAlignment="1" pivotButton="0" quotePrefix="0" xfId="29">
      <alignment horizontal="left" vertical="center" wrapText="1"/>
    </xf>
    <xf numFmtId="1" fontId="0" fillId="0" borderId="59" applyAlignment="1" applyProtection="1" pivotButton="0" quotePrefix="0" xfId="0">
      <alignment horizontal="general" vertical="bottom"/>
      <protection locked="0" hidden="0"/>
    </xf>
    <xf numFmtId="166" fontId="0" fillId="2" borderId="59" applyAlignment="1" pivotButton="0" quotePrefix="0" xfId="0">
      <alignment horizontal="general" vertical="bottom"/>
    </xf>
    <xf numFmtId="167" fontId="13" fillId="0" borderId="40" applyAlignment="1" pivotButton="0" quotePrefix="0" xfId="29">
      <alignment horizontal="general" vertical="center" wrapText="1"/>
    </xf>
    <xf numFmtId="166" fontId="34" fillId="2" borderId="40" applyAlignment="1" pivotButton="0" quotePrefix="0" xfId="0">
      <alignment horizontal="general" vertical="bottom"/>
    </xf>
    <xf numFmtId="0" fontId="0" fillId="0" borderId="40" applyAlignment="1" pivotButton="0" quotePrefix="0" xfId="0">
      <alignment horizontal="center" vertical="bottom"/>
    </xf>
    <xf numFmtId="166" fontId="34" fillId="2" borderId="40" applyAlignment="1" pivotButton="0" quotePrefix="0" xfId="0">
      <alignment horizontal="center" vertical="bottom"/>
    </xf>
    <xf numFmtId="166" fontId="10" fillId="3" borderId="40" applyAlignment="1" applyProtection="1" pivotButton="0" quotePrefix="0" xfId="0">
      <alignment horizontal="center" vertical="bottom"/>
      <protection locked="0" hidden="0"/>
    </xf>
    <xf numFmtId="1" fontId="0" fillId="0" borderId="40" applyAlignment="1" pivotButton="0" quotePrefix="0" xfId="0">
      <alignment horizontal="center" vertical="bottom"/>
    </xf>
    <xf numFmtId="0" fontId="0" fillId="0" borderId="41" applyAlignment="1" pivotButton="0" quotePrefix="0" xfId="0">
      <alignment horizontal="right" vertical="bottom"/>
    </xf>
    <xf numFmtId="0" fontId="0" fillId="0" borderId="39" applyProtection="1" pivotButton="0" quotePrefix="0" xfId="0">
      <protection locked="0" hidden="0"/>
    </xf>
    <xf numFmtId="0" fontId="0" fillId="0" borderId="43" pivotButton="0" quotePrefix="0" xfId="0"/>
    <xf numFmtId="0" fontId="0" fillId="0" borderId="74" applyAlignment="1" pivotButton="0" quotePrefix="0" xfId="0">
      <alignment horizontal="general" vertical="bottom"/>
    </xf>
    <xf numFmtId="0" fontId="0" fillId="0" borderId="75" applyAlignment="1" pivotButton="0" quotePrefix="0" xfId="0">
      <alignment horizontal="general" vertical="bottom"/>
    </xf>
    <xf numFmtId="0" fontId="0" fillId="0" borderId="74" applyAlignment="1" pivotButton="0" quotePrefix="0" xfId="0">
      <alignment horizontal="general" vertical="center" wrapText="1"/>
    </xf>
    <xf numFmtId="0" fontId="0" fillId="0" borderId="67" pivotButton="0" quotePrefix="0" xfId="0"/>
    <xf numFmtId="0" fontId="0" fillId="0" borderId="56" applyAlignment="1" pivotButton="0" quotePrefix="0" xfId="0">
      <alignment horizontal="center" vertical="center" wrapText="1"/>
    </xf>
    <xf numFmtId="0" fontId="0" fillId="0" borderId="52" applyAlignment="1" pivotButton="0" quotePrefix="0" xfId="0">
      <alignment horizontal="left" vertical="center" wrapText="1"/>
    </xf>
    <xf numFmtId="0" fontId="13" fillId="0" borderId="39" applyAlignment="1" pivotButton="0" quotePrefix="0" xfId="0">
      <alignment horizontal="general" vertical="center" wrapText="1"/>
    </xf>
    <xf numFmtId="0" fontId="20" fillId="0" borderId="40" applyAlignment="1" pivotButton="0" quotePrefix="0" xfId="0">
      <alignment horizontal="left" vertical="center" wrapText="1"/>
    </xf>
    <xf numFmtId="0" fontId="0" fillId="0" borderId="39" applyAlignment="1" pivotButton="0" quotePrefix="0" xfId="0">
      <alignment horizontal="center" vertical="center" wrapText="1"/>
    </xf>
    <xf numFmtId="0" fontId="0" fillId="12" borderId="43" applyAlignment="1" pivotButton="0" quotePrefix="0" xfId="0">
      <alignment horizontal="general" vertical="bottom"/>
    </xf>
    <xf numFmtId="0" fontId="0" fillId="12" borderId="0" applyAlignment="1" pivotButton="0" quotePrefix="0" xfId="0">
      <alignment horizontal="left" vertical="center"/>
    </xf>
    <xf numFmtId="0" fontId="0" fillId="0" borderId="53" applyAlignment="1" pivotButton="0" quotePrefix="0" xfId="0">
      <alignment horizontal="center" vertical="center" wrapText="1"/>
    </xf>
    <xf numFmtId="0" fontId="0" fillId="0" borderId="67" applyAlignment="1" pivotButton="0" quotePrefix="0" xfId="0">
      <alignment horizontal="center" vertical="center" wrapText="1"/>
    </xf>
    <xf numFmtId="0" fontId="0" fillId="0" borderId="40" applyAlignment="1" pivotButton="0" quotePrefix="0" xfId="0">
      <alignment horizontal="center" vertical="bottom" wrapText="1"/>
    </xf>
    <xf numFmtId="166" fontId="26" fillId="7" borderId="39" applyAlignment="1" pivotButton="0" quotePrefix="0" xfId="0">
      <alignment horizontal="general" vertical="bottom"/>
    </xf>
    <xf numFmtId="0" fontId="0" fillId="0" borderId="52" pivotButton="0" quotePrefix="0" xfId="0"/>
    <xf numFmtId="0" fontId="0" fillId="0" borderId="42" pivotButton="0" quotePrefix="0" xfId="0"/>
    <xf numFmtId="0" fontId="0" fillId="11" borderId="56" applyAlignment="1" pivotButton="0" quotePrefix="0" xfId="0">
      <alignment horizontal="center" vertical="center" wrapText="1"/>
    </xf>
    <xf numFmtId="0" fontId="13" fillId="11" borderId="39" applyAlignment="1" pivotButton="0" quotePrefix="0" xfId="0">
      <alignment horizontal="general" vertical="center" wrapText="1"/>
    </xf>
    <xf numFmtId="167" fontId="13" fillId="11" borderId="39" applyAlignment="1" pivotButton="0" quotePrefix="0" xfId="29">
      <alignment horizontal="center" vertical="center" wrapText="1"/>
    </xf>
    <xf numFmtId="0" fontId="0" fillId="11" borderId="39" applyAlignment="1" pivotButton="0" quotePrefix="0" xfId="0">
      <alignment horizontal="center" vertical="bottom" wrapText="1"/>
    </xf>
    <xf numFmtId="0" fontId="0" fillId="11" borderId="39" applyAlignment="1" pivotButton="0" quotePrefix="0" xfId="0">
      <alignment horizontal="center" vertical="bottom"/>
    </xf>
    <xf numFmtId="166" fontId="34" fillId="11" borderId="39" applyAlignment="1" pivotButton="0" quotePrefix="0" xfId="0">
      <alignment horizontal="center" vertical="bottom"/>
    </xf>
    <xf numFmtId="1" fontId="0" fillId="0" borderId="39" applyAlignment="1" pivotButton="0" quotePrefix="0" xfId="0">
      <alignment horizontal="center" vertical="bottom"/>
    </xf>
    <xf numFmtId="0" fontId="13" fillId="0" borderId="74" applyAlignment="1" pivotButton="0" quotePrefix="0" xfId="0">
      <alignment horizontal="left" vertical="center" wrapText="1"/>
    </xf>
    <xf numFmtId="0" fontId="0" fillId="0" borderId="63" applyAlignment="1" pivotButton="0" quotePrefix="0" xfId="0">
      <alignment horizontal="general" vertical="center" wrapText="1"/>
    </xf>
    <xf numFmtId="0" fontId="13" fillId="0" borderId="50" applyAlignment="1" pivotButton="0" quotePrefix="0" xfId="0">
      <alignment horizontal="general" vertical="center" wrapText="1"/>
    </xf>
    <xf numFmtId="166" fontId="34" fillId="2" borderId="50" applyAlignment="1" pivotButton="0" quotePrefix="0" xfId="0">
      <alignment horizontal="general" vertical="bottom"/>
    </xf>
    <xf numFmtId="166" fontId="38" fillId="2" borderId="50" applyAlignment="1" pivotButton="0" quotePrefix="0" xfId="0">
      <alignment horizontal="general" vertical="bottom"/>
    </xf>
    <xf numFmtId="0" fontId="0" fillId="0" borderId="37" applyAlignment="1" pivotButton="0" quotePrefix="0" xfId="0">
      <alignment horizontal="left" vertical="center" wrapText="1"/>
    </xf>
    <xf numFmtId="0" fontId="0" fillId="0" borderId="38" applyAlignment="1" pivotButton="0" quotePrefix="0" xfId="0">
      <alignment horizontal="left" vertical="center" wrapText="1"/>
    </xf>
    <xf numFmtId="166" fontId="0" fillId="0" borderId="40" applyAlignment="1" applyProtection="1" pivotButton="0" quotePrefix="0" xfId="0">
      <alignment horizontal="general" vertical="bottom"/>
      <protection locked="0" hidden="0"/>
    </xf>
    <xf numFmtId="0" fontId="0" fillId="0" borderId="40" applyAlignment="1" pivotButton="0" quotePrefix="0" xfId="0">
      <alignment horizontal="center" vertical="center" wrapText="1"/>
    </xf>
    <xf numFmtId="167" fontId="5" fillId="0" borderId="40" applyAlignment="1" pivotButton="0" quotePrefix="0" xfId="0">
      <alignment horizontal="left" vertical="bottom"/>
    </xf>
    <xf numFmtId="166" fontId="0" fillId="3" borderId="40" applyAlignment="1" applyProtection="1" pivotButton="0" quotePrefix="0" xfId="0">
      <alignment horizontal="center" vertical="bottom"/>
      <protection locked="0" hidden="0"/>
    </xf>
    <xf numFmtId="1" fontId="0" fillId="0" borderId="40" applyAlignment="1" applyProtection="1" pivotButton="0" quotePrefix="0" xfId="0">
      <alignment horizontal="center" vertical="center"/>
      <protection locked="0" hidden="0"/>
    </xf>
    <xf numFmtId="0" fontId="0" fillId="0" borderId="51" applyAlignment="1" pivotButton="0" quotePrefix="0" xfId="0">
      <alignment horizontal="right" vertical="center" wrapText="1"/>
    </xf>
    <xf numFmtId="0" fontId="0" fillId="0" borderId="74" applyAlignment="1" pivotButton="0" quotePrefix="0" xfId="0">
      <alignment horizontal="left" vertical="center"/>
    </xf>
    <xf numFmtId="0" fontId="30" fillId="0" borderId="40" applyAlignment="1" pivotButton="0" quotePrefix="0" xfId="0">
      <alignment horizontal="center" vertical="center" wrapText="1"/>
    </xf>
    <xf numFmtId="167" fontId="13" fillId="0" borderId="40" applyAlignment="1" pivotButton="0" quotePrefix="0" xfId="0">
      <alignment horizontal="center" vertical="center" wrapText="1"/>
    </xf>
    <xf numFmtId="0" fontId="13" fillId="0" borderId="67" applyAlignment="1" pivotButton="0" quotePrefix="0" xfId="0">
      <alignment horizontal="center" vertical="center" wrapText="1"/>
    </xf>
    <xf numFmtId="0" fontId="0" fillId="0" borderId="54" applyAlignment="1" pivotButton="0" quotePrefix="0" xfId="0">
      <alignment horizontal="general" vertical="bottom"/>
    </xf>
    <xf numFmtId="169" fontId="26" fillId="2" borderId="40" applyAlignment="1" pivotButton="0" quotePrefix="0" xfId="0">
      <alignment horizontal="center" vertical="center"/>
    </xf>
    <xf numFmtId="0" fontId="0" fillId="0" borderId="41" applyAlignment="1" pivotButton="0" quotePrefix="0" xfId="0">
      <alignment horizontal="right" vertical="center"/>
    </xf>
    <xf numFmtId="0" fontId="0" fillId="0" borderId="59" applyProtection="1" pivotButton="0" quotePrefix="0" xfId="0">
      <protection locked="0" hidden="0"/>
    </xf>
    <xf numFmtId="0" fontId="0" fillId="0" borderId="61" pivotButton="0" quotePrefix="0" xfId="0"/>
    <xf numFmtId="0" fontId="0" fillId="0" borderId="53" applyAlignment="1" pivotButton="0" quotePrefix="0" xfId="0">
      <alignment horizontal="general" vertical="bottom"/>
    </xf>
    <xf numFmtId="0" fontId="0" fillId="13" borderId="57" applyAlignment="1" pivotButton="0" quotePrefix="0" xfId="0">
      <alignment horizontal="left" vertical="center" wrapText="1"/>
    </xf>
    <xf numFmtId="0" fontId="13" fillId="13" borderId="40" applyAlignment="1" pivotButton="0" quotePrefix="0" xfId="0">
      <alignment horizontal="center" vertical="center" wrapText="1"/>
    </xf>
    <xf numFmtId="0" fontId="0" fillId="13" borderId="40" applyAlignment="1" pivotButton="0" quotePrefix="0" xfId="0">
      <alignment horizontal="general" vertical="bottom"/>
    </xf>
    <xf numFmtId="169" fontId="0" fillId="2" borderId="40" applyAlignment="1" pivotButton="0" quotePrefix="0" xfId="0">
      <alignment horizontal="center" vertical="center"/>
    </xf>
    <xf numFmtId="0" fontId="0" fillId="0" borderId="41" applyAlignment="1" pivotButton="0" quotePrefix="0" xfId="0">
      <alignment horizontal="center" vertical="center"/>
    </xf>
    <xf numFmtId="0" fontId="13" fillId="0" borderId="65" applyAlignment="1" pivotButton="0" quotePrefix="0" xfId="0">
      <alignment horizontal="center" vertical="center" wrapText="1"/>
    </xf>
    <xf numFmtId="0" fontId="13" fillId="0" borderId="59" applyAlignment="1" pivotButton="0" quotePrefix="0" xfId="0">
      <alignment horizontal="center" vertical="center" wrapText="1"/>
    </xf>
    <xf numFmtId="0" fontId="0" fillId="0" borderId="76" applyAlignment="1" pivotButton="0" quotePrefix="0" xfId="0">
      <alignment horizontal="general" vertical="bottom"/>
    </xf>
    <xf numFmtId="169" fontId="0" fillId="2" borderId="59" applyAlignment="1" pivotButton="0" quotePrefix="0" xfId="0">
      <alignment horizontal="center" vertical="center"/>
    </xf>
    <xf numFmtId="166" fontId="0" fillId="3" borderId="59" applyAlignment="1" applyProtection="1" pivotButton="0" quotePrefix="0" xfId="0">
      <alignment horizontal="center" vertical="bottom"/>
      <protection locked="0" hidden="0"/>
    </xf>
    <xf numFmtId="1" fontId="0" fillId="0" borderId="59" applyAlignment="1" applyProtection="1" pivotButton="0" quotePrefix="0" xfId="0">
      <alignment horizontal="center" vertical="center"/>
      <protection locked="0" hidden="0"/>
    </xf>
    <xf numFmtId="0" fontId="0" fillId="0" borderId="61" applyAlignment="1" pivotButton="0" quotePrefix="0" xfId="0">
      <alignment horizontal="center" vertical="center"/>
    </xf>
    <xf numFmtId="0" fontId="6" fillId="2" borderId="72" applyAlignment="1" pivotButton="0" quotePrefix="0" xfId="0">
      <alignment horizontal="center" vertical="center" wrapText="1"/>
    </xf>
    <xf numFmtId="0" fontId="0" fillId="0" borderId="6" pivotButton="0" quotePrefix="0" xfId="0"/>
    <xf numFmtId="0" fontId="0" fillId="0" borderId="108" pivotButton="0" quotePrefix="0" xfId="0"/>
    <xf numFmtId="166" fontId="6" fillId="2" borderId="69" applyAlignment="1" pivotButton="0" quotePrefix="0" xfId="0">
      <alignment horizontal="center" vertical="center" wrapText="1"/>
    </xf>
    <xf numFmtId="166" fontId="6" fillId="2" borderId="69" applyAlignment="1" applyProtection="1" pivotButton="0" quotePrefix="0" xfId="0">
      <alignment horizontal="center" vertical="center" wrapText="1"/>
      <protection locked="0" hidden="0"/>
    </xf>
    <xf numFmtId="1" fontId="6" fillId="2" borderId="69" applyAlignment="1" applyProtection="1" pivotButton="0" quotePrefix="0" xfId="0">
      <alignment horizontal="center" vertical="center" wrapText="1"/>
      <protection locked="0" hidden="0"/>
    </xf>
    <xf numFmtId="0" fontId="0" fillId="0" borderId="77" applyAlignment="1" pivotButton="0" quotePrefix="0" xfId="0">
      <alignment horizontal="general" vertical="bottom" wrapText="1"/>
    </xf>
    <xf numFmtId="0" fontId="0" fillId="0" borderId="85" pivotButton="0" quotePrefix="0" xfId="0"/>
    <xf numFmtId="1" fontId="0" fillId="0" borderId="41" applyAlignment="1" pivotButton="0" quotePrefix="0" xfId="0">
      <alignment horizontal="general" vertical="bottom"/>
    </xf>
    <xf numFmtId="0" fontId="0" fillId="0" borderId="77" applyAlignment="1" pivotButton="0" quotePrefix="0" xfId="0">
      <alignment horizontal="left" vertical="center" wrapText="1"/>
    </xf>
    <xf numFmtId="0" fontId="0" fillId="0" borderId="67" applyAlignment="1" pivotButton="0" quotePrefix="0" xfId="0">
      <alignment horizontal="left" vertical="center" wrapText="1"/>
    </xf>
    <xf numFmtId="0" fontId="13" fillId="0" borderId="59" applyAlignment="1" pivotButton="0" quotePrefix="0" xfId="0">
      <alignment horizontal="general" vertical="bottom"/>
    </xf>
    <xf numFmtId="0" fontId="0" fillId="0" borderId="59" applyAlignment="1" pivotButton="0" quotePrefix="0" xfId="0">
      <alignment horizontal="center" vertical="bottom"/>
    </xf>
    <xf numFmtId="166" fontId="0" fillId="0" borderId="59" applyAlignment="1" pivotButton="0" quotePrefix="0" xfId="0">
      <alignment horizontal="general" vertical="bottom"/>
    </xf>
    <xf numFmtId="166" fontId="0" fillId="3" borderId="59" applyAlignment="1" applyProtection="1" pivotButton="0" quotePrefix="0" xfId="0">
      <alignment horizontal="general" vertical="bottom"/>
      <protection locked="0" hidden="0"/>
    </xf>
    <xf numFmtId="0" fontId="13" fillId="0" borderId="59" applyAlignment="1" pivotButton="0" quotePrefix="0" xfId="0">
      <alignment horizontal="center" vertical="center"/>
    </xf>
    <xf numFmtId="0" fontId="13" fillId="0" borderId="50" applyAlignment="1" pivotButton="0" quotePrefix="0" xfId="0">
      <alignment horizontal="center" vertical="bottom" wrapText="1"/>
    </xf>
    <xf numFmtId="0" fontId="13" fillId="0" borderId="40" applyAlignment="1" pivotButton="0" quotePrefix="0" xfId="0">
      <alignment horizontal="center" vertical="bottom" wrapText="1"/>
    </xf>
    <xf numFmtId="0" fontId="0" fillId="0" borderId="70" applyAlignment="1" pivotButton="0" quotePrefix="0" xfId="0">
      <alignment horizontal="general" vertical="bottom"/>
    </xf>
    <xf numFmtId="166" fontId="0" fillId="0" borderId="59" applyAlignment="1" applyProtection="1" pivotButton="0" quotePrefix="0" xfId="0">
      <alignment horizontal="general" vertical="bottom"/>
      <protection locked="0" hidden="0"/>
    </xf>
    <xf numFmtId="166" fontId="26" fillId="7" borderId="50" applyAlignment="1" pivotButton="0" quotePrefix="0" xfId="0">
      <alignment horizontal="general" vertical="bottom"/>
    </xf>
    <xf numFmtId="0" fontId="0" fillId="0" borderId="109" pivotButton="0" quotePrefix="0" xfId="0"/>
    <xf numFmtId="0" fontId="0" fillId="0" borderId="66" pivotButton="0" quotePrefix="0" xfId="0"/>
    <xf numFmtId="0" fontId="13" fillId="0" borderId="76" applyAlignment="1" pivotButton="0" quotePrefix="0" xfId="0">
      <alignment horizontal="center" vertical="center" wrapText="1"/>
    </xf>
    <xf numFmtId="0" fontId="13" fillId="0" borderId="0" applyAlignment="1" pivotButton="0" quotePrefix="0" xfId="0">
      <alignment horizontal="center" vertical="center" wrapText="1"/>
    </xf>
    <xf numFmtId="0" fontId="26" fillId="2" borderId="40" applyAlignment="1" pivotButton="0" quotePrefix="0" xfId="0">
      <alignment horizontal="general" vertical="bottom"/>
    </xf>
    <xf numFmtId="0" fontId="0" fillId="0" borderId="78" applyAlignment="1" pivotButton="0" quotePrefix="0" xfId="0">
      <alignment horizontal="left" vertical="center" wrapText="1"/>
    </xf>
    <xf numFmtId="0" fontId="0" fillId="0" borderId="76" pivotButton="0" quotePrefix="0" xfId="0"/>
    <xf numFmtId="0" fontId="0" fillId="2" borderId="59" applyAlignment="1" pivotButton="0" quotePrefix="0" xfId="0">
      <alignment horizontal="general" vertical="bottom"/>
    </xf>
    <xf numFmtId="0" fontId="13" fillId="0" borderId="39" applyAlignment="1" pivotButton="0" quotePrefix="0" xfId="0">
      <alignment horizontal="center" vertical="center" wrapText="1"/>
    </xf>
    <xf numFmtId="0" fontId="0" fillId="0" borderId="75" pivotButton="0" quotePrefix="0" xfId="0"/>
    <xf numFmtId="2" fontId="26" fillId="2" borderId="40" applyAlignment="1" pivotButton="0" quotePrefix="0" xfId="0">
      <alignment horizontal="general" vertical="bottom"/>
    </xf>
    <xf numFmtId="2" fontId="26" fillId="2" borderId="50" applyAlignment="1" pivotButton="0" quotePrefix="0" xfId="0">
      <alignment horizontal="general" vertical="bottom"/>
    </xf>
    <xf numFmtId="0" fontId="0" fillId="0" borderId="77" applyAlignment="1" pivotButton="0" quotePrefix="0" xfId="0">
      <alignment horizontal="center" vertical="bottom" wrapText="1"/>
    </xf>
    <xf numFmtId="0" fontId="0" fillId="0" borderId="110" pivotButton="0" quotePrefix="0" xfId="0"/>
    <xf numFmtId="0" fontId="0" fillId="0" borderId="50" applyAlignment="1" pivotButton="0" quotePrefix="0" xfId="0">
      <alignment horizontal="center" vertical="center" wrapText="1"/>
    </xf>
    <xf numFmtId="0" fontId="0" fillId="0" borderId="92" pivotButton="0" quotePrefix="0" xfId="0"/>
    <xf numFmtId="0" fontId="0" fillId="0" borderId="78" pivotButton="0" quotePrefix="0" xfId="0"/>
    <xf numFmtId="0" fontId="21" fillId="0" borderId="40" applyAlignment="1" pivotButton="0" quotePrefix="0" xfId="0">
      <alignment horizontal="center" vertical="center" wrapText="1"/>
    </xf>
    <xf numFmtId="2" fontId="0" fillId="2" borderId="59" applyAlignment="1" pivotButton="0" quotePrefix="0" xfId="0">
      <alignment horizontal="general" vertical="bottom"/>
    </xf>
    <xf numFmtId="2" fontId="26" fillId="2" borderId="50" applyAlignment="1" pivotButton="0" quotePrefix="0" xfId="0">
      <alignment horizontal="right" vertical="center"/>
    </xf>
    <xf numFmtId="0" fontId="0" fillId="0" borderId="47" applyAlignment="1" pivotButton="0" quotePrefix="0" xfId="0">
      <alignment horizontal="general" vertical="center" wrapText="1"/>
    </xf>
    <xf numFmtId="0" fontId="0" fillId="0" borderId="47" applyAlignment="1" pivotButton="0" quotePrefix="0" xfId="0">
      <alignment horizontal="center" vertical="center" wrapText="1"/>
    </xf>
    <xf numFmtId="0" fontId="0" fillId="0" borderId="47" applyAlignment="1" pivotButton="0" quotePrefix="0" xfId="0">
      <alignment horizontal="general" vertical="bottom"/>
    </xf>
    <xf numFmtId="166" fontId="0" fillId="0" borderId="47" applyAlignment="1" pivotButton="0" quotePrefix="0" xfId="0">
      <alignment horizontal="general" vertical="bottom"/>
    </xf>
    <xf numFmtId="166" fontId="0" fillId="0" borderId="47" applyAlignment="1" applyProtection="1" pivotButton="0" quotePrefix="0" xfId="0">
      <alignment horizontal="general" vertical="bottom"/>
      <protection locked="0" hidden="0"/>
    </xf>
    <xf numFmtId="1" fontId="0" fillId="0" borderId="47" applyAlignment="1" applyProtection="1" pivotButton="0" quotePrefix="0" xfId="0">
      <alignment horizontal="general" vertical="bottom"/>
      <protection locked="0" hidden="0"/>
    </xf>
    <xf numFmtId="0" fontId="0" fillId="0" borderId="79" applyAlignment="1" pivotButton="0" quotePrefix="0" xfId="0">
      <alignment horizontal="general" vertical="bottom"/>
    </xf>
    <xf numFmtId="0" fontId="6" fillId="2" borderId="35" applyAlignment="1" pivotButton="0" quotePrefix="0" xfId="0">
      <alignment horizontal="center" vertical="center" wrapText="1"/>
    </xf>
    <xf numFmtId="0" fontId="6" fillId="2" borderId="35" applyAlignment="1" pivotButton="0" quotePrefix="0" xfId="0">
      <alignment horizontal="center" vertical="center"/>
    </xf>
    <xf numFmtId="0" fontId="6" fillId="2" borderId="66" applyAlignment="1" pivotButton="0" quotePrefix="0" xfId="0">
      <alignment horizontal="center" vertical="center"/>
    </xf>
    <xf numFmtId="0" fontId="0" fillId="11" borderId="80" applyAlignment="1" pivotButton="0" quotePrefix="0" xfId="0">
      <alignment horizontal="center" vertical="center" wrapText="1"/>
    </xf>
    <xf numFmtId="0" fontId="0" fillId="11" borderId="0" applyAlignment="1" pivotButton="0" quotePrefix="0" xfId="0">
      <alignment horizontal="center" vertical="center" wrapText="1"/>
    </xf>
    <xf numFmtId="0" fontId="0" fillId="11" borderId="73" applyAlignment="1" pivotButton="0" quotePrefix="0" xfId="0">
      <alignment horizontal="center" vertical="center"/>
    </xf>
    <xf numFmtId="0" fontId="0" fillId="11" borderId="73" applyAlignment="1" pivotButton="0" quotePrefix="0" xfId="0">
      <alignment horizontal="center" vertical="center" wrapText="1"/>
    </xf>
    <xf numFmtId="0" fontId="0" fillId="11" borderId="0" applyAlignment="1" pivotButton="0" quotePrefix="0" xfId="0">
      <alignment horizontal="general" vertical="bottom"/>
    </xf>
    <xf numFmtId="2" fontId="26" fillId="2" borderId="59" applyAlignment="1" pivotButton="0" quotePrefix="0" xfId="0">
      <alignment horizontal="general" vertical="bottom"/>
    </xf>
    <xf numFmtId="1" fontId="0" fillId="0" borderId="0" applyAlignment="1" applyProtection="1" pivotButton="0" quotePrefix="0" xfId="0">
      <alignment horizontal="general" vertical="bottom"/>
      <protection locked="0" hidden="0"/>
    </xf>
    <xf numFmtId="0" fontId="0" fillId="11" borderId="73" applyAlignment="1" pivotButton="0" quotePrefix="0" xfId="0">
      <alignment horizontal="general" vertical="bottom"/>
    </xf>
    <xf numFmtId="2" fontId="26" fillId="2" borderId="38" applyAlignment="1" pivotButton="0" quotePrefix="0" xfId="0">
      <alignment horizontal="general" vertical="bottom"/>
    </xf>
    <xf numFmtId="166" fontId="0" fillId="3" borderId="47" applyAlignment="1" applyProtection="1" pivotButton="0" quotePrefix="0" xfId="0">
      <alignment horizontal="general" vertical="bottom"/>
      <protection locked="0" hidden="0"/>
    </xf>
    <xf numFmtId="1" fontId="0" fillId="0" borderId="73" applyAlignment="1" applyProtection="1" pivotButton="0" quotePrefix="0" xfId="0">
      <alignment horizontal="general" vertical="bottom"/>
      <protection locked="0" hidden="0"/>
    </xf>
    <xf numFmtId="0" fontId="0" fillId="11" borderId="6" applyAlignment="1" pivotButton="0" quotePrefix="0" xfId="0">
      <alignment horizontal="general" vertical="bottom"/>
    </xf>
    <xf numFmtId="1" fontId="0" fillId="0" borderId="73" applyAlignment="1" pivotButton="0" quotePrefix="0" xfId="0">
      <alignment horizontal="general" vertical="bottom"/>
    </xf>
    <xf numFmtId="0" fontId="0" fillId="0" borderId="0" applyAlignment="1" pivotButton="0" quotePrefix="0" xfId="0">
      <alignment horizontal="general" vertical="center" wrapText="1"/>
    </xf>
    <xf numFmtId="0" fontId="0" fillId="0" borderId="0" applyAlignment="1" pivotButton="0" quotePrefix="0" xfId="0">
      <alignment horizontal="center" vertical="center" wrapText="1"/>
    </xf>
    <xf numFmtId="0" fontId="6" fillId="14" borderId="48" applyAlignment="1" pivotButton="0" quotePrefix="0" xfId="0">
      <alignment horizontal="center" vertical="center" wrapText="1"/>
    </xf>
    <xf numFmtId="0" fontId="0" fillId="0" borderId="58" pivotButton="0" quotePrefix="0" xfId="0"/>
    <xf numFmtId="0" fontId="6" fillId="14" borderId="49" applyAlignment="1" pivotButton="0" quotePrefix="0" xfId="0">
      <alignment horizontal="center" vertical="center" wrapText="1"/>
    </xf>
    <xf numFmtId="165" fontId="6" fillId="14" borderId="49" applyAlignment="1" pivotButton="0" quotePrefix="0" xfId="0">
      <alignment horizontal="center" vertical="center" wrapText="1"/>
    </xf>
    <xf numFmtId="165" fontId="6" fillId="14" borderId="49" applyAlignment="1" pivotButton="0" quotePrefix="0" xfId="0">
      <alignment horizontal="center" vertical="center" shrinkToFit="1"/>
    </xf>
    <xf numFmtId="166" fontId="6" fillId="14" borderId="49" applyAlignment="1" applyProtection="1" pivotButton="0" quotePrefix="0" xfId="0">
      <alignment horizontal="center" vertical="center" wrapText="1"/>
      <protection locked="0" hidden="0"/>
    </xf>
    <xf numFmtId="1" fontId="6" fillId="14" borderId="49" applyAlignment="1" pivotButton="0" quotePrefix="0" xfId="0">
      <alignment horizontal="center" vertical="center"/>
    </xf>
    <xf numFmtId="0" fontId="6" fillId="14" borderId="71" applyAlignment="1" pivotButton="0" quotePrefix="0" xfId="0">
      <alignment horizontal="center" vertical="center"/>
    </xf>
    <xf numFmtId="0" fontId="6" fillId="0" borderId="56" applyAlignment="1" pivotButton="0" quotePrefix="0" xfId="0">
      <alignment horizontal="center" vertical="center"/>
    </xf>
    <xf numFmtId="0" fontId="0" fillId="0" borderId="59" applyAlignment="1" pivotButton="0" quotePrefix="0" xfId="0">
      <alignment horizontal="general" vertical="center" wrapText="1"/>
    </xf>
    <xf numFmtId="0" fontId="0" fillId="0" borderId="39" applyAlignment="1" pivotButton="0" quotePrefix="0" xfId="0">
      <alignment horizontal="general" vertical="center" wrapText="1"/>
    </xf>
    <xf numFmtId="0" fontId="17" fillId="0" borderId="39" applyAlignment="1" pivotButton="0" quotePrefix="0" xfId="0">
      <alignment horizontal="center" vertical="center"/>
    </xf>
    <xf numFmtId="2" fontId="17" fillId="14" borderId="39" applyAlignment="1" pivotButton="0" quotePrefix="0" xfId="0">
      <alignment horizontal="center" vertical="center"/>
    </xf>
    <xf numFmtId="1" fontId="0" fillId="0" borderId="0" applyAlignment="1" pivotButton="0" quotePrefix="0" xfId="0">
      <alignment horizontal="general" vertical="bottom"/>
    </xf>
    <xf numFmtId="0" fontId="17" fillId="0" borderId="61" applyAlignment="1" pivotButton="0" quotePrefix="0" xfId="0">
      <alignment horizontal="center" vertical="center"/>
    </xf>
    <xf numFmtId="0" fontId="6" fillId="0" borderId="37" applyAlignment="1" pivotButton="0" quotePrefix="0" xfId="0">
      <alignment horizontal="center" vertical="center" wrapText="1"/>
    </xf>
    <xf numFmtId="0" fontId="0" fillId="0" borderId="45" pivotButton="0" quotePrefix="0" xfId="0"/>
    <xf numFmtId="0" fontId="0" fillId="0" borderId="38" applyAlignment="1" pivotButton="0" quotePrefix="0" xfId="0">
      <alignment horizontal="general" vertical="center" wrapText="1"/>
    </xf>
    <xf numFmtId="0" fontId="0" fillId="0" borderId="38" applyAlignment="1" pivotButton="0" quotePrefix="0" xfId="0">
      <alignment horizontal="center" vertical="center" wrapText="1"/>
    </xf>
    <xf numFmtId="165" fontId="17" fillId="14" borderId="38" applyAlignment="1" pivotButton="0" quotePrefix="0" xfId="0">
      <alignment horizontal="center" vertical="center" wrapText="1"/>
    </xf>
    <xf numFmtId="1" fontId="17" fillId="0" borderId="38" applyAlignment="1" applyProtection="1" pivotButton="0" quotePrefix="0" xfId="0">
      <alignment horizontal="center" vertical="center"/>
      <protection locked="0" hidden="0"/>
    </xf>
    <xf numFmtId="0" fontId="17" fillId="0" borderId="44" applyAlignment="1" pivotButton="0" quotePrefix="0" xfId="0">
      <alignment horizontal="center" vertical="center"/>
    </xf>
    <xf numFmtId="0" fontId="6" fillId="14" borderId="62" applyAlignment="1" pivotButton="0" quotePrefix="0" xfId="0">
      <alignment horizontal="center" vertical="center" wrapText="1"/>
    </xf>
    <xf numFmtId="0" fontId="8" fillId="14" borderId="49" applyAlignment="1" pivotButton="0" quotePrefix="0" xfId="0">
      <alignment horizontal="center" vertical="center" wrapText="1"/>
    </xf>
    <xf numFmtId="165" fontId="8" fillId="14" borderId="49" applyAlignment="1" pivotButton="0" quotePrefix="0" xfId="0">
      <alignment horizontal="left" vertical="center" shrinkToFit="1"/>
    </xf>
    <xf numFmtId="166" fontId="6" fillId="14" borderId="49" applyAlignment="1" pivotButton="0" quotePrefix="0" xfId="0">
      <alignment horizontal="center" vertical="center" wrapText="1"/>
    </xf>
    <xf numFmtId="1" fontId="6" fillId="14" borderId="81" applyAlignment="1" pivotButton="0" quotePrefix="0" xfId="0">
      <alignment horizontal="general" vertical="center" wrapText="1"/>
    </xf>
    <xf numFmtId="0" fontId="6" fillId="14" borderId="26" applyAlignment="1" pivotButton="0" quotePrefix="0" xfId="0">
      <alignment horizontal="general" vertical="center" wrapText="1"/>
    </xf>
    <xf numFmtId="0" fontId="0" fillId="0" borderId="62" applyAlignment="1" pivotButton="0" quotePrefix="0" xfId="0">
      <alignment horizontal="center" vertical="center" wrapText="1"/>
    </xf>
    <xf numFmtId="0" fontId="0" fillId="0" borderId="82" applyAlignment="1" pivotButton="0" quotePrefix="0" xfId="0">
      <alignment horizontal="center" vertical="center" wrapText="1"/>
    </xf>
    <xf numFmtId="0" fontId="0" fillId="0" borderId="6" applyAlignment="1" pivotButton="0" quotePrefix="0" xfId="0">
      <alignment horizontal="general" vertical="bottom"/>
    </xf>
    <xf numFmtId="0" fontId="17" fillId="0" borderId="34" applyAlignment="1" pivotButton="0" quotePrefix="0" xfId="0">
      <alignment horizontal="center" vertical="center"/>
    </xf>
    <xf numFmtId="0" fontId="13" fillId="14" borderId="52" applyAlignment="1" pivotButton="0" quotePrefix="0" xfId="0">
      <alignment horizontal="center" vertical="center" wrapText="1"/>
    </xf>
    <xf numFmtId="166" fontId="0" fillId="3" borderId="69" applyAlignment="1" applyProtection="1" pivotButton="0" quotePrefix="0" xfId="0">
      <alignment horizontal="general" vertical="bottom"/>
      <protection locked="0" hidden="0"/>
    </xf>
    <xf numFmtId="1" fontId="0" fillId="0" borderId="6" applyAlignment="1" applyProtection="1" pivotButton="0" quotePrefix="0" xfId="0">
      <alignment horizontal="general" vertical="bottom"/>
      <protection locked="0" hidden="0"/>
    </xf>
    <xf numFmtId="0" fontId="0" fillId="0" borderId="76" applyAlignment="1" pivotButton="0" quotePrefix="0" xfId="0">
      <alignment horizontal="center" vertical="center" wrapText="1"/>
    </xf>
    <xf numFmtId="0" fontId="17" fillId="0" borderId="40" applyAlignment="1" pivotButton="0" quotePrefix="0" xfId="0">
      <alignment horizontal="center" vertical="center"/>
    </xf>
    <xf numFmtId="0" fontId="13" fillId="14" borderId="53" applyAlignment="1" pivotButton="0" quotePrefix="0" xfId="0">
      <alignment horizontal="center" vertical="center" wrapText="1"/>
    </xf>
    <xf numFmtId="0" fontId="0" fillId="0" borderId="83" applyAlignment="1" pivotButton="0" quotePrefix="0" xfId="0">
      <alignment horizontal="center" vertical="center" wrapText="1"/>
    </xf>
    <xf numFmtId="0" fontId="0" fillId="0" borderId="73" applyAlignment="1" pivotButton="0" quotePrefix="0" xfId="0">
      <alignment horizontal="general" vertical="bottom"/>
    </xf>
    <xf numFmtId="0" fontId="17" fillId="0" borderId="38" applyAlignment="1" pivotButton="0" quotePrefix="0" xfId="0">
      <alignment horizontal="center" vertical="center"/>
    </xf>
    <xf numFmtId="0" fontId="13" fillId="14" borderId="73" applyAlignment="1" pivotButton="0" quotePrefix="0" xfId="0">
      <alignment horizontal="center" vertical="center" wrapText="1"/>
    </xf>
    <xf numFmtId="0" fontId="8" fillId="15" borderId="49" applyAlignment="1" pivotButton="0" quotePrefix="0" xfId="0">
      <alignment horizontal="center" vertical="center" wrapText="1"/>
    </xf>
    <xf numFmtId="0" fontId="0" fillId="0" borderId="48" applyAlignment="1" pivotButton="0" quotePrefix="0" xfId="0">
      <alignment horizontal="center" vertical="center" wrapText="1"/>
    </xf>
    <xf numFmtId="0" fontId="0" fillId="0" borderId="34" applyAlignment="1" pivotButton="0" quotePrefix="0" xfId="0">
      <alignment horizontal="center" vertical="center" wrapText="1"/>
    </xf>
    <xf numFmtId="2" fontId="13" fillId="14" borderId="35" applyAlignment="1" pivotButton="0" quotePrefix="0" xfId="0">
      <alignment horizontal="center" vertical="center" wrapText="1"/>
    </xf>
    <xf numFmtId="1" fontId="0" fillId="0" borderId="6" applyAlignment="1" pivotButton="0" quotePrefix="0" xfId="0">
      <alignment horizontal="general" vertical="bottom"/>
    </xf>
    <xf numFmtId="2" fontId="0" fillId="0" borderId="36" applyAlignment="1" pivotButton="0" quotePrefix="0" xfId="0">
      <alignment horizontal="general" vertical="bottom"/>
    </xf>
    <xf numFmtId="0" fontId="17" fillId="0" borderId="73" applyAlignment="1" pivotButton="0" quotePrefix="0" xfId="0">
      <alignment horizontal="center" vertical="center"/>
    </xf>
    <xf numFmtId="2" fontId="13" fillId="14" borderId="73" applyAlignment="1" pivotButton="0" quotePrefix="0" xfId="0">
      <alignment horizontal="center" vertical="center" wrapText="1"/>
    </xf>
    <xf numFmtId="2" fontId="0" fillId="0" borderId="44" applyAlignment="1" pivotButton="0" quotePrefix="0" xfId="0">
      <alignment horizontal="general" vertical="bottom"/>
    </xf>
    <xf numFmtId="0" fontId="8" fillId="2" borderId="6" applyAlignment="1" pivotButton="0" quotePrefix="0" xfId="0">
      <alignment horizontal="center" vertical="center" wrapText="1"/>
    </xf>
    <xf numFmtId="1" fontId="0" fillId="0" borderId="0" pivotButton="0" quotePrefix="0" xfId="0"/>
    <xf numFmtId="2" fontId="8" fillId="2" borderId="0" applyAlignment="1" pivotButton="0" quotePrefix="0" xfId="0">
      <alignment horizontal="general" vertical="bottom"/>
    </xf>
    <xf numFmtId="0" fontId="0" fillId="0" borderId="0" applyAlignment="1" pivotButton="0" quotePrefix="0" xfId="0">
      <alignment horizontal="left" vertical="center" wrapText="1"/>
    </xf>
    <xf numFmtId="0" fontId="8" fillId="2" borderId="0" applyAlignment="1" pivotButton="0" quotePrefix="0" xfId="0">
      <alignment horizontal="center" vertical="center" wrapText="1"/>
    </xf>
    <xf numFmtId="0" fontId="8" fillId="15" borderId="0" applyAlignment="1" pivotButton="0" quotePrefix="0" xfId="0">
      <alignment horizontal="general" vertical="bottom"/>
    </xf>
    <xf numFmtId="0" fontId="6" fillId="15" borderId="0" applyAlignment="1" pivotButton="0" quotePrefix="0" xfId="0">
      <alignment horizontal="general" vertical="bottom"/>
    </xf>
    <xf numFmtId="166" fontId="6" fillId="15" borderId="0" applyAlignment="1" pivotButton="0" quotePrefix="0" xfId="0">
      <alignment horizontal="general" vertical="bottom"/>
    </xf>
    <xf numFmtId="2" fontId="8" fillId="15" borderId="0" applyAlignment="1" pivotButton="0" quotePrefix="0" xfId="0">
      <alignment horizontal="general" vertical="bottom"/>
    </xf>
    <xf numFmtId="0" fontId="44" fillId="0" borderId="74" applyAlignment="1" pivotButton="0" quotePrefix="0" xfId="0">
      <alignment horizontal="general" vertical="bottom"/>
    </xf>
    <xf numFmtId="0" fontId="14" fillId="0" borderId="0" applyAlignment="1" pivotButton="0" quotePrefix="0" xfId="0">
      <alignment horizontal="general" vertical="bottom" wrapText="1"/>
    </xf>
    <xf numFmtId="0" fontId="45" fillId="0" borderId="73" applyAlignment="1" pivotButton="0" quotePrefix="0" xfId="0">
      <alignment horizontal="center" vertical="center" wrapText="1"/>
    </xf>
    <xf numFmtId="0" fontId="14" fillId="0" borderId="0" applyAlignment="1" pivotButton="0" quotePrefix="0" xfId="0">
      <alignment horizontal="general" vertical="center" wrapText="1"/>
    </xf>
    <xf numFmtId="0" fontId="46" fillId="7" borderId="81" applyAlignment="1" pivotButton="0" quotePrefix="0" xfId="0">
      <alignment horizontal="left" vertical="center" wrapText="1"/>
    </xf>
    <xf numFmtId="0" fontId="0" fillId="0" borderId="81" pivotButton="0" quotePrefix="0" xfId="0"/>
    <xf numFmtId="0" fontId="47" fillId="11" borderId="81" applyAlignment="1" pivotButton="0" quotePrefix="0" xfId="20">
      <alignment horizontal="center" vertical="center" wrapText="1"/>
    </xf>
    <xf numFmtId="0" fontId="45" fillId="0" borderId="23" applyAlignment="1" pivotButton="0" quotePrefix="0" xfId="0">
      <alignment horizontal="left" vertical="center" wrapText="1"/>
    </xf>
    <xf numFmtId="165" fontId="6" fillId="2" borderId="34" applyAlignment="1" pivotButton="0" quotePrefix="0" xfId="0">
      <alignment horizontal="center" vertical="center" wrapText="1"/>
    </xf>
    <xf numFmtId="0" fontId="6" fillId="2" borderId="34" applyAlignment="1" pivotButton="0" quotePrefix="0" xfId="0">
      <alignment horizontal="center" vertical="bottom" wrapText="1"/>
    </xf>
    <xf numFmtId="0" fontId="8" fillId="2" borderId="36" applyAlignment="1" pivotButton="0" quotePrefix="0" xfId="0">
      <alignment horizontal="center" vertical="bottom" wrapText="1"/>
    </xf>
    <xf numFmtId="0" fontId="48" fillId="0" borderId="57" applyAlignment="1" pivotButton="0" quotePrefix="0" xfId="0">
      <alignment horizontal="left" vertical="center" wrapText="1"/>
    </xf>
    <xf numFmtId="0" fontId="48" fillId="0" borderId="40" applyAlignment="1" pivotButton="0" quotePrefix="0" xfId="0">
      <alignment horizontal="left" vertical="center" wrapText="1"/>
    </xf>
    <xf numFmtId="0" fontId="48" fillId="0" borderId="40" applyAlignment="1" pivotButton="0" quotePrefix="0" xfId="0">
      <alignment horizontal="center" vertical="center" wrapText="1"/>
    </xf>
    <xf numFmtId="0" fontId="48" fillId="0" borderId="53" applyAlignment="1" pivotButton="0" quotePrefix="0" xfId="0">
      <alignment horizontal="center" vertical="center" wrapText="1"/>
    </xf>
    <xf numFmtId="0" fontId="48" fillId="0" borderId="53" applyAlignment="1" pivotButton="0" quotePrefix="0" xfId="0">
      <alignment horizontal="left" vertical="center" wrapText="1"/>
    </xf>
    <xf numFmtId="0" fontId="48" fillId="0" borderId="41" applyAlignment="1" pivotButton="0" quotePrefix="0" xfId="0">
      <alignment horizontal="left" vertical="center" wrapText="1"/>
    </xf>
    <xf numFmtId="0" fontId="48" fillId="0" borderId="56" applyAlignment="1" pivotButton="0" quotePrefix="0" xfId="0">
      <alignment horizontal="left" vertical="center" wrapText="1"/>
    </xf>
    <xf numFmtId="0" fontId="48" fillId="0" borderId="39" applyAlignment="1" pivotButton="0" quotePrefix="0" xfId="0">
      <alignment horizontal="left" vertical="center" wrapText="1"/>
    </xf>
    <xf numFmtId="0" fontId="48" fillId="0" borderId="39" applyAlignment="1" pivotButton="0" quotePrefix="0" xfId="0">
      <alignment horizontal="center" vertical="center" wrapText="1"/>
    </xf>
    <xf numFmtId="0" fontId="48" fillId="0" borderId="52" applyAlignment="1" pivotButton="0" quotePrefix="0" xfId="0">
      <alignment horizontal="center" vertical="center" wrapText="1"/>
    </xf>
    <xf numFmtId="0" fontId="48" fillId="0" borderId="52" applyAlignment="1" pivotButton="0" quotePrefix="0" xfId="0">
      <alignment horizontal="left" vertical="center" wrapText="1"/>
    </xf>
    <xf numFmtId="0" fontId="45" fillId="0" borderId="84" applyAlignment="1" pivotButton="0" quotePrefix="0" xfId="0">
      <alignment horizontal="left" vertical="center" wrapText="1"/>
    </xf>
    <xf numFmtId="0" fontId="0" fillId="0" borderId="89" pivotButton="0" quotePrefix="0" xfId="0"/>
    <xf numFmtId="0" fontId="0" fillId="0" borderId="111" pivotButton="0" quotePrefix="0" xfId="0"/>
    <xf numFmtId="0" fontId="6" fillId="0" borderId="67" applyAlignment="1" pivotButton="0" quotePrefix="0" xfId="0">
      <alignment horizontal="general" vertical="bottom" wrapText="1"/>
    </xf>
    <xf numFmtId="166" fontId="36" fillId="2" borderId="40" applyAlignment="1" pivotButton="0" quotePrefix="0" xfId="0">
      <alignment horizontal="center" vertical="center" wrapText="1"/>
    </xf>
    <xf numFmtId="0" fontId="17" fillId="0" borderId="40" applyAlignment="1" pivotButton="0" quotePrefix="0" xfId="0">
      <alignment horizontal="center" vertical="center" wrapText="1"/>
    </xf>
    <xf numFmtId="166" fontId="0" fillId="0" borderId="41" applyAlignment="1" pivotButton="0" quotePrefix="0" xfId="0">
      <alignment horizontal="general" vertical="bottom" wrapText="1"/>
    </xf>
    <xf numFmtId="0" fontId="6" fillId="11" borderId="67" applyAlignment="1" pivotButton="0" quotePrefix="0" xfId="0">
      <alignment horizontal="general" vertical="bottom" wrapText="1"/>
    </xf>
    <xf numFmtId="0" fontId="0" fillId="11" borderId="40" applyAlignment="1" pivotButton="0" quotePrefix="0" xfId="0">
      <alignment horizontal="general" vertical="bottom" wrapText="1"/>
    </xf>
    <xf numFmtId="166" fontId="36" fillId="11" borderId="40" applyAlignment="1" pivotButton="0" quotePrefix="0" xfId="0">
      <alignment horizontal="center" vertical="center" wrapText="1"/>
    </xf>
    <xf numFmtId="0" fontId="6" fillId="0" borderId="67" applyAlignment="1" pivotButton="0" quotePrefix="0" xfId="0">
      <alignment horizontal="left" vertical="center" wrapText="1"/>
    </xf>
    <xf numFmtId="0" fontId="6" fillId="0" borderId="40" applyAlignment="1" pivotButton="0" quotePrefix="0" xfId="0">
      <alignment horizontal="general" vertical="bottom" wrapText="1"/>
    </xf>
    <xf numFmtId="0" fontId="6" fillId="0" borderId="57" applyAlignment="1" pivotButton="0" quotePrefix="0" xfId="0">
      <alignment horizontal="left" vertical="center" wrapText="1"/>
    </xf>
    <xf numFmtId="0" fontId="6" fillId="11" borderId="57" applyAlignment="1" pivotButton="0" quotePrefix="0" xfId="0">
      <alignment horizontal="left" vertical="center" wrapText="1"/>
    </xf>
    <xf numFmtId="0" fontId="0" fillId="11" borderId="50" applyAlignment="1" pivotButton="0" quotePrefix="0" xfId="0">
      <alignment horizontal="general" vertical="bottom" wrapText="1"/>
    </xf>
    <xf numFmtId="0" fontId="6" fillId="0" borderId="50" applyAlignment="1" pivotButton="0" quotePrefix="0" xfId="24">
      <alignment horizontal="general" vertical="center" wrapText="1"/>
    </xf>
    <xf numFmtId="0" fontId="0" fillId="0" borderId="50" applyAlignment="1" pivotButton="0" quotePrefix="0" xfId="24">
      <alignment horizontal="general" vertical="center" wrapText="1"/>
    </xf>
    <xf numFmtId="0" fontId="0" fillId="0" borderId="40" applyAlignment="1" pivotButton="0" quotePrefix="0" xfId="24">
      <alignment horizontal="center" vertical="center" wrapText="1"/>
    </xf>
    <xf numFmtId="0" fontId="13" fillId="0" borderId="40" applyAlignment="1" pivotButton="0" quotePrefix="0" xfId="24">
      <alignment horizontal="center" vertical="center" wrapText="1"/>
    </xf>
    <xf numFmtId="0" fontId="6" fillId="0" borderId="40" applyAlignment="1" pivotButton="0" quotePrefix="0" xfId="24">
      <alignment horizontal="general" vertical="center" wrapText="1"/>
    </xf>
    <xf numFmtId="0" fontId="0" fillId="0" borderId="40" applyAlignment="1" pivotButton="0" quotePrefix="0" xfId="24">
      <alignment horizontal="general" vertical="center" wrapText="1"/>
    </xf>
    <xf numFmtId="0" fontId="0" fillId="0" borderId="40" applyAlignment="1" pivotButton="0" quotePrefix="0" xfId="0">
      <alignment horizontal="general" vertical="center" wrapText="1"/>
    </xf>
    <xf numFmtId="0" fontId="6" fillId="0" borderId="63" applyAlignment="1" pivotButton="0" quotePrefix="0" xfId="0">
      <alignment horizontal="left" vertical="center" wrapText="1"/>
    </xf>
    <xf numFmtId="0" fontId="0" fillId="0" borderId="50" applyAlignment="1" pivotButton="0" quotePrefix="0" xfId="0">
      <alignment horizontal="general" vertical="center" wrapText="1"/>
    </xf>
    <xf numFmtId="0" fontId="0" fillId="0" borderId="52" applyAlignment="1" pivotButton="0" quotePrefix="0" xfId="0">
      <alignment horizontal="center" vertical="center" wrapText="1"/>
    </xf>
    <xf numFmtId="0" fontId="0" fillId="0" borderId="85" applyAlignment="1" pivotButton="0" quotePrefix="0" xfId="0">
      <alignment horizontal="general" vertical="bottom" wrapText="1"/>
    </xf>
    <xf numFmtId="0" fontId="45" fillId="0" borderId="70" applyAlignment="1" pivotButton="0" quotePrefix="0" xfId="0">
      <alignment horizontal="left" vertical="center" wrapText="1"/>
    </xf>
    <xf numFmtId="0" fontId="0" fillId="0" borderId="75" applyAlignment="1" pivotButton="0" quotePrefix="0" xfId="0">
      <alignment horizontal="general" vertical="bottom" wrapText="1"/>
    </xf>
    <xf numFmtId="166" fontId="36" fillId="2" borderId="39" applyAlignment="1" pivotButton="0" quotePrefix="0" xfId="0">
      <alignment horizontal="center" vertical="center" wrapText="1"/>
    </xf>
    <xf numFmtId="0" fontId="17" fillId="0" borderId="39" applyAlignment="1" pivotButton="0" quotePrefix="0" xfId="0">
      <alignment horizontal="center" vertical="center" wrapText="1"/>
    </xf>
    <xf numFmtId="0" fontId="0" fillId="0" borderId="39" applyAlignment="1" applyProtection="1" pivotButton="0" quotePrefix="0" xfId="0">
      <alignment horizontal="general" vertical="bottom" wrapText="1"/>
      <protection locked="0" hidden="0"/>
    </xf>
    <xf numFmtId="0" fontId="51" fillId="0" borderId="65" applyAlignment="1" pivotButton="0" quotePrefix="0" xfId="0">
      <alignment horizontal="left" vertical="center" wrapText="1"/>
    </xf>
    <xf numFmtId="0" fontId="48" fillId="0" borderId="68" applyAlignment="1" pivotButton="0" quotePrefix="0" xfId="0">
      <alignment horizontal="left" vertical="center" wrapText="1"/>
    </xf>
    <xf numFmtId="0" fontId="6" fillId="2" borderId="39" applyAlignment="1" pivotButton="0" quotePrefix="0" xfId="0">
      <alignment horizontal="left" vertical="center" wrapText="1"/>
    </xf>
    <xf numFmtId="0" fontId="6" fillId="2" borderId="52" applyAlignment="1" pivotButton="0" quotePrefix="0" xfId="0">
      <alignment horizontal="center" vertical="center" wrapText="1"/>
    </xf>
    <xf numFmtId="0" fontId="6" fillId="2" borderId="39" applyAlignment="1" pivotButton="0" quotePrefix="0" xfId="0">
      <alignment horizontal="center" vertical="center" wrapText="1"/>
    </xf>
    <xf numFmtId="166" fontId="6" fillId="2" borderId="39" applyAlignment="1" pivotButton="0" quotePrefix="0" xfId="0">
      <alignment horizontal="center" vertical="center" wrapText="1"/>
    </xf>
    <xf numFmtId="165" fontId="6" fillId="2" borderId="39" applyAlignment="1" pivotButton="0" quotePrefix="0" xfId="0">
      <alignment horizontal="center" vertical="center" wrapText="1"/>
    </xf>
    <xf numFmtId="0" fontId="6" fillId="2" borderId="39" applyAlignment="1" pivotButton="0" quotePrefix="0" xfId="0">
      <alignment horizontal="center" vertical="bottom" wrapText="1"/>
    </xf>
    <xf numFmtId="0" fontId="8" fillId="2" borderId="43" applyAlignment="1" pivotButton="0" quotePrefix="0" xfId="0">
      <alignment horizontal="center" vertical="bottom" wrapText="1"/>
    </xf>
    <xf numFmtId="0" fontId="14" fillId="0" borderId="0" applyAlignment="1" pivotButton="0" quotePrefix="0" xfId="0">
      <alignment horizontal="center" vertical="bottom" wrapText="1"/>
    </xf>
    <xf numFmtId="0" fontId="0" fillId="11" borderId="40" applyAlignment="1" pivotButton="0" quotePrefix="0" xfId="0">
      <alignment horizontal="left" vertical="center" wrapText="1"/>
    </xf>
    <xf numFmtId="0" fontId="0" fillId="11" borderId="40" applyAlignment="1" pivotButton="0" quotePrefix="0" xfId="0">
      <alignment horizontal="center" vertical="center" wrapText="1"/>
    </xf>
    <xf numFmtId="0" fontId="13" fillId="11" borderId="40" applyAlignment="1" pivotButton="0" quotePrefix="0" xfId="0">
      <alignment horizontal="center" vertical="center" wrapText="1"/>
    </xf>
    <xf numFmtId="0" fontId="6" fillId="0" borderId="57" applyAlignment="1" pivotButton="0" quotePrefix="0" xfId="24">
      <alignment horizontal="left" vertical="center" wrapText="1"/>
    </xf>
    <xf numFmtId="0" fontId="0" fillId="0" borderId="40" applyAlignment="1" pivotButton="0" quotePrefix="0" xfId="24">
      <alignment horizontal="left" vertical="center" wrapText="1"/>
    </xf>
    <xf numFmtId="0" fontId="6" fillId="11" borderId="57" applyAlignment="1" pivotButton="0" quotePrefix="0" xfId="24">
      <alignment horizontal="left" vertical="center" wrapText="1"/>
    </xf>
    <xf numFmtId="0" fontId="0" fillId="11" borderId="40" applyAlignment="1" pivotButton="0" quotePrefix="0" xfId="24">
      <alignment horizontal="left" vertical="center" wrapText="1"/>
    </xf>
    <xf numFmtId="0" fontId="6" fillId="16" borderId="57" applyAlignment="1" pivotButton="0" quotePrefix="0" xfId="0">
      <alignment horizontal="left" vertical="center" wrapText="1"/>
    </xf>
    <xf numFmtId="0" fontId="0" fillId="0" borderId="39" applyAlignment="1" pivotButton="0" quotePrefix="0" xfId="0">
      <alignment horizontal="left" vertical="center" wrapText="1"/>
    </xf>
    <xf numFmtId="0" fontId="6" fillId="11" borderId="63" applyAlignment="1" pivotButton="0" quotePrefix="0" xfId="0">
      <alignment horizontal="left" vertical="center" wrapText="1"/>
    </xf>
    <xf numFmtId="0" fontId="0" fillId="11" borderId="59" applyAlignment="1" pivotButton="0" quotePrefix="0" xfId="0">
      <alignment horizontal="left" vertical="center" wrapText="1"/>
    </xf>
    <xf numFmtId="0" fontId="0" fillId="11" borderId="59" applyAlignment="1" pivotButton="0" quotePrefix="0" xfId="0">
      <alignment horizontal="center" vertical="center" wrapText="1"/>
    </xf>
    <xf numFmtId="0" fontId="0" fillId="11" borderId="50" applyAlignment="1" pivotButton="0" quotePrefix="0" xfId="0">
      <alignment horizontal="center" vertical="center" wrapText="1"/>
    </xf>
    <xf numFmtId="0" fontId="0" fillId="0" borderId="50" applyAlignment="1" pivotButton="0" quotePrefix="0" xfId="0">
      <alignment horizontal="left" vertical="center" wrapText="1"/>
    </xf>
    <xf numFmtId="0" fontId="26" fillId="0" borderId="40" applyAlignment="1" pivotButton="0" quotePrefix="0" xfId="0">
      <alignment horizontal="left" vertical="center" wrapText="1"/>
    </xf>
    <xf numFmtId="0" fontId="26" fillId="11" borderId="40" applyAlignment="1" pivotButton="0" quotePrefix="0" xfId="0">
      <alignment horizontal="left" vertical="center" wrapText="1"/>
    </xf>
    <xf numFmtId="2" fontId="52" fillId="7" borderId="40" applyAlignment="1" pivotButton="0" quotePrefix="0" xfId="0">
      <alignment horizontal="center" vertical="center" wrapText="1"/>
    </xf>
    <xf numFmtId="0" fontId="6" fillId="0" borderId="56" applyAlignment="1" pivotButton="0" quotePrefix="0" xfId="0">
      <alignment horizontal="left" vertical="center" wrapText="1"/>
    </xf>
    <xf numFmtId="0" fontId="13" fillId="0" borderId="38" applyAlignment="1" pivotButton="0" quotePrefix="0" xfId="0">
      <alignment horizontal="center" vertical="center" wrapText="1"/>
    </xf>
    <xf numFmtId="166" fontId="36" fillId="2" borderId="38" applyAlignment="1" pivotButton="0" quotePrefix="0" xfId="0">
      <alignment horizontal="center" vertical="center" wrapText="1"/>
    </xf>
    <xf numFmtId="0" fontId="17" fillId="0" borderId="38" applyAlignment="1" pivotButton="0" quotePrefix="0" xfId="0">
      <alignment horizontal="center" vertical="center" wrapText="1"/>
    </xf>
    <xf numFmtId="0" fontId="0" fillId="0" borderId="6" applyAlignment="1" pivotButton="0" quotePrefix="0" xfId="0">
      <alignment horizontal="general" vertical="center" wrapText="1"/>
    </xf>
    <xf numFmtId="0" fontId="0" fillId="0" borderId="6" applyAlignment="1" pivotButton="0" quotePrefix="0" xfId="0">
      <alignment horizontal="general" vertical="bottom" wrapText="1"/>
    </xf>
    <xf numFmtId="0" fontId="0" fillId="0" borderId="6" applyAlignment="1" pivotButton="0" quotePrefix="0" xfId="0">
      <alignment horizontal="center" vertical="bottom" wrapText="1"/>
    </xf>
    <xf numFmtId="0" fontId="0" fillId="0" borderId="86" applyAlignment="1" pivotButton="0" quotePrefix="0" xfId="0">
      <alignment horizontal="center" vertical="bottom" wrapText="1"/>
    </xf>
    <xf numFmtId="0" fontId="0" fillId="0" borderId="10" applyAlignment="1" pivotButton="0" quotePrefix="0" xfId="0">
      <alignment horizontal="general" vertical="bottom" wrapText="1"/>
    </xf>
    <xf numFmtId="166" fontId="36" fillId="2" borderId="13" applyAlignment="1" pivotButton="0" quotePrefix="0" xfId="0">
      <alignment horizontal="center" vertical="center" wrapText="1"/>
    </xf>
    <xf numFmtId="0" fontId="0" fillId="2" borderId="87" applyAlignment="1" pivotButton="0" quotePrefix="0" xfId="0">
      <alignment horizontal="general" vertical="bottom" wrapText="1"/>
    </xf>
    <xf numFmtId="0" fontId="0" fillId="0" borderId="0" applyAlignment="1" pivotButton="0" quotePrefix="0" xfId="0">
      <alignment horizontal="center" vertical="bottom" wrapText="1"/>
    </xf>
    <xf numFmtId="0" fontId="0" fillId="0" borderId="0" applyAlignment="1" pivotButton="0" quotePrefix="0" xfId="0">
      <alignment horizontal="center" vertical="center"/>
    </xf>
    <xf numFmtId="0" fontId="48" fillId="0" borderId="73" applyAlignment="1" pivotButton="0" quotePrefix="0" xfId="0">
      <alignment horizontal="center" vertical="center" wrapText="1"/>
    </xf>
    <xf numFmtId="0" fontId="6" fillId="2" borderId="34" applyAlignment="1" pivotButton="0" quotePrefix="0" xfId="0">
      <alignment horizontal="center" vertical="center"/>
    </xf>
    <xf numFmtId="165" fontId="6" fillId="2" borderId="34" applyAlignment="1" pivotButton="0" quotePrefix="0" xfId="0">
      <alignment horizontal="center" vertical="center" shrinkToFit="1"/>
    </xf>
    <xf numFmtId="0" fontId="6" fillId="2" borderId="36" applyAlignment="1" pivotButton="0" quotePrefix="0" xfId="0">
      <alignment horizontal="center" vertical="center"/>
    </xf>
    <xf numFmtId="0" fontId="15" fillId="0" borderId="0" applyAlignment="1" pivotButton="0" quotePrefix="0" xfId="0">
      <alignment horizontal="general" vertical="bottom" wrapText="1"/>
    </xf>
    <xf numFmtId="0" fontId="0" fillId="0" borderId="83" pivotButton="0" quotePrefix="0" xfId="0"/>
    <xf numFmtId="0" fontId="0" fillId="0" borderId="112" pivotButton="0" quotePrefix="0" xfId="0"/>
    <xf numFmtId="0" fontId="6" fillId="0" borderId="33" applyAlignment="1" pivotButton="0" quotePrefix="0" xfId="0">
      <alignment horizontal="center" vertical="center" wrapText="1"/>
    </xf>
    <xf numFmtId="166" fontId="36" fillId="2" borderId="34" applyAlignment="1" pivotButton="0" quotePrefix="0" xfId="0">
      <alignment horizontal="center" vertical="center" wrapText="1"/>
    </xf>
    <xf numFmtId="0" fontId="0" fillId="0" borderId="34" applyAlignment="1" applyProtection="1" pivotButton="0" quotePrefix="0" xfId="0">
      <alignment horizontal="general" vertical="bottom"/>
      <protection locked="0" hidden="0"/>
    </xf>
    <xf numFmtId="0" fontId="6" fillId="0" borderId="57" applyAlignment="1" pivotButton="0" quotePrefix="0" xfId="0">
      <alignment horizontal="center" vertical="center" wrapText="1"/>
    </xf>
    <xf numFmtId="0" fontId="0" fillId="0" borderId="40" applyAlignment="1" applyProtection="1" pivotButton="0" quotePrefix="0" xfId="0">
      <alignment horizontal="general" vertical="bottom"/>
      <protection locked="0" hidden="0"/>
    </xf>
    <xf numFmtId="0" fontId="0" fillId="0" borderId="38" applyAlignment="1" applyProtection="1" pivotButton="0" quotePrefix="0" xfId="0">
      <alignment horizontal="general" vertical="bottom"/>
      <protection locked="0" hidden="0"/>
    </xf>
    <xf numFmtId="0" fontId="55" fillId="0" borderId="48" applyAlignment="1" pivotButton="0" quotePrefix="0" xfId="0">
      <alignment horizontal="center" vertical="center" wrapText="1"/>
    </xf>
    <xf numFmtId="0" fontId="57" fillId="0" borderId="39" applyAlignment="1" pivotButton="0" quotePrefix="0" xfId="0">
      <alignment horizontal="center" vertical="center" wrapText="1"/>
    </xf>
    <xf numFmtId="0" fontId="56" fillId="0" borderId="49" applyAlignment="1" pivotButton="0" quotePrefix="0" xfId="0">
      <alignment horizontal="center" vertical="center" wrapText="1"/>
    </xf>
    <xf numFmtId="0" fontId="56" fillId="0" borderId="0" applyAlignment="1" pivotButton="0" quotePrefix="0" xfId="0">
      <alignment horizontal="center" vertical="center" wrapText="1"/>
    </xf>
    <xf numFmtId="0" fontId="56" fillId="0" borderId="58" applyAlignment="1" pivotButton="0" quotePrefix="0" xfId="0">
      <alignment horizontal="center" vertical="center" wrapText="1"/>
    </xf>
    <xf numFmtId="166" fontId="58" fillId="2" borderId="39" applyAlignment="1" pivotButton="0" quotePrefix="0" xfId="0">
      <alignment horizontal="center" vertical="bottom"/>
    </xf>
    <xf numFmtId="0" fontId="59" fillId="0" borderId="39" applyAlignment="1" pivotButton="0" quotePrefix="0" xfId="0">
      <alignment horizontal="center" vertical="center"/>
    </xf>
    <xf numFmtId="1" fontId="56" fillId="0" borderId="39" applyAlignment="1" applyProtection="1" pivotButton="0" quotePrefix="0" xfId="0">
      <alignment horizontal="general" vertical="bottom"/>
      <protection locked="0" hidden="0"/>
    </xf>
    <xf numFmtId="0" fontId="56" fillId="0" borderId="43" applyAlignment="1" pivotButton="0" quotePrefix="0" xfId="0">
      <alignment horizontal="general" vertical="bottom"/>
    </xf>
    <xf numFmtId="0" fontId="57" fillId="0" borderId="40" applyAlignment="1" pivotButton="0" quotePrefix="0" xfId="0">
      <alignment horizontal="center" vertical="center" wrapText="1"/>
    </xf>
    <xf numFmtId="166" fontId="58" fillId="2" borderId="50" applyAlignment="1" pivotButton="0" quotePrefix="0" xfId="0">
      <alignment horizontal="center" vertical="bottom"/>
    </xf>
    <xf numFmtId="0" fontId="59" fillId="0" borderId="40" applyAlignment="1" pivotButton="0" quotePrefix="0" xfId="0">
      <alignment horizontal="center" vertical="center"/>
    </xf>
    <xf numFmtId="1" fontId="56" fillId="0" borderId="40" applyAlignment="1" applyProtection="1" pivotButton="0" quotePrefix="0" xfId="0">
      <alignment horizontal="general" vertical="bottom"/>
      <protection locked="0" hidden="0"/>
    </xf>
    <xf numFmtId="0" fontId="56" fillId="0" borderId="41" applyAlignment="1" pivotButton="0" quotePrefix="0" xfId="0">
      <alignment horizontal="general" vertical="bottom"/>
    </xf>
    <xf numFmtId="0" fontId="57" fillId="0" borderId="50" applyAlignment="1" pivotButton="0" quotePrefix="0" xfId="0">
      <alignment horizontal="center" vertical="center" wrapText="1"/>
    </xf>
    <xf numFmtId="0" fontId="59" fillId="0" borderId="50" applyAlignment="1" pivotButton="0" quotePrefix="0" xfId="0">
      <alignment horizontal="center" vertical="center"/>
    </xf>
    <xf numFmtId="1" fontId="56" fillId="0" borderId="50" applyAlignment="1" applyProtection="1" pivotButton="0" quotePrefix="0" xfId="0">
      <alignment horizontal="general" vertical="bottom"/>
      <protection locked="0" hidden="0"/>
    </xf>
    <xf numFmtId="0" fontId="56" fillId="0" borderId="51" applyAlignment="1" pivotButton="0" quotePrefix="0" xfId="0">
      <alignment horizontal="general" vertical="bottom"/>
    </xf>
    <xf numFmtId="0" fontId="59" fillId="0" borderId="59" applyAlignment="1" pivotButton="0" quotePrefix="0" xfId="0">
      <alignment horizontal="center" vertical="center"/>
    </xf>
    <xf numFmtId="1" fontId="56" fillId="0" borderId="59" applyAlignment="1" applyProtection="1" pivotButton="0" quotePrefix="0" xfId="0">
      <alignment horizontal="general" vertical="bottom"/>
      <protection locked="0" hidden="0"/>
    </xf>
    <xf numFmtId="0" fontId="56" fillId="0" borderId="61" applyAlignment="1" pivotButton="0" quotePrefix="0" xfId="0">
      <alignment horizontal="general" vertical="bottom"/>
    </xf>
    <xf numFmtId="166" fontId="58" fillId="2" borderId="40" applyAlignment="1" pivotButton="0" quotePrefix="0" xfId="0">
      <alignment horizontal="center" vertical="bottom"/>
    </xf>
    <xf numFmtId="0" fontId="56" fillId="0" borderId="40" applyAlignment="1" applyProtection="1" pivotButton="0" quotePrefix="0" xfId="0">
      <alignment horizontal="general" vertical="bottom"/>
      <protection locked="0" hidden="0"/>
    </xf>
    <xf numFmtId="166" fontId="44" fillId="0" borderId="0" applyAlignment="1" pivotButton="0" quotePrefix="0" xfId="0">
      <alignment horizontal="general" vertical="bottom" wrapText="1"/>
    </xf>
    <xf numFmtId="0" fontId="57" fillId="0" borderId="47" applyAlignment="1" pivotButton="0" quotePrefix="0" xfId="0">
      <alignment horizontal="center" vertical="center" wrapText="1"/>
    </xf>
    <xf numFmtId="166" fontId="58" fillId="2" borderId="47" applyAlignment="1" pivotButton="0" quotePrefix="0" xfId="0">
      <alignment horizontal="center" vertical="bottom"/>
    </xf>
    <xf numFmtId="0" fontId="56" fillId="0" borderId="59" applyAlignment="1" applyProtection="1" pivotButton="0" quotePrefix="0" xfId="0">
      <alignment horizontal="general" vertical="bottom"/>
      <protection locked="0" hidden="0"/>
    </xf>
    <xf numFmtId="0" fontId="57" fillId="0" borderId="34" applyAlignment="1" pivotButton="0" quotePrefix="0" xfId="0">
      <alignment horizontal="center" vertical="center" wrapText="1"/>
    </xf>
    <xf numFmtId="166" fontId="58" fillId="2" borderId="59" applyAlignment="1" pivotButton="0" quotePrefix="0" xfId="0">
      <alignment horizontal="center" vertical="bottom"/>
    </xf>
    <xf numFmtId="0" fontId="59" fillId="0" borderId="34" applyAlignment="1" pivotButton="0" quotePrefix="0" xfId="0">
      <alignment horizontal="center" vertical="center"/>
    </xf>
    <xf numFmtId="0" fontId="56" fillId="0" borderId="34" applyAlignment="1" applyProtection="1" pivotButton="0" quotePrefix="0" xfId="0">
      <alignment horizontal="general" vertical="bottom"/>
      <protection locked="0" hidden="0"/>
    </xf>
    <xf numFmtId="0" fontId="56" fillId="0" borderId="36" applyAlignment="1" pivotButton="0" quotePrefix="0" xfId="0">
      <alignment horizontal="general" vertical="bottom"/>
    </xf>
    <xf numFmtId="0" fontId="44" fillId="0" borderId="0" applyAlignment="1" pivotButton="0" quotePrefix="0" xfId="0">
      <alignment horizontal="center" vertical="bottom" wrapText="1"/>
    </xf>
    <xf numFmtId="0" fontId="59" fillId="0" borderId="47" applyAlignment="1" pivotButton="0" quotePrefix="0" xfId="0">
      <alignment horizontal="center" vertical="center"/>
    </xf>
    <xf numFmtId="0" fontId="56" fillId="0" borderId="47" applyAlignment="1" applyProtection="1" pivotButton="0" quotePrefix="0" xfId="0">
      <alignment horizontal="general" vertical="bottom"/>
      <protection locked="0" hidden="0"/>
    </xf>
    <xf numFmtId="0" fontId="56" fillId="0" borderId="79" applyAlignment="1" pivotButton="0" quotePrefix="0" xfId="0">
      <alignment horizontal="general" vertical="bottom"/>
    </xf>
    <xf numFmtId="0" fontId="6" fillId="0" borderId="48" applyAlignment="1" pivotButton="0" quotePrefix="0" xfId="0">
      <alignment horizontal="center" vertical="center" wrapText="1"/>
    </xf>
    <xf numFmtId="0" fontId="0" fillId="11" borderId="49" applyAlignment="1" pivotButton="0" quotePrefix="0" xfId="0">
      <alignment horizontal="center" vertical="center" wrapText="1"/>
    </xf>
    <xf numFmtId="0" fontId="0" fillId="0" borderId="58" applyAlignment="1" pivotButton="0" quotePrefix="0" xfId="0">
      <alignment horizontal="center" vertical="center" wrapText="1"/>
    </xf>
    <xf numFmtId="166" fontId="36" fillId="2" borderId="47" applyAlignment="1" pivotButton="0" quotePrefix="0" xfId="0">
      <alignment horizontal="center" vertical="center" wrapText="1"/>
    </xf>
    <xf numFmtId="0" fontId="17" fillId="0" borderId="47" applyAlignment="1" pivotButton="0" quotePrefix="0" xfId="0">
      <alignment horizontal="center" vertical="center"/>
    </xf>
    <xf numFmtId="0" fontId="6" fillId="0" borderId="72" applyAlignment="1" pivotButton="0" quotePrefix="0" xfId="0">
      <alignment horizontal="center" vertical="center" wrapText="1"/>
    </xf>
    <xf numFmtId="166" fontId="36" fillId="2" borderId="34" applyAlignment="1" pivotButton="0" quotePrefix="0" xfId="0">
      <alignment horizontal="center" vertical="center"/>
    </xf>
    <xf numFmtId="166" fontId="36" fillId="2" borderId="40" applyAlignment="1" pivotButton="0" quotePrefix="0" xfId="0">
      <alignment horizontal="center" vertical="center"/>
    </xf>
    <xf numFmtId="0" fontId="0" fillId="9" borderId="40" applyAlignment="1" pivotButton="0" quotePrefix="0" xfId="0">
      <alignment horizontal="center" vertical="center" wrapText="1"/>
    </xf>
    <xf numFmtId="0" fontId="0" fillId="0" borderId="78" applyAlignment="1" pivotButton="0" quotePrefix="0" xfId="0">
      <alignment horizontal="center" vertical="center" wrapText="1"/>
    </xf>
    <xf numFmtId="166" fontId="36" fillId="2" borderId="50" applyAlignment="1" pivotButton="0" quotePrefix="0" xfId="0">
      <alignment horizontal="center" vertical="center"/>
    </xf>
    <xf numFmtId="0" fontId="17" fillId="0" borderId="50" applyAlignment="1" pivotButton="0" quotePrefix="0" xfId="0">
      <alignment horizontal="center" vertical="center"/>
    </xf>
    <xf numFmtId="166" fontId="36" fillId="2" borderId="50" applyAlignment="1" pivotButton="0" quotePrefix="0" xfId="0">
      <alignment horizontal="center" vertical="center" wrapText="1"/>
    </xf>
    <xf numFmtId="0" fontId="0" fillId="0" borderId="47" applyAlignment="1" applyProtection="1" pivotButton="0" quotePrefix="0" xfId="0">
      <alignment horizontal="general" vertical="bottom"/>
      <protection locked="0" hidden="0"/>
    </xf>
    <xf numFmtId="0" fontId="0" fillId="11" borderId="34" applyAlignment="1" pivotButton="0" quotePrefix="0" xfId="0">
      <alignment horizontal="center" vertical="center" wrapText="1"/>
    </xf>
    <xf numFmtId="0" fontId="0" fillId="11" borderId="39" applyAlignment="1" pivotButton="0" quotePrefix="0" xfId="0">
      <alignment horizontal="center" vertical="center" wrapText="1"/>
    </xf>
    <xf numFmtId="0" fontId="61" fillId="0" borderId="40" applyAlignment="1" pivotButton="0" quotePrefix="0" xfId="0">
      <alignment horizontal="center" vertical="center" wrapText="1"/>
    </xf>
    <xf numFmtId="166" fontId="62" fillId="2" borderId="40" applyAlignment="1" pivotButton="0" quotePrefix="0" xfId="0">
      <alignment horizontal="center" vertical="center" wrapText="1"/>
    </xf>
    <xf numFmtId="0" fontId="63" fillId="0" borderId="40" applyAlignment="1" pivotButton="0" quotePrefix="0" xfId="0">
      <alignment horizontal="center" vertical="center"/>
    </xf>
    <xf numFmtId="0" fontId="17" fillId="0" borderId="59" applyAlignment="1" pivotButton="0" quotePrefix="0" xfId="0">
      <alignment horizontal="center" vertical="center"/>
    </xf>
    <xf numFmtId="166" fontId="36" fillId="2" borderId="59" applyAlignment="1" pivotButton="0" quotePrefix="0" xfId="0">
      <alignment horizontal="center" vertical="center" wrapText="1"/>
    </xf>
    <xf numFmtId="166" fontId="36" fillId="7" borderId="34" applyAlignment="1" pivotButton="0" quotePrefix="0" xfId="0">
      <alignment horizontal="center" vertical="center" wrapText="1"/>
    </xf>
    <xf numFmtId="1" fontId="0" fillId="0" borderId="66" applyAlignment="1" applyProtection="1" pivotButton="0" quotePrefix="0" xfId="0">
      <alignment horizontal="general" vertical="bottom"/>
      <protection locked="0" hidden="0"/>
    </xf>
    <xf numFmtId="0" fontId="44" fillId="0" borderId="0" applyAlignment="1" pivotButton="0" quotePrefix="0" xfId="0">
      <alignment horizontal="general" vertical="bottom"/>
    </xf>
    <xf numFmtId="166" fontId="36" fillId="7" borderId="40" applyAlignment="1" pivotButton="0" quotePrefix="0" xfId="0">
      <alignment horizontal="center" vertical="center" wrapText="1"/>
    </xf>
    <xf numFmtId="1" fontId="0" fillId="0" borderId="42" applyAlignment="1" applyProtection="1" pivotButton="0" quotePrefix="0" xfId="0">
      <alignment horizontal="general" vertical="bottom"/>
      <protection locked="0" hidden="0"/>
    </xf>
    <xf numFmtId="0" fontId="21" fillId="0" borderId="0" applyAlignment="1" pivotButton="0" quotePrefix="0" xfId="0">
      <alignment horizontal="general" vertical="bottom"/>
    </xf>
    <xf numFmtId="0" fontId="21" fillId="0" borderId="38" applyAlignment="1" pivotButton="0" quotePrefix="0" xfId="0">
      <alignment horizontal="center" vertical="center" wrapText="1"/>
    </xf>
    <xf numFmtId="166" fontId="36" fillId="7" borderId="38" applyAlignment="1" pivotButton="0" quotePrefix="0" xfId="0">
      <alignment horizontal="center" vertical="center" wrapText="1"/>
    </xf>
    <xf numFmtId="1" fontId="0" fillId="0" borderId="88" applyAlignment="1" applyProtection="1" pivotButton="0" quotePrefix="0" xfId="0">
      <alignment horizontal="general" vertical="bottom"/>
      <protection locked="0" hidden="0"/>
    </xf>
    <xf numFmtId="166" fontId="36" fillId="7" borderId="39" applyAlignment="1" pivotButton="0" quotePrefix="0" xfId="0">
      <alignment horizontal="center" vertical="center" wrapText="1"/>
    </xf>
    <xf numFmtId="166" fontId="0" fillId="0" borderId="0" applyAlignment="1" pivotButton="0" quotePrefix="0" xfId="0">
      <alignment horizontal="center" vertical="bottom"/>
    </xf>
    <xf numFmtId="0" fontId="0" fillId="0" borderId="89" applyAlignment="1" pivotButton="0" quotePrefix="0" xfId="0">
      <alignment horizontal="general" vertical="center" wrapText="1"/>
    </xf>
    <xf numFmtId="0" fontId="0" fillId="0" borderId="75" applyAlignment="1" pivotButton="0" quotePrefix="0" xfId="0">
      <alignment horizontal="general" vertical="center" wrapText="1"/>
    </xf>
    <xf numFmtId="0" fontId="0" fillId="0" borderId="42" applyAlignment="1" pivotButton="0" quotePrefix="0" xfId="0">
      <alignment horizontal="general" vertical="center" wrapText="1"/>
    </xf>
    <xf numFmtId="0" fontId="0" fillId="0" borderId="10" applyAlignment="1" pivotButton="0" quotePrefix="0" xfId="0">
      <alignment horizontal="general" vertical="bottom"/>
    </xf>
    <xf numFmtId="0" fontId="0" fillId="2" borderId="13" applyAlignment="1" pivotButton="0" quotePrefix="0" xfId="0">
      <alignment horizontal="general" vertical="bottom"/>
    </xf>
    <xf numFmtId="0" fontId="15" fillId="0" borderId="0" applyAlignment="1" pivotButton="0" quotePrefix="0" xfId="0">
      <alignment horizontal="center" vertical="center"/>
    </xf>
    <xf numFmtId="0" fontId="15" fillId="0" borderId="0" applyAlignment="1" pivotButton="0" quotePrefix="0" xfId="0">
      <alignment horizontal="center" vertical="center" wrapText="1"/>
    </xf>
    <xf numFmtId="0" fontId="15" fillId="0" borderId="0" applyAlignment="1" pivotButton="0" quotePrefix="0" xfId="0">
      <alignment horizontal="left" vertical="center"/>
    </xf>
    <xf numFmtId="165" fontId="14" fillId="0" borderId="0" applyAlignment="1" pivotButton="0" quotePrefix="0" xfId="0">
      <alignment horizontal="center" vertical="center"/>
    </xf>
    <xf numFmtId="166" fontId="48" fillId="0" borderId="0" applyAlignment="1" pivotButton="0" quotePrefix="0" xfId="0">
      <alignment horizontal="center" vertical="center" wrapText="1"/>
    </xf>
    <xf numFmtId="0" fontId="17" fillId="0" borderId="0" applyAlignment="1" pivotButton="0" quotePrefix="0" xfId="0">
      <alignment horizontal="center" vertical="center"/>
    </xf>
    <xf numFmtId="165" fontId="52" fillId="2" borderId="40" applyAlignment="1" pivotButton="0" quotePrefix="0" xfId="0">
      <alignment horizontal="center" vertical="center"/>
    </xf>
    <xf numFmtId="1" fontId="17" fillId="0" borderId="40" applyAlignment="1" applyProtection="1" pivotButton="0" quotePrefix="0" xfId="0">
      <alignment horizontal="center" vertical="center"/>
      <protection locked="0" hidden="0"/>
    </xf>
    <xf numFmtId="0" fontId="17" fillId="0" borderId="41" applyAlignment="1" pivotButton="0" quotePrefix="0" xfId="0">
      <alignment horizontal="center" vertical="center"/>
    </xf>
    <xf numFmtId="0" fontId="17" fillId="0" borderId="0" applyAlignment="1" pivotButton="0" quotePrefix="0" xfId="0">
      <alignment horizontal="left" vertical="center"/>
    </xf>
    <xf numFmtId="165" fontId="17" fillId="0" borderId="0" applyAlignment="1" pivotButton="0" quotePrefix="0" xfId="0">
      <alignment horizontal="center" vertical="center"/>
    </xf>
    <xf numFmtId="0" fontId="0" fillId="0" borderId="47" applyAlignment="1" pivotButton="0" quotePrefix="0" xfId="0">
      <alignment horizontal="left" vertical="center" wrapText="1"/>
    </xf>
    <xf numFmtId="165" fontId="52" fillId="2" borderId="47" applyAlignment="1" pivotButton="0" quotePrefix="0" xfId="0">
      <alignment horizontal="center" vertical="center"/>
    </xf>
    <xf numFmtId="1" fontId="17" fillId="0" borderId="47" applyAlignment="1" applyProtection="1" pivotButton="0" quotePrefix="0" xfId="0">
      <alignment horizontal="center" vertical="center"/>
      <protection locked="0" hidden="0"/>
    </xf>
    <xf numFmtId="0" fontId="17" fillId="0" borderId="79" applyAlignment="1" pivotButton="0" quotePrefix="0" xfId="0">
      <alignment horizontal="center" vertical="center"/>
    </xf>
    <xf numFmtId="0" fontId="0" fillId="0" borderId="73" applyAlignment="1" pivotButton="0" quotePrefix="0" xfId="0">
      <alignment horizontal="center" vertical="center" wrapText="1"/>
    </xf>
    <xf numFmtId="0" fontId="0" fillId="0" borderId="73" applyAlignment="1" pivotButton="0" quotePrefix="0" xfId="0">
      <alignment horizontal="left" vertical="center" wrapText="1"/>
    </xf>
    <xf numFmtId="165" fontId="52" fillId="0" borderId="73" applyAlignment="1" pivotButton="0" quotePrefix="0" xfId="0">
      <alignment horizontal="center" vertical="center"/>
    </xf>
    <xf numFmtId="0" fontId="17" fillId="0" borderId="73" applyAlignment="1" applyProtection="1" pivotButton="0" quotePrefix="0" xfId="0">
      <alignment horizontal="center" vertical="center"/>
      <protection locked="0" hidden="0"/>
    </xf>
    <xf numFmtId="0" fontId="6" fillId="0" borderId="48" applyAlignment="1" pivotButton="0" quotePrefix="0" xfId="0">
      <alignment horizontal="center" vertical="center"/>
    </xf>
    <xf numFmtId="0" fontId="0" fillId="0" borderId="90" applyAlignment="1" pivotButton="0" quotePrefix="0" xfId="0">
      <alignment horizontal="left" vertical="center" wrapText="1"/>
    </xf>
    <xf numFmtId="0" fontId="0" fillId="0" borderId="34" applyAlignment="1" pivotButton="0" quotePrefix="0" xfId="0">
      <alignment horizontal="left" vertical="center" wrapText="1"/>
    </xf>
    <xf numFmtId="2" fontId="52" fillId="2" borderId="34" applyAlignment="1" pivotButton="0" quotePrefix="0" xfId="0">
      <alignment horizontal="center" vertical="center"/>
    </xf>
    <xf numFmtId="1" fontId="17" fillId="0" borderId="34" applyAlignment="1" applyProtection="1" pivotButton="0" quotePrefix="0" xfId="0">
      <alignment horizontal="center" vertical="center"/>
      <protection locked="0" hidden="0"/>
    </xf>
    <xf numFmtId="0" fontId="17" fillId="0" borderId="68" applyAlignment="1" pivotButton="0" quotePrefix="0" xfId="0">
      <alignment horizontal="center" vertical="center"/>
    </xf>
    <xf numFmtId="2" fontId="52" fillId="2" borderId="40" applyAlignment="1" pivotButton="0" quotePrefix="0" xfId="0">
      <alignment horizontal="center" vertical="center"/>
    </xf>
    <xf numFmtId="0" fontId="17" fillId="0" borderId="51" applyAlignment="1" pivotButton="0" quotePrefix="0" xfId="0">
      <alignment horizontal="center" vertical="center"/>
    </xf>
    <xf numFmtId="2" fontId="52" fillId="2" borderId="40" applyAlignment="1" pivotButton="0" quotePrefix="0" xfId="0">
      <alignment horizontal="center" vertical="center" wrapText="1"/>
    </xf>
    <xf numFmtId="0" fontId="0" fillId="0" borderId="91" applyAlignment="1" pivotButton="0" quotePrefix="0" xfId="0">
      <alignment horizontal="left" vertical="center" wrapText="1"/>
    </xf>
    <xf numFmtId="165" fontId="52" fillId="2" borderId="38" applyAlignment="1" pivotButton="0" quotePrefix="0" xfId="0">
      <alignment horizontal="center" vertical="center"/>
    </xf>
    <xf numFmtId="0" fontId="65" fillId="0" borderId="0" applyAlignment="1" pivotButton="0" quotePrefix="0" xfId="0">
      <alignment horizontal="left" vertical="center" wrapText="1"/>
    </xf>
    <xf numFmtId="165" fontId="52" fillId="2" borderId="34" applyAlignment="1" pivotButton="0" quotePrefix="0" xfId="0">
      <alignment horizontal="center" vertical="center"/>
    </xf>
    <xf numFmtId="0" fontId="17" fillId="12" borderId="36" applyAlignment="1" pivotButton="0" quotePrefix="0" xfId="0">
      <alignment horizontal="center" vertical="center"/>
    </xf>
    <xf numFmtId="0" fontId="17" fillId="12" borderId="0" applyAlignment="1" pivotButton="0" quotePrefix="0" xfId="0">
      <alignment horizontal="center" vertical="center"/>
    </xf>
    <xf numFmtId="165" fontId="66" fillId="0" borderId="0" applyAlignment="1" pivotButton="0" quotePrefix="0" xfId="0">
      <alignment horizontal="center" vertical="center"/>
    </xf>
    <xf numFmtId="170" fontId="0" fillId="0" borderId="40" applyAlignment="1" pivotButton="0" quotePrefix="0" xfId="17">
      <alignment horizontal="center" vertical="center" wrapText="1"/>
    </xf>
    <xf numFmtId="0" fontId="0" fillId="9" borderId="0" applyAlignment="1" pivotButton="0" quotePrefix="0" xfId="0">
      <alignment horizontal="general" vertical="bottom" wrapText="1"/>
    </xf>
    <xf numFmtId="165" fontId="52" fillId="11" borderId="40" applyAlignment="1" pivotButton="0" quotePrefix="0" xfId="0">
      <alignment horizontal="center" vertical="center"/>
    </xf>
    <xf numFmtId="165" fontId="52" fillId="2" borderId="40" applyAlignment="1" pivotButton="0" quotePrefix="0" xfId="0">
      <alignment horizontal="center" vertical="center" wrapText="1"/>
    </xf>
    <xf numFmtId="165" fontId="52" fillId="11" borderId="40" applyAlignment="1" pivotButton="0" quotePrefix="0" xfId="0">
      <alignment horizontal="center" vertical="center" wrapText="1"/>
    </xf>
    <xf numFmtId="1" fontId="17" fillId="0" borderId="50" applyAlignment="1" applyProtection="1" pivotButton="0" quotePrefix="0" xfId="0">
      <alignment horizontal="center" vertical="center"/>
      <protection locked="0" hidden="0"/>
    </xf>
    <xf numFmtId="165" fontId="52" fillId="0" borderId="38" applyAlignment="1" pivotButton="0" quotePrefix="0" xfId="0">
      <alignment horizontal="center" vertical="center"/>
    </xf>
    <xf numFmtId="0" fontId="17" fillId="0" borderId="38" applyAlignment="1" applyProtection="1" pivotButton="0" quotePrefix="0" xfId="0">
      <alignment horizontal="center" vertical="center"/>
      <protection locked="0" hidden="0"/>
    </xf>
    <xf numFmtId="0" fontId="66" fillId="0" borderId="74" applyAlignment="1" pivotButton="0" quotePrefix="0" xfId="0">
      <alignment horizontal="general" vertical="center" wrapText="1"/>
    </xf>
    <xf numFmtId="0" fontId="17" fillId="0" borderId="36" applyAlignment="1" pivotButton="0" quotePrefix="0" xfId="0">
      <alignment horizontal="center" vertical="center"/>
    </xf>
    <xf numFmtId="0" fontId="6" fillId="0" borderId="81" applyAlignment="1" pivotButton="0" quotePrefix="0" xfId="0">
      <alignment horizontal="center" vertical="center"/>
    </xf>
    <xf numFmtId="0" fontId="0" fillId="0" borderId="34" applyAlignment="1" pivotButton="0" quotePrefix="0" xfId="0">
      <alignment horizontal="center" vertical="bottom"/>
    </xf>
    <xf numFmtId="0" fontId="0" fillId="0" borderId="50" applyAlignment="1" pivotButton="0" quotePrefix="0" xfId="0">
      <alignment horizontal="center" vertical="bottom"/>
    </xf>
    <xf numFmtId="165" fontId="52" fillId="2" borderId="50" applyAlignment="1" pivotButton="0" quotePrefix="0" xfId="0">
      <alignment horizontal="center" vertical="center"/>
    </xf>
    <xf numFmtId="0" fontId="6" fillId="0" borderId="33" applyAlignment="1" pivotButton="0" quotePrefix="0" xfId="0">
      <alignment horizontal="center" vertical="center"/>
    </xf>
    <xf numFmtId="0" fontId="6" fillId="0" borderId="37" applyAlignment="1" pivotButton="0" quotePrefix="0" xfId="0">
      <alignment horizontal="center" vertical="center"/>
    </xf>
    <xf numFmtId="165" fontId="17" fillId="0" borderId="0" applyAlignment="1" pivotButton="0" quotePrefix="0" xfId="0">
      <alignment horizontal="left" vertical="center"/>
    </xf>
    <xf numFmtId="0" fontId="17" fillId="12" borderId="41" applyAlignment="1" pivotButton="0" quotePrefix="0" xfId="0">
      <alignment horizontal="center" vertical="center"/>
    </xf>
    <xf numFmtId="0" fontId="17" fillId="0" borderId="75" applyAlignment="1" pivotButton="0" quotePrefix="0" xfId="0">
      <alignment horizontal="center" vertical="center"/>
    </xf>
    <xf numFmtId="0" fontId="17" fillId="0" borderId="85" applyAlignment="1" pivotButton="0" quotePrefix="0" xfId="0">
      <alignment horizontal="center" vertical="center"/>
    </xf>
    <xf numFmtId="0" fontId="17" fillId="0" borderId="92" applyAlignment="1" pivotButton="0" quotePrefix="0" xfId="0">
      <alignment horizontal="center" vertical="center"/>
    </xf>
    <xf numFmtId="165" fontId="52" fillId="0" borderId="87" applyAlignment="1" pivotButton="0" quotePrefix="0" xfId="0">
      <alignment horizontal="center" vertical="center"/>
    </xf>
    <xf numFmtId="0" fontId="11" fillId="0" borderId="87" applyAlignment="1" pivotButton="0" quotePrefix="0" xfId="0">
      <alignment horizontal="center" vertical="center"/>
    </xf>
    <xf numFmtId="165" fontId="52" fillId="0" borderId="0" applyAlignment="1" pivotButton="0" quotePrefix="0" xfId="0">
      <alignment horizontal="center" vertical="center"/>
    </xf>
    <xf numFmtId="165" fontId="14" fillId="0" borderId="0" applyAlignment="1" pivotButton="0" quotePrefix="0" xfId="0">
      <alignment horizontal="center" vertical="center" wrapText="1"/>
    </xf>
    <xf numFmtId="0" fontId="8" fillId="0" borderId="73" applyAlignment="1" pivotButton="0" quotePrefix="0" xfId="0">
      <alignment horizontal="center" vertical="center"/>
    </xf>
    <xf numFmtId="0" fontId="8" fillId="2" borderId="33" applyAlignment="1" pivotButton="0" quotePrefix="0" xfId="0">
      <alignment horizontal="center" vertical="center" wrapText="1"/>
    </xf>
    <xf numFmtId="0" fontId="8" fillId="2" borderId="34" applyAlignment="1" pivotButton="0" quotePrefix="0" xfId="0">
      <alignment horizontal="center" vertical="center" wrapText="1"/>
    </xf>
    <xf numFmtId="165" fontId="8" fillId="2" borderId="34" applyAlignment="1" pivotButton="0" quotePrefix="0" xfId="0">
      <alignment horizontal="left" vertical="center" shrinkToFit="1"/>
    </xf>
    <xf numFmtId="165" fontId="0" fillId="0" borderId="0" applyAlignment="1" pivotButton="0" quotePrefix="0" xfId="0">
      <alignment horizontal="general" vertical="top" wrapText="1"/>
    </xf>
    <xf numFmtId="0" fontId="0" fillId="0" borderId="75" applyAlignment="1" pivotButton="0" quotePrefix="0" xfId="0">
      <alignment horizontal="center" vertical="center"/>
    </xf>
    <xf numFmtId="165" fontId="52" fillId="2" borderId="50" applyAlignment="1" pivotButton="0" quotePrefix="0" xfId="0">
      <alignment horizontal="center" vertical="center" wrapText="1"/>
    </xf>
    <xf numFmtId="0" fontId="0" fillId="11" borderId="72" applyAlignment="1" pivotButton="0" quotePrefix="0" xfId="0">
      <alignment horizontal="center" vertical="center" wrapText="1"/>
    </xf>
    <xf numFmtId="2" fontId="52" fillId="11" borderId="34" applyAlignment="1" pivotButton="0" quotePrefix="0" xfId="0">
      <alignment horizontal="center" vertical="center" wrapText="1"/>
    </xf>
    <xf numFmtId="0" fontId="0" fillId="11" borderId="40" applyAlignment="1" pivotButton="0" quotePrefix="0" xfId="0">
      <alignment horizontal="center" vertical="center"/>
    </xf>
    <xf numFmtId="2" fontId="52" fillId="11" borderId="39" applyAlignment="1" pivotButton="0" quotePrefix="0" xfId="0">
      <alignment horizontal="center" vertical="center" wrapText="1"/>
    </xf>
    <xf numFmtId="1" fontId="17" fillId="0" borderId="39" applyAlignment="1" applyProtection="1" pivotButton="0" quotePrefix="0" xfId="0">
      <alignment horizontal="center" vertical="center"/>
      <protection locked="0" hidden="0"/>
    </xf>
    <xf numFmtId="0" fontId="17" fillId="0" borderId="43" applyAlignment="1" pivotButton="0" quotePrefix="0" xfId="0">
      <alignment horizontal="center" vertical="center"/>
    </xf>
    <xf numFmtId="2" fontId="52" fillId="11" borderId="40" applyAlignment="1" pivotButton="0" quotePrefix="0" xfId="0">
      <alignment horizontal="center" vertical="center" wrapText="1"/>
    </xf>
    <xf numFmtId="0" fontId="0" fillId="0" borderId="85" applyAlignment="1" pivotButton="0" quotePrefix="0" xfId="0">
      <alignment horizontal="center" vertical="center"/>
    </xf>
    <xf numFmtId="165" fontId="70" fillId="2" borderId="40" applyAlignment="1" pivotButton="0" quotePrefix="0" xfId="0">
      <alignment horizontal="center" vertical="center"/>
    </xf>
    <xf numFmtId="0" fontId="0" fillId="0" borderId="92" applyAlignment="1" pivotButton="0" quotePrefix="0" xfId="0">
      <alignment horizontal="center" vertical="center"/>
    </xf>
    <xf numFmtId="165" fontId="52" fillId="2" borderId="34" applyAlignment="1" pivotButton="0" quotePrefix="0" xfId="0">
      <alignment horizontal="center" vertical="center" wrapText="1"/>
    </xf>
    <xf numFmtId="0" fontId="0" fillId="0" borderId="33" applyAlignment="1" pivotButton="0" quotePrefix="0" xfId="0">
      <alignment horizontal="center" vertical="center" wrapText="1"/>
    </xf>
    <xf numFmtId="0" fontId="15" fillId="0" borderId="34" applyAlignment="1" pivotButton="0" quotePrefix="0" xfId="0">
      <alignment horizontal="center" vertical="center" wrapText="1"/>
    </xf>
    <xf numFmtId="0" fontId="15" fillId="0" borderId="40" applyAlignment="1" pivotButton="0" quotePrefix="0" xfId="0">
      <alignment horizontal="general" vertical="center" wrapText="1"/>
    </xf>
    <xf numFmtId="0" fontId="71" fillId="0" borderId="38" applyAlignment="1" pivotButton="0" quotePrefix="0" xfId="0">
      <alignment horizontal="general" vertical="center" wrapText="1"/>
    </xf>
    <xf numFmtId="165" fontId="6" fillId="0" borderId="0" applyAlignment="1" pivotButton="0" quotePrefix="0" xfId="0">
      <alignment horizontal="right" vertical="center"/>
    </xf>
    <xf numFmtId="165" fontId="52" fillId="2" borderId="38" applyAlignment="1" pivotButton="0" quotePrefix="0" xfId="0">
      <alignment horizontal="center" vertical="center" wrapText="1"/>
    </xf>
    <xf numFmtId="0" fontId="0" fillId="0" borderId="46" applyAlignment="1" pivotButton="0" quotePrefix="0" xfId="0">
      <alignment horizontal="center" vertical="center" wrapText="1"/>
    </xf>
    <xf numFmtId="166" fontId="52" fillId="2" borderId="47" applyAlignment="1" pivotButton="0" quotePrefix="0" xfId="0">
      <alignment horizontal="center" vertical="center" wrapText="1"/>
    </xf>
    <xf numFmtId="165" fontId="52" fillId="2" borderId="39" applyAlignment="1" pivotButton="0" quotePrefix="0" xfId="0">
      <alignment horizontal="center" vertical="center" wrapText="1"/>
    </xf>
    <xf numFmtId="165" fontId="6" fillId="0" borderId="0" applyAlignment="1" pivotButton="0" quotePrefix="0" xfId="0">
      <alignment horizontal="center" vertical="center"/>
    </xf>
    <xf numFmtId="0" fontId="17" fillId="0" borderId="35" applyAlignment="1" pivotButton="0" quotePrefix="0" xfId="0">
      <alignment horizontal="center" vertical="center"/>
    </xf>
    <xf numFmtId="1" fontId="17" fillId="0" borderId="59" applyAlignment="1" applyProtection="1" pivotButton="0" quotePrefix="0" xfId="0">
      <alignment horizontal="center" vertical="center"/>
      <protection locked="0" hidden="0"/>
    </xf>
    <xf numFmtId="0" fontId="0" fillId="0" borderId="48" applyAlignment="1" pivotButton="0" quotePrefix="0" xfId="0">
      <alignment horizontal="center" vertical="center"/>
    </xf>
    <xf numFmtId="0" fontId="61" fillId="0" borderId="34" applyAlignment="1" pivotButton="0" quotePrefix="0" xfId="0">
      <alignment horizontal="center" vertical="center" wrapText="1"/>
    </xf>
    <xf numFmtId="165" fontId="70" fillId="2" borderId="34" applyAlignment="1" pivotButton="0" quotePrefix="0" xfId="0">
      <alignment horizontal="center" vertical="center" wrapText="1"/>
    </xf>
    <xf numFmtId="0" fontId="63" fillId="0" borderId="34" applyAlignment="1" pivotButton="0" quotePrefix="0" xfId="0">
      <alignment horizontal="center" vertical="center"/>
    </xf>
    <xf numFmtId="1" fontId="63" fillId="0" borderId="34" applyAlignment="1" applyProtection="1" pivotButton="0" quotePrefix="0" xfId="0">
      <alignment horizontal="center" vertical="center"/>
      <protection locked="0" hidden="0"/>
    </xf>
    <xf numFmtId="0" fontId="63" fillId="0" borderId="36" applyAlignment="1" pivotButton="0" quotePrefix="0" xfId="0">
      <alignment horizontal="center" vertical="center"/>
    </xf>
    <xf numFmtId="2" fontId="52" fillId="2" borderId="39" applyAlignment="1" pivotButton="0" quotePrefix="0" xfId="0">
      <alignment horizontal="center" vertical="center" wrapText="1"/>
    </xf>
    <xf numFmtId="2" fontId="52" fillId="2" borderId="38" applyAlignment="1" pivotButton="0" quotePrefix="0" xfId="0">
      <alignment horizontal="center" vertical="center" wrapText="1"/>
    </xf>
    <xf numFmtId="0" fontId="0" fillId="11" borderId="46" applyAlignment="1" pivotButton="0" quotePrefix="0" xfId="0">
      <alignment horizontal="center" vertical="center" wrapText="1"/>
    </xf>
    <xf numFmtId="165" fontId="52" fillId="11" borderId="39" applyAlignment="1" pivotButton="0" quotePrefix="0" xfId="0">
      <alignment horizontal="center" vertical="center" wrapText="1"/>
    </xf>
    <xf numFmtId="0" fontId="17" fillId="11" borderId="52" applyAlignment="1" pivotButton="0" quotePrefix="0" xfId="0">
      <alignment horizontal="center" vertical="center"/>
    </xf>
    <xf numFmtId="0" fontId="0" fillId="11" borderId="38" applyAlignment="1" pivotButton="0" quotePrefix="0" xfId="0">
      <alignment horizontal="center" vertical="center" wrapText="1"/>
    </xf>
    <xf numFmtId="2" fontId="70" fillId="2" borderId="34" applyAlignment="1" pivotButton="0" quotePrefix="0" xfId="0">
      <alignment horizontal="center" vertical="center" wrapText="1"/>
    </xf>
    <xf numFmtId="0" fontId="52" fillId="2" borderId="38" applyAlignment="1" pivotButton="0" quotePrefix="0" xfId="0">
      <alignment horizontal="center" vertical="center"/>
    </xf>
    <xf numFmtId="165" fontId="52" fillId="2" borderId="49" applyAlignment="1" pivotButton="0" quotePrefix="0" xfId="0">
      <alignment horizontal="center" vertical="center" wrapText="1"/>
    </xf>
    <xf numFmtId="1" fontId="17" fillId="0" borderId="49" applyAlignment="1" applyProtection="1" pivotButton="0" quotePrefix="0" xfId="0">
      <alignment horizontal="center" vertical="center"/>
      <protection locked="0" hidden="0"/>
    </xf>
    <xf numFmtId="0" fontId="17" fillId="0" borderId="71" applyAlignment="1" pivotButton="0" quotePrefix="0" xfId="0">
      <alignment horizontal="center" vertical="center"/>
    </xf>
    <xf numFmtId="165" fontId="36" fillId="2" borderId="49" applyAlignment="1" pivotButton="0" quotePrefix="0" xfId="0">
      <alignment horizontal="center" vertical="center" wrapText="1"/>
    </xf>
    <xf numFmtId="0" fontId="17" fillId="0" borderId="49" applyAlignment="1" pivotButton="0" quotePrefix="0" xfId="0">
      <alignment horizontal="center" vertical="center"/>
    </xf>
    <xf numFmtId="2" fontId="73" fillId="2" borderId="34" applyAlignment="1" pivotButton="0" quotePrefix="0" xfId="0">
      <alignment horizontal="center" vertical="center" wrapText="1"/>
    </xf>
    <xf numFmtId="165" fontId="73" fillId="2" borderId="40" applyAlignment="1" pivotButton="0" quotePrefix="0" xfId="0">
      <alignment horizontal="center" vertical="center" wrapText="1"/>
    </xf>
    <xf numFmtId="166" fontId="73" fillId="2" borderId="40" applyAlignment="1" pivotButton="0" quotePrefix="0" xfId="0">
      <alignment horizontal="center" vertical="bottom"/>
    </xf>
    <xf numFmtId="0" fontId="0" fillId="0" borderId="37" applyAlignment="1" pivotButton="0" quotePrefix="0" xfId="0">
      <alignment horizontal="center" vertical="center" wrapText="1"/>
    </xf>
    <xf numFmtId="2" fontId="52" fillId="2" borderId="34" applyAlignment="1" pivotButton="0" quotePrefix="0" xfId="0">
      <alignment horizontal="center" vertical="center" wrapText="1"/>
    </xf>
    <xf numFmtId="0" fontId="17" fillId="0" borderId="39" applyAlignment="1" applyProtection="1" pivotButton="0" quotePrefix="0" xfId="0">
      <alignment horizontal="center" vertical="center"/>
      <protection locked="0" hidden="0"/>
    </xf>
    <xf numFmtId="2" fontId="52" fillId="11" borderId="59" applyAlignment="1" pivotButton="0" quotePrefix="0" xfId="0">
      <alignment horizontal="center" vertical="center" wrapText="1"/>
    </xf>
    <xf numFmtId="0" fontId="28" fillId="11" borderId="40" applyAlignment="1" pivotButton="0" quotePrefix="0" xfId="0">
      <alignment horizontal="center" vertical="center" wrapText="1"/>
    </xf>
    <xf numFmtId="2" fontId="74" fillId="11" borderId="40" applyAlignment="1" pivotButton="0" quotePrefix="0" xfId="0">
      <alignment horizontal="center" vertical="center" wrapText="1"/>
    </xf>
    <xf numFmtId="0" fontId="63" fillId="11" borderId="40" applyAlignment="1" pivotButton="0" quotePrefix="0" xfId="0">
      <alignment horizontal="center" vertical="center"/>
    </xf>
    <xf numFmtId="1" fontId="63" fillId="11" borderId="40" applyAlignment="1" applyProtection="1" pivotButton="0" quotePrefix="0" xfId="0">
      <alignment horizontal="center" vertical="center"/>
      <protection locked="0" hidden="0"/>
    </xf>
    <xf numFmtId="0" fontId="63" fillId="11" borderId="41" applyAlignment="1" pivotButton="0" quotePrefix="0" xfId="0">
      <alignment horizontal="center" vertical="center"/>
    </xf>
    <xf numFmtId="0" fontId="61" fillId="0" borderId="0" applyAlignment="1" pivotButton="0" quotePrefix="0" xfId="0">
      <alignment horizontal="left" vertical="center"/>
    </xf>
    <xf numFmtId="0" fontId="0" fillId="0" borderId="74" applyAlignment="1" pivotButton="0" quotePrefix="0" xfId="0">
      <alignment horizontal="left" vertical="center" wrapText="1"/>
    </xf>
    <xf numFmtId="0" fontId="52" fillId="2" borderId="40" applyAlignment="1" pivotButton="0" quotePrefix="0" xfId="0">
      <alignment horizontal="center" vertical="center"/>
    </xf>
    <xf numFmtId="0" fontId="21" fillId="11" borderId="23" applyAlignment="1" pivotButton="0" quotePrefix="0" xfId="0">
      <alignment horizontal="center" vertical="center" wrapText="1"/>
    </xf>
    <xf numFmtId="0" fontId="10" fillId="0" borderId="0" applyAlignment="1" pivotButton="0" quotePrefix="0" xfId="0">
      <alignment horizontal="left" vertical="center" wrapText="1"/>
    </xf>
    <xf numFmtId="2" fontId="52" fillId="11" borderId="50" applyAlignment="1" pivotButton="0" quotePrefix="0" xfId="0">
      <alignment horizontal="center" vertical="center" wrapText="1"/>
    </xf>
    <xf numFmtId="0" fontId="0" fillId="11" borderId="47" applyAlignment="1" pivotButton="0" quotePrefix="0" xfId="0">
      <alignment horizontal="center" vertical="center" wrapText="1"/>
    </xf>
    <xf numFmtId="2" fontId="52" fillId="11" borderId="38" applyAlignment="1" pivotButton="0" quotePrefix="0" xfId="0">
      <alignment horizontal="center" vertical="center" wrapText="1"/>
    </xf>
    <xf numFmtId="0" fontId="75" fillId="11" borderId="48" applyAlignment="1" pivotButton="0" quotePrefix="0" xfId="0">
      <alignment horizontal="center" vertical="center" wrapText="1"/>
    </xf>
    <xf numFmtId="0" fontId="21" fillId="11" borderId="40" applyAlignment="1" pivotButton="0" quotePrefix="0" xfId="0">
      <alignment horizontal="center" vertical="center" wrapText="1"/>
    </xf>
    <xf numFmtId="2" fontId="77" fillId="11" borderId="40" applyAlignment="1" pivotButton="0" quotePrefix="0" xfId="0">
      <alignment horizontal="center" vertical="center" wrapText="1"/>
    </xf>
    <xf numFmtId="0" fontId="75" fillId="0" borderId="53" applyAlignment="1" pivotButton="0" quotePrefix="0" xfId="0">
      <alignment horizontal="center" vertical="center"/>
    </xf>
    <xf numFmtId="1" fontId="75" fillId="0" borderId="40" applyAlignment="1" applyProtection="1" pivotButton="0" quotePrefix="0" xfId="0">
      <alignment horizontal="center" vertical="center"/>
      <protection locked="0" hidden="0"/>
    </xf>
    <xf numFmtId="0" fontId="75" fillId="0" borderId="41" applyAlignment="1" pivotButton="0" quotePrefix="0" xfId="0">
      <alignment horizontal="center" vertical="center"/>
    </xf>
    <xf numFmtId="0" fontId="78" fillId="0" borderId="74" applyAlignment="1" pivotButton="0" quotePrefix="0" xfId="0">
      <alignment horizontal="center" vertical="center" wrapText="1"/>
    </xf>
    <xf numFmtId="0" fontId="21" fillId="11" borderId="38" applyAlignment="1" pivotButton="0" quotePrefix="0" xfId="0">
      <alignment horizontal="center" vertical="center" wrapText="1"/>
    </xf>
    <xf numFmtId="2" fontId="52" fillId="2" borderId="39" applyAlignment="1" pivotButton="0" quotePrefix="0" xfId="0">
      <alignment horizontal="center" vertical="center"/>
    </xf>
    <xf numFmtId="0" fontId="21" fillId="0" borderId="39" applyAlignment="1" pivotButton="0" quotePrefix="0" xfId="0">
      <alignment horizontal="center" vertical="center"/>
    </xf>
    <xf numFmtId="1" fontId="17" fillId="0" borderId="39" applyAlignment="1" pivotButton="0" quotePrefix="0" xfId="0">
      <alignment horizontal="center" vertical="center"/>
    </xf>
    <xf numFmtId="0" fontId="52" fillId="2" borderId="39" applyAlignment="1" pivotButton="0" quotePrefix="0" xfId="0">
      <alignment horizontal="center" vertical="center"/>
    </xf>
    <xf numFmtId="0" fontId="17" fillId="0" borderId="40" applyAlignment="1" applyProtection="1" pivotButton="0" quotePrefix="0" xfId="0">
      <alignment horizontal="center" vertical="center"/>
      <protection locked="0" hidden="0"/>
    </xf>
    <xf numFmtId="0" fontId="0" fillId="11" borderId="58" applyAlignment="1" pivotButton="0" quotePrefix="0" xfId="0">
      <alignment horizontal="center" vertical="center" wrapText="1"/>
    </xf>
    <xf numFmtId="0" fontId="6" fillId="14" borderId="93" applyAlignment="1" pivotButton="0" quotePrefix="0" xfId="0">
      <alignment horizontal="left" vertical="center"/>
    </xf>
    <xf numFmtId="0" fontId="0" fillId="14" borderId="94" applyAlignment="1" pivotButton="0" quotePrefix="0" xfId="0">
      <alignment horizontal="left" vertical="center"/>
    </xf>
    <xf numFmtId="0" fontId="0" fillId="14" borderId="95" applyAlignment="1" pivotButton="0" quotePrefix="0" xfId="0">
      <alignment horizontal="center" vertical="center"/>
    </xf>
    <xf numFmtId="2" fontId="52" fillId="2" borderId="96" applyAlignment="1" pivotButton="0" quotePrefix="0" xfId="0">
      <alignment horizontal="center" vertical="center"/>
    </xf>
    <xf numFmtId="0" fontId="17" fillId="0" borderId="96" applyAlignment="1" pivotButton="0" quotePrefix="0" xfId="0">
      <alignment horizontal="center" vertical="center"/>
    </xf>
    <xf numFmtId="1" fontId="17" fillId="0" borderId="96" applyAlignment="1" applyProtection="1" pivotButton="0" quotePrefix="0" xfId="0">
      <alignment horizontal="center" vertical="center"/>
      <protection locked="0" hidden="0"/>
    </xf>
    <xf numFmtId="0" fontId="17" fillId="0" borderId="4" applyAlignment="1" pivotButton="0" quotePrefix="0" xfId="0">
      <alignment horizontal="center" vertical="center"/>
    </xf>
    <xf numFmtId="0" fontId="6" fillId="14" borderId="97" applyAlignment="1" pivotButton="0" quotePrefix="0" xfId="0">
      <alignment horizontal="left" vertical="center" wrapText="1"/>
    </xf>
    <xf numFmtId="0" fontId="0" fillId="0" borderId="99" pivotButton="0" quotePrefix="0" xfId="0"/>
    <xf numFmtId="0" fontId="0" fillId="0" borderId="115" pivotButton="0" quotePrefix="0" xfId="0"/>
    <xf numFmtId="0" fontId="0" fillId="14" borderId="98" applyAlignment="1" pivotButton="0" quotePrefix="0" xfId="0">
      <alignment horizontal="left" vertical="center"/>
    </xf>
    <xf numFmtId="0" fontId="0" fillId="14" borderId="99" applyAlignment="1" pivotButton="0" quotePrefix="0" xfId="0">
      <alignment horizontal="center" vertical="center"/>
    </xf>
    <xf numFmtId="2" fontId="52" fillId="2" borderId="100" applyAlignment="1" pivotButton="0" quotePrefix="0" xfId="0">
      <alignment horizontal="center" vertical="center"/>
    </xf>
    <xf numFmtId="0" fontId="17" fillId="0" borderId="100" applyAlignment="1" pivotButton="0" quotePrefix="0" xfId="0">
      <alignment horizontal="center" vertical="center"/>
    </xf>
    <xf numFmtId="1" fontId="17" fillId="0" borderId="100" applyAlignment="1" applyProtection="1" pivotButton="0" quotePrefix="0" xfId="0">
      <alignment horizontal="center" vertical="center"/>
      <protection locked="0" hidden="0"/>
    </xf>
    <xf numFmtId="0" fontId="17" fillId="0" borderId="101" applyAlignment="1" pivotButton="0" quotePrefix="0" xfId="0">
      <alignment horizontal="center" vertical="center"/>
    </xf>
    <xf numFmtId="0" fontId="17" fillId="0" borderId="100" applyAlignment="1" applyProtection="1" pivotButton="0" quotePrefix="0" xfId="0">
      <alignment horizontal="center" vertical="center"/>
      <protection locked="0" hidden="0"/>
    </xf>
    <xf numFmtId="0" fontId="17" fillId="0" borderId="0" applyAlignment="1" pivotButton="0" quotePrefix="0" xfId="0">
      <alignment horizontal="general" vertical="bottom"/>
    </xf>
    <xf numFmtId="0" fontId="17" fillId="0" borderId="87" applyAlignment="1" pivotButton="0" quotePrefix="0" xfId="0">
      <alignment horizontal="center" vertical="center"/>
    </xf>
    <xf numFmtId="2" fontId="36" fillId="0" borderId="0" applyAlignment="1" pivotButton="0" quotePrefix="0" xfId="0">
      <alignment horizontal="center" vertical="center" wrapText="1"/>
    </xf>
    <xf numFmtId="0" fontId="15" fillId="17" borderId="0" applyAlignment="1" pivotButton="0" quotePrefix="0" xfId="0">
      <alignment horizontal="center" vertical="center"/>
    </xf>
  </cellXfs>
  <cellStyles count="20">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Currency 2" xfId="7"/>
    <cellStyle name="Dezimal [0]_EC-06" xfId="8"/>
    <cellStyle name="Dezimal_EC-06" xfId="9"/>
    <cellStyle name="Normal 10" xfId="10"/>
    <cellStyle name="Normal 2" xfId="11"/>
    <cellStyle name="Normal 2 2" xfId="12"/>
    <cellStyle name="Normal 2 2 2" xfId="13"/>
    <cellStyle name="Normal 3" xfId="14"/>
    <cellStyle name="Normal_WSD-version 09 rev01-sec-pc (2)" xfId="15"/>
    <cellStyle name="Standard_alle Basis x-Pos." xfId="16"/>
    <cellStyle name="Währung [0]_EC-06" xfId="17"/>
    <cellStyle name="Währung_EC-06" xfId="18"/>
    <cellStyle name="Обычный 2" xfId="19"/>
  </cellStyles>
  <dxfs count="39">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
      <font>
        <color rgb="00FFFFFF"/>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B050"/>
      <rgbColor rgb="FFC0C0C0"/>
      <rgbColor rgb="FF808080"/>
      <rgbColor rgb="FF9999FF"/>
      <rgbColor rgb="FF993366"/>
      <rgbColor rgb="FFFCD5B5"/>
      <rgbColor rgb="FFDBEEF4"/>
      <rgbColor rgb="FF660066"/>
      <rgbColor rgb="FFFF8080"/>
      <rgbColor rgb="FF0066CC"/>
      <rgbColor rgb="FFCCC1DA"/>
      <rgbColor rgb="FF000080"/>
      <rgbColor rgb="FFFF00FF"/>
      <rgbColor rgb="FFFFFF00"/>
      <rgbColor rgb="FF00FFFF"/>
      <rgbColor rgb="FF800080"/>
      <rgbColor rgb="FF800000"/>
      <rgbColor rgb="FF008080"/>
      <rgbColor rgb="FF0000FF"/>
      <rgbColor rgb="FF00CCFF"/>
      <rgbColor rgb="FFCCFFFF"/>
      <rgbColor rgb="FFCCFFCC"/>
      <rgbColor rgb="FFFFFF99"/>
      <rgbColor rgb="FFBFBFBF"/>
      <rgbColor rgb="FFFF99CC"/>
      <rgbColor rgb="FFCC99FF"/>
      <rgbColor rgb="FFFCD5B4"/>
      <rgbColor rgb="FF3366FF"/>
      <rgbColor rgb="FF33CCCC"/>
      <rgbColor rgb="FF92D050"/>
      <rgbColor rgb="FFFFCC00"/>
      <rgbColor rgb="FFFFC000"/>
      <rgbColor rgb="FFFF6600"/>
      <rgbColor rgb="FF666699"/>
      <rgbColor rgb="FF969696"/>
      <rgbColor rgb="FF003366"/>
      <rgbColor rgb="FF339966"/>
      <rgbColor rgb="FF003300"/>
      <rgbColor rgb="FF333300"/>
      <rgbColor rgb="FF993300"/>
      <rgbColor rgb="FF993366"/>
      <rgbColor rgb="FF3333CC"/>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externalLink" Target="/xl/externalLinks/externalLink1.xml" Id="rId9" /><Relationship Type="http://schemas.openxmlformats.org/officeDocument/2006/relationships/externalLink" Target="/xl/externalLinks/externalLink2.xml" Id="rId10" /><Relationship Type="http://schemas.openxmlformats.org/officeDocument/2006/relationships/externalLink" Target="/xl/externalLinks/externalLink3.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dznrxt</author>
    <author>Monika</author>
    <author>Kubica-Chowaniec, Monika</author>
  </authors>
  <commentList>
    <comment ref="D2" authorId="0" shapeId="0">
      <text>
        <t>dznrxt:
Secção Minima</t>
      </text>
    </comment>
    <comment ref="E2" authorId="0" shapeId="0">
      <text>
        <t>dznrxt:
Secção Max</t>
      </text>
    </comment>
    <comment ref="A594" authorId="1" shapeId="0">
      <text>
        <t xml:space="preserve">
If it is validated only for NA region</t>
      </text>
    </comment>
    <comment ref="H675" authorId="2" shapeId="0">
      <text>
        <t>the smallest standard for regular cutter for gages up to 6 mm²</t>
      </text>
    </comment>
    <comment ref="H676" authorId="2" shapeId="0">
      <text>
        <t>the smallest standard for regular heavy gage cutter</t>
      </text>
    </comment>
  </commentList>
</comments>
</file>

<file path=xl/comments/comment2.xml><?xml version="1.0" encoding="utf-8"?>
<comments xmlns="http://schemas.openxmlformats.org/spreadsheetml/2006/main">
  <authors>
    <author>Kubica-Chowaniec, Monika</author>
    <author>dznrxt</author>
    <author>gerardo lopez</author>
    <author>Monika</author>
  </authors>
  <commentList>
    <comment ref="A23" authorId="0" shapeId="0">
      <text>
        <t xml:space="preserve">For NA Region only
</t>
      </text>
    </comment>
    <comment ref="B36" authorId="0" shapeId="0">
      <text>
        <t>make pieces of terostat by hand and weight according to BOM specification</t>
      </text>
    </comment>
    <comment ref="A127" authorId="1" shapeId="0">
      <text>
        <t>dznrxt:
COAXIAL</t>
      </text>
    </comment>
    <comment ref="B149" authorId="0" shapeId="0">
      <text>
        <t xml:space="preserve">EXAMPLE: if we have 3 wires in 0,13 butt splice consider 3 + 1 (3 to represent wires + 1 additional to represent the looping)
</t>
      </text>
    </comment>
    <comment ref="B156" authorId="0" shapeId="0">
      <text>
        <t xml:space="preserve">Mspec approved: M0537401; M0537301; M46310X3; M46310X8; M4666005; M4482005; M5748001; M4983303
</t>
      </text>
    </comment>
    <comment ref="A180" authorId="2" shapeId="0">
      <text>
        <t>gerardo lopez:
VARIAC ON GROUND TERM</t>
      </text>
    </comment>
    <comment ref="A208" authorId="3" shapeId="0">
      <text>
        <t xml:space="preserve">If it is validated for AP region
</t>
      </text>
    </comment>
    <comment ref="A251" authorId="3" shapeId="0">
      <text>
        <t xml:space="preserve">If it is validated only for NA region
</t>
      </text>
    </comment>
  </commentList>
</comments>
</file>

<file path=xl/comments/comment3.xml><?xml version="1.0" encoding="utf-8"?>
<comments xmlns="http://schemas.openxmlformats.org/spreadsheetml/2006/main">
  <authors>
    <author>Kubica-Chowaniec, Monika</author>
    <author>dznrxt</author>
    <author>gerardo lopez</author>
    <author>Monika</author>
  </authors>
  <commentList>
    <comment ref="A23" authorId="0" shapeId="0">
      <text>
        <t xml:space="preserve">For NA Region only
</t>
      </text>
    </comment>
    <comment ref="B36" authorId="0" shapeId="0">
      <text>
        <t>make pieces of terostat by hand and weight according to BOM specification</t>
      </text>
    </comment>
    <comment ref="A127" authorId="1" shapeId="0">
      <text>
        <t>dznrxt:
COAXIAL</t>
      </text>
    </comment>
    <comment ref="B149" authorId="0" shapeId="0">
      <text>
        <t xml:space="preserve">EXAMPLE: if we have 3 wires in 0,13 butt splice consider 3 + 1 (3 to represent wires + 1 additional to represent the looping)
</t>
      </text>
    </comment>
    <comment ref="B156" authorId="0" shapeId="0">
      <text>
        <t xml:space="preserve">Mspec approved: M0537401; M0537301; M46310X3; M46310X8; M4666005; M4482005; M5748001; M4983303
</t>
      </text>
    </comment>
    <comment ref="A180" authorId="2" shapeId="0">
      <text>
        <t>gerardo lopez:
VARIAC ON GROUND TERM</t>
      </text>
    </comment>
    <comment ref="A208" authorId="3" shapeId="0">
      <text>
        <t xml:space="preserve">If it is validated for AP region
</t>
      </text>
    </comment>
    <comment ref="A251" authorId="3" shapeId="0">
      <text>
        <t xml:space="preserve">If it is validated only for NA region
</t>
      </text>
    </comment>
  </commentList>
</comments>
</file>

<file path=xl/comments/comment4.xml><?xml version="1.0" encoding="utf-8"?>
<comments xmlns="http://schemas.openxmlformats.org/spreadsheetml/2006/main">
  <authors>
    <author>Kubica-Chowaniec, Monika</author>
    <author>User</author>
  </authors>
  <commentList>
    <comment ref="I79" authorId="0" shapeId="0">
      <text>
        <t>example: all wires black, all wires white, all wires in the harness black or red; any marking(text or dots made with marker) on the insulation not allowed</t>
      </text>
    </comment>
    <comment ref="I84" authorId="1" shapeId="0">
      <text>
        <t xml:space="preserve">Ex, p/n 15340012, 10889807, 15430680, 12015792, family:HDP20 
</t>
      </text>
    </comment>
    <comment ref="I85" authorId="0" shapeId="0">
      <text>
        <t xml:space="preserve">Terminals in SA &amp; AP region:
PLUG IN TERMINAL WITH TOOL:
15326427; 13599862; 13799667; 13799667; 13799667; 15418893; 13793941; 15395941; 12162232; 13669608; 15380905; 13669608; 15396712; 13733481; 15396711; 15482337; 15327975; 15327976; 10768580; 10768580; 13733481; 15396711; 13802515; 13930354  and in addition all 0.13 gauges for SA Region 
  </t>
      </text>
    </comment>
    <comment ref="A97" authorId="0" shapeId="0">
      <text>
        <t xml:space="preserve">Kubica-Chowaniec, Monika:
for AP Region applicable only </t>
      </text>
    </comment>
  </commentList>
</comments>
</file>

<file path=xl/comments/comment5.xml><?xml version="1.0" encoding="utf-8"?>
<comments xmlns="http://schemas.openxmlformats.org/spreadsheetml/2006/main">
  <authors>
    <author>szjwkh</author>
    <author>Monika</author>
    <author>User</author>
    <author>Windows User</author>
  </authors>
  <commentList>
    <comment ref="G4" authorId="0" shapeId="0">
      <text>
        <t xml:space="preserve">szjwkh:
for Ondal autotaper or similar </t>
      </text>
    </comment>
    <comment ref="D10" authorId="1" shapeId="0">
      <text>
        <t>the operation was splited to 2 steps due to GSD programming
(tape on body clip)</t>
      </text>
    </comment>
    <comment ref="C17" authorId="2" shapeId="0">
      <text>
        <t xml:space="preserve">OVERLAP / SOLID TAPING: 
 TAPE MUST BE APPLIED SNUGLY TO W/A SO IT 
 WILL NOT OPEN WHEN THE W/A IS BENT 
START &amp; STOP OF TAPE MUST BE SECURE AND
 HAVE ONE FULL OVERLAP
EACH SUCCEEDING WRAP OF TAPE MUST OVERLAP
  THE PREVIOUS WRAP 1/3 WRAP MINIMUM.  
FULL TAPING:
EACH SUCCEEDING WRAP OF TAPE MAY TOUCH THE PREVIOUS WRAP
START &amp; STOP OF TAPE MUST BE SECURE
</t>
      </text>
    </comment>
    <comment ref="C31" authorId="3" shapeId="0">
      <text>
        <t>Windows User:
Tape with one adhesive strip at the edges  (right fase up and  left fase down or viceversa ).
M48270  R1 / L1</t>
      </text>
    </comment>
    <comment ref="C32" authorId="3" shapeId="0">
      <text>
        <t xml:space="preserve">Windows User:
Tape with one adhesive strip at the edges  (right fase up and  left fase down or viceversa ).
M48270  R1 / L1
M42060  R1 / L1
 M6484 </t>
      </text>
    </comment>
    <comment ref="C63" authorId="1" shapeId="0">
      <text>
        <t xml:space="preserve">the operation was splited to 2 steps due to GSD programming
</t>
      </text>
    </comment>
    <comment ref="D73" authorId="1" shapeId="0">
      <text>
        <t>Mspec's defined by Regions:
Global: M4881; M0988; M4827; M4206; M1145; M0987;  M5725;  M5748; M0959; M1984; M4476; M4482;  M4661;  M4931;  M6241; M4112; M6484002; M6484
Cut in AP: M1176; M5209; M6489001; M6214005;
Cut in EU (when requested by Customer):  M4631; M1994; M4061; M4660; M4672; M4684; M4831; M4973; M5726; M5917</t>
      </text>
    </comment>
    <comment ref="D74" authorId="1" shapeId="0">
      <text>
        <t>For burrito tape (M6484),
Means width size &gt;35 mm.
So far M6484 and M4827</t>
      </text>
    </comment>
  </commentList>
</comments>
</file>

<file path=xl/comments/comment6.xml><?xml version="1.0" encoding="utf-8"?>
<comments xmlns="http://schemas.openxmlformats.org/spreadsheetml/2006/main">
  <authors>
    <author>Monika</author>
    <author>Kubica-Chowaniec, Monika</author>
    <author>User</author>
  </authors>
  <commentList>
    <comment ref="A22" authorId="0" shapeId="0">
      <text>
        <t>EU &amp; SA Operation, (Gaine Tressee)</t>
      </text>
    </comment>
    <comment ref="A29" authorId="0" shapeId="0">
      <text>
        <t xml:space="preserve">used mainly in EU (for John Deere)
</t>
      </text>
    </comment>
    <comment ref="C56" authorId="1" shapeId="0">
      <text>
        <t xml:space="preserve">make pieces of terostat by hand and weight according to BOM specification
</t>
      </text>
    </comment>
    <comment ref="E76" authorId="2" shapeId="0">
      <text>
        <t xml:space="preserve"> DPNs are not existing for this operation; inactive in the GSD system
</t>
      </text>
    </comment>
    <comment ref="C101" authorId="0" shapeId="0">
      <text>
        <t xml:space="preserve">This operation is validated for NA &amp; AP regions mainly
</t>
      </text>
    </comment>
  </commentList>
</comments>
</file>

<file path=xl/externalLinks/_rels/externalLink1.xml.rels><Relationships xmlns="http://schemas.openxmlformats.org/package/2006/relationships"><Relationship Type="http://schemas.openxmlformats.org/officeDocument/2006/relationships/externalLinkPath" Target="../../../../gz6hjp/Documents/Macro%20TTR-GCSD/SaveFiles/LJC/3.TR7_20/DB%20TTR&amp;GCSD%20LJC%20H4M%20DK0%20TR7_20.xlsx" TargetMode="External" Id="rId1" /></Relationships>
</file>

<file path=xl/externalLinks/_rels/externalLink2.xml.rels><Relationships xmlns="http://schemas.openxmlformats.org/package/2006/relationships"><Relationship Type="http://schemas.openxmlformats.org/officeDocument/2006/relationships/externalLinkPath" Target="../../../../nz2qnk/Documents/Macro%20TTR-GCSD/DB%20GCSD%20Empty%2020190622.xlsx" TargetMode="External" Id="rId1" /></Relationships>
</file>

<file path=xl/externalLinks/_rels/externalLink3.xml.rels><Relationships xmlns="http://schemas.openxmlformats.org/package/2006/relationships"><Relationship Type="http://schemas.openxmlformats.org/officeDocument/2006/relationships/externalLinkPath" Target="file:///D:/SOS%20Isuzu/Formularze/!!!!!%20Tabela%20sekwencji%20operacji%20(WCT)-20.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PN AD"/>
      <sheetName val="Double&amp;Segments"/>
      <sheetName val="Wire List"/>
      <sheetName val="BOM"/>
      <sheetName val="details_sum"/>
      <sheetName val="details"/>
      <sheetName val="check"/>
      <sheetName val="data"/>
      <sheetName val="summary"/>
      <sheetName val="summary&amp;CN"/>
      <sheetName val="compar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ouble&amp;Segments"/>
      <sheetName val="Wire List"/>
      <sheetName val="BOM"/>
      <sheetName val="data"/>
      <sheetName val="summary"/>
      <sheetName val="summary&amp;CN"/>
      <sheetName val="Sheet1"/>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Work Combination Table"/>
      <sheetName val="Przykład"/>
      <sheetName val="Incr Inv Tool"/>
      <sheetName val="Life Cycle Cost (0)"/>
      <sheetName val="2003 Monthly BBP by B.T."/>
      <sheetName val="WSD CATALOGUE"/>
      <sheetName val="Setting"/>
      <sheetName val="Limited"/>
      <sheetName val="comment"/>
      <sheetName val="Work_Combination_Table"/>
      <sheetName val="Incr_Inv_Tool"/>
      <sheetName val="Life_Cycle_Cost_(0)"/>
      <sheetName val="2003_Monthly_BBP_by_B_T_"/>
      <sheetName val="WSD_CATALOGUE"/>
      <sheetName val="Work_Combination_Table2"/>
      <sheetName val="Incr_Inv_Tool2"/>
      <sheetName val="Life_Cycle_Cost_(0)2"/>
      <sheetName val="2003_Monthly_BBP_by_B_T_2"/>
      <sheetName val="WSD_CATALOGUE2"/>
      <sheetName val="Work_Combination_Table1"/>
      <sheetName val="Incr_Inv_Tool1"/>
      <sheetName val="Life_Cycle_Cost_(0)1"/>
      <sheetName val="2003_Monthly_BBP_by_B_T_1"/>
      <sheetName val="WSD_CATALOGUE1"/>
      <sheetName val="Work_Combination_Table16"/>
      <sheetName val="Incr_Inv_Tool16"/>
      <sheetName val="Life_Cycle_Cost_(0)16"/>
      <sheetName val="2003_Monthly_BBP_by_B_T_16"/>
      <sheetName val="WSD_CATALOGUE16"/>
      <sheetName val="Work_Combination_Table3"/>
      <sheetName val="Incr_Inv_Tool3"/>
      <sheetName val="Life_Cycle_Cost_(0)3"/>
      <sheetName val="2003_Monthly_BBP_by_B_T_3"/>
      <sheetName val="WSD_CATALOGUE3"/>
      <sheetName val="Work_Combination_Table4"/>
      <sheetName val="Incr_Inv_Tool4"/>
      <sheetName val="Life_Cycle_Cost_(0)4"/>
      <sheetName val="2003_Monthly_BBP_by_B_T_4"/>
      <sheetName val="WSD_CATALOGUE4"/>
      <sheetName val="Work_Combination_Table5"/>
      <sheetName val="Incr_Inv_Tool5"/>
      <sheetName val="Life_Cycle_Cost_(0)5"/>
      <sheetName val="2003_Monthly_BBP_by_B_T_5"/>
      <sheetName val="WSD_CATALOGUE5"/>
      <sheetName val="Work_Combination_Table6"/>
      <sheetName val="Incr_Inv_Tool6"/>
      <sheetName val="Life_Cycle_Cost_(0)6"/>
      <sheetName val="2003_Monthly_BBP_by_B_T_6"/>
      <sheetName val="WSD_CATALOGUE6"/>
      <sheetName val="Work_Combination_Table7"/>
      <sheetName val="Incr_Inv_Tool7"/>
      <sheetName val="Life_Cycle_Cost_(0)7"/>
      <sheetName val="2003_Monthly_BBP_by_B_T_7"/>
      <sheetName val="WSD_CATALOGUE7"/>
      <sheetName val="Work_Combination_Table8"/>
      <sheetName val="Incr_Inv_Tool8"/>
      <sheetName val="Life_Cycle_Cost_(0)8"/>
      <sheetName val="2003_Monthly_BBP_by_B_T_8"/>
      <sheetName val="WSD_CATALOGUE8"/>
      <sheetName val="Work_Combination_Table9"/>
      <sheetName val="Incr_Inv_Tool9"/>
      <sheetName val="Life_Cycle_Cost_(0)9"/>
      <sheetName val="2003_Monthly_BBP_by_B_T_9"/>
      <sheetName val="WSD_CATALOGUE9"/>
      <sheetName val="Work_Combination_Table11"/>
      <sheetName val="Incr_Inv_Tool11"/>
      <sheetName val="Life_Cycle_Cost_(0)11"/>
      <sheetName val="2003_Monthly_BBP_by_B_T_11"/>
      <sheetName val="WSD_CATALOGUE11"/>
      <sheetName val="Work_Combination_Table10"/>
      <sheetName val="Incr_Inv_Tool10"/>
      <sheetName val="Life_Cycle_Cost_(0)10"/>
      <sheetName val="2003_Monthly_BBP_by_B_T_10"/>
      <sheetName val="WSD_CATALOGUE10"/>
      <sheetName val="Work_Combination_Table12"/>
      <sheetName val="Incr_Inv_Tool12"/>
      <sheetName val="Life_Cycle_Cost_(0)12"/>
      <sheetName val="2003_Monthly_BBP_by_B_T_12"/>
      <sheetName val="WSD_CATALOGUE12"/>
      <sheetName val="Work_Combination_Table13"/>
      <sheetName val="Incr_Inv_Tool13"/>
      <sheetName val="Life_Cycle_Cost_(0)13"/>
      <sheetName val="2003_Monthly_BBP_by_B_T_13"/>
      <sheetName val="WSD_CATALOGUE13"/>
      <sheetName val="Work_Combination_Table14"/>
      <sheetName val="Incr_Inv_Tool14"/>
      <sheetName val="Life_Cycle_Cost_(0)14"/>
      <sheetName val="2003_Monthly_BBP_by_B_T_14"/>
      <sheetName val="WSD_CATALOGUE14"/>
      <sheetName val="Work_Combination_Table15"/>
      <sheetName val="Incr_Inv_Tool15"/>
      <sheetName val="Life_Cycle_Cost_(0)15"/>
      <sheetName val="2003_Monthly_BBP_by_B_T_15"/>
      <sheetName val="WSD_CATALOGUE15"/>
      <sheetName val="Lists"/>
      <sheetName val="Work_Combination_Table17"/>
      <sheetName val="Incr_Inv_Tool17"/>
      <sheetName val="Life_Cycle_Cost_(0)17"/>
      <sheetName val="2003_Monthly_BBP_by_B_T_17"/>
      <sheetName val="WSD_CATALOGUE17"/>
      <sheetName val="Work_Combination_Table18"/>
      <sheetName val="Incr_Inv_Tool18"/>
      <sheetName val="Life_Cycle_Cost_(0)18"/>
      <sheetName val="2003_Monthly_BBP_by_B_T_18"/>
      <sheetName val="WSD_CATALOGUE18"/>
      <sheetName val="Work_Combination_Table19"/>
      <sheetName val="Incr_Inv_Tool19"/>
      <sheetName val="Life_Cycle_Cost_(0)19"/>
      <sheetName val="2003_Monthly_BBP_by_B_T_19"/>
      <sheetName val="WSD_CATALOGUE19"/>
      <sheetName val="Work_Combination_Table20"/>
      <sheetName val="Incr_Inv_Tool20"/>
      <sheetName val="Life_Cycle_Cost_(0)20"/>
      <sheetName val="2003_Monthly_BBP_by_B_T_20"/>
      <sheetName val="WSD_CATALOGUE20"/>
      <sheetName val="Work_Combination_Table21"/>
      <sheetName val="Incr_Inv_Tool21"/>
      <sheetName val="Life_Cycle_Cost_(0)21"/>
      <sheetName val="2003_Monthly_BBP_by_B_T_21"/>
      <sheetName val="WSD_CATALOGUE21"/>
      <sheetName val="Work_Combination_Table22"/>
      <sheetName val="Incr_Inv_Tool22"/>
      <sheetName val="Life_Cycle_Cost_(0)22"/>
      <sheetName val="2003_Monthly_BBP_by_B_T_22"/>
      <sheetName val="WSD_CATALOGUE22"/>
      <sheetName val="Work_Combination_Table23"/>
      <sheetName val="Incr_Inv_Tool23"/>
      <sheetName val="Life_Cycle_Cost_(0)23"/>
      <sheetName val="2003_Monthly_BBP_by_B_T_23"/>
      <sheetName val="WSD_CATALOGUE23"/>
      <sheetName val="Work_Combination_Table24"/>
      <sheetName val="Incr_Inv_Tool24"/>
      <sheetName val="Life_Cycle_Cost_(0)24"/>
      <sheetName val="2003_Monthly_BBP_by_B_T_24"/>
      <sheetName val="WSD_CATALOGUE24"/>
      <sheetName val="Work_Combination_Table25"/>
      <sheetName val="Incr_Inv_Tool25"/>
      <sheetName val="Life_Cycle_Cost_(0)25"/>
      <sheetName val="2003_Monthly_BBP_by_B_T_25"/>
      <sheetName val="WSD_CATALOGUE25"/>
      <sheetName val="Work_Combination_Table26"/>
      <sheetName val="Incr_Inv_Tool26"/>
      <sheetName val="Life_Cycle_Cost_(0)26"/>
      <sheetName val="2003_Monthly_BBP_by_B_T_26"/>
      <sheetName val="WSD_CATALOGUE26"/>
      <sheetName val="Work_Combination_Table27"/>
      <sheetName val="Incr_Inv_Tool27"/>
      <sheetName val="Life_Cycle_Cost_(0)27"/>
      <sheetName val="2003_Monthly_BBP_by_B_T_27"/>
      <sheetName val="WSD_CATALOGUE27"/>
      <sheetName val="Work_Combination_Table28"/>
      <sheetName val="Incr_Inv_Tool28"/>
      <sheetName val="Life_Cycle_Cost_(0)28"/>
      <sheetName val="2003_Monthly_BBP_by_B_T_28"/>
      <sheetName val="WSD_CATALOGUE28"/>
      <sheetName val="Work_Combination_Table30"/>
      <sheetName val="Incr_Inv_Tool30"/>
      <sheetName val="Life_Cycle_Cost_(0)30"/>
      <sheetName val="2003_Monthly_BBP_by_B_T_30"/>
      <sheetName val="WSD_CATALOGUE30"/>
      <sheetName val="Work_Combination_Table29"/>
      <sheetName val="Incr_Inv_Tool29"/>
      <sheetName val="Life_Cycle_Cost_(0)29"/>
      <sheetName val="2003_Monthly_BBP_by_B_T_29"/>
      <sheetName val="WSD_CATALOGUE29"/>
      <sheetName val="Work_Combination_Table31"/>
      <sheetName val="Incr_Inv_Tool31"/>
      <sheetName val="Life_Cycle_Cost_(0)31"/>
      <sheetName val="2003_Monthly_BBP_by_B_T_31"/>
      <sheetName val="WSD_CATALOGUE31"/>
      <sheetName val="Work_Combination_Table39"/>
      <sheetName val="Incr_Inv_Tool39"/>
      <sheetName val="Life_Cycle_Cost_(0)39"/>
      <sheetName val="2003_Monthly_BBP_by_B_T_39"/>
      <sheetName val="WSD_CATALOGUE39"/>
      <sheetName val="Work_Combination_Table37"/>
      <sheetName val="Incr_Inv_Tool37"/>
      <sheetName val="Life_Cycle_Cost_(0)37"/>
      <sheetName val="2003_Monthly_BBP_by_B_T_37"/>
      <sheetName val="WSD_CATALOGUE37"/>
      <sheetName val="Work_Combination_Table32"/>
      <sheetName val="Incr_Inv_Tool32"/>
      <sheetName val="Life_Cycle_Cost_(0)32"/>
      <sheetName val="2003_Monthly_BBP_by_B_T_32"/>
      <sheetName val="WSD_CATALOGUE32"/>
      <sheetName val="Work_Combination_Table33"/>
      <sheetName val="Incr_Inv_Tool33"/>
      <sheetName val="Life_Cycle_Cost_(0)33"/>
      <sheetName val="2003_Monthly_BBP_by_B_T_33"/>
      <sheetName val="WSD_CATALOGUE33"/>
      <sheetName val="Work_Combination_Table34"/>
      <sheetName val="Incr_Inv_Tool34"/>
      <sheetName val="Life_Cycle_Cost_(0)34"/>
      <sheetName val="2003_Monthly_BBP_by_B_T_34"/>
      <sheetName val="WSD_CATALOGUE34"/>
      <sheetName val="Work_Combination_Table35"/>
      <sheetName val="Incr_Inv_Tool35"/>
      <sheetName val="Life_Cycle_Cost_(0)35"/>
      <sheetName val="2003_Monthly_BBP_by_B_T_35"/>
      <sheetName val="WSD_CATALOGUE35"/>
      <sheetName val="Work_Combination_Table36"/>
      <sheetName val="Incr_Inv_Tool36"/>
      <sheetName val="Life_Cycle_Cost_(0)36"/>
      <sheetName val="2003_Monthly_BBP_by_B_T_36"/>
      <sheetName val="WSD_CATALOGUE36"/>
      <sheetName val="Work_Combination_Table38"/>
      <sheetName val="Incr_Inv_Tool38"/>
      <sheetName val="Life_Cycle_Cost_(0)38"/>
      <sheetName val="2003_Monthly_BBP_by_B_T_38"/>
      <sheetName val="WSD_CATALOGUE38"/>
      <sheetName val="Work_Combination_Table56"/>
      <sheetName val="Incr_Inv_Tool56"/>
      <sheetName val="Life_Cycle_Cost_(0)56"/>
      <sheetName val="2003_Monthly_BBP_by_B_T_56"/>
      <sheetName val="WSD_CATALOGUE56"/>
      <sheetName val="Work_Combination_Table40"/>
      <sheetName val="Incr_Inv_Tool40"/>
      <sheetName val="Life_Cycle_Cost_(0)40"/>
      <sheetName val="2003_Monthly_BBP_by_B_T_40"/>
      <sheetName val="WSD_CATALOGUE40"/>
      <sheetName val="Work_Combination_Table41"/>
      <sheetName val="Incr_Inv_Tool41"/>
      <sheetName val="Life_Cycle_Cost_(0)41"/>
      <sheetName val="2003_Monthly_BBP_by_B_T_41"/>
      <sheetName val="WSD_CATALOGUE41"/>
      <sheetName val="Work_Combination_Table42"/>
      <sheetName val="Incr_Inv_Tool42"/>
      <sheetName val="Life_Cycle_Cost_(0)42"/>
      <sheetName val="2003_Monthly_BBP_by_B_T_42"/>
      <sheetName val="WSD_CATALOGUE42"/>
      <sheetName val="Work_Combination_Table44"/>
      <sheetName val="Incr_Inv_Tool44"/>
      <sheetName val="Life_Cycle_Cost_(0)44"/>
      <sheetName val="2003_Monthly_BBP_by_B_T_44"/>
      <sheetName val="WSD_CATALOGUE44"/>
      <sheetName val="Work_Combination_Table43"/>
      <sheetName val="Incr_Inv_Tool43"/>
      <sheetName val="Life_Cycle_Cost_(0)43"/>
      <sheetName val="2003_Monthly_BBP_by_B_T_43"/>
      <sheetName val="WSD_CATALOGUE43"/>
      <sheetName val="Work_Combination_Table45"/>
      <sheetName val="Incr_Inv_Tool45"/>
      <sheetName val="Life_Cycle_Cost_(0)45"/>
      <sheetName val="2003_Monthly_BBP_by_B_T_45"/>
      <sheetName val="WSD_CATALOGUE45"/>
      <sheetName val="Work_Combination_Table46"/>
      <sheetName val="Incr_Inv_Tool46"/>
      <sheetName val="Life_Cycle_Cost_(0)46"/>
      <sheetName val="2003_Monthly_BBP_by_B_T_46"/>
      <sheetName val="WSD_CATALOGUE46"/>
      <sheetName val="Work_Combination_Table47"/>
      <sheetName val="Incr_Inv_Tool47"/>
      <sheetName val="Life_Cycle_Cost_(0)47"/>
      <sheetName val="2003_Monthly_BBP_by_B_T_47"/>
      <sheetName val="WSD_CATALOGUE47"/>
      <sheetName val="Work_Combination_Table48"/>
      <sheetName val="Incr_Inv_Tool48"/>
      <sheetName val="Life_Cycle_Cost_(0)48"/>
      <sheetName val="2003_Monthly_BBP_by_B_T_48"/>
      <sheetName val="WSD_CATALOGUE48"/>
      <sheetName val="Work_Combination_Table49"/>
      <sheetName val="Incr_Inv_Tool49"/>
      <sheetName val="Life_Cycle_Cost_(0)49"/>
      <sheetName val="2003_Monthly_BBP_by_B_T_49"/>
      <sheetName val="WSD_CATALOGUE49"/>
      <sheetName val="Work_Combination_Table50"/>
      <sheetName val="Incr_Inv_Tool50"/>
      <sheetName val="Life_Cycle_Cost_(0)50"/>
      <sheetName val="2003_Monthly_BBP_by_B_T_50"/>
      <sheetName val="WSD_CATALOGUE50"/>
      <sheetName val="Work_Combination_Table51"/>
      <sheetName val="Incr_Inv_Tool51"/>
      <sheetName val="Life_Cycle_Cost_(0)51"/>
      <sheetName val="2003_Monthly_BBP_by_B_T_51"/>
      <sheetName val="WSD_CATALOGUE51"/>
      <sheetName val="Work_Combination_Table52"/>
      <sheetName val="Incr_Inv_Tool52"/>
      <sheetName val="Life_Cycle_Cost_(0)52"/>
      <sheetName val="2003_Monthly_BBP_by_B_T_52"/>
      <sheetName val="WSD_CATALOGUE52"/>
      <sheetName val="Work_Combination_Table53"/>
      <sheetName val="Incr_Inv_Tool53"/>
      <sheetName val="Life_Cycle_Cost_(0)53"/>
      <sheetName val="2003_Monthly_BBP_by_B_T_53"/>
      <sheetName val="WSD_CATALOGUE53"/>
      <sheetName val="Work_Combination_Table54"/>
      <sheetName val="Incr_Inv_Tool54"/>
      <sheetName val="Life_Cycle_Cost_(0)54"/>
      <sheetName val="2003_Monthly_BBP_by_B_T_54"/>
      <sheetName val="WSD_CATALOGUE54"/>
      <sheetName val="Work_Combination_Table55"/>
      <sheetName val="Incr_Inv_Tool55"/>
      <sheetName val="Life_Cycle_Cost_(0)55"/>
      <sheetName val="2003_Monthly_BBP_by_B_T_55"/>
      <sheetName val="WSD_CATALOGUE55"/>
      <sheetName val="Work_Combination_Table58"/>
      <sheetName val="Incr_Inv_Tool58"/>
      <sheetName val="Life_Cycle_Cost_(0)58"/>
      <sheetName val="2003_Monthly_BBP_by_B_T_58"/>
      <sheetName val="WSD_CATALOGUE58"/>
      <sheetName val="Work_Combination_Table57"/>
      <sheetName val="Incr_Inv_Tool57"/>
      <sheetName val="Life_Cycle_Cost_(0)57"/>
      <sheetName val="2003_Monthly_BBP_by_B_T_57"/>
      <sheetName val="WSD_CATALOGUE57"/>
      <sheetName val="Work_Combination_Table59"/>
      <sheetName val="Incr_Inv_Tool59"/>
      <sheetName val="Life_Cycle_Cost_(0)59"/>
      <sheetName val="2003_Monthly_BBP_by_B_T_59"/>
      <sheetName val="WSD_CATALOGUE59"/>
      <sheetName val="Work_Combination_Table60"/>
      <sheetName val="Incr_Inv_Tool60"/>
      <sheetName val="Life_Cycle_Cost_(0)60"/>
      <sheetName val="2003_Monthly_BBP_by_B_T_60"/>
      <sheetName val="WSD_CATALOGUE60"/>
      <sheetName val="Work_Combination_Table69"/>
      <sheetName val="Incr_Inv_Tool69"/>
      <sheetName val="Life_Cycle_Cost_(0)69"/>
      <sheetName val="2003_Monthly_BBP_by_B_T_69"/>
      <sheetName val="WSD_CATALOGUE69"/>
      <sheetName val="Work_Combination_Table67"/>
      <sheetName val="Incr_Inv_Tool67"/>
      <sheetName val="Life_Cycle_Cost_(0)67"/>
      <sheetName val="2003_Monthly_BBP_by_B_T_67"/>
      <sheetName val="WSD_CATALOGUE67"/>
      <sheetName val="Work_Combination_Table63"/>
      <sheetName val="Incr_Inv_Tool63"/>
      <sheetName val="Life_Cycle_Cost_(0)63"/>
      <sheetName val="2003_Monthly_BBP_by_B_T_63"/>
      <sheetName val="WSD_CATALOGUE63"/>
      <sheetName val="Work_Combination_Table61"/>
      <sheetName val="Incr_Inv_Tool61"/>
      <sheetName val="Life_Cycle_Cost_(0)61"/>
      <sheetName val="2003_Monthly_BBP_by_B_T_61"/>
      <sheetName val="WSD_CATALOGUE61"/>
      <sheetName val="Work_Combination_Table62"/>
      <sheetName val="Incr_Inv_Tool62"/>
      <sheetName val="Life_Cycle_Cost_(0)62"/>
      <sheetName val="2003_Monthly_BBP_by_B_T_62"/>
      <sheetName val="WSD_CATALOGUE62"/>
      <sheetName val="Work_Combination_Table64"/>
      <sheetName val="Incr_Inv_Tool64"/>
      <sheetName val="Life_Cycle_Cost_(0)64"/>
      <sheetName val="2003_Monthly_BBP_by_B_T_64"/>
      <sheetName val="WSD_CATALOGUE64"/>
      <sheetName val="Work_Combination_Table65"/>
      <sheetName val="Incr_Inv_Tool65"/>
      <sheetName val="Life_Cycle_Cost_(0)65"/>
      <sheetName val="2003_Monthly_BBP_by_B_T_65"/>
      <sheetName val="WSD_CATALOGUE65"/>
      <sheetName val="Work_Combination_Table66"/>
      <sheetName val="Incr_Inv_Tool66"/>
      <sheetName val="Life_Cycle_Cost_(0)66"/>
      <sheetName val="2003_Monthly_BBP_by_B_T_66"/>
      <sheetName val="WSD_CATALOGUE6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Set>
  </externalBook>
</externalLink>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filterMode="0">
    <outlinePr summaryBelow="1" summaryRight="1"/>
    <pageSetUpPr fitToPage="1"/>
  </sheetPr>
  <dimension ref="B1:N27"/>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H9" activeCellId="0" sqref="H9"/>
    </sheetView>
  </sheetViews>
  <sheetFormatPr baseColWidth="8" defaultColWidth="9.3359375" defaultRowHeight="12.75" customHeight="0" zeroHeight="0" outlineLevelRow="0"/>
  <cols>
    <col width="9.33" customWidth="1" style="1132" min="1" max="1"/>
    <col width="31.33" customWidth="1" style="1132" min="2" max="2"/>
    <col width="21.67" customWidth="1" style="1132" min="3" max="3"/>
    <col width="18.67" customWidth="1" style="1133" min="4" max="4"/>
    <col width="13.67" customWidth="1" style="1132" min="5" max="5"/>
    <col width="11.33" customWidth="1" style="1132" min="6" max="6"/>
    <col width="9.33" customWidth="1" style="1132" min="7" max="9"/>
    <col width="29.66" customWidth="1" style="1132" min="10" max="10"/>
    <col width="18" customWidth="1" style="1132" min="11" max="14"/>
    <col width="9.33" customWidth="1" style="1132" min="15" max="16384"/>
  </cols>
  <sheetData>
    <row r="1" ht="29.15" customHeight="1" s="1134">
      <c r="B1" s="1135" t="inlineStr">
        <is>
          <t>SUMMARY</t>
        </is>
      </c>
    </row>
    <row r="3" ht="30.75" customHeight="1" s="1134">
      <c r="B3" s="1136" t="inlineStr">
        <is>
          <t>PART NUMBER</t>
        </is>
      </c>
      <c r="C3" s="1137" t="inlineStr">
        <is>
          <t>GCSD</t>
        </is>
      </c>
      <c r="D3" s="1138" t="inlineStr">
        <is>
          <t>ADJ.</t>
        </is>
      </c>
      <c r="E3" s="1139" t="inlineStr">
        <is>
          <t xml:space="preserve">PLANT STANDARD </t>
        </is>
      </c>
      <c r="F3" s="1140" t="n"/>
    </row>
    <row r="4" ht="18" customHeight="1" s="1134">
      <c r="B4" s="1141" t="inlineStr">
        <is>
          <t xml:space="preserve">TOTAL TIME  </t>
        </is>
      </c>
      <c r="C4" s="1142" t="inlineStr">
        <is>
          <t>(min)</t>
        </is>
      </c>
      <c r="D4" s="1143" t="inlineStr">
        <is>
          <t>%</t>
        </is>
      </c>
      <c r="E4" s="1144" t="inlineStr">
        <is>
          <t>(min)</t>
        </is>
      </c>
      <c r="F4" s="1140" t="n"/>
    </row>
    <row r="5" ht="18" customHeight="1" s="1134">
      <c r="B5" s="1145" t="inlineStr">
        <is>
          <t>PER HARNESS</t>
        </is>
      </c>
      <c r="C5" s="1146" t="n"/>
      <c r="D5" s="1147" t="n"/>
      <c r="E5" s="1146" t="n"/>
      <c r="F5" s="1148" t="n"/>
      <c r="M5" s="1149" t="n"/>
      <c r="N5" s="1150" t="n"/>
    </row>
    <row r="6" ht="16.5" customHeight="1" s="1134">
      <c r="B6" s="1151" t="inlineStr">
        <is>
          <t xml:space="preserve">CUTTING </t>
        </is>
      </c>
      <c r="C6" s="1152">
        <f>(CUTTING!J685)/60</f>
        <v/>
      </c>
      <c r="D6" s="1153" t="n">
        <v>1.443</v>
      </c>
      <c r="E6" s="1154">
        <f>C6*D6</f>
        <v/>
      </c>
      <c r="F6" s="1155" t="n"/>
      <c r="M6" s="1149" t="inlineStr">
        <is>
          <t xml:space="preserve">Wires number : </t>
        </is>
      </c>
      <c r="N6" s="1156" t="n"/>
    </row>
    <row r="7" ht="16.5" customHeight="1" s="1134">
      <c r="B7" s="1157" t="inlineStr">
        <is>
          <t>EU wire marking penalty</t>
        </is>
      </c>
      <c r="C7" s="1152">
        <f>(CUTTING!L685-CUTTING!J685)/60</f>
        <v/>
      </c>
      <c r="D7" s="1153" t="n">
        <v>1.443</v>
      </c>
      <c r="E7" s="1154">
        <f>C7*D7</f>
        <v/>
      </c>
      <c r="F7" s="1155" t="n"/>
      <c r="M7" s="1149" t="inlineStr">
        <is>
          <t>Cutting</t>
        </is>
      </c>
      <c r="N7" s="1158">
        <f>ROUND(M19+M20+M21,3)</f>
        <v/>
      </c>
    </row>
    <row r="8" ht="16.5" customHeight="1" s="1134">
      <c r="B8" s="1159" t="inlineStr">
        <is>
          <t>TUBE CUTTING</t>
        </is>
      </c>
      <c r="C8" s="1160">
        <f>(CUTTING!L687)/60</f>
        <v/>
      </c>
      <c r="D8" s="1161" t="n">
        <v>1.443</v>
      </c>
      <c r="E8" s="1162">
        <f>C8*D8</f>
        <v/>
      </c>
      <c r="F8" s="1163" t="n"/>
      <c r="M8" s="1149" t="inlineStr">
        <is>
          <t>Lead Prep</t>
        </is>
      </c>
      <c r="N8" s="1164">
        <f>ROUND(M22,3)</f>
        <v/>
      </c>
    </row>
    <row r="9" ht="16.5" customHeight="1" s="1134">
      <c r="B9" s="1159" t="inlineStr">
        <is>
          <t>EU- LEAD - PREP</t>
        </is>
      </c>
      <c r="C9" s="1165">
        <f>(('LEAD PREP'!K347)/60)+(CUTTING!L689/60)</f>
        <v/>
      </c>
      <c r="D9" s="1166" t="n">
        <v>1.138</v>
      </c>
      <c r="E9" s="1167">
        <f>C9*D9</f>
        <v/>
      </c>
      <c r="F9" s="1168" t="n"/>
      <c r="M9" s="1149" t="inlineStr">
        <is>
          <t>R2* Lead Prep</t>
        </is>
      </c>
      <c r="N9" s="1164">
        <f>ROUND(M23,3)</f>
        <v/>
      </c>
    </row>
    <row r="10" ht="16.5" customHeight="1" s="1134">
      <c r="B10" s="1169" t="inlineStr">
        <is>
          <t>FINAL ASSEMBLY</t>
        </is>
      </c>
      <c r="C10" s="1170">
        <f>(('FA Conns and wires'!T112+'FA Taping'!J81+'FA Miscellaneos'!K141)/60+('LEAD PREP'!K349+'LEAD PREP FA'!K340)/60)</f>
        <v/>
      </c>
      <c r="D10" s="1166" t="n">
        <v>1.078</v>
      </c>
      <c r="E10" s="1171">
        <f>C10*D10</f>
        <v/>
      </c>
      <c r="F10" s="1168" t="n"/>
      <c r="M10" s="1149" t="inlineStr">
        <is>
          <t>Assembly</t>
        </is>
      </c>
      <c r="N10" s="1164">
        <f>ROUND(M24+M25+M26,3)</f>
        <v/>
      </c>
    </row>
    <row r="11" ht="16.5" customHeight="1" s="1134">
      <c r="B11" s="1169" t="inlineStr">
        <is>
          <t>FA TEST</t>
        </is>
      </c>
      <c r="C11" s="1170">
        <f>('FA Miscellaneos'!K142)/60</f>
        <v/>
      </c>
      <c r="D11" s="1166" t="n">
        <v>1.078</v>
      </c>
      <c r="E11" s="1172">
        <f>C11*D11</f>
        <v/>
      </c>
      <c r="F11" s="1173" t="n"/>
      <c r="M11" s="1174" t="inlineStr">
        <is>
          <t>TOTAL</t>
        </is>
      </c>
      <c r="N11" s="1175">
        <f>ROUND(N10+N8+N7+N9,3)</f>
        <v/>
      </c>
    </row>
    <row r="12" ht="16.5" customHeight="1" s="1134">
      <c r="B12" s="1169" t="inlineStr">
        <is>
          <t>FINAL ASSEMBLY PACKING</t>
        </is>
      </c>
      <c r="C12" s="1176">
        <f>(('FA Taping'!J82)+('FA Miscellaneos'!K143))/60</f>
        <v/>
      </c>
      <c r="D12" s="1166" t="n">
        <v>1.078</v>
      </c>
      <c r="E12" s="1177">
        <f>C12*D12</f>
        <v/>
      </c>
      <c r="F12" s="1178" t="n"/>
    </row>
    <row r="13" ht="27" customHeight="1" s="1134">
      <c r="B13" s="1179" t="inlineStr">
        <is>
          <t>TOTAL</t>
        </is>
      </c>
      <c r="C13" s="1180">
        <f>SUM(C6:C12)</f>
        <v/>
      </c>
      <c r="D13" s="1181" t="n"/>
      <c r="E13" s="1182">
        <f>SUM(E6:E12)</f>
        <v/>
      </c>
      <c r="F13" s="1183" t="n"/>
    </row>
    <row r="14" ht="52.5" customHeight="1" s="1134">
      <c r="J14" s="1184" t="inlineStr">
        <is>
          <t>TOTAL SUMMARY + ANTENNA + OPTICAL FIBER + IGNITION CABLE + HIGH VOLTAGE</t>
        </is>
      </c>
      <c r="K14" s="1185" t="n"/>
      <c r="L14" s="1185" t="n"/>
      <c r="M14" s="1185" t="n"/>
      <c r="N14" s="1186" t="n"/>
    </row>
    <row r="15" ht="19.7" customHeight="1" s="1134">
      <c r="B15" s="1187" t="inlineStr">
        <is>
          <t xml:space="preserve">HIGH VOLTAGE </t>
        </is>
      </c>
    </row>
    <row r="16" ht="30.75" customHeight="1" s="1134">
      <c r="B16" s="1136" t="inlineStr">
        <is>
          <t>PART NUMBER</t>
        </is>
      </c>
      <c r="C16" s="1137" t="inlineStr">
        <is>
          <t>GCSD</t>
        </is>
      </c>
      <c r="D16" s="1138" t="inlineStr">
        <is>
          <t>ADJ.</t>
        </is>
      </c>
      <c r="E16" s="1139" t="inlineStr">
        <is>
          <t xml:space="preserve">PLANT STANDARD </t>
        </is>
      </c>
      <c r="F16" s="1140" t="n"/>
      <c r="J16" s="1188" t="inlineStr">
        <is>
          <t>PART NUMBER</t>
        </is>
      </c>
      <c r="K16" s="1189" t="inlineStr">
        <is>
          <t>GCSD</t>
        </is>
      </c>
      <c r="L16" s="1190" t="inlineStr">
        <is>
          <t>ADJ.</t>
        </is>
      </c>
      <c r="M16" s="1191" t="inlineStr">
        <is>
          <t xml:space="preserve">PLANT STANDARD </t>
        </is>
      </c>
      <c r="N16" s="1140" t="n"/>
    </row>
    <row r="17" ht="18" customHeight="1" s="1134">
      <c r="B17" s="1192" t="inlineStr">
        <is>
          <t xml:space="preserve">TOTAL TIME  </t>
        </is>
      </c>
      <c r="C17" s="1193" t="inlineStr">
        <is>
          <t>(min)</t>
        </is>
      </c>
      <c r="D17" s="1194" t="inlineStr">
        <is>
          <t>%</t>
        </is>
      </c>
      <c r="E17" s="1195" t="inlineStr">
        <is>
          <t>(min)</t>
        </is>
      </c>
      <c r="F17" s="1140" t="n"/>
      <c r="J17" s="1141" t="inlineStr">
        <is>
          <t xml:space="preserve">TOTAL TIME  </t>
        </is>
      </c>
      <c r="K17" s="1142" t="inlineStr">
        <is>
          <t>(min)</t>
        </is>
      </c>
      <c r="L17" s="1143" t="inlineStr">
        <is>
          <t>%</t>
        </is>
      </c>
      <c r="M17" s="1144" t="inlineStr">
        <is>
          <t>(min)</t>
        </is>
      </c>
      <c r="N17" s="1140" t="n"/>
    </row>
    <row r="18" ht="18" customHeight="1" s="1134">
      <c r="B18" s="1196" t="inlineStr">
        <is>
          <t>PER HARNESS</t>
        </is>
      </c>
      <c r="C18" s="1197" t="n"/>
      <c r="D18" s="1198" t="n"/>
      <c r="E18" s="1197" t="n"/>
      <c r="F18" s="1199" t="n"/>
      <c r="J18" s="1145" t="inlineStr">
        <is>
          <t>PER HARNESS</t>
        </is>
      </c>
      <c r="K18" s="1146" t="n"/>
      <c r="L18" s="1147" t="n"/>
      <c r="M18" s="1146" t="n"/>
      <c r="N18" s="1148" t="n"/>
    </row>
    <row r="19" ht="16.5" customHeight="1" s="1134">
      <c r="B19" s="1200" t="inlineStr">
        <is>
          <t xml:space="preserve">CUTTING </t>
        </is>
      </c>
      <c r="C19" s="1152">
        <f>(CUTTING!J685)/60</f>
        <v/>
      </c>
      <c r="D19" s="1153" t="n">
        <v>1.443</v>
      </c>
      <c r="E19" s="1154">
        <f>C19*D19</f>
        <v/>
      </c>
      <c r="F19" s="1155" t="n"/>
      <c r="J19" s="1201" t="inlineStr">
        <is>
          <t xml:space="preserve">CUTTING </t>
        </is>
      </c>
      <c r="K19" s="1202">
        <f>C6</f>
        <v/>
      </c>
      <c r="L19" s="1161" t="n">
        <v>1.443</v>
      </c>
      <c r="M19" s="1203">
        <f>K19*L19</f>
        <v/>
      </c>
      <c r="N19" s="1163" t="n"/>
    </row>
    <row r="20" ht="16.5" customHeight="1" s="1134">
      <c r="B20" s="1200" t="inlineStr">
        <is>
          <t>TUBE CUTTING</t>
        </is>
      </c>
      <c r="C20" s="1160">
        <f>(CUTTING!L687)/60</f>
        <v/>
      </c>
      <c r="D20" s="1153" t="n">
        <v>1.443</v>
      </c>
      <c r="E20" s="1154">
        <f>C20*D20</f>
        <v/>
      </c>
      <c r="F20" s="1155" t="n"/>
      <c r="J20" s="1204" t="inlineStr">
        <is>
          <t>EU wire marking penalty</t>
        </is>
      </c>
      <c r="K20" s="1202">
        <f>(CUTTING!L685-CUTTING!J685)/60</f>
        <v/>
      </c>
      <c r="L20" s="1161" t="n">
        <v>1.443</v>
      </c>
      <c r="M20" s="1203">
        <f>K20*L20</f>
        <v/>
      </c>
      <c r="N20" s="1163" t="n"/>
    </row>
    <row r="21" ht="16.5" customHeight="1" s="1134">
      <c r="B21" s="1200" t="inlineStr">
        <is>
          <t>LEAD - PREP</t>
        </is>
      </c>
      <c r="C21" s="1152">
        <f>C9</f>
        <v/>
      </c>
      <c r="D21" s="1153" t="n">
        <v>1.138</v>
      </c>
      <c r="E21" s="1154">
        <f>C21*D21</f>
        <v/>
      </c>
      <c r="F21" s="1155" t="n"/>
      <c r="J21" s="1201" t="inlineStr">
        <is>
          <t>TUBE CUTTING</t>
        </is>
      </c>
      <c r="K21" s="1202">
        <f>(CUTTING!L687)/60</f>
        <v/>
      </c>
      <c r="L21" s="1161" t="n">
        <v>1.443</v>
      </c>
      <c r="M21" s="1203">
        <f>K21*L21</f>
        <v/>
      </c>
      <c r="N21" s="1163" t="n"/>
    </row>
    <row r="22" ht="18" customHeight="1" s="1134">
      <c r="B22" s="1200" t="inlineStr">
        <is>
          <t>FINAL ASSEMBLY</t>
        </is>
      </c>
      <c r="C22" s="1152">
        <f>('High Voltage'!K111+'FA Conns and wires'!T112+'FA Taping'!J81+'FA Miscellaneos'!K141)/60</f>
        <v/>
      </c>
      <c r="D22" s="1153" t="n">
        <v>1.078</v>
      </c>
      <c r="E22" s="1154">
        <f>C22*D22</f>
        <v/>
      </c>
      <c r="F22" s="1155" t="n"/>
      <c r="J22" s="1201" t="inlineStr">
        <is>
          <t>EU- LEAD - PREP</t>
        </is>
      </c>
      <c r="K22" s="1202">
        <f>C9</f>
        <v/>
      </c>
      <c r="L22" s="1161" t="n">
        <v>1.138</v>
      </c>
      <c r="M22" s="1203">
        <f>K22*L22</f>
        <v/>
      </c>
      <c r="N22" s="1163" t="n"/>
    </row>
    <row r="23" ht="18" customHeight="1" s="1134">
      <c r="B23" s="1205" t="inlineStr">
        <is>
          <t>TOTAL</t>
        </is>
      </c>
      <c r="C23" s="1206">
        <f>SUM(C19:C22)</f>
        <v/>
      </c>
      <c r="D23" s="1207" t="n"/>
      <c r="E23" s="1208">
        <f>SUM(E19:E22)</f>
        <v/>
      </c>
      <c r="F23" s="1183" t="n"/>
      <c r="J23" s="1201" t="inlineStr">
        <is>
          <t>EU - R2* LEAD PREP</t>
        </is>
      </c>
      <c r="K23" s="1202">
        <f>'LEAD PREP'!K352/60</f>
        <v/>
      </c>
      <c r="L23" s="1161" t="n">
        <v>1.138</v>
      </c>
      <c r="M23" s="1203">
        <f>K23*L23</f>
        <v/>
      </c>
      <c r="N23" s="1163" t="n"/>
    </row>
    <row r="24" ht="12.75" customHeight="1" s="1134">
      <c r="J24" s="1201" t="inlineStr">
        <is>
          <t>FINAL ASSEMBLY</t>
        </is>
      </c>
      <c r="K24" s="1202">
        <f>C10</f>
        <v/>
      </c>
      <c r="L24" s="1161" t="n">
        <v>1.078</v>
      </c>
      <c r="M24" s="1203">
        <f>K24*L24</f>
        <v/>
      </c>
      <c r="N24" s="1163" t="n"/>
    </row>
    <row r="25" ht="30.75" customHeight="1" s="1134">
      <c r="J25" s="1201" t="inlineStr">
        <is>
          <t>FA TEST</t>
        </is>
      </c>
      <c r="K25" s="1202">
        <f>('FA Miscellaneos'!K142)/60</f>
        <v/>
      </c>
      <c r="L25" s="1161" t="n">
        <v>1.078</v>
      </c>
      <c r="M25" s="1203">
        <f>K25*L25</f>
        <v/>
      </c>
      <c r="N25" s="1163" t="n"/>
    </row>
    <row r="26" ht="18" customHeight="1" s="1134">
      <c r="J26" s="1201" t="inlineStr">
        <is>
          <t>FINAL ASSEMBLY PACKING</t>
        </is>
      </c>
      <c r="K26" s="1202">
        <f>(('FA Taping'!J82)+('FA Miscellaneos'!K143))/60</f>
        <v/>
      </c>
      <c r="L26" s="1161" t="n">
        <v>1.078</v>
      </c>
      <c r="M26" s="1203">
        <f>K26*L26</f>
        <v/>
      </c>
      <c r="N26" s="1163" t="n"/>
    </row>
    <row r="27" ht="18" customHeight="1" s="1134">
      <c r="J27" s="1209" t="inlineStr">
        <is>
          <t>TOTAL</t>
        </is>
      </c>
      <c r="K27" s="1210">
        <f>SUM(K19:K26)</f>
        <v/>
      </c>
      <c r="L27" s="1211" t="n"/>
      <c r="M27" s="1212">
        <f>SUM(M19:M26)</f>
        <v/>
      </c>
      <c r="N27" s="1213" t="n"/>
    </row>
    <row r="28" ht="16.5" customHeight="1" s="1134"/>
    <row r="29" ht="16.5" customHeight="1" s="1134"/>
    <row r="30" ht="21" customHeight="1" s="1134"/>
  </sheetData>
  <mergeCells count="29">
    <mergeCell ref="E12:F12"/>
    <mergeCell ref="J14:N14"/>
    <mergeCell ref="E23:F23"/>
    <mergeCell ref="E17:F17"/>
    <mergeCell ref="E8:F8"/>
    <mergeCell ref="E4:F4"/>
    <mergeCell ref="E20:F20"/>
    <mergeCell ref="M20:N20"/>
    <mergeCell ref="E10:F10"/>
    <mergeCell ref="E19:F19"/>
    <mergeCell ref="E13:F13"/>
    <mergeCell ref="B1:F1"/>
    <mergeCell ref="E9:F9"/>
    <mergeCell ref="M22:N22"/>
    <mergeCell ref="M16:N16"/>
    <mergeCell ref="M25:N25"/>
    <mergeCell ref="E6:F6"/>
    <mergeCell ref="M21:N21"/>
    <mergeCell ref="M27:N27"/>
    <mergeCell ref="M26:N26"/>
    <mergeCell ref="M17:N17"/>
    <mergeCell ref="M24:N24"/>
    <mergeCell ref="E16:F16"/>
    <mergeCell ref="E7:F7"/>
    <mergeCell ref="M23:N23"/>
    <mergeCell ref="M19:N19"/>
    <mergeCell ref="E22:F22"/>
    <mergeCell ref="E3:F3"/>
    <mergeCell ref="E21:F21"/>
  </mergeCells>
  <printOptions horizontalCentered="1" verticalCentered="0" headings="0" gridLines="0" gridLinesSet="1"/>
  <pageMargins left="0" right="0" top="0.6" bottom="0.420138888888889" header="0.511811023622047" footer="0.170138888888889"/>
  <pageSetup orientation="portrait" paperSize="1" scale="100" fitToHeight="1" fitToWidth="1" pageOrder="downThenOver" blackAndWhite="0" draft="0" horizontalDpi="300" verticalDpi="300" copies="1"/>
  <headerFooter differentOddEven="0" differentFirst="0">
    <oddHeader/>
    <oddFooter>&amp;R&amp;P</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2:Q908"/>
  <sheetViews>
    <sheetView showFormulas="0" showGridLines="1" showRowColHeaders="1" showZeros="1" rightToLeft="0" tabSelected="1" showOutlineSymbols="1" defaultGridColor="1" view="normal" topLeftCell="A143" colorId="64" zoomScale="70" zoomScaleNormal="70" zoomScalePageLayoutView="100" workbookViewId="0">
      <selection pane="topLeft" activeCell="J222" activeCellId="0" sqref="J222"/>
    </sheetView>
  </sheetViews>
  <sheetFormatPr baseColWidth="8" defaultColWidth="9.3359375" defaultRowHeight="12.75" customHeight="0" zeroHeight="0" outlineLevelRow="0"/>
  <cols>
    <col width="24.67" customWidth="1" style="1214" min="1" max="1"/>
    <col width="23.33" customWidth="1" style="1132" min="2" max="2"/>
    <col width="15.33" customWidth="1" style="1132" min="3" max="3"/>
    <col width="9.33" customWidth="1" style="1132" min="4" max="4"/>
    <col width="8.44" customWidth="1" style="1132" min="5" max="5"/>
    <col width="10" customWidth="1" style="1132" min="6" max="6"/>
    <col width="10.33" customWidth="1" style="1132" min="7" max="7"/>
    <col width="10.56" customWidth="1" style="1215" min="8" max="8"/>
    <col width="9.67" customWidth="1" style="1132" min="9" max="9"/>
    <col width="11.56" customWidth="1" style="1132" min="10" max="10"/>
    <col width="9.67" customWidth="1" style="1132" min="11" max="11"/>
    <col width="11.56" customWidth="1" style="1132" min="12" max="12"/>
    <col width="9.33" customWidth="1" style="1132" min="13" max="13"/>
    <col width="13.67" customWidth="1" style="1132" min="14" max="14"/>
    <col width="17.56" customWidth="1" style="1132" min="15" max="15"/>
    <col width="19.56" customWidth="1" style="1132" min="16" max="16"/>
    <col width="35.67" customWidth="1" style="1132" min="17" max="17"/>
    <col width="9.33" customWidth="1" style="1132" min="18" max="16384"/>
  </cols>
  <sheetData>
    <row r="2" ht="53.25" customHeight="1" s="1134">
      <c r="A2" s="1216" t="inlineStr">
        <is>
          <t>Comments</t>
        </is>
      </c>
      <c r="B2" s="1217" t="inlineStr">
        <is>
          <t>Machine Vendor</t>
        </is>
      </c>
      <c r="C2" s="1217" t="inlineStr">
        <is>
          <t xml:space="preserve"> Machine</t>
        </is>
      </c>
      <c r="D2" s="1217" t="inlineStr">
        <is>
          <t>Min Gage</t>
        </is>
      </c>
      <c r="E2" s="1217" t="inlineStr">
        <is>
          <t>Max Gage</t>
        </is>
      </c>
      <c r="F2" s="1217" t="inlineStr">
        <is>
          <t>Min Length</t>
        </is>
      </c>
      <c r="G2" s="1217" t="inlineStr">
        <is>
          <t>Max Length</t>
        </is>
      </c>
      <c r="H2" s="1218" t="inlineStr">
        <is>
          <t>Global Sec/ Pc</t>
        </is>
      </c>
      <c r="I2" s="1219" t="inlineStr">
        <is>
          <t>TOTAL Qty
Leads</t>
        </is>
      </c>
      <c r="J2" s="1220" t="inlineStr">
        <is>
          <t>SUB TOTAL</t>
        </is>
      </c>
      <c r="K2" s="1221" t="inlineStr">
        <is>
          <t>Qty Marked Leads</t>
        </is>
      </c>
      <c r="L2" s="1222" t="inlineStr">
        <is>
          <t>TOTAL TIME</t>
        </is>
      </c>
    </row>
    <row r="3" ht="12.75" customFormat="1" customHeight="1" s="1132">
      <c r="A3" s="1223" t="inlineStr">
        <is>
          <t>Drain Wire Automatic Cutting</t>
        </is>
      </c>
      <c r="B3" s="1224" t="inlineStr">
        <is>
          <t>Drain Wire Cutter</t>
        </is>
      </c>
      <c r="C3" s="1224" t="inlineStr">
        <is>
          <t>Schleuniger OC3950</t>
        </is>
      </c>
      <c r="D3" s="1225" t="n">
        <v>0.3</v>
      </c>
      <c r="E3" s="1225" t="n">
        <v>5</v>
      </c>
      <c r="F3" s="1225" t="n">
        <v>50</v>
      </c>
      <c r="G3" s="1225" t="n">
        <v>1000</v>
      </c>
      <c r="H3" s="1226" t="n">
        <v>1.2301</v>
      </c>
      <c r="I3" s="1227" t="n">
        <v>0</v>
      </c>
      <c r="J3" s="1228">
        <f>+I3*H3</f>
        <v/>
      </c>
      <c r="K3" s="1229" t="n"/>
      <c r="L3" s="1230">
        <f>J3</f>
        <v/>
      </c>
      <c r="M3" s="1231" t="inlineStr">
        <is>
          <t>Automatic</t>
        </is>
      </c>
      <c r="N3" s="1132" t="n"/>
      <c r="O3" s="1132" t="n"/>
      <c r="P3" s="1132" t="n"/>
      <c r="Q3" s="1215" t="n"/>
    </row>
    <row r="4" ht="12.75" customFormat="1" customHeight="1" s="1132">
      <c r="A4" s="1232" t="n"/>
      <c r="B4" s="1233" t="n"/>
      <c r="C4" s="1233" t="n"/>
      <c r="D4" s="1225" t="n">
        <v>0.3</v>
      </c>
      <c r="E4" s="1225" t="n">
        <v>5</v>
      </c>
      <c r="F4" s="1234" t="n">
        <v>1001</v>
      </c>
      <c r="G4" s="1234" t="n">
        <v>1500</v>
      </c>
      <c r="H4" s="1226" t="n">
        <v>1.7051</v>
      </c>
      <c r="I4" s="1227" t="n">
        <v>0</v>
      </c>
      <c r="J4" s="1228">
        <f>+I4*H4</f>
        <v/>
      </c>
      <c r="K4" s="1229" t="n"/>
      <c r="L4" s="1230">
        <f>J4</f>
        <v/>
      </c>
      <c r="M4" s="1231" t="inlineStr">
        <is>
          <t>Automatic</t>
        </is>
      </c>
      <c r="N4" s="1132" t="n"/>
      <c r="O4" s="1132" t="n"/>
      <c r="P4" s="1132" t="n"/>
      <c r="Q4" s="1215" t="n"/>
    </row>
    <row r="5" ht="12.75" customFormat="1" customHeight="1" s="1132">
      <c r="A5" s="1232" t="n"/>
      <c r="B5" s="1233" t="n"/>
      <c r="C5" s="1233" t="n"/>
      <c r="D5" s="1225" t="n">
        <v>0.3</v>
      </c>
      <c r="E5" s="1225" t="n">
        <v>5</v>
      </c>
      <c r="F5" s="1234" t="n">
        <v>1501</v>
      </c>
      <c r="G5" s="1234" t="n">
        <v>2000</v>
      </c>
      <c r="H5" s="1226" t="n">
        <v>2.2101</v>
      </c>
      <c r="I5" s="1227" t="n">
        <v>0</v>
      </c>
      <c r="J5" s="1228">
        <f>+I5*H5</f>
        <v/>
      </c>
      <c r="K5" s="1229" t="n"/>
      <c r="L5" s="1230">
        <f>J5</f>
        <v/>
      </c>
      <c r="M5" s="1231" t="inlineStr">
        <is>
          <t>Automatic</t>
        </is>
      </c>
      <c r="N5" s="1132" t="n"/>
      <c r="O5" s="1132" t="n"/>
      <c r="P5" s="1132" t="n"/>
      <c r="Q5" s="1215" t="n"/>
    </row>
    <row r="6" ht="12.75" customFormat="1" customHeight="1" s="1132">
      <c r="A6" s="1232" t="n"/>
      <c r="B6" s="1233" t="n"/>
      <c r="C6" s="1233" t="n"/>
      <c r="D6" s="1225" t="n">
        <v>0.3</v>
      </c>
      <c r="E6" s="1225" t="n">
        <v>5</v>
      </c>
      <c r="F6" s="1234" t="n">
        <v>2001</v>
      </c>
      <c r="G6" s="1234" t="n">
        <v>2500</v>
      </c>
      <c r="H6" s="1226" t="n">
        <v>2.7451</v>
      </c>
      <c r="I6" s="1227" t="n">
        <v>0</v>
      </c>
      <c r="J6" s="1228">
        <f>+I6*H6</f>
        <v/>
      </c>
      <c r="K6" s="1229" t="n"/>
      <c r="L6" s="1230">
        <f>J6</f>
        <v/>
      </c>
      <c r="M6" s="1231" t="inlineStr">
        <is>
          <t>Automatic</t>
        </is>
      </c>
      <c r="N6" s="1132" t="n"/>
      <c r="O6" s="1132" t="n"/>
      <c r="P6" s="1132" t="n"/>
      <c r="Q6" s="1215" t="n"/>
    </row>
    <row r="7" ht="12.75" customFormat="1" customHeight="1" s="1132">
      <c r="A7" s="1232" t="n"/>
      <c r="B7" s="1233" t="n"/>
      <c r="C7" s="1233" t="n"/>
      <c r="D7" s="1225" t="n">
        <v>0.3</v>
      </c>
      <c r="E7" s="1225" t="n">
        <v>5</v>
      </c>
      <c r="F7" s="1234" t="n">
        <v>2501</v>
      </c>
      <c r="G7" s="1234" t="n">
        <v>3000</v>
      </c>
      <c r="H7" s="1226" t="n">
        <v>3.3101</v>
      </c>
      <c r="I7" s="1227" t="n">
        <v>0</v>
      </c>
      <c r="J7" s="1228">
        <f>+I7*H7</f>
        <v/>
      </c>
      <c r="K7" s="1229" t="n"/>
      <c r="L7" s="1230">
        <f>J7</f>
        <v/>
      </c>
      <c r="M7" s="1231" t="inlineStr">
        <is>
          <t>Automatic</t>
        </is>
      </c>
      <c r="N7" s="1132" t="n"/>
      <c r="O7" s="1132" t="n"/>
      <c r="P7" s="1132" t="n"/>
      <c r="Q7" s="1215" t="n"/>
    </row>
    <row r="8" ht="12.75" customFormat="1" customHeight="1" s="1132">
      <c r="A8" s="1232" t="n"/>
      <c r="B8" s="1233" t="n"/>
      <c r="C8" s="1233" t="n"/>
      <c r="D8" s="1225" t="n">
        <v>0.3</v>
      </c>
      <c r="E8" s="1225" t="n">
        <v>5</v>
      </c>
      <c r="F8" s="1234" t="n">
        <v>3001</v>
      </c>
      <c r="G8" s="1234" t="n">
        <v>3500</v>
      </c>
      <c r="H8" s="1226" t="n">
        <v>3.9051</v>
      </c>
      <c r="I8" s="1227" t="n">
        <v>0</v>
      </c>
      <c r="J8" s="1228">
        <f>+I8*H8</f>
        <v/>
      </c>
      <c r="K8" s="1229" t="n"/>
      <c r="L8" s="1230">
        <f>J8</f>
        <v/>
      </c>
      <c r="M8" s="1231" t="inlineStr">
        <is>
          <t>Automatic</t>
        </is>
      </c>
      <c r="N8" s="1132" t="n"/>
      <c r="O8" s="1132" t="n"/>
      <c r="P8" s="1132" t="n"/>
      <c r="Q8" s="1215" t="n"/>
    </row>
    <row r="9" ht="12.75" customFormat="1" customHeight="1" s="1132">
      <c r="A9" s="1232" t="n"/>
      <c r="B9" s="1233" t="n"/>
      <c r="C9" s="1233" t="n"/>
      <c r="D9" s="1225" t="n">
        <v>0.3</v>
      </c>
      <c r="E9" s="1225" t="n">
        <v>5</v>
      </c>
      <c r="F9" s="1234" t="n">
        <v>3501</v>
      </c>
      <c r="G9" s="1234" t="n">
        <v>4000</v>
      </c>
      <c r="H9" s="1226" t="n">
        <v>4.5301</v>
      </c>
      <c r="I9" s="1227" t="n">
        <v>0</v>
      </c>
      <c r="J9" s="1228">
        <f>+I9*H9</f>
        <v/>
      </c>
      <c r="K9" s="1229" t="n"/>
      <c r="L9" s="1230">
        <f>J9</f>
        <v/>
      </c>
      <c r="M9" s="1231" t="inlineStr">
        <is>
          <t>Automatic</t>
        </is>
      </c>
      <c r="N9" s="1132" t="n"/>
      <c r="O9" s="1132" t="n"/>
      <c r="P9" s="1132" t="n"/>
      <c r="Q9" s="1215" t="n"/>
    </row>
    <row r="10" ht="12.75" customFormat="1" customHeight="1" s="1132">
      <c r="A10" s="1232" t="n"/>
      <c r="B10" s="1233" t="n"/>
      <c r="C10" s="1233" t="n"/>
      <c r="D10" s="1225" t="n">
        <v>0.3</v>
      </c>
      <c r="E10" s="1225" t="n">
        <v>5</v>
      </c>
      <c r="F10" s="1234" t="n">
        <v>4001</v>
      </c>
      <c r="G10" s="1234" t="n">
        <v>4500</v>
      </c>
      <c r="H10" s="1226" t="n">
        <v>5.1851</v>
      </c>
      <c r="I10" s="1227" t="n">
        <v>0</v>
      </c>
      <c r="J10" s="1228">
        <f>+I10*H10</f>
        <v/>
      </c>
      <c r="K10" s="1229" t="n"/>
      <c r="L10" s="1230">
        <f>J10</f>
        <v/>
      </c>
      <c r="M10" s="1231" t="inlineStr">
        <is>
          <t>Automatic</t>
        </is>
      </c>
      <c r="N10" s="1132" t="n"/>
      <c r="O10" s="1132" t="n"/>
      <c r="P10" s="1132" t="n"/>
      <c r="Q10" s="1215" t="n"/>
    </row>
    <row r="11" ht="12.75" customFormat="1" customHeight="1" s="1132">
      <c r="A11" s="1232" t="n"/>
      <c r="B11" s="1233" t="n"/>
      <c r="C11" s="1233" t="n"/>
      <c r="D11" s="1225" t="n">
        <v>0.3</v>
      </c>
      <c r="E11" s="1225" t="n">
        <v>5</v>
      </c>
      <c r="F11" s="1234" t="n">
        <v>4501</v>
      </c>
      <c r="G11" s="1234" t="n">
        <v>5000</v>
      </c>
      <c r="H11" s="1226" t="n">
        <v>5.8701</v>
      </c>
      <c r="I11" s="1227" t="n">
        <v>0</v>
      </c>
      <c r="J11" s="1228">
        <f>+I11*H11</f>
        <v/>
      </c>
      <c r="K11" s="1229" t="n"/>
      <c r="L11" s="1230">
        <f>J11</f>
        <v/>
      </c>
      <c r="M11" s="1231" t="inlineStr">
        <is>
          <t>Automatic</t>
        </is>
      </c>
      <c r="N11" s="1132" t="n"/>
      <c r="O11" s="1132" t="n"/>
      <c r="P11" s="1132" t="n"/>
      <c r="Q11" s="1215" t="n"/>
    </row>
    <row r="12" ht="12.75" customFormat="1" customHeight="1" s="1132">
      <c r="A12" s="1232" t="n"/>
      <c r="B12" s="1233" t="n"/>
      <c r="C12" s="1233" t="n"/>
      <c r="D12" s="1225" t="n">
        <v>0.3</v>
      </c>
      <c r="E12" s="1225" t="n">
        <v>5</v>
      </c>
      <c r="F12" s="1234" t="n">
        <v>5001</v>
      </c>
      <c r="G12" s="1234" t="n">
        <v>5500</v>
      </c>
      <c r="H12" s="1226" t="n">
        <v>6.5851</v>
      </c>
      <c r="I12" s="1227" t="n">
        <v>0</v>
      </c>
      <c r="J12" s="1228">
        <f>+I12*H12</f>
        <v/>
      </c>
      <c r="K12" s="1229" t="n"/>
      <c r="L12" s="1230">
        <f>J12</f>
        <v/>
      </c>
      <c r="M12" s="1231" t="inlineStr">
        <is>
          <t>Automatic</t>
        </is>
      </c>
      <c r="N12" s="1132" t="n"/>
      <c r="O12" s="1132" t="n"/>
      <c r="P12" s="1132" t="n"/>
      <c r="Q12" s="1215" t="n"/>
    </row>
    <row r="13" ht="12.75" customFormat="1" customHeight="1" s="1132">
      <c r="A13" s="1232" t="n"/>
      <c r="B13" s="1233" t="n"/>
      <c r="C13" s="1233" t="n"/>
      <c r="D13" s="1225" t="n">
        <v>0.3</v>
      </c>
      <c r="E13" s="1225" t="n">
        <v>5</v>
      </c>
      <c r="F13" s="1234" t="n">
        <v>5501</v>
      </c>
      <c r="G13" s="1234" t="n">
        <v>6000</v>
      </c>
      <c r="H13" s="1226" t="n">
        <v>7.3051</v>
      </c>
      <c r="I13" s="1227" t="n">
        <v>0</v>
      </c>
      <c r="J13" s="1228">
        <f>+I13*H13</f>
        <v/>
      </c>
      <c r="K13" s="1229" t="n"/>
      <c r="L13" s="1230">
        <f>J13</f>
        <v/>
      </c>
      <c r="M13" s="1231" t="inlineStr">
        <is>
          <t>Automatic</t>
        </is>
      </c>
      <c r="N13" s="1132" t="n"/>
      <c r="O13" s="1132" t="n"/>
      <c r="P13" s="1132" t="n"/>
      <c r="Q13" s="1215" t="n"/>
    </row>
    <row r="14" ht="12.75" customFormat="1" customHeight="1" s="1132">
      <c r="A14" s="1232" t="n"/>
      <c r="B14" s="1233" t="n"/>
      <c r="C14" s="1233" t="n"/>
      <c r="D14" s="1225" t="n">
        <v>0.3</v>
      </c>
      <c r="E14" s="1225" t="n">
        <v>5</v>
      </c>
      <c r="F14" s="1234" t="n">
        <v>6001</v>
      </c>
      <c r="G14" s="1234" t="n">
        <v>6500</v>
      </c>
      <c r="H14" s="1226" t="n">
        <v>8.0251</v>
      </c>
      <c r="I14" s="1227" t="n">
        <v>0</v>
      </c>
      <c r="J14" s="1228">
        <f>+I14*H14</f>
        <v/>
      </c>
      <c r="K14" s="1229" t="n"/>
      <c r="L14" s="1230">
        <f>J14</f>
        <v/>
      </c>
      <c r="M14" s="1231" t="inlineStr">
        <is>
          <t>Automatic</t>
        </is>
      </c>
      <c r="N14" s="1132" t="n"/>
      <c r="O14" s="1132" t="n"/>
      <c r="P14" s="1132" t="n"/>
      <c r="Q14" s="1215" t="n"/>
    </row>
    <row r="15" ht="12.75" customFormat="1" customHeight="1" s="1132">
      <c r="A15" s="1232" t="n"/>
      <c r="B15" s="1233" t="n"/>
      <c r="C15" s="1233" t="n"/>
      <c r="D15" s="1225" t="n">
        <v>0.3</v>
      </c>
      <c r="E15" s="1225" t="n">
        <v>5</v>
      </c>
      <c r="F15" s="1225" t="n">
        <v>6501</v>
      </c>
      <c r="G15" s="1225" t="n">
        <v>7000</v>
      </c>
      <c r="H15" s="1226" t="n">
        <v>8.745100000000001</v>
      </c>
      <c r="I15" s="1227" t="n">
        <v>0</v>
      </c>
      <c r="J15" s="1228">
        <f>+I15*H15</f>
        <v/>
      </c>
      <c r="K15" s="1229" t="n"/>
      <c r="L15" s="1230">
        <f>J15</f>
        <v/>
      </c>
      <c r="M15" s="1231" t="inlineStr">
        <is>
          <t>Automatic</t>
        </is>
      </c>
      <c r="N15" s="1132" t="n"/>
      <c r="O15" s="1132" t="n"/>
      <c r="P15" s="1132" t="n"/>
      <c r="Q15" s="1215" t="n"/>
    </row>
    <row r="16" ht="12.75" customFormat="1" customHeight="1" s="1132">
      <c r="A16" s="1232" t="n"/>
      <c r="B16" s="1233" t="n"/>
      <c r="C16" s="1233" t="n"/>
      <c r="D16" s="1225" t="n">
        <v>0.3</v>
      </c>
      <c r="E16" s="1225" t="n">
        <v>5</v>
      </c>
      <c r="F16" s="1234" t="n">
        <v>7001</v>
      </c>
      <c r="G16" s="1234" t="n">
        <v>7500</v>
      </c>
      <c r="H16" s="1226" t="n">
        <v>9.4651</v>
      </c>
      <c r="I16" s="1227" t="n">
        <v>0</v>
      </c>
      <c r="J16" s="1228">
        <f>+I16*H16</f>
        <v/>
      </c>
      <c r="K16" s="1229" t="n"/>
      <c r="L16" s="1230">
        <f>J16</f>
        <v/>
      </c>
      <c r="M16" s="1231" t="inlineStr">
        <is>
          <t>Automatic</t>
        </is>
      </c>
      <c r="N16" s="1132" t="n"/>
      <c r="O16" s="1132" t="n"/>
      <c r="P16" s="1132" t="n"/>
      <c r="Q16" s="1215" t="n"/>
    </row>
    <row r="17" ht="12.75" customFormat="1" customHeight="1" s="1132">
      <c r="A17" s="1232" t="n"/>
      <c r="B17" s="1233" t="n"/>
      <c r="C17" s="1233" t="n"/>
      <c r="D17" s="1225" t="n">
        <v>0.3</v>
      </c>
      <c r="E17" s="1225" t="n">
        <v>5</v>
      </c>
      <c r="F17" s="1234" t="n">
        <v>7501</v>
      </c>
      <c r="G17" s="1234" t="n">
        <v>8000</v>
      </c>
      <c r="H17" s="1226" t="n">
        <v>10.1851</v>
      </c>
      <c r="I17" s="1227" t="n">
        <v>0</v>
      </c>
      <c r="J17" s="1228">
        <f>+I17*H17</f>
        <v/>
      </c>
      <c r="K17" s="1229" t="n"/>
      <c r="L17" s="1230">
        <f>J17</f>
        <v/>
      </c>
      <c r="M17" s="1231" t="inlineStr">
        <is>
          <t>Automatic</t>
        </is>
      </c>
      <c r="N17" s="1132" t="n"/>
      <c r="O17" s="1132" t="n"/>
      <c r="P17" s="1132" t="n"/>
      <c r="Q17" s="1215" t="n"/>
    </row>
    <row r="18" ht="12.75" customFormat="1" customHeight="1" s="1132">
      <c r="A18" s="1232" t="n"/>
      <c r="B18" s="1233" t="n"/>
      <c r="C18" s="1233" t="n"/>
      <c r="D18" s="1225" t="n">
        <v>0.3</v>
      </c>
      <c r="E18" s="1225" t="n">
        <v>5</v>
      </c>
      <c r="F18" s="1234" t="n">
        <v>8001</v>
      </c>
      <c r="G18" s="1234" t="n">
        <v>8500</v>
      </c>
      <c r="H18" s="1226" t="n">
        <v>10.9051</v>
      </c>
      <c r="I18" s="1227" t="n">
        <v>0</v>
      </c>
      <c r="J18" s="1228">
        <f>+I18*H18</f>
        <v/>
      </c>
      <c r="K18" s="1229" t="n"/>
      <c r="L18" s="1230">
        <f>J18</f>
        <v/>
      </c>
      <c r="M18" s="1231" t="inlineStr">
        <is>
          <t>Automatic</t>
        </is>
      </c>
      <c r="N18" s="1132" t="n"/>
      <c r="O18" s="1132" t="n"/>
      <c r="P18" s="1132" t="n"/>
      <c r="Q18" s="1215" t="n"/>
    </row>
    <row r="19" ht="12.75" customFormat="1" customHeight="1" s="1132">
      <c r="A19" s="1232" t="n"/>
      <c r="B19" s="1233" t="n"/>
      <c r="C19" s="1233" t="n"/>
      <c r="D19" s="1225" t="n">
        <v>0.3</v>
      </c>
      <c r="E19" s="1225" t="n">
        <v>5</v>
      </c>
      <c r="F19" s="1234" t="n">
        <v>8501</v>
      </c>
      <c r="G19" s="1234" t="n">
        <v>9000</v>
      </c>
      <c r="H19" s="1226" t="n">
        <v>11.6251</v>
      </c>
      <c r="I19" s="1227" t="n">
        <v>0</v>
      </c>
      <c r="J19" s="1228">
        <f>+I19*H19</f>
        <v/>
      </c>
      <c r="K19" s="1229" t="n"/>
      <c r="L19" s="1230">
        <f>J19</f>
        <v/>
      </c>
      <c r="M19" s="1231" t="inlineStr">
        <is>
          <t>Automatic</t>
        </is>
      </c>
      <c r="N19" s="1132" t="n"/>
      <c r="O19" s="1132" t="n"/>
      <c r="P19" s="1132" t="n"/>
      <c r="Q19" s="1215" t="n"/>
    </row>
    <row r="20" ht="12.75" customFormat="1" customHeight="1" s="1132">
      <c r="A20" s="1232" t="n"/>
      <c r="B20" s="1233" t="n"/>
      <c r="C20" s="1233" t="n"/>
      <c r="D20" s="1225" t="n">
        <v>0.3</v>
      </c>
      <c r="E20" s="1225" t="n">
        <v>5</v>
      </c>
      <c r="F20" s="1234" t="n">
        <v>9001</v>
      </c>
      <c r="G20" s="1234" t="n">
        <v>9500</v>
      </c>
      <c r="H20" s="1226" t="n">
        <v>12.3451</v>
      </c>
      <c r="I20" s="1227" t="n">
        <v>0</v>
      </c>
      <c r="J20" s="1228">
        <f>+I20*H20</f>
        <v/>
      </c>
      <c r="K20" s="1229" t="n"/>
      <c r="L20" s="1230">
        <f>J20</f>
        <v/>
      </c>
      <c r="M20" s="1231" t="inlineStr">
        <is>
          <t>Automatic</t>
        </is>
      </c>
      <c r="N20" s="1132" t="n"/>
      <c r="O20" s="1132" t="n"/>
      <c r="P20" s="1132" t="n"/>
      <c r="Q20" s="1215" t="n"/>
    </row>
    <row r="21" ht="12.75" customFormat="1" customHeight="1" s="1132">
      <c r="A21" s="1232" t="n"/>
      <c r="B21" s="1233" t="n"/>
      <c r="C21" s="1233" t="n"/>
      <c r="D21" s="1225" t="n">
        <v>0.3</v>
      </c>
      <c r="E21" s="1225" t="n">
        <v>5</v>
      </c>
      <c r="F21" s="1234" t="n">
        <v>9501</v>
      </c>
      <c r="G21" s="1234" t="n">
        <v>10000</v>
      </c>
      <c r="H21" s="1226" t="n">
        <v>13.0651</v>
      </c>
      <c r="I21" s="1227" t="n">
        <v>0</v>
      </c>
      <c r="J21" s="1228">
        <f>+I21*H21</f>
        <v/>
      </c>
      <c r="K21" s="1229" t="n"/>
      <c r="L21" s="1230">
        <f>J21</f>
        <v/>
      </c>
      <c r="M21" s="1231" t="inlineStr">
        <is>
          <t>Automatic</t>
        </is>
      </c>
      <c r="N21" s="1132" t="n"/>
      <c r="O21" s="1132" t="n"/>
      <c r="P21" s="1132" t="n"/>
      <c r="Q21" s="1215" t="n"/>
    </row>
    <row r="22" ht="12.75" customFormat="1" customHeight="1" s="1132">
      <c r="A22" s="1232" t="n"/>
      <c r="B22" s="1233" t="n"/>
      <c r="C22" s="1233" t="n"/>
      <c r="D22" s="1225" t="n"/>
      <c r="E22" s="1225" t="n"/>
      <c r="F22" s="1234" t="n"/>
      <c r="G22" s="1234" t="n"/>
      <c r="H22" s="1226" t="n"/>
      <c r="I22" s="1235" t="n"/>
      <c r="J22" s="1228">
        <f>+I22*H22</f>
        <v/>
      </c>
      <c r="K22" s="1229" t="n"/>
      <c r="L22" s="1230">
        <f>J22</f>
        <v/>
      </c>
      <c r="N22" s="1132" t="n"/>
      <c r="O22" s="1132" t="n"/>
      <c r="P22" s="1132" t="n"/>
      <c r="Q22" s="1215" t="n"/>
    </row>
    <row r="23" ht="12.75" customFormat="1" customHeight="1" s="1132">
      <c r="A23" s="1232" t="n"/>
      <c r="B23" s="1233" t="n"/>
      <c r="C23" s="1233" t="n"/>
      <c r="D23" s="1225" t="n"/>
      <c r="E23" s="1225" t="n"/>
      <c r="F23" s="1234" t="n"/>
      <c r="G23" s="1234" t="n"/>
      <c r="H23" s="1226" t="n"/>
      <c r="I23" s="1235" t="n"/>
      <c r="J23" s="1228">
        <f>+I23*H23</f>
        <v/>
      </c>
      <c r="K23" s="1229" t="n"/>
      <c r="L23" s="1230">
        <f>J23</f>
        <v/>
      </c>
      <c r="N23" s="1132" t="n"/>
      <c r="O23" s="1132" t="n"/>
      <c r="P23" s="1132" t="n"/>
      <c r="Q23" s="1215" t="n"/>
    </row>
    <row r="24" ht="12.75" customFormat="1" customHeight="1" s="1132">
      <c r="A24" s="1232" t="n"/>
      <c r="B24" s="1233" t="n"/>
      <c r="C24" s="1233" t="n"/>
      <c r="D24" s="1225" t="n"/>
      <c r="E24" s="1225" t="n"/>
      <c r="F24" s="1234" t="n"/>
      <c r="G24" s="1234" t="n"/>
      <c r="H24" s="1226" t="n"/>
      <c r="I24" s="1235" t="n"/>
      <c r="J24" s="1228">
        <f>+I24*H24</f>
        <v/>
      </c>
      <c r="K24" s="1229" t="n"/>
      <c r="L24" s="1230">
        <f>J24</f>
        <v/>
      </c>
      <c r="N24" s="1132" t="n"/>
      <c r="O24" s="1132" t="n"/>
      <c r="P24" s="1132" t="n"/>
      <c r="Q24" s="1215" t="n"/>
    </row>
    <row r="25" ht="12.75" customFormat="1" customHeight="1" s="1132">
      <c r="A25" s="1236" t="n"/>
      <c r="B25" s="1237" t="n"/>
      <c r="C25" s="1237" t="n"/>
      <c r="D25" s="1238" t="n"/>
      <c r="E25" s="1238" t="n"/>
      <c r="F25" s="1238" t="n"/>
      <c r="G25" s="1238" t="n"/>
      <c r="H25" s="1239" t="n"/>
      <c r="I25" s="1240" t="n"/>
      <c r="J25" s="1241">
        <f>+I25*H25</f>
        <v/>
      </c>
      <c r="K25" s="1242" t="n"/>
      <c r="L25" s="1243">
        <f>J25</f>
        <v/>
      </c>
      <c r="N25" s="1132" t="n"/>
      <c r="O25" s="1132" t="n"/>
      <c r="P25" s="1132" t="n"/>
      <c r="Q25" s="1215" t="n"/>
    </row>
    <row r="26" ht="12.75" customHeight="1" s="1134">
      <c r="A26" s="1244" t="inlineStr">
        <is>
          <t>cut coaxial twisted twin cables and multiconductor wires
FLEX RAY
ETHERNET</t>
        </is>
      </c>
      <c r="B26" s="1245" t="inlineStr">
        <is>
          <t xml:space="preserve">Multi &amp; Coaxial Cutter </t>
        </is>
      </c>
      <c r="C26" s="1245" t="inlineStr">
        <is>
          <t>Schleuniger 
PS 9550 / 9480</t>
        </is>
      </c>
      <c r="D26" s="1225" t="n">
        <v>0.2</v>
      </c>
      <c r="E26" s="1225" t="n">
        <v>10</v>
      </c>
      <c r="F26" s="1225" t="n">
        <v>60</v>
      </c>
      <c r="G26" s="1225" t="n">
        <v>100</v>
      </c>
      <c r="H26" s="1246" t="n">
        <v>4.16</v>
      </c>
      <c r="I26" s="1247" t="n">
        <v>0</v>
      </c>
      <c r="J26" s="1248">
        <f>+I26*H26</f>
        <v/>
      </c>
      <c r="K26" s="1249" t="n"/>
      <c r="L26" s="1248">
        <f>IF(K26&gt;I26,"ERROR",(K26*H26)*0.1+J26)</f>
        <v/>
      </c>
      <c r="M26" s="1231" t="inlineStr">
        <is>
          <t>Automatic</t>
        </is>
      </c>
      <c r="Q26" s="1215" t="n"/>
    </row>
    <row r="27" ht="12.75" customHeight="1" s="1134">
      <c r="A27" s="1232" t="n"/>
      <c r="B27" s="1233" t="n"/>
      <c r="C27" s="1233" t="n"/>
      <c r="D27" s="1234" t="n">
        <v>0.2</v>
      </c>
      <c r="E27" s="1234" t="n">
        <v>10</v>
      </c>
      <c r="F27" s="1225" t="n">
        <v>101</v>
      </c>
      <c r="G27" s="1225" t="n">
        <v>1000</v>
      </c>
      <c r="H27" s="1226" t="n">
        <v>4.16</v>
      </c>
      <c r="I27" s="1247" t="n">
        <v>0</v>
      </c>
      <c r="J27" s="1248">
        <f>+I27*H27</f>
        <v/>
      </c>
      <c r="K27" s="1249" t="n"/>
      <c r="L27" s="1248">
        <f>IF(K27&gt;I27,"ERROR",(K27*H27)*0.1+J27)</f>
        <v/>
      </c>
      <c r="M27" s="1231" t="inlineStr">
        <is>
          <t>Automatic</t>
        </is>
      </c>
      <c r="Q27" s="1215" t="n"/>
    </row>
    <row r="28" ht="12.75" customHeight="1" s="1134">
      <c r="A28" s="1232" t="n"/>
      <c r="B28" s="1233" t="n"/>
      <c r="C28" s="1233" t="n"/>
      <c r="D28" s="1234" t="n">
        <v>0.2</v>
      </c>
      <c r="E28" s="1234" t="n">
        <v>10</v>
      </c>
      <c r="F28" s="1234" t="n">
        <v>1001</v>
      </c>
      <c r="G28" s="1234" t="n">
        <v>2000</v>
      </c>
      <c r="H28" s="1226" t="n">
        <v>5.43</v>
      </c>
      <c r="I28" s="1250" t="n">
        <v>0</v>
      </c>
      <c r="J28" s="1228">
        <f>+I28*H28</f>
        <v/>
      </c>
      <c r="K28" s="1251" t="n"/>
      <c r="L28" s="1228">
        <f>IF(K28&gt;I28,"ERROR",(K28*H28)*0.15+J28)</f>
        <v/>
      </c>
      <c r="M28" s="1231" t="inlineStr">
        <is>
          <t>Automatic</t>
        </is>
      </c>
      <c r="Q28" s="1215" t="n"/>
    </row>
    <row r="29" ht="12.75" customHeight="1" s="1134">
      <c r="A29" s="1232" t="n"/>
      <c r="B29" s="1233" t="n"/>
      <c r="C29" s="1233" t="n"/>
      <c r="D29" s="1234" t="n">
        <v>0.2</v>
      </c>
      <c r="E29" s="1234" t="n">
        <v>10</v>
      </c>
      <c r="F29" s="1234" t="n">
        <v>2001</v>
      </c>
      <c r="G29" s="1234" t="n">
        <v>3000</v>
      </c>
      <c r="H29" s="1226" t="n">
        <v>6.6</v>
      </c>
      <c r="I29" s="1250" t="n">
        <v>0</v>
      </c>
      <c r="J29" s="1228">
        <f>+I29*H29</f>
        <v/>
      </c>
      <c r="K29" s="1251" t="n"/>
      <c r="L29" s="1228">
        <f>IF(K29&gt;I29,"ERROR",(K29*H29)*0.2+J29)</f>
        <v/>
      </c>
      <c r="M29" s="1231" t="inlineStr">
        <is>
          <t>Automatic</t>
        </is>
      </c>
      <c r="Q29" s="1215" t="n"/>
    </row>
    <row r="30" ht="12.75" customHeight="1" s="1134">
      <c r="A30" s="1232" t="n"/>
      <c r="B30" s="1233" t="n"/>
      <c r="C30" s="1233" t="n"/>
      <c r="D30" s="1234" t="n">
        <v>0.2</v>
      </c>
      <c r="E30" s="1234" t="n">
        <v>10</v>
      </c>
      <c r="F30" s="1234" t="n">
        <v>3001</v>
      </c>
      <c r="G30" s="1234" t="n">
        <v>4000</v>
      </c>
      <c r="H30" s="1226" t="n">
        <v>7.74</v>
      </c>
      <c r="I30" s="1250" t="n">
        <v>0</v>
      </c>
      <c r="J30" s="1228">
        <f>+I30*H30</f>
        <v/>
      </c>
      <c r="K30" s="1251" t="n"/>
      <c r="L30" s="1228">
        <f>IF(K30&gt;I30,"ERROR",(K30*H30)*0.25+J30)</f>
        <v/>
      </c>
      <c r="M30" s="1231" t="inlineStr">
        <is>
          <t>Automatic</t>
        </is>
      </c>
      <c r="Q30" s="1215" t="n"/>
    </row>
    <row r="31" ht="12.75" customHeight="1" s="1134">
      <c r="A31" s="1232" t="n"/>
      <c r="B31" s="1233" t="n"/>
      <c r="C31" s="1233" t="n"/>
      <c r="D31" s="1234" t="n">
        <v>0.2</v>
      </c>
      <c r="E31" s="1234" t="n">
        <v>10</v>
      </c>
      <c r="F31" s="1234" t="n">
        <v>4001</v>
      </c>
      <c r="G31" s="1234" t="n">
        <v>5000</v>
      </c>
      <c r="H31" s="1226" t="n">
        <v>8.9</v>
      </c>
      <c r="I31" s="1250" t="n">
        <v>0</v>
      </c>
      <c r="J31" s="1228">
        <f>+I31*H31</f>
        <v/>
      </c>
      <c r="K31" s="1251" t="n"/>
      <c r="L31" s="1228">
        <f>IF(K31&gt;I31,"ERROR",(K31*H31)*0.3+J31)</f>
        <v/>
      </c>
      <c r="M31" s="1231" t="inlineStr">
        <is>
          <t>Automatic</t>
        </is>
      </c>
      <c r="Q31" s="1215" t="n"/>
    </row>
    <row r="32" ht="12.75" customHeight="1" s="1134">
      <c r="A32" s="1232" t="n"/>
      <c r="B32" s="1233" t="n"/>
      <c r="C32" s="1233" t="n"/>
      <c r="D32" s="1234" t="n">
        <v>0.2</v>
      </c>
      <c r="E32" s="1234" t="n">
        <v>10</v>
      </c>
      <c r="F32" s="1234" t="n">
        <v>5001</v>
      </c>
      <c r="G32" s="1234" t="n">
        <v>6000</v>
      </c>
      <c r="H32" s="1226" t="n">
        <v>9.99</v>
      </c>
      <c r="I32" s="1250" t="n">
        <v>0</v>
      </c>
      <c r="J32" s="1228">
        <f>+I32*H32</f>
        <v/>
      </c>
      <c r="K32" s="1251" t="n"/>
      <c r="L32" s="1228">
        <f>IF(K32&gt;I32,"ERROR",(K32*H32)*0.3+J32)</f>
        <v/>
      </c>
      <c r="M32" s="1231" t="inlineStr">
        <is>
          <t>Automatic</t>
        </is>
      </c>
      <c r="Q32" s="1215" t="n"/>
    </row>
    <row r="33" ht="12.75" customFormat="1" customHeight="1" s="1132">
      <c r="A33" s="1232" t="n"/>
      <c r="B33" s="1233" t="n"/>
      <c r="C33" s="1233" t="n"/>
      <c r="D33" s="1234" t="n">
        <v>0.2</v>
      </c>
      <c r="E33" s="1234" t="n">
        <v>10</v>
      </c>
      <c r="F33" s="1234" t="n">
        <v>6001</v>
      </c>
      <c r="G33" s="1234" t="n">
        <v>7000</v>
      </c>
      <c r="H33" s="1226" t="n">
        <v>10.68</v>
      </c>
      <c r="I33" s="1250" t="n">
        <v>0</v>
      </c>
      <c r="J33" s="1228">
        <f>+I33*H33</f>
        <v/>
      </c>
      <c r="K33" s="1251" t="n"/>
      <c r="L33" s="1228">
        <f>IF(K33&gt;I33,"ERROR",(K33*H33)*0.3+J33)</f>
        <v/>
      </c>
      <c r="M33" s="1231" t="inlineStr">
        <is>
          <t>Automatic</t>
        </is>
      </c>
      <c r="N33" s="1132" t="n"/>
      <c r="O33" s="1132" t="n"/>
      <c r="P33" s="1132" t="n"/>
      <c r="Q33" s="1215" t="n"/>
    </row>
    <row r="34" ht="12.75" customHeight="1" s="1134">
      <c r="A34" s="1232" t="n"/>
      <c r="B34" s="1233" t="n"/>
      <c r="C34" s="1233" t="n"/>
      <c r="D34" s="1234" t="n">
        <v>0.2</v>
      </c>
      <c r="E34" s="1234" t="n">
        <v>10</v>
      </c>
      <c r="F34" s="1234" t="n">
        <v>7001</v>
      </c>
      <c r="G34" s="1234" t="n">
        <v>8000</v>
      </c>
      <c r="H34" s="1226" t="n">
        <v>12.37</v>
      </c>
      <c r="I34" s="1250" t="n">
        <v>0</v>
      </c>
      <c r="J34" s="1228">
        <f>+I34*H34</f>
        <v/>
      </c>
      <c r="K34" s="1251" t="n"/>
      <c r="L34" s="1228">
        <f>IF(K34&gt;I34,"ERROR",(K34*H34)*0.3+J34)</f>
        <v/>
      </c>
      <c r="M34" s="1231" t="inlineStr">
        <is>
          <t>Automatic</t>
        </is>
      </c>
      <c r="Q34" s="1215" t="n"/>
    </row>
    <row r="35" ht="12.75" customHeight="1" s="1134">
      <c r="A35" s="1232" t="n"/>
      <c r="B35" s="1233" t="n"/>
      <c r="C35" s="1233" t="n"/>
      <c r="D35" s="1234" t="n">
        <v>0.2</v>
      </c>
      <c r="E35" s="1234" t="n">
        <v>10</v>
      </c>
      <c r="F35" s="1234" t="n">
        <v>8001</v>
      </c>
      <c r="G35" s="1234" t="n">
        <v>9000</v>
      </c>
      <c r="H35" s="1226" t="n">
        <v>13.01</v>
      </c>
      <c r="I35" s="1250" t="n">
        <v>0</v>
      </c>
      <c r="J35" s="1228">
        <f>+I35*H35</f>
        <v/>
      </c>
      <c r="K35" s="1251" t="n"/>
      <c r="L35" s="1228">
        <f>IF(K35&gt;I35,"ERROR",(K35*H35)*0.3+J35)</f>
        <v/>
      </c>
      <c r="M35" s="1231" t="inlineStr">
        <is>
          <t>Automatic</t>
        </is>
      </c>
      <c r="Q35" s="1215" t="n"/>
    </row>
    <row r="36" ht="12.75" customHeight="1" s="1134">
      <c r="A36" s="1232" t="n"/>
      <c r="B36" s="1233" t="n"/>
      <c r="C36" s="1233" t="n"/>
      <c r="D36" s="1234" t="n">
        <v>0.2</v>
      </c>
      <c r="E36" s="1234" t="n">
        <v>10</v>
      </c>
      <c r="F36" s="1234" t="n">
        <v>9001</v>
      </c>
      <c r="G36" s="1234" t="n">
        <v>10000</v>
      </c>
      <c r="H36" s="1226" t="n">
        <v>14.68</v>
      </c>
      <c r="I36" s="1250" t="n">
        <v>0</v>
      </c>
      <c r="J36" s="1228">
        <f>+I36*H36</f>
        <v/>
      </c>
      <c r="K36" s="1251" t="n"/>
      <c r="L36" s="1228">
        <f>IF(K36&gt;I36,"ERROR",(K36*H36)*0.3+J36)</f>
        <v/>
      </c>
      <c r="M36" s="1231" t="inlineStr">
        <is>
          <t>Automatic</t>
        </is>
      </c>
      <c r="Q36" s="1215" t="n"/>
    </row>
    <row r="37" ht="12.75" customHeight="1" s="1134">
      <c r="A37" s="1232" t="n"/>
      <c r="B37" s="1233" t="n"/>
      <c r="C37" s="1233" t="n"/>
      <c r="D37" s="1234" t="n">
        <v>0.2</v>
      </c>
      <c r="E37" s="1234" t="n">
        <v>10</v>
      </c>
      <c r="F37" s="1234" t="n">
        <v>10001</v>
      </c>
      <c r="G37" s="1234" t="n">
        <v>11000</v>
      </c>
      <c r="H37" s="1226" t="n">
        <v>15.35</v>
      </c>
      <c r="I37" s="1250" t="n">
        <v>0</v>
      </c>
      <c r="J37" s="1228">
        <f>+I37*H37</f>
        <v/>
      </c>
      <c r="K37" s="1251" t="n"/>
      <c r="L37" s="1228">
        <f>IF(K37&gt;I37,"ERROR",(K37*H37)*0.3+J37)</f>
        <v/>
      </c>
      <c r="M37" s="1231" t="inlineStr">
        <is>
          <t>Automatic</t>
        </is>
      </c>
      <c r="Q37" s="1215" t="n"/>
    </row>
    <row r="38" ht="12.75" customHeight="1" s="1134">
      <c r="A38" s="1232" t="n"/>
      <c r="B38" s="1233" t="n"/>
      <c r="C38" s="1233" t="n"/>
      <c r="D38" s="1234" t="n">
        <v>0.2</v>
      </c>
      <c r="E38" s="1234" t="n">
        <v>10</v>
      </c>
      <c r="F38" s="1234" t="n">
        <v>11001</v>
      </c>
      <c r="G38" s="1234" t="n">
        <v>12000</v>
      </c>
      <c r="H38" s="1226" t="n">
        <v>15.96</v>
      </c>
      <c r="I38" s="1250" t="n">
        <v>0</v>
      </c>
      <c r="J38" s="1228">
        <f>+I38*H38</f>
        <v/>
      </c>
      <c r="K38" s="1251" t="n"/>
      <c r="L38" s="1228">
        <f>IF(K38&gt;I38,"ERROR",(K38*H38)*0.3+J38)</f>
        <v/>
      </c>
      <c r="M38" s="1231" t="inlineStr">
        <is>
          <t>Automatic</t>
        </is>
      </c>
      <c r="Q38" s="1215" t="n"/>
    </row>
    <row r="39" ht="12.75" customHeight="1" s="1134">
      <c r="A39" s="1232" t="n"/>
      <c r="B39" s="1233" t="n"/>
      <c r="C39" s="1233" t="n"/>
      <c r="D39" s="1234" t="n">
        <v>0.2</v>
      </c>
      <c r="E39" s="1234" t="n">
        <v>10</v>
      </c>
      <c r="F39" s="1234" t="n">
        <v>12001</v>
      </c>
      <c r="G39" s="1234" t="n">
        <v>13000</v>
      </c>
      <c r="H39" s="1226" t="n">
        <v>16.58</v>
      </c>
      <c r="I39" s="1250" t="n">
        <v>0</v>
      </c>
      <c r="J39" s="1228">
        <f>+I39*H39</f>
        <v/>
      </c>
      <c r="K39" s="1251" t="n"/>
      <c r="L39" s="1228">
        <f>IF(K39&gt;I39,"ERROR",(K39*H39)*0.3+J39)</f>
        <v/>
      </c>
      <c r="M39" s="1231" t="inlineStr">
        <is>
          <t>Automatic</t>
        </is>
      </c>
      <c r="Q39" s="1215" t="n"/>
    </row>
    <row r="40" ht="12.75" customHeight="1" s="1134">
      <c r="A40" s="1232" t="n"/>
      <c r="B40" s="1233" t="n"/>
      <c r="C40" s="1233" t="n"/>
      <c r="D40" s="1234" t="n">
        <v>0.2</v>
      </c>
      <c r="E40" s="1234" t="n">
        <v>10</v>
      </c>
      <c r="F40" s="1234" t="n">
        <v>13001</v>
      </c>
      <c r="G40" s="1234" t="n">
        <v>14000</v>
      </c>
      <c r="H40" s="1226" t="n">
        <v>17.22</v>
      </c>
      <c r="I40" s="1250" t="n">
        <v>0</v>
      </c>
      <c r="J40" s="1228">
        <f>+I40*H40</f>
        <v/>
      </c>
      <c r="K40" s="1251" t="n"/>
      <c r="L40" s="1228">
        <f>IF(K40&gt;I40,"ERROR",(K40*H40)*0.3+J40)</f>
        <v/>
      </c>
      <c r="M40" s="1231" t="inlineStr">
        <is>
          <t>Automatic</t>
        </is>
      </c>
      <c r="Q40" s="1215" t="n"/>
    </row>
    <row r="41" ht="12.75" customHeight="1" s="1134">
      <c r="A41" s="1232" t="n"/>
      <c r="B41" s="1233" t="n"/>
      <c r="C41" s="1233" t="n"/>
      <c r="D41" s="1234" t="n"/>
      <c r="E41" s="1234" t="n"/>
      <c r="F41" s="1234" t="n"/>
      <c r="G41" s="1234" t="n"/>
      <c r="H41" s="1226" t="n"/>
      <c r="I41" s="1252" t="n"/>
      <c r="J41" s="1228">
        <f>+I41*H41</f>
        <v/>
      </c>
      <c r="K41" s="1251" t="n"/>
      <c r="L41" s="1228">
        <f>IF(K41&gt;I41,"ERROR",(K41*H41)*0.3+J41)</f>
        <v/>
      </c>
      <c r="Q41" s="1215" t="n"/>
    </row>
    <row r="42" ht="12.75" customHeight="1" s="1134">
      <c r="A42" s="1232" t="n"/>
      <c r="B42" s="1233" t="n"/>
      <c r="C42" s="1233" t="n"/>
      <c r="D42" s="1234" t="n"/>
      <c r="E42" s="1234" t="n"/>
      <c r="F42" s="1234" t="n"/>
      <c r="G42" s="1234" t="n"/>
      <c r="H42" s="1226" t="n"/>
      <c r="I42" s="1252" t="n"/>
      <c r="J42" s="1228">
        <f>+I42*H42</f>
        <v/>
      </c>
      <c r="K42" s="1251" t="n"/>
      <c r="L42" s="1228">
        <f>IF(K42&gt;I42,"ERROR",(K42*H42)*0.3+J42)</f>
        <v/>
      </c>
      <c r="Q42" s="1215" t="n"/>
    </row>
    <row r="43" ht="12.75" customHeight="1" s="1134">
      <c r="A43" s="1232" t="n"/>
      <c r="B43" s="1233" t="n"/>
      <c r="C43" s="1233" t="n"/>
      <c r="D43" s="1234" t="n"/>
      <c r="E43" s="1234" t="n"/>
      <c r="F43" s="1234" t="n"/>
      <c r="G43" s="1234" t="n"/>
      <c r="H43" s="1226" t="n"/>
      <c r="I43" s="1252" t="n"/>
      <c r="J43" s="1228">
        <f>+I43*H43</f>
        <v/>
      </c>
      <c r="K43" s="1251" t="n"/>
      <c r="L43" s="1228">
        <f>IF(K43&gt;I43,"ERROR",(K43*H43)*0.3+J43)</f>
        <v/>
      </c>
      <c r="Q43" s="1215" t="n"/>
    </row>
    <row r="44" ht="13.5" customHeight="1" s="1134">
      <c r="A44" s="1236" t="n"/>
      <c r="B44" s="1237" t="n"/>
      <c r="C44" s="1237" t="n"/>
      <c r="D44" s="1238" t="n"/>
      <c r="E44" s="1238" t="n"/>
      <c r="F44" s="1238" t="n"/>
      <c r="G44" s="1238" t="n"/>
      <c r="H44" s="1239" t="n"/>
      <c r="I44" s="1253" t="n"/>
      <c r="J44" s="1241">
        <f>+I44*H44</f>
        <v/>
      </c>
      <c r="K44" s="1254" t="n"/>
      <c r="L44" s="1228">
        <f>IF(K44&gt;I44,"ERROR",(K44*H44)*0.3+J44)</f>
        <v/>
      </c>
      <c r="Q44" s="1215" t="n"/>
    </row>
    <row r="45" ht="12.75" customHeight="1" s="1134">
      <c r="A45" s="1255" t="inlineStr">
        <is>
          <t>cut heavy gage cables</t>
        </is>
      </c>
      <c r="B45" s="1256" t="inlineStr">
        <is>
          <t>Heavy Gage Cutter</t>
        </is>
      </c>
      <c r="C45" s="1256" t="inlineStr">
        <is>
          <t>Schleuniger 
PS9550</t>
        </is>
      </c>
      <c r="D45" s="1257" t="n">
        <v>6</v>
      </c>
      <c r="E45" s="1257" t="n">
        <v>10</v>
      </c>
      <c r="F45" s="1257" t="n">
        <v>60</v>
      </c>
      <c r="G45" s="1257" t="n">
        <v>100</v>
      </c>
      <c r="H45" s="1226" t="n">
        <v>3.34</v>
      </c>
      <c r="I45" s="1258" t="n">
        <v>0</v>
      </c>
      <c r="J45" s="1259">
        <f>+I45*H45</f>
        <v/>
      </c>
      <c r="K45" s="1260" t="n"/>
      <c r="L45" s="1259">
        <f>IF(K45&gt;I45,"ERROR",(K45*H45)*0.1+J45)</f>
        <v/>
      </c>
      <c r="M45" s="1231" t="inlineStr">
        <is>
          <t>Automatic</t>
        </is>
      </c>
      <c r="Q45" s="1215" t="n"/>
    </row>
    <row r="46" ht="12.75" customHeight="1" s="1134">
      <c r="A46" s="1232" t="n"/>
      <c r="B46" s="1233" t="n"/>
      <c r="C46" s="1233" t="n"/>
      <c r="D46" s="1225" t="n">
        <v>6</v>
      </c>
      <c r="E46" s="1225" t="n">
        <v>10</v>
      </c>
      <c r="F46" s="1225" t="n">
        <v>101</v>
      </c>
      <c r="G46" s="1225" t="n">
        <v>1000</v>
      </c>
      <c r="H46" s="1226" t="n">
        <v>3.34</v>
      </c>
      <c r="I46" s="1247" t="n">
        <v>0</v>
      </c>
      <c r="J46" s="1248">
        <f>+I46*H46</f>
        <v/>
      </c>
      <c r="K46" s="1249" t="n"/>
      <c r="L46" s="1248">
        <f>IF(K46&gt;I46,"ERROR",(K46*H46)*0.1+J46)</f>
        <v/>
      </c>
      <c r="M46" s="1231" t="inlineStr">
        <is>
          <t>Automatic</t>
        </is>
      </c>
      <c r="Q46" s="1215" t="n"/>
    </row>
    <row r="47" ht="12.75" customHeight="1" s="1134">
      <c r="A47" s="1232" t="n"/>
      <c r="B47" s="1233" t="n"/>
      <c r="C47" s="1233" t="n"/>
      <c r="D47" s="1234" t="n">
        <v>6</v>
      </c>
      <c r="E47" s="1234" t="n">
        <v>10</v>
      </c>
      <c r="F47" s="1234" t="n">
        <v>1001</v>
      </c>
      <c r="G47" s="1234" t="n">
        <v>2000</v>
      </c>
      <c r="H47" s="1226" t="n">
        <v>5.55</v>
      </c>
      <c r="I47" s="1250" t="n">
        <v>0</v>
      </c>
      <c r="J47" s="1228">
        <f>+I47*H47</f>
        <v/>
      </c>
      <c r="K47" s="1251" t="n"/>
      <c r="L47" s="1228">
        <f>IF(K47&gt;I47,"ERROR",(K47*H47)*0.15+J47)</f>
        <v/>
      </c>
      <c r="M47" s="1231" t="inlineStr">
        <is>
          <t>Automatic</t>
        </is>
      </c>
      <c r="Q47" s="1215" t="n"/>
    </row>
    <row r="48" ht="12.75" customHeight="1" s="1134">
      <c r="A48" s="1232" t="n"/>
      <c r="B48" s="1233" t="n"/>
      <c r="C48" s="1233" t="n"/>
      <c r="D48" s="1234" t="n">
        <v>6</v>
      </c>
      <c r="E48" s="1234" t="n">
        <v>10</v>
      </c>
      <c r="F48" s="1234" t="n">
        <v>2001</v>
      </c>
      <c r="G48" s="1234" t="n">
        <v>3000</v>
      </c>
      <c r="H48" s="1226" t="n">
        <v>7.76</v>
      </c>
      <c r="I48" s="1250" t="n">
        <v>0</v>
      </c>
      <c r="J48" s="1228">
        <f>+I48*H48</f>
        <v/>
      </c>
      <c r="K48" s="1251" t="n"/>
      <c r="L48" s="1228">
        <f>IF(K48&gt;I48,"ERROR",(K48*H48)*0.2+J48)</f>
        <v/>
      </c>
      <c r="M48" s="1231" t="inlineStr">
        <is>
          <t>Automatic</t>
        </is>
      </c>
      <c r="Q48" s="1215" t="n"/>
    </row>
    <row r="49" ht="12.75" customHeight="1" s="1134">
      <c r="A49" s="1232" t="n"/>
      <c r="B49" s="1233" t="n"/>
      <c r="C49" s="1233" t="n"/>
      <c r="D49" s="1234" t="n">
        <v>6</v>
      </c>
      <c r="E49" s="1234" t="n">
        <v>10</v>
      </c>
      <c r="F49" s="1234" t="n">
        <v>3001</v>
      </c>
      <c r="G49" s="1234" t="n">
        <v>4000</v>
      </c>
      <c r="H49" s="1226" t="n">
        <v>9.970000000000001</v>
      </c>
      <c r="I49" s="1250" t="n">
        <v>0</v>
      </c>
      <c r="J49" s="1228">
        <f>+I49*H49</f>
        <v/>
      </c>
      <c r="K49" s="1251" t="n"/>
      <c r="L49" s="1228">
        <f>IF(K49&gt;I49,"ERROR",(K49*H49)*0.25+J49)</f>
        <v/>
      </c>
      <c r="M49" s="1231" t="inlineStr">
        <is>
          <t>Automatic</t>
        </is>
      </c>
      <c r="Q49" s="1215" t="n"/>
    </row>
    <row r="50" ht="12.75" customHeight="1" s="1134">
      <c r="A50" s="1232" t="n"/>
      <c r="B50" s="1233" t="n"/>
      <c r="C50" s="1233" t="n"/>
      <c r="D50" s="1234" t="n">
        <v>6</v>
      </c>
      <c r="E50" s="1234" t="n">
        <v>10</v>
      </c>
      <c r="F50" s="1234" t="n">
        <v>4001</v>
      </c>
      <c r="G50" s="1234" t="n">
        <v>5000</v>
      </c>
      <c r="H50" s="1226" t="n">
        <v>12.19</v>
      </c>
      <c r="I50" s="1250" t="n">
        <v>0</v>
      </c>
      <c r="J50" s="1228">
        <f>+I50*H50</f>
        <v/>
      </c>
      <c r="K50" s="1251" t="n"/>
      <c r="L50" s="1228">
        <f>IF(K50&gt;I50,"ERROR",(K50*H50)*0.3+J50)</f>
        <v/>
      </c>
      <c r="M50" s="1231" t="inlineStr">
        <is>
          <t>Automatic</t>
        </is>
      </c>
      <c r="Q50" s="1215" t="n"/>
    </row>
    <row r="51" ht="12.75" customHeight="1" s="1134">
      <c r="A51" s="1232" t="n"/>
      <c r="B51" s="1233" t="n"/>
      <c r="C51" s="1233" t="n"/>
      <c r="D51" s="1234" t="n">
        <v>6</v>
      </c>
      <c r="E51" s="1234" t="n">
        <v>10</v>
      </c>
      <c r="F51" s="1234" t="n">
        <v>5001</v>
      </c>
      <c r="G51" s="1234" t="n">
        <v>6000</v>
      </c>
      <c r="H51" s="1226" t="n">
        <v>14.4</v>
      </c>
      <c r="I51" s="1250" t="n">
        <v>0</v>
      </c>
      <c r="J51" s="1228">
        <f>+I51*H51</f>
        <v/>
      </c>
      <c r="K51" s="1251" t="n"/>
      <c r="L51" s="1228">
        <f>IF(K51&gt;I51,"ERROR",(K51*H51)*0.3+J51)</f>
        <v/>
      </c>
      <c r="M51" s="1231" t="inlineStr">
        <is>
          <t>Automatic</t>
        </is>
      </c>
      <c r="Q51" s="1215" t="n"/>
    </row>
    <row r="52" ht="12.75" customHeight="1" s="1134">
      <c r="A52" s="1232" t="n"/>
      <c r="B52" s="1233" t="n"/>
      <c r="C52" s="1233" t="n"/>
      <c r="D52" s="1234" t="n">
        <v>6</v>
      </c>
      <c r="E52" s="1234" t="n">
        <v>10</v>
      </c>
      <c r="F52" s="1234" t="n">
        <v>6001</v>
      </c>
      <c r="G52" s="1234" t="n">
        <v>9000</v>
      </c>
      <c r="H52" s="1226" t="n">
        <v>18.82</v>
      </c>
      <c r="I52" s="1250" t="n">
        <v>0</v>
      </c>
      <c r="J52" s="1228">
        <f>+I52*H52</f>
        <v/>
      </c>
      <c r="K52" s="1251" t="n"/>
      <c r="L52" s="1228">
        <f>IF(K52&gt;I52,"ERROR",(K52*H52)*0.3+J52)</f>
        <v/>
      </c>
      <c r="M52" s="1231" t="inlineStr">
        <is>
          <t>Automatic</t>
        </is>
      </c>
      <c r="Q52" s="1215" t="n"/>
    </row>
    <row r="53" ht="12.75" customHeight="1" s="1134">
      <c r="A53" s="1232" t="n"/>
      <c r="B53" s="1233" t="n"/>
      <c r="C53" s="1233" t="n"/>
      <c r="D53" s="1234" t="n">
        <v>6</v>
      </c>
      <c r="E53" s="1234" t="n">
        <v>10</v>
      </c>
      <c r="F53" s="1234" t="n">
        <v>9001</v>
      </c>
      <c r="G53" s="1234" t="n">
        <v>11000</v>
      </c>
      <c r="H53" s="1226" t="n">
        <v>23.24</v>
      </c>
      <c r="I53" s="1250" t="n">
        <v>0</v>
      </c>
      <c r="J53" s="1228">
        <f>+I53*H53</f>
        <v/>
      </c>
      <c r="K53" s="1251" t="n"/>
      <c r="L53" s="1228">
        <f>IF(K53&gt;I53,"ERROR",(K53*H53)*0.3+J53)</f>
        <v/>
      </c>
      <c r="M53" s="1231" t="inlineStr">
        <is>
          <t>Automatic</t>
        </is>
      </c>
      <c r="Q53" s="1215" t="n"/>
    </row>
    <row r="54" ht="12.75" customHeight="1" s="1134">
      <c r="A54" s="1232" t="n"/>
      <c r="B54" s="1233" t="n"/>
      <c r="C54" s="1233" t="n"/>
      <c r="D54" s="1234" t="n">
        <v>6</v>
      </c>
      <c r="E54" s="1234" t="n">
        <v>10</v>
      </c>
      <c r="F54" s="1234" t="n">
        <v>11001</v>
      </c>
      <c r="G54" s="1234" t="n">
        <v>13000</v>
      </c>
      <c r="H54" s="1226" t="n">
        <v>28.69</v>
      </c>
      <c r="I54" s="1250" t="n">
        <v>0</v>
      </c>
      <c r="J54" s="1228">
        <f>+I54*H54</f>
        <v/>
      </c>
      <c r="K54" s="1251" t="n"/>
      <c r="L54" s="1228">
        <f>IF(K54&gt;I54,"ERROR",(K54*H54)*0.3+J54)</f>
        <v/>
      </c>
      <c r="M54" s="1231" t="inlineStr">
        <is>
          <t>Automatic</t>
        </is>
      </c>
      <c r="Q54" s="1215" t="n"/>
    </row>
    <row r="55" ht="12.75" customHeight="1" s="1134">
      <c r="A55" s="1232" t="n"/>
      <c r="B55" s="1233" t="n"/>
      <c r="C55" s="1233" t="n"/>
      <c r="D55" s="1234" t="n"/>
      <c r="E55" s="1234" t="n"/>
      <c r="F55" s="1234" t="n"/>
      <c r="G55" s="1234" t="n"/>
      <c r="H55" s="1226" t="n"/>
      <c r="I55" s="1252" t="n"/>
      <c r="J55" s="1228">
        <f>+I55*H55</f>
        <v/>
      </c>
      <c r="K55" s="1251" t="n"/>
      <c r="L55" s="1228">
        <f>IF(K55&gt;I55,"ERROR",(K55*H55)*0.3+J55)</f>
        <v/>
      </c>
      <c r="Q55" s="1215" t="n"/>
    </row>
    <row r="56" ht="12.75" customHeight="1" s="1134">
      <c r="A56" s="1232" t="n"/>
      <c r="B56" s="1233" t="n"/>
      <c r="C56" s="1233" t="n"/>
      <c r="D56" s="1234" t="n"/>
      <c r="E56" s="1234" t="n"/>
      <c r="F56" s="1234" t="n"/>
      <c r="G56" s="1234" t="n"/>
      <c r="H56" s="1226" t="n"/>
      <c r="I56" s="1252" t="n"/>
      <c r="J56" s="1228">
        <f>+I56*H56</f>
        <v/>
      </c>
      <c r="K56" s="1251" t="n"/>
      <c r="L56" s="1228">
        <f>IF(K56&gt;I56,"ERROR",(K56*H56)*0.3+J56)</f>
        <v/>
      </c>
      <c r="Q56" s="1215" t="n"/>
    </row>
    <row r="57" ht="12.75" customHeight="1" s="1134">
      <c r="A57" s="1232" t="n"/>
      <c r="B57" s="1233" t="n"/>
      <c r="C57" s="1233" t="n"/>
      <c r="D57" s="1234" t="n"/>
      <c r="E57" s="1234" t="n"/>
      <c r="F57" s="1234" t="n"/>
      <c r="G57" s="1234" t="n"/>
      <c r="H57" s="1226" t="n"/>
      <c r="I57" s="1252" t="n"/>
      <c r="J57" s="1228">
        <f>+I57*H57</f>
        <v/>
      </c>
      <c r="K57" s="1251" t="n"/>
      <c r="L57" s="1228">
        <f>IF(K57&gt;I57,"ERROR",(K57*H57)*0.3+J57)</f>
        <v/>
      </c>
      <c r="Q57" s="1215" t="n"/>
    </row>
    <row r="58" ht="17.25" customHeight="1" s="1134">
      <c r="A58" s="1236" t="n"/>
      <c r="B58" s="1237" t="n"/>
      <c r="C58" s="1237" t="n"/>
      <c r="D58" s="1238" t="n"/>
      <c r="E58" s="1238" t="n"/>
      <c r="F58" s="1238" t="n"/>
      <c r="G58" s="1238" t="n"/>
      <c r="H58" s="1239" t="n"/>
      <c r="I58" s="1253" t="n"/>
      <c r="J58" s="1241">
        <f>+I58*H58</f>
        <v/>
      </c>
      <c r="K58" s="1254" t="n"/>
      <c r="L58" s="1241">
        <f>IF(K58&gt;I58,"ERROR",(K58*H58)*0.3+J58)</f>
        <v/>
      </c>
      <c r="Q58" s="1215" t="n"/>
    </row>
    <row r="59" ht="12.75" customHeight="1" s="1134">
      <c r="A59" s="1255" t="inlineStr">
        <is>
          <t>cut heavy gage cables</t>
        </is>
      </c>
      <c r="B59" s="1256" t="inlineStr">
        <is>
          <t>Heavy Gage Cutter 
For wires longer than 3000 mm automatic coiling is performed (included in the time)</t>
        </is>
      </c>
      <c r="C59" s="1256" t="inlineStr">
        <is>
          <t>Schleuniger MS 9600</t>
        </is>
      </c>
      <c r="D59" s="1257" t="n">
        <v>11</v>
      </c>
      <c r="E59" s="1257" t="n">
        <v>35</v>
      </c>
      <c r="F59" s="1257" t="n">
        <v>60</v>
      </c>
      <c r="G59" s="1257" t="n">
        <v>100</v>
      </c>
      <c r="H59" s="1226" t="n">
        <v>6.48</v>
      </c>
      <c r="I59" s="1258" t="n">
        <v>0</v>
      </c>
      <c r="J59" s="1259">
        <f>+I59*H59</f>
        <v/>
      </c>
      <c r="K59" s="1260" t="n"/>
      <c r="L59" s="1259">
        <f>IF(K59&gt;I59,"ERROR",(K59*H59)*0.1+J59)</f>
        <v/>
      </c>
      <c r="M59" s="1231" t="inlineStr">
        <is>
          <t>Automatic</t>
        </is>
      </c>
      <c r="Q59" s="1215" t="n"/>
    </row>
    <row r="60" ht="12.75" customHeight="1" s="1134">
      <c r="A60" s="1232" t="n"/>
      <c r="B60" s="1233" t="n"/>
      <c r="C60" s="1233" t="n"/>
      <c r="D60" s="1225" t="n">
        <v>11</v>
      </c>
      <c r="E60" s="1225" t="n">
        <v>35</v>
      </c>
      <c r="F60" s="1225" t="n">
        <v>101</v>
      </c>
      <c r="G60" s="1225" t="n">
        <v>1000</v>
      </c>
      <c r="H60" s="1226" t="n">
        <v>6.48</v>
      </c>
      <c r="I60" s="1247" t="n">
        <v>0</v>
      </c>
      <c r="J60" s="1248">
        <f>+I60*H60</f>
        <v/>
      </c>
      <c r="K60" s="1249" t="n"/>
      <c r="L60" s="1248">
        <f>IF(K60&gt;I60,"ERROR",(K60*H60)*0.1+J60)</f>
        <v/>
      </c>
      <c r="M60" s="1231" t="inlineStr">
        <is>
          <t>Automatic</t>
        </is>
      </c>
      <c r="Q60" s="1215" t="n"/>
    </row>
    <row r="61" ht="12.75" customHeight="1" s="1134">
      <c r="A61" s="1232" t="n"/>
      <c r="B61" s="1233" t="n"/>
      <c r="C61" s="1233" t="n"/>
      <c r="D61" s="1234" t="n">
        <v>11</v>
      </c>
      <c r="E61" s="1234" t="n">
        <v>35</v>
      </c>
      <c r="F61" s="1234" t="n">
        <v>1001</v>
      </c>
      <c r="G61" s="1234" t="n">
        <v>2000</v>
      </c>
      <c r="H61" s="1226" t="n">
        <v>7.44</v>
      </c>
      <c r="I61" s="1250" t="n">
        <v>0</v>
      </c>
      <c r="J61" s="1228">
        <f>+I61*H61</f>
        <v/>
      </c>
      <c r="K61" s="1251" t="n"/>
      <c r="L61" s="1228">
        <f>IF(K61&gt;I61,"ERROR",(K61*H61)*0.15+J61)</f>
        <v/>
      </c>
      <c r="M61" s="1231" t="inlineStr">
        <is>
          <t>Automatic</t>
        </is>
      </c>
      <c r="Q61" s="1215" t="n"/>
    </row>
    <row r="62" ht="12.75" customHeight="1" s="1134">
      <c r="A62" s="1232" t="n"/>
      <c r="B62" s="1233" t="n"/>
      <c r="C62" s="1233" t="n"/>
      <c r="D62" s="1234" t="n">
        <v>11</v>
      </c>
      <c r="E62" s="1234" t="n">
        <v>35</v>
      </c>
      <c r="F62" s="1234" t="n">
        <v>2001</v>
      </c>
      <c r="G62" s="1234" t="n">
        <v>3000</v>
      </c>
      <c r="H62" s="1226" t="n">
        <v>8.460000000000001</v>
      </c>
      <c r="I62" s="1250" t="n">
        <v>0</v>
      </c>
      <c r="J62" s="1228">
        <f>+I62*H62</f>
        <v/>
      </c>
      <c r="K62" s="1251" t="n"/>
      <c r="L62" s="1228">
        <f>IF(K62&gt;I62,"ERROR",(K62*H62)*0.2+J62)</f>
        <v/>
      </c>
      <c r="M62" s="1231" t="inlineStr">
        <is>
          <t>Automatic</t>
        </is>
      </c>
      <c r="Q62" s="1215" t="n"/>
    </row>
    <row r="63" ht="12.75" customHeight="1" s="1134">
      <c r="A63" s="1232" t="n"/>
      <c r="B63" s="1233" t="n"/>
      <c r="C63" s="1233" t="n"/>
      <c r="D63" s="1234" t="n">
        <v>11</v>
      </c>
      <c r="E63" s="1234" t="n">
        <v>35</v>
      </c>
      <c r="F63" s="1234" t="n">
        <v>3001</v>
      </c>
      <c r="G63" s="1234" t="n">
        <v>4000</v>
      </c>
      <c r="H63" s="1226" t="n">
        <v>21.72</v>
      </c>
      <c r="I63" s="1250" t="n">
        <v>0</v>
      </c>
      <c r="J63" s="1228">
        <f>+I63*H63</f>
        <v/>
      </c>
      <c r="K63" s="1251" t="n"/>
      <c r="L63" s="1228">
        <f>IF(K63&gt;I63,"ERROR",(K63*H63)*0.25+J63)</f>
        <v/>
      </c>
      <c r="M63" s="1231" t="inlineStr">
        <is>
          <t>Automatic</t>
        </is>
      </c>
      <c r="Q63" s="1215" t="n"/>
    </row>
    <row r="64" ht="12.75" customHeight="1" s="1134">
      <c r="A64" s="1232" t="n"/>
      <c r="B64" s="1233" t="n"/>
      <c r="C64" s="1233" t="n"/>
      <c r="D64" s="1234" t="n">
        <v>11</v>
      </c>
      <c r="E64" s="1234" t="n">
        <v>35</v>
      </c>
      <c r="F64" s="1234" t="n">
        <v>4001</v>
      </c>
      <c r="G64" s="1234" t="n">
        <v>5000</v>
      </c>
      <c r="H64" s="1226" t="n">
        <v>22.5</v>
      </c>
      <c r="I64" s="1250" t="n">
        <v>0</v>
      </c>
      <c r="J64" s="1228">
        <f>+I64*H64</f>
        <v/>
      </c>
      <c r="K64" s="1251" t="n"/>
      <c r="L64" s="1228">
        <f>IF(K64&gt;I64,"ERROR",(K64*H64)*0.3+J64)</f>
        <v/>
      </c>
      <c r="M64" s="1231" t="inlineStr">
        <is>
          <t>Automatic</t>
        </is>
      </c>
      <c r="Q64" s="1215" t="n"/>
    </row>
    <row r="65" ht="12.75" customHeight="1" s="1134">
      <c r="A65" s="1232" t="n"/>
      <c r="B65" s="1233" t="n"/>
      <c r="C65" s="1233" t="n"/>
      <c r="D65" s="1234" t="n">
        <v>11</v>
      </c>
      <c r="E65" s="1234" t="n">
        <v>35</v>
      </c>
      <c r="F65" s="1234" t="n">
        <v>5001</v>
      </c>
      <c r="G65" s="1234" t="n">
        <v>6000</v>
      </c>
      <c r="H65" s="1226" t="n">
        <v>24</v>
      </c>
      <c r="I65" s="1250" t="n">
        <v>0</v>
      </c>
      <c r="J65" s="1228">
        <f>+I65*H65</f>
        <v/>
      </c>
      <c r="K65" s="1251" t="n"/>
      <c r="L65" s="1228">
        <f>IF(K65&gt;I65,"ERROR",(K65*H65)*0.3+J65)</f>
        <v/>
      </c>
      <c r="M65" s="1231" t="inlineStr">
        <is>
          <t>Automatic</t>
        </is>
      </c>
      <c r="Q65" s="1215" t="n"/>
    </row>
    <row r="66" ht="12.75" customHeight="1" s="1134">
      <c r="A66" s="1232" t="n"/>
      <c r="B66" s="1233" t="n"/>
      <c r="C66" s="1233" t="n"/>
      <c r="D66" s="1234" t="n">
        <v>11</v>
      </c>
      <c r="E66" s="1234" t="n">
        <v>35</v>
      </c>
      <c r="F66" s="1234" t="n">
        <v>6001</v>
      </c>
      <c r="G66" s="1234" t="n">
        <v>9000</v>
      </c>
      <c r="H66" s="1226" t="n">
        <v>27.72</v>
      </c>
      <c r="I66" s="1250" t="n">
        <v>0</v>
      </c>
      <c r="J66" s="1228">
        <f>+I66*H66</f>
        <v/>
      </c>
      <c r="K66" s="1251" t="n"/>
      <c r="L66" s="1228">
        <f>IF(K66&gt;I66,"ERROR",(K66*H66)*0.3+J66)</f>
        <v/>
      </c>
      <c r="M66" s="1231" t="inlineStr">
        <is>
          <t>Automatic</t>
        </is>
      </c>
      <c r="Q66" s="1215" t="n"/>
    </row>
    <row r="67" ht="12.75" customHeight="1" s="1134">
      <c r="A67" s="1232" t="n"/>
      <c r="B67" s="1233" t="n"/>
      <c r="C67" s="1233" t="n"/>
      <c r="D67" s="1234" t="n">
        <v>11</v>
      </c>
      <c r="E67" s="1234" t="n">
        <v>35</v>
      </c>
      <c r="F67" s="1234" t="n">
        <v>9001</v>
      </c>
      <c r="G67" s="1234" t="n">
        <v>11000</v>
      </c>
      <c r="H67" s="1226" t="n">
        <v>29.88</v>
      </c>
      <c r="I67" s="1250" t="n">
        <v>0</v>
      </c>
      <c r="J67" s="1228">
        <f>+I67*H67</f>
        <v/>
      </c>
      <c r="K67" s="1251" t="n"/>
      <c r="L67" s="1228">
        <f>IF(K67&gt;I67,"ERROR",(K67*H67)*0.3+J67)</f>
        <v/>
      </c>
      <c r="M67" s="1231" t="inlineStr">
        <is>
          <t>Automatic</t>
        </is>
      </c>
      <c r="Q67" s="1215" t="n"/>
    </row>
    <row r="68" ht="12.75" customHeight="1" s="1134">
      <c r="A68" s="1232" t="n"/>
      <c r="B68" s="1233" t="n"/>
      <c r="C68" s="1233" t="n"/>
      <c r="D68" s="1234" t="n">
        <v>11</v>
      </c>
      <c r="E68" s="1234" t="n">
        <v>35</v>
      </c>
      <c r="F68" s="1234" t="n">
        <v>110001</v>
      </c>
      <c r="G68" s="1234" t="n">
        <v>13000</v>
      </c>
      <c r="H68" s="1226" t="n">
        <v>32.2</v>
      </c>
      <c r="I68" s="1250" t="n">
        <v>0</v>
      </c>
      <c r="J68" s="1228">
        <f>+I68*H68</f>
        <v/>
      </c>
      <c r="K68" s="1251" t="n"/>
      <c r="L68" s="1228">
        <f>IF(K68&gt;I68,"ERROR",(K68*H68)*0.3+J68)</f>
        <v/>
      </c>
      <c r="M68" s="1231" t="inlineStr">
        <is>
          <t>Automatic</t>
        </is>
      </c>
      <c r="Q68" s="1215" t="n"/>
    </row>
    <row r="69" ht="12.75" customHeight="1" s="1134">
      <c r="A69" s="1232" t="n"/>
      <c r="B69" s="1233" t="n"/>
      <c r="C69" s="1233" t="n"/>
      <c r="D69" s="1234" t="n"/>
      <c r="E69" s="1234" t="n"/>
      <c r="F69" s="1234" t="n"/>
      <c r="G69" s="1234" t="n"/>
      <c r="H69" s="1226" t="n"/>
      <c r="I69" s="1252" t="n"/>
      <c r="J69" s="1228">
        <f>+I69*H69</f>
        <v/>
      </c>
      <c r="K69" s="1251" t="n"/>
      <c r="L69" s="1228">
        <f>IF(K69&gt;I69,"ERROR",(K69*H69)*0.3+J69)</f>
        <v/>
      </c>
      <c r="Q69" s="1215" t="n"/>
    </row>
    <row r="70" ht="12.75" customHeight="1" s="1134">
      <c r="A70" s="1232" t="n"/>
      <c r="B70" s="1233" t="n"/>
      <c r="C70" s="1233" t="n"/>
      <c r="D70" s="1234" t="n"/>
      <c r="E70" s="1234" t="n"/>
      <c r="F70" s="1234" t="n"/>
      <c r="G70" s="1234" t="n"/>
      <c r="H70" s="1226" t="n"/>
      <c r="I70" s="1252" t="n"/>
      <c r="J70" s="1228">
        <f>+I70*H70</f>
        <v/>
      </c>
      <c r="K70" s="1251" t="n"/>
      <c r="L70" s="1228">
        <f>IF(K70&gt;I70,"ERROR",(K70*H70)*0.3+J70)</f>
        <v/>
      </c>
      <c r="Q70" s="1215" t="n"/>
    </row>
    <row r="71" ht="12.75" customHeight="1" s="1134">
      <c r="A71" s="1232" t="n"/>
      <c r="B71" s="1233" t="n"/>
      <c r="C71" s="1233" t="n"/>
      <c r="D71" s="1234" t="n"/>
      <c r="E71" s="1234" t="n"/>
      <c r="F71" s="1234" t="n"/>
      <c r="G71" s="1234" t="n"/>
      <c r="H71" s="1226" t="n"/>
      <c r="I71" s="1252" t="n"/>
      <c r="J71" s="1228">
        <f>+I71*H71</f>
        <v/>
      </c>
      <c r="K71" s="1251" t="n"/>
      <c r="L71" s="1228">
        <f>IF(K71&gt;I71,"ERROR",(K71*H71)*0.3+J71)</f>
        <v/>
      </c>
      <c r="Q71" s="1215" t="n"/>
    </row>
    <row r="72" ht="13.5" customHeight="1" s="1134">
      <c r="A72" s="1236" t="n"/>
      <c r="B72" s="1237" t="n"/>
      <c r="C72" s="1237" t="n"/>
      <c r="D72" s="1238" t="n"/>
      <c r="E72" s="1238" t="n"/>
      <c r="F72" s="1238" t="n"/>
      <c r="G72" s="1238" t="n"/>
      <c r="H72" s="1239" t="n"/>
      <c r="I72" s="1253" t="n"/>
      <c r="J72" s="1241">
        <f>+I72*H72</f>
        <v/>
      </c>
      <c r="K72" s="1254" t="n"/>
      <c r="L72" s="1241">
        <f>IF(K72&gt;I72,"ERROR",(K72*H72)*0.3+J72)</f>
        <v/>
      </c>
      <c r="Q72" s="1215" t="n"/>
    </row>
    <row r="73" ht="12.75" customHeight="1" s="1134">
      <c r="A73" s="1255" t="inlineStr">
        <is>
          <t>cut heavy gage cables</t>
        </is>
      </c>
      <c r="B73" s="1256" t="inlineStr">
        <is>
          <t>Heavy Gage Cutter 
For wires longer than 3000 mm automatic coiling is performed (included in the time)</t>
        </is>
      </c>
      <c r="C73" s="1256" t="inlineStr">
        <is>
          <t>Schleuniger MS 9600</t>
        </is>
      </c>
      <c r="D73" s="1257" t="n">
        <v>36</v>
      </c>
      <c r="E73" s="1257" t="n">
        <v>50</v>
      </c>
      <c r="F73" s="1257" t="n">
        <v>60</v>
      </c>
      <c r="G73" s="1257" t="n">
        <v>100</v>
      </c>
      <c r="H73" s="1226" t="n">
        <v>6.84</v>
      </c>
      <c r="I73" s="1258" t="n">
        <v>0</v>
      </c>
      <c r="J73" s="1259">
        <f>+I73*H73</f>
        <v/>
      </c>
      <c r="K73" s="1260" t="n"/>
      <c r="L73" s="1259">
        <f>IF(K73&gt;I73,"ERROR",(K73*H73)*0.1+J73)</f>
        <v/>
      </c>
      <c r="M73" s="1231" t="inlineStr">
        <is>
          <t>Automatic</t>
        </is>
      </c>
      <c r="Q73" s="1215" t="n"/>
    </row>
    <row r="74" ht="12.75" customHeight="1" s="1134">
      <c r="A74" s="1232" t="n"/>
      <c r="B74" s="1233" t="n"/>
      <c r="C74" s="1233" t="n"/>
      <c r="D74" s="1225" t="n">
        <v>36</v>
      </c>
      <c r="E74" s="1225" t="n">
        <v>50</v>
      </c>
      <c r="F74" s="1225" t="n">
        <v>101</v>
      </c>
      <c r="G74" s="1225" t="n">
        <v>1000</v>
      </c>
      <c r="H74" s="1226" t="n">
        <v>6.84</v>
      </c>
      <c r="I74" s="1247" t="n">
        <v>0</v>
      </c>
      <c r="J74" s="1248">
        <f>+I74*H74</f>
        <v/>
      </c>
      <c r="K74" s="1249" t="n"/>
      <c r="L74" s="1248">
        <f>IF(K74&gt;I74,"ERROR",(K74*H74)*0.1+J74)</f>
        <v/>
      </c>
      <c r="M74" s="1231" t="inlineStr">
        <is>
          <t>Automatic</t>
        </is>
      </c>
      <c r="Q74" s="1215" t="n"/>
    </row>
    <row r="75" ht="12.75" customHeight="1" s="1134">
      <c r="A75" s="1232" t="n"/>
      <c r="B75" s="1233" t="n"/>
      <c r="C75" s="1233" t="n"/>
      <c r="D75" s="1234" t="n">
        <v>36</v>
      </c>
      <c r="E75" s="1234" t="n">
        <v>50</v>
      </c>
      <c r="F75" s="1234" t="n">
        <v>1001</v>
      </c>
      <c r="G75" s="1234" t="n">
        <v>2000</v>
      </c>
      <c r="H75" s="1226" t="n">
        <v>8.1</v>
      </c>
      <c r="I75" s="1250" t="n">
        <v>0</v>
      </c>
      <c r="J75" s="1228">
        <f>+I75*H75</f>
        <v/>
      </c>
      <c r="K75" s="1251" t="n"/>
      <c r="L75" s="1228">
        <f>IF(K75&gt;I75,"ERROR",(K75*H75)*0.15+J75)</f>
        <v/>
      </c>
      <c r="M75" s="1231" t="inlineStr">
        <is>
          <t>Automatic</t>
        </is>
      </c>
      <c r="Q75" s="1215" t="n"/>
    </row>
    <row r="76" ht="12.75" customHeight="1" s="1134">
      <c r="A76" s="1232" t="n"/>
      <c r="B76" s="1233" t="n"/>
      <c r="C76" s="1233" t="n"/>
      <c r="D76" s="1234" t="n">
        <v>36</v>
      </c>
      <c r="E76" s="1234" t="n">
        <v>50</v>
      </c>
      <c r="F76" s="1234" t="n">
        <v>2001</v>
      </c>
      <c r="G76" s="1234" t="n">
        <v>3000</v>
      </c>
      <c r="H76" s="1226" t="n">
        <v>9.42</v>
      </c>
      <c r="I76" s="1250" t="n">
        <v>0</v>
      </c>
      <c r="J76" s="1228">
        <f>+I76*H76</f>
        <v/>
      </c>
      <c r="K76" s="1251" t="n"/>
      <c r="L76" s="1228">
        <f>IF(K76&gt;I76,"ERROR",(K76*H76)*0.2+J76)</f>
        <v/>
      </c>
      <c r="M76" s="1231" t="inlineStr">
        <is>
          <t>Automatic</t>
        </is>
      </c>
      <c r="Q76" s="1215" t="n"/>
    </row>
    <row r="77" ht="12.75" customHeight="1" s="1134">
      <c r="A77" s="1232" t="n"/>
      <c r="B77" s="1233" t="n"/>
      <c r="C77" s="1233" t="n"/>
      <c r="D77" s="1234" t="n">
        <v>36</v>
      </c>
      <c r="E77" s="1234" t="n">
        <v>50</v>
      </c>
      <c r="F77" s="1234" t="n">
        <v>3001</v>
      </c>
      <c r="G77" s="1234" t="n">
        <v>4000</v>
      </c>
      <c r="H77" s="1226" t="n">
        <v>22.8</v>
      </c>
      <c r="I77" s="1250" t="n">
        <v>0</v>
      </c>
      <c r="J77" s="1228">
        <f>+I77*H77</f>
        <v/>
      </c>
      <c r="K77" s="1251" t="n"/>
      <c r="L77" s="1228">
        <f>IF(K77&gt;I77,"ERROR",(K77*H77)*0.25+J77)</f>
        <v/>
      </c>
      <c r="M77" s="1231" t="inlineStr">
        <is>
          <t>Automatic</t>
        </is>
      </c>
      <c r="Q77" s="1215" t="n"/>
    </row>
    <row r="78" ht="12.75" customHeight="1" s="1134">
      <c r="A78" s="1232" t="n"/>
      <c r="B78" s="1233" t="n"/>
      <c r="C78" s="1233" t="n"/>
      <c r="D78" s="1234" t="n">
        <v>36</v>
      </c>
      <c r="E78" s="1234" t="n">
        <v>50</v>
      </c>
      <c r="F78" s="1234" t="n">
        <v>4001</v>
      </c>
      <c r="G78" s="1234" t="n">
        <v>5000</v>
      </c>
      <c r="H78" s="1226" t="n">
        <v>24.6</v>
      </c>
      <c r="I78" s="1250" t="n">
        <v>0</v>
      </c>
      <c r="J78" s="1228">
        <f>+I78*H78</f>
        <v/>
      </c>
      <c r="K78" s="1251" t="n"/>
      <c r="L78" s="1228">
        <f>IF(K78&gt;I78,"ERROR",(K78*H78)*0.3+J78)</f>
        <v/>
      </c>
      <c r="M78" s="1231" t="inlineStr">
        <is>
          <t>Automatic</t>
        </is>
      </c>
      <c r="Q78" s="1215" t="n"/>
    </row>
    <row r="79" ht="12.75" customHeight="1" s="1134">
      <c r="A79" s="1232" t="n"/>
      <c r="B79" s="1233" t="n"/>
      <c r="C79" s="1233" t="n"/>
      <c r="D79" s="1234" t="n">
        <v>36</v>
      </c>
      <c r="E79" s="1234" t="n">
        <v>50</v>
      </c>
      <c r="F79" s="1234" t="n">
        <v>5001</v>
      </c>
      <c r="G79" s="1234" t="n">
        <v>6000</v>
      </c>
      <c r="H79" s="1226" t="n">
        <v>26.1</v>
      </c>
      <c r="I79" s="1250" t="n">
        <v>0</v>
      </c>
      <c r="J79" s="1228">
        <f>+I79*H79</f>
        <v/>
      </c>
      <c r="K79" s="1251" t="n"/>
      <c r="L79" s="1228">
        <f>IF(K79&gt;I79,"ERROR",(K79*H79)*0.3+J79)</f>
        <v/>
      </c>
      <c r="M79" s="1231" t="inlineStr">
        <is>
          <t>Automatic</t>
        </is>
      </c>
      <c r="Q79" s="1215" t="n"/>
    </row>
    <row r="80" ht="12.75" customHeight="1" s="1134">
      <c r="A80" s="1232" t="n"/>
      <c r="B80" s="1233" t="n"/>
      <c r="C80" s="1233" t="n"/>
      <c r="D80" s="1234" t="n">
        <v>36</v>
      </c>
      <c r="E80" s="1234" t="n">
        <v>50</v>
      </c>
      <c r="F80" s="1234" t="n">
        <v>6001</v>
      </c>
      <c r="G80" s="1234" t="n">
        <v>9000</v>
      </c>
      <c r="H80" s="1226" t="n">
        <v>29.4</v>
      </c>
      <c r="I80" s="1250" t="n">
        <v>0</v>
      </c>
      <c r="J80" s="1228">
        <f>+I80*H80</f>
        <v/>
      </c>
      <c r="K80" s="1251" t="n"/>
      <c r="L80" s="1228">
        <f>IF(K80&gt;I80,"ERROR",(K80*H80)*0.3+J80)</f>
        <v/>
      </c>
      <c r="M80" s="1231" t="inlineStr">
        <is>
          <t>Automatic</t>
        </is>
      </c>
      <c r="Q80" s="1215" t="n"/>
    </row>
    <row r="81" ht="12.75" customHeight="1" s="1134">
      <c r="A81" s="1232" t="n"/>
      <c r="B81" s="1233" t="n"/>
      <c r="C81" s="1233" t="n"/>
      <c r="D81" s="1234" t="n">
        <v>36</v>
      </c>
      <c r="E81" s="1234" t="n">
        <v>50</v>
      </c>
      <c r="F81" s="1234" t="n">
        <v>9001</v>
      </c>
      <c r="G81" s="1234" t="n">
        <v>11000</v>
      </c>
      <c r="H81" s="1226" t="n">
        <v>32.52</v>
      </c>
      <c r="I81" s="1250" t="n">
        <v>0</v>
      </c>
      <c r="J81" s="1228">
        <f>+I81*H81</f>
        <v/>
      </c>
      <c r="K81" s="1251" t="n"/>
      <c r="L81" s="1228">
        <f>IF(K81&gt;I81,"ERROR",(K81*H81)*0.3+J81)</f>
        <v/>
      </c>
      <c r="M81" s="1231" t="inlineStr">
        <is>
          <t>Automatic</t>
        </is>
      </c>
      <c r="Q81" s="1215" t="n"/>
    </row>
    <row r="82" ht="12.75" customHeight="1" s="1134">
      <c r="A82" s="1232" t="n"/>
      <c r="B82" s="1233" t="n"/>
      <c r="C82" s="1233" t="n"/>
      <c r="D82" s="1234" t="n">
        <v>36</v>
      </c>
      <c r="E82" s="1234" t="n">
        <v>50</v>
      </c>
      <c r="F82" s="1234" t="n">
        <v>110001</v>
      </c>
      <c r="G82" s="1234" t="n">
        <v>13000</v>
      </c>
      <c r="H82" s="1226" t="n">
        <v>35.97</v>
      </c>
      <c r="I82" s="1250" t="n">
        <v>0</v>
      </c>
      <c r="J82" s="1228">
        <f>+I82*H82</f>
        <v/>
      </c>
      <c r="K82" s="1251" t="n"/>
      <c r="L82" s="1228">
        <f>IF(K82&gt;I82,"ERROR",(K82*H82)*0.3+J82)</f>
        <v/>
      </c>
      <c r="M82" s="1231" t="inlineStr">
        <is>
          <t>Automatic</t>
        </is>
      </c>
      <c r="Q82" s="1215" t="n"/>
    </row>
    <row r="83" ht="12.75" customHeight="1" s="1134">
      <c r="A83" s="1232" t="n"/>
      <c r="B83" s="1233" t="n"/>
      <c r="C83" s="1233" t="n"/>
      <c r="D83" s="1234" t="n"/>
      <c r="E83" s="1234" t="n"/>
      <c r="F83" s="1234" t="n"/>
      <c r="G83" s="1234" t="n"/>
      <c r="H83" s="1226" t="n"/>
      <c r="I83" s="1252" t="n"/>
      <c r="J83" s="1228">
        <f>+I83*H83</f>
        <v/>
      </c>
      <c r="K83" s="1251" t="n"/>
      <c r="L83" s="1228">
        <f>IF(K83&gt;I83,"ERROR",(K83*H83)*0.3+J83)</f>
        <v/>
      </c>
      <c r="Q83" s="1215" t="n"/>
    </row>
    <row r="84" ht="12.75" customHeight="1" s="1134">
      <c r="A84" s="1232" t="n"/>
      <c r="B84" s="1233" t="n"/>
      <c r="C84" s="1233" t="n"/>
      <c r="D84" s="1234" t="n"/>
      <c r="E84" s="1234" t="n"/>
      <c r="F84" s="1234" t="n"/>
      <c r="G84" s="1234" t="n"/>
      <c r="H84" s="1226" t="n"/>
      <c r="I84" s="1252" t="n"/>
      <c r="J84" s="1228">
        <f>+I84*H84</f>
        <v/>
      </c>
      <c r="K84" s="1251" t="n"/>
      <c r="L84" s="1228">
        <f>IF(K84&gt;I84,"ERROR",(K84*H84)*0.3+J84)</f>
        <v/>
      </c>
      <c r="Q84" s="1215" t="n"/>
    </row>
    <row r="85" ht="12.75" customHeight="1" s="1134">
      <c r="A85" s="1232" t="n"/>
      <c r="B85" s="1233" t="n"/>
      <c r="C85" s="1233" t="n"/>
      <c r="D85" s="1234" t="n"/>
      <c r="E85" s="1234" t="n"/>
      <c r="F85" s="1234" t="n"/>
      <c r="G85" s="1234" t="n"/>
      <c r="H85" s="1226" t="n"/>
      <c r="I85" s="1252" t="n"/>
      <c r="J85" s="1228">
        <f>+I85*H85</f>
        <v/>
      </c>
      <c r="K85" s="1251" t="n"/>
      <c r="L85" s="1228">
        <f>IF(K85&gt;I85,"ERROR",(K85*H85)*0.3+J85)</f>
        <v/>
      </c>
      <c r="Q85" s="1215" t="n"/>
    </row>
    <row r="86" ht="13.5" customHeight="1" s="1134">
      <c r="A86" s="1236" t="n"/>
      <c r="B86" s="1237" t="n"/>
      <c r="C86" s="1237" t="n"/>
      <c r="D86" s="1238" t="n"/>
      <c r="E86" s="1238" t="n"/>
      <c r="F86" s="1238" t="n"/>
      <c r="G86" s="1238" t="n"/>
      <c r="H86" s="1239" t="n"/>
      <c r="I86" s="1253" t="n"/>
      <c r="J86" s="1241">
        <f>+I86*H86</f>
        <v/>
      </c>
      <c r="K86" s="1254" t="n"/>
      <c r="L86" s="1241">
        <f>IF(K86&gt;I86,"ERROR",(K86*H86)*0.3+J86)</f>
        <v/>
      </c>
      <c r="Q86" s="1215" t="n"/>
    </row>
    <row r="87" ht="12.75" customHeight="1" s="1134">
      <c r="A87" s="1255" t="inlineStr">
        <is>
          <t>cut heavy gage cables</t>
        </is>
      </c>
      <c r="B87" s="1256" t="inlineStr">
        <is>
          <t>Heavy Gage Cutter 
For wires longer than 3000 mm automatic coiling is performed (included in the time)</t>
        </is>
      </c>
      <c r="C87" s="1256" t="inlineStr">
        <is>
          <t>Schleuniger MS 9600</t>
        </is>
      </c>
      <c r="D87" s="1257" t="n">
        <v>51</v>
      </c>
      <c r="E87" s="1257" t="n">
        <v>70</v>
      </c>
      <c r="F87" s="1257" t="n">
        <v>60</v>
      </c>
      <c r="G87" s="1257" t="n">
        <v>100</v>
      </c>
      <c r="H87" s="1226" t="n">
        <v>7.38</v>
      </c>
      <c r="I87" s="1258" t="n">
        <v>1</v>
      </c>
      <c r="J87" s="1259">
        <f>+I87*H87</f>
        <v/>
      </c>
      <c r="K87" s="1260" t="inlineStr">
        <is>
          <t>BEST</t>
        </is>
      </c>
      <c r="L87" s="1259">
        <f>IF(K87&gt;I87,"ERROR",(K87*H87)*0.1+J87)</f>
        <v/>
      </c>
      <c r="M87" s="1231" t="inlineStr">
        <is>
          <t>Automatic</t>
        </is>
      </c>
      <c r="Q87" s="1215" t="n"/>
    </row>
    <row r="88" ht="12.75" customHeight="1" s="1134">
      <c r="A88" s="1232" t="n"/>
      <c r="B88" s="1233" t="n"/>
      <c r="C88" s="1233" t="n"/>
      <c r="D88" s="1225" t="n">
        <v>51</v>
      </c>
      <c r="E88" s="1225" t="n">
        <v>70</v>
      </c>
      <c r="F88" s="1225" t="n">
        <v>101</v>
      </c>
      <c r="G88" s="1225" t="n">
        <v>1000</v>
      </c>
      <c r="H88" s="1226" t="n">
        <v>7.38</v>
      </c>
      <c r="I88" s="1247" t="n">
        <v>0</v>
      </c>
      <c r="J88" s="1248">
        <f>+I88*H88</f>
        <v/>
      </c>
      <c r="K88" s="1249" t="n"/>
      <c r="L88" s="1248">
        <f>IF(K88&gt;I88,"ERROR",(K88*H88)*0.1+J88)</f>
        <v/>
      </c>
      <c r="M88" s="1231" t="inlineStr">
        <is>
          <t>Automatic</t>
        </is>
      </c>
      <c r="Q88" s="1215" t="n"/>
    </row>
    <row r="89" ht="12.75" customHeight="1" s="1134">
      <c r="A89" s="1232" t="n"/>
      <c r="B89" s="1233" t="n"/>
      <c r="C89" s="1233" t="n"/>
      <c r="D89" s="1234" t="n">
        <v>51</v>
      </c>
      <c r="E89" s="1234" t="n">
        <v>70</v>
      </c>
      <c r="F89" s="1234" t="n">
        <v>1001</v>
      </c>
      <c r="G89" s="1234" t="n">
        <v>2000</v>
      </c>
      <c r="H89" s="1226" t="n">
        <v>9.42</v>
      </c>
      <c r="I89" s="1250" t="n">
        <v>0</v>
      </c>
      <c r="J89" s="1228">
        <f>+I89*H89</f>
        <v/>
      </c>
      <c r="K89" s="1251" t="n"/>
      <c r="L89" s="1228">
        <f>IF(K89&gt;I89,"ERROR",(K89*H89)*0.15+J89)</f>
        <v/>
      </c>
      <c r="M89" s="1231" t="inlineStr">
        <is>
          <t>Automatic</t>
        </is>
      </c>
      <c r="Q89" s="1215" t="n"/>
    </row>
    <row r="90" ht="12.75" customHeight="1" s="1134">
      <c r="A90" s="1232" t="n"/>
      <c r="B90" s="1233" t="n"/>
      <c r="C90" s="1233" t="n"/>
      <c r="D90" s="1234" t="n">
        <v>51</v>
      </c>
      <c r="E90" s="1234" t="n">
        <v>70</v>
      </c>
      <c r="F90" s="1234" t="n">
        <v>2001</v>
      </c>
      <c r="G90" s="1234" t="n">
        <v>3000</v>
      </c>
      <c r="H90" s="1226" t="n">
        <v>11.34</v>
      </c>
      <c r="I90" s="1250" t="n">
        <v>0</v>
      </c>
      <c r="J90" s="1228">
        <f>+I90*H90</f>
        <v/>
      </c>
      <c r="K90" s="1251" t="n"/>
      <c r="L90" s="1228">
        <f>IF(K90&gt;I90,"ERROR",(K90*H90)*0.2+J90)</f>
        <v/>
      </c>
      <c r="M90" s="1231" t="inlineStr">
        <is>
          <t>Automatic</t>
        </is>
      </c>
      <c r="Q90" s="1215" t="n"/>
    </row>
    <row r="91" ht="12.75" customHeight="1" s="1134">
      <c r="A91" s="1232" t="n"/>
      <c r="B91" s="1233" t="n"/>
      <c r="C91" s="1233" t="n"/>
      <c r="D91" s="1234" t="n">
        <v>51</v>
      </c>
      <c r="E91" s="1234" t="n">
        <v>70</v>
      </c>
      <c r="F91" s="1234" t="n">
        <v>3001</v>
      </c>
      <c r="G91" s="1234" t="n">
        <v>4000</v>
      </c>
      <c r="H91" s="1226" t="n">
        <v>25.8</v>
      </c>
      <c r="I91" s="1250" t="n">
        <v>0</v>
      </c>
      <c r="J91" s="1228">
        <f>+I91*H91</f>
        <v/>
      </c>
      <c r="K91" s="1251" t="n"/>
      <c r="L91" s="1228">
        <f>IF(K91&gt;I91,"ERROR",(K91*H91)*0.25+J91)</f>
        <v/>
      </c>
      <c r="M91" s="1231" t="inlineStr">
        <is>
          <t>Automatic</t>
        </is>
      </c>
      <c r="Q91" s="1215" t="n"/>
    </row>
    <row r="92" ht="12.75" customHeight="1" s="1134">
      <c r="A92" s="1232" t="n"/>
      <c r="B92" s="1233" t="n"/>
      <c r="C92" s="1233" t="n"/>
      <c r="D92" s="1234" t="n">
        <v>51</v>
      </c>
      <c r="E92" s="1234" t="n">
        <v>70</v>
      </c>
      <c r="F92" s="1234" t="n">
        <v>4001</v>
      </c>
      <c r="G92" s="1234" t="n">
        <v>5000</v>
      </c>
      <c r="H92" s="1226" t="n">
        <v>27.12</v>
      </c>
      <c r="I92" s="1250" t="n">
        <v>0</v>
      </c>
      <c r="J92" s="1228">
        <f>+I92*H92</f>
        <v/>
      </c>
      <c r="K92" s="1251" t="n"/>
      <c r="L92" s="1228">
        <f>IF(K92&gt;I92,"ERROR",(K92*H92)*0.3+J92)</f>
        <v/>
      </c>
      <c r="M92" s="1231" t="inlineStr">
        <is>
          <t>Automatic</t>
        </is>
      </c>
      <c r="Q92" s="1215" t="n"/>
    </row>
    <row r="93" ht="12.75" customHeight="1" s="1134">
      <c r="A93" s="1232" t="n"/>
      <c r="B93" s="1233" t="n"/>
      <c r="C93" s="1233" t="n"/>
      <c r="D93" s="1234" t="n">
        <v>51</v>
      </c>
      <c r="E93" s="1234" t="n">
        <v>70</v>
      </c>
      <c r="F93" s="1234" t="n">
        <v>5001</v>
      </c>
      <c r="G93" s="1234" t="n">
        <v>6000</v>
      </c>
      <c r="H93" s="1226" t="n">
        <v>29.28</v>
      </c>
      <c r="I93" s="1250" t="n">
        <v>0</v>
      </c>
      <c r="J93" s="1228">
        <f>+I93*H93</f>
        <v/>
      </c>
      <c r="K93" s="1251" t="n"/>
      <c r="L93" s="1228">
        <f>IF(K93&gt;I93,"ERROR",(K93*H93)*0.3+J93)</f>
        <v/>
      </c>
      <c r="M93" s="1231" t="inlineStr">
        <is>
          <t>Automatic</t>
        </is>
      </c>
      <c r="Q93" s="1215" t="n"/>
    </row>
    <row r="94" ht="12.75" customHeight="1" s="1134">
      <c r="A94" s="1232" t="n"/>
      <c r="B94" s="1233" t="n"/>
      <c r="C94" s="1233" t="n"/>
      <c r="D94" s="1234" t="n">
        <v>51</v>
      </c>
      <c r="E94" s="1234" t="n">
        <v>70</v>
      </c>
      <c r="F94" s="1234" t="n">
        <v>6001</v>
      </c>
      <c r="G94" s="1234" t="n">
        <v>9000</v>
      </c>
      <c r="H94" s="1226" t="n">
        <v>34.92</v>
      </c>
      <c r="I94" s="1250" t="n">
        <v>0</v>
      </c>
      <c r="J94" s="1228">
        <f>+I94*H94</f>
        <v/>
      </c>
      <c r="K94" s="1251" t="n"/>
      <c r="L94" s="1228">
        <f>IF(K94&gt;I94,"ERROR",(K94*H94)*0.3+J94)</f>
        <v/>
      </c>
      <c r="M94" s="1231" t="inlineStr">
        <is>
          <t>Automatic</t>
        </is>
      </c>
      <c r="Q94" s="1215" t="n"/>
    </row>
    <row r="95" ht="12.75" customHeight="1" s="1134">
      <c r="A95" s="1232" t="n"/>
      <c r="B95" s="1233" t="n"/>
      <c r="C95" s="1233" t="n"/>
      <c r="D95" s="1234" t="n">
        <v>51</v>
      </c>
      <c r="E95" s="1234" t="n">
        <v>70</v>
      </c>
      <c r="F95" s="1234" t="n">
        <v>9001</v>
      </c>
      <c r="G95" s="1234" t="n">
        <v>11000</v>
      </c>
      <c r="H95" s="1261" t="n">
        <v>39</v>
      </c>
      <c r="I95" s="1262" t="n">
        <v>0</v>
      </c>
      <c r="J95" s="1228">
        <f>+I95*H95</f>
        <v/>
      </c>
      <c r="K95" s="1251" t="n"/>
      <c r="L95" s="1228">
        <f>IF(K95&gt;I95,"ERROR",(K95*H95)*0.3+J95)</f>
        <v/>
      </c>
      <c r="M95" s="1231" t="inlineStr">
        <is>
          <t>Automatic</t>
        </is>
      </c>
      <c r="Q95" s="1215" t="n"/>
    </row>
    <row r="96" ht="12.75" customHeight="1" s="1134">
      <c r="A96" s="1232" t="n"/>
      <c r="B96" s="1233" t="n"/>
      <c r="C96" s="1233" t="n"/>
      <c r="D96" s="1234" t="n">
        <v>51</v>
      </c>
      <c r="E96" s="1234" t="n">
        <v>70</v>
      </c>
      <c r="F96" s="1234" t="n">
        <v>110001</v>
      </c>
      <c r="G96" s="1234" t="n">
        <v>13000</v>
      </c>
      <c r="H96" s="1261" t="n">
        <v>43.55</v>
      </c>
      <c r="I96" s="1262" t="n">
        <v>0</v>
      </c>
      <c r="J96" s="1228">
        <f>+I96*H96</f>
        <v/>
      </c>
      <c r="K96" s="1251" t="n"/>
      <c r="L96" s="1228">
        <f>IF(K96&gt;I96,"ERROR",(K96*H96)*0.3+J96)</f>
        <v/>
      </c>
      <c r="M96" s="1231" t="inlineStr">
        <is>
          <t>Automatic</t>
        </is>
      </c>
      <c r="Q96" s="1215" t="n"/>
    </row>
    <row r="97" ht="12.75" customHeight="1" s="1134">
      <c r="A97" s="1232" t="n"/>
      <c r="B97" s="1233" t="n"/>
      <c r="C97" s="1233" t="n"/>
      <c r="D97" s="1234" t="n"/>
      <c r="E97" s="1234" t="n"/>
      <c r="F97" s="1234" t="n"/>
      <c r="G97" s="1234" t="n"/>
      <c r="H97" s="1261" t="n"/>
      <c r="I97" s="1263" t="n"/>
      <c r="J97" s="1228">
        <f>+I97*H97</f>
        <v/>
      </c>
      <c r="K97" s="1251" t="n"/>
      <c r="L97" s="1228">
        <f>IF(K97&gt;I97,"ERROR",(K97*H97)*0.3+J97)</f>
        <v/>
      </c>
      <c r="Q97" s="1215" t="n"/>
    </row>
    <row r="98" ht="12.75" customHeight="1" s="1134">
      <c r="A98" s="1232" t="n"/>
      <c r="B98" s="1233" t="n"/>
      <c r="C98" s="1233" t="n"/>
      <c r="D98" s="1234" t="n"/>
      <c r="E98" s="1234" t="n"/>
      <c r="F98" s="1234" t="n"/>
      <c r="G98" s="1234" t="n"/>
      <c r="H98" s="1261" t="n"/>
      <c r="I98" s="1263" t="n"/>
      <c r="J98" s="1228">
        <f>+I98*H98</f>
        <v/>
      </c>
      <c r="K98" s="1251" t="n"/>
      <c r="L98" s="1228">
        <f>IF(K98&gt;I98,"ERROR",(K98*H98)*0.3+J98)</f>
        <v/>
      </c>
      <c r="Q98" s="1215" t="n"/>
    </row>
    <row r="99" ht="12.75" customHeight="1" s="1134">
      <c r="A99" s="1232" t="n"/>
      <c r="B99" s="1233" t="n"/>
      <c r="C99" s="1233" t="n"/>
      <c r="D99" s="1234" t="n"/>
      <c r="E99" s="1234" t="n"/>
      <c r="F99" s="1234" t="n"/>
      <c r="G99" s="1234" t="n"/>
      <c r="H99" s="1261" t="n"/>
      <c r="I99" s="1263" t="n"/>
      <c r="J99" s="1228">
        <f>+I99*H99</f>
        <v/>
      </c>
      <c r="K99" s="1251" t="n"/>
      <c r="L99" s="1228">
        <f>IF(K99&gt;I99,"ERROR",(K99*H99)*0.3+J99)</f>
        <v/>
      </c>
      <c r="Q99" s="1215" t="n"/>
    </row>
    <row r="100" ht="13.5" customHeight="1" s="1134">
      <c r="A100" s="1236" t="n"/>
      <c r="B100" s="1237" t="n"/>
      <c r="C100" s="1237" t="n"/>
      <c r="D100" s="1238" t="n"/>
      <c r="E100" s="1238" t="n"/>
      <c r="F100" s="1238" t="n"/>
      <c r="G100" s="1238" t="n"/>
      <c r="H100" s="1239" t="n"/>
      <c r="I100" s="1253" t="n"/>
      <c r="J100" s="1241">
        <f>+I100*H100</f>
        <v/>
      </c>
      <c r="K100" s="1254" t="n"/>
      <c r="L100" s="1241">
        <f>IF(K100&gt;I100,"ERROR",(K100*H100)*0.3+J100)</f>
        <v/>
      </c>
      <c r="Q100" s="1215" t="n"/>
    </row>
    <row r="101" ht="12.75" customHeight="1" s="1134">
      <c r="A101" s="1255" t="inlineStr">
        <is>
          <t>cut heavy gage cables</t>
        </is>
      </c>
      <c r="B101" s="1256" t="inlineStr">
        <is>
          <t>Heavy Gage Cutter 
For wires longer than 3000 mm automatic coiling is performed (included in the time)</t>
        </is>
      </c>
      <c r="C101" s="1256" t="inlineStr">
        <is>
          <t>Schleuniger MS 9600</t>
        </is>
      </c>
      <c r="D101" s="1257" t="n">
        <v>71</v>
      </c>
      <c r="E101" s="1257" t="n">
        <v>103</v>
      </c>
      <c r="F101" s="1257" t="n">
        <v>60</v>
      </c>
      <c r="G101" s="1257" t="n">
        <v>100</v>
      </c>
      <c r="H101" s="1226" t="n">
        <v>9.6</v>
      </c>
      <c r="I101" s="1258" t="n">
        <v>0</v>
      </c>
      <c r="J101" s="1259">
        <f>+I101*H101</f>
        <v/>
      </c>
      <c r="K101" s="1260" t="n"/>
      <c r="L101" s="1259">
        <f>IF(K101&gt;I101,"ERROR",(K101*H101)*0.1+J101)</f>
        <v/>
      </c>
      <c r="M101" s="1231" t="inlineStr">
        <is>
          <t>Automatic</t>
        </is>
      </c>
      <c r="Q101" s="1215" t="n"/>
    </row>
    <row r="102" ht="12.75" customHeight="1" s="1134">
      <c r="A102" s="1232" t="n"/>
      <c r="B102" s="1233" t="n"/>
      <c r="C102" s="1233" t="n"/>
      <c r="D102" s="1225" t="n">
        <v>71</v>
      </c>
      <c r="E102" s="1225" t="n">
        <v>103</v>
      </c>
      <c r="F102" s="1225" t="n">
        <v>101</v>
      </c>
      <c r="G102" s="1225" t="n">
        <v>1000</v>
      </c>
      <c r="H102" s="1226" t="n">
        <v>9.6</v>
      </c>
      <c r="I102" s="1247" t="n">
        <v>0</v>
      </c>
      <c r="J102" s="1248">
        <f>+I102*H102</f>
        <v/>
      </c>
      <c r="K102" s="1249" t="n"/>
      <c r="L102" s="1248">
        <f>IF(K102&gt;I102,"ERROR",(K102*H102)*0.1+J102)</f>
        <v/>
      </c>
      <c r="M102" s="1231" t="inlineStr">
        <is>
          <t>Automatic</t>
        </is>
      </c>
      <c r="Q102" s="1215" t="n"/>
    </row>
    <row r="103" ht="12.75" customHeight="1" s="1134">
      <c r="A103" s="1232" t="n"/>
      <c r="B103" s="1233" t="n"/>
      <c r="C103" s="1233" t="n"/>
      <c r="D103" s="1234" t="n">
        <v>71</v>
      </c>
      <c r="E103" s="1234" t="n">
        <v>103</v>
      </c>
      <c r="F103" s="1234" t="n">
        <v>1001</v>
      </c>
      <c r="G103" s="1234" t="n">
        <v>2000</v>
      </c>
      <c r="H103" s="1226" t="n">
        <v>12.6</v>
      </c>
      <c r="I103" s="1250" t="n">
        <v>0</v>
      </c>
      <c r="J103" s="1228">
        <f>+I103*H103</f>
        <v/>
      </c>
      <c r="K103" s="1251" t="n"/>
      <c r="L103" s="1228">
        <f>IF(K103&gt;I103,"ERROR",(K103*H103)*0.15+J103)</f>
        <v/>
      </c>
      <c r="M103" s="1231" t="inlineStr">
        <is>
          <t>Automatic</t>
        </is>
      </c>
      <c r="Q103" s="1215" t="n"/>
    </row>
    <row r="104" ht="12.75" customHeight="1" s="1134">
      <c r="A104" s="1232" t="n"/>
      <c r="B104" s="1233" t="n"/>
      <c r="C104" s="1233" t="n"/>
      <c r="D104" s="1234" t="n">
        <v>71</v>
      </c>
      <c r="E104" s="1234" t="n">
        <v>103</v>
      </c>
      <c r="F104" s="1234" t="n">
        <v>2001</v>
      </c>
      <c r="G104" s="1234" t="n">
        <v>3000</v>
      </c>
      <c r="H104" s="1226" t="n">
        <v>15.96</v>
      </c>
      <c r="I104" s="1250" t="n">
        <v>0</v>
      </c>
      <c r="J104" s="1228">
        <f>+I104*H104</f>
        <v/>
      </c>
      <c r="K104" s="1251" t="n"/>
      <c r="L104" s="1228">
        <f>IF(K104&gt;I104,"ERROR",(K104*H104)*0.2+J104)</f>
        <v/>
      </c>
      <c r="M104" s="1231" t="inlineStr">
        <is>
          <t>Automatic</t>
        </is>
      </c>
      <c r="Q104" s="1215" t="n"/>
    </row>
    <row r="105" ht="12.75" customHeight="1" s="1134">
      <c r="A105" s="1232" t="n"/>
      <c r="B105" s="1233" t="n"/>
      <c r="C105" s="1233" t="n"/>
      <c r="D105" s="1234" t="n">
        <v>71</v>
      </c>
      <c r="E105" s="1234" t="n">
        <v>103</v>
      </c>
      <c r="F105" s="1234" t="n">
        <v>3001</v>
      </c>
      <c r="G105" s="1234" t="n">
        <v>4000</v>
      </c>
      <c r="H105" s="1226" t="n">
        <v>31.02</v>
      </c>
      <c r="I105" s="1250" t="n">
        <v>0</v>
      </c>
      <c r="J105" s="1228">
        <f>+I105*H105</f>
        <v/>
      </c>
      <c r="K105" s="1251" t="n"/>
      <c r="L105" s="1228">
        <f>IF(K105&gt;I105,"ERROR",(K105*H105)*0.25+J105)</f>
        <v/>
      </c>
      <c r="M105" s="1231" t="inlineStr">
        <is>
          <t>Automatic</t>
        </is>
      </c>
      <c r="Q105" s="1215" t="n"/>
    </row>
    <row r="106" ht="12.75" customHeight="1" s="1134">
      <c r="A106" s="1232" t="n"/>
      <c r="B106" s="1233" t="n"/>
      <c r="C106" s="1233" t="n"/>
      <c r="D106" s="1234" t="n">
        <v>71</v>
      </c>
      <c r="E106" s="1234" t="n">
        <v>103</v>
      </c>
      <c r="F106" s="1234" t="n">
        <v>4001</v>
      </c>
      <c r="G106" s="1234" t="n">
        <v>5000</v>
      </c>
      <c r="H106" s="1226" t="n">
        <v>34.98</v>
      </c>
      <c r="I106" s="1250" t="n">
        <v>0</v>
      </c>
      <c r="J106" s="1228">
        <f>+I106*H106</f>
        <v/>
      </c>
      <c r="K106" s="1251" t="n"/>
      <c r="L106" s="1228">
        <f>IF(K106&gt;I106,"ERROR",(K106*H106)*0.3+J106)</f>
        <v/>
      </c>
      <c r="M106" s="1231" t="inlineStr">
        <is>
          <t>Automatic</t>
        </is>
      </c>
      <c r="Q106" s="1215" t="n"/>
    </row>
    <row r="107" ht="12.75" customHeight="1" s="1134">
      <c r="A107" s="1232" t="n"/>
      <c r="B107" s="1233" t="n"/>
      <c r="C107" s="1233" t="n"/>
      <c r="D107" s="1234" t="n">
        <v>71</v>
      </c>
      <c r="E107" s="1234" t="n">
        <v>103</v>
      </c>
      <c r="F107" s="1234" t="n">
        <v>5001</v>
      </c>
      <c r="G107" s="1234" t="n">
        <v>6000</v>
      </c>
      <c r="H107" s="1226" t="n">
        <v>40.02</v>
      </c>
      <c r="I107" s="1250" t="n">
        <v>0</v>
      </c>
      <c r="J107" s="1228">
        <f>+I107*H107</f>
        <v/>
      </c>
      <c r="K107" s="1251" t="n"/>
      <c r="L107" s="1228">
        <f>IF(K107&gt;I107,"ERROR",(K107*H107)*0.3+J107)</f>
        <v/>
      </c>
      <c r="M107" s="1231" t="inlineStr">
        <is>
          <t>Automatic</t>
        </is>
      </c>
      <c r="Q107" s="1215" t="n"/>
    </row>
    <row r="108" ht="12.75" customHeight="1" s="1134">
      <c r="A108" s="1232" t="n"/>
      <c r="B108" s="1233" t="n"/>
      <c r="C108" s="1233" t="n"/>
      <c r="D108" s="1234" t="n">
        <v>71</v>
      </c>
      <c r="E108" s="1234" t="n">
        <v>103</v>
      </c>
      <c r="F108" s="1234" t="n">
        <v>6001</v>
      </c>
      <c r="G108" s="1234" t="n">
        <v>9000</v>
      </c>
      <c r="H108" s="1226" t="n">
        <v>48</v>
      </c>
      <c r="I108" s="1250" t="n">
        <v>0</v>
      </c>
      <c r="J108" s="1228">
        <f>+I108*H108</f>
        <v/>
      </c>
      <c r="K108" s="1251" t="n"/>
      <c r="L108" s="1228">
        <f>IF(K108&gt;I108,"ERROR",(K108*H108)*0.3+J108)</f>
        <v/>
      </c>
      <c r="M108" s="1231" t="inlineStr">
        <is>
          <t>Automatic</t>
        </is>
      </c>
      <c r="Q108" s="1215" t="n"/>
    </row>
    <row r="109" ht="12.75" customHeight="1" s="1134">
      <c r="A109" s="1232" t="n"/>
      <c r="B109" s="1233" t="n"/>
      <c r="C109" s="1233" t="n"/>
      <c r="D109" s="1234" t="n">
        <v>71</v>
      </c>
      <c r="E109" s="1234" t="n">
        <v>103</v>
      </c>
      <c r="F109" s="1264" t="n">
        <v>9001</v>
      </c>
      <c r="G109" s="1264" t="n">
        <v>11000</v>
      </c>
      <c r="H109" s="1261" t="n">
        <v>55.98</v>
      </c>
      <c r="I109" s="1262" t="n">
        <v>0</v>
      </c>
      <c r="J109" s="1265">
        <f>+I109*H109</f>
        <v/>
      </c>
      <c r="K109" s="1266" t="n"/>
      <c r="L109" s="1228">
        <f>IF(K109&gt;I109,"ERROR",(K109*H109)*0.3+J109)</f>
        <v/>
      </c>
      <c r="M109" s="1231" t="inlineStr">
        <is>
          <t>Automatic</t>
        </is>
      </c>
      <c r="Q109" s="1215" t="n"/>
    </row>
    <row r="110" ht="12.75" customHeight="1" s="1134">
      <c r="A110" s="1232" t="n"/>
      <c r="B110" s="1233" t="n"/>
      <c r="C110" s="1233" t="n"/>
      <c r="D110" s="1234" t="n">
        <v>71</v>
      </c>
      <c r="E110" s="1234" t="n">
        <v>103</v>
      </c>
      <c r="F110" s="1234" t="n">
        <v>110001</v>
      </c>
      <c r="G110" s="1234" t="n">
        <v>13000</v>
      </c>
      <c r="H110" s="1261" t="n">
        <v>65.28</v>
      </c>
      <c r="I110" s="1262" t="n">
        <v>0</v>
      </c>
      <c r="J110" s="1265">
        <f>+I110*H110</f>
        <v/>
      </c>
      <c r="K110" s="1266" t="n"/>
      <c r="L110" s="1228">
        <f>IF(K110&gt;I110,"ERROR",(K110*H110)*0.3+J110)</f>
        <v/>
      </c>
      <c r="M110" s="1231" t="inlineStr">
        <is>
          <t>Automatic</t>
        </is>
      </c>
      <c r="Q110" s="1215" t="n"/>
    </row>
    <row r="111" ht="12.75" customHeight="1" s="1134">
      <c r="A111" s="1232" t="n"/>
      <c r="B111" s="1233" t="n"/>
      <c r="C111" s="1233" t="n"/>
      <c r="D111" s="1234" t="n"/>
      <c r="E111" s="1234" t="n"/>
      <c r="F111" s="1264" t="n"/>
      <c r="G111" s="1264" t="n"/>
      <c r="H111" s="1261" t="n"/>
      <c r="I111" s="1263" t="n"/>
      <c r="J111" s="1265">
        <f>+I111*H111</f>
        <v/>
      </c>
      <c r="K111" s="1266" t="n"/>
      <c r="L111" s="1228">
        <f>IF(K111&gt;I111,"ERROR",(K111*H111)*0.3+J111)</f>
        <v/>
      </c>
      <c r="Q111" s="1215" t="n"/>
    </row>
    <row r="112" ht="12.75" customHeight="1" s="1134">
      <c r="A112" s="1232" t="n"/>
      <c r="B112" s="1233" t="n"/>
      <c r="C112" s="1233" t="n"/>
      <c r="D112" s="1234" t="n"/>
      <c r="E112" s="1234" t="n"/>
      <c r="F112" s="1264" t="n"/>
      <c r="G112" s="1264" t="n"/>
      <c r="H112" s="1261" t="n"/>
      <c r="I112" s="1263" t="n"/>
      <c r="J112" s="1265">
        <f>+I112*H112</f>
        <v/>
      </c>
      <c r="K112" s="1266" t="n"/>
      <c r="L112" s="1228">
        <f>IF(K112&gt;I112,"ERROR",(K112*H112)*0.3+J112)</f>
        <v/>
      </c>
      <c r="Q112" s="1215" t="n"/>
    </row>
    <row r="113" ht="12.75" customHeight="1" s="1134">
      <c r="A113" s="1232" t="n"/>
      <c r="B113" s="1233" t="n"/>
      <c r="C113" s="1233" t="n"/>
      <c r="D113" s="1234" t="n"/>
      <c r="E113" s="1234" t="n"/>
      <c r="F113" s="1264" t="n"/>
      <c r="G113" s="1264" t="n"/>
      <c r="H113" s="1261" t="n"/>
      <c r="I113" s="1263" t="n"/>
      <c r="J113" s="1265">
        <f>+I113*H113</f>
        <v/>
      </c>
      <c r="K113" s="1266" t="n"/>
      <c r="L113" s="1228">
        <f>IF(K113&gt;I113,"ERROR",(K113*H113)*0.3+J113)</f>
        <v/>
      </c>
      <c r="Q113" s="1215" t="n"/>
    </row>
    <row r="114" ht="13.5" customHeight="1" s="1134">
      <c r="A114" s="1236" t="n"/>
      <c r="B114" s="1237" t="n"/>
      <c r="C114" s="1237" t="n"/>
      <c r="D114" s="1238" t="n"/>
      <c r="E114" s="1238" t="n"/>
      <c r="F114" s="1238" t="n"/>
      <c r="G114" s="1238" t="n"/>
      <c r="H114" s="1239" t="n"/>
      <c r="I114" s="1253" t="n"/>
      <c r="J114" s="1241">
        <f>+I114*H114</f>
        <v/>
      </c>
      <c r="K114" s="1254" t="n"/>
      <c r="L114" s="1241">
        <f>IF(K114&gt;I114,"ERROR",(K114*H114)*0.3+J114)</f>
        <v/>
      </c>
      <c r="Q114" s="1215" t="n"/>
    </row>
    <row r="115" ht="12.75" customHeight="1" s="1134">
      <c r="A115" s="1255" t="inlineStr">
        <is>
          <t>cut/ strip &amp;crimp
CROSS SECTION 0,13mm²</t>
        </is>
      </c>
      <c r="B115" s="1256" t="inlineStr">
        <is>
          <t>Crimp by Crimp Cutter</t>
        </is>
      </c>
      <c r="C115" s="1256" t="inlineStr">
        <is>
          <t>SHINMAYWA TRD401</t>
        </is>
      </c>
      <c r="D115" s="1257" t="n">
        <v>0.13</v>
      </c>
      <c r="E115" s="1257" t="n">
        <v>0.13</v>
      </c>
      <c r="F115" s="1257" t="n">
        <v>60</v>
      </c>
      <c r="G115" s="1267" t="n">
        <v>100</v>
      </c>
      <c r="H115" s="1268" t="n">
        <v>1.0909</v>
      </c>
      <c r="I115" s="1258" t="n">
        <v>0</v>
      </c>
      <c r="J115" s="1259">
        <f>+I115*H115</f>
        <v/>
      </c>
      <c r="K115" s="1260" t="n"/>
      <c r="L115" s="1259">
        <f>IF(K115&gt;I115,"ERROR",(K115*H115)*0.1+J115)</f>
        <v/>
      </c>
      <c r="M115" s="1231" t="inlineStr">
        <is>
          <t>Automatic</t>
        </is>
      </c>
      <c r="Q115" s="1215" t="n"/>
    </row>
    <row r="116" ht="12.75" customHeight="1" s="1134">
      <c r="A116" s="1232" t="n"/>
      <c r="B116" s="1233" t="n"/>
      <c r="C116" s="1233" t="n"/>
      <c r="D116" s="1234" t="n">
        <v>0.13</v>
      </c>
      <c r="E116" s="1234" t="n">
        <v>0.13</v>
      </c>
      <c r="F116" s="1225" t="n">
        <v>101</v>
      </c>
      <c r="G116" s="1269" t="n">
        <v>1000</v>
      </c>
      <c r="H116" s="1268" t="n">
        <v>1.0909</v>
      </c>
      <c r="I116" s="1247" t="n">
        <v>0</v>
      </c>
      <c r="J116" s="1248">
        <f>+I116*H116</f>
        <v/>
      </c>
      <c r="K116" s="1249" t="n"/>
      <c r="L116" s="1248">
        <f>IF(K116&gt;I116,"ERROR",(K116*H116)*0.1+J116)</f>
        <v/>
      </c>
      <c r="M116" s="1231" t="inlineStr">
        <is>
          <t>Automatic</t>
        </is>
      </c>
      <c r="Q116" s="1215" t="n"/>
    </row>
    <row r="117" ht="12.75" customHeight="1" s="1134">
      <c r="A117" s="1232" t="n"/>
      <c r="B117" s="1233" t="n"/>
      <c r="C117" s="1233" t="n"/>
      <c r="D117" s="1234" t="n">
        <v>0.13</v>
      </c>
      <c r="E117" s="1234" t="n">
        <v>0.13</v>
      </c>
      <c r="F117" s="1234" t="n">
        <v>1001</v>
      </c>
      <c r="G117" s="1270" t="n">
        <v>2000</v>
      </c>
      <c r="H117" s="1268" t="n">
        <v>1.2211</v>
      </c>
      <c r="I117" s="1250" t="n">
        <v>0</v>
      </c>
      <c r="J117" s="1228">
        <f>+I117*H117</f>
        <v/>
      </c>
      <c r="K117" s="1251" t="n"/>
      <c r="L117" s="1228">
        <f>IF(K117&gt;I117,"ERROR",(K117*H117)*0.15+J117)</f>
        <v/>
      </c>
      <c r="M117" s="1231" t="inlineStr">
        <is>
          <t>Automatic</t>
        </is>
      </c>
      <c r="Q117" s="1215" t="n"/>
    </row>
    <row r="118" ht="12.75" customHeight="1" s="1134">
      <c r="A118" s="1232" t="n"/>
      <c r="B118" s="1233" t="n"/>
      <c r="C118" s="1233" t="n"/>
      <c r="D118" s="1234" t="n">
        <v>0.13</v>
      </c>
      <c r="E118" s="1234" t="n">
        <v>0.13</v>
      </c>
      <c r="F118" s="1234" t="n">
        <v>2001</v>
      </c>
      <c r="G118" s="1270" t="n">
        <v>3000</v>
      </c>
      <c r="H118" s="1268" t="n">
        <v>1.4218</v>
      </c>
      <c r="I118" s="1250" t="n">
        <v>0</v>
      </c>
      <c r="J118" s="1228">
        <f>+I118*H118</f>
        <v/>
      </c>
      <c r="K118" s="1251" t="n"/>
      <c r="L118" s="1228">
        <f>IF(K118&gt;I118,"ERROR",(K118*H118)*0.2+J118)</f>
        <v/>
      </c>
      <c r="M118" s="1231" t="inlineStr">
        <is>
          <t>Automatic</t>
        </is>
      </c>
      <c r="Q118" s="1215" t="n"/>
    </row>
    <row r="119" ht="12.75" customHeight="1" s="1134">
      <c r="A119" s="1232" t="n"/>
      <c r="B119" s="1233" t="n"/>
      <c r="C119" s="1233" t="n"/>
      <c r="D119" s="1234" t="n">
        <v>0.13</v>
      </c>
      <c r="E119" s="1234" t="n">
        <v>0.13</v>
      </c>
      <c r="F119" s="1234" t="n">
        <v>3001</v>
      </c>
      <c r="G119" s="1270" t="n">
        <v>4000</v>
      </c>
      <c r="H119" s="1268" t="n">
        <v>1.6231</v>
      </c>
      <c r="I119" s="1250" t="n">
        <v>0</v>
      </c>
      <c r="J119" s="1228">
        <f>+I119*H119</f>
        <v/>
      </c>
      <c r="K119" s="1251" t="n"/>
      <c r="L119" s="1228">
        <f>IF(K119&gt;I119,"ERROR",(K119*H119)*0.25+J119)</f>
        <v/>
      </c>
      <c r="M119" s="1231" t="inlineStr">
        <is>
          <t>Automatic</t>
        </is>
      </c>
      <c r="Q119" s="1215" t="n"/>
    </row>
    <row r="120" ht="12.75" customHeight="1" s="1134">
      <c r="A120" s="1232" t="n"/>
      <c r="B120" s="1233" t="n"/>
      <c r="C120" s="1233" t="n"/>
      <c r="D120" s="1234" t="n">
        <v>0.13</v>
      </c>
      <c r="E120" s="1234" t="n">
        <v>0.13</v>
      </c>
      <c r="F120" s="1234" t="n">
        <v>4001</v>
      </c>
      <c r="G120" s="1270" t="n">
        <v>5000</v>
      </c>
      <c r="H120" s="1268" t="n">
        <v>1.8246</v>
      </c>
      <c r="I120" s="1250" t="n">
        <v>0</v>
      </c>
      <c r="J120" s="1228">
        <f>+I120*H120</f>
        <v/>
      </c>
      <c r="K120" s="1251" t="n"/>
      <c r="L120" s="1228">
        <f>IF(K120&gt;I120,"ERROR",(K120*H120)*0.3+J120)</f>
        <v/>
      </c>
      <c r="M120" s="1231" t="inlineStr">
        <is>
          <t>Automatic</t>
        </is>
      </c>
      <c r="Q120" s="1215" t="n"/>
    </row>
    <row r="121" ht="12.75" customHeight="1" s="1134">
      <c r="A121" s="1232" t="n"/>
      <c r="B121" s="1233" t="n"/>
      <c r="C121" s="1233" t="n"/>
      <c r="D121" s="1234" t="n">
        <v>0.13</v>
      </c>
      <c r="E121" s="1234" t="n">
        <v>0.13</v>
      </c>
      <c r="F121" s="1234" t="n">
        <v>5001</v>
      </c>
      <c r="G121" s="1270" t="n">
        <v>6000</v>
      </c>
      <c r="H121" s="1268" t="n">
        <v>2.0224</v>
      </c>
      <c r="I121" s="1250" t="n">
        <v>0</v>
      </c>
      <c r="J121" s="1228">
        <f>+I121*H121</f>
        <v/>
      </c>
      <c r="K121" s="1251" t="n"/>
      <c r="L121" s="1228">
        <f>IF(K121&gt;I121,"ERROR",(K121*H121)*0.3+J121)</f>
        <v/>
      </c>
      <c r="M121" s="1231" t="inlineStr">
        <is>
          <t>Automatic</t>
        </is>
      </c>
      <c r="Q121" s="1215" t="n"/>
    </row>
    <row r="122" ht="12.75" customHeight="1" s="1134">
      <c r="A122" s="1232" t="n"/>
      <c r="B122" s="1233" t="n"/>
      <c r="C122" s="1233" t="n"/>
      <c r="D122" s="1234" t="n">
        <v>0.13</v>
      </c>
      <c r="E122" s="1234" t="n">
        <v>0.13</v>
      </c>
      <c r="F122" s="1234" t="n">
        <v>6001</v>
      </c>
      <c r="G122" s="1270" t="n">
        <v>7000</v>
      </c>
      <c r="H122" s="1268" t="n">
        <v>2.2194</v>
      </c>
      <c r="I122" s="1250" t="n">
        <v>0</v>
      </c>
      <c r="J122" s="1228">
        <f>+I122*H122</f>
        <v/>
      </c>
      <c r="K122" s="1251" t="n"/>
      <c r="L122" s="1228">
        <f>IF(K122&gt;I122,"ERROR",(K122*H122)*0.3+J122)</f>
        <v/>
      </c>
      <c r="M122" s="1231" t="inlineStr">
        <is>
          <t>Automatic</t>
        </is>
      </c>
      <c r="Q122" s="1215" t="n"/>
    </row>
    <row r="123" ht="12.75" customHeight="1" s="1134">
      <c r="A123" s="1232" t="n"/>
      <c r="B123" s="1233" t="n"/>
      <c r="C123" s="1233" t="n"/>
      <c r="D123" s="1234" t="n">
        <v>0.13</v>
      </c>
      <c r="E123" s="1234" t="n">
        <v>0.13</v>
      </c>
      <c r="F123" s="1234" t="n">
        <v>7001</v>
      </c>
      <c r="G123" s="1270" t="n">
        <v>8000</v>
      </c>
      <c r="H123" s="1268" t="n">
        <v>2.4242</v>
      </c>
      <c r="I123" s="1250" t="n">
        <v>0</v>
      </c>
      <c r="J123" s="1228">
        <f>+I123*H123</f>
        <v/>
      </c>
      <c r="K123" s="1251" t="n"/>
      <c r="L123" s="1228">
        <f>IF(K123&gt;I123,"ERROR",(K123*H123)*0.3+J123)</f>
        <v/>
      </c>
      <c r="M123" s="1231" t="inlineStr">
        <is>
          <t>Automatic</t>
        </is>
      </c>
      <c r="Q123" s="1215" t="n"/>
    </row>
    <row r="124" ht="12.75" customHeight="1" s="1134">
      <c r="A124" s="1232" t="n"/>
      <c r="B124" s="1233" t="n"/>
      <c r="C124" s="1233" t="n"/>
      <c r="D124" s="1234" t="n">
        <v>0.13</v>
      </c>
      <c r="E124" s="1234" t="n">
        <v>0.13</v>
      </c>
      <c r="F124" s="1234" t="n">
        <v>8001</v>
      </c>
      <c r="G124" s="1270" t="n">
        <v>9000</v>
      </c>
      <c r="H124" s="1268" t="n">
        <v>2.6086</v>
      </c>
      <c r="I124" s="1250" t="n">
        <v>0</v>
      </c>
      <c r="J124" s="1228">
        <f>+I124*H124</f>
        <v/>
      </c>
      <c r="K124" s="1251" t="n"/>
      <c r="L124" s="1228">
        <f>IF(K124&gt;I124,"ERROR",(K124*H124)*0.3+J124)</f>
        <v/>
      </c>
      <c r="M124" s="1231" t="inlineStr">
        <is>
          <t>Automatic</t>
        </is>
      </c>
      <c r="Q124" s="1215" t="n"/>
    </row>
    <row r="125" ht="12.75" customHeight="1" s="1134">
      <c r="A125" s="1232" t="n"/>
      <c r="B125" s="1233" t="n"/>
      <c r="C125" s="1233" t="n"/>
      <c r="D125" s="1234" t="n">
        <v>0.13</v>
      </c>
      <c r="E125" s="1234" t="n">
        <v>0.13</v>
      </c>
      <c r="F125" s="1234" t="n">
        <v>9001</v>
      </c>
      <c r="G125" s="1270" t="n">
        <v>11000</v>
      </c>
      <c r="H125" s="1268" t="n">
        <v>2.85</v>
      </c>
      <c r="I125" s="1250" t="n">
        <v>0</v>
      </c>
      <c r="J125" s="1228">
        <f>+I125*H125</f>
        <v/>
      </c>
      <c r="K125" s="1251" t="n"/>
      <c r="L125" s="1228">
        <f>IF(K125&gt;I125,"ERROR",(K125*H125)*0.3+J125)</f>
        <v/>
      </c>
      <c r="M125" s="1231" t="inlineStr">
        <is>
          <t>Automatic</t>
        </is>
      </c>
      <c r="Q125" s="1215" t="n"/>
    </row>
    <row r="126" ht="12.75" customHeight="1" s="1134">
      <c r="A126" s="1232" t="n"/>
      <c r="B126" s="1233" t="n"/>
      <c r="C126" s="1233" t="n"/>
      <c r="D126" s="1234" t="n">
        <v>0.13</v>
      </c>
      <c r="E126" s="1234" t="n">
        <v>0.13</v>
      </c>
      <c r="F126" s="1234" t="n">
        <v>11001</v>
      </c>
      <c r="G126" s="1270" t="n">
        <v>13000</v>
      </c>
      <c r="H126" s="1268" t="n">
        <v>3.1578</v>
      </c>
      <c r="I126" s="1250" t="n">
        <v>0</v>
      </c>
      <c r="J126" s="1228">
        <f>+I126*H126</f>
        <v/>
      </c>
      <c r="K126" s="1251" t="n"/>
      <c r="L126" s="1228">
        <f>IF(K126&gt;I126,"ERROR",(K126*H126)*0.3+J126)</f>
        <v/>
      </c>
      <c r="M126" s="1231" t="inlineStr">
        <is>
          <t>Automatic</t>
        </is>
      </c>
      <c r="Q126" s="1215" t="n"/>
    </row>
    <row r="127" ht="12.75" customHeight="1" s="1134">
      <c r="A127" s="1232" t="n"/>
      <c r="B127" s="1233" t="n"/>
      <c r="C127" s="1233" t="n"/>
      <c r="D127" s="1234" t="n">
        <v>0.13</v>
      </c>
      <c r="E127" s="1234" t="n">
        <v>0.13</v>
      </c>
      <c r="F127" s="1234" t="n">
        <v>13001</v>
      </c>
      <c r="G127" s="1270" t="n">
        <v>15000</v>
      </c>
      <c r="H127" s="1268" t="n">
        <v>3.4285</v>
      </c>
      <c r="I127" s="1250" t="n">
        <v>0</v>
      </c>
      <c r="J127" s="1228">
        <f>+I127*H127</f>
        <v/>
      </c>
      <c r="K127" s="1251" t="n"/>
      <c r="L127" s="1228">
        <f>IF(K127&gt;I127,"ERROR",(K127*H127)*0.3+J127)</f>
        <v/>
      </c>
      <c r="M127" s="1231" t="inlineStr">
        <is>
          <t>Automatic</t>
        </is>
      </c>
      <c r="Q127" s="1215" t="n"/>
    </row>
    <row r="128" ht="12.75" customHeight="1" s="1134">
      <c r="A128" s="1232" t="n"/>
      <c r="B128" s="1233" t="n"/>
      <c r="C128" s="1233" t="n"/>
      <c r="D128" s="1234" t="n">
        <v>0.13</v>
      </c>
      <c r="E128" s="1234" t="n">
        <v>0.13</v>
      </c>
      <c r="F128" s="1234" t="n">
        <v>15001</v>
      </c>
      <c r="G128" s="1270" t="n">
        <v>17000</v>
      </c>
      <c r="H128" s="1271">
        <f>H127-H126+H127</f>
        <v/>
      </c>
      <c r="I128" s="1262" t="n">
        <v>0</v>
      </c>
      <c r="J128" s="1228">
        <f>+I128*H128</f>
        <v/>
      </c>
      <c r="K128" s="1251" t="n"/>
      <c r="L128" s="1228">
        <f>IF(K128&gt;I128,"ERROR",(K128*H128)*0.3+J128)</f>
        <v/>
      </c>
      <c r="M128" s="1231" t="inlineStr">
        <is>
          <t>Automatic</t>
        </is>
      </c>
      <c r="Q128" s="1215" t="n"/>
    </row>
    <row r="129" ht="12.75" customHeight="1" s="1134">
      <c r="A129" s="1232" t="n"/>
      <c r="B129" s="1233" t="n"/>
      <c r="C129" s="1233" t="n"/>
      <c r="D129" s="1234" t="n">
        <v>0.13</v>
      </c>
      <c r="E129" s="1234" t="n">
        <v>0.13</v>
      </c>
      <c r="F129" s="1234" t="n">
        <v>17001</v>
      </c>
      <c r="G129" s="1270" t="n">
        <v>19000</v>
      </c>
      <c r="H129" s="1271">
        <f>H128-H127+H128</f>
        <v/>
      </c>
      <c r="I129" s="1262" t="n">
        <v>0</v>
      </c>
      <c r="J129" s="1228">
        <f>+I129*H129</f>
        <v/>
      </c>
      <c r="K129" s="1251" t="n"/>
      <c r="L129" s="1228">
        <f>IF(K129&gt;I129,"ERROR",(K129*H129)*0.3+J129)</f>
        <v/>
      </c>
      <c r="M129" s="1231" t="inlineStr">
        <is>
          <t>Automatic</t>
        </is>
      </c>
      <c r="Q129" s="1215" t="n"/>
    </row>
    <row r="130" ht="12.75" customHeight="1" s="1134">
      <c r="A130" s="1232" t="n"/>
      <c r="B130" s="1233" t="n"/>
      <c r="C130" s="1233" t="n"/>
      <c r="D130" s="1264" t="n"/>
      <c r="E130" s="1264" t="n"/>
      <c r="F130" s="1264" t="n"/>
      <c r="G130" s="1272" t="n"/>
      <c r="H130" s="1271" t="n"/>
      <c r="I130" s="1263" t="n"/>
      <c r="J130" s="1228">
        <f>+I130*H130</f>
        <v/>
      </c>
      <c r="K130" s="1251" t="n"/>
      <c r="L130" s="1228">
        <f>IF(K130&gt;I130,"ERROR",(K130*H130)*0.3+J130)</f>
        <v/>
      </c>
      <c r="Q130" s="1215" t="n"/>
    </row>
    <row r="131" ht="12.75" customHeight="1" s="1134">
      <c r="A131" s="1236" t="n"/>
      <c r="B131" s="1237" t="n"/>
      <c r="C131" s="1237" t="n"/>
      <c r="D131" s="1238" t="n"/>
      <c r="E131" s="1238" t="n"/>
      <c r="F131" s="1238" t="n"/>
      <c r="G131" s="1273" t="n"/>
      <c r="H131" s="1274" t="n"/>
      <c r="I131" s="1253" t="n"/>
      <c r="J131" s="1241">
        <f>+I131*H131</f>
        <v/>
      </c>
      <c r="K131" s="1254" t="n"/>
      <c r="L131" s="1241">
        <f>IF(K131&gt;I131,"ERROR",(K131*H131)*0.3+J131)</f>
        <v/>
      </c>
      <c r="Q131" s="1215" t="n"/>
    </row>
    <row r="132" ht="12.75" customHeight="1" s="1134">
      <c r="A132" s="1255" t="inlineStr">
        <is>
          <t>cut/ strip &amp;crimp
CROSS SECTION 0,13mm²</t>
        </is>
      </c>
      <c r="B132" s="1256" t="inlineStr">
        <is>
          <t>Crimp by Crimp Cutter with CPS</t>
        </is>
      </c>
      <c r="C132" s="1256" t="inlineStr">
        <is>
          <t>SHINMAYWA TRD401</t>
        </is>
      </c>
      <c r="D132" s="1257" t="n">
        <v>0.13</v>
      </c>
      <c r="E132" s="1257" t="n">
        <v>0.13</v>
      </c>
      <c r="F132" s="1257" t="n">
        <v>60</v>
      </c>
      <c r="G132" s="1267" t="n">
        <v>100</v>
      </c>
      <c r="H132" s="1268" t="n">
        <v>1.2409</v>
      </c>
      <c r="I132" s="1258" t="n">
        <v>0</v>
      </c>
      <c r="J132" s="1259">
        <f>+I132*H132</f>
        <v/>
      </c>
      <c r="K132" s="1260" t="n"/>
      <c r="L132" s="1259">
        <f>IF(K132&gt;I132,"ERROR",(K132*H132)*0.1+J132)</f>
        <v/>
      </c>
      <c r="M132" s="1231" t="inlineStr">
        <is>
          <t>Automatic</t>
        </is>
      </c>
      <c r="Q132" s="1215" t="n"/>
    </row>
    <row r="133" ht="12.75" customHeight="1" s="1134">
      <c r="A133" s="1232" t="n"/>
      <c r="B133" s="1233" t="n"/>
      <c r="C133" s="1233" t="n"/>
      <c r="D133" s="1234" t="n">
        <v>0.13</v>
      </c>
      <c r="E133" s="1234" t="n">
        <v>0.13</v>
      </c>
      <c r="F133" s="1225" t="n">
        <v>101</v>
      </c>
      <c r="G133" s="1269" t="n">
        <v>1000</v>
      </c>
      <c r="H133" s="1268" t="n">
        <v>1.2409</v>
      </c>
      <c r="I133" s="1247" t="n">
        <v>0</v>
      </c>
      <c r="J133" s="1248">
        <f>+I133*H133</f>
        <v/>
      </c>
      <c r="K133" s="1249" t="n"/>
      <c r="L133" s="1248">
        <f>IF(K133&gt;I133,"ERROR",(K133*H133)*0.1+J133)</f>
        <v/>
      </c>
      <c r="M133" s="1231" t="inlineStr">
        <is>
          <t>Automatic</t>
        </is>
      </c>
      <c r="Q133" s="1215" t="n"/>
    </row>
    <row r="134" ht="12.75" customHeight="1" s="1134">
      <c r="A134" s="1232" t="n"/>
      <c r="B134" s="1233" t="n"/>
      <c r="C134" s="1233" t="n"/>
      <c r="D134" s="1234" t="n">
        <v>0.13</v>
      </c>
      <c r="E134" s="1234" t="n">
        <v>0.13</v>
      </c>
      <c r="F134" s="1234" t="n">
        <v>1001</v>
      </c>
      <c r="G134" s="1270" t="n">
        <v>2000</v>
      </c>
      <c r="H134" s="1268" t="n">
        <v>1.3711</v>
      </c>
      <c r="I134" s="1250" t="n">
        <v>0</v>
      </c>
      <c r="J134" s="1228">
        <f>+I134*H134</f>
        <v/>
      </c>
      <c r="K134" s="1251" t="n"/>
      <c r="L134" s="1228">
        <f>IF(K134&gt;I134,"ERROR",(K134*H134)*0.15+J134)</f>
        <v/>
      </c>
      <c r="M134" s="1231" t="inlineStr">
        <is>
          <t>Automatic</t>
        </is>
      </c>
      <c r="Q134" s="1215" t="n"/>
    </row>
    <row r="135" ht="12.75" customHeight="1" s="1134">
      <c r="A135" s="1232" t="n"/>
      <c r="B135" s="1233" t="n"/>
      <c r="C135" s="1233" t="n"/>
      <c r="D135" s="1234" t="n">
        <v>0.13</v>
      </c>
      <c r="E135" s="1234" t="n">
        <v>0.13</v>
      </c>
      <c r="F135" s="1234" t="n">
        <v>2001</v>
      </c>
      <c r="G135" s="1270" t="n">
        <v>3000</v>
      </c>
      <c r="H135" s="1268" t="n">
        <v>1.5718</v>
      </c>
      <c r="I135" s="1250" t="n">
        <v>0</v>
      </c>
      <c r="J135" s="1228">
        <f>+I135*H135</f>
        <v/>
      </c>
      <c r="K135" s="1251" t="n"/>
      <c r="L135" s="1228">
        <f>IF(K135&gt;I135,"ERROR",(K135*H135)*0.2+J135)</f>
        <v/>
      </c>
      <c r="M135" s="1231" t="inlineStr">
        <is>
          <t>Automatic</t>
        </is>
      </c>
      <c r="Q135" s="1215" t="n"/>
    </row>
    <row r="136" ht="12.75" customHeight="1" s="1134">
      <c r="A136" s="1232" t="n"/>
      <c r="B136" s="1233" t="n"/>
      <c r="C136" s="1233" t="n"/>
      <c r="D136" s="1234" t="n">
        <v>0.13</v>
      </c>
      <c r="E136" s="1234" t="n">
        <v>0.13</v>
      </c>
      <c r="F136" s="1234" t="n">
        <v>3001</v>
      </c>
      <c r="G136" s="1270" t="n">
        <v>4000</v>
      </c>
      <c r="H136" s="1268" t="n">
        <v>1.7731</v>
      </c>
      <c r="I136" s="1250" t="n">
        <v>0</v>
      </c>
      <c r="J136" s="1228">
        <f>+I136*H136</f>
        <v/>
      </c>
      <c r="K136" s="1251" t="n"/>
      <c r="L136" s="1228">
        <f>IF(K136&gt;I136,"ERROR",(K136*H136)*0.25+J136)</f>
        <v/>
      </c>
      <c r="M136" s="1231" t="inlineStr">
        <is>
          <t>Automatic</t>
        </is>
      </c>
      <c r="Q136" s="1215" t="n"/>
    </row>
    <row r="137" ht="12.75" customHeight="1" s="1134">
      <c r="A137" s="1232" t="n"/>
      <c r="B137" s="1233" t="n"/>
      <c r="C137" s="1233" t="n"/>
      <c r="D137" s="1234" t="n">
        <v>0.13</v>
      </c>
      <c r="E137" s="1234" t="n">
        <v>0.13</v>
      </c>
      <c r="F137" s="1234" t="n">
        <v>4001</v>
      </c>
      <c r="G137" s="1270" t="n">
        <v>5000</v>
      </c>
      <c r="H137" s="1268" t="n">
        <v>1.9746</v>
      </c>
      <c r="I137" s="1250" t="n">
        <v>0</v>
      </c>
      <c r="J137" s="1228">
        <f>+I137*H137</f>
        <v/>
      </c>
      <c r="K137" s="1251" t="n"/>
      <c r="L137" s="1228">
        <f>IF(K137&gt;I137,"ERROR",(K137*H137)*0.3+J137)</f>
        <v/>
      </c>
      <c r="M137" s="1231" t="inlineStr">
        <is>
          <t>Automatic</t>
        </is>
      </c>
      <c r="Q137" s="1215" t="n"/>
    </row>
    <row r="138" ht="12.75" customHeight="1" s="1134">
      <c r="A138" s="1232" t="n"/>
      <c r="B138" s="1233" t="n"/>
      <c r="C138" s="1233" t="n"/>
      <c r="D138" s="1234" t="n">
        <v>0.13</v>
      </c>
      <c r="E138" s="1234" t="n">
        <v>0.13</v>
      </c>
      <c r="F138" s="1234" t="n">
        <v>5001</v>
      </c>
      <c r="G138" s="1270" t="n">
        <v>6000</v>
      </c>
      <c r="H138" s="1268" t="n">
        <v>2.1724</v>
      </c>
      <c r="I138" s="1250" t="n">
        <v>0</v>
      </c>
      <c r="J138" s="1228">
        <f>+I138*H138</f>
        <v/>
      </c>
      <c r="K138" s="1251" t="n"/>
      <c r="L138" s="1228">
        <f>IF(K138&gt;I138,"ERROR",(K138*H138)*0.3+J138)</f>
        <v/>
      </c>
      <c r="M138" s="1231" t="inlineStr">
        <is>
          <t>Automatic</t>
        </is>
      </c>
      <c r="Q138" s="1215" t="n"/>
    </row>
    <row r="139" ht="12.75" customHeight="1" s="1134">
      <c r="A139" s="1232" t="n"/>
      <c r="B139" s="1233" t="n"/>
      <c r="C139" s="1233" t="n"/>
      <c r="D139" s="1234" t="n">
        <v>0.13</v>
      </c>
      <c r="E139" s="1234" t="n">
        <v>0.13</v>
      </c>
      <c r="F139" s="1234" t="n">
        <v>6001</v>
      </c>
      <c r="G139" s="1270" t="n">
        <v>7000</v>
      </c>
      <c r="H139" s="1268" t="n">
        <v>2.3694</v>
      </c>
      <c r="I139" s="1250" t="n">
        <v>0</v>
      </c>
      <c r="J139" s="1228">
        <f>+I139*H139</f>
        <v/>
      </c>
      <c r="K139" s="1251" t="n"/>
      <c r="L139" s="1228">
        <f>IF(K139&gt;I139,"ERROR",(K139*H139)*0.3+J139)</f>
        <v/>
      </c>
      <c r="M139" s="1231" t="inlineStr">
        <is>
          <t>Automatic</t>
        </is>
      </c>
      <c r="Q139" s="1215" t="n"/>
    </row>
    <row r="140" ht="12.75" customHeight="1" s="1134">
      <c r="A140" s="1232" t="n"/>
      <c r="B140" s="1233" t="n"/>
      <c r="C140" s="1233" t="n"/>
      <c r="D140" s="1234" t="n">
        <v>0.13</v>
      </c>
      <c r="E140" s="1234" t="n">
        <v>0.13</v>
      </c>
      <c r="F140" s="1234" t="n">
        <v>7001</v>
      </c>
      <c r="G140" s="1270" t="n">
        <v>8000</v>
      </c>
      <c r="H140" s="1268" t="n">
        <v>2.5742</v>
      </c>
      <c r="I140" s="1250" t="n">
        <v>0</v>
      </c>
      <c r="J140" s="1228">
        <f>+I140*H140</f>
        <v/>
      </c>
      <c r="K140" s="1251" t="n"/>
      <c r="L140" s="1228">
        <f>IF(K140&gt;I140,"ERROR",(K140*H140)*0.3+J140)</f>
        <v/>
      </c>
      <c r="M140" s="1231" t="inlineStr">
        <is>
          <t>Automatic</t>
        </is>
      </c>
      <c r="Q140" s="1215" t="n"/>
    </row>
    <row r="141" ht="12.75" customHeight="1" s="1134">
      <c r="A141" s="1232" t="n"/>
      <c r="B141" s="1233" t="n"/>
      <c r="C141" s="1233" t="n"/>
      <c r="D141" s="1234" t="n">
        <v>0.13</v>
      </c>
      <c r="E141" s="1234" t="n">
        <v>0.13</v>
      </c>
      <c r="F141" s="1234" t="n">
        <v>8001</v>
      </c>
      <c r="G141" s="1270" t="n">
        <v>9000</v>
      </c>
      <c r="H141" s="1268" t="n">
        <v>2.7586</v>
      </c>
      <c r="I141" s="1250" t="n">
        <v>0</v>
      </c>
      <c r="J141" s="1228">
        <f>+I141*H141</f>
        <v/>
      </c>
      <c r="K141" s="1251" t="n"/>
      <c r="L141" s="1228">
        <f>IF(K141&gt;I141,"ERROR",(K141*H141)*0.3+J141)</f>
        <v/>
      </c>
      <c r="M141" s="1231" t="inlineStr">
        <is>
          <t>Automatic</t>
        </is>
      </c>
      <c r="Q141" s="1215" t="n"/>
    </row>
    <row r="142" ht="12.75" customHeight="1" s="1134">
      <c r="A142" s="1232" t="n"/>
      <c r="B142" s="1233" t="n"/>
      <c r="C142" s="1233" t="n"/>
      <c r="D142" s="1234" t="n">
        <v>0.13</v>
      </c>
      <c r="E142" s="1234" t="n">
        <v>0.13</v>
      </c>
      <c r="F142" s="1234" t="n">
        <v>9001</v>
      </c>
      <c r="G142" s="1270" t="n">
        <v>11000</v>
      </c>
      <c r="H142" s="1275" t="n">
        <v>3</v>
      </c>
      <c r="I142" s="1250" t="n">
        <v>0</v>
      </c>
      <c r="J142" s="1228">
        <f>+I142*H142</f>
        <v/>
      </c>
      <c r="K142" s="1251" t="n"/>
      <c r="L142" s="1228">
        <f>IF(K142&gt;I142,"ERROR",(K142*H142)*0.3+J142)</f>
        <v/>
      </c>
      <c r="M142" s="1231" t="inlineStr">
        <is>
          <t>Automatic</t>
        </is>
      </c>
      <c r="Q142" s="1215" t="n"/>
    </row>
    <row r="143" ht="12.75" customHeight="1" s="1134">
      <c r="A143" s="1232" t="n"/>
      <c r="B143" s="1233" t="n"/>
      <c r="C143" s="1233" t="n"/>
      <c r="D143" s="1234" t="n">
        <v>0.13</v>
      </c>
      <c r="E143" s="1234" t="n">
        <v>0.13</v>
      </c>
      <c r="F143" s="1234" t="n">
        <v>11001</v>
      </c>
      <c r="G143" s="1270" t="n">
        <v>13000</v>
      </c>
      <c r="H143" s="1268" t="n">
        <v>3.3078</v>
      </c>
      <c r="I143" s="1250" t="n">
        <v>0</v>
      </c>
      <c r="J143" s="1228">
        <f>+I143*H143</f>
        <v/>
      </c>
      <c r="K143" s="1251" t="n"/>
      <c r="L143" s="1228">
        <f>IF(K143&gt;I143,"ERROR",(K143*H143)*0.3+J143)</f>
        <v/>
      </c>
      <c r="M143" s="1231" t="inlineStr">
        <is>
          <t>Automatic</t>
        </is>
      </c>
      <c r="Q143" s="1215" t="n"/>
    </row>
    <row r="144" ht="12.75" customHeight="1" s="1134">
      <c r="A144" s="1232" t="n"/>
      <c r="B144" s="1233" t="n"/>
      <c r="C144" s="1233" t="n"/>
      <c r="D144" s="1234" t="n">
        <v>0.13</v>
      </c>
      <c r="E144" s="1234" t="n">
        <v>0.13</v>
      </c>
      <c r="F144" s="1234" t="n">
        <v>13001</v>
      </c>
      <c r="G144" s="1270" t="n">
        <v>15000</v>
      </c>
      <c r="H144" s="1268" t="n">
        <v>3.5785</v>
      </c>
      <c r="I144" s="1250" t="n">
        <v>0</v>
      </c>
      <c r="J144" s="1228">
        <f>+I144*H144</f>
        <v/>
      </c>
      <c r="K144" s="1251" t="n"/>
      <c r="L144" s="1228">
        <f>IF(K144&gt;I144,"ERROR",(K144*H144)*0.3+J144)</f>
        <v/>
      </c>
      <c r="M144" s="1231" t="inlineStr">
        <is>
          <t>Automatic</t>
        </is>
      </c>
      <c r="Q144" s="1215" t="n"/>
    </row>
    <row r="145" ht="12.75" customHeight="1" s="1134">
      <c r="A145" s="1232" t="n"/>
      <c r="B145" s="1233" t="n"/>
      <c r="C145" s="1233" t="n"/>
      <c r="D145" s="1234" t="n">
        <v>0.13</v>
      </c>
      <c r="E145" s="1234" t="n">
        <v>0.13</v>
      </c>
      <c r="F145" s="1234" t="n">
        <v>15001</v>
      </c>
      <c r="G145" s="1270" t="n">
        <v>17000</v>
      </c>
      <c r="H145" s="1268">
        <f>H144-H143+H144</f>
        <v/>
      </c>
      <c r="I145" s="1262" t="n">
        <v>0</v>
      </c>
      <c r="J145" s="1228">
        <f>+I145*H145</f>
        <v/>
      </c>
      <c r="K145" s="1251" t="n"/>
      <c r="L145" s="1228">
        <f>IF(K145&gt;I145,"ERROR",(K145*H145)*0.3+J145)</f>
        <v/>
      </c>
      <c r="M145" s="1231" t="inlineStr">
        <is>
          <t>Automatic</t>
        </is>
      </c>
      <c r="Q145" s="1215" t="n"/>
    </row>
    <row r="146" ht="12.75" customHeight="1" s="1134">
      <c r="A146" s="1232" t="n"/>
      <c r="B146" s="1233" t="n"/>
      <c r="C146" s="1233" t="n"/>
      <c r="D146" s="1234" t="n">
        <v>0.13</v>
      </c>
      <c r="E146" s="1234" t="n">
        <v>0.13</v>
      </c>
      <c r="F146" s="1234" t="n">
        <v>17001</v>
      </c>
      <c r="G146" s="1270" t="n">
        <v>19000</v>
      </c>
      <c r="H146" s="1268">
        <f>H145-H144+H145</f>
        <v/>
      </c>
      <c r="I146" s="1262" t="n">
        <v>0</v>
      </c>
      <c r="J146" s="1228">
        <f>+I146*H146</f>
        <v/>
      </c>
      <c r="K146" s="1251" t="n"/>
      <c r="L146" s="1228">
        <f>IF(K146&gt;I146,"ERROR",(K146*H146)*0.3+J146)</f>
        <v/>
      </c>
      <c r="M146" s="1231" t="inlineStr">
        <is>
          <t>Automatic</t>
        </is>
      </c>
      <c r="Q146" s="1215" t="n"/>
    </row>
    <row r="147" ht="12.75" customHeight="1" s="1134">
      <c r="A147" s="1232" t="n"/>
      <c r="B147" s="1233" t="n"/>
      <c r="C147" s="1233" t="n"/>
      <c r="D147" s="1264" t="n"/>
      <c r="E147" s="1264" t="n"/>
      <c r="F147" s="1264" t="n"/>
      <c r="G147" s="1272" t="n"/>
      <c r="H147" s="1268" t="n"/>
      <c r="I147" s="1263" t="n"/>
      <c r="J147" s="1228">
        <f>+I147*H147</f>
        <v/>
      </c>
      <c r="K147" s="1251" t="n"/>
      <c r="L147" s="1228">
        <f>IF(K147&gt;I147,"ERROR",(K147*H147)*0.3+J147)</f>
        <v/>
      </c>
      <c r="Q147" s="1215" t="n"/>
    </row>
    <row r="148" ht="12.75" customHeight="1" s="1134">
      <c r="A148" s="1236" t="n"/>
      <c r="B148" s="1237" t="n"/>
      <c r="C148" s="1237" t="n"/>
      <c r="D148" s="1238" t="n"/>
      <c r="E148" s="1238" t="n"/>
      <c r="F148" s="1238" t="n"/>
      <c r="G148" s="1273" t="n"/>
      <c r="H148" s="1274" t="n"/>
      <c r="I148" s="1253" t="n"/>
      <c r="J148" s="1241">
        <f>+I148*H148</f>
        <v/>
      </c>
      <c r="K148" s="1254" t="n"/>
      <c r="L148" s="1241">
        <f>IF(K148&gt;I148,"ERROR",(K148*H148)*0.3+J148)</f>
        <v/>
      </c>
      <c r="Q148" s="1215" t="n"/>
    </row>
    <row r="149" ht="12.75" customHeight="1" s="1134">
      <c r="A149" s="1255" t="inlineStr">
        <is>
          <t xml:space="preserve">    cut/ strip &amp;crimp</t>
        </is>
      </c>
      <c r="B149" s="1256" t="inlineStr">
        <is>
          <t>Crimp by Crimp Cutter</t>
        </is>
      </c>
      <c r="C149" s="1256" t="inlineStr">
        <is>
          <t>Komax alpha 433</t>
        </is>
      </c>
      <c r="D149" s="1257" t="n">
        <v>0.22</v>
      </c>
      <c r="E149" s="1257" t="n">
        <v>6</v>
      </c>
      <c r="F149" s="1257" t="n">
        <v>60</v>
      </c>
      <c r="G149" s="1257" t="n">
        <v>100</v>
      </c>
      <c r="H149" s="1246" t="n">
        <v>1.12</v>
      </c>
      <c r="I149" s="1258" t="n">
        <v>0</v>
      </c>
      <c r="J149" s="1259">
        <f>+I149*H149</f>
        <v/>
      </c>
      <c r="K149" s="1276" t="n"/>
      <c r="L149" s="1277">
        <f>J149</f>
        <v/>
      </c>
      <c r="M149" s="1231" t="inlineStr">
        <is>
          <t>Automatic</t>
        </is>
      </c>
      <c r="Q149" s="1215" t="n"/>
    </row>
    <row r="150" ht="12.75" customHeight="1" s="1134">
      <c r="A150" s="1232" t="n"/>
      <c r="B150" s="1233" t="n"/>
      <c r="C150" s="1233" t="n"/>
      <c r="D150" s="1225" t="n">
        <v>0.22</v>
      </c>
      <c r="E150" s="1225" t="n">
        <v>6</v>
      </c>
      <c r="F150" s="1225" t="n">
        <v>101</v>
      </c>
      <c r="G150" s="1225" t="n">
        <v>1000</v>
      </c>
      <c r="H150" s="1226" t="n">
        <v>1.12</v>
      </c>
      <c r="I150" s="1247" t="n">
        <v>0</v>
      </c>
      <c r="J150" s="1228">
        <f>+I150*H150</f>
        <v/>
      </c>
      <c r="K150" s="1278" t="n"/>
      <c r="L150" s="1279">
        <f>J150</f>
        <v/>
      </c>
      <c r="M150" s="1231" t="inlineStr">
        <is>
          <t>Automatic</t>
        </is>
      </c>
      <c r="Q150" s="1215" t="n"/>
    </row>
    <row r="151" ht="12.75" customHeight="1" s="1134">
      <c r="A151" s="1232" t="n"/>
      <c r="B151" s="1233" t="n"/>
      <c r="C151" s="1233" t="n"/>
      <c r="D151" s="1234" t="n">
        <v>0.22</v>
      </c>
      <c r="E151" s="1234" t="n">
        <v>6</v>
      </c>
      <c r="F151" s="1234" t="n">
        <v>1001</v>
      </c>
      <c r="G151" s="1234" t="n">
        <v>2000</v>
      </c>
      <c r="H151" s="1226" t="n">
        <v>1.3</v>
      </c>
      <c r="I151" s="1247" t="n">
        <v>0</v>
      </c>
      <c r="J151" s="1228">
        <f>+I151*H151</f>
        <v/>
      </c>
      <c r="K151" s="1280" t="n"/>
      <c r="L151" s="1281">
        <f>J151</f>
        <v/>
      </c>
      <c r="M151" s="1231" t="inlineStr">
        <is>
          <t>Automatic</t>
        </is>
      </c>
      <c r="Q151" s="1215" t="n"/>
    </row>
    <row r="152" ht="12.75" customHeight="1" s="1134">
      <c r="A152" s="1232" t="n"/>
      <c r="B152" s="1233" t="n"/>
      <c r="C152" s="1233" t="n"/>
      <c r="D152" s="1234" t="n">
        <v>0.22</v>
      </c>
      <c r="E152" s="1234" t="n">
        <v>6</v>
      </c>
      <c r="F152" s="1234" t="n">
        <v>2001</v>
      </c>
      <c r="G152" s="1234" t="n">
        <v>3000</v>
      </c>
      <c r="H152" s="1226" t="n">
        <v>1.46</v>
      </c>
      <c r="I152" s="1250" t="n">
        <v>0</v>
      </c>
      <c r="J152" s="1228">
        <f>+I152*H152</f>
        <v/>
      </c>
      <c r="K152" s="1280" t="n"/>
      <c r="L152" s="1281">
        <f>J152</f>
        <v/>
      </c>
      <c r="M152" s="1231" t="inlineStr">
        <is>
          <t>Automatic</t>
        </is>
      </c>
      <c r="Q152" s="1215" t="n"/>
    </row>
    <row r="153" ht="12.75" customHeight="1" s="1134">
      <c r="A153" s="1232" t="n"/>
      <c r="B153" s="1233" t="n"/>
      <c r="C153" s="1233" t="n"/>
      <c r="D153" s="1234" t="n">
        <v>0.22</v>
      </c>
      <c r="E153" s="1234" t="n">
        <v>6</v>
      </c>
      <c r="F153" s="1234" t="n">
        <v>3001</v>
      </c>
      <c r="G153" s="1234" t="n">
        <v>4000</v>
      </c>
      <c r="H153" s="1226" t="n">
        <v>1.6</v>
      </c>
      <c r="I153" s="1250" t="n">
        <v>0</v>
      </c>
      <c r="J153" s="1228">
        <f>+I153*H153</f>
        <v/>
      </c>
      <c r="K153" s="1280" t="n"/>
      <c r="L153" s="1281">
        <f>J153</f>
        <v/>
      </c>
      <c r="M153" s="1231" t="inlineStr">
        <is>
          <t>Automatic</t>
        </is>
      </c>
      <c r="Q153" s="1215" t="n"/>
    </row>
    <row r="154" ht="12.75" customHeight="1" s="1134">
      <c r="A154" s="1232" t="n"/>
      <c r="B154" s="1233" t="n"/>
      <c r="C154" s="1233" t="n"/>
      <c r="D154" s="1234" t="n">
        <v>0.22</v>
      </c>
      <c r="E154" s="1234" t="n">
        <v>6</v>
      </c>
      <c r="F154" s="1234" t="n">
        <v>4001</v>
      </c>
      <c r="G154" s="1234" t="n">
        <v>5000</v>
      </c>
      <c r="H154" s="1226" t="n">
        <v>1.74</v>
      </c>
      <c r="I154" s="1250" t="n">
        <v>0</v>
      </c>
      <c r="J154" s="1228">
        <f>+I154*H154</f>
        <v/>
      </c>
      <c r="K154" s="1280" t="n"/>
      <c r="L154" s="1281">
        <f>J154</f>
        <v/>
      </c>
      <c r="M154" s="1231" t="inlineStr">
        <is>
          <t>Automatic</t>
        </is>
      </c>
      <c r="Q154" s="1215" t="n"/>
    </row>
    <row r="155" ht="12.75" customHeight="1" s="1134">
      <c r="A155" s="1232" t="n"/>
      <c r="B155" s="1233" t="n"/>
      <c r="C155" s="1233" t="n"/>
      <c r="D155" s="1234" t="n">
        <v>0.22</v>
      </c>
      <c r="E155" s="1234" t="n">
        <v>6</v>
      </c>
      <c r="F155" s="1234" t="n">
        <v>5001</v>
      </c>
      <c r="G155" s="1234" t="n">
        <v>6000</v>
      </c>
      <c r="H155" s="1226" t="n">
        <v>1.9</v>
      </c>
      <c r="I155" s="1250" t="n">
        <v>0</v>
      </c>
      <c r="J155" s="1228">
        <f>+I155*H155</f>
        <v/>
      </c>
      <c r="K155" s="1280" t="n"/>
      <c r="L155" s="1281">
        <f>J155</f>
        <v/>
      </c>
      <c r="M155" s="1231" t="inlineStr">
        <is>
          <t>Automatic</t>
        </is>
      </c>
      <c r="Q155" s="1215" t="n"/>
    </row>
    <row r="156" ht="12.75" customHeight="1" s="1134">
      <c r="A156" s="1232" t="n"/>
      <c r="B156" s="1233" t="n"/>
      <c r="C156" s="1233" t="n"/>
      <c r="D156" s="1234" t="n">
        <v>0.22</v>
      </c>
      <c r="E156" s="1234" t="n">
        <v>6</v>
      </c>
      <c r="F156" s="1234" t="n">
        <v>6001</v>
      </c>
      <c r="G156" s="1234" t="n">
        <v>7000</v>
      </c>
      <c r="H156" s="1226" t="n">
        <v>2.02</v>
      </c>
      <c r="I156" s="1250" t="n">
        <v>0</v>
      </c>
      <c r="J156" s="1228">
        <f>+I156*H156</f>
        <v/>
      </c>
      <c r="K156" s="1280" t="n"/>
      <c r="L156" s="1281">
        <f>J156</f>
        <v/>
      </c>
      <c r="M156" s="1231" t="inlineStr">
        <is>
          <t>Automatic</t>
        </is>
      </c>
      <c r="Q156" s="1215" t="n"/>
    </row>
    <row r="157" ht="12.75" customHeight="1" s="1134">
      <c r="A157" s="1232" t="n"/>
      <c r="B157" s="1233" t="n"/>
      <c r="C157" s="1233" t="n"/>
      <c r="D157" s="1234" t="n">
        <v>0.22</v>
      </c>
      <c r="E157" s="1234" t="n">
        <v>6</v>
      </c>
      <c r="F157" s="1234" t="n">
        <v>7001</v>
      </c>
      <c r="G157" s="1234" t="n">
        <v>8000</v>
      </c>
      <c r="H157" s="1226" t="n">
        <v>2.18</v>
      </c>
      <c r="I157" s="1250" t="n">
        <v>0</v>
      </c>
      <c r="J157" s="1228">
        <f>+I157*H157</f>
        <v/>
      </c>
      <c r="K157" s="1280" t="n"/>
      <c r="L157" s="1281">
        <f>J157</f>
        <v/>
      </c>
      <c r="M157" s="1231" t="inlineStr">
        <is>
          <t>Automatic</t>
        </is>
      </c>
      <c r="Q157" s="1215" t="n"/>
    </row>
    <row r="158" ht="12.75" customHeight="1" s="1134">
      <c r="A158" s="1232" t="n"/>
      <c r="B158" s="1233" t="n"/>
      <c r="C158" s="1233" t="n"/>
      <c r="D158" s="1234" t="n">
        <v>0.22</v>
      </c>
      <c r="E158" s="1234" t="n">
        <v>6</v>
      </c>
      <c r="F158" s="1234" t="n">
        <v>8001</v>
      </c>
      <c r="G158" s="1234" t="n">
        <v>9000</v>
      </c>
      <c r="H158" s="1226" t="n">
        <v>2.36</v>
      </c>
      <c r="I158" s="1250" t="n">
        <v>0</v>
      </c>
      <c r="J158" s="1228">
        <f>+I158*H158</f>
        <v/>
      </c>
      <c r="K158" s="1280" t="n"/>
      <c r="L158" s="1281">
        <f>J158</f>
        <v/>
      </c>
      <c r="M158" s="1231" t="inlineStr">
        <is>
          <t>Automatic</t>
        </is>
      </c>
      <c r="Q158" s="1215" t="n"/>
    </row>
    <row r="159" ht="12.75" customHeight="1" s="1134">
      <c r="A159" s="1232" t="n"/>
      <c r="B159" s="1233" t="n"/>
      <c r="C159" s="1233" t="n"/>
      <c r="D159" s="1234" t="n">
        <v>0.22</v>
      </c>
      <c r="E159" s="1234" t="n">
        <v>6</v>
      </c>
      <c r="F159" s="1234" t="n">
        <v>9001</v>
      </c>
      <c r="G159" s="1234" t="n">
        <v>11000</v>
      </c>
      <c r="H159" s="1226" t="n">
        <v>2.56</v>
      </c>
      <c r="I159" s="1250" t="n">
        <v>0</v>
      </c>
      <c r="J159" s="1228">
        <f>+I159*H159</f>
        <v/>
      </c>
      <c r="K159" s="1280" t="n"/>
      <c r="L159" s="1281">
        <f>J159</f>
        <v/>
      </c>
      <c r="M159" s="1231" t="inlineStr">
        <is>
          <t>Automatic</t>
        </is>
      </c>
      <c r="Q159" s="1215" t="n"/>
    </row>
    <row r="160" ht="12.75" customHeight="1" s="1134">
      <c r="A160" s="1232" t="n"/>
      <c r="B160" s="1233" t="n"/>
      <c r="C160" s="1233" t="n"/>
      <c r="D160" s="1234" t="n">
        <v>0.22</v>
      </c>
      <c r="E160" s="1234" t="n">
        <v>6</v>
      </c>
      <c r="F160" s="1234" t="n">
        <v>11001</v>
      </c>
      <c r="G160" s="1234" t="n">
        <v>13000</v>
      </c>
      <c r="H160" s="1226" t="n">
        <v>2.82</v>
      </c>
      <c r="I160" s="1250" t="n">
        <v>0</v>
      </c>
      <c r="J160" s="1228">
        <f>+I160*H160</f>
        <v/>
      </c>
      <c r="K160" s="1280" t="n"/>
      <c r="L160" s="1281">
        <f>J160</f>
        <v/>
      </c>
      <c r="M160" s="1231" t="inlineStr">
        <is>
          <t>Automatic</t>
        </is>
      </c>
      <c r="Q160" s="1215" t="n"/>
    </row>
    <row r="161" ht="12.75" customHeight="1" s="1134">
      <c r="A161" s="1232" t="n"/>
      <c r="B161" s="1233" t="n"/>
      <c r="C161" s="1233" t="n"/>
      <c r="D161" s="1264" t="n">
        <v>0.22</v>
      </c>
      <c r="E161" s="1264" t="n">
        <v>6</v>
      </c>
      <c r="F161" s="1264" t="n">
        <v>13001</v>
      </c>
      <c r="G161" s="1264" t="n">
        <v>15000</v>
      </c>
      <c r="H161" s="1261" t="n">
        <v>3.1</v>
      </c>
      <c r="I161" s="1262" t="n">
        <v>0</v>
      </c>
      <c r="J161" s="1265">
        <f>+I161*H161</f>
        <v/>
      </c>
      <c r="K161" s="1282" t="n"/>
      <c r="L161" s="1281">
        <f>J161</f>
        <v/>
      </c>
      <c r="M161" s="1231" t="inlineStr">
        <is>
          <t>Automatic</t>
        </is>
      </c>
      <c r="Q161" s="1215" t="n"/>
    </row>
    <row r="162" ht="12.75" customHeight="1" s="1134">
      <c r="A162" s="1232" t="n"/>
      <c r="B162" s="1233" t="n"/>
      <c r="C162" s="1233" t="n"/>
      <c r="D162" s="1264" t="n">
        <v>0.22</v>
      </c>
      <c r="E162" s="1264" t="n">
        <v>6</v>
      </c>
      <c r="F162" s="1264" t="n">
        <v>15001</v>
      </c>
      <c r="G162" s="1264" t="n">
        <v>17000</v>
      </c>
      <c r="H162" s="1261">
        <f>H161-H160+H161</f>
        <v/>
      </c>
      <c r="I162" s="1262" t="n">
        <v>0</v>
      </c>
      <c r="J162" s="1265">
        <f>+I162*H162</f>
        <v/>
      </c>
      <c r="K162" s="1282" t="n"/>
      <c r="L162" s="1281">
        <f>J162</f>
        <v/>
      </c>
      <c r="M162" s="1231" t="inlineStr">
        <is>
          <t>Automatic</t>
        </is>
      </c>
      <c r="Q162" s="1215" t="n"/>
    </row>
    <row r="163" ht="12.75" customHeight="1" s="1134">
      <c r="A163" s="1232" t="n"/>
      <c r="B163" s="1233" t="n"/>
      <c r="C163" s="1233" t="n"/>
      <c r="D163" s="1264" t="n">
        <v>0.22</v>
      </c>
      <c r="E163" s="1264" t="n">
        <v>6</v>
      </c>
      <c r="F163" s="1264" t="n">
        <v>17001</v>
      </c>
      <c r="G163" s="1264" t="n">
        <v>19000</v>
      </c>
      <c r="H163" s="1261">
        <f>H162-H161+H162</f>
        <v/>
      </c>
      <c r="I163" s="1262" t="n">
        <v>0</v>
      </c>
      <c r="J163" s="1265">
        <f>+I163*H163</f>
        <v/>
      </c>
      <c r="K163" s="1282" t="n"/>
      <c r="L163" s="1281">
        <f>J163</f>
        <v/>
      </c>
      <c r="M163" s="1231" t="inlineStr">
        <is>
          <t>Automatic</t>
        </is>
      </c>
      <c r="Q163" s="1215" t="n"/>
    </row>
    <row r="164" ht="12.75" customHeight="1" s="1134">
      <c r="A164" s="1232" t="n"/>
      <c r="B164" s="1233" t="n"/>
      <c r="C164" s="1233" t="n"/>
      <c r="D164" s="1264" t="n"/>
      <c r="E164" s="1264" t="n"/>
      <c r="F164" s="1264" t="n"/>
      <c r="G164" s="1264" t="n"/>
      <c r="H164" s="1261" t="n"/>
      <c r="I164" s="1263" t="n"/>
      <c r="J164" s="1265">
        <f>+I164*H164</f>
        <v/>
      </c>
      <c r="K164" s="1282" t="n"/>
      <c r="L164" s="1281">
        <f>J164</f>
        <v/>
      </c>
      <c r="Q164" s="1215" t="n"/>
    </row>
    <row r="165" ht="12.75" customHeight="1" s="1134">
      <c r="A165" s="1236" t="n"/>
      <c r="B165" s="1237" t="n"/>
      <c r="C165" s="1237" t="n"/>
      <c r="D165" s="1238" t="n"/>
      <c r="E165" s="1238" t="n"/>
      <c r="F165" s="1238" t="n"/>
      <c r="G165" s="1238" t="n"/>
      <c r="H165" s="1239" t="n"/>
      <c r="I165" s="1253" t="n"/>
      <c r="J165" s="1265">
        <f>+I165*H165</f>
        <v/>
      </c>
      <c r="K165" s="1282" t="n"/>
      <c r="L165" s="1281">
        <f>J165</f>
        <v/>
      </c>
      <c r="Q165" s="1215" t="n"/>
    </row>
    <row r="166" ht="12.75" customHeight="1" s="1134">
      <c r="A166" s="1255" t="inlineStr">
        <is>
          <t xml:space="preserve">    cut/ strip &amp;crimp with CPS option</t>
        </is>
      </c>
      <c r="B166" s="1256" t="inlineStr">
        <is>
          <t>Crimp by Crimp Cutter with CPS</t>
        </is>
      </c>
      <c r="C166" s="1256" t="inlineStr">
        <is>
          <t>Komax alpha 433</t>
        </is>
      </c>
      <c r="D166" s="1257" t="n">
        <v>0.22</v>
      </c>
      <c r="E166" s="1257" t="n">
        <v>6</v>
      </c>
      <c r="F166" s="1257" t="n">
        <v>60</v>
      </c>
      <c r="G166" s="1257" t="n">
        <v>100</v>
      </c>
      <c r="H166" s="1226" t="n">
        <v>1.227</v>
      </c>
      <c r="I166" s="1258" t="n">
        <v>0</v>
      </c>
      <c r="J166" s="1259">
        <f>+I166*H166</f>
        <v/>
      </c>
      <c r="K166" s="1276" t="n"/>
      <c r="L166" s="1277">
        <f>J166</f>
        <v/>
      </c>
      <c r="M166" s="1231" t="inlineStr">
        <is>
          <t>Automatic</t>
        </is>
      </c>
      <c r="Q166" s="1215" t="n"/>
    </row>
    <row r="167" ht="12.75" customHeight="1" s="1134">
      <c r="A167" s="1232" t="n"/>
      <c r="B167" s="1233" t="n"/>
      <c r="C167" s="1233" t="n"/>
      <c r="D167" s="1225" t="n">
        <v>0.22</v>
      </c>
      <c r="E167" s="1225" t="n">
        <v>6</v>
      </c>
      <c r="F167" s="1225" t="n">
        <v>101</v>
      </c>
      <c r="G167" s="1225" t="n">
        <v>1000</v>
      </c>
      <c r="H167" s="1226" t="n">
        <v>1.227</v>
      </c>
      <c r="I167" s="1247" t="n">
        <v>0</v>
      </c>
      <c r="J167" s="1248">
        <f>+I167*H167</f>
        <v/>
      </c>
      <c r="K167" s="1278" t="n"/>
      <c r="L167" s="1279">
        <f>J167</f>
        <v/>
      </c>
      <c r="M167" s="1231" t="inlineStr">
        <is>
          <t>Automatic</t>
        </is>
      </c>
      <c r="Q167" s="1215" t="n"/>
    </row>
    <row r="168" ht="12.75" customHeight="1" s="1134">
      <c r="A168" s="1232" t="n"/>
      <c r="B168" s="1233" t="n"/>
      <c r="C168" s="1233" t="n"/>
      <c r="D168" s="1234" t="n">
        <v>0.22</v>
      </c>
      <c r="E168" s="1234" t="n">
        <v>6</v>
      </c>
      <c r="F168" s="1234" t="n">
        <v>1001</v>
      </c>
      <c r="G168" s="1234" t="n">
        <v>2000</v>
      </c>
      <c r="H168" s="1226" t="n">
        <v>1.407</v>
      </c>
      <c r="I168" s="1250" t="n">
        <v>0</v>
      </c>
      <c r="J168" s="1228">
        <f>+I168*H168</f>
        <v/>
      </c>
      <c r="K168" s="1280" t="n"/>
      <c r="L168" s="1281">
        <f>J168</f>
        <v/>
      </c>
      <c r="M168" s="1231" t="inlineStr">
        <is>
          <t>Automatic</t>
        </is>
      </c>
      <c r="Q168" s="1215" t="n"/>
    </row>
    <row r="169" ht="12.75" customHeight="1" s="1134">
      <c r="A169" s="1232" t="n"/>
      <c r="B169" s="1233" t="n"/>
      <c r="C169" s="1233" t="n"/>
      <c r="D169" s="1234" t="n">
        <v>0.22</v>
      </c>
      <c r="E169" s="1234" t="n">
        <v>6</v>
      </c>
      <c r="F169" s="1234" t="n">
        <v>2001</v>
      </c>
      <c r="G169" s="1234" t="n">
        <v>3000</v>
      </c>
      <c r="H169" s="1226" t="n">
        <v>1.567</v>
      </c>
      <c r="I169" s="1250" t="n">
        <v>0</v>
      </c>
      <c r="J169" s="1228">
        <f>+I169*H169</f>
        <v/>
      </c>
      <c r="K169" s="1280" t="n"/>
      <c r="L169" s="1281">
        <f>J169</f>
        <v/>
      </c>
      <c r="M169" s="1231" t="inlineStr">
        <is>
          <t>Automatic</t>
        </is>
      </c>
      <c r="Q169" s="1215" t="n"/>
    </row>
    <row r="170" ht="12.75" customHeight="1" s="1134">
      <c r="A170" s="1232" t="n"/>
      <c r="B170" s="1233" t="n"/>
      <c r="C170" s="1233" t="n"/>
      <c r="D170" s="1234" t="n">
        <v>0.22</v>
      </c>
      <c r="E170" s="1234" t="n">
        <v>6</v>
      </c>
      <c r="F170" s="1234" t="n">
        <v>3001</v>
      </c>
      <c r="G170" s="1234" t="n">
        <v>4000</v>
      </c>
      <c r="H170" s="1226" t="n">
        <v>1.707</v>
      </c>
      <c r="I170" s="1250" t="n">
        <v>0</v>
      </c>
      <c r="J170" s="1228">
        <f>+I170*H170</f>
        <v/>
      </c>
      <c r="K170" s="1280" t="n"/>
      <c r="L170" s="1281">
        <f>J170</f>
        <v/>
      </c>
      <c r="M170" s="1231" t="inlineStr">
        <is>
          <t>Automatic</t>
        </is>
      </c>
      <c r="Q170" s="1215" t="n"/>
    </row>
    <row r="171" ht="12.75" customHeight="1" s="1134">
      <c r="A171" s="1232" t="n"/>
      <c r="B171" s="1233" t="n"/>
      <c r="C171" s="1233" t="n"/>
      <c r="D171" s="1234" t="n">
        <v>0.22</v>
      </c>
      <c r="E171" s="1234" t="n">
        <v>6</v>
      </c>
      <c r="F171" s="1234" t="n">
        <v>4001</v>
      </c>
      <c r="G171" s="1234" t="n">
        <v>5000</v>
      </c>
      <c r="H171" s="1226" t="n">
        <v>1.847</v>
      </c>
      <c r="I171" s="1250" t="n">
        <v>0</v>
      </c>
      <c r="J171" s="1228">
        <f>+I171*H171</f>
        <v/>
      </c>
      <c r="K171" s="1280" t="n"/>
      <c r="L171" s="1281">
        <f>J171</f>
        <v/>
      </c>
      <c r="M171" s="1231" t="inlineStr">
        <is>
          <t>Automatic</t>
        </is>
      </c>
      <c r="Q171" s="1215" t="n"/>
    </row>
    <row r="172" ht="12.75" customHeight="1" s="1134">
      <c r="A172" s="1232" t="n"/>
      <c r="B172" s="1233" t="n"/>
      <c r="C172" s="1233" t="n"/>
      <c r="D172" s="1234" t="n">
        <v>0.22</v>
      </c>
      <c r="E172" s="1234" t="n">
        <v>6</v>
      </c>
      <c r="F172" s="1234" t="n">
        <v>5001</v>
      </c>
      <c r="G172" s="1234" t="n">
        <v>6000</v>
      </c>
      <c r="H172" s="1226" t="n">
        <v>2.007</v>
      </c>
      <c r="I172" s="1250" t="n">
        <v>0</v>
      </c>
      <c r="J172" s="1228">
        <f>+I172*H172</f>
        <v/>
      </c>
      <c r="K172" s="1280" t="n"/>
      <c r="L172" s="1281">
        <f>J172</f>
        <v/>
      </c>
      <c r="M172" s="1231" t="inlineStr">
        <is>
          <t>Automatic</t>
        </is>
      </c>
      <c r="Q172" s="1215" t="n"/>
    </row>
    <row r="173" ht="12.75" customHeight="1" s="1134">
      <c r="A173" s="1232" t="n"/>
      <c r="B173" s="1233" t="n"/>
      <c r="C173" s="1233" t="n"/>
      <c r="D173" s="1234" t="n">
        <v>0.22</v>
      </c>
      <c r="E173" s="1234" t="n">
        <v>6</v>
      </c>
      <c r="F173" s="1234" t="n">
        <v>6001</v>
      </c>
      <c r="G173" s="1234" t="n">
        <v>7000</v>
      </c>
      <c r="H173" s="1226" t="n">
        <v>2.127</v>
      </c>
      <c r="I173" s="1250" t="n">
        <v>0</v>
      </c>
      <c r="J173" s="1228">
        <f>+I173*H173</f>
        <v/>
      </c>
      <c r="K173" s="1280" t="n"/>
      <c r="L173" s="1281">
        <f>J173</f>
        <v/>
      </c>
      <c r="M173" s="1231" t="inlineStr">
        <is>
          <t>Automatic</t>
        </is>
      </c>
      <c r="Q173" s="1215" t="n"/>
    </row>
    <row r="174" ht="12.75" customHeight="1" s="1134">
      <c r="A174" s="1232" t="n"/>
      <c r="B174" s="1233" t="n"/>
      <c r="C174" s="1233" t="n"/>
      <c r="D174" s="1234" t="n">
        <v>0.22</v>
      </c>
      <c r="E174" s="1234" t="n">
        <v>6</v>
      </c>
      <c r="F174" s="1234" t="n">
        <v>7001</v>
      </c>
      <c r="G174" s="1234" t="n">
        <v>8000</v>
      </c>
      <c r="H174" s="1226" t="n">
        <v>2.287</v>
      </c>
      <c r="I174" s="1250" t="n">
        <v>0</v>
      </c>
      <c r="J174" s="1228">
        <f>+I174*H174</f>
        <v/>
      </c>
      <c r="K174" s="1280" t="n"/>
      <c r="L174" s="1281">
        <f>J174</f>
        <v/>
      </c>
      <c r="M174" s="1231" t="inlineStr">
        <is>
          <t>Automatic</t>
        </is>
      </c>
      <c r="Q174" s="1215" t="n"/>
    </row>
    <row r="175" ht="12.75" customHeight="1" s="1134">
      <c r="A175" s="1232" t="n"/>
      <c r="B175" s="1233" t="n"/>
      <c r="C175" s="1233" t="n"/>
      <c r="D175" s="1234" t="n">
        <v>0.22</v>
      </c>
      <c r="E175" s="1234" t="n">
        <v>6</v>
      </c>
      <c r="F175" s="1234" t="n">
        <v>8001</v>
      </c>
      <c r="G175" s="1234" t="n">
        <v>9000</v>
      </c>
      <c r="H175" s="1226" t="n">
        <v>2.467</v>
      </c>
      <c r="I175" s="1250" t="n">
        <v>0</v>
      </c>
      <c r="J175" s="1228">
        <f>+I175*H175</f>
        <v/>
      </c>
      <c r="K175" s="1280" t="n"/>
      <c r="L175" s="1281">
        <f>J175</f>
        <v/>
      </c>
      <c r="M175" s="1231" t="inlineStr">
        <is>
          <t>Automatic</t>
        </is>
      </c>
      <c r="Q175" s="1215" t="n"/>
    </row>
    <row r="176" ht="12.75" customHeight="1" s="1134">
      <c r="A176" s="1232" t="n"/>
      <c r="B176" s="1233" t="n"/>
      <c r="C176" s="1233" t="n"/>
      <c r="D176" s="1234" t="n">
        <v>0.22</v>
      </c>
      <c r="E176" s="1234" t="n">
        <v>6</v>
      </c>
      <c r="F176" s="1234" t="n">
        <v>9001</v>
      </c>
      <c r="G176" s="1234" t="n">
        <v>11000</v>
      </c>
      <c r="H176" s="1226" t="n">
        <v>2.667</v>
      </c>
      <c r="I176" s="1250" t="n">
        <v>0</v>
      </c>
      <c r="J176" s="1228">
        <f>+I176*H176</f>
        <v/>
      </c>
      <c r="K176" s="1280" t="n"/>
      <c r="L176" s="1281">
        <f>J176</f>
        <v/>
      </c>
      <c r="M176" s="1231" t="inlineStr">
        <is>
          <t>Automatic</t>
        </is>
      </c>
      <c r="Q176" s="1215" t="n"/>
    </row>
    <row r="177" ht="12.75" customHeight="1" s="1134">
      <c r="A177" s="1232" t="n"/>
      <c r="B177" s="1233" t="n"/>
      <c r="C177" s="1233" t="n"/>
      <c r="D177" s="1234" t="n">
        <v>0.22</v>
      </c>
      <c r="E177" s="1234" t="n">
        <v>6</v>
      </c>
      <c r="F177" s="1234" t="n">
        <v>11001</v>
      </c>
      <c r="G177" s="1234" t="n">
        <v>13000</v>
      </c>
      <c r="H177" s="1226" t="n">
        <v>2.927</v>
      </c>
      <c r="I177" s="1250" t="n">
        <v>0</v>
      </c>
      <c r="J177" s="1228">
        <f>+I177*H177</f>
        <v/>
      </c>
      <c r="K177" s="1280" t="n"/>
      <c r="L177" s="1281">
        <f>J177</f>
        <v/>
      </c>
      <c r="M177" s="1231" t="inlineStr">
        <is>
          <t>Automatic</t>
        </is>
      </c>
      <c r="Q177" s="1215" t="n"/>
    </row>
    <row r="178" ht="12.75" customHeight="1" s="1134">
      <c r="A178" s="1232" t="n"/>
      <c r="B178" s="1233" t="n"/>
      <c r="C178" s="1233" t="n"/>
      <c r="D178" s="1264" t="n">
        <v>0.22</v>
      </c>
      <c r="E178" s="1264" t="n">
        <v>6</v>
      </c>
      <c r="F178" s="1264" t="n">
        <v>13001</v>
      </c>
      <c r="G178" s="1264" t="n">
        <v>15000</v>
      </c>
      <c r="H178" s="1261" t="n">
        <v>3.207</v>
      </c>
      <c r="I178" s="1262" t="n">
        <v>0</v>
      </c>
      <c r="J178" s="1265">
        <f>+I178*H178</f>
        <v/>
      </c>
      <c r="K178" s="1282" t="n"/>
      <c r="L178" s="1281">
        <f>J178</f>
        <v/>
      </c>
      <c r="M178" s="1231" t="inlineStr">
        <is>
          <t>Automatic</t>
        </is>
      </c>
      <c r="Q178" s="1215" t="n"/>
    </row>
    <row r="179" ht="12.75" customHeight="1" s="1134">
      <c r="A179" s="1232" t="n"/>
      <c r="B179" s="1233" t="n"/>
      <c r="C179" s="1233" t="n"/>
      <c r="D179" s="1264" t="n">
        <v>0.22</v>
      </c>
      <c r="E179" s="1264" t="n">
        <v>6</v>
      </c>
      <c r="F179" s="1264" t="n">
        <v>15001</v>
      </c>
      <c r="G179" s="1264" t="n">
        <v>17000</v>
      </c>
      <c r="H179" s="1261">
        <f>H178-H177+H178</f>
        <v/>
      </c>
      <c r="I179" s="1262" t="n">
        <v>0</v>
      </c>
      <c r="J179" s="1265">
        <f>+I179*H179</f>
        <v/>
      </c>
      <c r="K179" s="1282" t="n"/>
      <c r="L179" s="1281">
        <f>J179</f>
        <v/>
      </c>
      <c r="M179" s="1231" t="inlineStr">
        <is>
          <t>Automatic</t>
        </is>
      </c>
      <c r="Q179" s="1215" t="n"/>
    </row>
    <row r="180" ht="12.75" customHeight="1" s="1134">
      <c r="A180" s="1232" t="n"/>
      <c r="B180" s="1233" t="n"/>
      <c r="C180" s="1233" t="n"/>
      <c r="D180" s="1264" t="n">
        <v>0.22</v>
      </c>
      <c r="E180" s="1264" t="n">
        <v>6</v>
      </c>
      <c r="F180" s="1264" t="n">
        <v>17001</v>
      </c>
      <c r="G180" s="1264" t="n">
        <v>19000</v>
      </c>
      <c r="H180" s="1261">
        <f>H179-H178+H179</f>
        <v/>
      </c>
      <c r="I180" s="1262" t="n">
        <v>0</v>
      </c>
      <c r="J180" s="1265">
        <f>+I180*H180</f>
        <v/>
      </c>
      <c r="K180" s="1282" t="n"/>
      <c r="L180" s="1281">
        <f>J180</f>
        <v/>
      </c>
      <c r="M180" s="1231" t="inlineStr">
        <is>
          <t>Automatic</t>
        </is>
      </c>
      <c r="Q180" s="1215" t="n"/>
    </row>
    <row r="181" ht="12.75" customHeight="1" s="1134">
      <c r="A181" s="1232" t="n"/>
      <c r="B181" s="1233" t="n"/>
      <c r="C181" s="1233" t="n"/>
      <c r="D181" s="1264" t="n"/>
      <c r="E181" s="1264" t="n"/>
      <c r="F181" s="1264" t="n"/>
      <c r="G181" s="1264" t="n"/>
      <c r="H181" s="1261" t="n"/>
      <c r="I181" s="1263" t="n"/>
      <c r="J181" s="1265">
        <f>+I181*H181</f>
        <v/>
      </c>
      <c r="K181" s="1282" t="n"/>
      <c r="L181" s="1281">
        <f>J181</f>
        <v/>
      </c>
      <c r="Q181" s="1215" t="n"/>
    </row>
    <row r="182" ht="12.75" customHeight="1" s="1134">
      <c r="A182" s="1236" t="n"/>
      <c r="B182" s="1237" t="n"/>
      <c r="C182" s="1237" t="n"/>
      <c r="D182" s="1238" t="n"/>
      <c r="E182" s="1238" t="n"/>
      <c r="F182" s="1238" t="n"/>
      <c r="G182" s="1238" t="n"/>
      <c r="H182" s="1239" t="n"/>
      <c r="I182" s="1253" t="n"/>
      <c r="J182" s="1265">
        <f>+I182*H182</f>
        <v/>
      </c>
      <c r="K182" s="1282" t="n"/>
      <c r="L182" s="1281">
        <f>J182</f>
        <v/>
      </c>
      <c r="Q182" s="1215" t="n"/>
    </row>
    <row r="183" ht="13.5" customHeight="1" s="1134">
      <c r="A183" s="1255" t="inlineStr">
        <is>
          <t>cut/ strip &amp;crimp</t>
        </is>
      </c>
      <c r="B183" s="1256" t="inlineStr">
        <is>
          <t xml:space="preserve">Crimp by Crimp Cutter
0,13mm² PPE, PVC wires 
DOUBLE X
</t>
        </is>
      </c>
      <c r="C183" s="1256" t="inlineStr">
        <is>
          <t>Komax alpha 433</t>
        </is>
      </c>
      <c r="D183" s="1257" t="n">
        <v>0.13</v>
      </c>
      <c r="E183" s="1257" t="n">
        <v>0.13</v>
      </c>
      <c r="F183" s="1257" t="n">
        <v>60</v>
      </c>
      <c r="G183" s="1257" t="n">
        <v>100</v>
      </c>
      <c r="H183" s="1283" t="n">
        <v>1.512</v>
      </c>
      <c r="I183" s="1258" t="n">
        <v>0</v>
      </c>
      <c r="J183" s="1267">
        <f>+I183*H183</f>
        <v/>
      </c>
      <c r="K183" s="1284" t="n"/>
      <c r="L183" s="1259">
        <f>IF(K183&gt;I183,"ERROR",(K183*H183)*0.3+J183)</f>
        <v/>
      </c>
      <c r="M183" s="1231" t="inlineStr">
        <is>
          <t>Automatic</t>
        </is>
      </c>
      <c r="Q183" s="1215" t="n"/>
    </row>
    <row r="184" ht="13.5" customHeight="1" s="1134">
      <c r="A184" s="1232" t="n"/>
      <c r="B184" s="1233" t="n"/>
      <c r="C184" s="1233" t="n"/>
      <c r="D184" s="1225" t="n">
        <v>0.13</v>
      </c>
      <c r="E184" s="1225" t="n">
        <v>0.13</v>
      </c>
      <c r="F184" s="1225" t="n">
        <v>101</v>
      </c>
      <c r="G184" s="1225" t="n">
        <v>1000</v>
      </c>
      <c r="H184" s="1285" t="n">
        <v>1.512</v>
      </c>
      <c r="I184" s="1247" t="n">
        <v>0</v>
      </c>
      <c r="J184" s="1269">
        <f>+I184*H184</f>
        <v/>
      </c>
      <c r="K184" s="1286" t="n"/>
      <c r="L184" s="1248">
        <f>IF(K184&gt;I184,"ERROR",(K184*H184)*0.3+J184)</f>
        <v/>
      </c>
      <c r="M184" s="1231" t="inlineStr">
        <is>
          <t>Automatic</t>
        </is>
      </c>
      <c r="Q184" s="1215" t="n"/>
    </row>
    <row r="185" ht="13.5" customHeight="1" s="1134">
      <c r="A185" s="1232" t="n"/>
      <c r="B185" s="1233" t="n"/>
      <c r="C185" s="1233" t="n"/>
      <c r="D185" s="1234" t="n">
        <v>0.13</v>
      </c>
      <c r="E185" s="1234" t="n">
        <v>0.13</v>
      </c>
      <c r="F185" s="1234" t="n">
        <v>1001</v>
      </c>
      <c r="G185" s="1234" t="n">
        <v>2000</v>
      </c>
      <c r="H185" s="1285" t="n">
        <v>1.755</v>
      </c>
      <c r="I185" s="1250" t="n">
        <v>0</v>
      </c>
      <c r="J185" s="1269">
        <f>+I185*H185</f>
        <v/>
      </c>
      <c r="K185" s="1286" t="n"/>
      <c r="L185" s="1248">
        <f>IF(K185&gt;I185,"ERROR",(K185*H185)*0.3+J185)</f>
        <v/>
      </c>
      <c r="M185" s="1231" t="inlineStr">
        <is>
          <t>Automatic</t>
        </is>
      </c>
      <c r="Q185" s="1215" t="n"/>
    </row>
    <row r="186" ht="13.5" customHeight="1" s="1134">
      <c r="A186" s="1232" t="n"/>
      <c r="B186" s="1233" t="n"/>
      <c r="C186" s="1233" t="n"/>
      <c r="D186" s="1234" t="n">
        <v>0.13</v>
      </c>
      <c r="E186" s="1234" t="n">
        <v>0.13</v>
      </c>
      <c r="F186" s="1234" t="n">
        <v>2001</v>
      </c>
      <c r="G186" s="1234" t="n">
        <v>3000</v>
      </c>
      <c r="H186" s="1285" t="n">
        <v>1.971</v>
      </c>
      <c r="I186" s="1250" t="n">
        <v>0</v>
      </c>
      <c r="J186" s="1270">
        <f>+I186*H186</f>
        <v/>
      </c>
      <c r="K186" s="1287" t="n"/>
      <c r="L186" s="1228">
        <f>IF(K186&gt;I186,"ERROR",(K186*H186)*0.3+J186)</f>
        <v/>
      </c>
      <c r="M186" s="1231" t="inlineStr">
        <is>
          <t>Automatic</t>
        </is>
      </c>
      <c r="Q186" s="1215" t="n"/>
    </row>
    <row r="187" ht="13.5" customHeight="1" s="1134">
      <c r="A187" s="1232" t="n"/>
      <c r="B187" s="1233" t="n"/>
      <c r="C187" s="1233" t="n"/>
      <c r="D187" s="1234" t="n">
        <v>0.13</v>
      </c>
      <c r="E187" s="1234" t="n">
        <v>0.13</v>
      </c>
      <c r="F187" s="1234" t="n">
        <v>3001</v>
      </c>
      <c r="G187" s="1234" t="n">
        <v>4000</v>
      </c>
      <c r="H187" s="1285" t="n">
        <v>2.16</v>
      </c>
      <c r="I187" s="1250" t="n">
        <v>0</v>
      </c>
      <c r="J187" s="1270">
        <f>+I187*H187</f>
        <v/>
      </c>
      <c r="K187" s="1287" t="n"/>
      <c r="L187" s="1228">
        <f>IF(K187&gt;I187,"ERROR",(K187*H187)*0.3+J187)</f>
        <v/>
      </c>
      <c r="M187" s="1231" t="inlineStr">
        <is>
          <t>Automatic</t>
        </is>
      </c>
      <c r="Q187" s="1215" t="n"/>
    </row>
    <row r="188" ht="13.5" customHeight="1" s="1134">
      <c r="A188" s="1232" t="n"/>
      <c r="B188" s="1233" t="n"/>
      <c r="C188" s="1233" t="n"/>
      <c r="D188" s="1234" t="n">
        <v>0.13</v>
      </c>
      <c r="E188" s="1234" t="n">
        <v>0.13</v>
      </c>
      <c r="F188" s="1234" t="n">
        <v>4001</v>
      </c>
      <c r="G188" s="1234" t="n">
        <v>5000</v>
      </c>
      <c r="H188" s="1285" t="n">
        <v>2.349</v>
      </c>
      <c r="I188" s="1250" t="n">
        <v>0</v>
      </c>
      <c r="J188" s="1270">
        <f>+I188*H188</f>
        <v/>
      </c>
      <c r="K188" s="1287" t="n"/>
      <c r="L188" s="1228">
        <f>IF(K188&gt;I188,"ERROR",(K188*H188)*0.3+J188)</f>
        <v/>
      </c>
      <c r="M188" s="1231" t="inlineStr">
        <is>
          <t>Automatic</t>
        </is>
      </c>
      <c r="Q188" s="1215" t="n"/>
    </row>
    <row r="189" ht="13.5" customHeight="1" s="1134">
      <c r="A189" s="1232" t="n"/>
      <c r="B189" s="1233" t="n"/>
      <c r="C189" s="1233" t="n"/>
      <c r="D189" s="1234" t="n">
        <v>0.13</v>
      </c>
      <c r="E189" s="1234" t="n">
        <v>0.13</v>
      </c>
      <c r="F189" s="1234" t="n">
        <v>5001</v>
      </c>
      <c r="G189" s="1234" t="n">
        <v>6000</v>
      </c>
      <c r="H189" s="1285" t="n">
        <v>2.565</v>
      </c>
      <c r="I189" s="1250" t="n">
        <v>0</v>
      </c>
      <c r="J189" s="1270">
        <f>+I189*H189</f>
        <v/>
      </c>
      <c r="K189" s="1287" t="n"/>
      <c r="L189" s="1228">
        <f>IF(K189&gt;I189,"ERROR",(K189*H189)*0.3+J189)</f>
        <v/>
      </c>
      <c r="M189" s="1231" t="inlineStr">
        <is>
          <t>Automatic</t>
        </is>
      </c>
      <c r="Q189" s="1215" t="n"/>
    </row>
    <row r="190" ht="13.5" customHeight="1" s="1134">
      <c r="A190" s="1232" t="n"/>
      <c r="B190" s="1233" t="n"/>
      <c r="C190" s="1233" t="n"/>
      <c r="D190" s="1234" t="n">
        <v>0.13</v>
      </c>
      <c r="E190" s="1234" t="n">
        <v>0.13</v>
      </c>
      <c r="F190" s="1234" t="n">
        <v>6001</v>
      </c>
      <c r="G190" s="1234" t="n">
        <v>7000</v>
      </c>
      <c r="H190" s="1285" t="n">
        <v>2.727</v>
      </c>
      <c r="I190" s="1250" t="n">
        <v>0</v>
      </c>
      <c r="J190" s="1270">
        <f>+I190*H190</f>
        <v/>
      </c>
      <c r="K190" s="1287" t="n"/>
      <c r="L190" s="1228">
        <f>IF(K190&gt;I190,"ERROR",(K190*H190)*0.3+J190)</f>
        <v/>
      </c>
      <c r="M190" s="1231" t="inlineStr">
        <is>
          <t>Automatic</t>
        </is>
      </c>
      <c r="Q190" s="1215" t="n"/>
    </row>
    <row r="191" ht="13.5" customHeight="1" s="1134">
      <c r="A191" s="1232" t="n"/>
      <c r="B191" s="1233" t="n"/>
      <c r="C191" s="1233" t="n"/>
      <c r="D191" s="1234" t="n">
        <v>0.13</v>
      </c>
      <c r="E191" s="1234" t="n">
        <v>0.13</v>
      </c>
      <c r="F191" s="1234" t="n">
        <v>7001</v>
      </c>
      <c r="G191" s="1234" t="n">
        <v>8000</v>
      </c>
      <c r="H191" s="1285" t="n">
        <v>2.943</v>
      </c>
      <c r="I191" s="1250" t="n">
        <v>0</v>
      </c>
      <c r="J191" s="1270">
        <f>+I191*H191</f>
        <v/>
      </c>
      <c r="K191" s="1287" t="n"/>
      <c r="L191" s="1228">
        <f>IF(K191&gt;I191,"ERROR",(K191*H191)*0.3+J191)</f>
        <v/>
      </c>
      <c r="M191" s="1231" t="inlineStr">
        <is>
          <t>Automatic</t>
        </is>
      </c>
      <c r="Q191" s="1215" t="n"/>
    </row>
    <row r="192" ht="13.5" customHeight="1" s="1134">
      <c r="A192" s="1232" t="n"/>
      <c r="B192" s="1233" t="n"/>
      <c r="C192" s="1233" t="n"/>
      <c r="D192" s="1234" t="n">
        <v>0.13</v>
      </c>
      <c r="E192" s="1234" t="n">
        <v>0.13</v>
      </c>
      <c r="F192" s="1234" t="n">
        <v>8001</v>
      </c>
      <c r="G192" s="1234" t="n">
        <v>9000</v>
      </c>
      <c r="H192" s="1285" t="n">
        <v>3.186</v>
      </c>
      <c r="I192" s="1250" t="n">
        <v>0</v>
      </c>
      <c r="J192" s="1270">
        <f>+I192*H192</f>
        <v/>
      </c>
      <c r="K192" s="1287" t="n"/>
      <c r="L192" s="1228">
        <f>IF(K192&gt;I192,"ERROR",(K192*H192)*0.3+J192)</f>
        <v/>
      </c>
      <c r="M192" s="1231" t="inlineStr">
        <is>
          <t>Automatic</t>
        </is>
      </c>
      <c r="Q192" s="1215" t="n"/>
    </row>
    <row r="193" ht="13.5" customHeight="1" s="1134">
      <c r="A193" s="1232" t="n"/>
      <c r="B193" s="1233" t="n"/>
      <c r="C193" s="1233" t="n"/>
      <c r="D193" s="1234" t="n">
        <v>0.13</v>
      </c>
      <c r="E193" s="1234" t="n">
        <v>0.13</v>
      </c>
      <c r="F193" s="1234" t="n">
        <v>9001</v>
      </c>
      <c r="G193" s="1234" t="n">
        <v>11000</v>
      </c>
      <c r="H193" s="1285" t="n">
        <v>3.456</v>
      </c>
      <c r="I193" s="1250" t="n">
        <v>0</v>
      </c>
      <c r="J193" s="1270">
        <f>+I193*H193</f>
        <v/>
      </c>
      <c r="K193" s="1287" t="n"/>
      <c r="L193" s="1228">
        <f>IF(K193&gt;I193,"ERROR",(K193*H193)*0.3+J193)</f>
        <v/>
      </c>
      <c r="M193" s="1231" t="inlineStr">
        <is>
          <t>Automatic</t>
        </is>
      </c>
      <c r="Q193" s="1215" t="n"/>
    </row>
    <row r="194" ht="13.5" customHeight="1" s="1134">
      <c r="A194" s="1232" t="n"/>
      <c r="B194" s="1233" t="n"/>
      <c r="C194" s="1233" t="n"/>
      <c r="D194" s="1234" t="n">
        <v>0.13</v>
      </c>
      <c r="E194" s="1234" t="n">
        <v>0.13</v>
      </c>
      <c r="F194" s="1234" t="n">
        <v>11001</v>
      </c>
      <c r="G194" s="1234" t="n">
        <v>13000</v>
      </c>
      <c r="H194" s="1285" t="n">
        <v>3.807</v>
      </c>
      <c r="I194" s="1250" t="n">
        <v>0</v>
      </c>
      <c r="J194" s="1270">
        <f>+I194*H194</f>
        <v/>
      </c>
      <c r="K194" s="1287" t="n"/>
      <c r="L194" s="1228">
        <f>IF(K194&gt;I194,"ERROR",(K194*H194)*0.3+J194)</f>
        <v/>
      </c>
      <c r="M194" s="1231" t="inlineStr">
        <is>
          <t>Automatic</t>
        </is>
      </c>
      <c r="Q194" s="1215" t="n"/>
    </row>
    <row r="195" ht="13.5" customHeight="1" s="1134">
      <c r="A195" s="1232" t="n"/>
      <c r="B195" s="1233" t="n"/>
      <c r="C195" s="1233" t="n"/>
      <c r="D195" s="1234" t="n">
        <v>0.13</v>
      </c>
      <c r="E195" s="1234" t="n">
        <v>0.13</v>
      </c>
      <c r="F195" s="1264" t="n">
        <v>13001</v>
      </c>
      <c r="G195" s="1264" t="n">
        <v>15000</v>
      </c>
      <c r="H195" s="1288" t="n">
        <v>4.185</v>
      </c>
      <c r="I195" s="1262" t="n">
        <v>0</v>
      </c>
      <c r="J195" s="1272">
        <f>+I195*H195</f>
        <v/>
      </c>
      <c r="K195" s="1287" t="n"/>
      <c r="L195" s="1265">
        <f>IF(K195&gt;I195,"ERROR",(K195*H195)*0.3+J195)</f>
        <v/>
      </c>
      <c r="M195" s="1231" t="inlineStr">
        <is>
          <t>Automatic</t>
        </is>
      </c>
      <c r="Q195" s="1215" t="n"/>
    </row>
    <row r="196" ht="13.5" customHeight="1" s="1134">
      <c r="A196" s="1232" t="n"/>
      <c r="B196" s="1233" t="n"/>
      <c r="C196" s="1233" t="n"/>
      <c r="D196" s="1234" t="n">
        <v>0.13</v>
      </c>
      <c r="E196" s="1234" t="n">
        <v>0.13</v>
      </c>
      <c r="F196" s="1264" t="n">
        <v>15001</v>
      </c>
      <c r="G196" s="1264" t="n">
        <v>17000</v>
      </c>
      <c r="H196" s="1289">
        <f>H195-H194+H195</f>
        <v/>
      </c>
      <c r="I196" s="1262" t="n">
        <v>0</v>
      </c>
      <c r="J196" s="1272">
        <f>+I196*H196</f>
        <v/>
      </c>
      <c r="K196" s="1287" t="n"/>
      <c r="L196" s="1265">
        <f>IF(K196&gt;I196,"ERROR",(K196*H196)*0.3+J196)</f>
        <v/>
      </c>
      <c r="M196" s="1231" t="inlineStr">
        <is>
          <t>Automatic</t>
        </is>
      </c>
      <c r="Q196" s="1215" t="n"/>
    </row>
    <row r="197" ht="13.5" customHeight="1" s="1134">
      <c r="A197" s="1232" t="n"/>
      <c r="B197" s="1233" t="n"/>
      <c r="C197" s="1233" t="n"/>
      <c r="D197" s="1234" t="n">
        <v>0.13</v>
      </c>
      <c r="E197" s="1234" t="n">
        <v>0.13</v>
      </c>
      <c r="F197" s="1264" t="n">
        <v>17001</v>
      </c>
      <c r="G197" s="1264" t="n">
        <v>19000</v>
      </c>
      <c r="H197" s="1289">
        <f>H196-H195+H196</f>
        <v/>
      </c>
      <c r="I197" s="1262" t="n">
        <v>0</v>
      </c>
      <c r="J197" s="1272">
        <f>+I197*H197</f>
        <v/>
      </c>
      <c r="K197" s="1287" t="n"/>
      <c r="L197" s="1265">
        <f>IF(K197&gt;I197,"ERROR",(K197*H197)*0.3+J197)</f>
        <v/>
      </c>
      <c r="M197" s="1231" t="inlineStr">
        <is>
          <t>Automatic</t>
        </is>
      </c>
      <c r="Q197" s="1215" t="n"/>
    </row>
    <row r="198" ht="13.5" customHeight="1" s="1134">
      <c r="A198" s="1232" t="n"/>
      <c r="B198" s="1233" t="n"/>
      <c r="C198" s="1233" t="n"/>
      <c r="D198" s="1264" t="n"/>
      <c r="E198" s="1264" t="n"/>
      <c r="F198" s="1264" t="n"/>
      <c r="G198" s="1264" t="n"/>
      <c r="H198" s="1288" t="n"/>
      <c r="I198" s="1263" t="n"/>
      <c r="J198" s="1272">
        <f>+I198*H198</f>
        <v/>
      </c>
      <c r="K198" s="1287" t="n"/>
      <c r="L198" s="1265">
        <f>IF(K198&gt;I198,"ERROR",(K198*H198)*0.3+J198)</f>
        <v/>
      </c>
      <c r="Q198" s="1215" t="n"/>
    </row>
    <row r="199" ht="13.5" customHeight="1" s="1134">
      <c r="A199" s="1236" t="n"/>
      <c r="B199" s="1237" t="n"/>
      <c r="C199" s="1237" t="n"/>
      <c r="D199" s="1238" t="n"/>
      <c r="E199" s="1238" t="n"/>
      <c r="F199" s="1238" t="n"/>
      <c r="G199" s="1238" t="n"/>
      <c r="H199" s="1290" t="n"/>
      <c r="I199" s="1253" t="n"/>
      <c r="J199" s="1273">
        <f>+I199*H199</f>
        <v/>
      </c>
      <c r="K199" s="1291" t="n"/>
      <c r="L199" s="1241">
        <f>IF(K199&gt;I199,"ERROR",(K199*H199)*0.3+J199)</f>
        <v/>
      </c>
      <c r="Q199" s="1215" t="n"/>
    </row>
    <row r="200" ht="13.5" customHeight="1" s="1134">
      <c r="A200" s="1255" t="inlineStr">
        <is>
          <t>cut/ strip &amp;crimp</t>
        </is>
      </c>
      <c r="B200" s="1256" t="inlineStr">
        <is>
          <t xml:space="preserve">Crimp by Crimp Cutter
0,13mm² PPE, PVC wires 
DOUBLE X
with CPS
</t>
        </is>
      </c>
      <c r="C200" s="1256" t="inlineStr">
        <is>
          <t>Komax alpha 433</t>
        </is>
      </c>
      <c r="D200" s="1257" t="n">
        <v>0.13</v>
      </c>
      <c r="E200" s="1257" t="n">
        <v>0.13</v>
      </c>
      <c r="F200" s="1257" t="n">
        <v>60</v>
      </c>
      <c r="G200" s="1257" t="n">
        <v>100</v>
      </c>
      <c r="H200" s="1288" t="n">
        <v>1.6632</v>
      </c>
      <c r="I200" s="1258" t="n">
        <v>0</v>
      </c>
      <c r="J200" s="1267">
        <f>+I200*H200</f>
        <v/>
      </c>
      <c r="K200" s="1284" t="n"/>
      <c r="L200" s="1259">
        <f>IF(K200&gt;I200,"ERROR",(K200*H200)*0.3+J200)</f>
        <v/>
      </c>
      <c r="M200" s="1231" t="inlineStr">
        <is>
          <t>Automatic</t>
        </is>
      </c>
      <c r="Q200" s="1215" t="n"/>
    </row>
    <row r="201" ht="13.5" customHeight="1" s="1134">
      <c r="A201" s="1232" t="n"/>
      <c r="B201" s="1233" t="n"/>
      <c r="C201" s="1233" t="n"/>
      <c r="D201" s="1225" t="n">
        <v>0.13</v>
      </c>
      <c r="E201" s="1225" t="n">
        <v>0.13</v>
      </c>
      <c r="F201" s="1225" t="n">
        <v>101</v>
      </c>
      <c r="G201" s="1225" t="n">
        <v>1000</v>
      </c>
      <c r="H201" s="1288" t="n">
        <v>1.6632</v>
      </c>
      <c r="I201" s="1247" t="n">
        <v>0</v>
      </c>
      <c r="J201" s="1269">
        <f>+I201*H201</f>
        <v/>
      </c>
      <c r="K201" s="1286" t="n"/>
      <c r="L201" s="1248">
        <f>IF(K201&gt;I201,"ERROR",(K201*H201)*0.3+J201)</f>
        <v/>
      </c>
      <c r="M201" s="1231" t="inlineStr">
        <is>
          <t>Automatic</t>
        </is>
      </c>
      <c r="Q201" s="1215" t="n"/>
    </row>
    <row r="202" ht="13.5" customHeight="1" s="1134">
      <c r="A202" s="1232" t="n"/>
      <c r="B202" s="1233" t="n"/>
      <c r="C202" s="1233" t="n"/>
      <c r="D202" s="1234" t="n">
        <v>0.13</v>
      </c>
      <c r="E202" s="1234" t="n">
        <v>0.13</v>
      </c>
      <c r="F202" s="1234" t="n">
        <v>1001</v>
      </c>
      <c r="G202" s="1234" t="n">
        <v>2000</v>
      </c>
      <c r="H202" s="1288" t="n">
        <v>1.9305</v>
      </c>
      <c r="I202" s="1250" t="n">
        <v>0</v>
      </c>
      <c r="J202" s="1269">
        <f>+I202*H202</f>
        <v/>
      </c>
      <c r="K202" s="1286" t="n"/>
      <c r="L202" s="1248">
        <f>IF(K202&gt;I202,"ERROR",(K202*H202)*0.3+J202)</f>
        <v/>
      </c>
      <c r="M202" s="1231" t="inlineStr">
        <is>
          <t>Automatic</t>
        </is>
      </c>
      <c r="Q202" s="1215" t="n"/>
    </row>
    <row r="203" ht="13.5" customHeight="1" s="1134">
      <c r="A203" s="1232" t="n"/>
      <c r="B203" s="1233" t="n"/>
      <c r="C203" s="1233" t="n"/>
      <c r="D203" s="1234" t="n">
        <v>0.13</v>
      </c>
      <c r="E203" s="1234" t="n">
        <v>0.13</v>
      </c>
      <c r="F203" s="1234" t="n">
        <v>2001</v>
      </c>
      <c r="G203" s="1234" t="n">
        <v>3000</v>
      </c>
      <c r="H203" s="1288" t="n">
        <v>2.1681</v>
      </c>
      <c r="I203" s="1250" t="n">
        <v>0</v>
      </c>
      <c r="J203" s="1270">
        <f>+I203*H203</f>
        <v/>
      </c>
      <c r="K203" s="1287" t="n"/>
      <c r="L203" s="1228">
        <f>IF(K203&gt;I203,"ERROR",(K203*H203)*0.3+J203)</f>
        <v/>
      </c>
      <c r="M203" s="1231" t="inlineStr">
        <is>
          <t>Automatic</t>
        </is>
      </c>
      <c r="Q203" s="1215" t="n"/>
    </row>
    <row r="204" ht="13.5" customHeight="1" s="1134">
      <c r="A204" s="1232" t="n"/>
      <c r="B204" s="1233" t="n"/>
      <c r="C204" s="1233" t="n"/>
      <c r="D204" s="1234" t="n">
        <v>0.13</v>
      </c>
      <c r="E204" s="1234" t="n">
        <v>0.13</v>
      </c>
      <c r="F204" s="1234" t="n">
        <v>3001</v>
      </c>
      <c r="G204" s="1234" t="n">
        <v>4000</v>
      </c>
      <c r="H204" s="1288" t="n">
        <v>2.376</v>
      </c>
      <c r="I204" s="1250" t="n">
        <v>0</v>
      </c>
      <c r="J204" s="1270">
        <f>+I204*H204</f>
        <v/>
      </c>
      <c r="K204" s="1287" t="n"/>
      <c r="L204" s="1228">
        <f>IF(K204&gt;I204,"ERROR",(K204*H204)*0.3+J204)</f>
        <v/>
      </c>
      <c r="M204" s="1231" t="inlineStr">
        <is>
          <t>Automatic</t>
        </is>
      </c>
      <c r="Q204" s="1215" t="n"/>
    </row>
    <row r="205" ht="13.5" customHeight="1" s="1134">
      <c r="A205" s="1232" t="n"/>
      <c r="B205" s="1233" t="n"/>
      <c r="C205" s="1233" t="n"/>
      <c r="D205" s="1234" t="n">
        <v>0.13</v>
      </c>
      <c r="E205" s="1234" t="n">
        <v>0.13</v>
      </c>
      <c r="F205" s="1234" t="n">
        <v>4001</v>
      </c>
      <c r="G205" s="1234" t="n">
        <v>5000</v>
      </c>
      <c r="H205" s="1288" t="n">
        <v>2.5839</v>
      </c>
      <c r="I205" s="1250" t="n">
        <v>0</v>
      </c>
      <c r="J205" s="1270">
        <f>+I205*H205</f>
        <v/>
      </c>
      <c r="K205" s="1287" t="n"/>
      <c r="L205" s="1228">
        <f>IF(K205&gt;I205,"ERROR",(K205*H205)*0.3+J205)</f>
        <v/>
      </c>
      <c r="M205" s="1231" t="inlineStr">
        <is>
          <t>Automatic</t>
        </is>
      </c>
      <c r="Q205" s="1215" t="n"/>
    </row>
    <row r="206" ht="13.5" customHeight="1" s="1134">
      <c r="A206" s="1232" t="n"/>
      <c r="B206" s="1233" t="n"/>
      <c r="C206" s="1233" t="n"/>
      <c r="D206" s="1234" t="n">
        <v>0.13</v>
      </c>
      <c r="E206" s="1234" t="n">
        <v>0.13</v>
      </c>
      <c r="F206" s="1234" t="n">
        <v>5001</v>
      </c>
      <c r="G206" s="1234" t="n">
        <v>6000</v>
      </c>
      <c r="H206" s="1288" t="n">
        <v>2.8215</v>
      </c>
      <c r="I206" s="1250" t="n">
        <v>0</v>
      </c>
      <c r="J206" s="1270">
        <f>+I206*H206</f>
        <v/>
      </c>
      <c r="K206" s="1287" t="n"/>
      <c r="L206" s="1228">
        <f>IF(K206&gt;I206,"ERROR",(K206*H206)*0.3+J206)</f>
        <v/>
      </c>
      <c r="M206" s="1231" t="inlineStr">
        <is>
          <t>Automatic</t>
        </is>
      </c>
      <c r="Q206" s="1215" t="n"/>
    </row>
    <row r="207" ht="13.5" customHeight="1" s="1134">
      <c r="A207" s="1232" t="n"/>
      <c r="B207" s="1233" t="n"/>
      <c r="C207" s="1233" t="n"/>
      <c r="D207" s="1234" t="n">
        <v>0.13</v>
      </c>
      <c r="E207" s="1234" t="n">
        <v>0.13</v>
      </c>
      <c r="F207" s="1234" t="n">
        <v>6001</v>
      </c>
      <c r="G207" s="1234" t="n">
        <v>7000</v>
      </c>
      <c r="H207" s="1288" t="n">
        <v>2.9997</v>
      </c>
      <c r="I207" s="1250" t="n">
        <v>0</v>
      </c>
      <c r="J207" s="1270">
        <f>+I207*H207</f>
        <v/>
      </c>
      <c r="K207" s="1287" t="n"/>
      <c r="L207" s="1228">
        <f>IF(K207&gt;I207,"ERROR",(K207*H207)*0.3+J207)</f>
        <v/>
      </c>
      <c r="M207" s="1231" t="inlineStr">
        <is>
          <t>Automatic</t>
        </is>
      </c>
      <c r="Q207" s="1215" t="n"/>
    </row>
    <row r="208" ht="13.5" customHeight="1" s="1134">
      <c r="A208" s="1232" t="n"/>
      <c r="B208" s="1233" t="n"/>
      <c r="C208" s="1233" t="n"/>
      <c r="D208" s="1234" t="n">
        <v>0.13</v>
      </c>
      <c r="E208" s="1234" t="n">
        <v>0.13</v>
      </c>
      <c r="F208" s="1234" t="n">
        <v>7001</v>
      </c>
      <c r="G208" s="1234" t="n">
        <v>8000</v>
      </c>
      <c r="H208" s="1288" t="n">
        <v>3.2373</v>
      </c>
      <c r="I208" s="1250" t="n">
        <v>0</v>
      </c>
      <c r="J208" s="1270">
        <f>+I208*H208</f>
        <v/>
      </c>
      <c r="K208" s="1287" t="n"/>
      <c r="L208" s="1228">
        <f>IF(K208&gt;I208,"ERROR",(K208*H208)*0.3+J208)</f>
        <v/>
      </c>
      <c r="M208" s="1231" t="inlineStr">
        <is>
          <t>Automatic</t>
        </is>
      </c>
      <c r="Q208" s="1215" t="n"/>
    </row>
    <row r="209" ht="13.5" customHeight="1" s="1134">
      <c r="A209" s="1232" t="n"/>
      <c r="B209" s="1233" t="n"/>
      <c r="C209" s="1233" t="n"/>
      <c r="D209" s="1234" t="n">
        <v>0.13</v>
      </c>
      <c r="E209" s="1234" t="n">
        <v>0.13</v>
      </c>
      <c r="F209" s="1234" t="n">
        <v>8001</v>
      </c>
      <c r="G209" s="1234" t="n">
        <v>9000</v>
      </c>
      <c r="H209" s="1288" t="n">
        <v>3.5046</v>
      </c>
      <c r="I209" s="1250" t="n">
        <v>0</v>
      </c>
      <c r="J209" s="1270">
        <f>+I209*H209</f>
        <v/>
      </c>
      <c r="K209" s="1287" t="n"/>
      <c r="L209" s="1228">
        <f>IF(K209&gt;I209,"ERROR",(K209*H209)*0.3+J209)</f>
        <v/>
      </c>
      <c r="M209" s="1231" t="inlineStr">
        <is>
          <t>Automatic</t>
        </is>
      </c>
      <c r="Q209" s="1215" t="n"/>
    </row>
    <row r="210" ht="13.5" customHeight="1" s="1134">
      <c r="A210" s="1232" t="n"/>
      <c r="B210" s="1233" t="n"/>
      <c r="C210" s="1233" t="n"/>
      <c r="D210" s="1234" t="n">
        <v>0.13</v>
      </c>
      <c r="E210" s="1234" t="n">
        <v>0.13</v>
      </c>
      <c r="F210" s="1234" t="n">
        <v>9001</v>
      </c>
      <c r="G210" s="1234" t="n">
        <v>11000</v>
      </c>
      <c r="H210" s="1288" t="n">
        <v>3.8016</v>
      </c>
      <c r="I210" s="1250" t="n">
        <v>0</v>
      </c>
      <c r="J210" s="1270">
        <f>+I210*H210</f>
        <v/>
      </c>
      <c r="K210" s="1287" t="n"/>
      <c r="L210" s="1228">
        <f>IF(K210&gt;I210,"ERROR",(K210*H210)*0.3+J210)</f>
        <v/>
      </c>
      <c r="M210" s="1231" t="inlineStr">
        <is>
          <t>Automatic</t>
        </is>
      </c>
      <c r="Q210" s="1215" t="n"/>
    </row>
    <row r="211" ht="13.5" customHeight="1" s="1134">
      <c r="A211" s="1232" t="n"/>
      <c r="B211" s="1233" t="n"/>
      <c r="C211" s="1233" t="n"/>
      <c r="D211" s="1234" t="n">
        <v>0.13</v>
      </c>
      <c r="E211" s="1234" t="n">
        <v>0.13</v>
      </c>
      <c r="F211" s="1234" t="n">
        <v>11001</v>
      </c>
      <c r="G211" s="1234" t="n">
        <v>13000</v>
      </c>
      <c r="H211" s="1288" t="n">
        <v>4.1877</v>
      </c>
      <c r="I211" s="1250" t="n">
        <v>0</v>
      </c>
      <c r="J211" s="1270">
        <f>+I211*H211</f>
        <v/>
      </c>
      <c r="K211" s="1287" t="n"/>
      <c r="L211" s="1228">
        <f>IF(K211&gt;I211,"ERROR",(K211*H211)*0.3+J211)</f>
        <v/>
      </c>
      <c r="M211" s="1231" t="inlineStr">
        <is>
          <t>Automatic</t>
        </is>
      </c>
      <c r="Q211" s="1215" t="n"/>
    </row>
    <row r="212" ht="13.5" customHeight="1" s="1134">
      <c r="A212" s="1232" t="n"/>
      <c r="B212" s="1233" t="n"/>
      <c r="C212" s="1233" t="n"/>
      <c r="D212" s="1234" t="n">
        <v>0.13</v>
      </c>
      <c r="E212" s="1234" t="n">
        <v>0.13</v>
      </c>
      <c r="F212" s="1264" t="n">
        <v>13001</v>
      </c>
      <c r="G212" s="1264" t="n">
        <v>15000</v>
      </c>
      <c r="H212" s="1288" t="n">
        <v>4.6035</v>
      </c>
      <c r="I212" s="1262" t="n">
        <v>0</v>
      </c>
      <c r="J212" s="1272">
        <f>+I212*H212</f>
        <v/>
      </c>
      <c r="K212" s="1287" t="n"/>
      <c r="L212" s="1265">
        <f>IF(K212&gt;I212,"ERROR",(K212*H212)*0.3+J212)</f>
        <v/>
      </c>
      <c r="M212" s="1231" t="inlineStr">
        <is>
          <t>Automatic</t>
        </is>
      </c>
      <c r="Q212" s="1215" t="n"/>
    </row>
    <row r="213" ht="13.5" customHeight="1" s="1134">
      <c r="A213" s="1232" t="n"/>
      <c r="B213" s="1233" t="n"/>
      <c r="C213" s="1233" t="n"/>
      <c r="D213" s="1234" t="n">
        <v>0.13</v>
      </c>
      <c r="E213" s="1234" t="n">
        <v>0.13</v>
      </c>
      <c r="F213" s="1264" t="n">
        <v>15001</v>
      </c>
      <c r="G213" s="1264" t="n">
        <v>17000</v>
      </c>
      <c r="H213" s="1261">
        <f>H212-H211+H212</f>
        <v/>
      </c>
      <c r="I213" s="1262" t="n">
        <v>0</v>
      </c>
      <c r="J213" s="1272">
        <f>+I213*H213</f>
        <v/>
      </c>
      <c r="K213" s="1287" t="n"/>
      <c r="L213" s="1265">
        <f>IF(K213&gt;I213,"ERROR",(K213*H213)*0.3+J213)</f>
        <v/>
      </c>
      <c r="M213" s="1231" t="inlineStr">
        <is>
          <t>Automatic</t>
        </is>
      </c>
      <c r="Q213" s="1215" t="n"/>
    </row>
    <row r="214" ht="13.5" customHeight="1" s="1134">
      <c r="A214" s="1232" t="n"/>
      <c r="B214" s="1233" t="n"/>
      <c r="C214" s="1233" t="n"/>
      <c r="D214" s="1234" t="n">
        <v>0.13</v>
      </c>
      <c r="E214" s="1234" t="n">
        <v>0.13</v>
      </c>
      <c r="F214" s="1264" t="n">
        <v>17001</v>
      </c>
      <c r="G214" s="1264" t="n">
        <v>19000</v>
      </c>
      <c r="H214" s="1261">
        <f>H213-H212+H213</f>
        <v/>
      </c>
      <c r="I214" s="1262" t="n">
        <v>0</v>
      </c>
      <c r="J214" s="1272">
        <f>+I214*H214</f>
        <v/>
      </c>
      <c r="K214" s="1287" t="n"/>
      <c r="L214" s="1265">
        <f>IF(K214&gt;I214,"ERROR",(K214*H214)*0.3+J214)</f>
        <v/>
      </c>
      <c r="M214" s="1231" t="inlineStr">
        <is>
          <t>Automatic</t>
        </is>
      </c>
      <c r="Q214" s="1215" t="n"/>
    </row>
    <row r="215" ht="13.5" customHeight="1" s="1134">
      <c r="A215" s="1232" t="n"/>
      <c r="B215" s="1233" t="n"/>
      <c r="C215" s="1233" t="n"/>
      <c r="D215" s="1264" t="n"/>
      <c r="E215" s="1264" t="n"/>
      <c r="F215" s="1264" t="n"/>
      <c r="G215" s="1264" t="n"/>
      <c r="H215" s="1288" t="n"/>
      <c r="I215" s="1263" t="n"/>
      <c r="J215" s="1272">
        <f>+I215*H215</f>
        <v/>
      </c>
      <c r="K215" s="1287" t="n"/>
      <c r="L215" s="1265">
        <f>IF(K215&gt;I215,"ERROR",(K215*H215)*0.3+J215)</f>
        <v/>
      </c>
      <c r="Q215" s="1215" t="n"/>
    </row>
    <row r="216" ht="13.5" customHeight="1" s="1134">
      <c r="A216" s="1236" t="n"/>
      <c r="B216" s="1237" t="n"/>
      <c r="C216" s="1237" t="n"/>
      <c r="D216" s="1238" t="n"/>
      <c r="E216" s="1238" t="n"/>
      <c r="F216" s="1238" t="n"/>
      <c r="G216" s="1238" t="n"/>
      <c r="H216" s="1290" t="n"/>
      <c r="I216" s="1253" t="n"/>
      <c r="J216" s="1273">
        <f>+I216*H216</f>
        <v/>
      </c>
      <c r="K216" s="1291" t="n"/>
      <c r="L216" s="1241">
        <f>IF(K216&gt;I216,"ERROR",(K216*H216)*0.3+J216)</f>
        <v/>
      </c>
      <c r="Q216" s="1215" t="n"/>
    </row>
    <row r="217" ht="12.75" customHeight="1" s="1134">
      <c r="A217" s="1255" t="inlineStr">
        <is>
          <t>cut/strip &amp; crimp with seal one side</t>
        </is>
      </c>
      <c r="B217" s="1256" t="inlineStr">
        <is>
          <t>Crimp by Seal Cutter</t>
        </is>
      </c>
      <c r="C217" s="1256" t="inlineStr">
        <is>
          <t>Komax alpha 433S</t>
        </is>
      </c>
      <c r="D217" s="1257" t="n">
        <v>0.22</v>
      </c>
      <c r="E217" s="1257" t="n">
        <v>6</v>
      </c>
      <c r="F217" s="1257" t="n">
        <v>60</v>
      </c>
      <c r="G217" s="1257" t="n">
        <v>100</v>
      </c>
      <c r="H217" s="1246" t="n">
        <v>1.20888888888889</v>
      </c>
      <c r="I217" s="1258" t="n">
        <v>0</v>
      </c>
      <c r="J217" s="1259">
        <f>+I217*H217</f>
        <v/>
      </c>
      <c r="K217" s="1276" t="n"/>
      <c r="L217" s="1277">
        <f>J217</f>
        <v/>
      </c>
      <c r="M217" s="1231" t="inlineStr">
        <is>
          <t>Automatic</t>
        </is>
      </c>
      <c r="Q217" s="1215" t="n"/>
    </row>
    <row r="218" ht="12.75" customHeight="1" s="1134">
      <c r="A218" s="1232" t="n"/>
      <c r="B218" s="1233" t="n"/>
      <c r="C218" s="1233" t="n"/>
      <c r="D218" s="1225" t="n">
        <v>0.22</v>
      </c>
      <c r="E218" s="1225" t="n">
        <v>6</v>
      </c>
      <c r="F218" s="1225" t="n">
        <v>101</v>
      </c>
      <c r="G218" s="1225" t="n">
        <v>1000</v>
      </c>
      <c r="H218" s="1226" t="n">
        <v>1.2089</v>
      </c>
      <c r="I218" s="1247" t="n">
        <v>0</v>
      </c>
      <c r="J218" s="1248">
        <f>+I218*H218</f>
        <v/>
      </c>
      <c r="K218" s="1278" t="n"/>
      <c r="L218" s="1279">
        <f>J218</f>
        <v/>
      </c>
      <c r="M218" s="1231" t="inlineStr">
        <is>
          <t>Automatic</t>
        </is>
      </c>
      <c r="Q218" s="1215" t="n"/>
    </row>
    <row r="219" ht="12.75" customHeight="1" s="1134">
      <c r="A219" s="1232" t="n"/>
      <c r="B219" s="1233" t="n"/>
      <c r="C219" s="1233" t="n"/>
      <c r="D219" s="1234" t="n">
        <v>0.22</v>
      </c>
      <c r="E219" s="1234" t="n">
        <v>6</v>
      </c>
      <c r="F219" s="1234" t="n">
        <v>1001</v>
      </c>
      <c r="G219" s="1234" t="n">
        <v>2000</v>
      </c>
      <c r="H219" s="1226" t="n">
        <v>1.37428571428571</v>
      </c>
      <c r="I219" s="1250" t="n">
        <v>0</v>
      </c>
      <c r="J219" s="1228">
        <f>+I219*H219</f>
        <v/>
      </c>
      <c r="K219" s="1280" t="n"/>
      <c r="L219" s="1281">
        <f>J219</f>
        <v/>
      </c>
      <c r="M219" s="1231" t="inlineStr">
        <is>
          <t>Automatic</t>
        </is>
      </c>
      <c r="Q219" s="1215" t="n"/>
    </row>
    <row r="220" ht="12.75" customHeight="1" s="1134">
      <c r="A220" s="1232" t="n"/>
      <c r="B220" s="1233" t="n"/>
      <c r="C220" s="1233" t="n"/>
      <c r="D220" s="1234" t="n">
        <v>0.22</v>
      </c>
      <c r="E220" s="1234" t="n">
        <v>6</v>
      </c>
      <c r="F220" s="1234" t="n">
        <v>2001</v>
      </c>
      <c r="G220" s="1234" t="n">
        <v>3000</v>
      </c>
      <c r="H220" s="1226" t="n">
        <v>1.53584415584416</v>
      </c>
      <c r="I220" s="1250" t="n">
        <v>0</v>
      </c>
      <c r="J220" s="1228">
        <f>+I220*H220</f>
        <v/>
      </c>
      <c r="K220" s="1280" t="n"/>
      <c r="L220" s="1281">
        <f>J220</f>
        <v/>
      </c>
      <c r="M220" s="1231" t="inlineStr">
        <is>
          <t>Automatic</t>
        </is>
      </c>
      <c r="Q220" s="1215" t="n"/>
    </row>
    <row r="221" ht="12.75" customHeight="1" s="1134">
      <c r="A221" s="1232" t="n"/>
      <c r="B221" s="1233" t="n"/>
      <c r="C221" s="1233" t="n"/>
      <c r="D221" s="1234" t="n">
        <v>0.22</v>
      </c>
      <c r="E221" s="1234" t="n">
        <v>6</v>
      </c>
      <c r="F221" s="1234" t="n">
        <v>3001</v>
      </c>
      <c r="G221" s="1234" t="n">
        <v>4000</v>
      </c>
      <c r="H221" s="1226" t="n">
        <v>1.67619047619048</v>
      </c>
      <c r="I221" s="1250" t="n">
        <v>0</v>
      </c>
      <c r="J221" s="1228">
        <f>+I221*H221</f>
        <v/>
      </c>
      <c r="K221" s="1280" t="n"/>
      <c r="L221" s="1281">
        <f>J221</f>
        <v/>
      </c>
      <c r="M221" s="1231" t="inlineStr">
        <is>
          <t>Automatic</t>
        </is>
      </c>
      <c r="Q221" s="1215" t="n"/>
    </row>
    <row r="222" ht="12.75" customHeight="1" s="1134">
      <c r="A222" s="1232" t="n"/>
      <c r="B222" s="1233" t="n"/>
      <c r="C222" s="1233" t="n"/>
      <c r="D222" s="1234" t="n">
        <v>0.22</v>
      </c>
      <c r="E222" s="1234" t="n">
        <v>6</v>
      </c>
      <c r="F222" s="1234" t="n">
        <v>4001</v>
      </c>
      <c r="G222" s="1234" t="n">
        <v>5000</v>
      </c>
      <c r="H222" s="1226" t="n">
        <v>1.81648351648352</v>
      </c>
      <c r="I222" s="1250" t="n">
        <v>0</v>
      </c>
      <c r="J222" s="1228">
        <f>+I222*H222</f>
        <v/>
      </c>
      <c r="K222" s="1280" t="n"/>
      <c r="L222" s="1281">
        <f>J222</f>
        <v/>
      </c>
      <c r="M222" s="1231" t="inlineStr">
        <is>
          <t>Automatic</t>
        </is>
      </c>
      <c r="Q222" s="1215" t="n"/>
    </row>
    <row r="223" ht="12.75" customHeight="1" s="1134">
      <c r="A223" s="1232" t="n"/>
      <c r="B223" s="1233" t="n"/>
      <c r="C223" s="1233" t="n"/>
      <c r="D223" s="1234" t="n">
        <v>0.22</v>
      </c>
      <c r="E223" s="1234" t="n">
        <v>6</v>
      </c>
      <c r="F223" s="1234" t="n">
        <v>5001</v>
      </c>
      <c r="G223" s="1234" t="n">
        <v>6000</v>
      </c>
      <c r="H223" s="1226" t="n">
        <v>1.97755102040816</v>
      </c>
      <c r="I223" s="1250" t="n">
        <v>0</v>
      </c>
      <c r="J223" s="1228">
        <f>+I223*H223</f>
        <v/>
      </c>
      <c r="K223" s="1280" t="n"/>
      <c r="L223" s="1281">
        <f>J223</f>
        <v/>
      </c>
      <c r="M223" s="1231" t="inlineStr">
        <is>
          <t>Automatic</t>
        </is>
      </c>
      <c r="Q223" s="1215" t="n"/>
    </row>
    <row r="224" ht="12.75" customHeight="1" s="1134">
      <c r="A224" s="1232" t="n"/>
      <c r="B224" s="1233" t="n"/>
      <c r="C224" s="1233" t="n"/>
      <c r="D224" s="1234" t="n">
        <v>0.22</v>
      </c>
      <c r="E224" s="1234" t="n">
        <v>6</v>
      </c>
      <c r="F224" s="1234" t="n">
        <v>6001</v>
      </c>
      <c r="G224" s="1234" t="n">
        <v>7000</v>
      </c>
      <c r="H224" s="1226" t="n">
        <v>2.09695238095238</v>
      </c>
      <c r="I224" s="1250" t="n">
        <v>0</v>
      </c>
      <c r="J224" s="1228">
        <f>+I224*H224</f>
        <v/>
      </c>
      <c r="K224" s="1280" t="n"/>
      <c r="L224" s="1281">
        <f>J224</f>
        <v/>
      </c>
      <c r="M224" s="1231" t="inlineStr">
        <is>
          <t>Automatic</t>
        </is>
      </c>
      <c r="Q224" s="1215" t="n"/>
    </row>
    <row r="225" ht="12.75" customHeight="1" s="1134">
      <c r="A225" s="1232" t="n"/>
      <c r="B225" s="1233" t="n"/>
      <c r="C225" s="1233" t="n"/>
      <c r="D225" s="1234" t="n">
        <v>0.22</v>
      </c>
      <c r="E225" s="1234" t="n">
        <v>6</v>
      </c>
      <c r="F225" s="1234" t="n">
        <v>7001</v>
      </c>
      <c r="G225" s="1234" t="n">
        <v>8000</v>
      </c>
      <c r="H225" s="1226" t="n">
        <v>2.25716814159292</v>
      </c>
      <c r="I225" s="1250" t="n">
        <v>0</v>
      </c>
      <c r="J225" s="1228">
        <f>+I225*H225</f>
        <v/>
      </c>
      <c r="K225" s="1280" t="n"/>
      <c r="L225" s="1281">
        <f>J225</f>
        <v/>
      </c>
      <c r="M225" s="1231" t="inlineStr">
        <is>
          <t>Automatic</t>
        </is>
      </c>
      <c r="Q225" s="1215" t="n"/>
    </row>
    <row r="226" ht="12.75" customHeight="1" s="1134">
      <c r="A226" s="1232" t="n"/>
      <c r="B226" s="1233" t="n"/>
      <c r="C226" s="1233" t="n"/>
      <c r="D226" s="1234" t="n">
        <v>0.22</v>
      </c>
      <c r="E226" s="1234" t="n">
        <v>6</v>
      </c>
      <c r="F226" s="1234" t="n">
        <v>8001</v>
      </c>
      <c r="G226" s="1234" t="n">
        <v>9000</v>
      </c>
      <c r="H226" s="1226" t="n">
        <v>2.43866666666667</v>
      </c>
      <c r="I226" s="1250" t="n">
        <v>0</v>
      </c>
      <c r="J226" s="1228">
        <f>+I226*H226</f>
        <v/>
      </c>
      <c r="K226" s="1280" t="n"/>
      <c r="L226" s="1281">
        <f>J226</f>
        <v/>
      </c>
      <c r="M226" s="1231" t="inlineStr">
        <is>
          <t>Automatic</t>
        </is>
      </c>
      <c r="Q226" s="1215" t="n"/>
    </row>
    <row r="227" ht="12.75" customHeight="1" s="1134">
      <c r="A227" s="1232" t="n"/>
      <c r="B227" s="1233" t="n"/>
      <c r="C227" s="1233" t="n"/>
      <c r="D227" s="1234" t="n">
        <v>0.22</v>
      </c>
      <c r="E227" s="1234" t="n">
        <v>6</v>
      </c>
      <c r="F227" s="1234" t="n">
        <v>9001</v>
      </c>
      <c r="G227" s="1234" t="n">
        <v>11000</v>
      </c>
      <c r="H227" s="1226" t="n">
        <v>2.63641791044776</v>
      </c>
      <c r="I227" s="1250" t="n">
        <v>0</v>
      </c>
      <c r="J227" s="1228">
        <f>+I227*H227</f>
        <v/>
      </c>
      <c r="K227" s="1280" t="n"/>
      <c r="L227" s="1281">
        <f>J227</f>
        <v/>
      </c>
      <c r="M227" s="1231" t="inlineStr">
        <is>
          <t>Automatic</t>
        </is>
      </c>
      <c r="Q227" s="1215" t="n"/>
    </row>
    <row r="228" ht="12.75" customHeight="1" s="1134">
      <c r="A228" s="1232" t="n"/>
      <c r="B228" s="1233" t="n"/>
      <c r="C228" s="1233" t="n"/>
      <c r="D228" s="1234" t="n">
        <v>0.22</v>
      </c>
      <c r="E228" s="1234" t="n">
        <v>6</v>
      </c>
      <c r="F228" s="1234" t="n">
        <v>11001</v>
      </c>
      <c r="G228" s="1234" t="n">
        <v>13000</v>
      </c>
      <c r="H228" s="1226" t="n">
        <v>2.89621621621622</v>
      </c>
      <c r="I228" s="1250" t="n">
        <v>0</v>
      </c>
      <c r="J228" s="1228">
        <f>+I228*H228</f>
        <v/>
      </c>
      <c r="K228" s="1280" t="n"/>
      <c r="L228" s="1281">
        <f>J228</f>
        <v/>
      </c>
      <c r="M228" s="1231" t="inlineStr">
        <is>
          <t>Automatic</t>
        </is>
      </c>
      <c r="Q228" s="1215" t="n"/>
    </row>
    <row r="229" ht="12.75" customHeight="1" s="1134">
      <c r="A229" s="1232" t="n"/>
      <c r="B229" s="1233" t="n"/>
      <c r="C229" s="1233" t="n"/>
      <c r="D229" s="1264" t="n">
        <v>0.22</v>
      </c>
      <c r="E229" s="1264" t="n">
        <v>6</v>
      </c>
      <c r="F229" s="1264" t="n">
        <v>13001</v>
      </c>
      <c r="G229" s="1264" t="n">
        <v>15000</v>
      </c>
      <c r="H229" s="1261" t="n">
        <v>3.1</v>
      </c>
      <c r="I229" s="1262" t="n">
        <v>0</v>
      </c>
      <c r="J229" s="1265">
        <f>+I229*H229</f>
        <v/>
      </c>
      <c r="K229" s="1282" t="n"/>
      <c r="L229" s="1281">
        <f>J229</f>
        <v/>
      </c>
      <c r="M229" s="1231" t="inlineStr">
        <is>
          <t>Automatic</t>
        </is>
      </c>
      <c r="Q229" s="1215" t="n"/>
    </row>
    <row r="230" ht="12.75" customHeight="1" s="1134">
      <c r="A230" s="1232" t="n"/>
      <c r="B230" s="1233" t="n"/>
      <c r="C230" s="1233" t="n"/>
      <c r="D230" s="1264" t="n">
        <v>0.22</v>
      </c>
      <c r="E230" s="1264" t="n">
        <v>6</v>
      </c>
      <c r="F230" s="1264" t="n">
        <v>15001</v>
      </c>
      <c r="G230" s="1264" t="n">
        <v>17000</v>
      </c>
      <c r="H230" s="1261">
        <f>H229-H228+H229</f>
        <v/>
      </c>
      <c r="I230" s="1262" t="n">
        <v>0</v>
      </c>
      <c r="J230" s="1265">
        <f>+I230*H230</f>
        <v/>
      </c>
      <c r="K230" s="1282" t="n"/>
      <c r="L230" s="1281">
        <f>J230</f>
        <v/>
      </c>
      <c r="M230" s="1231" t="inlineStr">
        <is>
          <t>Automatic</t>
        </is>
      </c>
      <c r="Q230" s="1215" t="n"/>
    </row>
    <row r="231" ht="12.75" customHeight="1" s="1134">
      <c r="A231" s="1232" t="n"/>
      <c r="B231" s="1233" t="n"/>
      <c r="C231" s="1233" t="n"/>
      <c r="D231" s="1264" t="n">
        <v>0.22</v>
      </c>
      <c r="E231" s="1264" t="n">
        <v>6</v>
      </c>
      <c r="F231" s="1264" t="n">
        <v>17001</v>
      </c>
      <c r="G231" s="1264" t="n">
        <v>19000</v>
      </c>
      <c r="H231" s="1261">
        <f>H230-H229+H230</f>
        <v/>
      </c>
      <c r="I231" s="1262" t="n">
        <v>0</v>
      </c>
      <c r="J231" s="1265">
        <f>+I231*H231</f>
        <v/>
      </c>
      <c r="K231" s="1282" t="n"/>
      <c r="L231" s="1281">
        <f>J231</f>
        <v/>
      </c>
      <c r="M231" s="1231" t="inlineStr">
        <is>
          <t>Automatic</t>
        </is>
      </c>
      <c r="Q231" s="1215" t="n"/>
    </row>
    <row r="232" ht="12.75" customHeight="1" s="1134">
      <c r="A232" s="1232" t="n"/>
      <c r="B232" s="1233" t="n"/>
      <c r="C232" s="1233" t="n"/>
      <c r="D232" s="1264" t="n"/>
      <c r="E232" s="1264" t="n"/>
      <c r="F232" s="1264" t="n"/>
      <c r="G232" s="1264" t="n"/>
      <c r="H232" s="1261" t="n"/>
      <c r="I232" s="1263" t="n"/>
      <c r="J232" s="1265">
        <f>+I232*H232</f>
        <v/>
      </c>
      <c r="K232" s="1282" t="n"/>
      <c r="L232" s="1281">
        <f>J232</f>
        <v/>
      </c>
      <c r="Q232" s="1215" t="n"/>
    </row>
    <row r="233" ht="12.75" customHeight="1" s="1134">
      <c r="A233" s="1236" t="n"/>
      <c r="B233" s="1237" t="n"/>
      <c r="C233" s="1237" t="n"/>
      <c r="D233" s="1238" t="n"/>
      <c r="E233" s="1238" t="n"/>
      <c r="F233" s="1238" t="n"/>
      <c r="G233" s="1238" t="n"/>
      <c r="H233" s="1239" t="n"/>
      <c r="I233" s="1253" t="n"/>
      <c r="J233" s="1265">
        <f>+I233*H233</f>
        <v/>
      </c>
      <c r="K233" s="1282" t="n"/>
      <c r="L233" s="1281">
        <f>J233</f>
        <v/>
      </c>
      <c r="Q233" s="1215" t="n"/>
    </row>
    <row r="234" ht="12.75" customHeight="1" s="1134">
      <c r="A234" s="1255" t="inlineStr">
        <is>
          <t>cut/strip &amp; crimp with seal one side with CPS option</t>
        </is>
      </c>
      <c r="B234" s="1256" t="inlineStr">
        <is>
          <t>Crimp by Seal Cutter with CPS</t>
        </is>
      </c>
      <c r="C234" s="1256" t="inlineStr">
        <is>
          <t>Komax alpha 433S</t>
        </is>
      </c>
      <c r="D234" s="1257" t="n">
        <v>0.22</v>
      </c>
      <c r="E234" s="1257" t="n">
        <v>6</v>
      </c>
      <c r="F234" s="1257" t="n">
        <v>60</v>
      </c>
      <c r="G234" s="1257" t="n">
        <v>100</v>
      </c>
      <c r="H234" s="1226" t="n">
        <v>1.317</v>
      </c>
      <c r="I234" s="1258" t="n">
        <v>0</v>
      </c>
      <c r="J234" s="1259">
        <f>+I234*H234</f>
        <v/>
      </c>
      <c r="K234" s="1292" t="n"/>
      <c r="L234" s="1259">
        <f>IF(K234&gt;I234,"ERROR",(K234*H234)*0.3+J234)</f>
        <v/>
      </c>
      <c r="M234" s="1231" t="inlineStr">
        <is>
          <t>Automatic</t>
        </is>
      </c>
      <c r="Q234" s="1215" t="n"/>
    </row>
    <row r="235" ht="12.75" customHeight="1" s="1134">
      <c r="A235" s="1232" t="n"/>
      <c r="B235" s="1233" t="n"/>
      <c r="C235" s="1233" t="n"/>
      <c r="D235" s="1225" t="n">
        <v>0.22</v>
      </c>
      <c r="E235" s="1225" t="n">
        <v>6</v>
      </c>
      <c r="F235" s="1225" t="n">
        <v>101</v>
      </c>
      <c r="G235" s="1225" t="n">
        <v>1000</v>
      </c>
      <c r="H235" s="1226" t="n">
        <v>1.317</v>
      </c>
      <c r="I235" s="1247" t="n">
        <v>0</v>
      </c>
      <c r="J235" s="1248">
        <f>+I235*H235</f>
        <v/>
      </c>
      <c r="K235" s="1293" t="n"/>
      <c r="L235" s="1248">
        <f>IF(K235&gt;I235,"ERROR",(K235*H235)*0.3+J235)</f>
        <v/>
      </c>
      <c r="M235" s="1231" t="inlineStr">
        <is>
          <t>Automatic</t>
        </is>
      </c>
      <c r="Q235" s="1215" t="n"/>
    </row>
    <row r="236" ht="12.75" customHeight="1" s="1134">
      <c r="A236" s="1232" t="n"/>
      <c r="B236" s="1233" t="n"/>
      <c r="C236" s="1233" t="n"/>
      <c r="D236" s="1234" t="n">
        <v>0.22</v>
      </c>
      <c r="E236" s="1234" t="n">
        <v>6</v>
      </c>
      <c r="F236" s="1234" t="n">
        <v>1001</v>
      </c>
      <c r="G236" s="1234" t="n">
        <v>2000</v>
      </c>
      <c r="H236" s="1226" t="n">
        <v>1.477</v>
      </c>
      <c r="I236" s="1250" t="n">
        <v>0</v>
      </c>
      <c r="J236" s="1228">
        <f>+I236*H236</f>
        <v/>
      </c>
      <c r="K236" s="1294" t="n"/>
      <c r="L236" s="1248">
        <f>IF(K236&gt;I236,"ERROR",(K236*H236)*0.3+J236)</f>
        <v/>
      </c>
      <c r="M236" s="1231" t="inlineStr">
        <is>
          <t>Automatic</t>
        </is>
      </c>
      <c r="Q236" s="1215" t="n"/>
    </row>
    <row r="237" ht="12.75" customHeight="1" s="1134">
      <c r="A237" s="1232" t="n"/>
      <c r="B237" s="1233" t="n"/>
      <c r="C237" s="1233" t="n"/>
      <c r="D237" s="1234" t="n">
        <v>0.22</v>
      </c>
      <c r="E237" s="1234" t="n">
        <v>6</v>
      </c>
      <c r="F237" s="1234" t="n">
        <v>2001</v>
      </c>
      <c r="G237" s="1234" t="n">
        <v>3000</v>
      </c>
      <c r="H237" s="1226" t="n">
        <v>1.647</v>
      </c>
      <c r="I237" s="1250" t="n">
        <v>0</v>
      </c>
      <c r="J237" s="1228">
        <f>+I237*H237</f>
        <v/>
      </c>
      <c r="K237" s="1294" t="n"/>
      <c r="L237" s="1228">
        <f>IF(K237&gt;I237,"ERROR",(K237*H237)*0.3+J237)</f>
        <v/>
      </c>
      <c r="M237" s="1231" t="inlineStr">
        <is>
          <t>Automatic</t>
        </is>
      </c>
      <c r="Q237" s="1215" t="n"/>
    </row>
    <row r="238" ht="12.75" customHeight="1" s="1134">
      <c r="A238" s="1232" t="n"/>
      <c r="B238" s="1233" t="n"/>
      <c r="C238" s="1233" t="n"/>
      <c r="D238" s="1234" t="n">
        <v>0.22</v>
      </c>
      <c r="E238" s="1234" t="n">
        <v>6</v>
      </c>
      <c r="F238" s="1234" t="n">
        <v>3001</v>
      </c>
      <c r="G238" s="1234" t="n">
        <v>4000</v>
      </c>
      <c r="H238" s="1226" t="n">
        <v>1.787</v>
      </c>
      <c r="I238" s="1250" t="n">
        <v>0</v>
      </c>
      <c r="J238" s="1228">
        <f>+I238*H238</f>
        <v/>
      </c>
      <c r="K238" s="1294" t="n"/>
      <c r="L238" s="1228">
        <f>IF(K238&gt;I238,"ERROR",(K238*H238)*0.3+J238)</f>
        <v/>
      </c>
      <c r="M238" s="1231" t="inlineStr">
        <is>
          <t>Automatic</t>
        </is>
      </c>
      <c r="Q238" s="1215" t="n"/>
    </row>
    <row r="239" ht="12.75" customHeight="1" s="1134">
      <c r="A239" s="1232" t="n"/>
      <c r="B239" s="1233" t="n"/>
      <c r="C239" s="1233" t="n"/>
      <c r="D239" s="1234" t="n">
        <v>0.22</v>
      </c>
      <c r="E239" s="1234" t="n">
        <v>6</v>
      </c>
      <c r="F239" s="1234" t="n">
        <v>4001</v>
      </c>
      <c r="G239" s="1234" t="n">
        <v>5000</v>
      </c>
      <c r="H239" s="1226" t="n">
        <v>1.927</v>
      </c>
      <c r="I239" s="1250" t="n">
        <v>0</v>
      </c>
      <c r="J239" s="1228">
        <f>+I239*H239</f>
        <v/>
      </c>
      <c r="K239" s="1294" t="n"/>
      <c r="L239" s="1228">
        <f>IF(K239&gt;I239,"ERROR",(K239*H239)*0.3+J239)</f>
        <v/>
      </c>
      <c r="M239" s="1231" t="inlineStr">
        <is>
          <t>Automatic</t>
        </is>
      </c>
      <c r="Q239" s="1215" t="n"/>
    </row>
    <row r="240" ht="12.75" customHeight="1" s="1134">
      <c r="A240" s="1232" t="n"/>
      <c r="B240" s="1233" t="n"/>
      <c r="C240" s="1233" t="n"/>
      <c r="D240" s="1234" t="n">
        <v>0.22</v>
      </c>
      <c r="E240" s="1234" t="n">
        <v>6</v>
      </c>
      <c r="F240" s="1234" t="n">
        <v>5001</v>
      </c>
      <c r="G240" s="1234" t="n">
        <v>6000</v>
      </c>
      <c r="H240" s="1226" t="n">
        <v>2.087</v>
      </c>
      <c r="I240" s="1250" t="n">
        <v>0</v>
      </c>
      <c r="J240" s="1228">
        <f>+I240*H240</f>
        <v/>
      </c>
      <c r="K240" s="1294" t="n"/>
      <c r="L240" s="1228">
        <f>IF(K240&gt;I240,"ERROR",(K240*H240)*0.3+J240)</f>
        <v/>
      </c>
      <c r="M240" s="1231" t="inlineStr">
        <is>
          <t>Automatic</t>
        </is>
      </c>
      <c r="Q240" s="1215" t="n"/>
    </row>
    <row r="241" ht="12.75" customHeight="1" s="1134">
      <c r="A241" s="1232" t="n"/>
      <c r="B241" s="1233" t="n"/>
      <c r="C241" s="1233" t="n"/>
      <c r="D241" s="1234" t="n">
        <v>0.22</v>
      </c>
      <c r="E241" s="1234" t="n">
        <v>6</v>
      </c>
      <c r="F241" s="1234" t="n">
        <v>6001</v>
      </c>
      <c r="G241" s="1234" t="n">
        <v>7000</v>
      </c>
      <c r="H241" s="1226" t="n">
        <v>2.207</v>
      </c>
      <c r="I241" s="1250" t="n">
        <v>0</v>
      </c>
      <c r="J241" s="1228">
        <f>+I241*H241</f>
        <v/>
      </c>
      <c r="K241" s="1294" t="n"/>
      <c r="L241" s="1228">
        <f>IF(K241&gt;I241,"ERROR",(K241*H241)*0.3+J241)</f>
        <v/>
      </c>
      <c r="M241" s="1231" t="inlineStr">
        <is>
          <t>Automatic</t>
        </is>
      </c>
      <c r="Q241" s="1215" t="n"/>
    </row>
    <row r="242" ht="12.75" customHeight="1" s="1134">
      <c r="A242" s="1232" t="n"/>
      <c r="B242" s="1233" t="n"/>
      <c r="C242" s="1233" t="n"/>
      <c r="D242" s="1234" t="n">
        <v>0.22</v>
      </c>
      <c r="E242" s="1234" t="n">
        <v>6</v>
      </c>
      <c r="F242" s="1234" t="n">
        <v>7001</v>
      </c>
      <c r="G242" s="1234" t="n">
        <v>8000</v>
      </c>
      <c r="H242" s="1226" t="n">
        <v>2.367</v>
      </c>
      <c r="I242" s="1250" t="n">
        <v>0</v>
      </c>
      <c r="J242" s="1228">
        <f>+I242*H242</f>
        <v/>
      </c>
      <c r="K242" s="1294" t="n"/>
      <c r="L242" s="1228">
        <f>IF(K242&gt;I242,"ERROR",(K242*H242)*0.3+J242)</f>
        <v/>
      </c>
      <c r="M242" s="1231" t="inlineStr">
        <is>
          <t>Automatic</t>
        </is>
      </c>
      <c r="Q242" s="1215" t="n"/>
    </row>
    <row r="243" ht="12.75" customHeight="1" s="1134">
      <c r="A243" s="1232" t="n"/>
      <c r="B243" s="1233" t="n"/>
      <c r="C243" s="1233" t="n"/>
      <c r="D243" s="1234" t="n">
        <v>0.22</v>
      </c>
      <c r="E243" s="1234" t="n">
        <v>6</v>
      </c>
      <c r="F243" s="1234" t="n">
        <v>8001</v>
      </c>
      <c r="G243" s="1234" t="n">
        <v>9000</v>
      </c>
      <c r="H243" s="1226" t="n">
        <v>2.547</v>
      </c>
      <c r="I243" s="1250" t="n">
        <v>0</v>
      </c>
      <c r="J243" s="1228">
        <f>+I243*H243</f>
        <v/>
      </c>
      <c r="K243" s="1294" t="n"/>
      <c r="L243" s="1228">
        <f>IF(K243&gt;I243,"ERROR",(K243*H243)*0.3+J243)</f>
        <v/>
      </c>
      <c r="M243" s="1231" t="inlineStr">
        <is>
          <t>Automatic</t>
        </is>
      </c>
      <c r="Q243" s="1215" t="n"/>
    </row>
    <row r="244" ht="12.75" customHeight="1" s="1134">
      <c r="A244" s="1232" t="n"/>
      <c r="B244" s="1233" t="n"/>
      <c r="C244" s="1233" t="n"/>
      <c r="D244" s="1234" t="n">
        <v>0.22</v>
      </c>
      <c r="E244" s="1234" t="n">
        <v>6</v>
      </c>
      <c r="F244" s="1234" t="n">
        <v>9001</v>
      </c>
      <c r="G244" s="1234" t="n">
        <v>11000</v>
      </c>
      <c r="H244" s="1226" t="n">
        <v>2.747</v>
      </c>
      <c r="I244" s="1250" t="n">
        <v>0</v>
      </c>
      <c r="J244" s="1228">
        <f>+I244*H244</f>
        <v/>
      </c>
      <c r="K244" s="1294" t="n"/>
      <c r="L244" s="1228">
        <f>IF(K244&gt;I244,"ERROR",(K244*H244)*0.3+J244)</f>
        <v/>
      </c>
      <c r="M244" s="1231" t="inlineStr">
        <is>
          <t>Automatic</t>
        </is>
      </c>
      <c r="Q244" s="1215" t="n"/>
    </row>
    <row r="245" ht="12.75" customHeight="1" s="1134">
      <c r="A245" s="1232" t="n"/>
      <c r="B245" s="1233" t="n"/>
      <c r="C245" s="1233" t="n"/>
      <c r="D245" s="1234" t="n">
        <v>0.22</v>
      </c>
      <c r="E245" s="1234" t="n">
        <v>6</v>
      </c>
      <c r="F245" s="1234" t="n">
        <v>11001</v>
      </c>
      <c r="G245" s="1234" t="n">
        <v>13000</v>
      </c>
      <c r="H245" s="1226" t="n">
        <v>3.007</v>
      </c>
      <c r="I245" s="1250" t="n">
        <v>0</v>
      </c>
      <c r="J245" s="1228">
        <f>+I245*H245</f>
        <v/>
      </c>
      <c r="K245" s="1294" t="n"/>
      <c r="L245" s="1228">
        <f>IF(K245&gt;I245,"ERROR",(K245*H245)*0.3+J245)</f>
        <v/>
      </c>
      <c r="M245" s="1231" t="inlineStr">
        <is>
          <t>Automatic</t>
        </is>
      </c>
      <c r="Q245" s="1215" t="n"/>
    </row>
    <row r="246" ht="12.75" customHeight="1" s="1134">
      <c r="A246" s="1232" t="n"/>
      <c r="B246" s="1233" t="n"/>
      <c r="C246" s="1233" t="n"/>
      <c r="D246" s="1264" t="n">
        <v>0.22</v>
      </c>
      <c r="E246" s="1264" t="n">
        <v>6</v>
      </c>
      <c r="F246" s="1264" t="n">
        <v>13001</v>
      </c>
      <c r="G246" s="1264" t="n">
        <v>15000</v>
      </c>
      <c r="H246" s="1261" t="n">
        <v>3.207</v>
      </c>
      <c r="I246" s="1262" t="n">
        <v>0</v>
      </c>
      <c r="J246" s="1265">
        <f>+I246*H246</f>
        <v/>
      </c>
      <c r="K246" s="1295" t="n"/>
      <c r="L246" s="1228">
        <f>IF(K246&gt;I246,"ERROR",(K246*H246)*0.3+J246)</f>
        <v/>
      </c>
      <c r="M246" s="1231" t="inlineStr">
        <is>
          <t>Automatic</t>
        </is>
      </c>
      <c r="Q246" s="1215" t="n"/>
    </row>
    <row r="247" ht="12.75" customHeight="1" s="1134">
      <c r="A247" s="1232" t="n"/>
      <c r="B247" s="1233" t="n"/>
      <c r="C247" s="1233" t="n"/>
      <c r="D247" s="1264" t="n">
        <v>0.22</v>
      </c>
      <c r="E247" s="1264" t="n">
        <v>6</v>
      </c>
      <c r="F247" s="1264" t="n">
        <v>15001</v>
      </c>
      <c r="G247" s="1264" t="n">
        <v>17000</v>
      </c>
      <c r="H247" s="1261">
        <f>H246-H245+H246</f>
        <v/>
      </c>
      <c r="I247" s="1262" t="n">
        <v>0</v>
      </c>
      <c r="J247" s="1265">
        <f>+I247*H247</f>
        <v/>
      </c>
      <c r="K247" s="1295" t="n"/>
      <c r="L247" s="1228">
        <f>IF(K247&gt;I247,"ERROR",(K247*H247)*0.3+J247)</f>
        <v/>
      </c>
      <c r="M247" s="1231" t="inlineStr">
        <is>
          <t>Automatic</t>
        </is>
      </c>
      <c r="Q247" s="1215" t="n"/>
    </row>
    <row r="248" ht="12.75" customHeight="1" s="1134">
      <c r="A248" s="1232" t="n"/>
      <c r="B248" s="1233" t="n"/>
      <c r="C248" s="1233" t="n"/>
      <c r="D248" s="1264" t="n">
        <v>0.22</v>
      </c>
      <c r="E248" s="1264" t="n">
        <v>6</v>
      </c>
      <c r="F248" s="1264" t="n">
        <v>17001</v>
      </c>
      <c r="G248" s="1264" t="n">
        <v>19000</v>
      </c>
      <c r="H248" s="1261">
        <f>H247-H246+H247</f>
        <v/>
      </c>
      <c r="I248" s="1262" t="n">
        <v>0</v>
      </c>
      <c r="J248" s="1265">
        <f>+I248*H248</f>
        <v/>
      </c>
      <c r="K248" s="1295" t="n"/>
      <c r="L248" s="1228">
        <f>IF(K248&gt;I248,"ERROR",(K248*H248)*0.3+J248)</f>
        <v/>
      </c>
      <c r="M248" s="1231" t="inlineStr">
        <is>
          <t>Automatic</t>
        </is>
      </c>
      <c r="Q248" s="1215" t="n"/>
    </row>
    <row r="249" ht="12.75" customHeight="1" s="1134">
      <c r="A249" s="1232" t="n"/>
      <c r="B249" s="1233" t="n"/>
      <c r="C249" s="1233" t="n"/>
      <c r="D249" s="1264" t="n"/>
      <c r="E249" s="1264" t="n"/>
      <c r="F249" s="1264" t="n"/>
      <c r="G249" s="1264" t="n"/>
      <c r="H249" s="1261" t="n"/>
      <c r="I249" s="1263" t="n"/>
      <c r="J249" s="1265">
        <f>+I249*H249</f>
        <v/>
      </c>
      <c r="K249" s="1295" t="n"/>
      <c r="L249" s="1228">
        <f>IF(K249&gt;I249,"ERROR",(K249*H249)*0.3+J249)</f>
        <v/>
      </c>
      <c r="Q249" s="1215" t="n"/>
    </row>
    <row r="250" ht="12.75" customHeight="1" s="1134">
      <c r="A250" s="1236" t="n"/>
      <c r="B250" s="1237" t="n"/>
      <c r="C250" s="1237" t="n"/>
      <c r="D250" s="1238" t="n"/>
      <c r="E250" s="1238" t="n"/>
      <c r="F250" s="1238" t="n"/>
      <c r="G250" s="1238" t="n"/>
      <c r="H250" s="1239" t="n"/>
      <c r="I250" s="1253" t="n"/>
      <c r="J250" s="1265">
        <f>+I250*H250</f>
        <v/>
      </c>
      <c r="K250" s="1295" t="n"/>
      <c r="L250" s="1228">
        <f>IF(K250&gt;I250,"ERROR",(K250*H250)*0.3+J250)</f>
        <v/>
      </c>
      <c r="Q250" s="1215" t="n"/>
    </row>
    <row r="251" ht="12.75" customHeight="1" s="1134">
      <c r="A251" s="1255" t="inlineStr">
        <is>
          <t>cut &amp; crimp with seal both sides</t>
        </is>
      </c>
      <c r="B251" s="1256" t="inlineStr">
        <is>
          <t>Seal by Seal Cutter</t>
        </is>
      </c>
      <c r="C251" s="1256" t="inlineStr">
        <is>
          <t>Komax alpha 433SS</t>
        </is>
      </c>
      <c r="D251" s="1257" t="n">
        <v>0.22</v>
      </c>
      <c r="E251" s="1257" t="n">
        <v>6</v>
      </c>
      <c r="F251" s="1257" t="n">
        <v>60</v>
      </c>
      <c r="G251" s="1257" t="n">
        <v>100</v>
      </c>
      <c r="H251" s="1226" t="n">
        <v>1.38</v>
      </c>
      <c r="I251" s="1258" t="n">
        <v>0</v>
      </c>
      <c r="J251" s="1259">
        <f>+I251*H251</f>
        <v/>
      </c>
      <c r="K251" s="1292" t="n"/>
      <c r="L251" s="1259">
        <f>IF(K251&gt;I251,"ERROR",(K251*H251)*0.1+J251)</f>
        <v/>
      </c>
      <c r="M251" s="1231" t="inlineStr">
        <is>
          <t>Automatic</t>
        </is>
      </c>
      <c r="Q251" s="1215" t="n"/>
    </row>
    <row r="252" ht="12.75" customHeight="1" s="1134">
      <c r="A252" s="1232" t="n"/>
      <c r="B252" s="1233" t="n"/>
      <c r="C252" s="1233" t="n"/>
      <c r="D252" s="1225" t="n">
        <v>0.22</v>
      </c>
      <c r="E252" s="1225" t="n">
        <v>6</v>
      </c>
      <c r="F252" s="1225" t="n">
        <v>101</v>
      </c>
      <c r="G252" s="1225" t="n">
        <v>1000</v>
      </c>
      <c r="H252" s="1226" t="n">
        <v>1.38</v>
      </c>
      <c r="I252" s="1247" t="n">
        <v>0</v>
      </c>
      <c r="J252" s="1248">
        <f>+I252*H252</f>
        <v/>
      </c>
      <c r="K252" s="1293" t="n"/>
      <c r="L252" s="1248">
        <f>IF(K252&gt;I252,"ERROR",(K252*H252)*0.1+J252)</f>
        <v/>
      </c>
      <c r="M252" s="1231" t="inlineStr">
        <is>
          <t>Automatic</t>
        </is>
      </c>
      <c r="Q252" s="1215" t="n"/>
    </row>
    <row r="253" ht="12.75" customHeight="1" s="1134">
      <c r="A253" s="1232" t="n"/>
      <c r="B253" s="1233" t="n"/>
      <c r="C253" s="1233" t="n"/>
      <c r="D253" s="1234" t="n">
        <v>0.22</v>
      </c>
      <c r="E253" s="1234" t="n">
        <v>6</v>
      </c>
      <c r="F253" s="1234" t="n">
        <v>1001</v>
      </c>
      <c r="G253" s="1234" t="n">
        <v>2000</v>
      </c>
      <c r="H253" s="1226" t="n">
        <v>1.5</v>
      </c>
      <c r="I253" s="1250" t="n">
        <v>0</v>
      </c>
      <c r="J253" s="1228">
        <f>+I253*H253</f>
        <v/>
      </c>
      <c r="K253" s="1294" t="n"/>
      <c r="L253" s="1228">
        <f>IF(K253&gt;I253,"ERROR",(K253*H253)*0.15+J253)</f>
        <v/>
      </c>
      <c r="M253" s="1231" t="inlineStr">
        <is>
          <t>Automatic</t>
        </is>
      </c>
      <c r="Q253" s="1215" t="n"/>
    </row>
    <row r="254" ht="12.75" customHeight="1" s="1134">
      <c r="A254" s="1232" t="n"/>
      <c r="B254" s="1233" t="n"/>
      <c r="C254" s="1233" t="n"/>
      <c r="D254" s="1234" t="n">
        <v>0.22</v>
      </c>
      <c r="E254" s="1234" t="n">
        <v>6</v>
      </c>
      <c r="F254" s="1234" t="n">
        <v>2001</v>
      </c>
      <c r="G254" s="1234" t="n">
        <v>3000</v>
      </c>
      <c r="H254" s="1226" t="n">
        <v>1.61</v>
      </c>
      <c r="I254" s="1250" t="n">
        <v>0</v>
      </c>
      <c r="J254" s="1228">
        <f>+I254*H254</f>
        <v/>
      </c>
      <c r="K254" s="1294" t="n"/>
      <c r="L254" s="1228">
        <f>IF(K254&gt;I254,"ERROR",(K254*H254)*0.2+J254)</f>
        <v/>
      </c>
      <c r="M254" s="1231" t="inlineStr">
        <is>
          <t>Automatic</t>
        </is>
      </c>
      <c r="Q254" s="1215" t="n"/>
    </row>
    <row r="255" ht="12.75" customHeight="1" s="1134">
      <c r="A255" s="1232" t="n"/>
      <c r="B255" s="1233" t="n"/>
      <c r="C255" s="1233" t="n"/>
      <c r="D255" s="1234" t="n">
        <v>0.22</v>
      </c>
      <c r="E255" s="1234" t="n">
        <v>6</v>
      </c>
      <c r="F255" s="1234" t="n">
        <v>3001</v>
      </c>
      <c r="G255" s="1234" t="n">
        <v>4000</v>
      </c>
      <c r="H255" s="1226" t="n">
        <v>1.74</v>
      </c>
      <c r="I255" s="1250" t="n">
        <v>0</v>
      </c>
      <c r="J255" s="1228">
        <f>+I255*H255</f>
        <v/>
      </c>
      <c r="K255" s="1294" t="n"/>
      <c r="L255" s="1228">
        <f>IF(K255&gt;I255,"ERROR",(K255*H255)*0.25+J255)</f>
        <v/>
      </c>
      <c r="M255" s="1231" t="inlineStr">
        <is>
          <t>Automatic</t>
        </is>
      </c>
      <c r="Q255" s="1215" t="n"/>
    </row>
    <row r="256" ht="12.75" customHeight="1" s="1134">
      <c r="A256" s="1232" t="n"/>
      <c r="B256" s="1233" t="n"/>
      <c r="C256" s="1233" t="n"/>
      <c r="D256" s="1234" t="n">
        <v>0.22</v>
      </c>
      <c r="E256" s="1234" t="n">
        <v>6</v>
      </c>
      <c r="F256" s="1234" t="n">
        <v>4001</v>
      </c>
      <c r="G256" s="1234" t="n">
        <v>5000</v>
      </c>
      <c r="H256" s="1226" t="n">
        <v>1.87</v>
      </c>
      <c r="I256" s="1250" t="n">
        <v>0</v>
      </c>
      <c r="J256" s="1228">
        <f>+I256*H256</f>
        <v/>
      </c>
      <c r="K256" s="1294" t="n"/>
      <c r="L256" s="1228">
        <f>IF(K256&gt;I256,"ERROR",(K256*H256)*0.3+J256)</f>
        <v/>
      </c>
      <c r="M256" s="1231" t="inlineStr">
        <is>
          <t>Automatic</t>
        </is>
      </c>
      <c r="Q256" s="1215" t="n"/>
    </row>
    <row r="257" ht="12.75" customHeight="1" s="1134">
      <c r="A257" s="1232" t="n"/>
      <c r="B257" s="1233" t="n"/>
      <c r="C257" s="1233" t="n"/>
      <c r="D257" s="1234" t="n">
        <v>0.22</v>
      </c>
      <c r="E257" s="1234" t="n">
        <v>6</v>
      </c>
      <c r="F257" s="1234" t="n">
        <v>5001</v>
      </c>
      <c r="G257" s="1234" t="n">
        <v>6000</v>
      </c>
      <c r="H257" s="1226" t="n">
        <v>2.01</v>
      </c>
      <c r="I257" s="1250" t="n">
        <v>0</v>
      </c>
      <c r="J257" s="1228">
        <f>+I257*H257</f>
        <v/>
      </c>
      <c r="K257" s="1294" t="n"/>
      <c r="L257" s="1228">
        <f>IF(K257&gt;I257,"ERROR",(K257*H257)*0.3+J257)</f>
        <v/>
      </c>
      <c r="M257" s="1231" t="inlineStr">
        <is>
          <t>Automatic</t>
        </is>
      </c>
      <c r="Q257" s="1215" t="n"/>
    </row>
    <row r="258" ht="12.75" customHeight="1" s="1134">
      <c r="A258" s="1232" t="n"/>
      <c r="B258" s="1233" t="n"/>
      <c r="C258" s="1233" t="n"/>
      <c r="D258" s="1234" t="n">
        <v>0.22</v>
      </c>
      <c r="E258" s="1234" t="n">
        <v>6</v>
      </c>
      <c r="F258" s="1234" t="n">
        <v>6001</v>
      </c>
      <c r="G258" s="1234" t="n">
        <v>7000</v>
      </c>
      <c r="H258" s="1226" t="n">
        <v>2.16</v>
      </c>
      <c r="I258" s="1250" t="n">
        <v>0</v>
      </c>
      <c r="J258" s="1228">
        <f>+I258*H258</f>
        <v/>
      </c>
      <c r="K258" s="1294" t="n"/>
      <c r="L258" s="1228">
        <f>IF(K258&gt;I258,"ERROR",(K258*H258)*0.3+J258)</f>
        <v/>
      </c>
      <c r="M258" s="1231" t="inlineStr">
        <is>
          <t>Automatic</t>
        </is>
      </c>
      <c r="Q258" s="1215" t="n"/>
    </row>
    <row r="259" ht="12.75" customHeight="1" s="1134">
      <c r="A259" s="1232" t="n"/>
      <c r="B259" s="1233" t="n"/>
      <c r="C259" s="1233" t="n"/>
      <c r="D259" s="1234" t="n">
        <v>0.22</v>
      </c>
      <c r="E259" s="1234" t="n">
        <v>6</v>
      </c>
      <c r="F259" s="1234" t="n">
        <v>7001</v>
      </c>
      <c r="G259" s="1234" t="n">
        <v>8000</v>
      </c>
      <c r="H259" s="1226" t="n">
        <v>2.3</v>
      </c>
      <c r="I259" s="1250" t="n">
        <v>0</v>
      </c>
      <c r="J259" s="1228">
        <f>+I259*H259</f>
        <v/>
      </c>
      <c r="K259" s="1294" t="n"/>
      <c r="L259" s="1228">
        <f>IF(K259&gt;I259,"ERROR",(K259*H259)*0.3+J259)</f>
        <v/>
      </c>
      <c r="M259" s="1231" t="inlineStr">
        <is>
          <t>Automatic</t>
        </is>
      </c>
      <c r="Q259" s="1215" t="n"/>
    </row>
    <row r="260" ht="12.75" customHeight="1" s="1134">
      <c r="A260" s="1232" t="n"/>
      <c r="B260" s="1233" t="n"/>
      <c r="C260" s="1233" t="n"/>
      <c r="D260" s="1234" t="n">
        <v>0.22</v>
      </c>
      <c r="E260" s="1234" t="n">
        <v>6</v>
      </c>
      <c r="F260" s="1234" t="n">
        <v>8001</v>
      </c>
      <c r="G260" s="1234" t="n">
        <v>9000</v>
      </c>
      <c r="H260" s="1226" t="n">
        <v>2.45</v>
      </c>
      <c r="I260" s="1250" t="n">
        <v>0</v>
      </c>
      <c r="J260" s="1228">
        <f>+I260*H260</f>
        <v/>
      </c>
      <c r="K260" s="1294" t="n"/>
      <c r="L260" s="1228">
        <f>IF(K260&gt;I260,"ERROR",(K260*H260)*0.3+J260)</f>
        <v/>
      </c>
      <c r="M260" s="1231" t="inlineStr">
        <is>
          <t>Automatic</t>
        </is>
      </c>
      <c r="Q260" s="1215" t="n"/>
    </row>
    <row r="261" ht="12.75" customHeight="1" s="1134">
      <c r="A261" s="1232" t="n"/>
      <c r="B261" s="1233" t="n"/>
      <c r="C261" s="1233" t="n"/>
      <c r="D261" s="1234" t="n">
        <v>0.22</v>
      </c>
      <c r="E261" s="1234" t="n">
        <v>6</v>
      </c>
      <c r="F261" s="1234" t="n">
        <v>9001</v>
      </c>
      <c r="G261" s="1234" t="n">
        <v>11000</v>
      </c>
      <c r="H261" s="1226" t="n">
        <v>2.71</v>
      </c>
      <c r="I261" s="1250" t="n">
        <v>0</v>
      </c>
      <c r="J261" s="1228">
        <f>+I261*H261</f>
        <v/>
      </c>
      <c r="K261" s="1294" t="n"/>
      <c r="L261" s="1228">
        <f>IF(K261&gt;I261,"ERROR",(K261*H261)*0.3+J261)</f>
        <v/>
      </c>
      <c r="M261" s="1231" t="inlineStr">
        <is>
          <t>Automatic</t>
        </is>
      </c>
      <c r="Q261" s="1215" t="n"/>
    </row>
    <row r="262" ht="12.75" customHeight="1" s="1134">
      <c r="A262" s="1232" t="n"/>
      <c r="B262" s="1233" t="n"/>
      <c r="C262" s="1233" t="n"/>
      <c r="D262" s="1234" t="n">
        <v>0.22</v>
      </c>
      <c r="E262" s="1234" t="n">
        <v>6</v>
      </c>
      <c r="F262" s="1234" t="n">
        <v>11001</v>
      </c>
      <c r="G262" s="1234" t="n">
        <v>13000</v>
      </c>
      <c r="H262" s="1226" t="n">
        <v>2.9</v>
      </c>
      <c r="I262" s="1250" t="n">
        <v>0</v>
      </c>
      <c r="J262" s="1228">
        <f>+I262*H262</f>
        <v/>
      </c>
      <c r="K262" s="1294" t="n"/>
      <c r="L262" s="1228">
        <f>IF(K262&gt;I262,"ERROR",(K262*H262)*0.3+J262)</f>
        <v/>
      </c>
      <c r="M262" s="1231" t="inlineStr">
        <is>
          <t>Automatic</t>
        </is>
      </c>
      <c r="Q262" s="1215" t="n"/>
    </row>
    <row r="263" ht="12.75" customHeight="1" s="1134">
      <c r="A263" s="1232" t="n"/>
      <c r="B263" s="1233" t="n"/>
      <c r="C263" s="1233" t="n"/>
      <c r="D263" s="1264" t="n">
        <v>0.22</v>
      </c>
      <c r="E263" s="1264" t="n">
        <v>6</v>
      </c>
      <c r="F263" s="1264" t="n">
        <v>13001</v>
      </c>
      <c r="G263" s="1264" t="n">
        <v>15000</v>
      </c>
      <c r="H263" s="1261" t="n">
        <v>3.1</v>
      </c>
      <c r="I263" s="1262" t="n">
        <v>0</v>
      </c>
      <c r="J263" s="1265">
        <f>+I263*H263</f>
        <v/>
      </c>
      <c r="K263" s="1295" t="n"/>
      <c r="L263" s="1265">
        <f>IF(K263&gt;I263,"ERROR",(K263*H263)*0.3+J263)</f>
        <v/>
      </c>
      <c r="M263" s="1231" t="inlineStr">
        <is>
          <t>Automatic</t>
        </is>
      </c>
      <c r="Q263" s="1215" t="n"/>
    </row>
    <row r="264" ht="12.75" customHeight="1" s="1134">
      <c r="A264" s="1232" t="n"/>
      <c r="B264" s="1233" t="n"/>
      <c r="C264" s="1233" t="n"/>
      <c r="D264" s="1264" t="n">
        <v>0.22</v>
      </c>
      <c r="E264" s="1264" t="n">
        <v>6</v>
      </c>
      <c r="F264" s="1264" t="n">
        <v>15001</v>
      </c>
      <c r="G264" s="1264" t="n">
        <v>17000</v>
      </c>
      <c r="H264" s="1261">
        <f>H263-H262+H263</f>
        <v/>
      </c>
      <c r="I264" s="1262" t="n">
        <v>0</v>
      </c>
      <c r="J264" s="1265">
        <f>+I264*H264</f>
        <v/>
      </c>
      <c r="K264" s="1295" t="n"/>
      <c r="L264" s="1265">
        <f>IF(K264&gt;I264,"ERROR",(K264*H264)*0.3+J264)</f>
        <v/>
      </c>
      <c r="M264" s="1231" t="inlineStr">
        <is>
          <t>Automatic</t>
        </is>
      </c>
      <c r="Q264" s="1215" t="n"/>
    </row>
    <row r="265" ht="12.75" customHeight="1" s="1134">
      <c r="A265" s="1232" t="n"/>
      <c r="B265" s="1233" t="n"/>
      <c r="C265" s="1233" t="n"/>
      <c r="D265" s="1264" t="n">
        <v>0.22</v>
      </c>
      <c r="E265" s="1264" t="n">
        <v>6</v>
      </c>
      <c r="F265" s="1264" t="n">
        <v>17001</v>
      </c>
      <c r="G265" s="1264" t="n">
        <v>19000</v>
      </c>
      <c r="H265" s="1261">
        <f>H264-H263+H264</f>
        <v/>
      </c>
      <c r="I265" s="1262" t="n">
        <v>0</v>
      </c>
      <c r="J265" s="1265">
        <f>+I265*H265</f>
        <v/>
      </c>
      <c r="K265" s="1295" t="n"/>
      <c r="L265" s="1265">
        <f>IF(K265&gt;I265,"ERROR",(K265*H265)*0.3+J265)</f>
        <v/>
      </c>
      <c r="M265" s="1231" t="inlineStr">
        <is>
          <t>Automatic</t>
        </is>
      </c>
      <c r="Q265" s="1215" t="n"/>
    </row>
    <row r="266" ht="12.75" customHeight="1" s="1134">
      <c r="A266" s="1232" t="n"/>
      <c r="B266" s="1233" t="n"/>
      <c r="C266" s="1233" t="n"/>
      <c r="D266" s="1264" t="n"/>
      <c r="E266" s="1264" t="n"/>
      <c r="F266" s="1264" t="n"/>
      <c r="G266" s="1264" t="n"/>
      <c r="H266" s="1261" t="n"/>
      <c r="I266" s="1263" t="n"/>
      <c r="J266" s="1265">
        <f>+I266*H266</f>
        <v/>
      </c>
      <c r="K266" s="1295" t="n"/>
      <c r="L266" s="1265">
        <f>IF(K266&gt;I266,"ERROR",(K266*H266)*0.3+J266)</f>
        <v/>
      </c>
      <c r="Q266" s="1215" t="n"/>
    </row>
    <row r="267" ht="12.75" customHeight="1" s="1134">
      <c r="A267" s="1236" t="n"/>
      <c r="B267" s="1237" t="n"/>
      <c r="C267" s="1237" t="n"/>
      <c r="D267" s="1238" t="n"/>
      <c r="E267" s="1238" t="n"/>
      <c r="F267" s="1238" t="n"/>
      <c r="G267" s="1238" t="n"/>
      <c r="H267" s="1239" t="n"/>
      <c r="I267" s="1253" t="n"/>
      <c r="J267" s="1265">
        <f>+I267*H267</f>
        <v/>
      </c>
      <c r="K267" s="1295" t="n"/>
      <c r="L267" s="1265">
        <f>IF(K267&gt;I267,"ERROR",(K267*H267)*0.3+J267)</f>
        <v/>
      </c>
      <c r="Q267" s="1215" t="n"/>
    </row>
    <row r="268" ht="12.75" customHeight="1" s="1134">
      <c r="A268" s="1296" t="inlineStr">
        <is>
          <t>cut &amp; crimp with seal both sides with CPS option</t>
        </is>
      </c>
      <c r="B268" s="1256" t="inlineStr">
        <is>
          <t>Seal by Seal Cutter with CPS</t>
        </is>
      </c>
      <c r="C268" s="1256" t="inlineStr">
        <is>
          <t>Komax alpha 433SS</t>
        </is>
      </c>
      <c r="D268" s="1257" t="n">
        <v>0.22</v>
      </c>
      <c r="E268" s="1257" t="n">
        <v>6</v>
      </c>
      <c r="F268" s="1257" t="n">
        <v>60</v>
      </c>
      <c r="G268" s="1257" t="n">
        <v>100</v>
      </c>
      <c r="H268" s="1226" t="n">
        <v>1.487</v>
      </c>
      <c r="I268" s="1258" t="n">
        <v>0</v>
      </c>
      <c r="J268" s="1259">
        <f>+I268*H268</f>
        <v/>
      </c>
      <c r="K268" s="1292" t="n"/>
      <c r="L268" s="1259">
        <f>IF(K268&gt;I268,"ERROR",(K268*H268)*0.1+J268)</f>
        <v/>
      </c>
      <c r="M268" s="1231" t="inlineStr">
        <is>
          <t>Automatic</t>
        </is>
      </c>
      <c r="Q268" s="1215" t="n"/>
    </row>
    <row r="269" ht="12.75" customHeight="1" s="1134">
      <c r="A269" s="1297" t="n"/>
      <c r="B269" s="1233" t="n"/>
      <c r="C269" s="1233" t="n"/>
      <c r="D269" s="1225" t="n">
        <v>0.22</v>
      </c>
      <c r="E269" s="1225" t="n">
        <v>6</v>
      </c>
      <c r="F269" s="1225" t="n">
        <v>101</v>
      </c>
      <c r="G269" s="1225" t="n">
        <v>1000</v>
      </c>
      <c r="H269" s="1226" t="n">
        <v>1.487</v>
      </c>
      <c r="I269" s="1247" t="n">
        <v>0</v>
      </c>
      <c r="J269" s="1228">
        <f>+I269*H269</f>
        <v/>
      </c>
      <c r="K269" s="1293" t="n"/>
      <c r="L269" s="1248">
        <f>IF(K269&gt;I269,"ERROR",(K269*H269)*0.1+J269)</f>
        <v/>
      </c>
      <c r="M269" s="1231" t="inlineStr">
        <is>
          <t>Automatic</t>
        </is>
      </c>
      <c r="Q269" s="1215" t="n"/>
    </row>
    <row r="270" ht="12.75" customHeight="1" s="1134">
      <c r="A270" s="1297" t="n"/>
      <c r="B270" s="1233" t="n"/>
      <c r="C270" s="1233" t="n"/>
      <c r="D270" s="1234" t="n">
        <v>0.22</v>
      </c>
      <c r="E270" s="1234" t="n">
        <v>6</v>
      </c>
      <c r="F270" s="1234" t="n">
        <v>1001</v>
      </c>
      <c r="G270" s="1234" t="n">
        <v>2000</v>
      </c>
      <c r="H270" s="1226" t="n">
        <v>1.607</v>
      </c>
      <c r="I270" s="1250" t="n">
        <v>0</v>
      </c>
      <c r="J270" s="1228">
        <f>+I270*H270</f>
        <v/>
      </c>
      <c r="K270" s="1294" t="n"/>
      <c r="L270" s="1228">
        <f>IF(K270&gt;I270,"ERROR",(K270*H270)*0.15+J270)</f>
        <v/>
      </c>
      <c r="M270" s="1231" t="inlineStr">
        <is>
          <t>Automatic</t>
        </is>
      </c>
      <c r="Q270" s="1215" t="n"/>
    </row>
    <row r="271" ht="12.75" customHeight="1" s="1134">
      <c r="A271" s="1297" t="n"/>
      <c r="B271" s="1233" t="n"/>
      <c r="C271" s="1233" t="n"/>
      <c r="D271" s="1234" t="n">
        <v>0.22</v>
      </c>
      <c r="E271" s="1234" t="n">
        <v>6</v>
      </c>
      <c r="F271" s="1234" t="n">
        <v>2001</v>
      </c>
      <c r="G271" s="1234" t="n">
        <v>3000</v>
      </c>
      <c r="H271" s="1226" t="n">
        <v>1.717</v>
      </c>
      <c r="I271" s="1250" t="n">
        <v>0</v>
      </c>
      <c r="J271" s="1228">
        <f>+I271*H271</f>
        <v/>
      </c>
      <c r="K271" s="1294" t="n"/>
      <c r="L271" s="1228">
        <f>IF(K271&gt;I271,"ERROR",(K271*H271)*0.2+J271)</f>
        <v/>
      </c>
      <c r="M271" s="1231" t="inlineStr">
        <is>
          <t>Automatic</t>
        </is>
      </c>
      <c r="Q271" s="1215" t="n"/>
    </row>
    <row r="272" ht="12.75" customHeight="1" s="1134">
      <c r="A272" s="1297" t="n"/>
      <c r="B272" s="1233" t="n"/>
      <c r="C272" s="1233" t="n"/>
      <c r="D272" s="1234" t="n">
        <v>0.22</v>
      </c>
      <c r="E272" s="1234" t="n">
        <v>6</v>
      </c>
      <c r="F272" s="1234" t="n">
        <v>3001</v>
      </c>
      <c r="G272" s="1234" t="n">
        <v>4000</v>
      </c>
      <c r="H272" s="1226" t="n">
        <v>1.847</v>
      </c>
      <c r="I272" s="1250" t="n">
        <v>0</v>
      </c>
      <c r="J272" s="1228">
        <f>+I272*H272</f>
        <v/>
      </c>
      <c r="K272" s="1294" t="n"/>
      <c r="L272" s="1228">
        <f>IF(K272&gt;I272,"ERROR",(K272*H272)*0.25+J272)</f>
        <v/>
      </c>
      <c r="M272" s="1231" t="inlineStr">
        <is>
          <t>Automatic</t>
        </is>
      </c>
      <c r="Q272" s="1215" t="n"/>
    </row>
    <row r="273" ht="12.75" customHeight="1" s="1134">
      <c r="A273" s="1297" t="n"/>
      <c r="B273" s="1233" t="n"/>
      <c r="C273" s="1233" t="n"/>
      <c r="D273" s="1234" t="n">
        <v>0.22</v>
      </c>
      <c r="E273" s="1234" t="n">
        <v>6</v>
      </c>
      <c r="F273" s="1234" t="n">
        <v>4001</v>
      </c>
      <c r="G273" s="1234" t="n">
        <v>5000</v>
      </c>
      <c r="H273" s="1226" t="n">
        <v>1.977</v>
      </c>
      <c r="I273" s="1250" t="n">
        <v>0</v>
      </c>
      <c r="J273" s="1228">
        <f>+I273*H273</f>
        <v/>
      </c>
      <c r="K273" s="1294" t="n"/>
      <c r="L273" s="1228">
        <f>IF(K273&gt;I273,"ERROR",(K273*H273)*0.3+J273)</f>
        <v/>
      </c>
      <c r="M273" s="1231" t="inlineStr">
        <is>
          <t>Automatic</t>
        </is>
      </c>
      <c r="Q273" s="1215" t="n"/>
    </row>
    <row r="274" ht="12.75" customHeight="1" s="1134">
      <c r="A274" s="1297" t="n"/>
      <c r="B274" s="1233" t="n"/>
      <c r="C274" s="1233" t="n"/>
      <c r="D274" s="1234" t="n">
        <v>0.22</v>
      </c>
      <c r="E274" s="1234" t="n">
        <v>6</v>
      </c>
      <c r="F274" s="1234" t="n">
        <v>5001</v>
      </c>
      <c r="G274" s="1234" t="n">
        <v>6000</v>
      </c>
      <c r="H274" s="1226" t="n">
        <v>2.117</v>
      </c>
      <c r="I274" s="1250" t="n">
        <v>0</v>
      </c>
      <c r="J274" s="1228">
        <f>+I274*H274</f>
        <v/>
      </c>
      <c r="K274" s="1294" t="n"/>
      <c r="L274" s="1228">
        <f>IF(K274&gt;I274,"ERROR",(K274*H274)*0.3+J274)</f>
        <v/>
      </c>
      <c r="M274" s="1231" t="inlineStr">
        <is>
          <t>Automatic</t>
        </is>
      </c>
      <c r="Q274" s="1215" t="n"/>
    </row>
    <row r="275" ht="12.75" customHeight="1" s="1134">
      <c r="A275" s="1297" t="n"/>
      <c r="B275" s="1233" t="n"/>
      <c r="C275" s="1233" t="n"/>
      <c r="D275" s="1234" t="n">
        <v>0.22</v>
      </c>
      <c r="E275" s="1234" t="n">
        <v>6</v>
      </c>
      <c r="F275" s="1234" t="n">
        <v>6001</v>
      </c>
      <c r="G275" s="1234" t="n">
        <v>7000</v>
      </c>
      <c r="H275" s="1226" t="n">
        <v>2.267</v>
      </c>
      <c r="I275" s="1250" t="n">
        <v>0</v>
      </c>
      <c r="J275" s="1228">
        <f>+I275*H275</f>
        <v/>
      </c>
      <c r="K275" s="1294" t="n"/>
      <c r="L275" s="1228">
        <f>IF(K275&gt;I275,"ERROR",(K275*H275)*0.3+J275)</f>
        <v/>
      </c>
      <c r="M275" s="1231" t="inlineStr">
        <is>
          <t>Automatic</t>
        </is>
      </c>
      <c r="Q275" s="1215" t="n"/>
    </row>
    <row r="276" ht="12.75" customHeight="1" s="1134">
      <c r="A276" s="1297" t="n"/>
      <c r="B276" s="1233" t="n"/>
      <c r="C276" s="1233" t="n"/>
      <c r="D276" s="1234" t="n">
        <v>0.22</v>
      </c>
      <c r="E276" s="1234" t="n">
        <v>6</v>
      </c>
      <c r="F276" s="1234" t="n">
        <v>7001</v>
      </c>
      <c r="G276" s="1234" t="n">
        <v>8000</v>
      </c>
      <c r="H276" s="1226" t="n">
        <v>2.407</v>
      </c>
      <c r="I276" s="1250" t="n">
        <v>0</v>
      </c>
      <c r="J276" s="1228">
        <f>+I276*H276</f>
        <v/>
      </c>
      <c r="K276" s="1294" t="n"/>
      <c r="L276" s="1228">
        <f>IF(K276&gt;I276,"ERROR",(K276*H276)*0.3+J276)</f>
        <v/>
      </c>
      <c r="M276" s="1231" t="inlineStr">
        <is>
          <t>Automatic</t>
        </is>
      </c>
      <c r="Q276" s="1215" t="n"/>
    </row>
    <row r="277" ht="12.75" customHeight="1" s="1134">
      <c r="A277" s="1297" t="n"/>
      <c r="B277" s="1233" t="n"/>
      <c r="C277" s="1233" t="n"/>
      <c r="D277" s="1234" t="n">
        <v>0.22</v>
      </c>
      <c r="E277" s="1234" t="n">
        <v>6</v>
      </c>
      <c r="F277" s="1234" t="n">
        <v>8001</v>
      </c>
      <c r="G277" s="1234" t="n">
        <v>9000</v>
      </c>
      <c r="H277" s="1226" t="n">
        <v>2.557</v>
      </c>
      <c r="I277" s="1250" t="n">
        <v>0</v>
      </c>
      <c r="J277" s="1228">
        <f>+I277*H277</f>
        <v/>
      </c>
      <c r="K277" s="1294" t="n"/>
      <c r="L277" s="1228">
        <f>IF(K277&gt;I277,"ERROR",(K277*H277)*0.3+J277)</f>
        <v/>
      </c>
      <c r="M277" s="1231" t="inlineStr">
        <is>
          <t>Automatic</t>
        </is>
      </c>
      <c r="Q277" s="1215" t="n"/>
    </row>
    <row r="278" ht="12.75" customHeight="1" s="1134">
      <c r="A278" s="1297" t="n"/>
      <c r="B278" s="1233" t="n"/>
      <c r="C278" s="1233" t="n"/>
      <c r="D278" s="1234" t="n">
        <v>0.22</v>
      </c>
      <c r="E278" s="1234" t="n">
        <v>6</v>
      </c>
      <c r="F278" s="1234" t="n">
        <v>9001</v>
      </c>
      <c r="G278" s="1234" t="n">
        <v>11000</v>
      </c>
      <c r="H278" s="1226" t="n">
        <v>2.817</v>
      </c>
      <c r="I278" s="1250" t="n">
        <v>0</v>
      </c>
      <c r="J278" s="1228">
        <f>+I278*H278</f>
        <v/>
      </c>
      <c r="K278" s="1294" t="n"/>
      <c r="L278" s="1228">
        <f>IF(K278&gt;I278,"ERROR",(K278*H278)*0.3+J278)</f>
        <v/>
      </c>
      <c r="M278" s="1231" t="inlineStr">
        <is>
          <t>Automatic</t>
        </is>
      </c>
      <c r="Q278" s="1215" t="n"/>
    </row>
    <row r="279" ht="12.75" customHeight="1" s="1134">
      <c r="A279" s="1297" t="n"/>
      <c r="B279" s="1233" t="n"/>
      <c r="C279" s="1233" t="n"/>
      <c r="D279" s="1234" t="n">
        <v>0.22</v>
      </c>
      <c r="E279" s="1234" t="n">
        <v>6</v>
      </c>
      <c r="F279" s="1234" t="n">
        <v>11001</v>
      </c>
      <c r="G279" s="1234" t="n">
        <v>13000</v>
      </c>
      <c r="H279" s="1226" t="n">
        <v>3.007</v>
      </c>
      <c r="I279" s="1250" t="n">
        <v>0</v>
      </c>
      <c r="J279" s="1228">
        <f>+I279*H279</f>
        <v/>
      </c>
      <c r="K279" s="1294" t="n"/>
      <c r="L279" s="1228">
        <f>IF(K279&gt;I279,"ERROR",(K279*H279)*0.3+J279)</f>
        <v/>
      </c>
      <c r="M279" s="1231" t="inlineStr">
        <is>
          <t>Automatic</t>
        </is>
      </c>
      <c r="Q279" s="1215" t="n"/>
    </row>
    <row r="280" ht="12.75" customHeight="1" s="1134">
      <c r="A280" s="1297" t="n"/>
      <c r="B280" s="1233" t="n"/>
      <c r="C280" s="1233" t="n"/>
      <c r="D280" s="1264" t="n">
        <v>0.22</v>
      </c>
      <c r="E280" s="1264" t="n">
        <v>6</v>
      </c>
      <c r="F280" s="1264" t="n">
        <v>13001</v>
      </c>
      <c r="G280" s="1264" t="n">
        <v>15000</v>
      </c>
      <c r="H280" s="1261" t="n">
        <v>3.207</v>
      </c>
      <c r="I280" s="1262" t="n">
        <v>0</v>
      </c>
      <c r="J280" s="1265">
        <f>+I280*H280</f>
        <v/>
      </c>
      <c r="K280" s="1295" t="n"/>
      <c r="L280" s="1265">
        <f>IF(K280&gt;I280,"ERROR",(K280*H280)*0.3+J280)</f>
        <v/>
      </c>
      <c r="M280" s="1231" t="inlineStr">
        <is>
          <t>Automatic</t>
        </is>
      </c>
      <c r="Q280" s="1215" t="n"/>
    </row>
    <row r="281" ht="12.75" customHeight="1" s="1134">
      <c r="A281" s="1297" t="n"/>
      <c r="B281" s="1233" t="n"/>
      <c r="C281" s="1233" t="n"/>
      <c r="D281" s="1264" t="n">
        <v>0.22</v>
      </c>
      <c r="E281" s="1264" t="n">
        <v>6</v>
      </c>
      <c r="F281" s="1264" t="n">
        <v>15001</v>
      </c>
      <c r="G281" s="1264" t="n">
        <v>17000</v>
      </c>
      <c r="H281" s="1261">
        <f>H280-H279+H280</f>
        <v/>
      </c>
      <c r="I281" s="1298" t="n">
        <v>0</v>
      </c>
      <c r="J281" s="1265">
        <f>+I281*H281</f>
        <v/>
      </c>
      <c r="K281" s="1295" t="n"/>
      <c r="L281" s="1265">
        <f>IF(K281&gt;I281,"ERROR",(K281*H281)*0.3+J281)</f>
        <v/>
      </c>
      <c r="M281" s="1231" t="inlineStr">
        <is>
          <t>Automatic</t>
        </is>
      </c>
      <c r="Q281" s="1215" t="n"/>
    </row>
    <row r="282" ht="12.75" customHeight="1" s="1134">
      <c r="A282" s="1297" t="n"/>
      <c r="B282" s="1233" t="n"/>
      <c r="C282" s="1233" t="n"/>
      <c r="D282" s="1264" t="n">
        <v>0.22</v>
      </c>
      <c r="E282" s="1264" t="n">
        <v>6</v>
      </c>
      <c r="F282" s="1264" t="n">
        <v>17001</v>
      </c>
      <c r="G282" s="1264" t="n">
        <v>19000</v>
      </c>
      <c r="H282" s="1261">
        <f>H281-H280+H281</f>
        <v/>
      </c>
      <c r="I282" s="1298" t="n">
        <v>0</v>
      </c>
      <c r="J282" s="1265">
        <f>+I282*H282</f>
        <v/>
      </c>
      <c r="K282" s="1295" t="n"/>
      <c r="L282" s="1265">
        <f>IF(K282&gt;I282,"ERROR",(K282*H282)*0.3+J282)</f>
        <v/>
      </c>
      <c r="M282" s="1231" t="inlineStr">
        <is>
          <t>Automatic</t>
        </is>
      </c>
      <c r="Q282" s="1215" t="n"/>
    </row>
    <row r="283" ht="12.75" customHeight="1" s="1134">
      <c r="A283" s="1297" t="n"/>
      <c r="B283" s="1233" t="n"/>
      <c r="C283" s="1233" t="n"/>
      <c r="D283" s="1299" t="n"/>
      <c r="E283" s="1299" t="n"/>
      <c r="F283" s="1299" t="n"/>
      <c r="G283" s="1299" t="n"/>
      <c r="H283" s="1261" t="n"/>
      <c r="I283" s="1300" t="n"/>
      <c r="J283" s="1265">
        <f>+I283*H283</f>
        <v/>
      </c>
      <c r="K283" s="1295" t="n"/>
      <c r="L283" s="1265">
        <f>IF(K283&gt;I283,"ERROR",(K283*H283)*0.3+J283)</f>
        <v/>
      </c>
      <c r="Q283" s="1215" t="n"/>
    </row>
    <row r="284" ht="12.75" customHeight="1" s="1134">
      <c r="A284" s="1301" t="n"/>
      <c r="B284" s="1237" t="n"/>
      <c r="C284" s="1237" t="n"/>
      <c r="D284" s="1299" t="n"/>
      <c r="E284" s="1299" t="n"/>
      <c r="F284" s="1299" t="n"/>
      <c r="G284" s="1299" t="n"/>
      <c r="H284" s="1239" t="n"/>
      <c r="I284" s="1300" t="n"/>
      <c r="J284" s="1265">
        <f>+I284*H284</f>
        <v/>
      </c>
      <c r="K284" s="1295" t="n"/>
      <c r="L284" s="1265">
        <f>IF(K284&gt;I284,"ERROR",(K284*H284)*0.3+J284)</f>
        <v/>
      </c>
      <c r="Q284" s="1215" t="n"/>
    </row>
    <row r="285" ht="12.75" customFormat="1" customHeight="1" s="1132">
      <c r="A285" s="1302" t="inlineStr">
        <is>
          <t>cut/ strip &amp;crimp with marking text</t>
        </is>
      </c>
      <c r="B285" s="1256" t="inlineStr">
        <is>
          <t>Crimp by Crimp Cutter</t>
        </is>
      </c>
      <c r="C285" s="1303" t="inlineStr">
        <is>
          <t>Komax alpha 433</t>
        </is>
      </c>
      <c r="D285" s="1257" t="n">
        <v>0.22</v>
      </c>
      <c r="E285" s="1257" t="n">
        <v>6</v>
      </c>
      <c r="F285" s="1257" t="n">
        <v>60</v>
      </c>
      <c r="G285" s="1257" t="n">
        <v>100</v>
      </c>
      <c r="H285" s="1304" t="n">
        <v>1.522</v>
      </c>
      <c r="I285" s="1305" t="n">
        <v>0</v>
      </c>
      <c r="J285" s="1259">
        <f>+I285*H285</f>
        <v/>
      </c>
      <c r="K285" s="1306" t="n"/>
      <c r="L285" s="1307">
        <f>J285</f>
        <v/>
      </c>
      <c r="M285" s="1231" t="inlineStr">
        <is>
          <t>Automatic</t>
        </is>
      </c>
      <c r="N285" s="1132" t="n"/>
      <c r="O285" s="1132" t="n"/>
      <c r="P285" s="1132" t="n"/>
      <c r="Q285" s="1215" t="n"/>
    </row>
    <row r="286" ht="12.75" customFormat="1" customHeight="1" s="1132">
      <c r="A286" s="1308" t="n"/>
      <c r="B286" s="1233" t="n"/>
      <c r="C286" s="1233" t="n"/>
      <c r="D286" s="1225" t="n">
        <v>0.22</v>
      </c>
      <c r="E286" s="1225" t="n">
        <v>6</v>
      </c>
      <c r="F286" s="1225" t="n">
        <v>101</v>
      </c>
      <c r="G286" s="1225" t="n">
        <v>1000</v>
      </c>
      <c r="H286" s="1268" t="n">
        <v>1.522</v>
      </c>
      <c r="I286" s="1309" t="n">
        <v>0</v>
      </c>
      <c r="J286" s="1310">
        <f>+I286*H286</f>
        <v/>
      </c>
      <c r="K286" s="1311" t="n"/>
      <c r="L286" s="1312">
        <f>J286</f>
        <v/>
      </c>
      <c r="M286" s="1231" t="inlineStr">
        <is>
          <t>Automatic</t>
        </is>
      </c>
      <c r="N286" s="1132" t="n"/>
      <c r="O286" s="1132" t="n"/>
      <c r="P286" s="1132" t="n"/>
      <c r="Q286" s="1215" t="n"/>
    </row>
    <row r="287" ht="12.75" customFormat="1" customHeight="1" s="1132">
      <c r="A287" s="1308" t="n"/>
      <c r="B287" s="1233" t="n"/>
      <c r="C287" s="1233" t="n"/>
      <c r="D287" s="1234" t="n">
        <v>0.22</v>
      </c>
      <c r="E287" s="1234" t="n">
        <v>6</v>
      </c>
      <c r="F287" s="1234" t="n">
        <v>1001</v>
      </c>
      <c r="G287" s="1234" t="n">
        <v>2000</v>
      </c>
      <c r="H287" s="1268" t="n">
        <v>1.737</v>
      </c>
      <c r="I287" s="1313" t="n">
        <v>0</v>
      </c>
      <c r="J287" s="1265">
        <f>+I287*H287</f>
        <v/>
      </c>
      <c r="K287" s="1314" t="n"/>
      <c r="L287" s="1315">
        <f>J287</f>
        <v/>
      </c>
      <c r="M287" s="1231" t="inlineStr">
        <is>
          <t>Automatic</t>
        </is>
      </c>
      <c r="N287" s="1132" t="n"/>
      <c r="O287" s="1132" t="n"/>
      <c r="P287" s="1132" t="n"/>
      <c r="Q287" s="1215" t="n"/>
    </row>
    <row r="288" ht="12.75" customFormat="1" customHeight="1" s="1132">
      <c r="A288" s="1308" t="n"/>
      <c r="B288" s="1233" t="n"/>
      <c r="C288" s="1233" t="n"/>
      <c r="D288" s="1234" t="n">
        <v>0.22</v>
      </c>
      <c r="E288" s="1234" t="n">
        <v>6</v>
      </c>
      <c r="F288" s="1234" t="n">
        <v>2001</v>
      </c>
      <c r="G288" s="1234" t="n">
        <v>3000</v>
      </c>
      <c r="H288" s="1268" t="n">
        <v>2.002</v>
      </c>
      <c r="I288" s="1313" t="n">
        <v>0</v>
      </c>
      <c r="J288" s="1265">
        <f>+I288*H288</f>
        <v/>
      </c>
      <c r="K288" s="1314" t="n"/>
      <c r="L288" s="1315">
        <f>J288</f>
        <v/>
      </c>
      <c r="M288" s="1231" t="inlineStr">
        <is>
          <t>Automatic</t>
        </is>
      </c>
      <c r="N288" s="1132" t="n"/>
      <c r="O288" s="1132" t="n"/>
      <c r="P288" s="1132" t="n"/>
      <c r="Q288" s="1215" t="n"/>
    </row>
    <row r="289" ht="12.75" customFormat="1" customHeight="1" s="1132">
      <c r="A289" s="1308" t="n"/>
      <c r="B289" s="1233" t="n"/>
      <c r="C289" s="1233" t="n"/>
      <c r="D289" s="1234" t="n">
        <v>0.22</v>
      </c>
      <c r="E289" s="1234" t="n">
        <v>6</v>
      </c>
      <c r="F289" s="1234" t="n">
        <v>3001</v>
      </c>
      <c r="G289" s="1234" t="n">
        <v>4000</v>
      </c>
      <c r="H289" s="1268" t="n">
        <v>2.438</v>
      </c>
      <c r="I289" s="1313" t="n">
        <v>0</v>
      </c>
      <c r="J289" s="1265">
        <f>+I289*H289</f>
        <v/>
      </c>
      <c r="K289" s="1314" t="n"/>
      <c r="L289" s="1315">
        <f>J289</f>
        <v/>
      </c>
      <c r="M289" s="1231" t="inlineStr">
        <is>
          <t>Automatic</t>
        </is>
      </c>
      <c r="N289" s="1132" t="n"/>
      <c r="O289" s="1132" t="n"/>
      <c r="P289" s="1132" t="n"/>
      <c r="Q289" s="1215" t="n"/>
    </row>
    <row r="290" ht="12.75" customFormat="1" customHeight="1" s="1132">
      <c r="A290" s="1308" t="n"/>
      <c r="B290" s="1233" t="n"/>
      <c r="C290" s="1233" t="n"/>
      <c r="D290" s="1234" t="n">
        <v>0.22</v>
      </c>
      <c r="E290" s="1234" t="n">
        <v>6</v>
      </c>
      <c r="F290" s="1234" t="n">
        <v>4001</v>
      </c>
      <c r="G290" s="1234" t="n">
        <v>5000</v>
      </c>
      <c r="H290" s="1268" t="n">
        <v>2.746</v>
      </c>
      <c r="I290" s="1313" t="n">
        <v>0</v>
      </c>
      <c r="J290" s="1265">
        <f>+I290*H290</f>
        <v/>
      </c>
      <c r="K290" s="1314" t="n"/>
      <c r="L290" s="1315">
        <f>J290</f>
        <v/>
      </c>
      <c r="M290" s="1231" t="inlineStr">
        <is>
          <t>Automatic</t>
        </is>
      </c>
      <c r="N290" s="1132" t="n"/>
      <c r="O290" s="1132" t="n"/>
      <c r="P290" s="1132" t="n"/>
      <c r="Q290" s="1215" t="n"/>
    </row>
    <row r="291" ht="12.75" customFormat="1" customHeight="1" s="1132">
      <c r="A291" s="1308" t="n"/>
      <c r="B291" s="1233" t="n"/>
      <c r="C291" s="1233" t="n"/>
      <c r="D291" s="1234" t="n">
        <v>0.22</v>
      </c>
      <c r="E291" s="1234" t="n">
        <v>6</v>
      </c>
      <c r="F291" s="1234" t="n">
        <v>5001</v>
      </c>
      <c r="G291" s="1234" t="n">
        <v>6000</v>
      </c>
      <c r="H291" s="1268" t="n">
        <v>2.998</v>
      </c>
      <c r="I291" s="1313" t="n">
        <v>0</v>
      </c>
      <c r="J291" s="1265">
        <f>+I291*H291</f>
        <v/>
      </c>
      <c r="K291" s="1314" t="n"/>
      <c r="L291" s="1315">
        <f>J291</f>
        <v/>
      </c>
      <c r="M291" s="1231" t="inlineStr">
        <is>
          <t>Automatic</t>
        </is>
      </c>
      <c r="N291" s="1132" t="n"/>
      <c r="O291" s="1132" t="n"/>
      <c r="P291" s="1132" t="n"/>
      <c r="Q291" s="1215" t="n"/>
    </row>
    <row r="292" ht="12.75" customFormat="1" customHeight="1" s="1132">
      <c r="A292" s="1308" t="n"/>
      <c r="B292" s="1233" t="n"/>
      <c r="C292" s="1233" t="n"/>
      <c r="D292" s="1234" t="n">
        <v>0.22</v>
      </c>
      <c r="E292" s="1234" t="n">
        <v>6</v>
      </c>
      <c r="F292" s="1234" t="n">
        <v>6001</v>
      </c>
      <c r="G292" s="1234" t="n">
        <v>7000</v>
      </c>
      <c r="H292" s="1268" t="n">
        <v>3.234</v>
      </c>
      <c r="I292" s="1313" t="n">
        <v>0</v>
      </c>
      <c r="J292" s="1265">
        <f>+I292*H292</f>
        <v/>
      </c>
      <c r="K292" s="1314" t="n"/>
      <c r="L292" s="1315">
        <f>J292</f>
        <v/>
      </c>
      <c r="M292" s="1231" t="inlineStr">
        <is>
          <t>Automatic</t>
        </is>
      </c>
      <c r="N292" s="1132" t="n"/>
      <c r="O292" s="1132" t="n"/>
      <c r="P292" s="1132" t="n"/>
      <c r="Q292" s="1215" t="n"/>
    </row>
    <row r="293" ht="12.75" customFormat="1" customHeight="1" s="1132">
      <c r="A293" s="1308" t="n"/>
      <c r="B293" s="1233" t="n"/>
      <c r="C293" s="1233" t="n"/>
      <c r="D293" s="1234" t="n">
        <v>0.22</v>
      </c>
      <c r="E293" s="1234" t="n">
        <v>6</v>
      </c>
      <c r="F293" s="1234" t="n">
        <v>7001</v>
      </c>
      <c r="G293" s="1234" t="n">
        <v>8000</v>
      </c>
      <c r="H293" s="1268" t="n">
        <v>3.485</v>
      </c>
      <c r="I293" s="1313" t="n">
        <v>0</v>
      </c>
      <c r="J293" s="1265">
        <f>+I293*H293</f>
        <v/>
      </c>
      <c r="K293" s="1314" t="n"/>
      <c r="L293" s="1315">
        <f>J293</f>
        <v/>
      </c>
      <c r="M293" s="1231" t="inlineStr">
        <is>
          <t>Automatic</t>
        </is>
      </c>
      <c r="N293" s="1132" t="n"/>
      <c r="O293" s="1132" t="n"/>
      <c r="P293" s="1132" t="n"/>
      <c r="Q293" s="1215" t="n"/>
    </row>
    <row r="294" ht="12.75" customFormat="1" customHeight="1" s="1132">
      <c r="A294" s="1308" t="n"/>
      <c r="B294" s="1233" t="n"/>
      <c r="C294" s="1233" t="n"/>
      <c r="D294" s="1234" t="n">
        <v>0.22</v>
      </c>
      <c r="E294" s="1234" t="n">
        <v>6</v>
      </c>
      <c r="F294" s="1234" t="n">
        <v>8001</v>
      </c>
      <c r="G294" s="1234" t="n">
        <v>9000</v>
      </c>
      <c r="H294" s="1268" t="n">
        <v>3.669</v>
      </c>
      <c r="I294" s="1313" t="n">
        <v>0</v>
      </c>
      <c r="J294" s="1265">
        <f>+I294*H294</f>
        <v/>
      </c>
      <c r="K294" s="1314" t="n"/>
      <c r="L294" s="1315">
        <f>J294</f>
        <v/>
      </c>
      <c r="M294" s="1231" t="inlineStr">
        <is>
          <t>Automatic</t>
        </is>
      </c>
      <c r="N294" s="1132" t="n"/>
      <c r="O294" s="1132" t="n"/>
      <c r="P294" s="1132" t="n"/>
      <c r="Q294" s="1215" t="n"/>
    </row>
    <row r="295" ht="12.75" customFormat="1" customHeight="1" s="1132">
      <c r="A295" s="1308" t="n"/>
      <c r="B295" s="1233" t="n"/>
      <c r="C295" s="1233" t="n"/>
      <c r="D295" s="1234" t="n">
        <v>0.22</v>
      </c>
      <c r="E295" s="1234" t="n">
        <v>6</v>
      </c>
      <c r="F295" s="1234" t="n">
        <v>9001</v>
      </c>
      <c r="G295" s="1234" t="n">
        <v>11000</v>
      </c>
      <c r="H295" s="1268" t="n">
        <v>4.0948</v>
      </c>
      <c r="I295" s="1313" t="n">
        <v>0</v>
      </c>
      <c r="J295" s="1265">
        <f>+I295*H295</f>
        <v/>
      </c>
      <c r="K295" s="1314" t="n"/>
      <c r="L295" s="1315">
        <f>J295</f>
        <v/>
      </c>
      <c r="M295" s="1231" t="inlineStr">
        <is>
          <t>Automatic</t>
        </is>
      </c>
      <c r="N295" s="1132" t="n"/>
      <c r="O295" s="1132" t="n"/>
      <c r="P295" s="1132" t="n"/>
      <c r="Q295" s="1215" t="n"/>
    </row>
    <row r="296" ht="12.75" customFormat="1" customHeight="1" s="1132">
      <c r="A296" s="1308" t="n"/>
      <c r="B296" s="1233" t="n"/>
      <c r="C296" s="1233" t="n"/>
      <c r="D296" s="1234" t="n">
        <v>0.22</v>
      </c>
      <c r="E296" s="1234" t="n">
        <v>6</v>
      </c>
      <c r="F296" s="1234" t="n">
        <v>11001</v>
      </c>
      <c r="G296" s="1234" t="n">
        <v>13000</v>
      </c>
      <c r="H296" s="1268" t="n">
        <v>4.634</v>
      </c>
      <c r="I296" s="1313" t="n">
        <v>0</v>
      </c>
      <c r="J296" s="1265">
        <f>+I296*H296</f>
        <v/>
      </c>
      <c r="K296" s="1314" t="n"/>
      <c r="L296" s="1315">
        <f>J296</f>
        <v/>
      </c>
      <c r="M296" s="1231" t="inlineStr">
        <is>
          <t>Automatic</t>
        </is>
      </c>
      <c r="N296" s="1132" t="n"/>
      <c r="O296" s="1132" t="n"/>
      <c r="P296" s="1132" t="n"/>
      <c r="Q296" s="1215" t="n"/>
    </row>
    <row r="297" ht="12.75" customFormat="1" customHeight="1" s="1132">
      <c r="A297" s="1308" t="n"/>
      <c r="B297" s="1233" t="n"/>
      <c r="C297" s="1233" t="n"/>
      <c r="D297" s="1234" t="n">
        <v>0.22</v>
      </c>
      <c r="E297" s="1234" t="n">
        <v>6</v>
      </c>
      <c r="F297" s="1234" t="n">
        <v>13001</v>
      </c>
      <c r="G297" s="1234" t="n">
        <v>15000</v>
      </c>
      <c r="H297" s="1268" t="n">
        <v>5.342</v>
      </c>
      <c r="I297" s="1313" t="n">
        <v>0</v>
      </c>
      <c r="J297" s="1265">
        <f>+I297*H297</f>
        <v/>
      </c>
      <c r="K297" s="1314" t="n"/>
      <c r="L297" s="1315">
        <f>J297</f>
        <v/>
      </c>
      <c r="M297" s="1231" t="inlineStr">
        <is>
          <t>Automatic</t>
        </is>
      </c>
      <c r="N297" s="1132" t="n"/>
      <c r="O297" s="1132" t="n"/>
      <c r="P297" s="1132" t="n"/>
      <c r="Q297" s="1215" t="n"/>
    </row>
    <row r="298" ht="12.75" customFormat="1" customHeight="1" s="1132">
      <c r="A298" s="1308" t="n"/>
      <c r="B298" s="1233" t="n"/>
      <c r="C298" s="1233" t="n"/>
      <c r="D298" s="1264" t="n">
        <v>0.22</v>
      </c>
      <c r="E298" s="1264" t="n">
        <v>6</v>
      </c>
      <c r="F298" s="1264" t="n">
        <v>15001</v>
      </c>
      <c r="G298" s="1264" t="n">
        <v>17000</v>
      </c>
      <c r="H298" s="1289">
        <f>H297-H296+H297</f>
        <v/>
      </c>
      <c r="I298" s="1316" t="n">
        <v>0</v>
      </c>
      <c r="J298" s="1265">
        <f>+I298*H298</f>
        <v/>
      </c>
      <c r="K298" s="1314" t="n"/>
      <c r="L298" s="1315">
        <f>J298</f>
        <v/>
      </c>
      <c r="M298" s="1231" t="inlineStr">
        <is>
          <t>Automatic</t>
        </is>
      </c>
      <c r="N298" s="1132" t="n"/>
      <c r="O298" s="1132" t="n"/>
      <c r="P298" s="1132" t="n"/>
      <c r="Q298" s="1215" t="n"/>
    </row>
    <row r="299" ht="12.75" customFormat="1" customHeight="1" s="1132">
      <c r="A299" s="1308" t="n"/>
      <c r="B299" s="1233" t="n"/>
      <c r="C299" s="1233" t="n"/>
      <c r="D299" s="1264" t="n">
        <v>0.22</v>
      </c>
      <c r="E299" s="1264" t="n">
        <v>6</v>
      </c>
      <c r="F299" s="1264" t="n">
        <v>17001</v>
      </c>
      <c r="G299" s="1264" t="n">
        <v>19000</v>
      </c>
      <c r="H299" s="1289">
        <f>H298-H297+H298</f>
        <v/>
      </c>
      <c r="I299" s="1316" t="n">
        <v>0</v>
      </c>
      <c r="J299" s="1265">
        <f>+I299*H299</f>
        <v/>
      </c>
      <c r="K299" s="1314" t="n"/>
      <c r="L299" s="1315">
        <f>J299</f>
        <v/>
      </c>
      <c r="M299" s="1231" t="inlineStr">
        <is>
          <t>Automatic</t>
        </is>
      </c>
      <c r="N299" s="1132" t="n"/>
      <c r="O299" s="1132" t="n"/>
      <c r="P299" s="1132" t="n"/>
      <c r="Q299" s="1215" t="n"/>
    </row>
    <row r="300" ht="12.75" customFormat="1" customHeight="1" s="1132">
      <c r="A300" s="1308" t="n"/>
      <c r="B300" s="1233" t="n"/>
      <c r="C300" s="1233" t="n"/>
      <c r="D300" s="1264" t="n"/>
      <c r="E300" s="1264" t="n"/>
      <c r="F300" s="1264" t="n"/>
      <c r="G300" s="1264" t="n"/>
      <c r="H300" s="1271" t="n"/>
      <c r="I300" s="1317" t="n"/>
      <c r="J300" s="1265">
        <f>+I300*H300</f>
        <v/>
      </c>
      <c r="K300" s="1314" t="n"/>
      <c r="L300" s="1315">
        <f>J300</f>
        <v/>
      </c>
      <c r="M300" s="1132" t="n"/>
      <c r="N300" s="1132" t="n"/>
      <c r="O300" s="1132" t="n"/>
      <c r="P300" s="1132" t="n"/>
      <c r="Q300" s="1215" t="n"/>
    </row>
    <row r="301" ht="12.75" customFormat="1" customHeight="1" s="1132">
      <c r="A301" s="1308" t="n"/>
      <c r="B301" s="1233" t="n"/>
      <c r="C301" s="1233" t="n"/>
      <c r="D301" s="1264" t="n"/>
      <c r="E301" s="1264" t="n"/>
      <c r="F301" s="1264" t="n"/>
      <c r="G301" s="1264" t="n"/>
      <c r="H301" s="1271" t="n"/>
      <c r="I301" s="1317" t="n"/>
      <c r="J301" s="1265">
        <f>+I301*H301</f>
        <v/>
      </c>
      <c r="K301" s="1314" t="n"/>
      <c r="L301" s="1315">
        <f>J301</f>
        <v/>
      </c>
      <c r="M301" s="1132" t="n"/>
      <c r="N301" s="1132" t="n"/>
      <c r="O301" s="1132" t="n"/>
      <c r="P301" s="1132" t="n"/>
      <c r="Q301" s="1215" t="n"/>
    </row>
    <row r="302" ht="12.75" customFormat="1" customHeight="1" s="1132">
      <c r="A302" s="1318" t="n"/>
      <c r="B302" s="1237" t="n"/>
      <c r="C302" s="1237" t="n"/>
      <c r="D302" s="1319" t="n"/>
      <c r="E302" s="1319" t="n"/>
      <c r="F302" s="1319" t="n"/>
      <c r="G302" s="1319" t="n"/>
      <c r="H302" s="1319" t="n"/>
      <c r="I302" s="1319" t="n"/>
      <c r="J302" s="1265">
        <f>+I302*H302</f>
        <v/>
      </c>
      <c r="K302" s="1314" t="n"/>
      <c r="L302" s="1315">
        <f>J302</f>
        <v/>
      </c>
      <c r="M302" s="1132" t="n"/>
      <c r="N302" s="1132" t="n"/>
      <c r="O302" s="1132" t="n"/>
      <c r="P302" s="1132" t="n"/>
      <c r="Q302" s="1215" t="n"/>
    </row>
    <row r="303" ht="12.75" customFormat="1" customHeight="1" s="1132">
      <c r="A303" s="1296" t="inlineStr">
        <is>
          <t>cut/ strip &amp;crimp with seal one side with marking text</t>
        </is>
      </c>
      <c r="B303" s="1256" t="inlineStr">
        <is>
          <t>Crimp by Seal Cutter</t>
        </is>
      </c>
      <c r="C303" s="1303" t="inlineStr">
        <is>
          <t>Komax alpha 433</t>
        </is>
      </c>
      <c r="D303" s="1225" t="n">
        <v>0.22</v>
      </c>
      <c r="E303" s="1225" t="n">
        <v>6</v>
      </c>
      <c r="F303" s="1225" t="n">
        <v>60</v>
      </c>
      <c r="G303" s="1225" t="n">
        <v>100</v>
      </c>
      <c r="H303" s="1268" t="n">
        <v>1.558</v>
      </c>
      <c r="I303" s="1309" t="n">
        <v>0</v>
      </c>
      <c r="J303" s="1259">
        <f>+I303*H303</f>
        <v/>
      </c>
      <c r="K303" s="1311" t="n"/>
      <c r="L303" s="1312">
        <f>J303</f>
        <v/>
      </c>
      <c r="M303" s="1231" t="inlineStr">
        <is>
          <t>Automatic</t>
        </is>
      </c>
      <c r="N303" s="1132" t="n"/>
      <c r="O303" s="1132" t="n"/>
      <c r="P303" s="1132" t="n"/>
      <c r="Q303" s="1215" t="n"/>
    </row>
    <row r="304" ht="12.75" customFormat="1" customHeight="1" s="1132">
      <c r="A304" s="1297" t="n"/>
      <c r="B304" s="1233" t="n"/>
      <c r="C304" s="1233" t="n"/>
      <c r="D304" s="1225" t="n">
        <v>0.22</v>
      </c>
      <c r="E304" s="1225" t="n">
        <v>6</v>
      </c>
      <c r="F304" s="1225" t="n">
        <v>101</v>
      </c>
      <c r="G304" s="1225" t="n">
        <v>1000</v>
      </c>
      <c r="H304" s="1268" t="n">
        <v>1.558</v>
      </c>
      <c r="I304" s="1309" t="n">
        <v>0</v>
      </c>
      <c r="J304" s="1310">
        <f>+I304*H304</f>
        <v/>
      </c>
      <c r="K304" s="1311" t="n"/>
      <c r="L304" s="1312">
        <f>J304</f>
        <v/>
      </c>
      <c r="M304" s="1231" t="inlineStr">
        <is>
          <t>Automatic</t>
        </is>
      </c>
      <c r="N304" s="1132" t="n"/>
      <c r="O304" s="1132" t="n"/>
      <c r="P304" s="1132" t="n"/>
      <c r="Q304" s="1215" t="n"/>
    </row>
    <row r="305" ht="12.75" customFormat="1" customHeight="1" s="1132">
      <c r="A305" s="1297" t="n"/>
      <c r="B305" s="1233" t="n"/>
      <c r="C305" s="1233" t="n"/>
      <c r="D305" s="1234" t="n">
        <v>0.22</v>
      </c>
      <c r="E305" s="1234" t="n">
        <v>6</v>
      </c>
      <c r="F305" s="1234" t="n">
        <v>1001</v>
      </c>
      <c r="G305" s="1234" t="n">
        <v>2000</v>
      </c>
      <c r="H305" s="1268" t="n">
        <v>1.788</v>
      </c>
      <c r="I305" s="1313" t="n">
        <v>0</v>
      </c>
      <c r="J305" s="1265">
        <f>+I305*H305</f>
        <v/>
      </c>
      <c r="K305" s="1314" t="n"/>
      <c r="L305" s="1315">
        <f>J305</f>
        <v/>
      </c>
      <c r="M305" s="1231" t="inlineStr">
        <is>
          <t>Automatic</t>
        </is>
      </c>
      <c r="N305" s="1132" t="n"/>
      <c r="O305" s="1132" t="n"/>
      <c r="P305" s="1132" t="n"/>
      <c r="Q305" s="1215" t="n"/>
    </row>
    <row r="306" ht="12.75" customFormat="1" customHeight="1" s="1132">
      <c r="A306" s="1297" t="n"/>
      <c r="B306" s="1233" t="n"/>
      <c r="C306" s="1233" t="n"/>
      <c r="D306" s="1234" t="n">
        <v>0.22</v>
      </c>
      <c r="E306" s="1234" t="n">
        <v>6</v>
      </c>
      <c r="F306" s="1234" t="n">
        <v>2001</v>
      </c>
      <c r="G306" s="1234" t="n">
        <v>3000</v>
      </c>
      <c r="H306" s="1268" t="n">
        <v>2.03</v>
      </c>
      <c r="I306" s="1313" t="n">
        <v>0</v>
      </c>
      <c r="J306" s="1265">
        <f>+I306*H306</f>
        <v/>
      </c>
      <c r="K306" s="1314" t="n"/>
      <c r="L306" s="1315">
        <f>J306</f>
        <v/>
      </c>
      <c r="M306" s="1231" t="inlineStr">
        <is>
          <t>Automatic</t>
        </is>
      </c>
      <c r="N306" s="1132" t="n"/>
      <c r="O306" s="1132" t="n"/>
      <c r="P306" s="1132" t="n"/>
      <c r="Q306" s="1215" t="n"/>
    </row>
    <row r="307" ht="12.75" customFormat="1" customHeight="1" s="1132">
      <c r="A307" s="1297" t="n"/>
      <c r="B307" s="1233" t="n"/>
      <c r="C307" s="1233" t="n"/>
      <c r="D307" s="1234" t="n">
        <v>0.22</v>
      </c>
      <c r="E307" s="1234" t="n">
        <v>6</v>
      </c>
      <c r="F307" s="1234" t="n">
        <v>3001</v>
      </c>
      <c r="G307" s="1234" t="n">
        <v>4000</v>
      </c>
      <c r="H307" s="1268" t="n">
        <v>2.356</v>
      </c>
      <c r="I307" s="1313" t="n">
        <v>0</v>
      </c>
      <c r="J307" s="1265">
        <f>+I307*H307</f>
        <v/>
      </c>
      <c r="K307" s="1314" t="n"/>
      <c r="L307" s="1315">
        <f>J307</f>
        <v/>
      </c>
      <c r="M307" s="1231" t="inlineStr">
        <is>
          <t>Automatic</t>
        </is>
      </c>
      <c r="N307" s="1132" t="n"/>
      <c r="O307" s="1132" t="n"/>
      <c r="P307" s="1132" t="n"/>
      <c r="Q307" s="1215" t="n"/>
    </row>
    <row r="308" ht="12.75" customFormat="1" customHeight="1" s="1132">
      <c r="A308" s="1297" t="n"/>
      <c r="B308" s="1233" t="n"/>
      <c r="C308" s="1233" t="n"/>
      <c r="D308" s="1234" t="n">
        <v>0.22</v>
      </c>
      <c r="E308" s="1234" t="n">
        <v>6</v>
      </c>
      <c r="F308" s="1234" t="n">
        <v>4001</v>
      </c>
      <c r="G308" s="1234" t="n">
        <v>5000</v>
      </c>
      <c r="H308" s="1268" t="n">
        <v>2.716</v>
      </c>
      <c r="I308" s="1313" t="n">
        <v>0</v>
      </c>
      <c r="J308" s="1265">
        <f>+I308*H308</f>
        <v/>
      </c>
      <c r="K308" s="1314" t="n"/>
      <c r="L308" s="1315">
        <f>J308</f>
        <v/>
      </c>
      <c r="M308" s="1231" t="inlineStr">
        <is>
          <t>Automatic</t>
        </is>
      </c>
      <c r="N308" s="1132" t="n"/>
      <c r="O308" s="1132" t="n"/>
      <c r="P308" s="1132" t="n"/>
      <c r="Q308" s="1215" t="n"/>
    </row>
    <row r="309" ht="12.75" customFormat="1" customHeight="1" s="1132">
      <c r="A309" s="1297" t="n"/>
      <c r="B309" s="1233" t="n"/>
      <c r="C309" s="1233" t="n"/>
      <c r="D309" s="1234" t="n">
        <v>0.22</v>
      </c>
      <c r="E309" s="1234" t="n">
        <v>6</v>
      </c>
      <c r="F309" s="1234" t="n">
        <v>5001</v>
      </c>
      <c r="G309" s="1234" t="n">
        <v>6000</v>
      </c>
      <c r="H309" s="1268" t="n">
        <v>3.116</v>
      </c>
      <c r="I309" s="1313" t="n">
        <v>0</v>
      </c>
      <c r="J309" s="1265">
        <f>+I309*H309</f>
        <v/>
      </c>
      <c r="K309" s="1314" t="n"/>
      <c r="L309" s="1315">
        <f>J309</f>
        <v/>
      </c>
      <c r="M309" s="1231" t="inlineStr">
        <is>
          <t>Automatic</t>
        </is>
      </c>
      <c r="N309" s="1132" t="n"/>
      <c r="O309" s="1132" t="n"/>
      <c r="P309" s="1132" t="n"/>
      <c r="Q309" s="1215" t="n"/>
    </row>
    <row r="310" ht="12.75" customFormat="1" customHeight="1" s="1132">
      <c r="A310" s="1297" t="n"/>
      <c r="B310" s="1233" t="n"/>
      <c r="C310" s="1233" t="n"/>
      <c r="D310" s="1234" t="n">
        <v>0.22</v>
      </c>
      <c r="E310" s="1234" t="n">
        <v>6</v>
      </c>
      <c r="F310" s="1234" t="n">
        <v>6001</v>
      </c>
      <c r="G310" s="1234" t="n">
        <v>7000</v>
      </c>
      <c r="H310" s="1268" t="n">
        <v>3.406</v>
      </c>
      <c r="I310" s="1313" t="n">
        <v>0</v>
      </c>
      <c r="J310" s="1265">
        <f>+I310*H310</f>
        <v/>
      </c>
      <c r="K310" s="1314" t="n"/>
      <c r="L310" s="1315">
        <f>J310</f>
        <v/>
      </c>
      <c r="M310" s="1231" t="inlineStr">
        <is>
          <t>Automatic</t>
        </is>
      </c>
      <c r="N310" s="1132" t="n"/>
      <c r="O310" s="1132" t="n"/>
      <c r="P310" s="1132" t="n"/>
      <c r="Q310" s="1215" t="n"/>
    </row>
    <row r="311" ht="12.75" customFormat="1" customHeight="1" s="1132">
      <c r="A311" s="1297" t="n"/>
      <c r="B311" s="1233" t="n"/>
      <c r="C311" s="1233" t="n"/>
      <c r="D311" s="1234" t="n">
        <v>0.22</v>
      </c>
      <c r="E311" s="1234" t="n">
        <v>6</v>
      </c>
      <c r="F311" s="1234" t="n">
        <v>7001</v>
      </c>
      <c r="G311" s="1234" t="n">
        <v>8000</v>
      </c>
      <c r="H311" s="1268" t="n">
        <v>3.673</v>
      </c>
      <c r="I311" s="1313" t="n">
        <v>0</v>
      </c>
      <c r="J311" s="1265">
        <f>+I311*H311</f>
        <v/>
      </c>
      <c r="K311" s="1314" t="n"/>
      <c r="L311" s="1315">
        <f>J311</f>
        <v/>
      </c>
      <c r="M311" s="1231" t="inlineStr">
        <is>
          <t>Automatic</t>
        </is>
      </c>
      <c r="N311" s="1132" t="n"/>
      <c r="O311" s="1132" t="n"/>
      <c r="P311" s="1132" t="n"/>
      <c r="Q311" s="1215" t="n"/>
    </row>
    <row r="312" ht="12.75" customFormat="1" customHeight="1" s="1132">
      <c r="A312" s="1297" t="n"/>
      <c r="B312" s="1233" t="n"/>
      <c r="C312" s="1233" t="n"/>
      <c r="D312" s="1234" t="n">
        <v>0.22</v>
      </c>
      <c r="E312" s="1234" t="n">
        <v>6</v>
      </c>
      <c r="F312" s="1234" t="n">
        <v>8001</v>
      </c>
      <c r="G312" s="1234" t="n">
        <v>9000</v>
      </c>
      <c r="H312" s="1268" t="n">
        <v>3.979</v>
      </c>
      <c r="I312" s="1313" t="n">
        <v>0</v>
      </c>
      <c r="J312" s="1265">
        <f>+I312*H312</f>
        <v/>
      </c>
      <c r="K312" s="1314" t="n"/>
      <c r="L312" s="1315">
        <f>J312</f>
        <v/>
      </c>
      <c r="M312" s="1231" t="inlineStr">
        <is>
          <t>Automatic</t>
        </is>
      </c>
      <c r="N312" s="1132" t="n"/>
      <c r="O312" s="1132" t="n"/>
      <c r="P312" s="1132" t="n"/>
      <c r="Q312" s="1215" t="n"/>
    </row>
    <row r="313" ht="12.75" customFormat="1" customHeight="1" s="1132">
      <c r="A313" s="1297" t="n"/>
      <c r="B313" s="1233" t="n"/>
      <c r="C313" s="1233" t="n"/>
      <c r="D313" s="1234" t="n">
        <v>0.22</v>
      </c>
      <c r="E313" s="1234" t="n">
        <v>6</v>
      </c>
      <c r="F313" s="1234" t="n">
        <v>9001</v>
      </c>
      <c r="G313" s="1234" t="n">
        <v>11000</v>
      </c>
      <c r="H313" s="1268" t="n">
        <v>4.475</v>
      </c>
      <c r="I313" s="1313" t="n">
        <v>0</v>
      </c>
      <c r="J313" s="1265">
        <f>+I313*H313</f>
        <v/>
      </c>
      <c r="K313" s="1314" t="n"/>
      <c r="L313" s="1315">
        <f>J313</f>
        <v/>
      </c>
      <c r="M313" s="1231" t="inlineStr">
        <is>
          <t>Automatic</t>
        </is>
      </c>
      <c r="N313" s="1132" t="n"/>
      <c r="O313" s="1132" t="n"/>
      <c r="P313" s="1132" t="n"/>
      <c r="Q313" s="1215" t="n"/>
    </row>
    <row r="314" ht="12.75" customFormat="1" customHeight="1" s="1132">
      <c r="A314" s="1297" t="n"/>
      <c r="B314" s="1233" t="n"/>
      <c r="C314" s="1233" t="n"/>
      <c r="D314" s="1234" t="n">
        <v>0.22</v>
      </c>
      <c r="E314" s="1234" t="n">
        <v>6</v>
      </c>
      <c r="F314" s="1234" t="n">
        <v>11001</v>
      </c>
      <c r="G314" s="1234" t="n">
        <v>13000</v>
      </c>
      <c r="H314" s="1268" t="n">
        <v>5.112</v>
      </c>
      <c r="I314" s="1313" t="n">
        <v>0</v>
      </c>
      <c r="J314" s="1265">
        <f>+I314*H314</f>
        <v/>
      </c>
      <c r="K314" s="1314" t="n"/>
      <c r="L314" s="1315">
        <f>J314</f>
        <v/>
      </c>
      <c r="M314" s="1231" t="inlineStr">
        <is>
          <t>Automatic</t>
        </is>
      </c>
      <c r="N314" s="1132" t="n"/>
      <c r="O314" s="1132" t="n"/>
      <c r="P314" s="1132" t="n"/>
      <c r="Q314" s="1215" t="n"/>
    </row>
    <row r="315" ht="12.75" customFormat="1" customHeight="1" s="1132">
      <c r="A315" s="1297" t="n"/>
      <c r="B315" s="1233" t="n"/>
      <c r="C315" s="1233" t="n"/>
      <c r="D315" s="1234" t="n">
        <v>0.22</v>
      </c>
      <c r="E315" s="1234" t="n">
        <v>6</v>
      </c>
      <c r="F315" s="1234" t="n">
        <v>13001</v>
      </c>
      <c r="G315" s="1234" t="n">
        <v>15000</v>
      </c>
      <c r="H315" s="1268" t="n">
        <v>5.961</v>
      </c>
      <c r="I315" s="1313" t="n">
        <v>0</v>
      </c>
      <c r="J315" s="1265">
        <f>+I315*H315</f>
        <v/>
      </c>
      <c r="K315" s="1314" t="n"/>
      <c r="L315" s="1315">
        <f>J315</f>
        <v/>
      </c>
      <c r="M315" s="1231" t="inlineStr">
        <is>
          <t>Automatic</t>
        </is>
      </c>
      <c r="N315" s="1132" t="n"/>
      <c r="O315" s="1132" t="n"/>
      <c r="P315" s="1132" t="n"/>
      <c r="Q315" s="1215" t="n"/>
    </row>
    <row r="316" ht="12.75" customFormat="1" customHeight="1" s="1132">
      <c r="A316" s="1297" t="n"/>
      <c r="B316" s="1233" t="n"/>
      <c r="C316" s="1233" t="n"/>
      <c r="D316" s="1264" t="n">
        <v>0.22</v>
      </c>
      <c r="E316" s="1264" t="n">
        <v>6</v>
      </c>
      <c r="F316" s="1264" t="n">
        <v>15001</v>
      </c>
      <c r="G316" s="1264" t="n">
        <v>17000</v>
      </c>
      <c r="H316" s="1289">
        <f>H315-H314+H315</f>
        <v/>
      </c>
      <c r="I316" s="1316" t="n">
        <v>0</v>
      </c>
      <c r="J316" s="1265">
        <f>+I316*H316</f>
        <v/>
      </c>
      <c r="K316" s="1314" t="n"/>
      <c r="L316" s="1315">
        <f>J316</f>
        <v/>
      </c>
      <c r="M316" s="1231" t="inlineStr">
        <is>
          <t>Automatic</t>
        </is>
      </c>
      <c r="N316" s="1132" t="n"/>
      <c r="O316" s="1132" t="n"/>
      <c r="P316" s="1132" t="n"/>
      <c r="Q316" s="1215" t="n"/>
    </row>
    <row r="317" ht="12.75" customFormat="1" customHeight="1" s="1132">
      <c r="A317" s="1297" t="n"/>
      <c r="B317" s="1233" t="n"/>
      <c r="C317" s="1233" t="n"/>
      <c r="D317" s="1264" t="n">
        <v>0.22</v>
      </c>
      <c r="E317" s="1264" t="n">
        <v>6</v>
      </c>
      <c r="F317" s="1264" t="n">
        <v>17001</v>
      </c>
      <c r="G317" s="1264" t="n">
        <v>19000</v>
      </c>
      <c r="H317" s="1289">
        <f>H316-H315+H316</f>
        <v/>
      </c>
      <c r="I317" s="1316" t="n">
        <v>0</v>
      </c>
      <c r="J317" s="1265">
        <f>+I317*H317</f>
        <v/>
      </c>
      <c r="K317" s="1314" t="n"/>
      <c r="L317" s="1315">
        <f>J317</f>
        <v/>
      </c>
      <c r="M317" s="1231" t="inlineStr">
        <is>
          <t>Automatic</t>
        </is>
      </c>
      <c r="N317" s="1132" t="n"/>
      <c r="O317" s="1132" t="n"/>
      <c r="P317" s="1132" t="n"/>
      <c r="Q317" s="1215" t="n"/>
    </row>
    <row r="318" ht="12.75" customFormat="1" customHeight="1" s="1132">
      <c r="A318" s="1297" t="n"/>
      <c r="B318" s="1233" t="n"/>
      <c r="C318" s="1233" t="n"/>
      <c r="D318" s="1264" t="n"/>
      <c r="E318" s="1264" t="n"/>
      <c r="F318" s="1264" t="n"/>
      <c r="G318" s="1264" t="n"/>
      <c r="H318" s="1271" t="n"/>
      <c r="I318" s="1317" t="n"/>
      <c r="J318" s="1265">
        <f>+I318*H318</f>
        <v/>
      </c>
      <c r="K318" s="1314" t="n"/>
      <c r="L318" s="1315">
        <f>J318</f>
        <v/>
      </c>
      <c r="M318" s="1132" t="n"/>
      <c r="N318" s="1132" t="n"/>
      <c r="O318" s="1132" t="n"/>
      <c r="P318" s="1132" t="n"/>
      <c r="Q318" s="1215" t="n"/>
    </row>
    <row r="319" ht="12.75" customFormat="1" customHeight="1" s="1132">
      <c r="A319" s="1297" t="n"/>
      <c r="B319" s="1233" t="n"/>
      <c r="C319" s="1233" t="n"/>
      <c r="D319" s="1264" t="n"/>
      <c r="E319" s="1264" t="n"/>
      <c r="F319" s="1264" t="n"/>
      <c r="G319" s="1264" t="n"/>
      <c r="H319" s="1271" t="n"/>
      <c r="I319" s="1317" t="n"/>
      <c r="J319" s="1265">
        <f>+I319*H319</f>
        <v/>
      </c>
      <c r="K319" s="1314" t="n"/>
      <c r="L319" s="1315">
        <f>J319</f>
        <v/>
      </c>
      <c r="M319" s="1132" t="n"/>
      <c r="N319" s="1132" t="n"/>
      <c r="O319" s="1132" t="n"/>
      <c r="P319" s="1132" t="n"/>
      <c r="Q319" s="1215" t="n"/>
    </row>
    <row r="320" ht="11.25" customHeight="1" s="1134">
      <c r="A320" s="1301" t="n"/>
      <c r="B320" s="1237" t="n"/>
      <c r="C320" s="1237" t="n"/>
      <c r="D320" s="1238" t="n"/>
      <c r="E320" s="1238" t="n"/>
      <c r="F320" s="1238" t="n"/>
      <c r="G320" s="1238" t="n"/>
      <c r="H320" s="1320" t="n"/>
      <c r="I320" s="1253" t="n"/>
      <c r="J320" s="1253">
        <f>+I320*H320</f>
        <v/>
      </c>
      <c r="K320" s="1314" t="n"/>
      <c r="L320" s="1315">
        <f>J320</f>
        <v/>
      </c>
      <c r="Q320" s="1215" t="n"/>
    </row>
    <row r="321" ht="12" customHeight="1" s="1134">
      <c r="A321" s="1321" t="inlineStr">
        <is>
          <t>Automatic plugging - single side</t>
        </is>
      </c>
      <c r="B321" s="1322" t="inlineStr">
        <is>
          <t>cut, crimp by crimp, single side plugging per lead</t>
        </is>
      </c>
      <c r="C321" s="1323" t="inlineStr">
        <is>
          <t>Komax Zeta 633 / 655</t>
        </is>
      </c>
      <c r="D321" s="1257" t="n">
        <v>0.13</v>
      </c>
      <c r="E321" s="1257" t="n">
        <v>6</v>
      </c>
      <c r="F321" s="1257" t="n">
        <v>200</v>
      </c>
      <c r="G321" s="1257" t="n">
        <v>500</v>
      </c>
      <c r="H321" s="1283" t="n">
        <v>2.52</v>
      </c>
      <c r="I321" s="1258" t="n">
        <v>0</v>
      </c>
      <c r="J321" s="1310">
        <f>+I321*H321</f>
        <v/>
      </c>
      <c r="K321" s="1324" t="n"/>
      <c r="L321" s="1325">
        <f>J321</f>
        <v/>
      </c>
      <c r="M321" s="1132" t="inlineStr">
        <is>
          <t>Manual</t>
        </is>
      </c>
      <c r="Q321" s="1215" t="n"/>
    </row>
    <row r="322" ht="12" customHeight="1" s="1134">
      <c r="A322" s="1326" t="n"/>
      <c r="B322" s="1233" t="n"/>
      <c r="C322" s="1233" t="n"/>
      <c r="D322" s="1264" t="n">
        <v>0.13</v>
      </c>
      <c r="E322" s="1264" t="n">
        <v>6</v>
      </c>
      <c r="F322" s="1264" t="n">
        <v>501</v>
      </c>
      <c r="G322" s="1264" t="n">
        <v>1000</v>
      </c>
      <c r="H322" s="1271" t="n">
        <v>2.44</v>
      </c>
      <c r="I322" s="1316" t="n">
        <v>0</v>
      </c>
      <c r="J322" s="1265">
        <f>+I322*H322</f>
        <v/>
      </c>
      <c r="K322" s="1314" t="n"/>
      <c r="L322" s="1315">
        <f>J322</f>
        <v/>
      </c>
      <c r="M322" s="1132" t="inlineStr">
        <is>
          <t>Manual</t>
        </is>
      </c>
      <c r="Q322" s="1215" t="n"/>
    </row>
    <row r="323" ht="12" customHeight="1" s="1134">
      <c r="A323" s="1326" t="n"/>
      <c r="B323" s="1233" t="n"/>
      <c r="C323" s="1233" t="n"/>
      <c r="D323" s="1264" t="n">
        <v>0.13</v>
      </c>
      <c r="E323" s="1264" t="n">
        <v>6</v>
      </c>
      <c r="F323" s="1264" t="n">
        <v>1001</v>
      </c>
      <c r="G323" s="1264" t="n">
        <v>1500</v>
      </c>
      <c r="H323" s="1327" t="n">
        <v>2.6</v>
      </c>
      <c r="I323" s="1316" t="n">
        <v>0</v>
      </c>
      <c r="J323" s="1265">
        <f>+I323*H323</f>
        <v/>
      </c>
      <c r="K323" s="1314" t="n"/>
      <c r="L323" s="1315">
        <f>J323</f>
        <v/>
      </c>
      <c r="M323" s="1132" t="inlineStr">
        <is>
          <t>Manual</t>
        </is>
      </c>
      <c r="Q323" s="1215" t="n"/>
    </row>
    <row r="324" ht="12" customHeight="1" s="1134">
      <c r="A324" s="1326" t="n"/>
      <c r="B324" s="1233" t="n"/>
      <c r="C324" s="1233" t="n"/>
      <c r="D324" s="1264" t="n"/>
      <c r="E324" s="1264" t="n"/>
      <c r="F324" s="1264" t="n"/>
      <c r="G324" s="1264" t="n"/>
      <c r="H324" s="1328" t="n"/>
      <c r="I324" s="1317" t="n"/>
      <c r="J324" s="1265">
        <f>+I324*H324</f>
        <v/>
      </c>
      <c r="K324" s="1314" t="n"/>
      <c r="L324" s="1315">
        <f>J324</f>
        <v/>
      </c>
      <c r="Q324" s="1215" t="n"/>
    </row>
    <row r="325" ht="12" customHeight="1" s="1134">
      <c r="A325" s="1326" t="n"/>
      <c r="B325" s="1233" t="n"/>
      <c r="C325" s="1233" t="n"/>
      <c r="D325" s="1264" t="n"/>
      <c r="E325" s="1264" t="n"/>
      <c r="F325" s="1264" t="n"/>
      <c r="G325" s="1264" t="n"/>
      <c r="H325" s="1271" t="n"/>
      <c r="I325" s="1317" t="n"/>
      <c r="J325" s="1265">
        <f>+I325*H325</f>
        <v/>
      </c>
      <c r="K325" s="1314" t="n"/>
      <c r="L325" s="1315">
        <f>J325</f>
        <v/>
      </c>
      <c r="Q325" s="1215" t="n"/>
    </row>
    <row r="326" ht="12" customHeight="1" s="1134">
      <c r="A326" s="1326" t="n"/>
      <c r="B326" s="1233" t="n"/>
      <c r="C326" s="1233" t="n"/>
      <c r="D326" s="1264" t="n"/>
      <c r="E326" s="1264" t="n"/>
      <c r="F326" s="1264" t="n"/>
      <c r="G326" s="1264" t="n"/>
      <c r="H326" s="1271" t="n"/>
      <c r="I326" s="1317" t="n"/>
      <c r="J326" s="1265">
        <f>+I326*H326</f>
        <v/>
      </c>
      <c r="K326" s="1314" t="n"/>
      <c r="L326" s="1315">
        <f>J326</f>
        <v/>
      </c>
      <c r="Q326" s="1215" t="n"/>
    </row>
    <row r="327" ht="12" customHeight="1" s="1134">
      <c r="A327" s="1329" t="n"/>
      <c r="B327" s="1237" t="n"/>
      <c r="C327" s="1237" t="n"/>
      <c r="D327" s="1238" t="n"/>
      <c r="E327" s="1238" t="n"/>
      <c r="F327" s="1238" t="n"/>
      <c r="G327" s="1238" t="n"/>
      <c r="H327" s="1330" t="n"/>
      <c r="I327" s="1253" t="n"/>
      <c r="J327" s="1253">
        <f>+I327*H327</f>
        <v/>
      </c>
      <c r="K327" s="1331" t="n"/>
      <c r="L327" s="1332">
        <f>J327</f>
        <v/>
      </c>
      <c r="Q327" s="1215" t="n"/>
    </row>
    <row r="328" ht="15" customHeight="1" s="1134">
      <c r="A328" s="1321" t="inlineStr">
        <is>
          <t>Automatic plugging - double side</t>
        </is>
      </c>
      <c r="B328" s="1322" t="inlineStr">
        <is>
          <t>cut, crimp by crimp, double side plugging per lead</t>
        </is>
      </c>
      <c r="C328" s="1323" t="inlineStr">
        <is>
          <t>Komax Zeta 633 / 655</t>
        </is>
      </c>
      <c r="D328" s="1257" t="n">
        <v>0.13</v>
      </c>
      <c r="E328" s="1257" t="n">
        <v>6</v>
      </c>
      <c r="F328" s="1257" t="n">
        <v>400</v>
      </c>
      <c r="G328" s="1257" t="n">
        <v>1000</v>
      </c>
      <c r="H328" s="1283" t="n">
        <v>3.38</v>
      </c>
      <c r="I328" s="1258" t="n">
        <v>0</v>
      </c>
      <c r="J328" s="1310">
        <f>+I328*H328</f>
        <v/>
      </c>
      <c r="K328" s="1324" t="n"/>
      <c r="L328" s="1325">
        <f>J328</f>
        <v/>
      </c>
      <c r="M328" s="1132" t="inlineStr">
        <is>
          <t>Manual</t>
        </is>
      </c>
      <c r="Q328" s="1215" t="n"/>
    </row>
    <row r="329" ht="16.5" customHeight="1" s="1134">
      <c r="A329" s="1326" t="n"/>
      <c r="B329" s="1233" t="n"/>
      <c r="C329" s="1233" t="n"/>
      <c r="D329" s="1234" t="n">
        <v>0.13</v>
      </c>
      <c r="E329" s="1234" t="n">
        <v>6</v>
      </c>
      <c r="F329" s="1264" t="n">
        <v>1001</v>
      </c>
      <c r="G329" s="1264" t="n">
        <v>1500</v>
      </c>
      <c r="H329" s="1288" t="n">
        <v>3.48</v>
      </c>
      <c r="I329" s="1262" t="n">
        <v>0</v>
      </c>
      <c r="J329" s="1265">
        <f>+I329*H329</f>
        <v/>
      </c>
      <c r="K329" s="1333" t="n"/>
      <c r="L329" s="1334">
        <f>J329</f>
        <v/>
      </c>
      <c r="M329" s="1132" t="inlineStr">
        <is>
          <t>Manual</t>
        </is>
      </c>
      <c r="Q329" s="1215" t="n"/>
    </row>
    <row r="330" ht="16.5" customHeight="1" s="1134">
      <c r="A330" s="1326" t="n"/>
      <c r="B330" s="1233" t="n"/>
      <c r="C330" s="1233" t="n"/>
      <c r="D330" s="1234" t="n">
        <v>0.13</v>
      </c>
      <c r="E330" s="1234" t="n">
        <v>6</v>
      </c>
      <c r="F330" s="1264" t="n">
        <v>1501</v>
      </c>
      <c r="G330" s="1264" t="n">
        <v>2000</v>
      </c>
      <c r="H330" s="1288" t="n">
        <v>3.78</v>
      </c>
      <c r="I330" s="1262" t="n">
        <v>0</v>
      </c>
      <c r="J330" s="1265">
        <f>+I330*H330</f>
        <v/>
      </c>
      <c r="K330" s="1333" t="n"/>
      <c r="L330" s="1334">
        <f>J330</f>
        <v/>
      </c>
      <c r="M330" s="1132" t="inlineStr">
        <is>
          <t>Manual</t>
        </is>
      </c>
      <c r="Q330" s="1215" t="n"/>
    </row>
    <row r="331" ht="16.5" customHeight="1" s="1134">
      <c r="A331" s="1326" t="n"/>
      <c r="B331" s="1233" t="n"/>
      <c r="C331" s="1233" t="n"/>
      <c r="D331" s="1264" t="n"/>
      <c r="E331" s="1264" t="n"/>
      <c r="F331" s="1264" t="n"/>
      <c r="G331" s="1264" t="n"/>
      <c r="H331" s="1288" t="n"/>
      <c r="I331" s="1263" t="n"/>
      <c r="J331" s="1265">
        <f>+I331*H331</f>
        <v/>
      </c>
      <c r="K331" s="1333" t="n"/>
      <c r="L331" s="1334">
        <f>J331</f>
        <v/>
      </c>
      <c r="Q331" s="1215" t="n"/>
    </row>
    <row r="332" ht="16.5" customHeight="1" s="1134">
      <c r="A332" s="1326" t="n"/>
      <c r="B332" s="1233" t="n"/>
      <c r="C332" s="1233" t="n"/>
      <c r="D332" s="1264" t="n"/>
      <c r="E332" s="1264" t="n"/>
      <c r="F332" s="1264" t="n"/>
      <c r="G332" s="1264" t="n"/>
      <c r="H332" s="1288" t="n"/>
      <c r="I332" s="1263" t="n"/>
      <c r="J332" s="1265">
        <f>+I332*H332</f>
        <v/>
      </c>
      <c r="K332" s="1333" t="n"/>
      <c r="L332" s="1334">
        <f>J332</f>
        <v/>
      </c>
      <c r="Q332" s="1215" t="n"/>
    </row>
    <row r="333" ht="16.5" customHeight="1" s="1134">
      <c r="A333" s="1326" t="n"/>
      <c r="B333" s="1233" t="n"/>
      <c r="C333" s="1233" t="n"/>
      <c r="D333" s="1264" t="n"/>
      <c r="E333" s="1264" t="n"/>
      <c r="F333" s="1264" t="n"/>
      <c r="G333" s="1264" t="n"/>
      <c r="H333" s="1288" t="n"/>
      <c r="I333" s="1263" t="n"/>
      <c r="J333" s="1265">
        <f>+I333*H333</f>
        <v/>
      </c>
      <c r="K333" s="1333" t="n"/>
      <c r="L333" s="1334">
        <f>J333</f>
        <v/>
      </c>
      <c r="Q333" s="1215" t="n"/>
    </row>
    <row r="334" ht="13.5" customHeight="1" s="1134">
      <c r="A334" s="1329" t="n"/>
      <c r="B334" s="1237" t="n"/>
      <c r="C334" s="1237" t="n"/>
      <c r="D334" s="1238" t="n"/>
      <c r="E334" s="1238" t="n"/>
      <c r="F334" s="1238" t="n"/>
      <c r="G334" s="1238" t="n"/>
      <c r="H334" s="1290" t="n"/>
      <c r="I334" s="1253" t="n"/>
      <c r="J334" s="1253">
        <f>+I334*H334</f>
        <v/>
      </c>
      <c r="K334" s="1331" t="n"/>
      <c r="L334" s="1332">
        <f>J334</f>
        <v/>
      </c>
      <c r="Q334" s="1215" t="n"/>
    </row>
    <row r="335" ht="45.75" customHeight="1" s="1134">
      <c r="A335" s="1335" t="inlineStr">
        <is>
          <t>Cut, Crimp and apply resistance solder (Inox terminal)</t>
        </is>
      </c>
      <c r="B335" s="1336" t="inlineStr">
        <is>
          <t>Crimp by Crimp Cutter with Resistence solder</t>
        </is>
      </c>
      <c r="C335" s="1337" t="inlineStr">
        <is>
          <t>MEGOMAT 3300 W/Resistence solder</t>
        </is>
      </c>
      <c r="D335" s="1338" t="n">
        <v>0.35</v>
      </c>
      <c r="E335" s="1238" t="n">
        <v>5</v>
      </c>
      <c r="F335" s="1238" t="n">
        <v>80</v>
      </c>
      <c r="G335" s="1238" t="n">
        <v>1000</v>
      </c>
      <c r="H335" s="1339" t="n">
        <v>1.5551</v>
      </c>
      <c r="I335" s="1298" t="n">
        <v>0</v>
      </c>
      <c r="J335" s="1310">
        <f>+I335*H335</f>
        <v/>
      </c>
      <c r="K335" s="1340" t="n"/>
      <c r="L335" s="1341">
        <f>J335</f>
        <v/>
      </c>
      <c r="M335" s="1132" t="inlineStr">
        <is>
          <t>Automatic</t>
        </is>
      </c>
      <c r="Q335" s="1215" t="n"/>
    </row>
    <row r="336" ht="12.75" customHeight="1" s="1134">
      <c r="A336" s="1255" t="inlineStr">
        <is>
          <t>cut &amp; double crimping without seal</t>
        </is>
      </c>
      <c r="B336" s="1256" t="inlineStr">
        <is>
          <t>Double by Crimp Cutter</t>
        </is>
      </c>
      <c r="C336" s="1256" t="inlineStr">
        <is>
          <t>Komax 477</t>
        </is>
      </c>
      <c r="D336" s="1257" t="n">
        <v>0.22</v>
      </c>
      <c r="E336" s="1257" t="n">
        <v>6</v>
      </c>
      <c r="F336" s="1257" t="n">
        <v>60</v>
      </c>
      <c r="G336" s="1257" t="n">
        <v>100</v>
      </c>
      <c r="H336" s="1246" t="n">
        <v>3.21</v>
      </c>
      <c r="I336" s="1258" t="n">
        <v>0</v>
      </c>
      <c r="J336" s="1259">
        <f>+I336*H336</f>
        <v/>
      </c>
      <c r="K336" s="1260" t="n"/>
      <c r="L336" s="1259">
        <f>IF(K336&gt;I336,"ERROR",(K336*H336)*0.1+J336)</f>
        <v/>
      </c>
      <c r="M336" s="1231" t="inlineStr">
        <is>
          <t>Automatic</t>
        </is>
      </c>
      <c r="Q336" s="1215" t="n"/>
    </row>
    <row r="337" ht="12.75" customHeight="1" s="1134">
      <c r="A337" s="1232" t="n"/>
      <c r="B337" s="1233" t="n"/>
      <c r="C337" s="1233" t="n"/>
      <c r="D337" s="1225" t="n">
        <v>0.22</v>
      </c>
      <c r="E337" s="1225" t="n">
        <v>6</v>
      </c>
      <c r="F337" s="1225" t="n">
        <v>101</v>
      </c>
      <c r="G337" s="1225" t="n">
        <v>1000</v>
      </c>
      <c r="H337" s="1226" t="n">
        <v>3.21</v>
      </c>
      <c r="I337" s="1247" t="n">
        <v>0</v>
      </c>
      <c r="J337" s="1248">
        <f>+I337*H337</f>
        <v/>
      </c>
      <c r="K337" s="1249" t="n"/>
      <c r="L337" s="1248">
        <f>IF(K337&gt;I337,"ERROR",(K337*H337)*0.1+J337)</f>
        <v/>
      </c>
      <c r="M337" s="1231" t="inlineStr">
        <is>
          <t>Automatic</t>
        </is>
      </c>
      <c r="Q337" s="1215" t="n"/>
    </row>
    <row r="338" ht="12.75" customHeight="1" s="1134">
      <c r="A338" s="1232" t="n"/>
      <c r="B338" s="1233" t="n"/>
      <c r="C338" s="1233" t="n"/>
      <c r="D338" s="1234" t="n">
        <v>0.22</v>
      </c>
      <c r="E338" s="1234" t="n">
        <v>6</v>
      </c>
      <c r="F338" s="1234" t="n">
        <v>1001</v>
      </c>
      <c r="G338" s="1234" t="n">
        <v>2000</v>
      </c>
      <c r="H338" s="1226" t="n">
        <v>3.35</v>
      </c>
      <c r="I338" s="1250" t="n">
        <v>0</v>
      </c>
      <c r="J338" s="1228">
        <f>+I338*H338</f>
        <v/>
      </c>
      <c r="K338" s="1251" t="n"/>
      <c r="L338" s="1228">
        <f>IF(K338&gt;I338,"ERROR",(K338*H338)*0.15+J338)</f>
        <v/>
      </c>
      <c r="M338" s="1231" t="inlineStr">
        <is>
          <t>Automatic</t>
        </is>
      </c>
      <c r="Q338" s="1215" t="n"/>
    </row>
    <row r="339" ht="12.75" customHeight="1" s="1134">
      <c r="A339" s="1232" t="n"/>
      <c r="B339" s="1233" t="n"/>
      <c r="C339" s="1233" t="n"/>
      <c r="D339" s="1234" t="n">
        <v>0.22</v>
      </c>
      <c r="E339" s="1234" t="n">
        <v>6</v>
      </c>
      <c r="F339" s="1234" t="n">
        <v>2001</v>
      </c>
      <c r="G339" s="1234" t="n">
        <v>3000</v>
      </c>
      <c r="H339" s="1226" t="n">
        <v>3.44</v>
      </c>
      <c r="I339" s="1250" t="n">
        <v>0</v>
      </c>
      <c r="J339" s="1228">
        <f>+I339*H339</f>
        <v/>
      </c>
      <c r="K339" s="1251" t="n"/>
      <c r="L339" s="1228">
        <f>IF(K339&gt;I339,"ERROR",(K339*H339)*0.2+J339)</f>
        <v/>
      </c>
      <c r="M339" s="1231" t="inlineStr">
        <is>
          <t>Automatic</t>
        </is>
      </c>
      <c r="Q339" s="1215" t="n"/>
    </row>
    <row r="340" ht="12.75" customHeight="1" s="1134">
      <c r="A340" s="1232" t="n"/>
      <c r="B340" s="1233" t="n"/>
      <c r="C340" s="1233" t="n"/>
      <c r="D340" s="1234" t="n">
        <v>0.22</v>
      </c>
      <c r="E340" s="1234" t="n">
        <v>6</v>
      </c>
      <c r="F340" s="1234" t="n">
        <v>3001</v>
      </c>
      <c r="G340" s="1234" t="n">
        <v>4000</v>
      </c>
      <c r="H340" s="1226" t="n">
        <v>3.5</v>
      </c>
      <c r="I340" s="1250" t="n">
        <v>0</v>
      </c>
      <c r="J340" s="1228">
        <f>+I340*H340</f>
        <v/>
      </c>
      <c r="K340" s="1251" t="n"/>
      <c r="L340" s="1228">
        <f>IF(K340&gt;I340,"ERROR",(K340*H340)*0.25+J340)</f>
        <v/>
      </c>
      <c r="M340" s="1231" t="inlineStr">
        <is>
          <t>Automatic</t>
        </is>
      </c>
      <c r="Q340" s="1215" t="n"/>
    </row>
    <row r="341" ht="12.75" customHeight="1" s="1134">
      <c r="A341" s="1232" t="n"/>
      <c r="B341" s="1233" t="n"/>
      <c r="C341" s="1233" t="n"/>
      <c r="D341" s="1234" t="n">
        <v>0.22</v>
      </c>
      <c r="E341" s="1234" t="n">
        <v>6</v>
      </c>
      <c r="F341" s="1234" t="n">
        <v>4001</v>
      </c>
      <c r="G341" s="1234" t="n">
        <v>5000</v>
      </c>
      <c r="H341" s="1226" t="n">
        <v>3.55</v>
      </c>
      <c r="I341" s="1250" t="n">
        <v>0</v>
      </c>
      <c r="J341" s="1228">
        <f>+I341*H341</f>
        <v/>
      </c>
      <c r="K341" s="1251" t="n"/>
      <c r="L341" s="1228">
        <f>IF(K341&gt;I341,"ERROR",(K341*H341)*0.3+J341)</f>
        <v/>
      </c>
      <c r="M341" s="1231" t="inlineStr">
        <is>
          <t>Automatic</t>
        </is>
      </c>
      <c r="Q341" s="1215" t="n"/>
    </row>
    <row r="342" ht="12.75" customHeight="1" s="1134">
      <c r="A342" s="1232" t="n"/>
      <c r="B342" s="1233" t="n"/>
      <c r="C342" s="1233" t="n"/>
      <c r="D342" s="1234" t="n">
        <v>0.22</v>
      </c>
      <c r="E342" s="1234" t="n">
        <v>6</v>
      </c>
      <c r="F342" s="1234" t="n">
        <v>5001</v>
      </c>
      <c r="G342" s="1234" t="n">
        <v>6000</v>
      </c>
      <c r="H342" s="1226" t="n">
        <v>3.59</v>
      </c>
      <c r="I342" s="1250" t="n">
        <v>0</v>
      </c>
      <c r="J342" s="1228">
        <f>+I342*H342</f>
        <v/>
      </c>
      <c r="K342" s="1251" t="n"/>
      <c r="L342" s="1228">
        <f>IF(K342&gt;I342,"ERROR",(K342*H342)*0.3+J342)</f>
        <v/>
      </c>
      <c r="M342" s="1231" t="inlineStr">
        <is>
          <t>Automatic</t>
        </is>
      </c>
      <c r="Q342" s="1215" t="n"/>
    </row>
    <row r="343" ht="12.75" customHeight="1" s="1134">
      <c r="A343" s="1232" t="n"/>
      <c r="B343" s="1233" t="n"/>
      <c r="C343" s="1233" t="n"/>
      <c r="D343" s="1234" t="n">
        <v>0.22</v>
      </c>
      <c r="E343" s="1234" t="n">
        <v>6</v>
      </c>
      <c r="F343" s="1234" t="n">
        <v>6001</v>
      </c>
      <c r="G343" s="1234" t="n">
        <v>7000</v>
      </c>
      <c r="H343" s="1226" t="n">
        <v>3.63</v>
      </c>
      <c r="I343" s="1250" t="n">
        <v>0</v>
      </c>
      <c r="J343" s="1228">
        <f>+I343*H343</f>
        <v/>
      </c>
      <c r="K343" s="1251" t="n"/>
      <c r="L343" s="1228">
        <f>IF(K343&gt;I343,"ERROR",(K343*H343)*0.3+J343)</f>
        <v/>
      </c>
      <c r="M343" s="1231" t="inlineStr">
        <is>
          <t>Automatic</t>
        </is>
      </c>
      <c r="Q343" s="1215" t="n"/>
    </row>
    <row r="344" ht="12.75" customHeight="1" s="1134">
      <c r="A344" s="1232" t="n"/>
      <c r="B344" s="1233" t="n"/>
      <c r="C344" s="1233" t="n"/>
      <c r="D344" s="1234" t="n">
        <v>0.22</v>
      </c>
      <c r="E344" s="1234" t="n">
        <v>6</v>
      </c>
      <c r="F344" s="1234" t="n">
        <v>7001</v>
      </c>
      <c r="G344" s="1234" t="n">
        <v>8000</v>
      </c>
      <c r="H344" s="1226" t="n">
        <v>3.66</v>
      </c>
      <c r="I344" s="1250" t="n">
        <v>0</v>
      </c>
      <c r="J344" s="1228">
        <f>+I344*H344</f>
        <v/>
      </c>
      <c r="K344" s="1251" t="n"/>
      <c r="L344" s="1228">
        <f>IF(K344&gt;I344,"ERROR",(K344*H344)*0.3+J344)</f>
        <v/>
      </c>
      <c r="M344" s="1231" t="inlineStr">
        <is>
          <t>Automatic</t>
        </is>
      </c>
      <c r="Q344" s="1215" t="n"/>
    </row>
    <row r="345" ht="12.75" customHeight="1" s="1134">
      <c r="A345" s="1232" t="n"/>
      <c r="B345" s="1233" t="n"/>
      <c r="C345" s="1233" t="n"/>
      <c r="D345" s="1234" t="n">
        <v>0.22</v>
      </c>
      <c r="E345" s="1234" t="n">
        <v>6</v>
      </c>
      <c r="F345" s="1234" t="n">
        <v>8001</v>
      </c>
      <c r="G345" s="1234" t="n">
        <v>9000</v>
      </c>
      <c r="H345" s="1226" t="n">
        <v>3.69</v>
      </c>
      <c r="I345" s="1250" t="n">
        <v>0</v>
      </c>
      <c r="J345" s="1228">
        <f>+I345*H345</f>
        <v/>
      </c>
      <c r="K345" s="1251" t="n"/>
      <c r="L345" s="1228">
        <f>IF(K345&gt;I345,"ERROR",(K345*H345)*0.3+J345)</f>
        <v/>
      </c>
      <c r="M345" s="1231" t="inlineStr">
        <is>
          <t>Automatic</t>
        </is>
      </c>
      <c r="Q345" s="1215" t="n"/>
    </row>
    <row r="346" ht="12.75" customHeight="1" s="1134">
      <c r="A346" s="1232" t="n"/>
      <c r="B346" s="1233" t="n"/>
      <c r="C346" s="1233" t="n"/>
      <c r="D346" s="1234" t="n">
        <v>0.22</v>
      </c>
      <c r="E346" s="1234" t="n">
        <v>6</v>
      </c>
      <c r="F346" s="1234" t="n">
        <v>9001</v>
      </c>
      <c r="G346" s="1234" t="n">
        <v>10000</v>
      </c>
      <c r="H346" s="1226" t="n">
        <v>3.72</v>
      </c>
      <c r="I346" s="1250" t="n">
        <v>0</v>
      </c>
      <c r="J346" s="1228">
        <f>+I346*H346</f>
        <v/>
      </c>
      <c r="K346" s="1251" t="n"/>
      <c r="L346" s="1228">
        <f>IF(K346&gt;I346,"ERROR",(K346*H346)*0.3+J346)</f>
        <v/>
      </c>
      <c r="M346" s="1231" t="inlineStr">
        <is>
          <t>Automatic</t>
        </is>
      </c>
      <c r="Q346" s="1215" t="n"/>
    </row>
    <row r="347" ht="12.75" customHeight="1" s="1134">
      <c r="A347" s="1232" t="n"/>
      <c r="B347" s="1233" t="n"/>
      <c r="C347" s="1233" t="n"/>
      <c r="D347" s="1234" t="n">
        <v>0.22</v>
      </c>
      <c r="E347" s="1234" t="n">
        <v>6</v>
      </c>
      <c r="F347" s="1234" t="n">
        <v>10001</v>
      </c>
      <c r="G347" s="1234" t="n">
        <v>11000</v>
      </c>
      <c r="H347" s="1226" t="n">
        <v>3.75</v>
      </c>
      <c r="I347" s="1250" t="n">
        <v>0</v>
      </c>
      <c r="J347" s="1228">
        <f>+I347*H347</f>
        <v/>
      </c>
      <c r="K347" s="1251" t="n"/>
      <c r="L347" s="1228">
        <f>IF(K347&gt;I347,"ERROR",(K347*H347)*0.3+J347)</f>
        <v/>
      </c>
      <c r="M347" s="1231" t="inlineStr">
        <is>
          <t>Automatic</t>
        </is>
      </c>
      <c r="Q347" s="1215" t="n"/>
    </row>
    <row r="348" ht="12.75" customHeight="1" s="1134">
      <c r="A348" s="1232" t="n"/>
      <c r="B348" s="1233" t="n"/>
      <c r="C348" s="1233" t="n"/>
      <c r="D348" s="1234" t="n">
        <v>0.22</v>
      </c>
      <c r="E348" s="1234" t="n">
        <v>6</v>
      </c>
      <c r="F348" s="1234" t="n">
        <v>11001</v>
      </c>
      <c r="G348" s="1234" t="n">
        <v>12000</v>
      </c>
      <c r="H348" s="1226" t="n">
        <v>3.77</v>
      </c>
      <c r="I348" s="1250" t="n">
        <v>0</v>
      </c>
      <c r="J348" s="1228">
        <f>+I348*H348</f>
        <v/>
      </c>
      <c r="K348" s="1251" t="n"/>
      <c r="L348" s="1228">
        <f>IF(K348&gt;I348,"ERROR",(K348*H348)*0.3+J348)</f>
        <v/>
      </c>
      <c r="M348" s="1231" t="inlineStr">
        <is>
          <t>Automatic</t>
        </is>
      </c>
      <c r="Q348" s="1215" t="n"/>
    </row>
    <row r="349" ht="12.75" customHeight="1" s="1134">
      <c r="A349" s="1232" t="n"/>
      <c r="B349" s="1233" t="n"/>
      <c r="C349" s="1233" t="n"/>
      <c r="D349" s="1234" t="n">
        <v>0.22</v>
      </c>
      <c r="E349" s="1234" t="n">
        <v>6</v>
      </c>
      <c r="F349" s="1264" t="n">
        <v>12001</v>
      </c>
      <c r="G349" s="1264" t="n">
        <v>13000</v>
      </c>
      <c r="H349" s="1261" t="n">
        <v>3.79</v>
      </c>
      <c r="I349" s="1262" t="n">
        <v>0</v>
      </c>
      <c r="J349" s="1228">
        <f>+I349*H349</f>
        <v/>
      </c>
      <c r="K349" s="1251" t="n"/>
      <c r="L349" s="1228">
        <f>IF(K349&gt;I349,"ERROR",(K349*H349)*0.3+J349)</f>
        <v/>
      </c>
      <c r="M349" s="1231" t="inlineStr">
        <is>
          <t>Automatic</t>
        </is>
      </c>
      <c r="Q349" s="1215" t="n"/>
    </row>
    <row r="350" ht="12.75" customHeight="1" s="1134">
      <c r="A350" s="1232" t="n"/>
      <c r="B350" s="1233" t="n"/>
      <c r="C350" s="1233" t="n"/>
      <c r="D350" s="1264" t="n"/>
      <c r="E350" s="1264" t="n"/>
      <c r="F350" s="1264" t="n"/>
      <c r="G350" s="1264" t="n"/>
      <c r="H350" s="1261" t="n"/>
      <c r="I350" s="1263" t="n"/>
      <c r="J350" s="1228">
        <f>+I350*H350</f>
        <v/>
      </c>
      <c r="K350" s="1251" t="n"/>
      <c r="L350" s="1228">
        <f>IF(K350&gt;I350,"ERROR",(K350*H350)*0.3+J350)</f>
        <v/>
      </c>
      <c r="Q350" s="1215" t="n"/>
    </row>
    <row r="351" ht="12.75" customHeight="1" s="1134">
      <c r="A351" s="1232" t="n"/>
      <c r="B351" s="1233" t="n"/>
      <c r="C351" s="1233" t="n"/>
      <c r="D351" s="1264" t="n"/>
      <c r="E351" s="1264" t="n"/>
      <c r="F351" s="1264" t="n"/>
      <c r="G351" s="1264" t="n"/>
      <c r="H351" s="1261" t="n"/>
      <c r="I351" s="1263" t="n"/>
      <c r="J351" s="1228">
        <f>+I351*H351</f>
        <v/>
      </c>
      <c r="K351" s="1251" t="n"/>
      <c r="L351" s="1228">
        <f>IF(K351&gt;I351,"ERROR",(K351*H351)*0.3+J351)</f>
        <v/>
      </c>
      <c r="Q351" s="1215" t="n"/>
    </row>
    <row r="352" ht="12.75" customHeight="1" s="1134">
      <c r="A352" s="1232" t="n"/>
      <c r="B352" s="1233" t="n"/>
      <c r="C352" s="1233" t="n"/>
      <c r="D352" s="1264" t="n"/>
      <c r="E352" s="1264" t="n"/>
      <c r="F352" s="1264" t="n"/>
      <c r="G352" s="1264" t="n"/>
      <c r="H352" s="1261" t="n"/>
      <c r="I352" s="1263" t="n"/>
      <c r="J352" s="1228">
        <f>+I352*H352</f>
        <v/>
      </c>
      <c r="K352" s="1251" t="n"/>
      <c r="L352" s="1228">
        <f>IF(K352&gt;I352,"ERROR",(K352*H352)*0.3+J352)</f>
        <v/>
      </c>
      <c r="Q352" s="1215" t="n"/>
    </row>
    <row r="353" ht="13.5" customHeight="1" s="1134">
      <c r="A353" s="1236" t="n"/>
      <c r="B353" s="1237" t="n"/>
      <c r="C353" s="1237" t="n"/>
      <c r="D353" s="1238" t="n"/>
      <c r="E353" s="1238" t="n"/>
      <c r="F353" s="1238" t="n"/>
      <c r="G353" s="1238" t="n"/>
      <c r="H353" s="1239" t="n"/>
      <c r="I353" s="1253" t="n"/>
      <c r="J353" s="1241">
        <f>+I353*H353</f>
        <v/>
      </c>
      <c r="K353" s="1254" t="n"/>
      <c r="L353" s="1241">
        <f>IF(K353&gt;I353,"ERROR",(K353*H353)*0.3+J353)</f>
        <v/>
      </c>
      <c r="Q353" s="1215" t="n"/>
    </row>
    <row r="354" ht="12.75" customHeight="1" s="1134">
      <c r="A354" s="1255" t="inlineStr">
        <is>
          <t>cut &amp; double crimping without seal</t>
        </is>
      </c>
      <c r="B354" s="1256" t="inlineStr">
        <is>
          <t>Double by Crimp Cutter
with CPS</t>
        </is>
      </c>
      <c r="C354" s="1256" t="inlineStr">
        <is>
          <t>Komax 477</t>
        </is>
      </c>
      <c r="D354" s="1257" t="n">
        <v>0.22</v>
      </c>
      <c r="E354" s="1257" t="n">
        <v>6</v>
      </c>
      <c r="F354" s="1257" t="n">
        <v>60</v>
      </c>
      <c r="G354" s="1257" t="n">
        <v>100</v>
      </c>
      <c r="H354" s="1226" t="n">
        <v>3.531</v>
      </c>
      <c r="I354" s="1258" t="n">
        <v>0</v>
      </c>
      <c r="J354" s="1259">
        <f>+I354*H354</f>
        <v/>
      </c>
      <c r="K354" s="1260" t="n"/>
      <c r="L354" s="1259">
        <f>IF(K354&gt;I354,"ERROR",(K354*H354)*0.1+J354)</f>
        <v/>
      </c>
      <c r="M354" s="1231" t="inlineStr">
        <is>
          <t>Automatic</t>
        </is>
      </c>
      <c r="Q354" s="1215" t="n"/>
    </row>
    <row r="355" ht="12.75" customHeight="1" s="1134">
      <c r="A355" s="1232" t="n"/>
      <c r="B355" s="1233" t="n"/>
      <c r="C355" s="1233" t="n"/>
      <c r="D355" s="1225" t="n">
        <v>0.22</v>
      </c>
      <c r="E355" s="1225" t="n">
        <v>6</v>
      </c>
      <c r="F355" s="1225" t="n">
        <v>101</v>
      </c>
      <c r="G355" s="1225" t="n">
        <v>1000</v>
      </c>
      <c r="H355" s="1226" t="n">
        <v>3.531</v>
      </c>
      <c r="I355" s="1247" t="n">
        <v>0</v>
      </c>
      <c r="J355" s="1248">
        <f>+I355*H355</f>
        <v/>
      </c>
      <c r="K355" s="1249" t="n"/>
      <c r="L355" s="1248">
        <f>IF(K355&gt;I355,"ERROR",(K355*H355)*0.1+J355)</f>
        <v/>
      </c>
      <c r="M355" s="1231" t="inlineStr">
        <is>
          <t>Automatic</t>
        </is>
      </c>
      <c r="Q355" s="1215" t="n"/>
    </row>
    <row r="356" ht="12.75" customHeight="1" s="1134">
      <c r="A356" s="1232" t="n"/>
      <c r="B356" s="1233" t="n"/>
      <c r="C356" s="1233" t="n"/>
      <c r="D356" s="1234" t="n">
        <v>0.22</v>
      </c>
      <c r="E356" s="1234" t="n">
        <v>6</v>
      </c>
      <c r="F356" s="1234" t="n">
        <v>1001</v>
      </c>
      <c r="G356" s="1234" t="n">
        <v>2000</v>
      </c>
      <c r="H356" s="1226" t="n">
        <v>3.685</v>
      </c>
      <c r="I356" s="1250" t="n">
        <v>0</v>
      </c>
      <c r="J356" s="1228">
        <f>+I356*H356</f>
        <v/>
      </c>
      <c r="K356" s="1251" t="n"/>
      <c r="L356" s="1228">
        <f>IF(K356&gt;I356,"ERROR",(K356*H356)*0.15+J356)</f>
        <v/>
      </c>
      <c r="M356" s="1231" t="inlineStr">
        <is>
          <t>Automatic</t>
        </is>
      </c>
      <c r="Q356" s="1215" t="n"/>
    </row>
    <row r="357" ht="12.75" customHeight="1" s="1134">
      <c r="A357" s="1232" t="n"/>
      <c r="B357" s="1233" t="n"/>
      <c r="C357" s="1233" t="n"/>
      <c r="D357" s="1234" t="n">
        <v>0.22</v>
      </c>
      <c r="E357" s="1234" t="n">
        <v>6</v>
      </c>
      <c r="F357" s="1234" t="n">
        <v>2001</v>
      </c>
      <c r="G357" s="1234" t="n">
        <v>3000</v>
      </c>
      <c r="H357" s="1226" t="n">
        <v>3.784</v>
      </c>
      <c r="I357" s="1250" t="n">
        <v>0</v>
      </c>
      <c r="J357" s="1228">
        <f>+I357*H357</f>
        <v/>
      </c>
      <c r="K357" s="1251" t="n"/>
      <c r="L357" s="1228">
        <f>IF(K357&gt;I357,"ERROR",(K357*H357)*0.2+J357)</f>
        <v/>
      </c>
      <c r="M357" s="1231" t="inlineStr">
        <is>
          <t>Automatic</t>
        </is>
      </c>
      <c r="Q357" s="1215" t="n"/>
    </row>
    <row r="358" ht="12.75" customHeight="1" s="1134">
      <c r="A358" s="1232" t="n"/>
      <c r="B358" s="1233" t="n"/>
      <c r="C358" s="1233" t="n"/>
      <c r="D358" s="1234" t="n">
        <v>0.22</v>
      </c>
      <c r="E358" s="1234" t="n">
        <v>6</v>
      </c>
      <c r="F358" s="1234" t="n">
        <v>3001</v>
      </c>
      <c r="G358" s="1234" t="n">
        <v>4000</v>
      </c>
      <c r="H358" s="1226" t="n">
        <v>3.85</v>
      </c>
      <c r="I358" s="1250" t="n">
        <v>0</v>
      </c>
      <c r="J358" s="1228">
        <f>+I358*H358</f>
        <v/>
      </c>
      <c r="K358" s="1251" t="n"/>
      <c r="L358" s="1228">
        <f>IF(K358&gt;I358,"ERROR",(K358*H358)*0.25+J358)</f>
        <v/>
      </c>
      <c r="M358" s="1231" t="inlineStr">
        <is>
          <t>Automatic</t>
        </is>
      </c>
      <c r="Q358" s="1215" t="n"/>
    </row>
    <row r="359" ht="12.75" customHeight="1" s="1134">
      <c r="A359" s="1232" t="n"/>
      <c r="B359" s="1233" t="n"/>
      <c r="C359" s="1233" t="n"/>
      <c r="D359" s="1234" t="n">
        <v>0.22</v>
      </c>
      <c r="E359" s="1234" t="n">
        <v>6</v>
      </c>
      <c r="F359" s="1234" t="n">
        <v>4001</v>
      </c>
      <c r="G359" s="1234" t="n">
        <v>5000</v>
      </c>
      <c r="H359" s="1226" t="n">
        <v>3.905</v>
      </c>
      <c r="I359" s="1250" t="n">
        <v>0</v>
      </c>
      <c r="J359" s="1228">
        <f>+I359*H359</f>
        <v/>
      </c>
      <c r="K359" s="1251" t="n"/>
      <c r="L359" s="1228">
        <f>IF(K359&gt;I359,"ERROR",(K359*H359)*0.3+J359)</f>
        <v/>
      </c>
      <c r="M359" s="1231" t="inlineStr">
        <is>
          <t>Automatic</t>
        </is>
      </c>
      <c r="Q359" s="1215" t="n"/>
    </row>
    <row r="360" ht="12.75" customHeight="1" s="1134">
      <c r="A360" s="1232" t="n"/>
      <c r="B360" s="1233" t="n"/>
      <c r="C360" s="1233" t="n"/>
      <c r="D360" s="1234" t="n">
        <v>0.22</v>
      </c>
      <c r="E360" s="1234" t="n">
        <v>6</v>
      </c>
      <c r="F360" s="1234" t="n">
        <v>5001</v>
      </c>
      <c r="G360" s="1234" t="n">
        <v>6000</v>
      </c>
      <c r="H360" s="1226" t="n">
        <v>3.949</v>
      </c>
      <c r="I360" s="1250" t="n">
        <v>0</v>
      </c>
      <c r="J360" s="1228">
        <f>+I360*H360</f>
        <v/>
      </c>
      <c r="K360" s="1251" t="n"/>
      <c r="L360" s="1228">
        <f>IF(K360&gt;I360,"ERROR",(K360*H360)*0.3+J360)</f>
        <v/>
      </c>
      <c r="M360" s="1231" t="inlineStr">
        <is>
          <t>Automatic</t>
        </is>
      </c>
      <c r="Q360" s="1215" t="n"/>
    </row>
    <row r="361" ht="12.75" customHeight="1" s="1134">
      <c r="A361" s="1232" t="n"/>
      <c r="B361" s="1233" t="n"/>
      <c r="C361" s="1233" t="n"/>
      <c r="D361" s="1234" t="n">
        <v>0.22</v>
      </c>
      <c r="E361" s="1234" t="n">
        <v>6</v>
      </c>
      <c r="F361" s="1234" t="n">
        <v>6001</v>
      </c>
      <c r="G361" s="1234" t="n">
        <v>7000</v>
      </c>
      <c r="H361" s="1226" t="n">
        <v>3.993</v>
      </c>
      <c r="I361" s="1250" t="n">
        <v>0</v>
      </c>
      <c r="J361" s="1228">
        <f>+I361*H361</f>
        <v/>
      </c>
      <c r="K361" s="1251" t="n"/>
      <c r="L361" s="1228">
        <f>IF(K361&gt;I361,"ERROR",(K361*H361)*0.3+J361)</f>
        <v/>
      </c>
      <c r="M361" s="1231" t="inlineStr">
        <is>
          <t>Automatic</t>
        </is>
      </c>
      <c r="Q361" s="1215" t="n"/>
    </row>
    <row r="362" ht="12.75" customHeight="1" s="1134">
      <c r="A362" s="1232" t="n"/>
      <c r="B362" s="1233" t="n"/>
      <c r="C362" s="1233" t="n"/>
      <c r="D362" s="1234" t="n">
        <v>0.22</v>
      </c>
      <c r="E362" s="1234" t="n">
        <v>6</v>
      </c>
      <c r="F362" s="1234" t="n">
        <v>7001</v>
      </c>
      <c r="G362" s="1234" t="n">
        <v>8000</v>
      </c>
      <c r="H362" s="1226" t="n">
        <v>4.026</v>
      </c>
      <c r="I362" s="1250" t="n">
        <v>0</v>
      </c>
      <c r="J362" s="1228">
        <f>+I362*H362</f>
        <v/>
      </c>
      <c r="K362" s="1251" t="n"/>
      <c r="L362" s="1228">
        <f>IF(K362&gt;I362,"ERROR",(K362*H362)*0.3+J362)</f>
        <v/>
      </c>
      <c r="M362" s="1231" t="inlineStr">
        <is>
          <t>Automatic</t>
        </is>
      </c>
      <c r="Q362" s="1215" t="n"/>
    </row>
    <row r="363" ht="12.75" customHeight="1" s="1134">
      <c r="A363" s="1232" t="n"/>
      <c r="B363" s="1233" t="n"/>
      <c r="C363" s="1233" t="n"/>
      <c r="D363" s="1234" t="n">
        <v>0.22</v>
      </c>
      <c r="E363" s="1234" t="n">
        <v>6</v>
      </c>
      <c r="F363" s="1234" t="n">
        <v>8001</v>
      </c>
      <c r="G363" s="1234" t="n">
        <v>9000</v>
      </c>
      <c r="H363" s="1226" t="n">
        <v>4.059</v>
      </c>
      <c r="I363" s="1250" t="n">
        <v>0</v>
      </c>
      <c r="J363" s="1228">
        <f>+I363*H363</f>
        <v/>
      </c>
      <c r="K363" s="1251" t="n"/>
      <c r="L363" s="1228">
        <f>IF(K363&gt;I363,"ERROR",(K363*H363)*0.3+J363)</f>
        <v/>
      </c>
      <c r="M363" s="1231" t="inlineStr">
        <is>
          <t>Automatic</t>
        </is>
      </c>
      <c r="Q363" s="1215" t="n"/>
    </row>
    <row r="364" ht="12.75" customHeight="1" s="1134">
      <c r="A364" s="1232" t="n"/>
      <c r="B364" s="1233" t="n"/>
      <c r="C364" s="1233" t="n"/>
      <c r="D364" s="1234" t="n">
        <v>0.22</v>
      </c>
      <c r="E364" s="1234" t="n">
        <v>6</v>
      </c>
      <c r="F364" s="1234" t="n">
        <v>9001</v>
      </c>
      <c r="G364" s="1234" t="n">
        <v>10000</v>
      </c>
      <c r="H364" s="1226" t="n">
        <v>4.092</v>
      </c>
      <c r="I364" s="1250" t="n">
        <v>0</v>
      </c>
      <c r="J364" s="1228">
        <f>+I364*H364</f>
        <v/>
      </c>
      <c r="K364" s="1251" t="n"/>
      <c r="L364" s="1228">
        <f>IF(K364&gt;I364,"ERROR",(K364*H364)*0.3+J364)</f>
        <v/>
      </c>
      <c r="M364" s="1231" t="inlineStr">
        <is>
          <t>Automatic</t>
        </is>
      </c>
      <c r="Q364" s="1215" t="n"/>
    </row>
    <row r="365" ht="12.75" customHeight="1" s="1134">
      <c r="A365" s="1232" t="n"/>
      <c r="B365" s="1233" t="n"/>
      <c r="C365" s="1233" t="n"/>
      <c r="D365" s="1234" t="n">
        <v>0.22</v>
      </c>
      <c r="E365" s="1234" t="n">
        <v>6</v>
      </c>
      <c r="F365" s="1234" t="n">
        <v>10001</v>
      </c>
      <c r="G365" s="1234" t="n">
        <v>11000</v>
      </c>
      <c r="H365" s="1226" t="n">
        <v>4.125</v>
      </c>
      <c r="I365" s="1250" t="n">
        <v>0</v>
      </c>
      <c r="J365" s="1228">
        <f>+I365*H365</f>
        <v/>
      </c>
      <c r="K365" s="1251" t="n"/>
      <c r="L365" s="1228">
        <f>IF(K365&gt;I365,"ERROR",(K365*H365)*0.3+J365)</f>
        <v/>
      </c>
      <c r="M365" s="1231" t="inlineStr">
        <is>
          <t>Automatic</t>
        </is>
      </c>
      <c r="Q365" s="1215" t="n"/>
    </row>
    <row r="366" ht="12.75" customHeight="1" s="1134">
      <c r="A366" s="1232" t="n"/>
      <c r="B366" s="1233" t="n"/>
      <c r="C366" s="1233" t="n"/>
      <c r="D366" s="1234" t="n">
        <v>0.22</v>
      </c>
      <c r="E366" s="1234" t="n">
        <v>6</v>
      </c>
      <c r="F366" s="1234" t="n">
        <v>11001</v>
      </c>
      <c r="G366" s="1234" t="n">
        <v>12000</v>
      </c>
      <c r="H366" s="1226" t="n">
        <v>4.147</v>
      </c>
      <c r="I366" s="1250" t="n">
        <v>0</v>
      </c>
      <c r="J366" s="1228">
        <f>+I366*H366</f>
        <v/>
      </c>
      <c r="K366" s="1251" t="n"/>
      <c r="L366" s="1228">
        <f>IF(K366&gt;I366,"ERROR",(K366*H366)*0.3+J366)</f>
        <v/>
      </c>
      <c r="M366" s="1231" t="inlineStr">
        <is>
          <t>Automatic</t>
        </is>
      </c>
      <c r="Q366" s="1215" t="n"/>
    </row>
    <row r="367" ht="12.75" customHeight="1" s="1134">
      <c r="A367" s="1232" t="n"/>
      <c r="B367" s="1233" t="n"/>
      <c r="C367" s="1233" t="n"/>
      <c r="D367" s="1234" t="n">
        <v>0.22</v>
      </c>
      <c r="E367" s="1234" t="n">
        <v>6</v>
      </c>
      <c r="F367" s="1264" t="n">
        <v>12001</v>
      </c>
      <c r="G367" s="1264" t="n">
        <v>13000</v>
      </c>
      <c r="H367" s="1261" t="n">
        <v>4.169</v>
      </c>
      <c r="I367" s="1262" t="n">
        <v>0</v>
      </c>
      <c r="J367" s="1265">
        <f>+I367*H367</f>
        <v/>
      </c>
      <c r="K367" s="1266" t="n"/>
      <c r="L367" s="1265">
        <f>IF(K367&gt;I367,"ERROR",(K367*H367)*0.3+J367)</f>
        <v/>
      </c>
      <c r="M367" s="1231" t="inlineStr">
        <is>
          <t>Automatic</t>
        </is>
      </c>
      <c r="Q367" s="1215" t="n"/>
    </row>
    <row r="368" ht="12.75" customHeight="1" s="1134">
      <c r="A368" s="1232" t="n"/>
      <c r="B368" s="1233" t="n"/>
      <c r="C368" s="1233" t="n"/>
      <c r="D368" s="1264" t="n"/>
      <c r="E368" s="1264" t="n"/>
      <c r="F368" s="1264" t="n"/>
      <c r="G368" s="1264" t="n"/>
      <c r="H368" s="1261" t="n"/>
      <c r="I368" s="1263" t="n"/>
      <c r="J368" s="1265">
        <f>+I368*H368</f>
        <v/>
      </c>
      <c r="K368" s="1266" t="n"/>
      <c r="L368" s="1265">
        <f>IF(K368&gt;I368,"ERROR",(K368*H368)*0.3+J368)</f>
        <v/>
      </c>
      <c r="Q368" s="1215" t="n"/>
    </row>
    <row r="369" ht="12.75" customHeight="1" s="1134">
      <c r="A369" s="1232" t="n"/>
      <c r="B369" s="1233" t="n"/>
      <c r="C369" s="1233" t="n"/>
      <c r="D369" s="1264" t="n"/>
      <c r="E369" s="1264" t="n"/>
      <c r="F369" s="1264" t="n"/>
      <c r="G369" s="1264" t="n"/>
      <c r="H369" s="1261" t="n"/>
      <c r="I369" s="1263" t="n"/>
      <c r="J369" s="1265" t="n"/>
      <c r="K369" s="1266" t="n"/>
      <c r="L369" s="1265" t="n"/>
      <c r="Q369" s="1215" t="n"/>
    </row>
    <row r="370" ht="12.75" customHeight="1" s="1134">
      <c r="A370" s="1232" t="n"/>
      <c r="B370" s="1233" t="n"/>
      <c r="C370" s="1233" t="n"/>
      <c r="D370" s="1264" t="n"/>
      <c r="E370" s="1264" t="n"/>
      <c r="F370" s="1264" t="n"/>
      <c r="G370" s="1264" t="n"/>
      <c r="H370" s="1261" t="n"/>
      <c r="I370" s="1263" t="n"/>
      <c r="J370" s="1265" t="n"/>
      <c r="K370" s="1266" t="n"/>
      <c r="L370" s="1265" t="n"/>
      <c r="Q370" s="1215" t="n"/>
    </row>
    <row r="371" ht="13.5" customHeight="1" s="1134">
      <c r="A371" s="1236" t="n"/>
      <c r="B371" s="1237" t="n"/>
      <c r="C371" s="1237" t="n"/>
      <c r="D371" s="1238" t="n"/>
      <c r="E371" s="1238" t="n"/>
      <c r="F371" s="1238" t="n"/>
      <c r="G371" s="1238" t="n"/>
      <c r="H371" s="1239" t="n"/>
      <c r="I371" s="1253" t="n"/>
      <c r="J371" s="1241">
        <f>+I371*H371</f>
        <v/>
      </c>
      <c r="K371" s="1254" t="n"/>
      <c r="L371" s="1241">
        <f>IF(K371&gt;I371,"ERROR",(K371*H371)*0.3+J371)</f>
        <v/>
      </c>
      <c r="Q371" s="1215" t="n"/>
    </row>
    <row r="372" ht="12.75" customHeight="1" s="1134">
      <c r="A372" s="1255" t="inlineStr">
        <is>
          <t>cut &amp; double crimping with seal</t>
        </is>
      </c>
      <c r="B372" s="1256" t="inlineStr">
        <is>
          <t>Double by Seal Cutter</t>
        </is>
      </c>
      <c r="C372" s="1256" t="inlineStr">
        <is>
          <t>Komax 477</t>
        </is>
      </c>
      <c r="D372" s="1257" t="n">
        <v>0.22</v>
      </c>
      <c r="E372" s="1257" t="n">
        <v>6</v>
      </c>
      <c r="F372" s="1257" t="n">
        <v>60</v>
      </c>
      <c r="G372" s="1257" t="n">
        <v>100</v>
      </c>
      <c r="H372" s="1246" t="n">
        <v>3.72</v>
      </c>
      <c r="I372" s="1258" t="n">
        <v>0</v>
      </c>
      <c r="J372" s="1259">
        <f>+I372*H372</f>
        <v/>
      </c>
      <c r="K372" s="1260" t="n"/>
      <c r="L372" s="1259">
        <f>IF(K372&gt;I372,"ERROR",(K372*H372)*0.1+J372)</f>
        <v/>
      </c>
      <c r="M372" s="1231" t="inlineStr">
        <is>
          <t>Automatic</t>
        </is>
      </c>
      <c r="Q372" s="1215" t="n"/>
    </row>
    <row r="373" ht="12.75" customHeight="1" s="1134">
      <c r="A373" s="1232" t="n"/>
      <c r="B373" s="1233" t="n"/>
      <c r="C373" s="1233" t="n"/>
      <c r="D373" s="1225" t="n">
        <v>0.22</v>
      </c>
      <c r="E373" s="1225" t="n">
        <v>6</v>
      </c>
      <c r="F373" s="1225" t="n">
        <v>101</v>
      </c>
      <c r="G373" s="1225" t="n">
        <v>1000</v>
      </c>
      <c r="H373" s="1246" t="n">
        <v>3.72</v>
      </c>
      <c r="I373" s="1247" t="n">
        <v>0</v>
      </c>
      <c r="J373" s="1248">
        <f>+I373*H373</f>
        <v/>
      </c>
      <c r="K373" s="1249" t="n"/>
      <c r="L373" s="1248">
        <f>IF(K373&gt;I373,"ERROR",(K373*H373)*0.1+J373)</f>
        <v/>
      </c>
      <c r="M373" s="1231" t="inlineStr">
        <is>
          <t>Automatic</t>
        </is>
      </c>
      <c r="Q373" s="1215" t="n"/>
    </row>
    <row r="374" ht="12.75" customHeight="1" s="1134">
      <c r="A374" s="1232" t="n"/>
      <c r="B374" s="1233" t="n"/>
      <c r="C374" s="1233" t="n"/>
      <c r="D374" s="1234" t="n">
        <v>0.22</v>
      </c>
      <c r="E374" s="1234" t="n">
        <v>6</v>
      </c>
      <c r="F374" s="1234" t="n">
        <v>1001</v>
      </c>
      <c r="G374" s="1234" t="n">
        <v>2000</v>
      </c>
      <c r="H374" s="1226" t="n">
        <v>3.8</v>
      </c>
      <c r="I374" s="1250" t="n">
        <v>0</v>
      </c>
      <c r="J374" s="1228">
        <f>+I374*H374</f>
        <v/>
      </c>
      <c r="K374" s="1251" t="n"/>
      <c r="L374" s="1228">
        <f>IF(K374&gt;I374,"ERROR",(K374*H374)*0.15+J374)</f>
        <v/>
      </c>
      <c r="M374" s="1231" t="inlineStr">
        <is>
          <t>Automatic</t>
        </is>
      </c>
      <c r="Q374" s="1215" t="n"/>
    </row>
    <row r="375" ht="12.75" customHeight="1" s="1134">
      <c r="A375" s="1232" t="n"/>
      <c r="B375" s="1233" t="n"/>
      <c r="C375" s="1233" t="n"/>
      <c r="D375" s="1234" t="n">
        <v>0.22</v>
      </c>
      <c r="E375" s="1234" t="n">
        <v>6</v>
      </c>
      <c r="F375" s="1234" t="n">
        <v>2001</v>
      </c>
      <c r="G375" s="1234" t="n">
        <v>3000</v>
      </c>
      <c r="H375" s="1226" t="n">
        <v>3.89</v>
      </c>
      <c r="I375" s="1250" t="n">
        <v>0</v>
      </c>
      <c r="J375" s="1228">
        <f>+I375*H375</f>
        <v/>
      </c>
      <c r="K375" s="1251" t="n"/>
      <c r="L375" s="1228">
        <f>IF(K375&gt;I375,"ERROR",(K375*H375)*0.2+J375)</f>
        <v/>
      </c>
      <c r="M375" s="1231" t="inlineStr">
        <is>
          <t>Automatic</t>
        </is>
      </c>
      <c r="Q375" s="1215" t="n"/>
    </row>
    <row r="376" ht="12.75" customHeight="1" s="1134">
      <c r="A376" s="1232" t="n"/>
      <c r="B376" s="1233" t="n"/>
      <c r="C376" s="1233" t="n"/>
      <c r="D376" s="1234" t="n">
        <v>0.22</v>
      </c>
      <c r="E376" s="1234" t="n">
        <v>6</v>
      </c>
      <c r="F376" s="1234" t="n">
        <v>3001</v>
      </c>
      <c r="G376" s="1234" t="n">
        <v>4000</v>
      </c>
      <c r="H376" s="1226" t="n">
        <v>3.98</v>
      </c>
      <c r="I376" s="1250" t="n">
        <v>0</v>
      </c>
      <c r="J376" s="1228">
        <f>+I376*H376</f>
        <v/>
      </c>
      <c r="K376" s="1251" t="n"/>
      <c r="L376" s="1228">
        <f>IF(K376&gt;I376,"ERROR",(K376*H376)*0.25+J376)</f>
        <v/>
      </c>
      <c r="M376" s="1231" t="inlineStr">
        <is>
          <t>Automatic</t>
        </is>
      </c>
      <c r="Q376" s="1215" t="n"/>
    </row>
    <row r="377" ht="12.75" customHeight="1" s="1134">
      <c r="A377" s="1232" t="n"/>
      <c r="B377" s="1233" t="n"/>
      <c r="C377" s="1233" t="n"/>
      <c r="D377" s="1234" t="n">
        <v>0.22</v>
      </c>
      <c r="E377" s="1234" t="n">
        <v>6</v>
      </c>
      <c r="F377" s="1234" t="n">
        <v>4001</v>
      </c>
      <c r="G377" s="1234" t="n">
        <v>5000</v>
      </c>
      <c r="H377" s="1226" t="n">
        <v>4.1</v>
      </c>
      <c r="I377" s="1250" t="n">
        <v>0</v>
      </c>
      <c r="J377" s="1228">
        <f>+I377*H377</f>
        <v/>
      </c>
      <c r="K377" s="1251" t="n"/>
      <c r="L377" s="1228">
        <f>IF(K377&gt;I377,"ERROR",(K377*H377)*0.3+J377)</f>
        <v/>
      </c>
      <c r="M377" s="1231" t="inlineStr">
        <is>
          <t>Automatic</t>
        </is>
      </c>
      <c r="Q377" s="1215" t="n"/>
    </row>
    <row r="378" ht="12.75" customHeight="1" s="1134">
      <c r="A378" s="1232" t="n"/>
      <c r="B378" s="1233" t="n"/>
      <c r="C378" s="1233" t="n"/>
      <c r="D378" s="1234" t="n">
        <v>0.22</v>
      </c>
      <c r="E378" s="1234" t="n">
        <v>6</v>
      </c>
      <c r="F378" s="1234" t="n">
        <v>5001</v>
      </c>
      <c r="G378" s="1234" t="n">
        <v>6000</v>
      </c>
      <c r="H378" s="1226" t="n">
        <v>4.23</v>
      </c>
      <c r="I378" s="1250" t="n">
        <v>0</v>
      </c>
      <c r="J378" s="1228">
        <f>+I378*H378</f>
        <v/>
      </c>
      <c r="K378" s="1251" t="n"/>
      <c r="L378" s="1228">
        <f>IF(K378&gt;I378,"ERROR",(K378*H378)*0.3+J378)</f>
        <v/>
      </c>
      <c r="M378" s="1231" t="inlineStr">
        <is>
          <t>Automatic</t>
        </is>
      </c>
      <c r="Q378" s="1215" t="n"/>
    </row>
    <row r="379" ht="12.75" customHeight="1" s="1134">
      <c r="A379" s="1232" t="n"/>
      <c r="B379" s="1233" t="n"/>
      <c r="C379" s="1233" t="n"/>
      <c r="D379" s="1234" t="n">
        <v>0.22</v>
      </c>
      <c r="E379" s="1234" t="n">
        <v>6</v>
      </c>
      <c r="F379" s="1234" t="n">
        <v>6001</v>
      </c>
      <c r="G379" s="1234" t="n">
        <v>7000</v>
      </c>
      <c r="H379" s="1226" t="n">
        <v>4.38</v>
      </c>
      <c r="I379" s="1250" t="n">
        <v>0</v>
      </c>
      <c r="J379" s="1228">
        <f>+I379*H379</f>
        <v/>
      </c>
      <c r="K379" s="1251" t="n"/>
      <c r="L379" s="1228">
        <f>IF(K379&gt;I379,"ERROR",(K379*H379)*0.3+J379)</f>
        <v/>
      </c>
      <c r="M379" s="1231" t="inlineStr">
        <is>
          <t>Automatic</t>
        </is>
      </c>
      <c r="Q379" s="1215" t="n"/>
    </row>
    <row r="380" ht="12.75" customHeight="1" s="1134">
      <c r="A380" s="1232" t="n"/>
      <c r="B380" s="1233" t="n"/>
      <c r="C380" s="1233" t="n"/>
      <c r="D380" s="1234" t="n">
        <v>0.22</v>
      </c>
      <c r="E380" s="1234" t="n">
        <v>6</v>
      </c>
      <c r="F380" s="1234" t="n">
        <v>7001</v>
      </c>
      <c r="G380" s="1234" t="n">
        <v>8000</v>
      </c>
      <c r="H380" s="1226" t="n">
        <v>4.56</v>
      </c>
      <c r="I380" s="1250" t="n">
        <v>0</v>
      </c>
      <c r="J380" s="1228">
        <f>+I380*H380</f>
        <v/>
      </c>
      <c r="K380" s="1251" t="n"/>
      <c r="L380" s="1228">
        <f>IF(K380&gt;I380,"ERROR",(K380*H380)*0.3+J380)</f>
        <v/>
      </c>
      <c r="M380" s="1231" t="inlineStr">
        <is>
          <t>Automatic</t>
        </is>
      </c>
      <c r="Q380" s="1215" t="n"/>
    </row>
    <row r="381" ht="12.75" customHeight="1" s="1134">
      <c r="A381" s="1232" t="n"/>
      <c r="B381" s="1233" t="n"/>
      <c r="C381" s="1233" t="n"/>
      <c r="D381" s="1234" t="n">
        <v>0.22</v>
      </c>
      <c r="E381" s="1234" t="n">
        <v>6</v>
      </c>
      <c r="F381" s="1234" t="n">
        <v>8001</v>
      </c>
      <c r="G381" s="1234" t="n">
        <v>9000</v>
      </c>
      <c r="H381" s="1226" t="n">
        <v>4.76</v>
      </c>
      <c r="I381" s="1250" t="n">
        <v>0</v>
      </c>
      <c r="J381" s="1228">
        <f>+I381*H381</f>
        <v/>
      </c>
      <c r="K381" s="1251" t="n"/>
      <c r="L381" s="1228">
        <f>IF(K381&gt;I381,"ERROR",(K381*H381)*0.3+J381)</f>
        <v/>
      </c>
      <c r="M381" s="1231" t="inlineStr">
        <is>
          <t>Automatic</t>
        </is>
      </c>
      <c r="Q381" s="1215" t="n"/>
    </row>
    <row r="382" ht="12.75" customHeight="1" s="1134">
      <c r="A382" s="1232" t="n"/>
      <c r="B382" s="1233" t="n"/>
      <c r="C382" s="1233" t="n"/>
      <c r="D382" s="1234" t="n">
        <v>0.22</v>
      </c>
      <c r="E382" s="1234" t="n">
        <v>6</v>
      </c>
      <c r="F382" s="1234" t="n">
        <v>9001</v>
      </c>
      <c r="G382" s="1234" t="n">
        <v>10000</v>
      </c>
      <c r="H382" s="1226" t="n">
        <v>5</v>
      </c>
      <c r="I382" s="1250" t="n">
        <v>0</v>
      </c>
      <c r="J382" s="1228">
        <f>+I382*H382</f>
        <v/>
      </c>
      <c r="K382" s="1251" t="n"/>
      <c r="L382" s="1228">
        <f>IF(K382&gt;I382,"ERROR",(K382*H382)*0.3+J382)</f>
        <v/>
      </c>
      <c r="M382" s="1231" t="inlineStr">
        <is>
          <t>Automatic</t>
        </is>
      </c>
      <c r="Q382" s="1215" t="n"/>
    </row>
    <row r="383" ht="12.75" customHeight="1" s="1134">
      <c r="A383" s="1232" t="n"/>
      <c r="B383" s="1233" t="n"/>
      <c r="C383" s="1233" t="n"/>
      <c r="D383" s="1234" t="n">
        <v>0.22</v>
      </c>
      <c r="E383" s="1234" t="n">
        <v>6</v>
      </c>
      <c r="F383" s="1234" t="n">
        <v>10001</v>
      </c>
      <c r="G383" s="1234" t="n">
        <v>11000</v>
      </c>
      <c r="H383" s="1226" t="n">
        <v>5.27</v>
      </c>
      <c r="I383" s="1250" t="n">
        <v>0</v>
      </c>
      <c r="J383" s="1228">
        <f>+I383*H383</f>
        <v/>
      </c>
      <c r="K383" s="1251" t="n"/>
      <c r="L383" s="1228">
        <f>IF(K383&gt;I383,"ERROR",(K383*H383)*0.3+J383)</f>
        <v/>
      </c>
      <c r="M383" s="1231" t="inlineStr">
        <is>
          <t>Automatic</t>
        </is>
      </c>
      <c r="Q383" s="1215" t="n"/>
    </row>
    <row r="384" ht="12.75" customHeight="1" s="1134">
      <c r="A384" s="1232" t="n"/>
      <c r="B384" s="1233" t="n"/>
      <c r="C384" s="1233" t="n"/>
      <c r="D384" s="1234" t="n">
        <v>0.22</v>
      </c>
      <c r="E384" s="1234" t="n">
        <v>6</v>
      </c>
      <c r="F384" s="1234" t="n">
        <v>11001</v>
      </c>
      <c r="G384" s="1234" t="n">
        <v>12000</v>
      </c>
      <c r="H384" s="1226" t="n">
        <v>5.6</v>
      </c>
      <c r="I384" s="1250" t="n">
        <v>0</v>
      </c>
      <c r="J384" s="1228">
        <f>+I384*H384</f>
        <v/>
      </c>
      <c r="K384" s="1251" t="n"/>
      <c r="L384" s="1228">
        <f>IF(K384&gt;I384,"ERROR",(K384*H384)*0.3+J384)</f>
        <v/>
      </c>
      <c r="M384" s="1231" t="inlineStr">
        <is>
          <t>Automatic</t>
        </is>
      </c>
      <c r="Q384" s="1215" t="n"/>
    </row>
    <row r="385" ht="12.75" customHeight="1" s="1134">
      <c r="A385" s="1232" t="n"/>
      <c r="B385" s="1233" t="n"/>
      <c r="C385" s="1233" t="n"/>
      <c r="D385" s="1234" t="n">
        <v>0.22</v>
      </c>
      <c r="E385" s="1234" t="n">
        <v>6</v>
      </c>
      <c r="F385" s="1264" t="n">
        <v>12001</v>
      </c>
      <c r="G385" s="1264" t="n">
        <v>13000</v>
      </c>
      <c r="H385" s="1261" t="n">
        <v>5.99</v>
      </c>
      <c r="I385" s="1262" t="n">
        <v>0</v>
      </c>
      <c r="J385" s="1228">
        <f>+I385*H385</f>
        <v/>
      </c>
      <c r="K385" s="1251" t="n"/>
      <c r="L385" s="1228">
        <f>IF(K385&gt;I385,"ERROR",(K385*H385)*0.3+J385)</f>
        <v/>
      </c>
      <c r="M385" s="1231" t="inlineStr">
        <is>
          <t>Automatic</t>
        </is>
      </c>
      <c r="Q385" s="1215" t="n"/>
    </row>
    <row r="386" ht="12.75" customHeight="1" s="1134">
      <c r="A386" s="1232" t="n"/>
      <c r="B386" s="1233" t="n"/>
      <c r="C386" s="1233" t="n"/>
      <c r="D386" s="1264" t="n"/>
      <c r="E386" s="1264" t="n"/>
      <c r="F386" s="1264" t="n"/>
      <c r="G386" s="1264" t="n"/>
      <c r="H386" s="1261" t="n"/>
      <c r="I386" s="1263" t="n"/>
      <c r="J386" s="1228">
        <f>+I386*H386</f>
        <v/>
      </c>
      <c r="K386" s="1251" t="n"/>
      <c r="L386" s="1228">
        <f>IF(K386&gt;I386,"ERROR",(K386*H386)*0.3+J386)</f>
        <v/>
      </c>
      <c r="Q386" s="1215" t="n"/>
    </row>
    <row r="387" ht="12.75" customHeight="1" s="1134">
      <c r="A387" s="1232" t="n"/>
      <c r="B387" s="1233" t="n"/>
      <c r="C387" s="1233" t="n"/>
      <c r="D387" s="1264" t="n"/>
      <c r="E387" s="1264" t="n"/>
      <c r="F387" s="1264" t="n"/>
      <c r="G387" s="1264" t="n"/>
      <c r="H387" s="1261" t="n"/>
      <c r="I387" s="1263" t="n"/>
      <c r="J387" s="1228">
        <f>+I387*H387</f>
        <v/>
      </c>
      <c r="K387" s="1251" t="n"/>
      <c r="L387" s="1228">
        <f>IF(K387&gt;I387,"ERROR",(K387*H387)*0.3+J387)</f>
        <v/>
      </c>
      <c r="Q387" s="1215" t="n"/>
    </row>
    <row r="388" ht="12.75" customHeight="1" s="1134">
      <c r="A388" s="1232" t="n"/>
      <c r="B388" s="1233" t="n"/>
      <c r="C388" s="1233" t="n"/>
      <c r="D388" s="1264" t="n"/>
      <c r="E388" s="1264" t="n"/>
      <c r="F388" s="1264" t="n"/>
      <c r="G388" s="1264" t="n"/>
      <c r="H388" s="1261" t="n"/>
      <c r="I388" s="1263" t="n"/>
      <c r="J388" s="1228">
        <f>+I388*H388</f>
        <v/>
      </c>
      <c r="K388" s="1251" t="n"/>
      <c r="L388" s="1228">
        <f>IF(K388&gt;I388,"ERROR",(K388*H388)*0.3+J388)</f>
        <v/>
      </c>
      <c r="Q388" s="1215" t="n"/>
    </row>
    <row r="389" ht="13.5" customHeight="1" s="1134">
      <c r="A389" s="1236" t="n"/>
      <c r="B389" s="1237" t="n"/>
      <c r="C389" s="1237" t="n"/>
      <c r="D389" s="1238" t="n"/>
      <c r="E389" s="1238" t="n"/>
      <c r="F389" s="1238" t="n"/>
      <c r="G389" s="1238" t="n"/>
      <c r="H389" s="1239" t="n"/>
      <c r="I389" s="1253" t="n"/>
      <c r="J389" s="1241">
        <f>+I389*H389</f>
        <v/>
      </c>
      <c r="K389" s="1254" t="n"/>
      <c r="L389" s="1241">
        <f>IF(K389&gt;I389,"ERROR",(K389*H389)*0.3+J389)</f>
        <v/>
      </c>
      <c r="Q389" s="1215" t="n"/>
    </row>
    <row r="390" ht="12.75" customHeight="1" s="1134">
      <c r="A390" s="1255" t="inlineStr">
        <is>
          <t>cut &amp; double crimping with seal</t>
        </is>
      </c>
      <c r="B390" s="1256" t="inlineStr">
        <is>
          <t>Double by Seal Cutter
with CPS</t>
        </is>
      </c>
      <c r="C390" s="1256" t="inlineStr">
        <is>
          <t>Komax 477</t>
        </is>
      </c>
      <c r="D390" s="1257" t="n">
        <v>0.22</v>
      </c>
      <c r="E390" s="1257" t="n">
        <v>6</v>
      </c>
      <c r="F390" s="1257" t="n">
        <v>60</v>
      </c>
      <c r="G390" s="1257" t="n">
        <v>100</v>
      </c>
      <c r="H390" s="1226" t="n">
        <v>4.092</v>
      </c>
      <c r="I390" s="1258" t="n">
        <v>0</v>
      </c>
      <c r="J390" s="1259">
        <f>+I390*H390</f>
        <v/>
      </c>
      <c r="K390" s="1260" t="n"/>
      <c r="L390" s="1259">
        <f>IF(K390&gt;I390,"ERROR",(K390*H390)*0.1+J390)</f>
        <v/>
      </c>
      <c r="M390" s="1231" t="inlineStr">
        <is>
          <t>Automatic</t>
        </is>
      </c>
      <c r="Q390" s="1215" t="n"/>
    </row>
    <row r="391" ht="12.75" customHeight="1" s="1134">
      <c r="A391" s="1232" t="n"/>
      <c r="B391" s="1233" t="n"/>
      <c r="C391" s="1233" t="n"/>
      <c r="D391" s="1225" t="n">
        <v>0.22</v>
      </c>
      <c r="E391" s="1225" t="n">
        <v>6</v>
      </c>
      <c r="F391" s="1225" t="n">
        <v>101</v>
      </c>
      <c r="G391" s="1225" t="n">
        <v>1000</v>
      </c>
      <c r="H391" s="1226" t="n">
        <v>4.092</v>
      </c>
      <c r="I391" s="1247" t="n">
        <v>0</v>
      </c>
      <c r="J391" s="1248">
        <f>+I391*H391</f>
        <v/>
      </c>
      <c r="K391" s="1249" t="n"/>
      <c r="L391" s="1248">
        <f>IF(K391&gt;I391,"ERROR",(K391*H391)*0.1+J391)</f>
        <v/>
      </c>
      <c r="M391" s="1231" t="inlineStr">
        <is>
          <t>Automatic</t>
        </is>
      </c>
      <c r="Q391" s="1215" t="n"/>
    </row>
    <row r="392" ht="12.75" customHeight="1" s="1134">
      <c r="A392" s="1232" t="n"/>
      <c r="B392" s="1233" t="n"/>
      <c r="C392" s="1233" t="n"/>
      <c r="D392" s="1234" t="n">
        <v>0.22</v>
      </c>
      <c r="E392" s="1234" t="n">
        <v>6</v>
      </c>
      <c r="F392" s="1234" t="n">
        <v>1001</v>
      </c>
      <c r="G392" s="1234" t="n">
        <v>2000</v>
      </c>
      <c r="H392" s="1226" t="n">
        <v>4.18</v>
      </c>
      <c r="I392" s="1250" t="n">
        <v>0</v>
      </c>
      <c r="J392" s="1228">
        <f>+I392*H392</f>
        <v/>
      </c>
      <c r="K392" s="1251" t="n"/>
      <c r="L392" s="1228">
        <f>IF(K392&gt;I392,"ERROR",(K392*H392)*0.15+J392)</f>
        <v/>
      </c>
      <c r="M392" s="1231" t="inlineStr">
        <is>
          <t>Automatic</t>
        </is>
      </c>
      <c r="Q392" s="1215" t="n"/>
    </row>
    <row r="393" ht="12.75" customHeight="1" s="1134">
      <c r="A393" s="1232" t="n"/>
      <c r="B393" s="1233" t="n"/>
      <c r="C393" s="1233" t="n"/>
      <c r="D393" s="1234" t="n">
        <v>0.22</v>
      </c>
      <c r="E393" s="1234" t="n">
        <v>6</v>
      </c>
      <c r="F393" s="1234" t="n">
        <v>2001</v>
      </c>
      <c r="G393" s="1234" t="n">
        <v>3000</v>
      </c>
      <c r="H393" s="1226" t="n">
        <v>4.279</v>
      </c>
      <c r="I393" s="1250" t="n">
        <v>0</v>
      </c>
      <c r="J393" s="1228">
        <f>+I393*H393</f>
        <v/>
      </c>
      <c r="K393" s="1251" t="n"/>
      <c r="L393" s="1228">
        <f>IF(K393&gt;I393,"ERROR",(K393*H393)*0.2+J393)</f>
        <v/>
      </c>
      <c r="M393" s="1231" t="inlineStr">
        <is>
          <t>Automatic</t>
        </is>
      </c>
      <c r="Q393" s="1215" t="n"/>
    </row>
    <row r="394" ht="12.75" customHeight="1" s="1134">
      <c r="A394" s="1232" t="n"/>
      <c r="B394" s="1233" t="n"/>
      <c r="C394" s="1233" t="n"/>
      <c r="D394" s="1234" t="n">
        <v>0.22</v>
      </c>
      <c r="E394" s="1234" t="n">
        <v>6</v>
      </c>
      <c r="F394" s="1234" t="n">
        <v>3001</v>
      </c>
      <c r="G394" s="1234" t="n">
        <v>4000</v>
      </c>
      <c r="H394" s="1226" t="n">
        <v>4.378</v>
      </c>
      <c r="I394" s="1250" t="n">
        <v>0</v>
      </c>
      <c r="J394" s="1228">
        <f>+I394*H394</f>
        <v/>
      </c>
      <c r="K394" s="1251" t="n"/>
      <c r="L394" s="1228">
        <f>IF(K394&gt;I394,"ERROR",(K394*H394)*0.25+J394)</f>
        <v/>
      </c>
      <c r="M394" s="1231" t="inlineStr">
        <is>
          <t>Automatic</t>
        </is>
      </c>
      <c r="Q394" s="1215" t="n"/>
    </row>
    <row r="395" ht="12.75" customHeight="1" s="1134">
      <c r="A395" s="1232" t="n"/>
      <c r="B395" s="1233" t="n"/>
      <c r="C395" s="1233" t="n"/>
      <c r="D395" s="1234" t="n">
        <v>0.22</v>
      </c>
      <c r="E395" s="1234" t="n">
        <v>6</v>
      </c>
      <c r="F395" s="1234" t="n">
        <v>4001</v>
      </c>
      <c r="G395" s="1234" t="n">
        <v>5000</v>
      </c>
      <c r="H395" s="1226" t="n">
        <v>4.51</v>
      </c>
      <c r="I395" s="1250" t="n">
        <v>0</v>
      </c>
      <c r="J395" s="1228">
        <f>+I395*H395</f>
        <v/>
      </c>
      <c r="K395" s="1251" t="n"/>
      <c r="L395" s="1228">
        <f>IF(K395&gt;I395,"ERROR",(K395*H395)*0.3+J395)</f>
        <v/>
      </c>
      <c r="M395" s="1231" t="inlineStr">
        <is>
          <t>Automatic</t>
        </is>
      </c>
      <c r="Q395" s="1215" t="n"/>
    </row>
    <row r="396" ht="12.75" customHeight="1" s="1134">
      <c r="A396" s="1232" t="n"/>
      <c r="B396" s="1233" t="n"/>
      <c r="C396" s="1233" t="n"/>
      <c r="D396" s="1234" t="n">
        <v>0.22</v>
      </c>
      <c r="E396" s="1234" t="n">
        <v>6</v>
      </c>
      <c r="F396" s="1234" t="n">
        <v>5001</v>
      </c>
      <c r="G396" s="1234" t="n">
        <v>6000</v>
      </c>
      <c r="H396" s="1226" t="n">
        <v>4.653</v>
      </c>
      <c r="I396" s="1250" t="n">
        <v>0</v>
      </c>
      <c r="J396" s="1228">
        <f>+I396*H396</f>
        <v/>
      </c>
      <c r="K396" s="1251" t="n"/>
      <c r="L396" s="1228">
        <f>IF(K396&gt;I396,"ERROR",(K396*H396)*0.3+J396)</f>
        <v/>
      </c>
      <c r="M396" s="1231" t="inlineStr">
        <is>
          <t>Automatic</t>
        </is>
      </c>
      <c r="Q396" s="1215" t="n"/>
    </row>
    <row r="397" ht="12.75" customHeight="1" s="1134">
      <c r="A397" s="1232" t="n"/>
      <c r="B397" s="1233" t="n"/>
      <c r="C397" s="1233" t="n"/>
      <c r="D397" s="1234" t="n">
        <v>0.22</v>
      </c>
      <c r="E397" s="1234" t="n">
        <v>6</v>
      </c>
      <c r="F397" s="1234" t="n">
        <v>6001</v>
      </c>
      <c r="G397" s="1234" t="n">
        <v>7000</v>
      </c>
      <c r="H397" s="1226" t="n">
        <v>4.818</v>
      </c>
      <c r="I397" s="1250" t="n">
        <v>0</v>
      </c>
      <c r="J397" s="1228">
        <f>+I397*H397</f>
        <v/>
      </c>
      <c r="K397" s="1251" t="n"/>
      <c r="L397" s="1228">
        <f>IF(K397&gt;I397,"ERROR",(K397*H397)*0.3+J397)</f>
        <v/>
      </c>
      <c r="M397" s="1231" t="inlineStr">
        <is>
          <t>Automatic</t>
        </is>
      </c>
      <c r="Q397" s="1215" t="n"/>
    </row>
    <row r="398" ht="12.75" customHeight="1" s="1134">
      <c r="A398" s="1232" t="n"/>
      <c r="B398" s="1233" t="n"/>
      <c r="C398" s="1233" t="n"/>
      <c r="D398" s="1234" t="n">
        <v>0.22</v>
      </c>
      <c r="E398" s="1234" t="n">
        <v>6</v>
      </c>
      <c r="F398" s="1234" t="n">
        <v>7001</v>
      </c>
      <c r="G398" s="1234" t="n">
        <v>8000</v>
      </c>
      <c r="H398" s="1226" t="n">
        <v>5.016</v>
      </c>
      <c r="I398" s="1250" t="n">
        <v>0</v>
      </c>
      <c r="J398" s="1228">
        <f>+I398*H398</f>
        <v/>
      </c>
      <c r="K398" s="1251" t="n"/>
      <c r="L398" s="1228">
        <f>IF(K398&gt;I398,"ERROR",(K398*H398)*0.3+J398)</f>
        <v/>
      </c>
      <c r="M398" s="1231" t="inlineStr">
        <is>
          <t>Automatic</t>
        </is>
      </c>
      <c r="Q398" s="1215" t="n"/>
    </row>
    <row r="399" ht="12.75" customHeight="1" s="1134">
      <c r="A399" s="1232" t="n"/>
      <c r="B399" s="1233" t="n"/>
      <c r="C399" s="1233" t="n"/>
      <c r="D399" s="1234" t="n">
        <v>0.22</v>
      </c>
      <c r="E399" s="1234" t="n">
        <v>6</v>
      </c>
      <c r="F399" s="1234" t="n">
        <v>8001</v>
      </c>
      <c r="G399" s="1234" t="n">
        <v>9000</v>
      </c>
      <c r="H399" s="1226" t="n">
        <v>5.236</v>
      </c>
      <c r="I399" s="1250" t="n">
        <v>0</v>
      </c>
      <c r="J399" s="1228">
        <f>+I399*H399</f>
        <v/>
      </c>
      <c r="K399" s="1251" t="n"/>
      <c r="L399" s="1228">
        <f>IF(K399&gt;I399,"ERROR",(K399*H399)*0.3+J399)</f>
        <v/>
      </c>
      <c r="M399" s="1231" t="inlineStr">
        <is>
          <t>Automatic</t>
        </is>
      </c>
      <c r="Q399" s="1215" t="n"/>
    </row>
    <row r="400" ht="12.75" customHeight="1" s="1134">
      <c r="A400" s="1232" t="n"/>
      <c r="B400" s="1233" t="n"/>
      <c r="C400" s="1233" t="n"/>
      <c r="D400" s="1234" t="n">
        <v>0.22</v>
      </c>
      <c r="E400" s="1234" t="n">
        <v>6</v>
      </c>
      <c r="F400" s="1234" t="n">
        <v>9001</v>
      </c>
      <c r="G400" s="1234" t="n">
        <v>10000</v>
      </c>
      <c r="H400" s="1226" t="n">
        <v>5.5</v>
      </c>
      <c r="I400" s="1250" t="n">
        <v>0</v>
      </c>
      <c r="J400" s="1228">
        <f>+I400*H400</f>
        <v/>
      </c>
      <c r="K400" s="1251" t="n"/>
      <c r="L400" s="1228">
        <f>IF(K400&gt;I400,"ERROR",(K400*H400)*0.3+J400)</f>
        <v/>
      </c>
      <c r="M400" s="1231" t="inlineStr">
        <is>
          <t>Automatic</t>
        </is>
      </c>
      <c r="Q400" s="1215" t="n"/>
    </row>
    <row r="401" ht="12.75" customHeight="1" s="1134">
      <c r="A401" s="1232" t="n"/>
      <c r="B401" s="1233" t="n"/>
      <c r="C401" s="1233" t="n"/>
      <c r="D401" s="1234" t="n">
        <v>0.22</v>
      </c>
      <c r="E401" s="1234" t="n">
        <v>6</v>
      </c>
      <c r="F401" s="1234" t="n">
        <v>10001</v>
      </c>
      <c r="G401" s="1234" t="n">
        <v>11000</v>
      </c>
      <c r="H401" s="1226" t="n">
        <v>5.797</v>
      </c>
      <c r="I401" s="1250" t="n">
        <v>0</v>
      </c>
      <c r="J401" s="1228">
        <f>+I401*H401</f>
        <v/>
      </c>
      <c r="K401" s="1251" t="n"/>
      <c r="L401" s="1228">
        <f>IF(K401&gt;I401,"ERROR",(K401*H401)*0.3+J401)</f>
        <v/>
      </c>
      <c r="M401" s="1231" t="inlineStr">
        <is>
          <t>Automatic</t>
        </is>
      </c>
      <c r="Q401" s="1215" t="n"/>
    </row>
    <row r="402" ht="12.75" customHeight="1" s="1134">
      <c r="A402" s="1232" t="n"/>
      <c r="B402" s="1233" t="n"/>
      <c r="C402" s="1233" t="n"/>
      <c r="D402" s="1234" t="n">
        <v>0.22</v>
      </c>
      <c r="E402" s="1234" t="n">
        <v>6</v>
      </c>
      <c r="F402" s="1234" t="n">
        <v>11001</v>
      </c>
      <c r="G402" s="1234" t="n">
        <v>12000</v>
      </c>
      <c r="H402" s="1226" t="n">
        <v>6.16</v>
      </c>
      <c r="I402" s="1250" t="n">
        <v>0</v>
      </c>
      <c r="J402" s="1228">
        <f>+I402*H402</f>
        <v/>
      </c>
      <c r="K402" s="1251" t="n"/>
      <c r="L402" s="1228">
        <f>IF(K402&gt;I402,"ERROR",(K402*H402)*0.3+J402)</f>
        <v/>
      </c>
      <c r="M402" s="1231" t="inlineStr">
        <is>
          <t>Automatic</t>
        </is>
      </c>
      <c r="Q402" s="1215" t="n"/>
    </row>
    <row r="403" ht="12.75" customHeight="1" s="1134">
      <c r="A403" s="1232" t="n"/>
      <c r="B403" s="1233" t="n"/>
      <c r="C403" s="1233" t="n"/>
      <c r="D403" s="1234" t="n">
        <v>0.22</v>
      </c>
      <c r="E403" s="1234" t="n">
        <v>6</v>
      </c>
      <c r="F403" s="1264" t="n">
        <v>12001</v>
      </c>
      <c r="G403" s="1264" t="n">
        <v>13000</v>
      </c>
      <c r="H403" s="1226" t="n">
        <v>6.589</v>
      </c>
      <c r="I403" s="1262" t="n">
        <v>0</v>
      </c>
      <c r="J403" s="1228">
        <f>+I403*H403</f>
        <v/>
      </c>
      <c r="K403" s="1251" t="n"/>
      <c r="L403" s="1228">
        <f>IF(K403&gt;I403,"ERROR",(K403*H403)*0.3+J403)</f>
        <v/>
      </c>
      <c r="M403" s="1231" t="inlineStr">
        <is>
          <t>Automatic</t>
        </is>
      </c>
      <c r="Q403" s="1215" t="n"/>
    </row>
    <row r="404" ht="12.75" customHeight="1" s="1134">
      <c r="A404" s="1232" t="n"/>
      <c r="B404" s="1233" t="n"/>
      <c r="C404" s="1233" t="n"/>
      <c r="D404" s="1264" t="n"/>
      <c r="E404" s="1264" t="n"/>
      <c r="F404" s="1264" t="n"/>
      <c r="G404" s="1264" t="n"/>
      <c r="H404" s="1226" t="n"/>
      <c r="I404" s="1263" t="n"/>
      <c r="J404" s="1228">
        <f>+I404*H404</f>
        <v/>
      </c>
      <c r="K404" s="1251" t="n"/>
      <c r="L404" s="1228">
        <f>IF(K404&gt;I404,"ERROR",(K404*H404)*0.3+J404)</f>
        <v/>
      </c>
      <c r="Q404" s="1215" t="n"/>
    </row>
    <row r="405" ht="12.75" customHeight="1" s="1134">
      <c r="A405" s="1232" t="n"/>
      <c r="B405" s="1233" t="n"/>
      <c r="C405" s="1233" t="n"/>
      <c r="D405" s="1264" t="n"/>
      <c r="E405" s="1264" t="n"/>
      <c r="F405" s="1264" t="n"/>
      <c r="G405" s="1264" t="n"/>
      <c r="H405" s="1226" t="n"/>
      <c r="I405" s="1263" t="n"/>
      <c r="J405" s="1228">
        <f>+I405*H405</f>
        <v/>
      </c>
      <c r="K405" s="1251" t="n"/>
      <c r="L405" s="1228">
        <f>IF(K405&gt;I405,"ERROR",(K405*H405)*0.3+J405)</f>
        <v/>
      </c>
      <c r="Q405" s="1215" t="n"/>
    </row>
    <row r="406" ht="12.75" customHeight="1" s="1134">
      <c r="A406" s="1232" t="n"/>
      <c r="B406" s="1233" t="n"/>
      <c r="C406" s="1233" t="n"/>
      <c r="D406" s="1264" t="n"/>
      <c r="E406" s="1264" t="n"/>
      <c r="F406" s="1264" t="n"/>
      <c r="G406" s="1264" t="n"/>
      <c r="H406" s="1226" t="n"/>
      <c r="I406" s="1263" t="n"/>
      <c r="J406" s="1228">
        <f>+I406*H406</f>
        <v/>
      </c>
      <c r="K406" s="1251" t="n"/>
      <c r="L406" s="1228">
        <f>IF(K406&gt;I406,"ERROR",(K406*H406)*0.3+J406)</f>
        <v/>
      </c>
      <c r="Q406" s="1215" t="n"/>
    </row>
    <row r="407" ht="13.5" customHeight="1" s="1134">
      <c r="A407" s="1236" t="n"/>
      <c r="B407" s="1237" t="n"/>
      <c r="C407" s="1237" t="n"/>
      <c r="D407" s="1238" t="n"/>
      <c r="E407" s="1238" t="n"/>
      <c r="F407" s="1238" t="n"/>
      <c r="G407" s="1238" t="n"/>
      <c r="H407" s="1226" t="n"/>
      <c r="I407" s="1253" t="n"/>
      <c r="J407" s="1241">
        <f>+I407*H407</f>
        <v/>
      </c>
      <c r="K407" s="1254" t="n"/>
      <c r="L407" s="1241">
        <f>IF(K407&gt;I407,"ERROR",(K407*H407)*0.3+J407)</f>
        <v/>
      </c>
      <c r="Q407" s="1215" t="n"/>
    </row>
    <row r="408" ht="12.75" customHeight="1" s="1134">
      <c r="A408" s="1255" t="inlineStr">
        <is>
          <t>twist wire cut &amp; crimp with seal both sides</t>
        </is>
      </c>
      <c r="B408" s="1256" t="inlineStr">
        <is>
          <t>Twisting Cutter</t>
        </is>
      </c>
      <c r="C408" s="1256" t="inlineStr">
        <is>
          <t>Komax Alpha 488
PITCH 10</t>
        </is>
      </c>
      <c r="D408" s="1257" t="n">
        <v>0.22</v>
      </c>
      <c r="E408" s="1257" t="n">
        <v>2.5</v>
      </c>
      <c r="F408" s="1257" t="n">
        <v>700</v>
      </c>
      <c r="G408" s="1257" t="n">
        <v>1000</v>
      </c>
      <c r="H408" s="1342" t="n">
        <v>4.48</v>
      </c>
      <c r="I408" s="1258" t="n">
        <v>0</v>
      </c>
      <c r="J408" s="1259">
        <f>+I408*H408</f>
        <v/>
      </c>
      <c r="K408" s="1260" t="n"/>
      <c r="L408" s="1259">
        <f>IF(K408&gt;I408,"ERROR",(K408*H408)*0.1+J408)</f>
        <v/>
      </c>
      <c r="M408" s="1231" t="inlineStr">
        <is>
          <t>Automatic</t>
        </is>
      </c>
      <c r="P408" s="1343" t="n"/>
      <c r="Q408" s="1344" t="n"/>
    </row>
    <row r="409" ht="12.75" customHeight="1" s="1134">
      <c r="A409" s="1232" t="n"/>
      <c r="B409" s="1233" t="n"/>
      <c r="C409" s="1233" t="n"/>
      <c r="D409" s="1234" t="n">
        <v>0.22</v>
      </c>
      <c r="E409" s="1234" t="n">
        <v>2.5</v>
      </c>
      <c r="F409" s="1234" t="n">
        <v>1001</v>
      </c>
      <c r="G409" s="1234" t="n">
        <v>2000</v>
      </c>
      <c r="H409" s="1226" t="n">
        <v>6.41</v>
      </c>
      <c r="I409" s="1250" t="n">
        <v>0</v>
      </c>
      <c r="J409" s="1228">
        <f>+I409*H409</f>
        <v/>
      </c>
      <c r="K409" s="1251" t="n"/>
      <c r="L409" s="1228">
        <f>IF(K409&gt;I409,"ERROR",(K409*H409)*0.15+J409)</f>
        <v/>
      </c>
      <c r="M409" s="1231" t="inlineStr">
        <is>
          <t>Automatic</t>
        </is>
      </c>
      <c r="P409" s="1345" t="n"/>
      <c r="Q409" s="1215" t="n"/>
    </row>
    <row r="410" ht="12.75" customHeight="1" s="1134">
      <c r="A410" s="1232" t="n"/>
      <c r="B410" s="1233" t="n"/>
      <c r="C410" s="1233" t="n"/>
      <c r="D410" s="1234" t="n">
        <v>0.22</v>
      </c>
      <c r="E410" s="1234" t="n">
        <v>2.5</v>
      </c>
      <c r="F410" s="1234" t="n">
        <v>2001</v>
      </c>
      <c r="G410" s="1234" t="n">
        <v>3000</v>
      </c>
      <c r="H410" s="1226" t="n">
        <v>8.529999999999999</v>
      </c>
      <c r="I410" s="1250" t="n">
        <v>0</v>
      </c>
      <c r="J410" s="1228">
        <f>+I410*H410</f>
        <v/>
      </c>
      <c r="K410" s="1251" t="n"/>
      <c r="L410" s="1228">
        <f>IF(K410&gt;I410,"ERROR",(K410*H410)*0.2+J410)</f>
        <v/>
      </c>
      <c r="M410" s="1231" t="inlineStr">
        <is>
          <t>Automatic</t>
        </is>
      </c>
      <c r="P410" s="1345" t="n"/>
      <c r="Q410" s="1215" t="n"/>
    </row>
    <row r="411" ht="12.75" customHeight="1" s="1134">
      <c r="A411" s="1232" t="n"/>
      <c r="B411" s="1233" t="n"/>
      <c r="C411" s="1233" t="n"/>
      <c r="D411" s="1234" t="n">
        <v>0.22</v>
      </c>
      <c r="E411" s="1234" t="n">
        <v>2.5</v>
      </c>
      <c r="F411" s="1234" t="n">
        <v>3001</v>
      </c>
      <c r="G411" s="1234" t="n">
        <v>4000</v>
      </c>
      <c r="H411" s="1226" t="n">
        <v>10.78</v>
      </c>
      <c r="I411" s="1250" t="n">
        <v>0</v>
      </c>
      <c r="J411" s="1228">
        <f>+I411*H411</f>
        <v/>
      </c>
      <c r="K411" s="1251" t="n"/>
      <c r="L411" s="1228">
        <f>IF(K411&gt;I411,"ERROR",(K411*H411)*0.25+J411)</f>
        <v/>
      </c>
      <c r="M411" s="1231" t="inlineStr">
        <is>
          <t>Automatic</t>
        </is>
      </c>
      <c r="Q411" s="1215" t="n"/>
    </row>
    <row r="412" ht="12.75" customHeight="1" s="1134">
      <c r="A412" s="1232" t="n"/>
      <c r="B412" s="1233" t="n"/>
      <c r="C412" s="1233" t="n"/>
      <c r="D412" s="1234" t="n">
        <v>0.22</v>
      </c>
      <c r="E412" s="1234" t="n">
        <v>2.5</v>
      </c>
      <c r="F412" s="1234" t="n">
        <v>4001</v>
      </c>
      <c r="G412" s="1234" t="n">
        <v>5000</v>
      </c>
      <c r="H412" s="1226" t="n">
        <v>12.86</v>
      </c>
      <c r="I412" s="1250" t="n">
        <v>0</v>
      </c>
      <c r="J412" s="1228">
        <f>+I412*H412</f>
        <v/>
      </c>
      <c r="K412" s="1251" t="n"/>
      <c r="L412" s="1228">
        <f>IF(K412&gt;I412,"ERROR",(K412*H412)*0.3+J412)</f>
        <v/>
      </c>
      <c r="M412" s="1231" t="inlineStr">
        <is>
          <t>Automatic</t>
        </is>
      </c>
      <c r="Q412" s="1215" t="n"/>
    </row>
    <row r="413" ht="12.75" customHeight="1" s="1134">
      <c r="A413" s="1232" t="n"/>
      <c r="B413" s="1233" t="n"/>
      <c r="C413" s="1233" t="n"/>
      <c r="D413" s="1234" t="n">
        <v>0.22</v>
      </c>
      <c r="E413" s="1234" t="n">
        <v>2.5</v>
      </c>
      <c r="F413" s="1234" t="n">
        <v>5001</v>
      </c>
      <c r="G413" s="1234" t="n">
        <v>6000</v>
      </c>
      <c r="H413" s="1226" t="n">
        <v>13.79</v>
      </c>
      <c r="I413" s="1250" t="n">
        <v>0</v>
      </c>
      <c r="J413" s="1228">
        <f>+I413*H413</f>
        <v/>
      </c>
      <c r="K413" s="1251" t="n"/>
      <c r="L413" s="1228">
        <f>IF(K413&gt;I413,"ERROR",(K413*H413)*0.3+J413)</f>
        <v/>
      </c>
      <c r="M413" s="1231" t="inlineStr">
        <is>
          <t>Automatic</t>
        </is>
      </c>
      <c r="Q413" s="1215" t="n"/>
    </row>
    <row r="414" ht="13.5" customHeight="1" s="1134">
      <c r="A414" s="1236" t="n"/>
      <c r="B414" s="1237" t="n"/>
      <c r="C414" s="1237" t="n"/>
      <c r="D414" s="1238" t="n">
        <v>0.22</v>
      </c>
      <c r="E414" s="1238" t="n">
        <v>2.5</v>
      </c>
      <c r="F414" s="1238" t="n">
        <v>6001</v>
      </c>
      <c r="G414" s="1238" t="n">
        <v>7000</v>
      </c>
      <c r="H414" s="1239" t="n">
        <v>16.67</v>
      </c>
      <c r="I414" s="1346" t="n">
        <v>0</v>
      </c>
      <c r="J414" s="1241">
        <f>+I414*H414</f>
        <v/>
      </c>
      <c r="K414" s="1254" t="n"/>
      <c r="L414" s="1241">
        <f>IF(K414&gt;I414,"ERROR",(K414*H414)*0.3+J414)</f>
        <v/>
      </c>
      <c r="M414" s="1231" t="inlineStr">
        <is>
          <t>Automatic</t>
        </is>
      </c>
      <c r="Q414" s="1215" t="n"/>
    </row>
    <row r="415" ht="12.75" customHeight="1" s="1134">
      <c r="A415" s="1255" t="inlineStr">
        <is>
          <t>twist wire cut &amp; crimp with seal both sides</t>
        </is>
      </c>
      <c r="B415" s="1256" t="inlineStr">
        <is>
          <t>Twisting Cutter
with CPS</t>
        </is>
      </c>
      <c r="C415" s="1256" t="inlineStr">
        <is>
          <t>Komax Alpha 488
PITCH 10</t>
        </is>
      </c>
      <c r="D415" s="1257" t="n">
        <v>0.22</v>
      </c>
      <c r="E415" s="1257" t="n">
        <v>2.5</v>
      </c>
      <c r="F415" s="1257" t="n">
        <v>700</v>
      </c>
      <c r="G415" s="1257" t="n">
        <v>1000</v>
      </c>
      <c r="H415" s="1226" t="n">
        <v>4.928</v>
      </c>
      <c r="I415" s="1258" t="n">
        <v>0</v>
      </c>
      <c r="J415" s="1259">
        <f>+I415*H415</f>
        <v/>
      </c>
      <c r="K415" s="1260" t="n"/>
      <c r="L415" s="1259">
        <f>IF(K415&gt;I415,"ERROR",(K415*H415)*0.1+J415)</f>
        <v/>
      </c>
      <c r="M415" s="1231" t="inlineStr">
        <is>
          <t>Automatic</t>
        </is>
      </c>
      <c r="P415" s="1343" t="n"/>
      <c r="Q415" s="1344" t="n"/>
    </row>
    <row r="416" ht="12.75" customHeight="1" s="1134">
      <c r="A416" s="1232" t="n"/>
      <c r="B416" s="1233" t="n"/>
      <c r="C416" s="1233" t="n"/>
      <c r="D416" s="1234" t="n">
        <v>0.22</v>
      </c>
      <c r="E416" s="1234" t="n">
        <v>2.5</v>
      </c>
      <c r="F416" s="1234" t="n">
        <v>1001</v>
      </c>
      <c r="G416" s="1234" t="n">
        <v>2000</v>
      </c>
      <c r="H416" s="1226" t="n">
        <v>7.051</v>
      </c>
      <c r="I416" s="1250" t="n">
        <v>0</v>
      </c>
      <c r="J416" s="1228">
        <f>+I416*H416</f>
        <v/>
      </c>
      <c r="K416" s="1251" t="n"/>
      <c r="L416" s="1228">
        <f>IF(K416&gt;I416,"ERROR",(K416*H416)*0.15+J416)</f>
        <v/>
      </c>
      <c r="M416" s="1231" t="inlineStr">
        <is>
          <t>Automatic</t>
        </is>
      </c>
      <c r="P416" s="1345" t="n"/>
      <c r="Q416" s="1215" t="n"/>
    </row>
    <row r="417" ht="12.75" customHeight="1" s="1134">
      <c r="A417" s="1232" t="n"/>
      <c r="B417" s="1233" t="n"/>
      <c r="C417" s="1233" t="n"/>
      <c r="D417" s="1234" t="n">
        <v>0.22</v>
      </c>
      <c r="E417" s="1234" t="n">
        <v>2.5</v>
      </c>
      <c r="F417" s="1234" t="n">
        <v>2001</v>
      </c>
      <c r="G417" s="1234" t="n">
        <v>3000</v>
      </c>
      <c r="H417" s="1226" t="n">
        <v>9.382999999999999</v>
      </c>
      <c r="I417" s="1250" t="n">
        <v>0</v>
      </c>
      <c r="J417" s="1228">
        <f>+I417*H417</f>
        <v/>
      </c>
      <c r="K417" s="1251" t="n"/>
      <c r="L417" s="1228">
        <f>IF(K417&gt;I417,"ERROR",(K417*H417)*0.2+J417)</f>
        <v/>
      </c>
      <c r="M417" s="1231" t="inlineStr">
        <is>
          <t>Automatic</t>
        </is>
      </c>
      <c r="P417" s="1345" t="n"/>
      <c r="Q417" s="1215" t="n"/>
    </row>
    <row r="418" ht="12.75" customHeight="1" s="1134">
      <c r="A418" s="1232" t="n"/>
      <c r="B418" s="1233" t="n"/>
      <c r="C418" s="1233" t="n"/>
      <c r="D418" s="1234" t="n">
        <v>0.22</v>
      </c>
      <c r="E418" s="1234" t="n">
        <v>2.5</v>
      </c>
      <c r="F418" s="1234" t="n">
        <v>3001</v>
      </c>
      <c r="G418" s="1234" t="n">
        <v>4000</v>
      </c>
      <c r="H418" s="1226" t="n">
        <v>11.858</v>
      </c>
      <c r="I418" s="1250" t="n">
        <v>0</v>
      </c>
      <c r="J418" s="1228">
        <f>+I418*H418</f>
        <v/>
      </c>
      <c r="K418" s="1251" t="n"/>
      <c r="L418" s="1228">
        <f>IF(K418&gt;I418,"ERROR",(K418*H418)*0.25+J418)</f>
        <v/>
      </c>
      <c r="M418" s="1231" t="inlineStr">
        <is>
          <t>Automatic</t>
        </is>
      </c>
      <c r="Q418" s="1215" t="n"/>
    </row>
    <row r="419" ht="12.75" customHeight="1" s="1134">
      <c r="A419" s="1232" t="n"/>
      <c r="B419" s="1233" t="n"/>
      <c r="C419" s="1233" t="n"/>
      <c r="D419" s="1234" t="n">
        <v>0.22</v>
      </c>
      <c r="E419" s="1234" t="n">
        <v>2.5</v>
      </c>
      <c r="F419" s="1234" t="n">
        <v>4001</v>
      </c>
      <c r="G419" s="1234" t="n">
        <v>5000</v>
      </c>
      <c r="H419" s="1226" t="n">
        <v>14.146</v>
      </c>
      <c r="I419" s="1250" t="n">
        <v>0</v>
      </c>
      <c r="J419" s="1228">
        <f>+I419*H419</f>
        <v/>
      </c>
      <c r="K419" s="1251" t="n"/>
      <c r="L419" s="1228">
        <f>IF(K419&gt;I419,"ERROR",(K419*H419)*0.3+J419)</f>
        <v/>
      </c>
      <c r="M419" s="1231" t="inlineStr">
        <is>
          <t>Automatic</t>
        </is>
      </c>
      <c r="Q419" s="1215" t="n"/>
    </row>
    <row r="420" ht="12.75" customHeight="1" s="1134">
      <c r="A420" s="1232" t="n"/>
      <c r="B420" s="1233" t="n"/>
      <c r="C420" s="1233" t="n"/>
      <c r="D420" s="1234" t="n">
        <v>0.22</v>
      </c>
      <c r="E420" s="1234" t="n">
        <v>2.5</v>
      </c>
      <c r="F420" s="1234" t="n">
        <v>5001</v>
      </c>
      <c r="G420" s="1234" t="n">
        <v>6000</v>
      </c>
      <c r="H420" s="1226" t="n">
        <v>15.169</v>
      </c>
      <c r="I420" s="1250" t="n">
        <v>0</v>
      </c>
      <c r="J420" s="1228">
        <f>+I420*H420</f>
        <v/>
      </c>
      <c r="K420" s="1251" t="n"/>
      <c r="L420" s="1228">
        <f>IF(K420&gt;I420,"ERROR",(K420*H420)*0.3+J420)</f>
        <v/>
      </c>
      <c r="M420" s="1231" t="inlineStr">
        <is>
          <t>Automatic</t>
        </is>
      </c>
      <c r="Q420" s="1215" t="n"/>
    </row>
    <row r="421" ht="13.5" customHeight="1" s="1134">
      <c r="A421" s="1236" t="n"/>
      <c r="B421" s="1237" t="n"/>
      <c r="C421" s="1237" t="n"/>
      <c r="D421" s="1238" t="n">
        <v>0.22</v>
      </c>
      <c r="E421" s="1238" t="n">
        <v>2.5</v>
      </c>
      <c r="F421" s="1238" t="n">
        <v>6001</v>
      </c>
      <c r="G421" s="1238" t="n">
        <v>7000</v>
      </c>
      <c r="H421" s="1226" t="n">
        <v>18.337</v>
      </c>
      <c r="I421" s="1346" t="n">
        <v>0</v>
      </c>
      <c r="J421" s="1241">
        <f>+I421*H421</f>
        <v/>
      </c>
      <c r="K421" s="1254" t="n"/>
      <c r="L421" s="1241">
        <f>IF(K421&gt;I421,"ERROR",(K421*H421)*0.3+J421)</f>
        <v/>
      </c>
      <c r="M421" s="1231" t="inlineStr">
        <is>
          <t>Automatic</t>
        </is>
      </c>
      <c r="Q421" s="1215" t="n"/>
    </row>
    <row r="422" ht="12.75" customHeight="1" s="1134">
      <c r="A422" s="1255" t="inlineStr">
        <is>
          <t>twist wire cut &amp; crimp with seal both sides</t>
        </is>
      </c>
      <c r="B422" s="1256" t="inlineStr">
        <is>
          <t>Twisting Cutter</t>
        </is>
      </c>
      <c r="C422" s="1256" t="inlineStr">
        <is>
          <t>Komax Alpha 488
PITCH 15</t>
        </is>
      </c>
      <c r="D422" s="1257" t="n">
        <v>0.22</v>
      </c>
      <c r="E422" s="1257" t="n">
        <v>2.5</v>
      </c>
      <c r="F422" s="1257" t="n">
        <v>700</v>
      </c>
      <c r="G422" s="1257" t="n">
        <v>1000</v>
      </c>
      <c r="H422" s="1342" t="n">
        <v>4.47</v>
      </c>
      <c r="I422" s="1258" t="n">
        <v>0</v>
      </c>
      <c r="J422" s="1259">
        <f>+I422*H422</f>
        <v/>
      </c>
      <c r="K422" s="1260" t="n"/>
      <c r="L422" s="1259">
        <f>IF(K422&gt;I422,"ERROR",(K422*H422)*0.1+J422)</f>
        <v/>
      </c>
      <c r="M422" s="1231" t="inlineStr">
        <is>
          <t>Automatic</t>
        </is>
      </c>
      <c r="P422" s="1343" t="n"/>
      <c r="Q422" s="1344" t="n"/>
    </row>
    <row r="423" ht="12.75" customHeight="1" s="1134">
      <c r="A423" s="1232" t="n"/>
      <c r="B423" s="1233" t="n"/>
      <c r="C423" s="1233" t="n"/>
      <c r="D423" s="1234" t="n">
        <v>0.22</v>
      </c>
      <c r="E423" s="1234" t="n">
        <v>2.5</v>
      </c>
      <c r="F423" s="1234" t="n">
        <v>1001</v>
      </c>
      <c r="G423" s="1234" t="n">
        <v>2000</v>
      </c>
      <c r="H423" s="1226" t="n">
        <v>5.22</v>
      </c>
      <c r="I423" s="1250" t="n">
        <v>0</v>
      </c>
      <c r="J423" s="1228">
        <f>+I423*H423</f>
        <v/>
      </c>
      <c r="K423" s="1251" t="n"/>
      <c r="L423" s="1228">
        <f>IF(K423&gt;I423,"ERROR",(K423*H423)*0.15+J423)</f>
        <v/>
      </c>
      <c r="M423" s="1231" t="inlineStr">
        <is>
          <t>Automatic</t>
        </is>
      </c>
      <c r="P423" s="1345" t="n"/>
      <c r="Q423" s="1215" t="n"/>
    </row>
    <row r="424" ht="12.75" customHeight="1" s="1134">
      <c r="A424" s="1232" t="n"/>
      <c r="B424" s="1233" t="n"/>
      <c r="C424" s="1233" t="n"/>
      <c r="D424" s="1234" t="n">
        <v>0.22</v>
      </c>
      <c r="E424" s="1234" t="n">
        <v>2.5</v>
      </c>
      <c r="F424" s="1234" t="n">
        <v>2001</v>
      </c>
      <c r="G424" s="1234" t="n">
        <v>3000</v>
      </c>
      <c r="H424" s="1226" t="n">
        <v>6.76</v>
      </c>
      <c r="I424" s="1250" t="n">
        <v>0</v>
      </c>
      <c r="J424" s="1228">
        <f>+I424*H424</f>
        <v/>
      </c>
      <c r="K424" s="1251" t="n"/>
      <c r="L424" s="1228">
        <f>IF(K424&gt;I424,"ERROR",(K424*H424)*0.2+J424)</f>
        <v/>
      </c>
      <c r="M424" s="1231" t="inlineStr">
        <is>
          <t>Automatic</t>
        </is>
      </c>
      <c r="P424" s="1345" t="n"/>
      <c r="Q424" s="1215" t="n"/>
    </row>
    <row r="425" ht="12.75" customHeight="1" s="1134">
      <c r="A425" s="1232" t="n"/>
      <c r="B425" s="1233" t="n"/>
      <c r="C425" s="1233" t="n"/>
      <c r="D425" s="1234" t="n">
        <v>0.22</v>
      </c>
      <c r="E425" s="1234" t="n">
        <v>2.5</v>
      </c>
      <c r="F425" s="1234" t="n">
        <v>3001</v>
      </c>
      <c r="G425" s="1234" t="n">
        <v>4000</v>
      </c>
      <c r="H425" s="1226" t="n">
        <v>8.119999999999999</v>
      </c>
      <c r="I425" s="1250" t="n">
        <v>0</v>
      </c>
      <c r="J425" s="1228">
        <f>+I425*H425</f>
        <v/>
      </c>
      <c r="K425" s="1251" t="n"/>
      <c r="L425" s="1228">
        <f>IF(K425&gt;I425,"ERROR",(K425*H425)*0.25+J425)</f>
        <v/>
      </c>
      <c r="M425" s="1231" t="inlineStr">
        <is>
          <t>Automatic</t>
        </is>
      </c>
      <c r="Q425" s="1215" t="n"/>
    </row>
    <row r="426" ht="12.75" customHeight="1" s="1134">
      <c r="A426" s="1232" t="n"/>
      <c r="B426" s="1233" t="n"/>
      <c r="C426" s="1233" t="n"/>
      <c r="D426" s="1234" t="n">
        <v>0.22</v>
      </c>
      <c r="E426" s="1234" t="n">
        <v>2.5</v>
      </c>
      <c r="F426" s="1234" t="n">
        <v>4001</v>
      </c>
      <c r="G426" s="1234" t="n">
        <v>5000</v>
      </c>
      <c r="H426" s="1226" t="n">
        <v>9.48</v>
      </c>
      <c r="I426" s="1250" t="n">
        <v>0</v>
      </c>
      <c r="J426" s="1228">
        <f>+I426*H426</f>
        <v/>
      </c>
      <c r="K426" s="1251" t="n"/>
      <c r="L426" s="1228">
        <f>IF(K426&gt;I426,"ERROR",(K426*H426)*0.3+J426)</f>
        <v/>
      </c>
      <c r="M426" s="1231" t="inlineStr">
        <is>
          <t>Automatic</t>
        </is>
      </c>
      <c r="Q426" s="1215" t="n"/>
    </row>
    <row r="427" ht="12.75" customHeight="1" s="1134">
      <c r="A427" s="1232" t="n"/>
      <c r="B427" s="1233" t="n"/>
      <c r="C427" s="1233" t="n"/>
      <c r="D427" s="1234" t="n">
        <v>0.22</v>
      </c>
      <c r="E427" s="1234" t="n">
        <v>2.5</v>
      </c>
      <c r="F427" s="1234" t="n">
        <v>5001</v>
      </c>
      <c r="G427" s="1234" t="n">
        <v>6000</v>
      </c>
      <c r="H427" s="1226" t="n">
        <v>10.91</v>
      </c>
      <c r="I427" s="1250" t="n">
        <v>0</v>
      </c>
      <c r="J427" s="1228">
        <f>+I427*H427</f>
        <v/>
      </c>
      <c r="K427" s="1251" t="n"/>
      <c r="L427" s="1228">
        <f>IF(K427&gt;I427,"ERROR",(K427*H427)*0.3+J427)</f>
        <v/>
      </c>
      <c r="M427" s="1231" t="inlineStr">
        <is>
          <t>Automatic</t>
        </is>
      </c>
      <c r="Q427" s="1215" t="n"/>
    </row>
    <row r="428" ht="13.5" customHeight="1" s="1134">
      <c r="A428" s="1236" t="n"/>
      <c r="B428" s="1237" t="n"/>
      <c r="C428" s="1237" t="n"/>
      <c r="D428" s="1238" t="n">
        <v>0.22</v>
      </c>
      <c r="E428" s="1238" t="n">
        <v>2.5</v>
      </c>
      <c r="F428" s="1238" t="n">
        <v>6001</v>
      </c>
      <c r="G428" s="1238" t="n">
        <v>7000</v>
      </c>
      <c r="H428" s="1239" t="n">
        <v>12.29</v>
      </c>
      <c r="I428" s="1346" t="n">
        <v>0</v>
      </c>
      <c r="J428" s="1241">
        <f>+I428*H428</f>
        <v/>
      </c>
      <c r="K428" s="1254" t="n"/>
      <c r="L428" s="1241">
        <f>IF(K428&gt;I428,"ERROR",(K428*H428)*0.3+J428)</f>
        <v/>
      </c>
      <c r="M428" s="1231" t="inlineStr">
        <is>
          <t>Automatic</t>
        </is>
      </c>
      <c r="Q428" s="1215" t="n"/>
    </row>
    <row r="429" ht="12.75" customHeight="1" s="1134">
      <c r="A429" s="1255" t="inlineStr">
        <is>
          <t>twist wire cut &amp; crimp with seal both sides</t>
        </is>
      </c>
      <c r="B429" s="1256" t="inlineStr">
        <is>
          <t>Twisting Cutter
with CPS</t>
        </is>
      </c>
      <c r="C429" s="1256" t="inlineStr">
        <is>
          <t>Komax Alpha 488
PITCH 15</t>
        </is>
      </c>
      <c r="D429" s="1257" t="n">
        <v>0.22</v>
      </c>
      <c r="E429" s="1257" t="n">
        <v>2.5</v>
      </c>
      <c r="F429" s="1257" t="n">
        <v>700</v>
      </c>
      <c r="G429" s="1257" t="n">
        <v>1000</v>
      </c>
      <c r="H429" s="1226" t="n">
        <v>4.917</v>
      </c>
      <c r="I429" s="1258" t="n">
        <v>0</v>
      </c>
      <c r="J429" s="1259">
        <f>+I429*H429</f>
        <v/>
      </c>
      <c r="K429" s="1260" t="n"/>
      <c r="L429" s="1259">
        <f>IF(K429&gt;I429,"ERROR",(K429*H429)*0.1+J429)</f>
        <v/>
      </c>
      <c r="M429" s="1231" t="inlineStr">
        <is>
          <t>Automatic</t>
        </is>
      </c>
      <c r="P429" s="1343" t="n"/>
      <c r="Q429" s="1344" t="n"/>
    </row>
    <row r="430" ht="12.75" customHeight="1" s="1134">
      <c r="A430" s="1232" t="n"/>
      <c r="B430" s="1233" t="n"/>
      <c r="C430" s="1233" t="n"/>
      <c r="D430" s="1234" t="n">
        <v>0.22</v>
      </c>
      <c r="E430" s="1234" t="n">
        <v>2.5</v>
      </c>
      <c r="F430" s="1234" t="n">
        <v>1001</v>
      </c>
      <c r="G430" s="1234" t="n">
        <v>2000</v>
      </c>
      <c r="H430" s="1226" t="n">
        <v>5.742</v>
      </c>
      <c r="I430" s="1250" t="n">
        <v>0</v>
      </c>
      <c r="J430" s="1228">
        <f>+I430*H430</f>
        <v/>
      </c>
      <c r="K430" s="1251" t="n"/>
      <c r="L430" s="1228">
        <f>IF(K430&gt;I430,"ERROR",(K430*H430)*0.15+J430)</f>
        <v/>
      </c>
      <c r="M430" s="1231" t="inlineStr">
        <is>
          <t>Automatic</t>
        </is>
      </c>
      <c r="P430" s="1345" t="n"/>
      <c r="Q430" s="1215" t="n"/>
    </row>
    <row r="431" ht="12.75" customHeight="1" s="1134">
      <c r="A431" s="1232" t="n"/>
      <c r="B431" s="1233" t="n"/>
      <c r="C431" s="1233" t="n"/>
      <c r="D431" s="1234" t="n">
        <v>0.22</v>
      </c>
      <c r="E431" s="1234" t="n">
        <v>2.5</v>
      </c>
      <c r="F431" s="1234" t="n">
        <v>2001</v>
      </c>
      <c r="G431" s="1234" t="n">
        <v>3000</v>
      </c>
      <c r="H431" s="1226" t="n">
        <v>7.436</v>
      </c>
      <c r="I431" s="1250" t="n">
        <v>0</v>
      </c>
      <c r="J431" s="1228">
        <f>+I431*H431</f>
        <v/>
      </c>
      <c r="K431" s="1251" t="n"/>
      <c r="L431" s="1228">
        <f>IF(K431&gt;I431,"ERROR",(K431*H431)*0.2+J431)</f>
        <v/>
      </c>
      <c r="M431" s="1231" t="inlineStr">
        <is>
          <t>Automatic</t>
        </is>
      </c>
      <c r="P431" s="1345" t="n"/>
      <c r="Q431" s="1215" t="n"/>
    </row>
    <row r="432" ht="12.75" customHeight="1" s="1134">
      <c r="A432" s="1232" t="n"/>
      <c r="B432" s="1233" t="n"/>
      <c r="C432" s="1233" t="n"/>
      <c r="D432" s="1234" t="n">
        <v>0.22</v>
      </c>
      <c r="E432" s="1234" t="n">
        <v>2.5</v>
      </c>
      <c r="F432" s="1234" t="n">
        <v>3001</v>
      </c>
      <c r="G432" s="1234" t="n">
        <v>4000</v>
      </c>
      <c r="H432" s="1226" t="n">
        <v>8.932</v>
      </c>
      <c r="I432" s="1250" t="n">
        <v>0</v>
      </c>
      <c r="J432" s="1228">
        <f>+I432*H432</f>
        <v/>
      </c>
      <c r="K432" s="1251" t="n"/>
      <c r="L432" s="1228">
        <f>IF(K432&gt;I432,"ERROR",(K432*H432)*0.25+J432)</f>
        <v/>
      </c>
      <c r="M432" s="1231" t="inlineStr">
        <is>
          <t>Automatic</t>
        </is>
      </c>
      <c r="Q432" s="1215" t="n"/>
    </row>
    <row r="433" ht="12.75" customHeight="1" s="1134">
      <c r="A433" s="1232" t="n"/>
      <c r="B433" s="1233" t="n"/>
      <c r="C433" s="1233" t="n"/>
      <c r="D433" s="1234" t="n">
        <v>0.22</v>
      </c>
      <c r="E433" s="1234" t="n">
        <v>2.5</v>
      </c>
      <c r="F433" s="1234" t="n">
        <v>4001</v>
      </c>
      <c r="G433" s="1234" t="n">
        <v>5000</v>
      </c>
      <c r="H433" s="1226" t="n">
        <v>10.428</v>
      </c>
      <c r="I433" s="1250" t="n">
        <v>0</v>
      </c>
      <c r="J433" s="1228">
        <f>+I433*H433</f>
        <v/>
      </c>
      <c r="K433" s="1251" t="n"/>
      <c r="L433" s="1228">
        <f>IF(K433&gt;I433,"ERROR",(K433*H433)*0.3+J433)</f>
        <v/>
      </c>
      <c r="M433" s="1231" t="inlineStr">
        <is>
          <t>Automatic</t>
        </is>
      </c>
      <c r="Q433" s="1215" t="n"/>
    </row>
    <row r="434" ht="12.75" customHeight="1" s="1134">
      <c r="A434" s="1232" t="n"/>
      <c r="B434" s="1233" t="n"/>
      <c r="C434" s="1233" t="n"/>
      <c r="D434" s="1234" t="n">
        <v>0.22</v>
      </c>
      <c r="E434" s="1234" t="n">
        <v>2.5</v>
      </c>
      <c r="F434" s="1234" t="n">
        <v>5001</v>
      </c>
      <c r="G434" s="1234" t="n">
        <v>6000</v>
      </c>
      <c r="H434" s="1226" t="n">
        <v>12.001</v>
      </c>
      <c r="I434" s="1250" t="n">
        <v>0</v>
      </c>
      <c r="J434" s="1228">
        <f>+I434*H434</f>
        <v/>
      </c>
      <c r="K434" s="1251" t="n"/>
      <c r="L434" s="1228">
        <f>IF(K434&gt;I434,"ERROR",(K434*H434)*0.3+J434)</f>
        <v/>
      </c>
      <c r="M434" s="1231" t="inlineStr">
        <is>
          <t>Automatic</t>
        </is>
      </c>
      <c r="Q434" s="1215" t="n"/>
    </row>
    <row r="435" ht="13.5" customHeight="1" s="1134">
      <c r="A435" s="1236" t="n"/>
      <c r="B435" s="1237" t="n"/>
      <c r="C435" s="1237" t="n"/>
      <c r="D435" s="1238" t="n">
        <v>0.22</v>
      </c>
      <c r="E435" s="1238" t="n">
        <v>2.5</v>
      </c>
      <c r="F435" s="1238" t="n">
        <v>6001</v>
      </c>
      <c r="G435" s="1238" t="n">
        <v>7000</v>
      </c>
      <c r="H435" s="1226" t="n">
        <v>13.519</v>
      </c>
      <c r="I435" s="1346" t="n">
        <v>0</v>
      </c>
      <c r="J435" s="1241">
        <f>+I435*H435</f>
        <v/>
      </c>
      <c r="K435" s="1254" t="n"/>
      <c r="L435" s="1241">
        <f>IF(K435&gt;I435,"ERROR",(K435*H435)*0.3+J435)</f>
        <v/>
      </c>
      <c r="M435" s="1231" t="inlineStr">
        <is>
          <t>Automatic</t>
        </is>
      </c>
      <c r="Q435" s="1215" t="n"/>
    </row>
    <row r="436" ht="12.75" customHeight="1" s="1134">
      <c r="A436" s="1255" t="inlineStr">
        <is>
          <t>twist wire cut &amp; crimp with seal both sides</t>
        </is>
      </c>
      <c r="B436" s="1256" t="inlineStr">
        <is>
          <t>Twisting Cutter</t>
        </is>
      </c>
      <c r="C436" s="1256" t="inlineStr">
        <is>
          <t>Komax Alpha 488
PITCH 20</t>
        </is>
      </c>
      <c r="D436" s="1257" t="n">
        <v>0.22</v>
      </c>
      <c r="E436" s="1257" t="n">
        <v>2.5</v>
      </c>
      <c r="F436" s="1257" t="n">
        <v>700</v>
      </c>
      <c r="G436" s="1257" t="n">
        <v>1000</v>
      </c>
      <c r="H436" s="1342" t="n">
        <v>4.27</v>
      </c>
      <c r="I436" s="1258" t="n">
        <v>0</v>
      </c>
      <c r="J436" s="1259">
        <f>+I436*H436</f>
        <v/>
      </c>
      <c r="K436" s="1260" t="n"/>
      <c r="L436" s="1259">
        <f>IF(K436&gt;I436,"ERROR",(K436*H436)*0.1+J436)</f>
        <v/>
      </c>
      <c r="M436" s="1231" t="inlineStr">
        <is>
          <t>Automatic</t>
        </is>
      </c>
      <c r="P436" s="1343" t="n"/>
      <c r="Q436" s="1344" t="n"/>
    </row>
    <row r="437" ht="12.75" customHeight="1" s="1134">
      <c r="A437" s="1232" t="n"/>
      <c r="B437" s="1233" t="n"/>
      <c r="C437" s="1233" t="n"/>
      <c r="D437" s="1234" t="n">
        <v>0.22</v>
      </c>
      <c r="E437" s="1234" t="n">
        <v>2.5</v>
      </c>
      <c r="F437" s="1234" t="n">
        <v>1001</v>
      </c>
      <c r="G437" s="1234" t="n">
        <v>2000</v>
      </c>
      <c r="H437" s="1226" t="n">
        <v>4.7</v>
      </c>
      <c r="I437" s="1250" t="n">
        <v>0</v>
      </c>
      <c r="J437" s="1228">
        <f>+I437*H437</f>
        <v/>
      </c>
      <c r="K437" s="1251" t="n"/>
      <c r="L437" s="1228">
        <f>IF(K437&gt;I437,"ERROR",(K437*H437)*0.15+J437)</f>
        <v/>
      </c>
      <c r="M437" s="1231" t="inlineStr">
        <is>
          <t>Automatic</t>
        </is>
      </c>
      <c r="P437" s="1345" t="n"/>
      <c r="Q437" s="1215" t="n"/>
    </row>
    <row r="438" ht="12.75" customHeight="1" s="1134">
      <c r="A438" s="1232" t="n"/>
      <c r="B438" s="1233" t="n"/>
      <c r="C438" s="1233" t="n"/>
      <c r="D438" s="1234" t="n">
        <v>0.22</v>
      </c>
      <c r="E438" s="1234" t="n">
        <v>2.5</v>
      </c>
      <c r="F438" s="1234" t="n">
        <v>2001</v>
      </c>
      <c r="G438" s="1234" t="n">
        <v>3000</v>
      </c>
      <c r="H438" s="1226" t="n">
        <v>5.95</v>
      </c>
      <c r="I438" s="1250" t="n">
        <v>0</v>
      </c>
      <c r="J438" s="1228">
        <f>+I438*H438</f>
        <v/>
      </c>
      <c r="K438" s="1251" t="n"/>
      <c r="L438" s="1228">
        <f>IF(K438&gt;I438,"ERROR",(K438*H438)*0.2+J438)</f>
        <v/>
      </c>
      <c r="M438" s="1231" t="inlineStr">
        <is>
          <t>Automatic</t>
        </is>
      </c>
      <c r="P438" s="1345" t="n"/>
      <c r="Q438" s="1215" t="n"/>
    </row>
    <row r="439" ht="12.75" customHeight="1" s="1134">
      <c r="A439" s="1232" t="n"/>
      <c r="B439" s="1233" t="n"/>
      <c r="C439" s="1233" t="n"/>
      <c r="D439" s="1234" t="n">
        <v>0.22</v>
      </c>
      <c r="E439" s="1234" t="n">
        <v>2.5</v>
      </c>
      <c r="F439" s="1234" t="n">
        <v>3001</v>
      </c>
      <c r="G439" s="1234" t="n">
        <v>4000</v>
      </c>
      <c r="H439" s="1226" t="n">
        <v>6.92</v>
      </c>
      <c r="I439" s="1250" t="n">
        <v>0</v>
      </c>
      <c r="J439" s="1228">
        <f>+I439*H439</f>
        <v/>
      </c>
      <c r="K439" s="1251" t="n"/>
      <c r="L439" s="1228">
        <f>IF(K439&gt;I439,"ERROR",(K439*H439)*0.25+J439)</f>
        <v/>
      </c>
      <c r="M439" s="1231" t="inlineStr">
        <is>
          <t>Automatic</t>
        </is>
      </c>
      <c r="Q439" s="1215" t="n"/>
    </row>
    <row r="440" ht="12.75" customHeight="1" s="1134">
      <c r="A440" s="1232" t="n"/>
      <c r="B440" s="1233" t="n"/>
      <c r="C440" s="1233" t="n"/>
      <c r="D440" s="1234" t="n">
        <v>0.22</v>
      </c>
      <c r="E440" s="1234" t="n">
        <v>2.5</v>
      </c>
      <c r="F440" s="1234" t="n">
        <v>4001</v>
      </c>
      <c r="G440" s="1234" t="n">
        <v>5000</v>
      </c>
      <c r="H440" s="1226" t="n">
        <v>7.98</v>
      </c>
      <c r="I440" s="1250" t="n">
        <v>0</v>
      </c>
      <c r="J440" s="1228">
        <f>+I440*H440</f>
        <v/>
      </c>
      <c r="K440" s="1251" t="n"/>
      <c r="L440" s="1228">
        <f>IF(K440&gt;I440,"ERROR",(K440*H440)*0.3+J440)</f>
        <v/>
      </c>
      <c r="M440" s="1231" t="inlineStr">
        <is>
          <t>Automatic</t>
        </is>
      </c>
      <c r="Q440" s="1215" t="n"/>
    </row>
    <row r="441" ht="12.75" customHeight="1" s="1134">
      <c r="A441" s="1232" t="n"/>
      <c r="B441" s="1233" t="n"/>
      <c r="C441" s="1233" t="n"/>
      <c r="D441" s="1234" t="n">
        <v>0.22</v>
      </c>
      <c r="E441" s="1234" t="n">
        <v>2.5</v>
      </c>
      <c r="F441" s="1234" t="n">
        <v>5001</v>
      </c>
      <c r="G441" s="1234" t="n">
        <v>6000</v>
      </c>
      <c r="H441" s="1226" t="n">
        <v>9</v>
      </c>
      <c r="I441" s="1250" t="n">
        <v>0</v>
      </c>
      <c r="J441" s="1228">
        <f>+I441*H441</f>
        <v/>
      </c>
      <c r="K441" s="1251" t="n"/>
      <c r="L441" s="1228">
        <f>IF(K441&gt;I441,"ERROR",(K441*H441)*0.3+J441)</f>
        <v/>
      </c>
      <c r="M441" s="1231" t="inlineStr">
        <is>
          <t>Automatic</t>
        </is>
      </c>
      <c r="Q441" s="1215" t="n"/>
    </row>
    <row r="442" ht="13.5" customHeight="1" s="1134">
      <c r="A442" s="1236" t="n"/>
      <c r="B442" s="1237" t="n"/>
      <c r="C442" s="1237" t="n"/>
      <c r="D442" s="1238" t="n">
        <v>0.22</v>
      </c>
      <c r="E442" s="1238" t="n">
        <v>2.5</v>
      </c>
      <c r="F442" s="1238" t="n">
        <v>6001</v>
      </c>
      <c r="G442" s="1238" t="n">
        <v>7000</v>
      </c>
      <c r="H442" s="1239" t="n">
        <v>10.06</v>
      </c>
      <c r="I442" s="1346" t="n">
        <v>0</v>
      </c>
      <c r="J442" s="1241">
        <f>+I442*H442</f>
        <v/>
      </c>
      <c r="K442" s="1254" t="n"/>
      <c r="L442" s="1241">
        <f>IF(K442&gt;I442,"ERROR",(K442*H442)*0.3+J442)</f>
        <v/>
      </c>
      <c r="M442" s="1231" t="inlineStr">
        <is>
          <t>Automatic</t>
        </is>
      </c>
      <c r="Q442" s="1215" t="n"/>
    </row>
    <row r="443" ht="12.75" customHeight="1" s="1134">
      <c r="A443" s="1255" t="inlineStr">
        <is>
          <t>twist wire cut &amp; crimp with seal both sides</t>
        </is>
      </c>
      <c r="B443" s="1256" t="inlineStr">
        <is>
          <t>Twisting Cutter
with CPS</t>
        </is>
      </c>
      <c r="C443" s="1256" t="inlineStr">
        <is>
          <t>Komax Alpha 488
PITCH 20</t>
        </is>
      </c>
      <c r="D443" s="1257" t="n">
        <v>0.22</v>
      </c>
      <c r="E443" s="1257" t="n">
        <v>2.5</v>
      </c>
      <c r="F443" s="1257" t="n">
        <v>700</v>
      </c>
      <c r="G443" s="1257" t="n">
        <v>1000</v>
      </c>
      <c r="H443" s="1226" t="n">
        <v>4.697</v>
      </c>
      <c r="I443" s="1258" t="n">
        <v>0</v>
      </c>
      <c r="J443" s="1259">
        <f>+I443*H443</f>
        <v/>
      </c>
      <c r="K443" s="1260" t="n"/>
      <c r="L443" s="1259">
        <f>IF(K443&gt;I443,"ERROR",(K443*H443)*0.1+J443)</f>
        <v/>
      </c>
      <c r="M443" s="1231" t="inlineStr">
        <is>
          <t>Automatic</t>
        </is>
      </c>
      <c r="P443" s="1343" t="n"/>
      <c r="Q443" s="1344" t="n"/>
    </row>
    <row r="444" ht="12.75" customHeight="1" s="1134">
      <c r="A444" s="1232" t="n"/>
      <c r="B444" s="1233" t="n"/>
      <c r="C444" s="1233" t="n"/>
      <c r="D444" s="1234" t="n">
        <v>0.22</v>
      </c>
      <c r="E444" s="1234" t="n">
        <v>2.5</v>
      </c>
      <c r="F444" s="1234" t="n">
        <v>1001</v>
      </c>
      <c r="G444" s="1234" t="n">
        <v>2000</v>
      </c>
      <c r="H444" s="1226" t="n">
        <v>5.17</v>
      </c>
      <c r="I444" s="1250" t="n">
        <v>0</v>
      </c>
      <c r="J444" s="1228">
        <f>+I444*H444</f>
        <v/>
      </c>
      <c r="K444" s="1251" t="n"/>
      <c r="L444" s="1228">
        <f>IF(K444&gt;I444,"ERROR",(K444*H444)*0.15+J444)</f>
        <v/>
      </c>
      <c r="M444" s="1231" t="inlineStr">
        <is>
          <t>Automatic</t>
        </is>
      </c>
      <c r="P444" s="1345" t="n"/>
      <c r="Q444" s="1215" t="n"/>
    </row>
    <row r="445" ht="12.75" customHeight="1" s="1134">
      <c r="A445" s="1232" t="n"/>
      <c r="B445" s="1233" t="n"/>
      <c r="C445" s="1233" t="n"/>
      <c r="D445" s="1234" t="n">
        <v>0.22</v>
      </c>
      <c r="E445" s="1234" t="n">
        <v>2.5</v>
      </c>
      <c r="F445" s="1234" t="n">
        <v>2001</v>
      </c>
      <c r="G445" s="1234" t="n">
        <v>3000</v>
      </c>
      <c r="H445" s="1226" t="n">
        <v>6.545</v>
      </c>
      <c r="I445" s="1250" t="n">
        <v>0</v>
      </c>
      <c r="J445" s="1228">
        <f>+I445*H445</f>
        <v/>
      </c>
      <c r="K445" s="1251" t="n"/>
      <c r="L445" s="1228">
        <f>IF(K445&gt;I445,"ERROR",(K445*H445)*0.2+J445)</f>
        <v/>
      </c>
      <c r="M445" s="1231" t="inlineStr">
        <is>
          <t>Automatic</t>
        </is>
      </c>
      <c r="P445" s="1345" t="n"/>
      <c r="Q445" s="1215" t="n"/>
    </row>
    <row r="446" ht="12.75" customHeight="1" s="1134">
      <c r="A446" s="1232" t="n"/>
      <c r="B446" s="1233" t="n"/>
      <c r="C446" s="1233" t="n"/>
      <c r="D446" s="1234" t="n">
        <v>0.22</v>
      </c>
      <c r="E446" s="1234" t="n">
        <v>2.5</v>
      </c>
      <c r="F446" s="1234" t="n">
        <v>3001</v>
      </c>
      <c r="G446" s="1234" t="n">
        <v>4000</v>
      </c>
      <c r="H446" s="1226" t="n">
        <v>7.612</v>
      </c>
      <c r="I446" s="1250" t="n">
        <v>0</v>
      </c>
      <c r="J446" s="1228">
        <f>+I446*H446</f>
        <v/>
      </c>
      <c r="K446" s="1251" t="n"/>
      <c r="L446" s="1228">
        <f>IF(K446&gt;I446,"ERROR",(K446*H446)*0.25+J446)</f>
        <v/>
      </c>
      <c r="M446" s="1231" t="inlineStr">
        <is>
          <t>Automatic</t>
        </is>
      </c>
      <c r="Q446" s="1215" t="n"/>
    </row>
    <row r="447" ht="12.75" customHeight="1" s="1134">
      <c r="A447" s="1232" t="n"/>
      <c r="B447" s="1233" t="n"/>
      <c r="C447" s="1233" t="n"/>
      <c r="D447" s="1234" t="n">
        <v>0.22</v>
      </c>
      <c r="E447" s="1234" t="n">
        <v>2.5</v>
      </c>
      <c r="F447" s="1234" t="n">
        <v>4001</v>
      </c>
      <c r="G447" s="1234" t="n">
        <v>5000</v>
      </c>
      <c r="H447" s="1226" t="n">
        <v>8.778</v>
      </c>
      <c r="I447" s="1250" t="n">
        <v>0</v>
      </c>
      <c r="J447" s="1228">
        <f>+I447*H447</f>
        <v/>
      </c>
      <c r="K447" s="1251" t="n"/>
      <c r="L447" s="1228">
        <f>IF(K447&gt;I447,"ERROR",(K447*H447)*0.3+J447)</f>
        <v/>
      </c>
      <c r="M447" s="1231" t="inlineStr">
        <is>
          <t>Automatic</t>
        </is>
      </c>
      <c r="Q447" s="1215" t="n"/>
    </row>
    <row r="448" ht="12.75" customHeight="1" s="1134">
      <c r="A448" s="1232" t="n"/>
      <c r="B448" s="1233" t="n"/>
      <c r="C448" s="1233" t="n"/>
      <c r="D448" s="1234" t="n">
        <v>0.22</v>
      </c>
      <c r="E448" s="1234" t="n">
        <v>2.5</v>
      </c>
      <c r="F448" s="1234" t="n">
        <v>5001</v>
      </c>
      <c r="G448" s="1234" t="n">
        <v>6000</v>
      </c>
      <c r="H448" s="1226" t="n">
        <v>9.9</v>
      </c>
      <c r="I448" s="1250" t="n">
        <v>0</v>
      </c>
      <c r="J448" s="1228">
        <f>+I448*H448</f>
        <v/>
      </c>
      <c r="K448" s="1251" t="n"/>
      <c r="L448" s="1228">
        <f>IF(K448&gt;I448,"ERROR",(K448*H448)*0.3+J448)</f>
        <v/>
      </c>
      <c r="M448" s="1231" t="inlineStr">
        <is>
          <t>Automatic</t>
        </is>
      </c>
      <c r="Q448" s="1215" t="n"/>
    </row>
    <row r="449" ht="13.5" customHeight="1" s="1134">
      <c r="A449" s="1236" t="n"/>
      <c r="B449" s="1237" t="n"/>
      <c r="C449" s="1237" t="n"/>
      <c r="D449" s="1238" t="n">
        <v>0.22</v>
      </c>
      <c r="E449" s="1238" t="n">
        <v>2.5</v>
      </c>
      <c r="F449" s="1238" t="n">
        <v>6001</v>
      </c>
      <c r="G449" s="1238" t="n">
        <v>7000</v>
      </c>
      <c r="H449" s="1226" t="n">
        <v>11.066</v>
      </c>
      <c r="I449" s="1346" t="n">
        <v>0</v>
      </c>
      <c r="J449" s="1241">
        <f>+I449*H449</f>
        <v/>
      </c>
      <c r="K449" s="1254" t="n"/>
      <c r="L449" s="1241">
        <f>IF(K449&gt;I449,"ERROR",(K449*H449)*0.3+J449)</f>
        <v/>
      </c>
      <c r="M449" s="1231" t="inlineStr">
        <is>
          <t>Automatic</t>
        </is>
      </c>
      <c r="Q449" s="1215" t="n"/>
    </row>
    <row r="450" ht="12.75" customHeight="1" s="1134">
      <c r="A450" s="1255" t="inlineStr">
        <is>
          <t>twist wire cut &amp; crimp with seal both sides</t>
        </is>
      </c>
      <c r="B450" s="1256" t="inlineStr">
        <is>
          <t>Twisting Cutter</t>
        </is>
      </c>
      <c r="C450" s="1256" t="inlineStr">
        <is>
          <t>Komax Alpha 488
PITCH 25</t>
        </is>
      </c>
      <c r="D450" s="1257" t="n">
        <v>0.22</v>
      </c>
      <c r="E450" s="1257" t="n">
        <v>2.5</v>
      </c>
      <c r="F450" s="1257" t="n">
        <v>700</v>
      </c>
      <c r="G450" s="1257" t="n">
        <v>1000</v>
      </c>
      <c r="H450" s="1347" t="n">
        <v>4.19</v>
      </c>
      <c r="I450" s="1348" t="n">
        <v>0</v>
      </c>
      <c r="J450" s="1259">
        <f>+I450*H450</f>
        <v/>
      </c>
      <c r="K450" s="1260" t="n"/>
      <c r="L450" s="1259">
        <f>IF(K450&gt;I450,"ERROR",(K450*H450)*0.1+J450)</f>
        <v/>
      </c>
      <c r="M450" s="1231" t="inlineStr">
        <is>
          <t>Automatic</t>
        </is>
      </c>
      <c r="P450" s="1343" t="n"/>
      <c r="Q450" s="1344" t="n"/>
    </row>
    <row r="451" ht="12.75" customHeight="1" s="1134">
      <c r="A451" s="1232" t="n"/>
      <c r="B451" s="1233" t="n"/>
      <c r="C451" s="1233" t="n"/>
      <c r="D451" s="1234" t="n">
        <v>0.22</v>
      </c>
      <c r="E451" s="1234" t="n">
        <v>2.5</v>
      </c>
      <c r="F451" s="1234" t="n">
        <v>1001</v>
      </c>
      <c r="G451" s="1234" t="n">
        <v>2000</v>
      </c>
      <c r="H451" s="1349" t="n">
        <v>4.49</v>
      </c>
      <c r="I451" s="1350" t="n">
        <v>0</v>
      </c>
      <c r="J451" s="1228">
        <f>+I451*H451</f>
        <v/>
      </c>
      <c r="K451" s="1251" t="n"/>
      <c r="L451" s="1228">
        <f>IF(K451&gt;I451,"ERROR",(K451*H451)*0.15+J451)</f>
        <v/>
      </c>
      <c r="M451" s="1231" t="inlineStr">
        <is>
          <t>Automatic</t>
        </is>
      </c>
      <c r="P451" s="1345" t="n"/>
      <c r="Q451" s="1215" t="n"/>
    </row>
    <row r="452" ht="12.75" customHeight="1" s="1134">
      <c r="A452" s="1232" t="n"/>
      <c r="B452" s="1233" t="n"/>
      <c r="C452" s="1233" t="n"/>
      <c r="D452" s="1234" t="n">
        <v>0.22</v>
      </c>
      <c r="E452" s="1234" t="n">
        <v>2.5</v>
      </c>
      <c r="F452" s="1234" t="n">
        <v>2001</v>
      </c>
      <c r="G452" s="1234" t="n">
        <v>3000</v>
      </c>
      <c r="H452" s="1349" t="n">
        <v>5.49</v>
      </c>
      <c r="I452" s="1350" t="n">
        <v>0</v>
      </c>
      <c r="J452" s="1228">
        <f>+I452*H452</f>
        <v/>
      </c>
      <c r="K452" s="1251" t="n"/>
      <c r="L452" s="1228">
        <f>IF(K452&gt;I452,"ERROR",(K452*H452)*0.2+J452)</f>
        <v/>
      </c>
      <c r="M452" s="1231" t="inlineStr">
        <is>
          <t>Automatic</t>
        </is>
      </c>
      <c r="P452" s="1345" t="n"/>
      <c r="Q452" s="1215" t="n"/>
    </row>
    <row r="453" ht="12.75" customHeight="1" s="1134">
      <c r="A453" s="1232" t="n"/>
      <c r="B453" s="1233" t="n"/>
      <c r="C453" s="1233" t="n"/>
      <c r="D453" s="1234" t="n">
        <v>0.22</v>
      </c>
      <c r="E453" s="1234" t="n">
        <v>2.5</v>
      </c>
      <c r="F453" s="1234" t="n">
        <v>3001</v>
      </c>
      <c r="G453" s="1234" t="n">
        <v>4000</v>
      </c>
      <c r="H453" s="1349" t="n">
        <v>6.375</v>
      </c>
      <c r="I453" s="1350" t="n">
        <v>0</v>
      </c>
      <c r="J453" s="1228">
        <f>+I453*H453</f>
        <v/>
      </c>
      <c r="K453" s="1251" t="n"/>
      <c r="L453" s="1228">
        <f>IF(K453&gt;I453,"ERROR",(K453*H453)*0.25+J453)</f>
        <v/>
      </c>
      <c r="M453" s="1231" t="inlineStr">
        <is>
          <t>Automatic</t>
        </is>
      </c>
      <c r="Q453" s="1215" t="n"/>
    </row>
    <row r="454" ht="12.75" customHeight="1" s="1134">
      <c r="A454" s="1232" t="n"/>
      <c r="B454" s="1233" t="n"/>
      <c r="C454" s="1233" t="n"/>
      <c r="D454" s="1234" t="n">
        <v>0.22</v>
      </c>
      <c r="E454" s="1234" t="n">
        <v>2.5</v>
      </c>
      <c r="F454" s="1234" t="n">
        <v>4001</v>
      </c>
      <c r="G454" s="1234" t="n">
        <v>5000</v>
      </c>
      <c r="H454" s="1349" t="n">
        <v>7.265</v>
      </c>
      <c r="I454" s="1350" t="n">
        <v>0</v>
      </c>
      <c r="J454" s="1228">
        <f>+I454*H454</f>
        <v/>
      </c>
      <c r="K454" s="1251" t="n"/>
      <c r="L454" s="1228">
        <f>IF(K454&gt;I454,"ERROR",(K454*H454)*0.3+J454)</f>
        <v/>
      </c>
      <c r="M454" s="1231" t="inlineStr">
        <is>
          <t>Automatic</t>
        </is>
      </c>
      <c r="Q454" s="1215" t="n"/>
    </row>
    <row r="455" ht="12.75" customHeight="1" s="1134">
      <c r="A455" s="1232" t="n"/>
      <c r="B455" s="1233" t="n"/>
      <c r="C455" s="1233" t="n"/>
      <c r="D455" s="1234" t="n">
        <v>0.22</v>
      </c>
      <c r="E455" s="1234" t="n">
        <v>2.5</v>
      </c>
      <c r="F455" s="1234" t="n">
        <v>5001</v>
      </c>
      <c r="G455" s="1234" t="n">
        <v>6000</v>
      </c>
      <c r="H455" s="1349" t="n">
        <v>8.130000000000001</v>
      </c>
      <c r="I455" s="1350" t="n">
        <v>0</v>
      </c>
      <c r="J455" s="1228">
        <f>+I455*H455</f>
        <v/>
      </c>
      <c r="K455" s="1251" t="n"/>
      <c r="L455" s="1228">
        <f>IF(K455&gt;I455,"ERROR",(K455*H455)*0.3+J455)</f>
        <v/>
      </c>
      <c r="M455" s="1231" t="inlineStr">
        <is>
          <t>Automatic</t>
        </is>
      </c>
      <c r="Q455" s="1215" t="n"/>
    </row>
    <row r="456" ht="13.5" customHeight="1" s="1134">
      <c r="A456" s="1236" t="n"/>
      <c r="B456" s="1237" t="n"/>
      <c r="C456" s="1237" t="n"/>
      <c r="D456" s="1238" t="n">
        <v>0.22</v>
      </c>
      <c r="E456" s="1238" t="n">
        <v>2.5</v>
      </c>
      <c r="F456" s="1238" t="n">
        <v>6001</v>
      </c>
      <c r="G456" s="1238" t="n">
        <v>7000</v>
      </c>
      <c r="H456" s="1351" t="n">
        <v>9.074999999999999</v>
      </c>
      <c r="I456" s="1352" t="n">
        <v>0</v>
      </c>
      <c r="J456" s="1241">
        <f>+I456*H456</f>
        <v/>
      </c>
      <c r="K456" s="1254" t="n"/>
      <c r="L456" s="1241">
        <f>IF(K456&gt;I456,"ERROR",(K456*H456)*0.3+J456)</f>
        <v/>
      </c>
      <c r="M456" s="1231" t="inlineStr">
        <is>
          <t>Automatic</t>
        </is>
      </c>
      <c r="Q456" s="1215" t="n"/>
    </row>
    <row r="457" ht="12.75" customHeight="1" s="1134">
      <c r="A457" s="1255" t="inlineStr">
        <is>
          <t>twist wire cut &amp; crimp with seal both sides</t>
        </is>
      </c>
      <c r="B457" s="1256" t="inlineStr">
        <is>
          <t>Twisting Cutter
with CPS</t>
        </is>
      </c>
      <c r="C457" s="1256" t="inlineStr">
        <is>
          <t>Komax Alpha 488
PITCH 25</t>
        </is>
      </c>
      <c r="D457" s="1257" t="n">
        <v>0.22</v>
      </c>
      <c r="E457" s="1257" t="n">
        <v>2.5</v>
      </c>
      <c r="F457" s="1257" t="n">
        <v>700</v>
      </c>
      <c r="G457" s="1257" t="n">
        <v>1000</v>
      </c>
      <c r="H457" s="1347" t="n">
        <v>4.609</v>
      </c>
      <c r="I457" s="1348" t="n">
        <v>0</v>
      </c>
      <c r="J457" s="1259">
        <f>+I457*H457</f>
        <v/>
      </c>
      <c r="K457" s="1260" t="n"/>
      <c r="L457" s="1259">
        <f>IF(K457&gt;I457,"ERROR",(K457*H457)*0.1+J457)</f>
        <v/>
      </c>
      <c r="M457" s="1231" t="inlineStr">
        <is>
          <t>Automatic</t>
        </is>
      </c>
      <c r="P457" s="1343" t="n"/>
      <c r="Q457" s="1344" t="n"/>
    </row>
    <row r="458" ht="12.75" customHeight="1" s="1134">
      <c r="A458" s="1232" t="n"/>
      <c r="B458" s="1233" t="n"/>
      <c r="C458" s="1233" t="n"/>
      <c r="D458" s="1234" t="n">
        <v>0.22</v>
      </c>
      <c r="E458" s="1234" t="n">
        <v>2.5</v>
      </c>
      <c r="F458" s="1234" t="n">
        <v>1001</v>
      </c>
      <c r="G458" s="1234" t="n">
        <v>2000</v>
      </c>
      <c r="H458" s="1349" t="n">
        <v>4.939</v>
      </c>
      <c r="I458" s="1350" t="n">
        <v>0</v>
      </c>
      <c r="J458" s="1228">
        <f>+I458*H458</f>
        <v/>
      </c>
      <c r="K458" s="1251" t="n"/>
      <c r="L458" s="1228">
        <f>IF(K458&gt;I458,"ERROR",(K458*H458)*0.15+J458)</f>
        <v/>
      </c>
      <c r="M458" s="1231" t="inlineStr">
        <is>
          <t>Automatic</t>
        </is>
      </c>
      <c r="P458" s="1345" t="n"/>
      <c r="Q458" s="1215" t="n"/>
    </row>
    <row r="459" ht="12.75" customHeight="1" s="1134">
      <c r="A459" s="1232" t="n"/>
      <c r="B459" s="1233" t="n"/>
      <c r="C459" s="1233" t="n"/>
      <c r="D459" s="1234" t="n">
        <v>0.22</v>
      </c>
      <c r="E459" s="1234" t="n">
        <v>2.5</v>
      </c>
      <c r="F459" s="1234" t="n">
        <v>2001</v>
      </c>
      <c r="G459" s="1234" t="n">
        <v>3000</v>
      </c>
      <c r="H459" s="1349" t="n">
        <v>6.039</v>
      </c>
      <c r="I459" s="1350" t="n">
        <v>0</v>
      </c>
      <c r="J459" s="1228">
        <f>+I459*H459</f>
        <v/>
      </c>
      <c r="K459" s="1251" t="n"/>
      <c r="L459" s="1228">
        <f>IF(K459&gt;I459,"ERROR",(K459*H459)*0.2+J459)</f>
        <v/>
      </c>
      <c r="M459" s="1231" t="inlineStr">
        <is>
          <t>Automatic</t>
        </is>
      </c>
      <c r="P459" s="1345" t="n"/>
      <c r="Q459" s="1215" t="n"/>
    </row>
    <row r="460" ht="12.75" customHeight="1" s="1134">
      <c r="A460" s="1232" t="n"/>
      <c r="B460" s="1233" t="n"/>
      <c r="C460" s="1233" t="n"/>
      <c r="D460" s="1234" t="n">
        <v>0.22</v>
      </c>
      <c r="E460" s="1234" t="n">
        <v>2.5</v>
      </c>
      <c r="F460" s="1234" t="n">
        <v>3001</v>
      </c>
      <c r="G460" s="1234" t="n">
        <v>4000</v>
      </c>
      <c r="H460" s="1349" t="n">
        <v>7.0125</v>
      </c>
      <c r="I460" s="1350" t="n">
        <v>0</v>
      </c>
      <c r="J460" s="1228">
        <f>+I460*H460</f>
        <v/>
      </c>
      <c r="K460" s="1251" t="n"/>
      <c r="L460" s="1228">
        <f>IF(K460&gt;I460,"ERROR",(K460*H460)*0.25+J460)</f>
        <v/>
      </c>
      <c r="M460" s="1231" t="inlineStr">
        <is>
          <t>Automatic</t>
        </is>
      </c>
      <c r="Q460" s="1215" t="n"/>
    </row>
    <row r="461" ht="12.75" customHeight="1" s="1134">
      <c r="A461" s="1232" t="n"/>
      <c r="B461" s="1233" t="n"/>
      <c r="C461" s="1233" t="n"/>
      <c r="D461" s="1234" t="n">
        <v>0.22</v>
      </c>
      <c r="E461" s="1234" t="n">
        <v>2.5</v>
      </c>
      <c r="F461" s="1234" t="n">
        <v>4001</v>
      </c>
      <c r="G461" s="1234" t="n">
        <v>5000</v>
      </c>
      <c r="H461" s="1349" t="n">
        <v>7.9915</v>
      </c>
      <c r="I461" s="1350" t="n">
        <v>0</v>
      </c>
      <c r="J461" s="1228">
        <f>+I461*H461</f>
        <v/>
      </c>
      <c r="K461" s="1251" t="n"/>
      <c r="L461" s="1228">
        <f>IF(K461&gt;I461,"ERROR",(K461*H461)*0.3+J461)</f>
        <v/>
      </c>
      <c r="M461" s="1231" t="inlineStr">
        <is>
          <t>Automatic</t>
        </is>
      </c>
      <c r="Q461" s="1215" t="n"/>
    </row>
    <row r="462" ht="12.75" customHeight="1" s="1134">
      <c r="A462" s="1232" t="n"/>
      <c r="B462" s="1233" t="n"/>
      <c r="C462" s="1233" t="n"/>
      <c r="D462" s="1234" t="n">
        <v>0.22</v>
      </c>
      <c r="E462" s="1234" t="n">
        <v>2.5</v>
      </c>
      <c r="F462" s="1234" t="n">
        <v>5001</v>
      </c>
      <c r="G462" s="1234" t="n">
        <v>6000</v>
      </c>
      <c r="H462" s="1349" t="n">
        <v>8.943</v>
      </c>
      <c r="I462" s="1350" t="n">
        <v>0</v>
      </c>
      <c r="J462" s="1228">
        <f>+I462*H462</f>
        <v/>
      </c>
      <c r="K462" s="1251" t="n"/>
      <c r="L462" s="1228">
        <f>IF(K462&gt;I462,"ERROR",(K462*H462)*0.3+J462)</f>
        <v/>
      </c>
      <c r="M462" s="1231" t="inlineStr">
        <is>
          <t>Automatic</t>
        </is>
      </c>
      <c r="Q462" s="1215" t="n"/>
    </row>
    <row r="463" ht="13.5" customHeight="1" s="1134">
      <c r="A463" s="1236" t="n"/>
      <c r="B463" s="1237" t="n"/>
      <c r="C463" s="1237" t="n"/>
      <c r="D463" s="1238" t="n">
        <v>0.22</v>
      </c>
      <c r="E463" s="1238" t="n">
        <v>2.5</v>
      </c>
      <c r="F463" s="1238" t="n">
        <v>6001</v>
      </c>
      <c r="G463" s="1238" t="n">
        <v>7000</v>
      </c>
      <c r="H463" s="1351" t="n">
        <v>9.9825</v>
      </c>
      <c r="I463" s="1352" t="n">
        <v>0</v>
      </c>
      <c r="J463" s="1241">
        <f>+I463*H463</f>
        <v/>
      </c>
      <c r="K463" s="1254" t="n"/>
      <c r="L463" s="1241">
        <f>IF(K463&gt;I463,"ERROR",(K463*H463)*0.3+J463)</f>
        <v/>
      </c>
      <c r="M463" s="1231" t="inlineStr">
        <is>
          <t>Automatic</t>
        </is>
      </c>
      <c r="Q463" s="1215" t="n"/>
    </row>
    <row r="464" ht="12.75" customHeight="1" s="1134">
      <c r="A464" s="1255" t="inlineStr">
        <is>
          <t>twist wire cut &amp; crimp with seal both sides</t>
        </is>
      </c>
      <c r="B464" s="1256" t="inlineStr">
        <is>
          <t>Twisting Cutter</t>
        </is>
      </c>
      <c r="C464" s="1256" t="inlineStr">
        <is>
          <t>Komax Alpha 488
PITCH 30</t>
        </is>
      </c>
      <c r="D464" s="1257" t="n">
        <v>0.22</v>
      </c>
      <c r="E464" s="1257" t="n">
        <v>2.5</v>
      </c>
      <c r="F464" s="1257" t="n">
        <v>700</v>
      </c>
      <c r="G464" s="1257" t="n">
        <v>1000</v>
      </c>
      <c r="H464" s="1342" t="n">
        <v>4.11</v>
      </c>
      <c r="I464" s="1258" t="n">
        <v>0</v>
      </c>
      <c r="J464" s="1259">
        <f>+I464*H464</f>
        <v/>
      </c>
      <c r="K464" s="1260" t="n"/>
      <c r="L464" s="1259">
        <f>IF(K464&gt;I464,"ERROR",(K464*H464)*0.1+J464)</f>
        <v/>
      </c>
      <c r="M464" s="1231" t="inlineStr">
        <is>
          <t>Automatic</t>
        </is>
      </c>
      <c r="P464" s="1343" t="n"/>
      <c r="Q464" s="1344" t="n"/>
    </row>
    <row r="465" ht="12.75" customHeight="1" s="1134">
      <c r="A465" s="1232" t="n"/>
      <c r="B465" s="1233" t="n"/>
      <c r="C465" s="1233" t="n"/>
      <c r="D465" s="1234" t="n">
        <v>0.22</v>
      </c>
      <c r="E465" s="1234" t="n">
        <v>2.5</v>
      </c>
      <c r="F465" s="1234" t="n">
        <v>1001</v>
      </c>
      <c r="G465" s="1234" t="n">
        <v>2000</v>
      </c>
      <c r="H465" s="1226" t="n">
        <v>4.28</v>
      </c>
      <c r="I465" s="1250" t="n">
        <v>0</v>
      </c>
      <c r="J465" s="1228">
        <f>+I465*H465</f>
        <v/>
      </c>
      <c r="K465" s="1251" t="n"/>
      <c r="L465" s="1228">
        <f>IF(K465&gt;I465,"ERROR",(K465*H465)*0.15+J465)</f>
        <v/>
      </c>
      <c r="M465" s="1231" t="inlineStr">
        <is>
          <t>Automatic</t>
        </is>
      </c>
      <c r="P465" s="1345" t="n"/>
      <c r="Q465" s="1215" t="n"/>
    </row>
    <row r="466" ht="12.75" customHeight="1" s="1134">
      <c r="A466" s="1232" t="n"/>
      <c r="B466" s="1233" t="n"/>
      <c r="C466" s="1233" t="n"/>
      <c r="D466" s="1234" t="n">
        <v>0.22</v>
      </c>
      <c r="E466" s="1234" t="n">
        <v>2.5</v>
      </c>
      <c r="F466" s="1234" t="n">
        <v>2001</v>
      </c>
      <c r="G466" s="1234" t="n">
        <v>3000</v>
      </c>
      <c r="H466" s="1226" t="n">
        <v>5.03</v>
      </c>
      <c r="I466" s="1250" t="n">
        <v>0</v>
      </c>
      <c r="J466" s="1228">
        <f>+I466*H466</f>
        <v/>
      </c>
      <c r="K466" s="1251" t="n"/>
      <c r="L466" s="1228">
        <f>IF(K466&gt;I466,"ERROR",(K466*H466)*0.2+J466)</f>
        <v/>
      </c>
      <c r="M466" s="1231" t="inlineStr">
        <is>
          <t>Automatic</t>
        </is>
      </c>
      <c r="P466" s="1345" t="n"/>
      <c r="Q466" s="1215" t="n"/>
    </row>
    <row r="467" ht="12.75" customHeight="1" s="1134">
      <c r="A467" s="1232" t="n"/>
      <c r="B467" s="1233" t="n"/>
      <c r="C467" s="1233" t="n"/>
      <c r="D467" s="1234" t="n">
        <v>0.22</v>
      </c>
      <c r="E467" s="1234" t="n">
        <v>2.5</v>
      </c>
      <c r="F467" s="1234" t="n">
        <v>3001</v>
      </c>
      <c r="G467" s="1234" t="n">
        <v>4000</v>
      </c>
      <c r="H467" s="1226" t="n">
        <v>5.83</v>
      </c>
      <c r="I467" s="1250" t="n">
        <v>0</v>
      </c>
      <c r="J467" s="1228">
        <f>+I467*H467</f>
        <v/>
      </c>
      <c r="K467" s="1251" t="n"/>
      <c r="L467" s="1228">
        <f>IF(K467&gt;I467,"ERROR",(K467*H467)*0.25+J467)</f>
        <v/>
      </c>
      <c r="M467" s="1231" t="inlineStr">
        <is>
          <t>Automatic</t>
        </is>
      </c>
      <c r="Q467" s="1215" t="n"/>
    </row>
    <row r="468" ht="12.75" customHeight="1" s="1134">
      <c r="A468" s="1232" t="n"/>
      <c r="B468" s="1233" t="n"/>
      <c r="C468" s="1233" t="n"/>
      <c r="D468" s="1234" t="n">
        <v>0.22</v>
      </c>
      <c r="E468" s="1234" t="n">
        <v>2.5</v>
      </c>
      <c r="F468" s="1234" t="n">
        <v>4001</v>
      </c>
      <c r="G468" s="1234" t="n">
        <v>5000</v>
      </c>
      <c r="H468" s="1226" t="n">
        <v>6.55</v>
      </c>
      <c r="I468" s="1250" t="n">
        <v>0</v>
      </c>
      <c r="J468" s="1228">
        <f>+I468*H468</f>
        <v/>
      </c>
      <c r="K468" s="1251" t="n"/>
      <c r="L468" s="1228">
        <f>IF(K468&gt;I468,"ERROR",(K468*H468)*0.3+J468)</f>
        <v/>
      </c>
      <c r="M468" s="1231" t="inlineStr">
        <is>
          <t>Automatic</t>
        </is>
      </c>
      <c r="Q468" s="1215" t="n"/>
    </row>
    <row r="469" ht="12.75" customHeight="1" s="1134">
      <c r="A469" s="1232" t="n"/>
      <c r="B469" s="1233" t="n"/>
      <c r="C469" s="1233" t="n"/>
      <c r="D469" s="1234" t="n">
        <v>0.22</v>
      </c>
      <c r="E469" s="1234" t="n">
        <v>2.5</v>
      </c>
      <c r="F469" s="1234" t="n">
        <v>5001</v>
      </c>
      <c r="G469" s="1234" t="n">
        <v>6000</v>
      </c>
      <c r="H469" s="1226" t="n">
        <v>7.26</v>
      </c>
      <c r="I469" s="1250" t="n">
        <v>0</v>
      </c>
      <c r="J469" s="1228">
        <f>+I469*H469</f>
        <v/>
      </c>
      <c r="K469" s="1251" t="n"/>
      <c r="L469" s="1228">
        <f>IF(K469&gt;I469,"ERROR",(K469*H469)*0.3+J469)</f>
        <v/>
      </c>
      <c r="M469" s="1231" t="inlineStr">
        <is>
          <t>Automatic</t>
        </is>
      </c>
      <c r="Q469" s="1215" t="n"/>
    </row>
    <row r="470" ht="13.5" customHeight="1" s="1134">
      <c r="A470" s="1236" t="n"/>
      <c r="B470" s="1237" t="n"/>
      <c r="C470" s="1237" t="n"/>
      <c r="D470" s="1238" t="n">
        <v>0.22</v>
      </c>
      <c r="E470" s="1238" t="n">
        <v>2.5</v>
      </c>
      <c r="F470" s="1238" t="n">
        <v>6001</v>
      </c>
      <c r="G470" s="1238" t="n">
        <v>7000</v>
      </c>
      <c r="H470" s="1239" t="n">
        <v>8.09</v>
      </c>
      <c r="I470" s="1346" t="n">
        <v>0</v>
      </c>
      <c r="J470" s="1241">
        <f>+I470*H470</f>
        <v/>
      </c>
      <c r="K470" s="1254" t="n"/>
      <c r="L470" s="1241">
        <f>IF(K470&gt;I470,"ERROR",(K470*H470)*0.3+J470)</f>
        <v/>
      </c>
      <c r="M470" s="1231" t="inlineStr">
        <is>
          <t>Automatic</t>
        </is>
      </c>
      <c r="Q470" s="1215" t="n"/>
    </row>
    <row r="471" ht="12.75" customHeight="1" s="1134">
      <c r="A471" s="1255" t="inlineStr">
        <is>
          <t>twist wire cut &amp; crimp with seal both sides</t>
        </is>
      </c>
      <c r="B471" s="1256" t="inlineStr">
        <is>
          <t>Twisting Cutter
with CPS</t>
        </is>
      </c>
      <c r="C471" s="1256" t="inlineStr">
        <is>
          <t>Komax Alpha 488
PITCH 30</t>
        </is>
      </c>
      <c r="D471" s="1257" t="n">
        <v>0.22</v>
      </c>
      <c r="E471" s="1257" t="n">
        <v>2.5</v>
      </c>
      <c r="F471" s="1257" t="n">
        <v>700</v>
      </c>
      <c r="G471" s="1257" t="n">
        <v>1000</v>
      </c>
      <c r="H471" s="1226" t="n">
        <v>4.521</v>
      </c>
      <c r="I471" s="1258" t="n">
        <v>0</v>
      </c>
      <c r="J471" s="1259">
        <f>+I471*H471</f>
        <v/>
      </c>
      <c r="K471" s="1260" t="n"/>
      <c r="L471" s="1259">
        <f>IF(K471&gt;I471,"ERROR",(K471*H471)*0.1+J471)</f>
        <v/>
      </c>
      <c r="M471" s="1231" t="inlineStr">
        <is>
          <t>Automatic</t>
        </is>
      </c>
      <c r="P471" s="1343" t="n"/>
      <c r="Q471" s="1344" t="n"/>
    </row>
    <row r="472" ht="12.75" customHeight="1" s="1134">
      <c r="A472" s="1232" t="n"/>
      <c r="B472" s="1233" t="n"/>
      <c r="C472" s="1233" t="n"/>
      <c r="D472" s="1234" t="n">
        <v>0.22</v>
      </c>
      <c r="E472" s="1234" t="n">
        <v>2.5</v>
      </c>
      <c r="F472" s="1234" t="n">
        <v>1001</v>
      </c>
      <c r="G472" s="1234" t="n">
        <v>2000</v>
      </c>
      <c r="H472" s="1226" t="n">
        <v>4.708</v>
      </c>
      <c r="I472" s="1250" t="n">
        <v>0</v>
      </c>
      <c r="J472" s="1228">
        <f>+I472*H472</f>
        <v/>
      </c>
      <c r="K472" s="1251" t="n"/>
      <c r="L472" s="1228">
        <f>IF(K472&gt;I472,"ERROR",(K472*H472)*0.15+J472)</f>
        <v/>
      </c>
      <c r="M472" s="1231" t="inlineStr">
        <is>
          <t>Automatic</t>
        </is>
      </c>
      <c r="P472" s="1345" t="n"/>
      <c r="Q472" s="1215" t="n"/>
    </row>
    <row r="473" ht="12.75" customHeight="1" s="1134">
      <c r="A473" s="1232" t="n"/>
      <c r="B473" s="1233" t="n"/>
      <c r="C473" s="1233" t="n"/>
      <c r="D473" s="1234" t="n">
        <v>0.22</v>
      </c>
      <c r="E473" s="1234" t="n">
        <v>2.5</v>
      </c>
      <c r="F473" s="1234" t="n">
        <v>2001</v>
      </c>
      <c r="G473" s="1234" t="n">
        <v>3000</v>
      </c>
      <c r="H473" s="1226" t="n">
        <v>5.533</v>
      </c>
      <c r="I473" s="1250" t="n">
        <v>0</v>
      </c>
      <c r="J473" s="1228">
        <f>+I473*H473</f>
        <v/>
      </c>
      <c r="K473" s="1251" t="n"/>
      <c r="L473" s="1228">
        <f>IF(K473&gt;I473,"ERROR",(K473*H473)*0.2+J473)</f>
        <v/>
      </c>
      <c r="M473" s="1231" t="inlineStr">
        <is>
          <t>Automatic</t>
        </is>
      </c>
      <c r="P473" s="1345" t="n"/>
      <c r="Q473" s="1215" t="n"/>
    </row>
    <row r="474" ht="12.75" customHeight="1" s="1134">
      <c r="A474" s="1232" t="n"/>
      <c r="B474" s="1233" t="n"/>
      <c r="C474" s="1233" t="n"/>
      <c r="D474" s="1234" t="n">
        <v>0.22</v>
      </c>
      <c r="E474" s="1234" t="n">
        <v>2.5</v>
      </c>
      <c r="F474" s="1234" t="n">
        <v>3001</v>
      </c>
      <c r="G474" s="1234" t="n">
        <v>4000</v>
      </c>
      <c r="H474" s="1226" t="n">
        <v>6.413</v>
      </c>
      <c r="I474" s="1250" t="n">
        <v>0</v>
      </c>
      <c r="J474" s="1228">
        <f>+I474*H474</f>
        <v/>
      </c>
      <c r="K474" s="1251" t="n"/>
      <c r="L474" s="1228">
        <f>IF(K474&gt;I474,"ERROR",(K474*H474)*0.25+J474)</f>
        <v/>
      </c>
      <c r="M474" s="1231" t="inlineStr">
        <is>
          <t>Automatic</t>
        </is>
      </c>
      <c r="Q474" s="1215" t="n"/>
    </row>
    <row r="475" ht="12.75" customHeight="1" s="1134">
      <c r="A475" s="1232" t="n"/>
      <c r="B475" s="1233" t="n"/>
      <c r="C475" s="1233" t="n"/>
      <c r="D475" s="1234" t="n">
        <v>0.22</v>
      </c>
      <c r="E475" s="1234" t="n">
        <v>2.5</v>
      </c>
      <c r="F475" s="1234" t="n">
        <v>4001</v>
      </c>
      <c r="G475" s="1234" t="n">
        <v>5000</v>
      </c>
      <c r="H475" s="1226" t="n">
        <v>7.205</v>
      </c>
      <c r="I475" s="1250" t="n">
        <v>0</v>
      </c>
      <c r="J475" s="1228">
        <f>+I475*H475</f>
        <v/>
      </c>
      <c r="K475" s="1251" t="n"/>
      <c r="L475" s="1228">
        <f>IF(K475&gt;I475,"ERROR",(K475*H475)*0.3+J475)</f>
        <v/>
      </c>
      <c r="M475" s="1231" t="inlineStr">
        <is>
          <t>Automatic</t>
        </is>
      </c>
      <c r="Q475" s="1215" t="n"/>
    </row>
    <row r="476" ht="12.75" customHeight="1" s="1134">
      <c r="A476" s="1232" t="n"/>
      <c r="B476" s="1233" t="n"/>
      <c r="C476" s="1233" t="n"/>
      <c r="D476" s="1234" t="n">
        <v>0.22</v>
      </c>
      <c r="E476" s="1234" t="n">
        <v>2.5</v>
      </c>
      <c r="F476" s="1234" t="n">
        <v>5001</v>
      </c>
      <c r="G476" s="1234" t="n">
        <v>6000</v>
      </c>
      <c r="H476" s="1226" t="n">
        <v>7.986</v>
      </c>
      <c r="I476" s="1250" t="n">
        <v>0</v>
      </c>
      <c r="J476" s="1228">
        <f>+I476*H476</f>
        <v/>
      </c>
      <c r="K476" s="1251" t="n"/>
      <c r="L476" s="1228">
        <f>IF(K476&gt;I476,"ERROR",(K476*H476)*0.3+J476)</f>
        <v/>
      </c>
      <c r="M476" s="1231" t="inlineStr">
        <is>
          <t>Automatic</t>
        </is>
      </c>
      <c r="Q476" s="1215" t="n"/>
    </row>
    <row r="477" ht="13.5" customHeight="1" s="1134">
      <c r="A477" s="1236" t="n"/>
      <c r="B477" s="1237" t="n"/>
      <c r="C477" s="1237" t="n"/>
      <c r="D477" s="1238" t="n">
        <v>0.22</v>
      </c>
      <c r="E477" s="1238" t="n">
        <v>2.5</v>
      </c>
      <c r="F477" s="1238" t="n">
        <v>6001</v>
      </c>
      <c r="G477" s="1238" t="n">
        <v>7000</v>
      </c>
      <c r="H477" s="1226" t="n">
        <v>8.898999999999999</v>
      </c>
      <c r="I477" s="1346" t="n">
        <v>0</v>
      </c>
      <c r="J477" s="1241">
        <f>+I477*H477</f>
        <v/>
      </c>
      <c r="K477" s="1254" t="n"/>
      <c r="L477" s="1241">
        <f>IF(K477&gt;I477,"ERROR",(K477*H477)*0.3+J477)</f>
        <v/>
      </c>
      <c r="M477" s="1231" t="inlineStr">
        <is>
          <t>Automatic</t>
        </is>
      </c>
      <c r="Q477" s="1215" t="n"/>
    </row>
    <row r="478" ht="12.75" customHeight="1" s="1134">
      <c r="A478" s="1255" t="inlineStr">
        <is>
          <t>convoluted tube cutting</t>
        </is>
      </c>
      <c r="B478" s="1256" t="inlineStr">
        <is>
          <t>Conduit Cutter</t>
        </is>
      </c>
      <c r="C478" s="1256" t="inlineStr">
        <is>
          <t>ULMER SM 152P</t>
        </is>
      </c>
      <c r="D478" s="1257" t="n">
        <v>2.8</v>
      </c>
      <c r="E478" s="1257" t="n">
        <v>40</v>
      </c>
      <c r="F478" s="1257" t="n">
        <v>0</v>
      </c>
      <c r="G478" s="1257" t="n">
        <v>200</v>
      </c>
      <c r="H478" s="1342" t="n">
        <v>0.72</v>
      </c>
      <c r="I478" s="1258" t="n">
        <v>0</v>
      </c>
      <c r="J478" s="1259">
        <f>+I478*H478</f>
        <v/>
      </c>
      <c r="K478" s="1276" t="n"/>
      <c r="L478" s="1277">
        <f>J478</f>
        <v/>
      </c>
      <c r="M478" s="1231" t="inlineStr">
        <is>
          <t>Automatic</t>
        </is>
      </c>
      <c r="Q478" s="1215" t="n"/>
    </row>
    <row r="479" ht="12.75" customHeight="1" s="1134">
      <c r="A479" s="1232" t="n"/>
      <c r="B479" s="1233" t="n"/>
      <c r="C479" s="1233" t="n"/>
      <c r="D479" s="1234" t="n">
        <v>2.8</v>
      </c>
      <c r="E479" s="1234" t="n">
        <v>40</v>
      </c>
      <c r="F479" s="1234" t="n">
        <v>201</v>
      </c>
      <c r="G479" s="1234" t="n">
        <v>400</v>
      </c>
      <c r="H479" s="1226" t="n">
        <v>0.78</v>
      </c>
      <c r="I479" s="1250" t="n">
        <v>0</v>
      </c>
      <c r="J479" s="1228">
        <f>+I479*H479</f>
        <v/>
      </c>
      <c r="K479" s="1280" t="n"/>
      <c r="L479" s="1281">
        <f>J479</f>
        <v/>
      </c>
      <c r="M479" s="1231" t="inlineStr">
        <is>
          <t>Automatic</t>
        </is>
      </c>
      <c r="Q479" s="1215" t="n"/>
    </row>
    <row r="480" ht="12.75" customHeight="1" s="1134">
      <c r="A480" s="1232" t="n"/>
      <c r="B480" s="1233" t="n"/>
      <c r="C480" s="1233" t="n"/>
      <c r="D480" s="1234" t="n">
        <v>2.8</v>
      </c>
      <c r="E480" s="1234" t="n">
        <v>40</v>
      </c>
      <c r="F480" s="1234" t="n">
        <v>401</v>
      </c>
      <c r="G480" s="1234" t="n">
        <v>600</v>
      </c>
      <c r="H480" s="1226" t="n">
        <v>0.96</v>
      </c>
      <c r="I480" s="1250" t="n">
        <v>0</v>
      </c>
      <c r="J480" s="1228">
        <f>+I480*H480</f>
        <v/>
      </c>
      <c r="K480" s="1280" t="n"/>
      <c r="L480" s="1281">
        <f>J480</f>
        <v/>
      </c>
      <c r="M480" s="1231" t="inlineStr">
        <is>
          <t>Automatic</t>
        </is>
      </c>
      <c r="Q480" s="1215" t="n"/>
    </row>
    <row r="481" ht="12.75" customHeight="1" s="1134">
      <c r="A481" s="1232" t="n"/>
      <c r="B481" s="1233" t="n"/>
      <c r="C481" s="1233" t="n"/>
      <c r="D481" s="1234" t="n">
        <v>2.8</v>
      </c>
      <c r="E481" s="1234" t="n">
        <v>40</v>
      </c>
      <c r="F481" s="1234" t="n">
        <v>601</v>
      </c>
      <c r="G481" s="1234" t="n">
        <v>800</v>
      </c>
      <c r="H481" s="1226" t="n">
        <v>1.14</v>
      </c>
      <c r="I481" s="1250" t="n">
        <v>0</v>
      </c>
      <c r="J481" s="1228">
        <f>+I481*H481</f>
        <v/>
      </c>
      <c r="K481" s="1280" t="n"/>
      <c r="L481" s="1281">
        <f>J481</f>
        <v/>
      </c>
      <c r="M481" s="1231" t="inlineStr">
        <is>
          <t>Automatic</t>
        </is>
      </c>
      <c r="Q481" s="1215" t="n"/>
    </row>
    <row r="482" ht="12.75" customHeight="1" s="1134">
      <c r="A482" s="1232" t="n"/>
      <c r="B482" s="1233" t="n"/>
      <c r="C482" s="1233" t="n"/>
      <c r="D482" s="1234" t="n">
        <v>2.8</v>
      </c>
      <c r="E482" s="1234" t="n">
        <v>40</v>
      </c>
      <c r="F482" s="1234" t="n">
        <v>801</v>
      </c>
      <c r="G482" s="1234" t="n">
        <v>1000</v>
      </c>
      <c r="H482" s="1226" t="n">
        <v>1.26</v>
      </c>
      <c r="I482" s="1250" t="n">
        <v>0</v>
      </c>
      <c r="J482" s="1228">
        <f>+I482*H482</f>
        <v/>
      </c>
      <c r="K482" s="1280" t="n"/>
      <c r="L482" s="1281">
        <f>J482</f>
        <v/>
      </c>
      <c r="M482" s="1231" t="inlineStr">
        <is>
          <t>Automatic</t>
        </is>
      </c>
      <c r="Q482" s="1215" t="n"/>
    </row>
    <row r="483" ht="12.75" customHeight="1" s="1134">
      <c r="A483" s="1232" t="n"/>
      <c r="B483" s="1233" t="n"/>
      <c r="C483" s="1233" t="n"/>
      <c r="D483" s="1234" t="n">
        <v>2.8</v>
      </c>
      <c r="E483" s="1234" t="n">
        <v>40</v>
      </c>
      <c r="F483" s="1234" t="n">
        <v>1001</v>
      </c>
      <c r="G483" s="1234" t="n">
        <v>1200</v>
      </c>
      <c r="H483" s="1226" t="n">
        <v>1.5</v>
      </c>
      <c r="I483" s="1250" t="n">
        <v>0</v>
      </c>
      <c r="J483" s="1228">
        <f>+I483*H483</f>
        <v/>
      </c>
      <c r="K483" s="1280" t="n"/>
      <c r="L483" s="1281">
        <f>J483</f>
        <v/>
      </c>
      <c r="M483" s="1231" t="inlineStr">
        <is>
          <t>Automatic</t>
        </is>
      </c>
      <c r="Q483" s="1215" t="n"/>
    </row>
    <row r="484" ht="12.75" customHeight="1" s="1134">
      <c r="A484" s="1232" t="n"/>
      <c r="B484" s="1233" t="n"/>
      <c r="C484" s="1233" t="n"/>
      <c r="D484" s="1234" t="n">
        <v>2.8</v>
      </c>
      <c r="E484" s="1234" t="n">
        <v>40</v>
      </c>
      <c r="F484" s="1234" t="n">
        <v>1201</v>
      </c>
      <c r="G484" s="1234" t="n">
        <v>1400</v>
      </c>
      <c r="H484" s="1226" t="n">
        <v>1.74</v>
      </c>
      <c r="I484" s="1250" t="n">
        <v>0</v>
      </c>
      <c r="J484" s="1228">
        <f>+I484*H484</f>
        <v/>
      </c>
      <c r="K484" s="1280" t="n"/>
      <c r="L484" s="1281">
        <f>J484</f>
        <v/>
      </c>
      <c r="M484" s="1231" t="inlineStr">
        <is>
          <t>Automatic</t>
        </is>
      </c>
      <c r="Q484" s="1215" t="n"/>
    </row>
    <row r="485" ht="12.75" customHeight="1" s="1134">
      <c r="A485" s="1232" t="n"/>
      <c r="B485" s="1233" t="n"/>
      <c r="C485" s="1233" t="n"/>
      <c r="D485" s="1234" t="n">
        <v>2.8</v>
      </c>
      <c r="E485" s="1234" t="n">
        <v>40</v>
      </c>
      <c r="F485" s="1234" t="n">
        <v>1401</v>
      </c>
      <c r="G485" s="1234" t="n">
        <v>1600</v>
      </c>
      <c r="H485" s="1226" t="n">
        <v>1.98</v>
      </c>
      <c r="I485" s="1250" t="n">
        <v>0</v>
      </c>
      <c r="J485" s="1228">
        <f>+I485*H485</f>
        <v/>
      </c>
      <c r="K485" s="1280" t="n"/>
      <c r="L485" s="1281">
        <f>J485</f>
        <v/>
      </c>
      <c r="M485" s="1231" t="inlineStr">
        <is>
          <t>Automatic</t>
        </is>
      </c>
      <c r="Q485" s="1215" t="n"/>
    </row>
    <row r="486" ht="12.75" customHeight="1" s="1134">
      <c r="A486" s="1232" t="n"/>
      <c r="B486" s="1233" t="n"/>
      <c r="C486" s="1233" t="n"/>
      <c r="D486" s="1234" t="n">
        <v>2.8</v>
      </c>
      <c r="E486" s="1234" t="n">
        <v>40</v>
      </c>
      <c r="F486" s="1234" t="n">
        <v>1601</v>
      </c>
      <c r="G486" s="1234" t="n">
        <v>1800</v>
      </c>
      <c r="H486" s="1226" t="n">
        <v>2.22</v>
      </c>
      <c r="I486" s="1250" t="n">
        <v>0</v>
      </c>
      <c r="J486" s="1228">
        <f>+I486*H486</f>
        <v/>
      </c>
      <c r="K486" s="1280" t="n"/>
      <c r="L486" s="1281">
        <f>J486</f>
        <v/>
      </c>
      <c r="M486" s="1231" t="inlineStr">
        <is>
          <t>Automatic</t>
        </is>
      </c>
      <c r="Q486" s="1215" t="n"/>
    </row>
    <row r="487" ht="12.75" customHeight="1" s="1134">
      <c r="A487" s="1232" t="n"/>
      <c r="B487" s="1233" t="n"/>
      <c r="C487" s="1233" t="n"/>
      <c r="D487" s="1234" t="n">
        <v>2.8</v>
      </c>
      <c r="E487" s="1234" t="n">
        <v>40</v>
      </c>
      <c r="F487" s="1234" t="n">
        <v>1801</v>
      </c>
      <c r="G487" s="1234" t="n">
        <v>2000</v>
      </c>
      <c r="H487" s="1226" t="n">
        <v>2.46</v>
      </c>
      <c r="I487" s="1250" t="n">
        <v>0</v>
      </c>
      <c r="J487" s="1228">
        <f>+I487*H487</f>
        <v/>
      </c>
      <c r="K487" s="1280" t="n"/>
      <c r="L487" s="1281">
        <f>J487</f>
        <v/>
      </c>
      <c r="M487" s="1231" t="inlineStr">
        <is>
          <t>Automatic</t>
        </is>
      </c>
      <c r="Q487" s="1215" t="n"/>
    </row>
    <row r="488" ht="12.75" customHeight="1" s="1134">
      <c r="A488" s="1232" t="n"/>
      <c r="B488" s="1233" t="n"/>
      <c r="C488" s="1233" t="n"/>
      <c r="D488" s="1234" t="n">
        <v>2.8</v>
      </c>
      <c r="E488" s="1234" t="n">
        <v>40</v>
      </c>
      <c r="F488" s="1234" t="n">
        <v>2001</v>
      </c>
      <c r="G488" s="1234" t="n">
        <v>2200</v>
      </c>
      <c r="H488" s="1226" t="n">
        <v>2.7</v>
      </c>
      <c r="I488" s="1250" t="n">
        <v>0</v>
      </c>
      <c r="J488" s="1228">
        <f>+I488*H488</f>
        <v/>
      </c>
      <c r="K488" s="1280" t="n"/>
      <c r="L488" s="1281">
        <f>J488</f>
        <v/>
      </c>
      <c r="M488" s="1231" t="inlineStr">
        <is>
          <t>Automatic</t>
        </is>
      </c>
      <c r="Q488" s="1215" t="n"/>
    </row>
    <row r="489" ht="12.75" customHeight="1" s="1134">
      <c r="A489" s="1232" t="n"/>
      <c r="B489" s="1233" t="n"/>
      <c r="C489" s="1233" t="n"/>
      <c r="D489" s="1234" t="n">
        <v>2.8</v>
      </c>
      <c r="E489" s="1234" t="n">
        <v>40</v>
      </c>
      <c r="F489" s="1234" t="n">
        <v>2201</v>
      </c>
      <c r="G489" s="1234" t="n">
        <v>2400</v>
      </c>
      <c r="H489" s="1226" t="n">
        <v>2.94</v>
      </c>
      <c r="I489" s="1250" t="n">
        <v>0</v>
      </c>
      <c r="J489" s="1228">
        <f>+I489*H489</f>
        <v/>
      </c>
      <c r="K489" s="1280" t="n"/>
      <c r="L489" s="1281">
        <f>J489</f>
        <v/>
      </c>
      <c r="M489" s="1231" t="inlineStr">
        <is>
          <t>Automatic</t>
        </is>
      </c>
      <c r="Q489" s="1215" t="n"/>
    </row>
    <row r="490" ht="12.75" customHeight="1" s="1134">
      <c r="A490" s="1232" t="n"/>
      <c r="B490" s="1233" t="n"/>
      <c r="C490" s="1233" t="n"/>
      <c r="D490" s="1234" t="n">
        <v>2.8</v>
      </c>
      <c r="E490" s="1234" t="n">
        <v>40</v>
      </c>
      <c r="F490" s="1234" t="n">
        <v>2401</v>
      </c>
      <c r="G490" s="1234" t="n">
        <v>2600</v>
      </c>
      <c r="H490" s="1226" t="n">
        <v>3.18</v>
      </c>
      <c r="I490" s="1250" t="n">
        <v>0</v>
      </c>
      <c r="J490" s="1228">
        <f>+I490*H490</f>
        <v/>
      </c>
      <c r="K490" s="1280" t="n"/>
      <c r="L490" s="1281">
        <f>J490</f>
        <v/>
      </c>
      <c r="M490" s="1231" t="inlineStr">
        <is>
          <t>Automatic</t>
        </is>
      </c>
      <c r="Q490" s="1215" t="n"/>
    </row>
    <row r="491" ht="12.75" customHeight="1" s="1134">
      <c r="A491" s="1232" t="n"/>
      <c r="B491" s="1233" t="n"/>
      <c r="C491" s="1233" t="n"/>
      <c r="D491" s="1234" t="n">
        <v>2.8</v>
      </c>
      <c r="E491" s="1234" t="n">
        <v>40</v>
      </c>
      <c r="F491" s="1234" t="n">
        <v>2601</v>
      </c>
      <c r="G491" s="1234" t="n">
        <v>2800</v>
      </c>
      <c r="H491" s="1226" t="n">
        <v>3.42</v>
      </c>
      <c r="I491" s="1250" t="n">
        <v>0</v>
      </c>
      <c r="J491" s="1228">
        <f>+I491*H491</f>
        <v/>
      </c>
      <c r="K491" s="1280" t="n"/>
      <c r="L491" s="1281">
        <f>J491</f>
        <v/>
      </c>
      <c r="M491" s="1231" t="inlineStr">
        <is>
          <t>Automatic</t>
        </is>
      </c>
      <c r="Q491" s="1215" t="n"/>
    </row>
    <row r="492" ht="12.75" customHeight="1" s="1134">
      <c r="A492" s="1232" t="n"/>
      <c r="B492" s="1233" t="n"/>
      <c r="C492" s="1233" t="n"/>
      <c r="D492" s="1234" t="n">
        <v>2.8</v>
      </c>
      <c r="E492" s="1234" t="n">
        <v>40</v>
      </c>
      <c r="F492" s="1264" t="n">
        <v>2801</v>
      </c>
      <c r="G492" s="1264" t="n">
        <v>3000</v>
      </c>
      <c r="H492" s="1261" t="n">
        <v>3.66</v>
      </c>
      <c r="I492" s="1262" t="n">
        <v>0</v>
      </c>
      <c r="J492" s="1265">
        <f>+I492*H492</f>
        <v/>
      </c>
      <c r="K492" s="1282" t="n"/>
      <c r="L492" s="1353">
        <f>J492</f>
        <v/>
      </c>
      <c r="M492" s="1231" t="inlineStr">
        <is>
          <t>Automatic</t>
        </is>
      </c>
      <c r="Q492" s="1215" t="n"/>
    </row>
    <row r="493" ht="12.75" customHeight="1" s="1134">
      <c r="A493" s="1232" t="n"/>
      <c r="B493" s="1233" t="n"/>
      <c r="C493" s="1233" t="n"/>
      <c r="D493" s="1234" t="n">
        <v>2.8</v>
      </c>
      <c r="E493" s="1234" t="n">
        <v>40</v>
      </c>
      <c r="F493" s="1234" t="n">
        <v>3001</v>
      </c>
      <c r="G493" s="1234" t="n">
        <v>3200</v>
      </c>
      <c r="H493" s="1261">
        <f>0.24+H492</f>
        <v/>
      </c>
      <c r="I493" s="1262" t="n">
        <v>0</v>
      </c>
      <c r="J493" s="1265">
        <f>+I493*H493</f>
        <v/>
      </c>
      <c r="K493" s="1282" t="n"/>
      <c r="L493" s="1353">
        <f>J493</f>
        <v/>
      </c>
      <c r="M493" s="1231" t="inlineStr">
        <is>
          <t>Automatic</t>
        </is>
      </c>
      <c r="Q493" s="1215" t="n"/>
    </row>
    <row r="494" ht="12.75" customHeight="1" s="1134">
      <c r="A494" s="1232" t="n"/>
      <c r="B494" s="1233" t="n"/>
      <c r="C494" s="1233" t="n"/>
      <c r="D494" s="1234" t="n">
        <v>2.8</v>
      </c>
      <c r="E494" s="1234" t="n">
        <v>40</v>
      </c>
      <c r="F494" s="1264" t="n">
        <v>3201</v>
      </c>
      <c r="G494" s="1264" t="n">
        <v>3400</v>
      </c>
      <c r="H494" s="1261">
        <f>0.24+H493</f>
        <v/>
      </c>
      <c r="I494" s="1262" t="n">
        <v>0</v>
      </c>
      <c r="J494" s="1265">
        <f>+I494*H494</f>
        <v/>
      </c>
      <c r="K494" s="1282" t="n"/>
      <c r="L494" s="1353">
        <f>J494</f>
        <v/>
      </c>
      <c r="M494" s="1231" t="inlineStr">
        <is>
          <t>Automatic</t>
        </is>
      </c>
      <c r="Q494" s="1215" t="n"/>
    </row>
    <row r="495" ht="12.75" customHeight="1" s="1134">
      <c r="A495" s="1232" t="n"/>
      <c r="B495" s="1233" t="n"/>
      <c r="C495" s="1233" t="n"/>
      <c r="D495" s="1234" t="n">
        <v>2.8</v>
      </c>
      <c r="E495" s="1234" t="n">
        <v>40</v>
      </c>
      <c r="F495" s="1234" t="n">
        <v>3401</v>
      </c>
      <c r="G495" s="1234" t="n">
        <v>3600</v>
      </c>
      <c r="H495" s="1261">
        <f>0.24+H494</f>
        <v/>
      </c>
      <c r="I495" s="1262" t="n">
        <v>0</v>
      </c>
      <c r="J495" s="1265">
        <f>+I495*H495</f>
        <v/>
      </c>
      <c r="K495" s="1282" t="n"/>
      <c r="L495" s="1353">
        <f>J495</f>
        <v/>
      </c>
      <c r="M495" s="1231" t="inlineStr">
        <is>
          <t>Automatic</t>
        </is>
      </c>
      <c r="Q495" s="1215" t="n"/>
    </row>
    <row r="496" ht="12.75" customHeight="1" s="1134">
      <c r="A496" s="1232" t="n"/>
      <c r="B496" s="1233" t="n"/>
      <c r="C496" s="1233" t="n"/>
      <c r="D496" s="1234" t="n">
        <v>2.8</v>
      </c>
      <c r="E496" s="1234" t="n">
        <v>40</v>
      </c>
      <c r="F496" s="1264" t="n">
        <v>3601</v>
      </c>
      <c r="G496" s="1264" t="n">
        <v>3800</v>
      </c>
      <c r="H496" s="1261">
        <f>0.24+H495</f>
        <v/>
      </c>
      <c r="I496" s="1262" t="n">
        <v>0</v>
      </c>
      <c r="J496" s="1265">
        <f>+I496*H496</f>
        <v/>
      </c>
      <c r="K496" s="1282" t="n"/>
      <c r="L496" s="1353">
        <f>J496</f>
        <v/>
      </c>
      <c r="M496" s="1231" t="inlineStr">
        <is>
          <t>Automatic</t>
        </is>
      </c>
      <c r="Q496" s="1215" t="n"/>
    </row>
    <row r="497" ht="12.75" customHeight="1" s="1134">
      <c r="A497" s="1232" t="n"/>
      <c r="B497" s="1233" t="n"/>
      <c r="C497" s="1233" t="n"/>
      <c r="D497" s="1234" t="n">
        <v>2.8</v>
      </c>
      <c r="E497" s="1234" t="n">
        <v>40</v>
      </c>
      <c r="F497" s="1234" t="n">
        <v>3801</v>
      </c>
      <c r="G497" s="1234" t="n">
        <v>4000</v>
      </c>
      <c r="H497" s="1261">
        <f>0.24+H496</f>
        <v/>
      </c>
      <c r="I497" s="1262" t="n">
        <v>0</v>
      </c>
      <c r="J497" s="1265">
        <f>+I497*H497</f>
        <v/>
      </c>
      <c r="K497" s="1282" t="n"/>
      <c r="L497" s="1353">
        <f>J497</f>
        <v/>
      </c>
      <c r="M497" s="1231" t="inlineStr">
        <is>
          <t>Automatic</t>
        </is>
      </c>
      <c r="Q497" s="1215" t="n"/>
    </row>
    <row r="498" ht="12.75" customHeight="1" s="1134">
      <c r="A498" s="1232" t="n"/>
      <c r="B498" s="1233" t="n"/>
      <c r="C498" s="1233" t="n"/>
      <c r="D498" s="1234" t="n">
        <v>2.8</v>
      </c>
      <c r="E498" s="1234" t="n">
        <v>40</v>
      </c>
      <c r="F498" s="1264" t="n">
        <v>4001</v>
      </c>
      <c r="G498" s="1264" t="n">
        <v>4200</v>
      </c>
      <c r="H498" s="1261">
        <f>0.24+H497</f>
        <v/>
      </c>
      <c r="I498" s="1262" t="n">
        <v>0</v>
      </c>
      <c r="J498" s="1265">
        <f>+I498*H498</f>
        <v/>
      </c>
      <c r="K498" s="1282" t="n"/>
      <c r="L498" s="1353">
        <f>J498</f>
        <v/>
      </c>
      <c r="M498" s="1231" t="inlineStr">
        <is>
          <t>Automatic</t>
        </is>
      </c>
      <c r="Q498" s="1215" t="n"/>
    </row>
    <row r="499" ht="12.75" customHeight="1" s="1134">
      <c r="A499" s="1232" t="n"/>
      <c r="B499" s="1233" t="n"/>
      <c r="C499" s="1233" t="n"/>
      <c r="D499" s="1234" t="n">
        <v>2.8</v>
      </c>
      <c r="E499" s="1234" t="n">
        <v>40</v>
      </c>
      <c r="F499" s="1234" t="n">
        <v>4201</v>
      </c>
      <c r="G499" s="1234" t="n">
        <v>4400</v>
      </c>
      <c r="H499" s="1261">
        <f>0.24+H498</f>
        <v/>
      </c>
      <c r="I499" s="1262" t="n">
        <v>0</v>
      </c>
      <c r="J499" s="1265">
        <f>+I499*H499</f>
        <v/>
      </c>
      <c r="K499" s="1282" t="n"/>
      <c r="L499" s="1353">
        <f>J499</f>
        <v/>
      </c>
      <c r="M499" s="1231" t="inlineStr">
        <is>
          <t>Automatic</t>
        </is>
      </c>
      <c r="Q499" s="1215" t="n"/>
    </row>
    <row r="500" ht="12.75" customHeight="1" s="1134">
      <c r="A500" s="1232" t="n"/>
      <c r="B500" s="1233" t="n"/>
      <c r="C500" s="1233" t="n"/>
      <c r="D500" s="1234" t="n">
        <v>2.8</v>
      </c>
      <c r="E500" s="1234" t="n">
        <v>40</v>
      </c>
      <c r="F500" s="1264" t="n">
        <v>4401</v>
      </c>
      <c r="G500" s="1264" t="n">
        <v>4600</v>
      </c>
      <c r="H500" s="1261">
        <f>0.24+H499</f>
        <v/>
      </c>
      <c r="I500" s="1262" t="n">
        <v>0</v>
      </c>
      <c r="J500" s="1265">
        <f>+I500*H500</f>
        <v/>
      </c>
      <c r="K500" s="1282" t="n"/>
      <c r="L500" s="1353">
        <f>J500</f>
        <v/>
      </c>
      <c r="M500" s="1231" t="inlineStr">
        <is>
          <t>Automatic</t>
        </is>
      </c>
      <c r="Q500" s="1215" t="n"/>
    </row>
    <row r="501" ht="12.75" customHeight="1" s="1134">
      <c r="A501" s="1232" t="n"/>
      <c r="B501" s="1233" t="n"/>
      <c r="C501" s="1233" t="n"/>
      <c r="D501" s="1234" t="n">
        <v>2.8</v>
      </c>
      <c r="E501" s="1234" t="n">
        <v>40</v>
      </c>
      <c r="F501" s="1234" t="n">
        <v>4601</v>
      </c>
      <c r="G501" s="1234" t="n">
        <v>4800</v>
      </c>
      <c r="H501" s="1261">
        <f>0.24+H500</f>
        <v/>
      </c>
      <c r="I501" s="1262" t="n">
        <v>0</v>
      </c>
      <c r="J501" s="1265">
        <f>+I501*H501</f>
        <v/>
      </c>
      <c r="K501" s="1282" t="n"/>
      <c r="L501" s="1353">
        <f>J501</f>
        <v/>
      </c>
      <c r="M501" s="1231" t="inlineStr">
        <is>
          <t>Automatic</t>
        </is>
      </c>
      <c r="Q501" s="1215" t="n"/>
    </row>
    <row r="502" ht="12.75" customHeight="1" s="1134">
      <c r="A502" s="1232" t="n"/>
      <c r="B502" s="1233" t="n"/>
      <c r="C502" s="1233" t="n"/>
      <c r="D502" s="1234" t="n">
        <v>2.8</v>
      </c>
      <c r="E502" s="1234" t="n">
        <v>40</v>
      </c>
      <c r="F502" s="1264" t="n">
        <v>4801</v>
      </c>
      <c r="G502" s="1264" t="n">
        <v>5000</v>
      </c>
      <c r="H502" s="1261">
        <f>0.24+H501</f>
        <v/>
      </c>
      <c r="I502" s="1262" t="n">
        <v>0</v>
      </c>
      <c r="J502" s="1265">
        <f>+I502*H502</f>
        <v/>
      </c>
      <c r="K502" s="1282" t="n"/>
      <c r="L502" s="1353">
        <f>J502</f>
        <v/>
      </c>
      <c r="M502" s="1231" t="inlineStr">
        <is>
          <t>Automatic</t>
        </is>
      </c>
      <c r="Q502" s="1215" t="n"/>
    </row>
    <row r="503" ht="12.75" customHeight="1" s="1134">
      <c r="A503" s="1232" t="n"/>
      <c r="B503" s="1233" t="n"/>
      <c r="C503" s="1233" t="n"/>
      <c r="D503" s="1234" t="n">
        <v>2.8</v>
      </c>
      <c r="E503" s="1234" t="n">
        <v>40</v>
      </c>
      <c r="F503" s="1234" t="n">
        <v>5001</v>
      </c>
      <c r="G503" s="1234" t="n">
        <v>5200</v>
      </c>
      <c r="H503" s="1261">
        <f>0.24+H502</f>
        <v/>
      </c>
      <c r="I503" s="1262" t="n">
        <v>0</v>
      </c>
      <c r="J503" s="1265">
        <f>+I503*H503</f>
        <v/>
      </c>
      <c r="K503" s="1282" t="n"/>
      <c r="L503" s="1353">
        <f>J503</f>
        <v/>
      </c>
      <c r="M503" s="1231" t="inlineStr">
        <is>
          <t>Automatic</t>
        </is>
      </c>
      <c r="Q503" s="1215" t="n"/>
    </row>
    <row r="504" ht="12.75" customHeight="1" s="1134">
      <c r="A504" s="1232" t="n"/>
      <c r="B504" s="1233" t="n"/>
      <c r="C504" s="1233" t="n"/>
      <c r="D504" s="1234" t="n">
        <v>2.8</v>
      </c>
      <c r="E504" s="1234" t="n">
        <v>40</v>
      </c>
      <c r="F504" s="1264" t="n">
        <v>5201</v>
      </c>
      <c r="G504" s="1264" t="n">
        <v>5400</v>
      </c>
      <c r="H504" s="1261">
        <f>0.24+H503</f>
        <v/>
      </c>
      <c r="I504" s="1262" t="n">
        <v>0</v>
      </c>
      <c r="J504" s="1265">
        <f>+I504*H504</f>
        <v/>
      </c>
      <c r="K504" s="1282" t="n"/>
      <c r="L504" s="1353">
        <f>J504</f>
        <v/>
      </c>
      <c r="M504" s="1231" t="inlineStr">
        <is>
          <t>Automatic</t>
        </is>
      </c>
      <c r="Q504" s="1215" t="n"/>
    </row>
    <row r="505" ht="12.75" customHeight="1" s="1134">
      <c r="A505" s="1232" t="n"/>
      <c r="B505" s="1233" t="n"/>
      <c r="C505" s="1233" t="n"/>
      <c r="D505" s="1234" t="n">
        <v>2.8</v>
      </c>
      <c r="E505" s="1234" t="n">
        <v>40</v>
      </c>
      <c r="F505" s="1234" t="n">
        <v>5401</v>
      </c>
      <c r="G505" s="1234" t="n">
        <v>5600</v>
      </c>
      <c r="H505" s="1261">
        <f>0.24+H504</f>
        <v/>
      </c>
      <c r="I505" s="1262" t="n">
        <v>0</v>
      </c>
      <c r="J505" s="1265">
        <f>+I505*H505</f>
        <v/>
      </c>
      <c r="K505" s="1282" t="n"/>
      <c r="L505" s="1353">
        <f>J505</f>
        <v/>
      </c>
      <c r="M505" s="1231" t="inlineStr">
        <is>
          <t>Automatic</t>
        </is>
      </c>
      <c r="Q505" s="1215" t="n"/>
    </row>
    <row r="506" ht="12.75" customHeight="1" s="1134">
      <c r="A506" s="1232" t="n"/>
      <c r="B506" s="1233" t="n"/>
      <c r="C506" s="1233" t="n"/>
      <c r="D506" s="1234" t="n">
        <v>2.8</v>
      </c>
      <c r="E506" s="1234" t="n">
        <v>40</v>
      </c>
      <c r="F506" s="1264" t="n">
        <v>5601</v>
      </c>
      <c r="G506" s="1264" t="n">
        <v>5800</v>
      </c>
      <c r="H506" s="1261">
        <f>0.24+H505</f>
        <v/>
      </c>
      <c r="I506" s="1262" t="n">
        <v>0</v>
      </c>
      <c r="J506" s="1265">
        <f>+I506*H506</f>
        <v/>
      </c>
      <c r="K506" s="1282" t="n"/>
      <c r="L506" s="1353">
        <f>J506</f>
        <v/>
      </c>
      <c r="M506" s="1231" t="inlineStr">
        <is>
          <t>Automatic</t>
        </is>
      </c>
      <c r="Q506" s="1215" t="n"/>
    </row>
    <row r="507" ht="12.75" customHeight="1" s="1134">
      <c r="A507" s="1232" t="n"/>
      <c r="B507" s="1233" t="n"/>
      <c r="C507" s="1233" t="n"/>
      <c r="D507" s="1234" t="n">
        <v>2.8</v>
      </c>
      <c r="E507" s="1234" t="n">
        <v>40</v>
      </c>
      <c r="F507" s="1234" t="n">
        <v>5801</v>
      </c>
      <c r="G507" s="1234" t="n">
        <v>6000</v>
      </c>
      <c r="H507" s="1261">
        <f>0.24+H506</f>
        <v/>
      </c>
      <c r="I507" s="1262" t="n">
        <v>0</v>
      </c>
      <c r="J507" s="1265">
        <f>+I507*H507</f>
        <v/>
      </c>
      <c r="K507" s="1282" t="n"/>
      <c r="L507" s="1353">
        <f>J507</f>
        <v/>
      </c>
      <c r="M507" s="1231" t="inlineStr">
        <is>
          <t>Automatic</t>
        </is>
      </c>
      <c r="Q507" s="1215" t="n"/>
    </row>
    <row r="508" ht="12.75" customHeight="1" s="1134">
      <c r="A508" s="1232" t="n"/>
      <c r="B508" s="1233" t="n"/>
      <c r="C508" s="1233" t="n"/>
      <c r="D508" s="1234" t="n">
        <v>2.8</v>
      </c>
      <c r="E508" s="1234" t="n">
        <v>40</v>
      </c>
      <c r="F508" s="1264" t="n">
        <v>6001</v>
      </c>
      <c r="G508" s="1264" t="n">
        <v>6200</v>
      </c>
      <c r="H508" s="1261">
        <f>0.24+H507</f>
        <v/>
      </c>
      <c r="I508" s="1262" t="n">
        <v>0</v>
      </c>
      <c r="J508" s="1265">
        <f>+I508*H508</f>
        <v/>
      </c>
      <c r="K508" s="1282" t="n"/>
      <c r="L508" s="1353">
        <f>J508</f>
        <v/>
      </c>
      <c r="M508" s="1231" t="inlineStr">
        <is>
          <t>Automatic</t>
        </is>
      </c>
      <c r="Q508" s="1215" t="n"/>
    </row>
    <row r="509" ht="12.75" customHeight="1" s="1134">
      <c r="A509" s="1232" t="n"/>
      <c r="B509" s="1233" t="n"/>
      <c r="C509" s="1233" t="n"/>
      <c r="D509" s="1234" t="n">
        <v>2.8</v>
      </c>
      <c r="E509" s="1234" t="n">
        <v>40</v>
      </c>
      <c r="F509" s="1234" t="n">
        <v>6201</v>
      </c>
      <c r="G509" s="1234" t="n">
        <v>6400</v>
      </c>
      <c r="H509" s="1261">
        <f>0.24+H508</f>
        <v/>
      </c>
      <c r="I509" s="1262" t="n">
        <v>0</v>
      </c>
      <c r="J509" s="1265">
        <f>+I509*H509</f>
        <v/>
      </c>
      <c r="K509" s="1282" t="n"/>
      <c r="L509" s="1353">
        <f>J509</f>
        <v/>
      </c>
      <c r="M509" s="1231" t="inlineStr">
        <is>
          <t>Automatic</t>
        </is>
      </c>
      <c r="Q509" s="1215" t="n"/>
    </row>
    <row r="510" ht="12.75" customHeight="1" s="1134">
      <c r="A510" s="1232" t="n"/>
      <c r="B510" s="1233" t="n"/>
      <c r="C510" s="1233" t="n"/>
      <c r="D510" s="1234" t="n">
        <v>2.8</v>
      </c>
      <c r="E510" s="1234" t="n">
        <v>40</v>
      </c>
      <c r="F510" s="1264" t="n">
        <v>6401</v>
      </c>
      <c r="G510" s="1264" t="n">
        <v>6600</v>
      </c>
      <c r="H510" s="1261">
        <f>0.24+H509</f>
        <v/>
      </c>
      <c r="I510" s="1262" t="n">
        <v>0</v>
      </c>
      <c r="J510" s="1265">
        <f>+I510*H510</f>
        <v/>
      </c>
      <c r="K510" s="1282" t="n"/>
      <c r="L510" s="1353">
        <f>J510</f>
        <v/>
      </c>
      <c r="M510" s="1231" t="inlineStr">
        <is>
          <t>Automatic</t>
        </is>
      </c>
      <c r="Q510" s="1215" t="n"/>
    </row>
    <row r="511" ht="12.75" customHeight="1" s="1134">
      <c r="A511" s="1232" t="n"/>
      <c r="B511" s="1233" t="n"/>
      <c r="C511" s="1233" t="n"/>
      <c r="D511" s="1234" t="n">
        <v>2.8</v>
      </c>
      <c r="E511" s="1234" t="n">
        <v>40</v>
      </c>
      <c r="F511" s="1234" t="n">
        <v>6601</v>
      </c>
      <c r="G511" s="1234" t="n">
        <v>6800</v>
      </c>
      <c r="H511" s="1261">
        <f>0.24+H510</f>
        <v/>
      </c>
      <c r="I511" s="1262" t="n">
        <v>0</v>
      </c>
      <c r="J511" s="1265">
        <f>+I511*H511</f>
        <v/>
      </c>
      <c r="K511" s="1282" t="n"/>
      <c r="L511" s="1353">
        <f>J511</f>
        <v/>
      </c>
      <c r="M511" s="1231" t="inlineStr">
        <is>
          <t>Automatic</t>
        </is>
      </c>
      <c r="Q511" s="1215" t="n"/>
    </row>
    <row r="512" ht="12.75" customHeight="1" s="1134">
      <c r="A512" s="1232" t="n"/>
      <c r="B512" s="1233" t="n"/>
      <c r="C512" s="1233" t="n"/>
      <c r="D512" s="1234" t="n">
        <v>2.8</v>
      </c>
      <c r="E512" s="1234" t="n">
        <v>40</v>
      </c>
      <c r="F512" s="1264" t="n">
        <v>6801</v>
      </c>
      <c r="G512" s="1264" t="n">
        <v>7000</v>
      </c>
      <c r="H512" s="1261">
        <f>0.24+H511</f>
        <v/>
      </c>
      <c r="I512" s="1262" t="n">
        <v>0</v>
      </c>
      <c r="J512" s="1265">
        <f>+I512*H512</f>
        <v/>
      </c>
      <c r="K512" s="1282" t="n"/>
      <c r="L512" s="1353">
        <f>J512</f>
        <v/>
      </c>
      <c r="M512" s="1231" t="inlineStr">
        <is>
          <t>Automatic</t>
        </is>
      </c>
      <c r="Q512" s="1215" t="n"/>
    </row>
    <row r="513" ht="12.75" customHeight="1" s="1134">
      <c r="A513" s="1232" t="n"/>
      <c r="B513" s="1233" t="n"/>
      <c r="C513" s="1233" t="n"/>
      <c r="D513" s="1234" t="n">
        <v>2.8</v>
      </c>
      <c r="E513" s="1234" t="n">
        <v>40</v>
      </c>
      <c r="F513" s="1234" t="n">
        <v>7001</v>
      </c>
      <c r="G513" s="1234" t="n">
        <v>7200</v>
      </c>
      <c r="H513" s="1261">
        <f>0.24+H512</f>
        <v/>
      </c>
      <c r="I513" s="1262" t="n">
        <v>0</v>
      </c>
      <c r="J513" s="1265">
        <f>+I513*H513</f>
        <v/>
      </c>
      <c r="K513" s="1282" t="n"/>
      <c r="L513" s="1353">
        <f>J513</f>
        <v/>
      </c>
      <c r="M513" s="1231" t="inlineStr">
        <is>
          <t>Automatic</t>
        </is>
      </c>
      <c r="Q513" s="1215" t="n"/>
    </row>
    <row r="514" ht="12.75" customHeight="1" s="1134">
      <c r="A514" s="1232" t="n"/>
      <c r="B514" s="1233" t="n"/>
      <c r="C514" s="1233" t="n"/>
      <c r="D514" s="1234" t="n">
        <v>2.8</v>
      </c>
      <c r="E514" s="1234" t="n">
        <v>40</v>
      </c>
      <c r="F514" s="1264" t="n">
        <v>7201</v>
      </c>
      <c r="G514" s="1264" t="n">
        <v>7400</v>
      </c>
      <c r="H514" s="1261">
        <f>0.24+H513</f>
        <v/>
      </c>
      <c r="I514" s="1262" t="n">
        <v>0</v>
      </c>
      <c r="J514" s="1265">
        <f>+I514*H514</f>
        <v/>
      </c>
      <c r="K514" s="1282" t="n"/>
      <c r="L514" s="1353">
        <f>J514</f>
        <v/>
      </c>
      <c r="M514" s="1231" t="inlineStr">
        <is>
          <t>Automatic</t>
        </is>
      </c>
      <c r="Q514" s="1215" t="n"/>
    </row>
    <row r="515" ht="12.75" customHeight="1" s="1134">
      <c r="A515" s="1232" t="n"/>
      <c r="B515" s="1233" t="n"/>
      <c r="C515" s="1233" t="n"/>
      <c r="D515" s="1234" t="n">
        <v>2.8</v>
      </c>
      <c r="E515" s="1234" t="n">
        <v>40</v>
      </c>
      <c r="F515" s="1234" t="n">
        <v>7401</v>
      </c>
      <c r="G515" s="1234" t="n">
        <v>7600</v>
      </c>
      <c r="H515" s="1261">
        <f>0.24+H514</f>
        <v/>
      </c>
      <c r="I515" s="1262" t="n">
        <v>0</v>
      </c>
      <c r="J515" s="1265">
        <f>+I515*H515</f>
        <v/>
      </c>
      <c r="K515" s="1282" t="n"/>
      <c r="L515" s="1353">
        <f>J515</f>
        <v/>
      </c>
      <c r="M515" s="1231" t="inlineStr">
        <is>
          <t>Automatic</t>
        </is>
      </c>
      <c r="Q515" s="1215" t="n"/>
    </row>
    <row r="516" ht="12.75" customHeight="1" s="1134">
      <c r="A516" s="1232" t="n"/>
      <c r="B516" s="1233" t="n"/>
      <c r="C516" s="1233" t="n"/>
      <c r="D516" s="1234" t="n">
        <v>2.8</v>
      </c>
      <c r="E516" s="1234" t="n">
        <v>40</v>
      </c>
      <c r="F516" s="1264" t="n">
        <v>7601</v>
      </c>
      <c r="G516" s="1264" t="n">
        <v>7800</v>
      </c>
      <c r="H516" s="1261">
        <f>0.24+H515</f>
        <v/>
      </c>
      <c r="I516" s="1262" t="n">
        <v>0</v>
      </c>
      <c r="J516" s="1265">
        <f>+I516*H516</f>
        <v/>
      </c>
      <c r="K516" s="1282" t="n"/>
      <c r="L516" s="1353">
        <f>J516</f>
        <v/>
      </c>
      <c r="M516" s="1231" t="inlineStr">
        <is>
          <t>Automatic</t>
        </is>
      </c>
      <c r="Q516" s="1215" t="n"/>
    </row>
    <row r="517" ht="12.75" customHeight="1" s="1134">
      <c r="A517" s="1232" t="n"/>
      <c r="B517" s="1233" t="n"/>
      <c r="C517" s="1233" t="n"/>
      <c r="D517" s="1234" t="n">
        <v>2.8</v>
      </c>
      <c r="E517" s="1234" t="n">
        <v>40</v>
      </c>
      <c r="F517" s="1234" t="n">
        <v>7801</v>
      </c>
      <c r="G517" s="1234" t="n">
        <v>8000</v>
      </c>
      <c r="H517" s="1261">
        <f>0.24+H516</f>
        <v/>
      </c>
      <c r="I517" s="1262" t="n">
        <v>0</v>
      </c>
      <c r="J517" s="1265">
        <f>+I517*H517</f>
        <v/>
      </c>
      <c r="K517" s="1282" t="n"/>
      <c r="L517" s="1353">
        <f>J517</f>
        <v/>
      </c>
      <c r="M517" s="1231" t="inlineStr">
        <is>
          <t>Automatic</t>
        </is>
      </c>
      <c r="Q517" s="1215" t="n"/>
    </row>
    <row r="518" ht="12.75" customHeight="1" s="1134">
      <c r="A518" s="1232" t="n"/>
      <c r="B518" s="1233" t="n"/>
      <c r="C518" s="1233" t="n"/>
      <c r="D518" s="1234" t="n">
        <v>2.8</v>
      </c>
      <c r="E518" s="1234" t="n">
        <v>40</v>
      </c>
      <c r="F518" s="1264" t="n">
        <v>8001</v>
      </c>
      <c r="G518" s="1264" t="n">
        <v>8200</v>
      </c>
      <c r="H518" s="1261">
        <f>0.24+H517</f>
        <v/>
      </c>
      <c r="I518" s="1262" t="n">
        <v>0</v>
      </c>
      <c r="J518" s="1265">
        <f>+I518*H518</f>
        <v/>
      </c>
      <c r="K518" s="1282" t="n"/>
      <c r="L518" s="1353">
        <f>J518</f>
        <v/>
      </c>
      <c r="M518" s="1231" t="inlineStr">
        <is>
          <t>Automatic</t>
        </is>
      </c>
      <c r="Q518" s="1215" t="n"/>
    </row>
    <row r="519" ht="12.75" customHeight="1" s="1134">
      <c r="A519" s="1232" t="n"/>
      <c r="B519" s="1233" t="n"/>
      <c r="C519" s="1233" t="n"/>
      <c r="D519" s="1234" t="n">
        <v>2.8</v>
      </c>
      <c r="E519" s="1234" t="n">
        <v>40</v>
      </c>
      <c r="F519" s="1234" t="n">
        <v>8201</v>
      </c>
      <c r="G519" s="1234" t="n">
        <v>8400</v>
      </c>
      <c r="H519" s="1261">
        <f>0.24+H518</f>
        <v/>
      </c>
      <c r="I519" s="1262" t="n">
        <v>0</v>
      </c>
      <c r="J519" s="1265">
        <f>+I519*H519</f>
        <v/>
      </c>
      <c r="K519" s="1282" t="n"/>
      <c r="L519" s="1353">
        <f>J519</f>
        <v/>
      </c>
      <c r="M519" s="1231" t="inlineStr">
        <is>
          <t>Automatic</t>
        </is>
      </c>
      <c r="Q519" s="1215" t="n"/>
    </row>
    <row r="520" ht="12.75" customHeight="1" s="1134">
      <c r="A520" s="1232" t="n"/>
      <c r="B520" s="1233" t="n"/>
      <c r="C520" s="1233" t="n"/>
      <c r="D520" s="1234" t="n">
        <v>2.8</v>
      </c>
      <c r="E520" s="1234" t="n">
        <v>40</v>
      </c>
      <c r="F520" s="1264" t="n">
        <v>8401</v>
      </c>
      <c r="G520" s="1264" t="n">
        <v>8600</v>
      </c>
      <c r="H520" s="1261">
        <f>0.24+H519</f>
        <v/>
      </c>
      <c r="I520" s="1262" t="n">
        <v>0</v>
      </c>
      <c r="J520" s="1265">
        <f>+I520*H520</f>
        <v/>
      </c>
      <c r="K520" s="1282" t="n"/>
      <c r="L520" s="1353">
        <f>J520</f>
        <v/>
      </c>
      <c r="M520" s="1231" t="inlineStr">
        <is>
          <t>Automatic</t>
        </is>
      </c>
      <c r="Q520" s="1215" t="n"/>
    </row>
    <row r="521" ht="12.75" customHeight="1" s="1134">
      <c r="A521" s="1232" t="n"/>
      <c r="B521" s="1233" t="n"/>
      <c r="C521" s="1233" t="n"/>
      <c r="D521" s="1234" t="n">
        <v>2.8</v>
      </c>
      <c r="E521" s="1234" t="n">
        <v>40</v>
      </c>
      <c r="F521" s="1234" t="n">
        <v>8601</v>
      </c>
      <c r="G521" s="1234" t="n">
        <v>8800</v>
      </c>
      <c r="H521" s="1261">
        <f>0.24+H520</f>
        <v/>
      </c>
      <c r="I521" s="1262" t="n">
        <v>0</v>
      </c>
      <c r="J521" s="1265">
        <f>+I521*H521</f>
        <v/>
      </c>
      <c r="K521" s="1282" t="n"/>
      <c r="L521" s="1353">
        <f>J521</f>
        <v/>
      </c>
      <c r="M521" s="1231" t="inlineStr">
        <is>
          <t>Automatic</t>
        </is>
      </c>
      <c r="Q521" s="1215" t="n"/>
    </row>
    <row r="522" ht="12.75" customHeight="1" s="1134">
      <c r="A522" s="1232" t="n"/>
      <c r="B522" s="1233" t="n"/>
      <c r="C522" s="1233" t="n"/>
      <c r="D522" s="1234" t="n">
        <v>2.8</v>
      </c>
      <c r="E522" s="1234" t="n">
        <v>40</v>
      </c>
      <c r="F522" s="1264" t="n">
        <v>8801</v>
      </c>
      <c r="G522" s="1264" t="n">
        <v>9000</v>
      </c>
      <c r="H522" s="1261">
        <f>0.24+H521</f>
        <v/>
      </c>
      <c r="I522" s="1262" t="n">
        <v>0</v>
      </c>
      <c r="J522" s="1265">
        <f>+I522*H522</f>
        <v/>
      </c>
      <c r="K522" s="1282" t="n"/>
      <c r="L522" s="1353">
        <f>J522</f>
        <v/>
      </c>
      <c r="M522" s="1231" t="inlineStr">
        <is>
          <t>Automatic</t>
        </is>
      </c>
      <c r="Q522" s="1215" t="n"/>
    </row>
    <row r="523" ht="12.75" customHeight="1" s="1134">
      <c r="A523" s="1232" t="n"/>
      <c r="B523" s="1233" t="n"/>
      <c r="C523" s="1233" t="n"/>
      <c r="D523" s="1234" t="n">
        <v>2.8</v>
      </c>
      <c r="E523" s="1234" t="n">
        <v>40</v>
      </c>
      <c r="F523" s="1234" t="n">
        <v>9001</v>
      </c>
      <c r="G523" s="1234" t="n">
        <v>9200</v>
      </c>
      <c r="H523" s="1261">
        <f>0.24+H522</f>
        <v/>
      </c>
      <c r="I523" s="1262" t="n">
        <v>0</v>
      </c>
      <c r="J523" s="1265">
        <f>+I523*H523</f>
        <v/>
      </c>
      <c r="K523" s="1282" t="n"/>
      <c r="L523" s="1353">
        <f>J523</f>
        <v/>
      </c>
      <c r="M523" s="1231" t="inlineStr">
        <is>
          <t>Automatic</t>
        </is>
      </c>
      <c r="Q523" s="1215" t="n"/>
    </row>
    <row r="524" ht="12.75" customHeight="1" s="1134">
      <c r="A524" s="1232" t="n"/>
      <c r="B524" s="1233" t="n"/>
      <c r="C524" s="1233" t="n"/>
      <c r="D524" s="1234" t="n">
        <v>2.8</v>
      </c>
      <c r="E524" s="1234" t="n">
        <v>40</v>
      </c>
      <c r="F524" s="1264" t="n">
        <v>9201</v>
      </c>
      <c r="G524" s="1264" t="n">
        <v>9400</v>
      </c>
      <c r="H524" s="1261">
        <f>0.24+H523</f>
        <v/>
      </c>
      <c r="I524" s="1262" t="n">
        <v>0</v>
      </c>
      <c r="J524" s="1265">
        <f>+I524*H524</f>
        <v/>
      </c>
      <c r="K524" s="1282" t="n"/>
      <c r="L524" s="1353">
        <f>J524</f>
        <v/>
      </c>
      <c r="M524" s="1231" t="inlineStr">
        <is>
          <t>Automatic</t>
        </is>
      </c>
      <c r="Q524" s="1215" t="n"/>
    </row>
    <row r="525" ht="12.75" customHeight="1" s="1134">
      <c r="A525" s="1232" t="n"/>
      <c r="B525" s="1233" t="n"/>
      <c r="C525" s="1233" t="n"/>
      <c r="D525" s="1234" t="n">
        <v>2.8</v>
      </c>
      <c r="E525" s="1234" t="n">
        <v>40</v>
      </c>
      <c r="F525" s="1234" t="n">
        <v>9401</v>
      </c>
      <c r="G525" s="1234" t="n">
        <v>9600</v>
      </c>
      <c r="H525" s="1261">
        <f>0.24+H524</f>
        <v/>
      </c>
      <c r="I525" s="1262" t="n">
        <v>0</v>
      </c>
      <c r="J525" s="1265">
        <f>+I525*H525</f>
        <v/>
      </c>
      <c r="K525" s="1282" t="n"/>
      <c r="L525" s="1353">
        <f>J525</f>
        <v/>
      </c>
      <c r="M525" s="1231" t="inlineStr">
        <is>
          <t>Automatic</t>
        </is>
      </c>
      <c r="Q525" s="1215" t="n"/>
    </row>
    <row r="526" ht="12.75" customHeight="1" s="1134">
      <c r="A526" s="1232" t="n"/>
      <c r="B526" s="1233" t="n"/>
      <c r="C526" s="1233" t="n"/>
      <c r="D526" s="1234" t="n">
        <v>2.8</v>
      </c>
      <c r="E526" s="1234" t="n">
        <v>40</v>
      </c>
      <c r="F526" s="1264" t="n">
        <v>9601</v>
      </c>
      <c r="G526" s="1264" t="n">
        <v>9800</v>
      </c>
      <c r="H526" s="1261">
        <f>0.24+H525</f>
        <v/>
      </c>
      <c r="I526" s="1262" t="n">
        <v>0</v>
      </c>
      <c r="J526" s="1265">
        <f>+I526*H526</f>
        <v/>
      </c>
      <c r="K526" s="1282" t="n"/>
      <c r="L526" s="1353">
        <f>J526</f>
        <v/>
      </c>
      <c r="M526" s="1231" t="inlineStr">
        <is>
          <t>Automatic</t>
        </is>
      </c>
      <c r="Q526" s="1215" t="n"/>
    </row>
    <row r="527" ht="12.75" customHeight="1" s="1134">
      <c r="A527" s="1232" t="n"/>
      <c r="B527" s="1233" t="n"/>
      <c r="C527" s="1233" t="n"/>
      <c r="D527" s="1264" t="n">
        <v>2.8</v>
      </c>
      <c r="E527" s="1264" t="n">
        <v>40</v>
      </c>
      <c r="F527" s="1234" t="n">
        <v>9801</v>
      </c>
      <c r="G527" s="1234" t="n">
        <v>10000</v>
      </c>
      <c r="H527" s="1261">
        <f>0.24+H526</f>
        <v/>
      </c>
      <c r="I527" s="1262" t="n">
        <v>0</v>
      </c>
      <c r="J527" s="1265">
        <f>+I527*H527</f>
        <v/>
      </c>
      <c r="K527" s="1282" t="n"/>
      <c r="L527" s="1353">
        <f>J527</f>
        <v/>
      </c>
      <c r="M527" s="1231" t="inlineStr">
        <is>
          <t>Automatic</t>
        </is>
      </c>
      <c r="Q527" s="1215" t="n"/>
    </row>
    <row r="528" ht="12.75" customHeight="1" s="1134">
      <c r="A528" s="1232" t="n"/>
      <c r="B528" s="1233" t="n"/>
      <c r="C528" s="1233" t="n"/>
      <c r="D528" s="1264" t="n"/>
      <c r="E528" s="1264" t="n"/>
      <c r="F528" s="1264" t="n"/>
      <c r="G528" s="1264" t="n"/>
      <c r="H528" s="1261" t="n"/>
      <c r="I528" s="1263" t="n"/>
      <c r="J528" s="1265">
        <f>+I528*H528</f>
        <v/>
      </c>
      <c r="K528" s="1282" t="n"/>
      <c r="L528" s="1353">
        <f>J528</f>
        <v/>
      </c>
      <c r="Q528" s="1215" t="n"/>
    </row>
    <row r="529" ht="12.75" customHeight="1" s="1134">
      <c r="A529" s="1232" t="n"/>
      <c r="B529" s="1233" t="n"/>
      <c r="C529" s="1233" t="n"/>
      <c r="D529" s="1264" t="n"/>
      <c r="E529" s="1264" t="n"/>
      <c r="F529" s="1264" t="n"/>
      <c r="G529" s="1264" t="n"/>
      <c r="H529" s="1261" t="n"/>
      <c r="I529" s="1263" t="n"/>
      <c r="J529" s="1265">
        <f>+I529*H529</f>
        <v/>
      </c>
      <c r="K529" s="1282" t="n"/>
      <c r="L529" s="1353">
        <f>J529</f>
        <v/>
      </c>
      <c r="Q529" s="1215" t="n"/>
    </row>
    <row r="530" ht="12.75" customHeight="1" s="1134">
      <c r="A530" s="1232" t="n"/>
      <c r="B530" s="1233" t="n"/>
      <c r="C530" s="1233" t="n"/>
      <c r="D530" s="1264" t="n"/>
      <c r="E530" s="1264" t="n"/>
      <c r="F530" s="1264" t="n"/>
      <c r="G530" s="1264" t="n"/>
      <c r="H530" s="1261" t="n"/>
      <c r="I530" s="1263" t="n"/>
      <c r="J530" s="1265">
        <f>+I530*H530</f>
        <v/>
      </c>
      <c r="K530" s="1282" t="n"/>
      <c r="L530" s="1353">
        <f>J530</f>
        <v/>
      </c>
      <c r="Q530" s="1215" t="n"/>
    </row>
    <row r="531" ht="12.75" customHeight="1" s="1134">
      <c r="A531" s="1232" t="n"/>
      <c r="B531" s="1233" t="n"/>
      <c r="C531" s="1233" t="n"/>
      <c r="D531" s="1264" t="n"/>
      <c r="E531" s="1264" t="n"/>
      <c r="F531" s="1264" t="n"/>
      <c r="G531" s="1264" t="n"/>
      <c r="H531" s="1261" t="n"/>
      <c r="I531" s="1263" t="n"/>
      <c r="J531" s="1265">
        <f>+I531*H531</f>
        <v/>
      </c>
      <c r="K531" s="1282" t="n"/>
      <c r="L531" s="1353">
        <f>J531</f>
        <v/>
      </c>
      <c r="Q531" s="1215" t="n"/>
    </row>
    <row r="532" ht="13.5" customHeight="1" s="1134">
      <c r="A532" s="1236" t="n"/>
      <c r="B532" s="1237" t="n"/>
      <c r="C532" s="1237" t="n"/>
      <c r="D532" s="1238" t="n"/>
      <c r="E532" s="1238" t="n"/>
      <c r="F532" s="1238" t="n"/>
      <c r="G532" s="1238" t="n"/>
      <c r="H532" s="1239" t="n"/>
      <c r="I532" s="1253" t="n"/>
      <c r="J532" s="1241">
        <f>+I532*H532</f>
        <v/>
      </c>
      <c r="K532" s="1354" t="n"/>
      <c r="L532" s="1355">
        <f>J532</f>
        <v/>
      </c>
      <c r="Q532" s="1215" t="n"/>
    </row>
    <row r="533" ht="12.75" customHeight="1" s="1134">
      <c r="A533" s="1255" t="inlineStr">
        <is>
          <t>convoluted tube cutting - on the wave</t>
        </is>
      </c>
      <c r="B533" s="1256" t="inlineStr">
        <is>
          <t>Conduit Cutter-On wave</t>
        </is>
      </c>
      <c r="C533" s="1256" t="inlineStr">
        <is>
          <t xml:space="preserve">Considered the METZNER CT 4150 for global </t>
        </is>
      </c>
      <c r="D533" s="1257" t="n">
        <v>4.5</v>
      </c>
      <c r="E533" s="1257" t="n">
        <v>60</v>
      </c>
      <c r="F533" s="1257" t="n">
        <v>0</v>
      </c>
      <c r="G533" s="1257" t="n">
        <v>100</v>
      </c>
      <c r="H533" s="1342" t="n">
        <v>1.27</v>
      </c>
      <c r="I533" s="1258" t="n">
        <v>0</v>
      </c>
      <c r="J533" s="1259">
        <f>+I533*H533</f>
        <v/>
      </c>
      <c r="K533" s="1276" t="n"/>
      <c r="L533" s="1277">
        <f>J533</f>
        <v/>
      </c>
      <c r="M533" s="1231" t="inlineStr">
        <is>
          <t>Automatic</t>
        </is>
      </c>
      <c r="Q533" s="1215" t="n"/>
    </row>
    <row r="534" ht="12.75" customHeight="1" s="1134">
      <c r="A534" s="1232" t="n"/>
      <c r="B534" s="1233" t="n"/>
      <c r="C534" s="1233" t="n"/>
      <c r="D534" s="1234" t="n">
        <v>4.5</v>
      </c>
      <c r="E534" s="1234" t="n">
        <v>60</v>
      </c>
      <c r="F534" s="1234" t="n">
        <v>101</v>
      </c>
      <c r="G534" s="1234" t="n">
        <v>200</v>
      </c>
      <c r="H534" s="1226" t="n">
        <v>1.39</v>
      </c>
      <c r="I534" s="1250" t="n">
        <v>0</v>
      </c>
      <c r="J534" s="1228">
        <f>+I534*H534</f>
        <v/>
      </c>
      <c r="K534" s="1280" t="n"/>
      <c r="L534" s="1281">
        <f>J534</f>
        <v/>
      </c>
      <c r="M534" s="1231" t="inlineStr">
        <is>
          <t>Automatic</t>
        </is>
      </c>
      <c r="Q534" s="1215" t="n"/>
    </row>
    <row r="535" ht="12.75" customHeight="1" s="1134">
      <c r="A535" s="1232" t="n"/>
      <c r="B535" s="1233" t="n"/>
      <c r="C535" s="1233" t="n"/>
      <c r="D535" s="1234" t="n">
        <v>4.5</v>
      </c>
      <c r="E535" s="1234" t="n">
        <v>60</v>
      </c>
      <c r="F535" s="1234" t="n">
        <v>201</v>
      </c>
      <c r="G535" s="1234" t="n">
        <v>300</v>
      </c>
      <c r="H535" s="1226" t="n">
        <v>1.77</v>
      </c>
      <c r="I535" s="1250" t="n">
        <v>0</v>
      </c>
      <c r="J535" s="1228">
        <f>+I535*H535</f>
        <v/>
      </c>
      <c r="K535" s="1280" t="n"/>
      <c r="L535" s="1281">
        <f>J535</f>
        <v/>
      </c>
      <c r="M535" s="1231" t="inlineStr">
        <is>
          <t>Automatic</t>
        </is>
      </c>
      <c r="Q535" s="1215" t="n"/>
    </row>
    <row r="536" ht="12.75" customHeight="1" s="1134">
      <c r="A536" s="1232" t="n"/>
      <c r="B536" s="1233" t="n"/>
      <c r="C536" s="1233" t="n"/>
      <c r="D536" s="1234" t="n">
        <v>4.5</v>
      </c>
      <c r="E536" s="1234" t="n">
        <v>60</v>
      </c>
      <c r="F536" s="1234" t="n">
        <v>301</v>
      </c>
      <c r="G536" s="1234" t="n">
        <v>400</v>
      </c>
      <c r="H536" s="1226" t="n">
        <v>1.92</v>
      </c>
      <c r="I536" s="1250" t="n">
        <v>0</v>
      </c>
      <c r="J536" s="1228">
        <f>+I536*H536</f>
        <v/>
      </c>
      <c r="K536" s="1280" t="n"/>
      <c r="L536" s="1281">
        <f>J536</f>
        <v/>
      </c>
      <c r="M536" s="1231" t="inlineStr">
        <is>
          <t>Automatic</t>
        </is>
      </c>
      <c r="Q536" s="1215" t="n"/>
    </row>
    <row r="537" ht="12.75" customHeight="1" s="1134">
      <c r="A537" s="1232" t="n"/>
      <c r="B537" s="1233" t="n"/>
      <c r="C537" s="1233" t="n"/>
      <c r="D537" s="1234" t="n">
        <v>4.5</v>
      </c>
      <c r="E537" s="1234" t="n">
        <v>60</v>
      </c>
      <c r="F537" s="1234" t="n">
        <v>401</v>
      </c>
      <c r="G537" s="1234" t="n">
        <v>500</v>
      </c>
      <c r="H537" s="1226" t="n">
        <v>2.23</v>
      </c>
      <c r="I537" s="1250" t="n">
        <v>0</v>
      </c>
      <c r="J537" s="1228">
        <f>+I537*H537</f>
        <v/>
      </c>
      <c r="K537" s="1280" t="n"/>
      <c r="L537" s="1281">
        <f>J537</f>
        <v/>
      </c>
      <c r="M537" s="1231" t="inlineStr">
        <is>
          <t>Automatic</t>
        </is>
      </c>
      <c r="Q537" s="1215" t="n"/>
    </row>
    <row r="538" ht="12.75" customHeight="1" s="1134">
      <c r="A538" s="1232" t="n"/>
      <c r="B538" s="1233" t="n"/>
      <c r="C538" s="1233" t="n"/>
      <c r="D538" s="1234" t="n">
        <v>4.5</v>
      </c>
      <c r="E538" s="1234" t="n">
        <v>60</v>
      </c>
      <c r="F538" s="1234" t="n">
        <v>501</v>
      </c>
      <c r="G538" s="1234" t="n">
        <v>600</v>
      </c>
      <c r="H538" s="1226" t="n">
        <v>2.28</v>
      </c>
      <c r="I538" s="1250" t="n">
        <v>0</v>
      </c>
      <c r="J538" s="1228">
        <f>+I538*H538</f>
        <v/>
      </c>
      <c r="K538" s="1280" t="n"/>
      <c r="L538" s="1281">
        <f>J538</f>
        <v/>
      </c>
      <c r="M538" s="1231" t="inlineStr">
        <is>
          <t>Automatic</t>
        </is>
      </c>
      <c r="Q538" s="1215" t="n"/>
    </row>
    <row r="539" ht="12.75" customHeight="1" s="1134">
      <c r="A539" s="1232" t="n"/>
      <c r="B539" s="1233" t="n"/>
      <c r="C539" s="1233" t="n"/>
      <c r="D539" s="1234" t="n">
        <v>4.5</v>
      </c>
      <c r="E539" s="1234" t="n">
        <v>60</v>
      </c>
      <c r="F539" s="1234" t="n">
        <v>601</v>
      </c>
      <c r="G539" s="1234" t="n">
        <v>700</v>
      </c>
      <c r="H539" s="1226" t="n">
        <v>2.41</v>
      </c>
      <c r="I539" s="1250" t="n">
        <v>0</v>
      </c>
      <c r="J539" s="1228">
        <f>+I539*H539</f>
        <v/>
      </c>
      <c r="K539" s="1280" t="n"/>
      <c r="L539" s="1281">
        <f>J539</f>
        <v/>
      </c>
      <c r="M539" s="1231" t="inlineStr">
        <is>
          <t>Automatic</t>
        </is>
      </c>
      <c r="Q539" s="1215" t="n"/>
    </row>
    <row r="540" ht="12.75" customHeight="1" s="1134">
      <c r="A540" s="1232" t="n"/>
      <c r="B540" s="1233" t="n"/>
      <c r="C540" s="1233" t="n"/>
      <c r="D540" s="1234" t="n">
        <v>4.5</v>
      </c>
      <c r="E540" s="1234" t="n">
        <v>60</v>
      </c>
      <c r="F540" s="1234" t="n">
        <v>701</v>
      </c>
      <c r="G540" s="1234" t="n">
        <v>800</v>
      </c>
      <c r="H540" s="1226" t="n">
        <v>2.6</v>
      </c>
      <c r="I540" s="1250" t="n">
        <v>0</v>
      </c>
      <c r="J540" s="1228">
        <f>+I540*H540</f>
        <v/>
      </c>
      <c r="K540" s="1280" t="n"/>
      <c r="L540" s="1281">
        <f>J540</f>
        <v/>
      </c>
      <c r="M540" s="1231" t="inlineStr">
        <is>
          <t>Automatic</t>
        </is>
      </c>
      <c r="Q540" s="1215" t="n"/>
    </row>
    <row r="541" ht="12.75" customHeight="1" s="1134">
      <c r="A541" s="1232" t="n"/>
      <c r="B541" s="1233" t="n"/>
      <c r="C541" s="1233" t="n"/>
      <c r="D541" s="1234" t="n">
        <v>4.5</v>
      </c>
      <c r="E541" s="1234" t="n">
        <v>60</v>
      </c>
      <c r="F541" s="1234" t="n">
        <v>801</v>
      </c>
      <c r="G541" s="1234" t="n">
        <v>900</v>
      </c>
      <c r="H541" s="1226" t="n">
        <v>2.79</v>
      </c>
      <c r="I541" s="1250" t="n">
        <v>0</v>
      </c>
      <c r="J541" s="1228">
        <f>+I541*H541</f>
        <v/>
      </c>
      <c r="K541" s="1280" t="n"/>
      <c r="L541" s="1281">
        <f>J541</f>
        <v/>
      </c>
      <c r="M541" s="1231" t="inlineStr">
        <is>
          <t>Automatic</t>
        </is>
      </c>
      <c r="Q541" s="1215" t="n"/>
    </row>
    <row r="542" ht="12.75" customHeight="1" s="1134">
      <c r="A542" s="1232" t="n"/>
      <c r="B542" s="1233" t="n"/>
      <c r="C542" s="1233" t="n"/>
      <c r="D542" s="1234" t="n">
        <v>4.5</v>
      </c>
      <c r="E542" s="1234" t="n">
        <v>60</v>
      </c>
      <c r="F542" s="1234" t="n">
        <v>901</v>
      </c>
      <c r="G542" s="1234" t="n">
        <v>1000</v>
      </c>
      <c r="H542" s="1226" t="n">
        <v>2.9</v>
      </c>
      <c r="I542" s="1250" t="n">
        <v>0</v>
      </c>
      <c r="J542" s="1228">
        <f>+I542*H542</f>
        <v/>
      </c>
      <c r="K542" s="1280" t="n"/>
      <c r="L542" s="1281">
        <f>J542</f>
        <v/>
      </c>
      <c r="M542" s="1231" t="inlineStr">
        <is>
          <t>Automatic</t>
        </is>
      </c>
      <c r="Q542" s="1215" t="n"/>
    </row>
    <row r="543" ht="12.75" customHeight="1" s="1134">
      <c r="A543" s="1232" t="n"/>
      <c r="B543" s="1233" t="n"/>
      <c r="C543" s="1233" t="n"/>
      <c r="D543" s="1234" t="n">
        <v>4.5</v>
      </c>
      <c r="E543" s="1234" t="n">
        <v>60</v>
      </c>
      <c r="F543" s="1234" t="n">
        <v>1001</v>
      </c>
      <c r="G543" s="1234" t="n">
        <v>1250</v>
      </c>
      <c r="H543" s="1226" t="n">
        <v>3.12</v>
      </c>
      <c r="I543" s="1250" t="n">
        <v>0</v>
      </c>
      <c r="J543" s="1228">
        <f>+I543*H543</f>
        <v/>
      </c>
      <c r="K543" s="1280" t="n"/>
      <c r="L543" s="1281">
        <f>J543</f>
        <v/>
      </c>
      <c r="M543" s="1231" t="inlineStr">
        <is>
          <t>Automatic</t>
        </is>
      </c>
      <c r="Q543" s="1215" t="n"/>
    </row>
    <row r="544" ht="12.75" customHeight="1" s="1134">
      <c r="A544" s="1232" t="n"/>
      <c r="B544" s="1233" t="n"/>
      <c r="C544" s="1233" t="n"/>
      <c r="D544" s="1234" t="n">
        <v>4.5</v>
      </c>
      <c r="E544" s="1234" t="n">
        <v>60</v>
      </c>
      <c r="F544" s="1234" t="n">
        <v>1251</v>
      </c>
      <c r="G544" s="1234" t="n">
        <v>1500</v>
      </c>
      <c r="H544" s="1226" t="n">
        <v>3.85</v>
      </c>
      <c r="I544" s="1250" t="n">
        <v>0</v>
      </c>
      <c r="J544" s="1228">
        <f>+I544*H544</f>
        <v/>
      </c>
      <c r="K544" s="1280" t="n"/>
      <c r="L544" s="1281">
        <f>J544</f>
        <v/>
      </c>
      <c r="M544" s="1231" t="inlineStr">
        <is>
          <t>Automatic</t>
        </is>
      </c>
      <c r="Q544" s="1215" t="n"/>
    </row>
    <row r="545" ht="12.75" customHeight="1" s="1134">
      <c r="A545" s="1232" t="n"/>
      <c r="B545" s="1233" t="n"/>
      <c r="C545" s="1233" t="n"/>
      <c r="D545" s="1234" t="n">
        <v>4.5</v>
      </c>
      <c r="E545" s="1234" t="n">
        <v>60</v>
      </c>
      <c r="F545" s="1234" t="n">
        <v>1501</v>
      </c>
      <c r="G545" s="1234" t="n">
        <v>2000</v>
      </c>
      <c r="H545" s="1226" t="n">
        <v>4.3</v>
      </c>
      <c r="I545" s="1250" t="n">
        <v>0</v>
      </c>
      <c r="J545" s="1228">
        <f>+I545*H545</f>
        <v/>
      </c>
      <c r="K545" s="1280" t="n"/>
      <c r="L545" s="1281">
        <f>J545</f>
        <v/>
      </c>
      <c r="M545" s="1231" t="inlineStr">
        <is>
          <t>Automatic</t>
        </is>
      </c>
      <c r="Q545" s="1215" t="n"/>
    </row>
    <row r="546" ht="12.75" customHeight="1" s="1134">
      <c r="A546" s="1232" t="n"/>
      <c r="B546" s="1233" t="n"/>
      <c r="C546" s="1233" t="n"/>
      <c r="D546" s="1234" t="n">
        <v>4.5</v>
      </c>
      <c r="E546" s="1234" t="n">
        <v>60</v>
      </c>
      <c r="F546" s="1234" t="n">
        <v>2001</v>
      </c>
      <c r="G546" s="1234" t="n">
        <v>2500</v>
      </c>
      <c r="H546" s="1226" t="n">
        <v>5.3</v>
      </c>
      <c r="I546" s="1250" t="n">
        <v>0</v>
      </c>
      <c r="J546" s="1228">
        <f>+I546*H546</f>
        <v/>
      </c>
      <c r="K546" s="1280" t="n"/>
      <c r="L546" s="1281">
        <f>J546</f>
        <v/>
      </c>
      <c r="M546" s="1231" t="inlineStr">
        <is>
          <t>Automatic</t>
        </is>
      </c>
      <c r="Q546" s="1215" t="n"/>
    </row>
    <row r="547" ht="12.75" customHeight="1" s="1134">
      <c r="A547" s="1232" t="n"/>
      <c r="B547" s="1233" t="n"/>
      <c r="C547" s="1233" t="n"/>
      <c r="D547" s="1234" t="n">
        <v>4.5</v>
      </c>
      <c r="E547" s="1234" t="n">
        <v>60</v>
      </c>
      <c r="F547" s="1234" t="n">
        <v>2501</v>
      </c>
      <c r="G547" s="1234" t="n">
        <v>3000</v>
      </c>
      <c r="H547" s="1226" t="n">
        <v>6.53</v>
      </c>
      <c r="I547" s="1250" t="n">
        <v>0</v>
      </c>
      <c r="J547" s="1228">
        <f>+I547*H547</f>
        <v/>
      </c>
      <c r="K547" s="1280" t="n"/>
      <c r="L547" s="1281">
        <f>J547</f>
        <v/>
      </c>
      <c r="M547" s="1231" t="inlineStr">
        <is>
          <t>Automatic</t>
        </is>
      </c>
      <c r="Q547" s="1215" t="n"/>
    </row>
    <row r="548" ht="12.75" customHeight="1" s="1134">
      <c r="A548" s="1232" t="n"/>
      <c r="B548" s="1233" t="n"/>
      <c r="C548" s="1233" t="n"/>
      <c r="D548" s="1234" t="n">
        <v>4.5</v>
      </c>
      <c r="E548" s="1234" t="n">
        <v>60</v>
      </c>
      <c r="F548" s="1234" t="n">
        <v>3001</v>
      </c>
      <c r="G548" s="1234" t="n">
        <v>4000</v>
      </c>
      <c r="H548" s="1226" t="n">
        <v>8.1</v>
      </c>
      <c r="I548" s="1250" t="n">
        <v>0</v>
      </c>
      <c r="J548" s="1228">
        <f>+I548*H548</f>
        <v/>
      </c>
      <c r="K548" s="1280" t="n"/>
      <c r="L548" s="1281">
        <f>J548</f>
        <v/>
      </c>
      <c r="M548" s="1231" t="inlineStr">
        <is>
          <t>Automatic</t>
        </is>
      </c>
      <c r="Q548" s="1215" t="n"/>
    </row>
    <row r="549" ht="12.75" customHeight="1" s="1134">
      <c r="A549" s="1232" t="n"/>
      <c r="B549" s="1233" t="n"/>
      <c r="C549" s="1233" t="n"/>
      <c r="D549" s="1234" t="n">
        <v>4.5</v>
      </c>
      <c r="E549" s="1234" t="n">
        <v>60</v>
      </c>
      <c r="F549" s="1234" t="n">
        <v>4001</v>
      </c>
      <c r="G549" s="1234" t="n">
        <v>5000</v>
      </c>
      <c r="H549" s="1226" t="n">
        <v>9.24</v>
      </c>
      <c r="I549" s="1250" t="n">
        <v>0</v>
      </c>
      <c r="J549" s="1228">
        <f>+I549*H549</f>
        <v/>
      </c>
      <c r="K549" s="1280" t="n"/>
      <c r="L549" s="1281">
        <f>J549</f>
        <v/>
      </c>
      <c r="M549" s="1231" t="inlineStr">
        <is>
          <t>Automatic</t>
        </is>
      </c>
      <c r="Q549" s="1215" t="n"/>
    </row>
    <row r="550" ht="12.75" customHeight="1" s="1134">
      <c r="A550" s="1232" t="n"/>
      <c r="B550" s="1233" t="n"/>
      <c r="C550" s="1233" t="n"/>
      <c r="D550" s="1234" t="n">
        <v>4.5</v>
      </c>
      <c r="E550" s="1234" t="n">
        <v>60</v>
      </c>
      <c r="F550" s="1234" t="n">
        <v>5001</v>
      </c>
      <c r="G550" s="1234" t="n">
        <v>6000</v>
      </c>
      <c r="H550" s="1226" t="n">
        <v>10.42</v>
      </c>
      <c r="I550" s="1250" t="n">
        <v>0</v>
      </c>
      <c r="J550" s="1228">
        <f>+I550*H550</f>
        <v/>
      </c>
      <c r="K550" s="1280" t="n"/>
      <c r="L550" s="1281">
        <f>J550</f>
        <v/>
      </c>
      <c r="M550" s="1231" t="inlineStr">
        <is>
          <t>Automatic</t>
        </is>
      </c>
      <c r="Q550" s="1215" t="n"/>
    </row>
    <row r="551" ht="12.75" customHeight="1" s="1134">
      <c r="A551" s="1232" t="n"/>
      <c r="B551" s="1233" t="n"/>
      <c r="C551" s="1233" t="n"/>
      <c r="D551" s="1234" t="n">
        <v>4.5</v>
      </c>
      <c r="E551" s="1234" t="n">
        <v>60</v>
      </c>
      <c r="F551" s="1234" t="n">
        <v>6001</v>
      </c>
      <c r="G551" s="1234" t="n">
        <v>7000</v>
      </c>
      <c r="H551" s="1226" t="n">
        <v>11.91</v>
      </c>
      <c r="I551" s="1250" t="n">
        <v>0</v>
      </c>
      <c r="J551" s="1228">
        <f>+I551*H551</f>
        <v/>
      </c>
      <c r="K551" s="1280" t="n"/>
      <c r="L551" s="1281">
        <f>J551</f>
        <v/>
      </c>
      <c r="M551" s="1231" t="inlineStr">
        <is>
          <t>Automatic</t>
        </is>
      </c>
      <c r="Q551" s="1215" t="n"/>
    </row>
    <row r="552" ht="12.75" customHeight="1" s="1134">
      <c r="A552" s="1232" t="n"/>
      <c r="B552" s="1233" t="n"/>
      <c r="C552" s="1233" t="n"/>
      <c r="D552" s="1234" t="n">
        <v>4.5</v>
      </c>
      <c r="E552" s="1234" t="n">
        <v>60</v>
      </c>
      <c r="F552" s="1234" t="n">
        <v>7001</v>
      </c>
      <c r="G552" s="1234" t="n">
        <v>8000</v>
      </c>
      <c r="H552" s="1226" t="n">
        <v>13.65</v>
      </c>
      <c r="I552" s="1250" t="n">
        <v>0</v>
      </c>
      <c r="J552" s="1228">
        <f>+I552*H552</f>
        <v/>
      </c>
      <c r="K552" s="1280" t="n"/>
      <c r="L552" s="1281">
        <f>J552</f>
        <v/>
      </c>
      <c r="M552" s="1231" t="inlineStr">
        <is>
          <t>Automatic</t>
        </is>
      </c>
      <c r="Q552" s="1215" t="n"/>
    </row>
    <row r="553" ht="12.75" customHeight="1" s="1134">
      <c r="A553" s="1232" t="n"/>
      <c r="B553" s="1233" t="n"/>
      <c r="C553" s="1233" t="n"/>
      <c r="D553" s="1234" t="n">
        <v>4.5</v>
      </c>
      <c r="E553" s="1234" t="n">
        <v>60</v>
      </c>
      <c r="F553" s="1234" t="n">
        <v>8001</v>
      </c>
      <c r="G553" s="1234" t="n">
        <v>9000</v>
      </c>
      <c r="H553" s="1226" t="n">
        <v>15.32</v>
      </c>
      <c r="I553" s="1250" t="n">
        <v>0</v>
      </c>
      <c r="J553" s="1228">
        <f>+I553*H553</f>
        <v/>
      </c>
      <c r="K553" s="1280" t="n"/>
      <c r="L553" s="1281">
        <f>J553</f>
        <v/>
      </c>
      <c r="M553" s="1231" t="inlineStr">
        <is>
          <t>Automatic</t>
        </is>
      </c>
      <c r="Q553" s="1215" t="n"/>
    </row>
    <row r="554" ht="12.75" customHeight="1" s="1134">
      <c r="A554" s="1232" t="n"/>
      <c r="B554" s="1233" t="n"/>
      <c r="C554" s="1233" t="n"/>
      <c r="D554" s="1234" t="n">
        <v>4.5</v>
      </c>
      <c r="E554" s="1234" t="n">
        <v>60</v>
      </c>
      <c r="F554" s="1234" t="n">
        <v>9001</v>
      </c>
      <c r="G554" s="1234" t="n">
        <v>10000</v>
      </c>
      <c r="H554" s="1226" t="n">
        <v>17.38</v>
      </c>
      <c r="I554" s="1250" t="n">
        <v>0</v>
      </c>
      <c r="J554" s="1228">
        <f>+I554*H554</f>
        <v/>
      </c>
      <c r="K554" s="1280" t="n"/>
      <c r="L554" s="1281">
        <f>J554</f>
        <v/>
      </c>
      <c r="M554" s="1231" t="inlineStr">
        <is>
          <t>Automatic</t>
        </is>
      </c>
      <c r="Q554" s="1215" t="n"/>
    </row>
    <row r="555" ht="12.75" customHeight="1" s="1134">
      <c r="A555" s="1232" t="n"/>
      <c r="B555" s="1233" t="n"/>
      <c r="C555" s="1233" t="n"/>
      <c r="D555" s="1234" t="n">
        <v>4.5</v>
      </c>
      <c r="E555" s="1234" t="n">
        <v>60</v>
      </c>
      <c r="F555" s="1234" t="n">
        <v>10001</v>
      </c>
      <c r="G555" s="1234" t="n">
        <v>11000</v>
      </c>
      <c r="H555" s="1226" t="n">
        <v>20.45</v>
      </c>
      <c r="I555" s="1250" t="n">
        <v>0</v>
      </c>
      <c r="J555" s="1228">
        <f>+I555*H555</f>
        <v/>
      </c>
      <c r="K555" s="1280" t="n"/>
      <c r="L555" s="1281">
        <f>J555</f>
        <v/>
      </c>
      <c r="M555" s="1231" t="inlineStr">
        <is>
          <t>Automatic</t>
        </is>
      </c>
      <c r="Q555" s="1215" t="n"/>
    </row>
    <row r="556" ht="12.75" customHeight="1" s="1134">
      <c r="A556" s="1232" t="n"/>
      <c r="B556" s="1233" t="n"/>
      <c r="C556" s="1233" t="n"/>
      <c r="D556" s="1234" t="n">
        <v>4.5</v>
      </c>
      <c r="E556" s="1234" t="n">
        <v>60</v>
      </c>
      <c r="F556" s="1234" t="n">
        <v>11001</v>
      </c>
      <c r="G556" s="1234" t="n">
        <v>12000</v>
      </c>
      <c r="H556" s="1226" t="n">
        <v>23.12</v>
      </c>
      <c r="I556" s="1250" t="n">
        <v>0</v>
      </c>
      <c r="J556" s="1228">
        <f>+I556*H556</f>
        <v/>
      </c>
      <c r="K556" s="1280" t="n"/>
      <c r="L556" s="1281">
        <f>J556</f>
        <v/>
      </c>
      <c r="M556" s="1231" t="inlineStr">
        <is>
          <t>Automatic</t>
        </is>
      </c>
      <c r="Q556" s="1215" t="n"/>
    </row>
    <row r="557" ht="12.75" customHeight="1" s="1134">
      <c r="A557" s="1232" t="n"/>
      <c r="B557" s="1233" t="n"/>
      <c r="C557" s="1233" t="n"/>
      <c r="D557" s="1234" t="n">
        <v>4.5</v>
      </c>
      <c r="E557" s="1234" t="n">
        <v>60</v>
      </c>
      <c r="F557" s="1234" t="n">
        <v>12001</v>
      </c>
      <c r="G557" s="1234" t="n">
        <v>13000</v>
      </c>
      <c r="H557" s="1226" t="n">
        <v>26.35</v>
      </c>
      <c r="I557" s="1250" t="n">
        <v>0</v>
      </c>
      <c r="J557" s="1228">
        <f>+I557*H557</f>
        <v/>
      </c>
      <c r="K557" s="1280" t="n"/>
      <c r="L557" s="1281">
        <f>J557</f>
        <v/>
      </c>
      <c r="M557" s="1231" t="inlineStr">
        <is>
          <t>Automatic</t>
        </is>
      </c>
      <c r="Q557" s="1215" t="n"/>
    </row>
    <row r="558" ht="12.75" customHeight="1" s="1134">
      <c r="A558" s="1232" t="n"/>
      <c r="B558" s="1233" t="n"/>
      <c r="C558" s="1233" t="n"/>
      <c r="D558" s="1234" t="n">
        <v>4.5</v>
      </c>
      <c r="E558" s="1234" t="n">
        <v>60</v>
      </c>
      <c r="F558" s="1234" t="n">
        <v>13001</v>
      </c>
      <c r="G558" s="1234" t="n">
        <v>14000</v>
      </c>
      <c r="H558" s="1226" t="n">
        <v>29.54</v>
      </c>
      <c r="I558" s="1250" t="n">
        <v>0</v>
      </c>
      <c r="J558" s="1228">
        <f>+I558*H558</f>
        <v/>
      </c>
      <c r="K558" s="1280" t="n"/>
      <c r="L558" s="1281">
        <f>J558</f>
        <v/>
      </c>
      <c r="M558" s="1231" t="inlineStr">
        <is>
          <t>Automatic</t>
        </is>
      </c>
      <c r="Q558" s="1215" t="n"/>
    </row>
    <row r="559" ht="12.75" customHeight="1" s="1134">
      <c r="A559" s="1232" t="n"/>
      <c r="B559" s="1233" t="n"/>
      <c r="C559" s="1233" t="n"/>
      <c r="D559" s="1234" t="n">
        <v>4.5</v>
      </c>
      <c r="E559" s="1234" t="n">
        <v>60</v>
      </c>
      <c r="F559" s="1234" t="n">
        <v>14001</v>
      </c>
      <c r="G559" s="1234" t="n">
        <v>15000</v>
      </c>
      <c r="H559" s="1226" t="n">
        <v>31.02</v>
      </c>
      <c r="I559" s="1250" t="n">
        <v>0</v>
      </c>
      <c r="J559" s="1228">
        <f>+I559*H559</f>
        <v/>
      </c>
      <c r="K559" s="1280" t="n"/>
      <c r="L559" s="1281">
        <f>J559</f>
        <v/>
      </c>
      <c r="M559" s="1231" t="inlineStr">
        <is>
          <t>Automatic</t>
        </is>
      </c>
      <c r="Q559" s="1215" t="n"/>
    </row>
    <row r="560" ht="12.75" customHeight="1" s="1134">
      <c r="A560" s="1232" t="n"/>
      <c r="B560" s="1233" t="n"/>
      <c r="C560" s="1233" t="n"/>
      <c r="D560" s="1234" t="n">
        <v>4.5</v>
      </c>
      <c r="E560" s="1234" t="n">
        <v>60</v>
      </c>
      <c r="F560" s="1234" t="n">
        <v>15001</v>
      </c>
      <c r="G560" s="1234" t="n">
        <v>16000</v>
      </c>
      <c r="H560" s="1226" t="n">
        <v>32.62</v>
      </c>
      <c r="I560" s="1250" t="n">
        <v>0</v>
      </c>
      <c r="J560" s="1228">
        <f>+I560*H560</f>
        <v/>
      </c>
      <c r="K560" s="1280" t="n"/>
      <c r="L560" s="1281">
        <f>J560</f>
        <v/>
      </c>
      <c r="M560" s="1231" t="inlineStr">
        <is>
          <t>Automatic</t>
        </is>
      </c>
      <c r="Q560" s="1215" t="n"/>
    </row>
    <row r="561" ht="12.75" customHeight="1" s="1134">
      <c r="A561" s="1232" t="n"/>
      <c r="B561" s="1233" t="n"/>
      <c r="C561" s="1233" t="n"/>
      <c r="D561" s="1234" t="n">
        <v>4.5</v>
      </c>
      <c r="E561" s="1234" t="n">
        <v>60</v>
      </c>
      <c r="F561" s="1234" t="n">
        <v>16001</v>
      </c>
      <c r="G561" s="1234" t="n">
        <v>17000</v>
      </c>
      <c r="H561" s="1226" t="n">
        <v>34.2</v>
      </c>
      <c r="I561" s="1250" t="n">
        <v>0</v>
      </c>
      <c r="J561" s="1228">
        <f>+I561*H561</f>
        <v/>
      </c>
      <c r="K561" s="1280" t="n"/>
      <c r="L561" s="1281">
        <f>J561</f>
        <v/>
      </c>
      <c r="M561" s="1231" t="inlineStr">
        <is>
          <t>Automatic</t>
        </is>
      </c>
      <c r="Q561" s="1215" t="n"/>
    </row>
    <row r="562" ht="12.75" customHeight="1" s="1134">
      <c r="A562" s="1232" t="n"/>
      <c r="B562" s="1233" t="n"/>
      <c r="C562" s="1233" t="n"/>
      <c r="D562" s="1234" t="n">
        <v>4.5</v>
      </c>
      <c r="E562" s="1234" t="n">
        <v>60</v>
      </c>
      <c r="F562" s="1234" t="n">
        <v>17001</v>
      </c>
      <c r="G562" s="1234" t="n">
        <v>18000</v>
      </c>
      <c r="H562" s="1226" t="n">
        <v>35.91</v>
      </c>
      <c r="I562" s="1250" t="n">
        <v>0</v>
      </c>
      <c r="J562" s="1228">
        <f>+I562*H562</f>
        <v/>
      </c>
      <c r="K562" s="1280" t="n"/>
      <c r="L562" s="1281">
        <f>J562</f>
        <v/>
      </c>
      <c r="M562" s="1231" t="inlineStr">
        <is>
          <t>Automatic</t>
        </is>
      </c>
      <c r="Q562" s="1215" t="n"/>
    </row>
    <row r="563" ht="12.75" customHeight="1" s="1134">
      <c r="A563" s="1232" t="n"/>
      <c r="B563" s="1233" t="n"/>
      <c r="C563" s="1233" t="n"/>
      <c r="D563" s="1234" t="n">
        <v>4.5</v>
      </c>
      <c r="E563" s="1234" t="n">
        <v>60</v>
      </c>
      <c r="F563" s="1234" t="n">
        <v>18001</v>
      </c>
      <c r="G563" s="1234" t="n">
        <v>19000</v>
      </c>
      <c r="H563" s="1226" t="n">
        <v>37.86</v>
      </c>
      <c r="I563" s="1250" t="n">
        <v>0</v>
      </c>
      <c r="J563" s="1228">
        <f>+I563*H563</f>
        <v/>
      </c>
      <c r="K563" s="1280" t="n"/>
      <c r="L563" s="1281">
        <f>J563</f>
        <v/>
      </c>
      <c r="M563" s="1231" t="inlineStr">
        <is>
          <t>Automatic</t>
        </is>
      </c>
      <c r="Q563" s="1215" t="n"/>
    </row>
    <row r="564" ht="12.75" customHeight="1" s="1134">
      <c r="A564" s="1232" t="n"/>
      <c r="B564" s="1233" t="n"/>
      <c r="C564" s="1233" t="n"/>
      <c r="D564" s="1234" t="n">
        <v>4.5</v>
      </c>
      <c r="E564" s="1234" t="n">
        <v>60</v>
      </c>
      <c r="F564" s="1264" t="n">
        <v>19001</v>
      </c>
      <c r="G564" s="1264" t="n">
        <v>20000</v>
      </c>
      <c r="H564" s="1261" t="n">
        <v>39.78</v>
      </c>
      <c r="I564" s="1262" t="n">
        <v>0</v>
      </c>
      <c r="J564" s="1265">
        <f>+I564*H564</f>
        <v/>
      </c>
      <c r="K564" s="1282" t="n"/>
      <c r="L564" s="1353">
        <f>J564</f>
        <v/>
      </c>
      <c r="M564" s="1231" t="inlineStr">
        <is>
          <t>Automatic</t>
        </is>
      </c>
      <c r="Q564" s="1215" t="n"/>
    </row>
    <row r="565" ht="12.75" customHeight="1" s="1134">
      <c r="A565" s="1232" t="n"/>
      <c r="B565" s="1233" t="n"/>
      <c r="C565" s="1233" t="n"/>
      <c r="D565" s="1264" t="n"/>
      <c r="E565" s="1264" t="n"/>
      <c r="F565" s="1264" t="n"/>
      <c r="G565" s="1264" t="n"/>
      <c r="H565" s="1261" t="n"/>
      <c r="I565" s="1263" t="n"/>
      <c r="J565" s="1265">
        <f>+I565*H565</f>
        <v/>
      </c>
      <c r="K565" s="1282" t="n"/>
      <c r="L565" s="1353">
        <f>J565</f>
        <v/>
      </c>
      <c r="Q565" s="1215" t="n"/>
    </row>
    <row r="566" ht="12.75" customHeight="1" s="1134">
      <c r="A566" s="1232" t="n"/>
      <c r="B566" s="1233" t="n"/>
      <c r="C566" s="1233" t="n"/>
      <c r="D566" s="1264" t="n"/>
      <c r="E566" s="1264" t="n"/>
      <c r="F566" s="1264" t="n"/>
      <c r="G566" s="1264" t="n"/>
      <c r="H566" s="1261" t="n"/>
      <c r="I566" s="1263" t="n"/>
      <c r="J566" s="1265">
        <f>+I566*H566</f>
        <v/>
      </c>
      <c r="K566" s="1282" t="n"/>
      <c r="L566" s="1353">
        <f>J566</f>
        <v/>
      </c>
      <c r="Q566" s="1215" t="n"/>
    </row>
    <row r="567" ht="12.75" customHeight="1" s="1134">
      <c r="A567" s="1232" t="n"/>
      <c r="B567" s="1233" t="n"/>
      <c r="C567" s="1233" t="n"/>
      <c r="D567" s="1264" t="n"/>
      <c r="E567" s="1264" t="n"/>
      <c r="F567" s="1264" t="n"/>
      <c r="G567" s="1264" t="n"/>
      <c r="H567" s="1261" t="n"/>
      <c r="I567" s="1263" t="n"/>
      <c r="J567" s="1265">
        <f>+I567*H567</f>
        <v/>
      </c>
      <c r="K567" s="1282" t="n"/>
      <c r="L567" s="1353">
        <f>J567</f>
        <v/>
      </c>
      <c r="Q567" s="1215" t="n"/>
    </row>
    <row r="568" ht="12.75" customHeight="1" s="1134">
      <c r="A568" s="1232" t="n"/>
      <c r="B568" s="1233" t="n"/>
      <c r="C568" s="1233" t="n"/>
      <c r="D568" s="1264" t="n"/>
      <c r="E568" s="1264" t="n"/>
      <c r="F568" s="1264" t="n"/>
      <c r="G568" s="1264" t="n"/>
      <c r="H568" s="1261" t="n"/>
      <c r="I568" s="1263" t="n"/>
      <c r="J568" s="1265">
        <f>+I568*H568</f>
        <v/>
      </c>
      <c r="K568" s="1282" t="n"/>
      <c r="L568" s="1353">
        <f>J568</f>
        <v/>
      </c>
      <c r="Q568" s="1215" t="n"/>
    </row>
    <row r="569" ht="13.5" customHeight="1" s="1134">
      <c r="A569" s="1236" t="n"/>
      <c r="B569" s="1237" t="n"/>
      <c r="C569" s="1237" t="n"/>
      <c r="D569" s="1238" t="n"/>
      <c r="E569" s="1238" t="n"/>
      <c r="F569" s="1238" t="n"/>
      <c r="G569" s="1238" t="n"/>
      <c r="H569" s="1239" t="n"/>
      <c r="I569" s="1253" t="n"/>
      <c r="J569" s="1241">
        <f>+I569*H569</f>
        <v/>
      </c>
      <c r="K569" s="1354" t="n"/>
      <c r="L569" s="1355">
        <f>J569</f>
        <v/>
      </c>
      <c r="Q569" s="1215" t="n"/>
    </row>
    <row r="570" ht="12.75" customHeight="1" s="1134">
      <c r="A570" s="1255" t="inlineStr">
        <is>
          <t>twist wires (no matter of the pitch)  - to be used also if "Insul Matl Code' = NONE in case there is twised pair + drain (3 wires in the group, but only 2 twisted)</t>
        </is>
      </c>
      <c r="B570" s="1256" t="inlineStr">
        <is>
          <t>Twister</t>
        </is>
      </c>
      <c r="C570" s="1256" t="inlineStr">
        <is>
          <t>BT 188</t>
        </is>
      </c>
      <c r="D570" s="1257" t="n"/>
      <c r="E570" s="1257" t="n"/>
      <c r="F570" s="1257" t="n">
        <v>0</v>
      </c>
      <c r="G570" s="1257" t="n">
        <v>500</v>
      </c>
      <c r="H570" s="1342" t="n">
        <v>11.03</v>
      </c>
      <c r="I570" s="1258" t="n">
        <v>0</v>
      </c>
      <c r="J570" s="1259">
        <f>+I570*H570</f>
        <v/>
      </c>
      <c r="K570" s="1276" t="n"/>
      <c r="L570" s="1277">
        <f>J570</f>
        <v/>
      </c>
      <c r="M570" s="1231" t="inlineStr">
        <is>
          <t>Semi-automatic</t>
        </is>
      </c>
      <c r="P570" s="1343" t="n"/>
      <c r="Q570" s="1344" t="n"/>
    </row>
    <row r="571" ht="12.75" customHeight="1" s="1134">
      <c r="A571" s="1232" t="n"/>
      <c r="B571" s="1233" t="n"/>
      <c r="C571" s="1233" t="n"/>
      <c r="D571" s="1234" t="n"/>
      <c r="E571" s="1234" t="n"/>
      <c r="F571" s="1234" t="n">
        <v>501</v>
      </c>
      <c r="G571" s="1234" t="n">
        <v>1000</v>
      </c>
      <c r="H571" s="1226" t="n">
        <v>13.84</v>
      </c>
      <c r="I571" s="1250" t="n">
        <v>0</v>
      </c>
      <c r="J571" s="1228">
        <f>+I571*H571</f>
        <v/>
      </c>
      <c r="K571" s="1280" t="n"/>
      <c r="L571" s="1281">
        <f>J571</f>
        <v/>
      </c>
      <c r="M571" s="1231" t="inlineStr">
        <is>
          <t>Semi-automatic</t>
        </is>
      </c>
      <c r="P571" s="1345" t="n"/>
      <c r="Q571" s="1215" t="n"/>
    </row>
    <row r="572" ht="12.75" customHeight="1" s="1134">
      <c r="A572" s="1232" t="n"/>
      <c r="B572" s="1233" t="n"/>
      <c r="C572" s="1233" t="n"/>
      <c r="D572" s="1234" t="n"/>
      <c r="E572" s="1234" t="n"/>
      <c r="F572" s="1234" t="n">
        <v>1001</v>
      </c>
      <c r="G572" s="1234" t="n">
        <v>1500</v>
      </c>
      <c r="H572" s="1226" t="n">
        <v>16.74</v>
      </c>
      <c r="I572" s="1250" t="n">
        <v>0</v>
      </c>
      <c r="J572" s="1228">
        <f>+I572*H572</f>
        <v/>
      </c>
      <c r="K572" s="1280" t="n"/>
      <c r="L572" s="1281">
        <f>J572</f>
        <v/>
      </c>
      <c r="M572" s="1231" t="inlineStr">
        <is>
          <t>Semi-automatic</t>
        </is>
      </c>
      <c r="P572" s="1345" t="n"/>
      <c r="Q572" s="1215" t="n"/>
    </row>
    <row r="573" ht="12.75" customHeight="1" s="1134">
      <c r="A573" s="1232" t="n"/>
      <c r="B573" s="1233" t="n"/>
      <c r="C573" s="1233" t="n"/>
      <c r="D573" s="1234" t="n"/>
      <c r="E573" s="1234" t="n"/>
      <c r="F573" s="1234" t="n">
        <v>1501</v>
      </c>
      <c r="G573" s="1234" t="n">
        <v>2000</v>
      </c>
      <c r="H573" s="1226" t="n">
        <v>18.64</v>
      </c>
      <c r="I573" s="1250" t="n">
        <v>0</v>
      </c>
      <c r="J573" s="1228">
        <f>+I573*H573</f>
        <v/>
      </c>
      <c r="K573" s="1280" t="n"/>
      <c r="L573" s="1281">
        <f>J573</f>
        <v/>
      </c>
      <c r="M573" s="1231" t="inlineStr">
        <is>
          <t>Semi-automatic</t>
        </is>
      </c>
      <c r="Q573" s="1215" t="n"/>
    </row>
    <row r="574" ht="12.75" customHeight="1" s="1134">
      <c r="A574" s="1232" t="n"/>
      <c r="B574" s="1233" t="n"/>
      <c r="C574" s="1233" t="n"/>
      <c r="D574" s="1234" t="n"/>
      <c r="E574" s="1234" t="n"/>
      <c r="F574" s="1234" t="n">
        <v>2001</v>
      </c>
      <c r="G574" s="1234" t="n">
        <v>2500</v>
      </c>
      <c r="H574" s="1226" t="n">
        <v>24.02</v>
      </c>
      <c r="I574" s="1250" t="n">
        <v>0</v>
      </c>
      <c r="J574" s="1228">
        <f>+I574*H574</f>
        <v/>
      </c>
      <c r="K574" s="1280" t="n"/>
      <c r="L574" s="1281">
        <f>J574</f>
        <v/>
      </c>
      <c r="M574" s="1231" t="inlineStr">
        <is>
          <t>Semi-automatic</t>
        </is>
      </c>
      <c r="Q574" s="1215" t="n"/>
    </row>
    <row r="575" ht="12.75" customHeight="1" s="1134">
      <c r="A575" s="1232" t="n"/>
      <c r="B575" s="1233" t="n"/>
      <c r="C575" s="1233" t="n"/>
      <c r="D575" s="1234" t="n"/>
      <c r="E575" s="1234" t="n"/>
      <c r="F575" s="1234" t="n">
        <v>2501</v>
      </c>
      <c r="G575" s="1234" t="n">
        <v>3500</v>
      </c>
      <c r="H575" s="1226" t="n">
        <v>29.66</v>
      </c>
      <c r="I575" s="1250" t="n">
        <v>0</v>
      </c>
      <c r="J575" s="1228">
        <f>+I575*H575</f>
        <v/>
      </c>
      <c r="K575" s="1280" t="n"/>
      <c r="L575" s="1281">
        <f>J575</f>
        <v/>
      </c>
      <c r="M575" s="1231" t="inlineStr">
        <is>
          <t>Semi-automatic</t>
        </is>
      </c>
      <c r="Q575" s="1215" t="n"/>
    </row>
    <row r="576" ht="12.75" customHeight="1" s="1134">
      <c r="A576" s="1232" t="n"/>
      <c r="B576" s="1233" t="n"/>
      <c r="C576" s="1233" t="n"/>
      <c r="D576" s="1234" t="n"/>
      <c r="E576" s="1234" t="n"/>
      <c r="F576" s="1234" t="n">
        <v>3501</v>
      </c>
      <c r="G576" s="1234" t="n">
        <v>4500</v>
      </c>
      <c r="H576" s="1226" t="n">
        <v>38.08</v>
      </c>
      <c r="I576" s="1250" t="n">
        <v>0</v>
      </c>
      <c r="J576" s="1228">
        <f>+I576*H576</f>
        <v/>
      </c>
      <c r="K576" s="1280" t="n"/>
      <c r="L576" s="1281">
        <f>J576</f>
        <v/>
      </c>
      <c r="M576" s="1231" t="inlineStr">
        <is>
          <t>Semi-automatic</t>
        </is>
      </c>
      <c r="Q576" s="1215" t="n"/>
    </row>
    <row r="577" ht="12.75" customHeight="1" s="1134">
      <c r="A577" s="1232" t="n"/>
      <c r="B577" s="1233" t="n"/>
      <c r="C577" s="1233" t="n"/>
      <c r="D577" s="1234" t="n"/>
      <c r="E577" s="1234" t="n"/>
      <c r="F577" s="1234" t="n">
        <v>4501</v>
      </c>
      <c r="G577" s="1234" t="n">
        <v>5500</v>
      </c>
      <c r="H577" s="1226" t="n">
        <v>49.34</v>
      </c>
      <c r="I577" s="1250" t="n">
        <v>0</v>
      </c>
      <c r="J577" s="1228">
        <f>+I577*H577</f>
        <v/>
      </c>
      <c r="K577" s="1280" t="n"/>
      <c r="L577" s="1281">
        <f>J577</f>
        <v/>
      </c>
      <c r="M577" s="1231" t="inlineStr">
        <is>
          <t>Semi-automatic</t>
        </is>
      </c>
      <c r="Q577" s="1215" t="n"/>
    </row>
    <row r="578" ht="12.75" customHeight="1" s="1134">
      <c r="A578" s="1232" t="n"/>
      <c r="B578" s="1233" t="n"/>
      <c r="C578" s="1233" t="n"/>
      <c r="D578" s="1234" t="n"/>
      <c r="E578" s="1234" t="n"/>
      <c r="F578" s="1234" t="n">
        <v>5501</v>
      </c>
      <c r="G578" s="1234" t="n">
        <v>6500</v>
      </c>
      <c r="H578" s="1226" t="n">
        <v>53.99</v>
      </c>
      <c r="I578" s="1250" t="n">
        <v>0</v>
      </c>
      <c r="J578" s="1228">
        <f>+I578*H578</f>
        <v/>
      </c>
      <c r="K578" s="1280" t="n"/>
      <c r="L578" s="1281">
        <f>J578</f>
        <v/>
      </c>
      <c r="M578" s="1231" t="inlineStr">
        <is>
          <t>Semi-automatic</t>
        </is>
      </c>
      <c r="Q578" s="1215" t="n"/>
    </row>
    <row r="579" ht="12.75" customHeight="1" s="1134">
      <c r="A579" s="1232" t="n"/>
      <c r="B579" s="1233" t="n"/>
      <c r="C579" s="1233" t="n"/>
      <c r="D579" s="1234" t="n"/>
      <c r="E579" s="1234" t="n"/>
      <c r="F579" s="1234" t="n">
        <v>6501</v>
      </c>
      <c r="G579" s="1234" t="n">
        <v>7000</v>
      </c>
      <c r="H579" s="1226" t="n">
        <v>57.85</v>
      </c>
      <c r="I579" s="1250" t="n">
        <v>0</v>
      </c>
      <c r="J579" s="1228">
        <f>+I579*H579</f>
        <v/>
      </c>
      <c r="K579" s="1280" t="n"/>
      <c r="L579" s="1281">
        <f>J579</f>
        <v/>
      </c>
      <c r="M579" s="1231" t="inlineStr">
        <is>
          <t>Semi-automatic</t>
        </is>
      </c>
      <c r="Q579" s="1215" t="n"/>
    </row>
    <row r="580" ht="12.75" customHeight="1" s="1134">
      <c r="A580" s="1232" t="n"/>
      <c r="B580" s="1233" t="n"/>
      <c r="C580" s="1233" t="n"/>
      <c r="D580" s="1234" t="n"/>
      <c r="E580" s="1234" t="n"/>
      <c r="F580" s="1234" t="n">
        <v>7001</v>
      </c>
      <c r="G580" s="1234" t="n">
        <v>8500</v>
      </c>
      <c r="H580" s="1226" t="n">
        <v>70.55</v>
      </c>
      <c r="I580" s="1250" t="n">
        <v>0</v>
      </c>
      <c r="J580" s="1228">
        <f>+I580*H580</f>
        <v/>
      </c>
      <c r="K580" s="1280" t="n"/>
      <c r="L580" s="1281">
        <f>J580</f>
        <v/>
      </c>
      <c r="M580" s="1231" t="inlineStr">
        <is>
          <t>Semi-automatic</t>
        </is>
      </c>
      <c r="Q580" s="1215" t="n"/>
    </row>
    <row r="581" ht="12.75" customHeight="1" s="1134">
      <c r="A581" s="1232" t="n"/>
      <c r="B581" s="1233" t="n"/>
      <c r="C581" s="1233" t="n"/>
      <c r="D581" s="1234" t="n"/>
      <c r="E581" s="1234" t="n"/>
      <c r="F581" s="1234" t="n">
        <v>8501</v>
      </c>
      <c r="G581" s="1234" t="n">
        <v>9500</v>
      </c>
      <c r="H581" s="1226" t="n">
        <v>77.88</v>
      </c>
      <c r="I581" s="1250" t="n">
        <v>0</v>
      </c>
      <c r="J581" s="1228">
        <f>+I581*H581</f>
        <v/>
      </c>
      <c r="K581" s="1280" t="n"/>
      <c r="L581" s="1281">
        <f>J581</f>
        <v/>
      </c>
      <c r="M581" s="1231" t="inlineStr">
        <is>
          <t>Semi-automatic</t>
        </is>
      </c>
      <c r="Q581" s="1215" t="n"/>
    </row>
    <row r="582" ht="13.5" customHeight="1" s="1134">
      <c r="A582" s="1236" t="n"/>
      <c r="B582" s="1237" t="n"/>
      <c r="C582" s="1237" t="n"/>
      <c r="D582" s="1238" t="n"/>
      <c r="E582" s="1238" t="n"/>
      <c r="F582" s="1238" t="n"/>
      <c r="G582" s="1238" t="n"/>
      <c r="H582" s="1239" t="n">
        <v>80</v>
      </c>
      <c r="I582" s="1253" t="n"/>
      <c r="J582" s="1241">
        <f>+I582*H582</f>
        <v/>
      </c>
      <c r="K582" s="1354" t="n"/>
      <c r="L582" s="1355">
        <f>J582</f>
        <v/>
      </c>
      <c r="M582" s="1231" t="inlineStr">
        <is>
          <t>Semi-automatic</t>
        </is>
      </c>
      <c r="Q582" s="1215" t="n"/>
    </row>
    <row r="583" ht="13.5" customHeight="1" s="1134">
      <c r="A583" s="1255" t="inlineStr">
        <is>
          <t>twist wires (pitch 15)</t>
        </is>
      </c>
      <c r="B583" s="1256" t="inlineStr">
        <is>
          <t>Twister
TWISTING  0,13mm² WIRES
 (only pitch 15 is recommended
 for 0,13mm² PPE, PVC)</t>
        </is>
      </c>
      <c r="C583" s="1323" t="inlineStr">
        <is>
          <t>BT 188</t>
        </is>
      </c>
      <c r="D583" s="1257" t="n">
        <v>0.13</v>
      </c>
      <c r="E583" s="1257" t="n">
        <v>0.13</v>
      </c>
      <c r="F583" s="1299" t="n">
        <v>0</v>
      </c>
      <c r="G583" s="1299" t="n">
        <v>500</v>
      </c>
      <c r="H583" s="1356" t="n">
        <v>12.71682</v>
      </c>
      <c r="I583" s="1258" t="n">
        <v>0</v>
      </c>
      <c r="J583" s="1357">
        <f>+I583*H583</f>
        <v/>
      </c>
      <c r="K583" s="1358" t="n"/>
      <c r="L583" s="1359">
        <f>J583</f>
        <v/>
      </c>
      <c r="M583" s="1231" t="inlineStr">
        <is>
          <t>Automatic</t>
        </is>
      </c>
      <c r="P583" s="1343" t="n"/>
      <c r="Q583" s="1344" t="n"/>
    </row>
    <row r="584" ht="13.5" customHeight="1" s="1134">
      <c r="A584" s="1232" t="n"/>
      <c r="B584" s="1233" t="n"/>
      <c r="C584" s="1233" t="n"/>
      <c r="D584" s="1234" t="n">
        <v>0.13</v>
      </c>
      <c r="E584" s="1234" t="n">
        <v>0.13</v>
      </c>
      <c r="F584" s="1234" t="n">
        <v>501</v>
      </c>
      <c r="G584" s="1234" t="n">
        <v>1000</v>
      </c>
      <c r="H584" s="1356" t="n">
        <v>17.48682</v>
      </c>
      <c r="I584" s="1250" t="n">
        <v>0</v>
      </c>
      <c r="J584" s="1265">
        <f>+I584*H584</f>
        <v/>
      </c>
      <c r="K584" s="1282" t="n"/>
      <c r="L584" s="1353">
        <f>J584</f>
        <v/>
      </c>
      <c r="M584" s="1231" t="inlineStr">
        <is>
          <t>Automatic</t>
        </is>
      </c>
      <c r="P584" s="1345" t="n"/>
      <c r="Q584" s="1215" t="n"/>
    </row>
    <row r="585" ht="13.5" customHeight="1" s="1134">
      <c r="A585" s="1232" t="n"/>
      <c r="B585" s="1233" t="n"/>
      <c r="C585" s="1233" t="n"/>
      <c r="D585" s="1234" t="n">
        <v>0.13</v>
      </c>
      <c r="E585" s="1234" t="n">
        <v>0.13</v>
      </c>
      <c r="F585" s="1234" t="n">
        <v>1001</v>
      </c>
      <c r="G585" s="1234" t="n">
        <v>1500</v>
      </c>
      <c r="H585" s="1356" t="n">
        <v>22.25682</v>
      </c>
      <c r="I585" s="1250" t="n">
        <v>0</v>
      </c>
      <c r="J585" s="1228">
        <f>+I585*H585</f>
        <v/>
      </c>
      <c r="K585" s="1280" t="n"/>
      <c r="L585" s="1281">
        <f>J585</f>
        <v/>
      </c>
      <c r="M585" s="1231" t="inlineStr">
        <is>
          <t>Automatic</t>
        </is>
      </c>
      <c r="P585" s="1345" t="n"/>
      <c r="Q585" s="1215" t="n"/>
    </row>
    <row r="586" ht="13.5" customHeight="1" s="1134">
      <c r="A586" s="1232" t="n"/>
      <c r="B586" s="1233" t="n"/>
      <c r="C586" s="1233" t="n"/>
      <c r="D586" s="1234" t="n">
        <v>0.13</v>
      </c>
      <c r="E586" s="1234" t="n">
        <v>0.13</v>
      </c>
      <c r="F586" s="1234" t="n">
        <v>1501</v>
      </c>
      <c r="G586" s="1234" t="n">
        <v>2000</v>
      </c>
      <c r="H586" s="1356" t="n">
        <v>27.02682</v>
      </c>
      <c r="I586" s="1250" t="n">
        <v>0</v>
      </c>
      <c r="J586" s="1228">
        <f>+I586*H586</f>
        <v/>
      </c>
      <c r="K586" s="1280" t="n"/>
      <c r="L586" s="1281">
        <f>J586</f>
        <v/>
      </c>
      <c r="M586" s="1231" t="inlineStr">
        <is>
          <t>Automatic</t>
        </is>
      </c>
      <c r="Q586" s="1215" t="n"/>
    </row>
    <row r="587" ht="13.5" customHeight="1" s="1134">
      <c r="A587" s="1232" t="n"/>
      <c r="B587" s="1233" t="n"/>
      <c r="C587" s="1233" t="n"/>
      <c r="D587" s="1234" t="n">
        <v>0.13</v>
      </c>
      <c r="E587" s="1234" t="n">
        <v>0.13</v>
      </c>
      <c r="F587" s="1234" t="n">
        <v>2001</v>
      </c>
      <c r="G587" s="1234" t="n">
        <v>2500</v>
      </c>
      <c r="H587" s="1356" t="n">
        <v>31.79682</v>
      </c>
      <c r="I587" s="1250" t="n">
        <v>0</v>
      </c>
      <c r="J587" s="1228">
        <f>+I587*H587</f>
        <v/>
      </c>
      <c r="K587" s="1280" t="n"/>
      <c r="L587" s="1281">
        <f>J587</f>
        <v/>
      </c>
      <c r="M587" s="1231" t="inlineStr">
        <is>
          <t>Automatic</t>
        </is>
      </c>
      <c r="Q587" s="1215" t="n"/>
    </row>
    <row r="588" ht="13.5" customHeight="1" s="1134">
      <c r="A588" s="1232" t="n"/>
      <c r="B588" s="1233" t="n"/>
      <c r="C588" s="1233" t="n"/>
      <c r="D588" s="1234" t="n">
        <v>0.13</v>
      </c>
      <c r="E588" s="1234" t="n">
        <v>0.13</v>
      </c>
      <c r="F588" s="1234" t="n">
        <v>2501</v>
      </c>
      <c r="G588" s="1234" t="n">
        <v>3500</v>
      </c>
      <c r="H588" s="1356" t="n">
        <v>39.75318</v>
      </c>
      <c r="I588" s="1250" t="n">
        <v>0</v>
      </c>
      <c r="J588" s="1228">
        <f>+I588*H588</f>
        <v/>
      </c>
      <c r="K588" s="1280" t="n"/>
      <c r="L588" s="1281">
        <f>J588</f>
        <v/>
      </c>
      <c r="M588" s="1231" t="inlineStr">
        <is>
          <t>Automatic</t>
        </is>
      </c>
      <c r="Q588" s="1215" t="n"/>
    </row>
    <row r="589" ht="13.5" customHeight="1" s="1134">
      <c r="A589" s="1232" t="n"/>
      <c r="B589" s="1233" t="n"/>
      <c r="C589" s="1233" t="n"/>
      <c r="D589" s="1234" t="n">
        <v>0.13</v>
      </c>
      <c r="E589" s="1234" t="n">
        <v>0.13</v>
      </c>
      <c r="F589" s="1234" t="n">
        <v>3501</v>
      </c>
      <c r="G589" s="1234" t="n">
        <v>4500</v>
      </c>
      <c r="H589" s="1356" t="n">
        <v>49.29318</v>
      </c>
      <c r="I589" s="1250" t="n">
        <v>0</v>
      </c>
      <c r="J589" s="1228">
        <f>+I589*H589</f>
        <v/>
      </c>
      <c r="K589" s="1280" t="n"/>
      <c r="L589" s="1281">
        <f>J589</f>
        <v/>
      </c>
      <c r="M589" s="1231" t="inlineStr">
        <is>
          <t>Automatic</t>
        </is>
      </c>
      <c r="Q589" s="1215" t="n"/>
    </row>
    <row r="590" ht="13.5" customHeight="1" s="1134">
      <c r="A590" s="1232" t="n"/>
      <c r="B590" s="1233" t="n"/>
      <c r="C590" s="1233" t="n"/>
      <c r="D590" s="1234" t="n">
        <v>0.13</v>
      </c>
      <c r="E590" s="1234" t="n">
        <v>0.13</v>
      </c>
      <c r="F590" s="1234" t="n">
        <v>4501</v>
      </c>
      <c r="G590" s="1234" t="n">
        <v>5500</v>
      </c>
      <c r="H590" s="1356" t="n">
        <v>58.83318</v>
      </c>
      <c r="I590" s="1250" t="n">
        <v>0</v>
      </c>
      <c r="J590" s="1228">
        <f>+I590*H590</f>
        <v/>
      </c>
      <c r="K590" s="1280" t="n"/>
      <c r="L590" s="1281">
        <f>J590</f>
        <v/>
      </c>
      <c r="M590" s="1231" t="inlineStr">
        <is>
          <t>Automatic</t>
        </is>
      </c>
      <c r="Q590" s="1215" t="n"/>
    </row>
    <row r="591" ht="13.5" customHeight="1" s="1134">
      <c r="A591" s="1232" t="n"/>
      <c r="B591" s="1233" t="n"/>
      <c r="C591" s="1233" t="n"/>
      <c r="D591" s="1234" t="n">
        <v>0.13</v>
      </c>
      <c r="E591" s="1234" t="n">
        <v>0.13</v>
      </c>
      <c r="F591" s="1234" t="n">
        <v>5501</v>
      </c>
      <c r="G591" s="1234" t="n">
        <v>6500</v>
      </c>
      <c r="H591" s="1356" t="n">
        <v>68.37318</v>
      </c>
      <c r="I591" s="1250" t="n">
        <v>0</v>
      </c>
      <c r="J591" s="1248">
        <f>+I591*H591</f>
        <v/>
      </c>
      <c r="K591" s="1278" t="n"/>
      <c r="L591" s="1279">
        <f>J591</f>
        <v/>
      </c>
      <c r="M591" s="1231" t="inlineStr">
        <is>
          <t>Automatic</t>
        </is>
      </c>
      <c r="Q591" s="1215" t="n"/>
    </row>
    <row r="592" ht="13.5" customHeight="1" s="1134">
      <c r="A592" s="1232" t="n"/>
      <c r="B592" s="1233" t="n"/>
      <c r="C592" s="1233" t="n"/>
      <c r="D592" s="1234" t="n">
        <v>0.13</v>
      </c>
      <c r="E592" s="1234" t="n">
        <v>0.13</v>
      </c>
      <c r="F592" s="1234" t="n">
        <v>6501</v>
      </c>
      <c r="G592" s="1234" t="n">
        <v>7000</v>
      </c>
      <c r="H592" s="1356" t="n">
        <v>73.14318</v>
      </c>
      <c r="I592" s="1250" t="n">
        <v>0</v>
      </c>
      <c r="J592" s="1248">
        <f>+I592*H592</f>
        <v/>
      </c>
      <c r="K592" s="1278" t="n"/>
      <c r="L592" s="1279">
        <f>J592</f>
        <v/>
      </c>
      <c r="M592" s="1231" t="inlineStr">
        <is>
          <t>Automatic</t>
        </is>
      </c>
      <c r="Q592" s="1215" t="n"/>
    </row>
    <row r="593" ht="13.5" customHeight="1" s="1134">
      <c r="A593" s="1236" t="n"/>
      <c r="B593" s="1237" t="n"/>
      <c r="C593" s="1237" t="n"/>
      <c r="D593" s="1360" t="n"/>
      <c r="E593" s="1360" t="n"/>
      <c r="F593" s="1360" t="n"/>
      <c r="G593" s="1360" t="n"/>
      <c r="H593" s="1361" t="n"/>
      <c r="I593" s="1300" t="n"/>
      <c r="J593" s="1310" t="n"/>
      <c r="K593" s="1362" t="n"/>
      <c r="L593" s="1363" t="n"/>
      <c r="M593" s="1231" t="n"/>
      <c r="Q593" s="1215" t="n"/>
    </row>
    <row r="594" ht="12.75" customHeight="1" s="1134">
      <c r="A594" s="1255" t="inlineStr">
        <is>
          <t>times correspond to RBEV (very low volume WHERE long leads from cutters come in coils)</t>
        </is>
      </c>
      <c r="B594" s="1256" t="inlineStr">
        <is>
          <t>Twister - Coil</t>
        </is>
      </c>
      <c r="C594" s="1256" t="n"/>
      <c r="D594" s="1257" t="n"/>
      <c r="E594" s="1257" t="n"/>
      <c r="F594" s="1257" t="n">
        <v>0</v>
      </c>
      <c r="G594" s="1257" t="n">
        <v>500</v>
      </c>
      <c r="H594" s="1342" t="n">
        <v>13.73</v>
      </c>
      <c r="I594" s="1258" t="n">
        <v>0</v>
      </c>
      <c r="J594" s="1259">
        <f>+I594*H594</f>
        <v/>
      </c>
      <c r="K594" s="1276" t="n"/>
      <c r="L594" s="1277">
        <f>J594</f>
        <v/>
      </c>
      <c r="M594" s="1231" t="inlineStr">
        <is>
          <t>Automaitc</t>
        </is>
      </c>
      <c r="P594" s="1343" t="n"/>
      <c r="Q594" s="1344" t="n"/>
    </row>
    <row r="595" ht="12.75" customHeight="1" s="1134">
      <c r="A595" s="1232" t="n"/>
      <c r="B595" s="1233" t="n"/>
      <c r="C595" s="1233" t="n"/>
      <c r="D595" s="1234" t="n"/>
      <c r="E595" s="1234" t="n"/>
      <c r="F595" s="1234" t="n">
        <v>501</v>
      </c>
      <c r="G595" s="1234" t="n">
        <v>1000</v>
      </c>
      <c r="H595" s="1226" t="n">
        <v>15</v>
      </c>
      <c r="I595" s="1250" t="n">
        <v>0</v>
      </c>
      <c r="J595" s="1228">
        <f>+I595*H595</f>
        <v/>
      </c>
      <c r="K595" s="1280" t="n"/>
      <c r="L595" s="1281">
        <f>J595</f>
        <v/>
      </c>
      <c r="M595" s="1132" t="inlineStr">
        <is>
          <t>Automaitc</t>
        </is>
      </c>
      <c r="P595" s="1345" t="n"/>
      <c r="Q595" s="1215" t="n"/>
    </row>
    <row r="596" ht="12.75" customHeight="1" s="1134">
      <c r="A596" s="1232" t="n"/>
      <c r="B596" s="1233" t="n"/>
      <c r="C596" s="1233" t="n"/>
      <c r="D596" s="1234" t="n"/>
      <c r="E596" s="1234" t="n"/>
      <c r="F596" s="1234" t="n">
        <v>1001</v>
      </c>
      <c r="G596" s="1234" t="n">
        <v>1500</v>
      </c>
      <c r="H596" s="1226" t="n">
        <v>16.4</v>
      </c>
      <c r="I596" s="1250" t="n">
        <v>0</v>
      </c>
      <c r="J596" s="1228">
        <f>+I596*H596</f>
        <v/>
      </c>
      <c r="K596" s="1280" t="n"/>
      <c r="L596" s="1281">
        <f>J596</f>
        <v/>
      </c>
      <c r="M596" s="1132" t="inlineStr">
        <is>
          <t>Automaitc</t>
        </is>
      </c>
      <c r="P596" s="1345" t="n"/>
      <c r="Q596" s="1215" t="n"/>
    </row>
    <row r="597" ht="12.75" customHeight="1" s="1134">
      <c r="A597" s="1232" t="n"/>
      <c r="B597" s="1233" t="n"/>
      <c r="C597" s="1233" t="n"/>
      <c r="D597" s="1234" t="n"/>
      <c r="E597" s="1234" t="n"/>
      <c r="F597" s="1234" t="n">
        <v>1501</v>
      </c>
      <c r="G597" s="1234" t="n">
        <v>2000</v>
      </c>
      <c r="H597" s="1226" t="n">
        <v>18</v>
      </c>
      <c r="I597" s="1250" t="n">
        <v>0</v>
      </c>
      <c r="J597" s="1228">
        <f>+I597*H597</f>
        <v/>
      </c>
      <c r="K597" s="1280" t="n"/>
      <c r="L597" s="1281">
        <f>J597</f>
        <v/>
      </c>
      <c r="M597" s="1132" t="inlineStr">
        <is>
          <t>Automaitc</t>
        </is>
      </c>
      <c r="Q597" s="1215" t="n"/>
    </row>
    <row r="598" ht="12.75" customHeight="1" s="1134">
      <c r="A598" s="1232" t="n"/>
      <c r="B598" s="1233" t="n"/>
      <c r="C598" s="1233" t="n"/>
      <c r="D598" s="1234" t="n"/>
      <c r="E598" s="1234" t="n"/>
      <c r="F598" s="1234" t="n">
        <v>2001</v>
      </c>
      <c r="G598" s="1234" t="n">
        <v>2500</v>
      </c>
      <c r="H598" s="1226" t="n">
        <v>19.9</v>
      </c>
      <c r="I598" s="1250" t="n">
        <v>0</v>
      </c>
      <c r="J598" s="1228">
        <f>+I598*H598</f>
        <v/>
      </c>
      <c r="K598" s="1280" t="n"/>
      <c r="L598" s="1281">
        <f>J598</f>
        <v/>
      </c>
      <c r="M598" s="1132" t="inlineStr">
        <is>
          <t>Automaitc</t>
        </is>
      </c>
      <c r="Q598" s="1215" t="n"/>
    </row>
    <row r="599" ht="12.75" customHeight="1" s="1134">
      <c r="A599" s="1232" t="n"/>
      <c r="B599" s="1233" t="n"/>
      <c r="C599" s="1233" t="n"/>
      <c r="D599" s="1234" t="n"/>
      <c r="E599" s="1234" t="n"/>
      <c r="F599" s="1234" t="n">
        <v>2501</v>
      </c>
      <c r="G599" s="1234" t="n">
        <v>3500</v>
      </c>
      <c r="H599" s="1226" t="n">
        <v>24.48</v>
      </c>
      <c r="I599" s="1250" t="n">
        <v>0</v>
      </c>
      <c r="J599" s="1228">
        <f>+I599*H599</f>
        <v/>
      </c>
      <c r="K599" s="1280" t="n"/>
      <c r="L599" s="1281">
        <f>J599</f>
        <v/>
      </c>
      <c r="M599" s="1132" t="inlineStr">
        <is>
          <t>Automaitc</t>
        </is>
      </c>
      <c r="Q599" s="1215" t="n"/>
    </row>
    <row r="600" ht="12.75" customHeight="1" s="1134">
      <c r="A600" s="1232" t="n"/>
      <c r="B600" s="1233" t="n"/>
      <c r="C600" s="1233" t="n"/>
      <c r="D600" s="1234" t="n"/>
      <c r="E600" s="1234" t="n"/>
      <c r="F600" s="1234" t="n">
        <v>3501</v>
      </c>
      <c r="G600" s="1234" t="n">
        <v>4500</v>
      </c>
      <c r="H600" s="1226" t="n">
        <v>30.45</v>
      </c>
      <c r="I600" s="1250" t="n">
        <v>0</v>
      </c>
      <c r="J600" s="1228">
        <f>+I600*H600</f>
        <v/>
      </c>
      <c r="K600" s="1280" t="n"/>
      <c r="L600" s="1281">
        <f>J600</f>
        <v/>
      </c>
      <c r="M600" s="1132" t="inlineStr">
        <is>
          <t>Automaitc</t>
        </is>
      </c>
      <c r="Q600" s="1215" t="n"/>
    </row>
    <row r="601" ht="12.75" customHeight="1" s="1134">
      <c r="A601" s="1232" t="n"/>
      <c r="B601" s="1233" t="n"/>
      <c r="C601" s="1233" t="n"/>
      <c r="D601" s="1234" t="n"/>
      <c r="E601" s="1234" t="n"/>
      <c r="F601" s="1234" t="n">
        <v>4501</v>
      </c>
      <c r="G601" s="1234" t="n">
        <v>5500</v>
      </c>
      <c r="H601" s="1226" t="n">
        <v>38.2</v>
      </c>
      <c r="I601" s="1250" t="n">
        <v>0</v>
      </c>
      <c r="J601" s="1228">
        <f>+I601*H601</f>
        <v/>
      </c>
      <c r="K601" s="1280" t="n"/>
      <c r="L601" s="1281">
        <f>J601</f>
        <v/>
      </c>
      <c r="M601" s="1132" t="inlineStr">
        <is>
          <t>Automaitc</t>
        </is>
      </c>
      <c r="Q601" s="1215" t="n"/>
    </row>
    <row r="602" ht="12.75" customHeight="1" s="1134">
      <c r="A602" s="1232" t="n"/>
      <c r="B602" s="1233" t="n"/>
      <c r="C602" s="1233" t="n"/>
      <c r="D602" s="1234" t="n"/>
      <c r="E602" s="1234" t="n"/>
      <c r="F602" s="1234" t="n">
        <v>5501</v>
      </c>
      <c r="G602" s="1234" t="n">
        <v>7000</v>
      </c>
      <c r="H602" s="1226" t="n">
        <v>82.81</v>
      </c>
      <c r="I602" s="1250" t="n">
        <v>0</v>
      </c>
      <c r="J602" s="1228">
        <f>+I602*H602</f>
        <v/>
      </c>
      <c r="K602" s="1280" t="n"/>
      <c r="L602" s="1281">
        <f>J602</f>
        <v/>
      </c>
      <c r="M602" s="1132" t="inlineStr">
        <is>
          <t>Automaitc</t>
        </is>
      </c>
      <c r="Q602" s="1215" t="n"/>
    </row>
    <row r="603" ht="12.75" customHeight="1" s="1134">
      <c r="A603" s="1232" t="n"/>
      <c r="B603" s="1233" t="n"/>
      <c r="C603" s="1233" t="n"/>
      <c r="D603" s="1234" t="n"/>
      <c r="E603" s="1234" t="n"/>
      <c r="F603" s="1234" t="n">
        <v>7001</v>
      </c>
      <c r="G603" s="1234" t="n">
        <v>8000</v>
      </c>
      <c r="H603" s="1226" t="n">
        <v>85.16</v>
      </c>
      <c r="I603" s="1250" t="n">
        <v>0</v>
      </c>
      <c r="J603" s="1228">
        <f>+I603*H603</f>
        <v/>
      </c>
      <c r="K603" s="1280" t="n"/>
      <c r="L603" s="1281">
        <f>J603</f>
        <v/>
      </c>
      <c r="M603" s="1132" t="inlineStr">
        <is>
          <t>Automaitc</t>
        </is>
      </c>
      <c r="Q603" s="1215" t="n"/>
    </row>
    <row r="604" ht="12.75" customHeight="1" s="1134">
      <c r="A604" s="1232" t="n"/>
      <c r="B604" s="1233" t="n"/>
      <c r="C604" s="1233" t="n"/>
      <c r="D604" s="1234" t="n"/>
      <c r="E604" s="1234" t="n"/>
      <c r="F604" s="1234" t="n">
        <v>8001</v>
      </c>
      <c r="G604" s="1234" t="n">
        <v>9000</v>
      </c>
      <c r="H604" s="1226" t="n">
        <v>88.69</v>
      </c>
      <c r="I604" s="1250" t="n">
        <v>0</v>
      </c>
      <c r="J604" s="1228">
        <f>+I604*H604</f>
        <v/>
      </c>
      <c r="K604" s="1280" t="n"/>
      <c r="L604" s="1281">
        <f>J604</f>
        <v/>
      </c>
      <c r="M604" s="1132" t="inlineStr">
        <is>
          <t>Automaitc</t>
        </is>
      </c>
      <c r="Q604" s="1215" t="n"/>
    </row>
    <row r="605" ht="12.75" customHeight="1" s="1134">
      <c r="A605" s="1232" t="n"/>
      <c r="B605" s="1233" t="n"/>
      <c r="C605" s="1233" t="n"/>
      <c r="D605" s="1234" t="n"/>
      <c r="E605" s="1234" t="n"/>
      <c r="F605" s="1234" t="n">
        <v>9001</v>
      </c>
      <c r="G605" s="1234" t="n">
        <v>10000</v>
      </c>
      <c r="H605" s="1226" t="n">
        <v>93.67</v>
      </c>
      <c r="I605" s="1250" t="n">
        <v>0</v>
      </c>
      <c r="J605" s="1228">
        <f>+I605*H605</f>
        <v/>
      </c>
      <c r="K605" s="1280" t="n"/>
      <c r="L605" s="1281">
        <f>J605</f>
        <v/>
      </c>
      <c r="M605" s="1132" t="inlineStr">
        <is>
          <t>Automaitc</t>
        </is>
      </c>
      <c r="Q605" s="1215" t="n"/>
    </row>
    <row r="606" ht="12.75" customHeight="1" s="1134">
      <c r="A606" s="1232" t="n"/>
      <c r="B606" s="1233" t="n"/>
      <c r="C606" s="1233" t="n"/>
      <c r="D606" s="1234" t="n"/>
      <c r="E606" s="1234" t="n"/>
      <c r="F606" s="1234" t="n">
        <v>10001</v>
      </c>
      <c r="G606" s="1234" t="n">
        <v>12000</v>
      </c>
      <c r="H606" s="1226" t="n">
        <v>100.59</v>
      </c>
      <c r="I606" s="1250" t="n">
        <v>0</v>
      </c>
      <c r="J606" s="1228">
        <f>+I606*H606</f>
        <v/>
      </c>
      <c r="K606" s="1280" t="n"/>
      <c r="L606" s="1281">
        <f>J606</f>
        <v/>
      </c>
      <c r="M606" s="1132" t="inlineStr">
        <is>
          <t>Automaitc</t>
        </is>
      </c>
      <c r="Q606" s="1215" t="n"/>
    </row>
    <row r="607" ht="13.5" customHeight="1" s="1134">
      <c r="A607" s="1236" t="n"/>
      <c r="B607" s="1237" t="n"/>
      <c r="C607" s="1237" t="n"/>
      <c r="D607" s="1238" t="n"/>
      <c r="E607" s="1238" t="n"/>
      <c r="F607" s="1238" t="n"/>
      <c r="G607" s="1238" t="n"/>
      <c r="H607" s="1239" t="n">
        <v>110.3</v>
      </c>
      <c r="I607" s="1253" t="n"/>
      <c r="J607" s="1241">
        <f>+I607*H607</f>
        <v/>
      </c>
      <c r="K607" s="1354" t="n"/>
      <c r="L607" s="1355">
        <f>J607</f>
        <v/>
      </c>
      <c r="M607" s="1132" t="inlineStr">
        <is>
          <t>Automaitc</t>
        </is>
      </c>
      <c r="Q607" s="1215" t="n"/>
    </row>
    <row r="608" ht="12.75" customHeight="1" s="1134">
      <c r="A608" s="1364" t="inlineStr">
        <is>
          <t>twist wires (3wires)  - to be used also if "Insul Matl Code' = NONE in case there are 3 twised wires  + drain (4 wires in the group, but only 3 twisted)</t>
        </is>
      </c>
      <c r="B608" s="1256" t="inlineStr">
        <is>
          <t>Twister</t>
        </is>
      </c>
      <c r="C608" s="1256" t="inlineStr">
        <is>
          <t>BT 188</t>
        </is>
      </c>
      <c r="D608" s="1257" t="n"/>
      <c r="E608" s="1257" t="n"/>
      <c r="F608" s="1257" t="n">
        <v>0</v>
      </c>
      <c r="G608" s="1257" t="n">
        <v>1000</v>
      </c>
      <c r="H608" s="1342" t="n">
        <v>12.61</v>
      </c>
      <c r="I608" s="1258" t="n">
        <v>0</v>
      </c>
      <c r="J608" s="1259">
        <f>+I608*H608</f>
        <v/>
      </c>
      <c r="K608" s="1276" t="n"/>
      <c r="L608" s="1277">
        <f>J608</f>
        <v/>
      </c>
      <c r="M608" s="1132" t="inlineStr">
        <is>
          <t>Automaitc</t>
        </is>
      </c>
      <c r="P608" s="1343" t="n"/>
      <c r="Q608" s="1344" t="n"/>
    </row>
    <row r="609" ht="12.75" customHeight="1" s="1134">
      <c r="A609" s="1232" t="n"/>
      <c r="B609" s="1233" t="n"/>
      <c r="C609" s="1233" t="n"/>
      <c r="D609" s="1234" t="n"/>
      <c r="E609" s="1234" t="n"/>
      <c r="F609" s="1234" t="n">
        <v>1001</v>
      </c>
      <c r="G609" s="1234" t="n">
        <v>2000</v>
      </c>
      <c r="H609" s="1226" t="n">
        <v>18.47</v>
      </c>
      <c r="I609" s="1250" t="n">
        <v>0</v>
      </c>
      <c r="J609" s="1228">
        <f>+I609*H609</f>
        <v/>
      </c>
      <c r="K609" s="1280" t="n"/>
      <c r="L609" s="1281">
        <f>J609</f>
        <v/>
      </c>
      <c r="M609" s="1132" t="inlineStr">
        <is>
          <t>Automaitc</t>
        </is>
      </c>
      <c r="P609" s="1345" t="n"/>
      <c r="Q609" s="1215" t="n"/>
    </row>
    <row r="610" ht="12.75" customHeight="1" s="1134">
      <c r="A610" s="1232" t="n"/>
      <c r="B610" s="1233" t="n"/>
      <c r="C610" s="1233" t="n"/>
      <c r="D610" s="1234" t="n"/>
      <c r="E610" s="1234" t="n"/>
      <c r="F610" s="1234" t="n">
        <v>2001</v>
      </c>
      <c r="G610" s="1234" t="n">
        <v>3000</v>
      </c>
      <c r="H610" s="1226" t="n">
        <v>30.42</v>
      </c>
      <c r="I610" s="1250" t="n">
        <v>0</v>
      </c>
      <c r="J610" s="1228">
        <f>+I610*H610</f>
        <v/>
      </c>
      <c r="K610" s="1280" t="n"/>
      <c r="L610" s="1281">
        <f>J610</f>
        <v/>
      </c>
      <c r="M610" s="1132" t="inlineStr">
        <is>
          <t>Automaitc</t>
        </is>
      </c>
      <c r="P610" s="1345" t="n"/>
      <c r="Q610" s="1215" t="n"/>
    </row>
    <row r="611" ht="12.75" customHeight="1" s="1134">
      <c r="A611" s="1232" t="n"/>
      <c r="B611" s="1233" t="n"/>
      <c r="C611" s="1233" t="n"/>
      <c r="D611" s="1234" t="n"/>
      <c r="E611" s="1234" t="n"/>
      <c r="F611" s="1234" t="n">
        <v>3001</v>
      </c>
      <c r="G611" s="1234" t="n">
        <v>4000</v>
      </c>
      <c r="H611" s="1226" t="n">
        <v>52.69</v>
      </c>
      <c r="I611" s="1250" t="n">
        <v>0</v>
      </c>
      <c r="J611" s="1228">
        <f>+I611*H611</f>
        <v/>
      </c>
      <c r="K611" s="1280" t="n"/>
      <c r="L611" s="1281">
        <f>J611</f>
        <v/>
      </c>
      <c r="M611" s="1132" t="inlineStr">
        <is>
          <t>Automaitc</t>
        </is>
      </c>
      <c r="Q611" s="1215" t="n"/>
    </row>
    <row r="612" ht="12.75" customHeight="1" s="1134">
      <c r="A612" s="1232" t="n"/>
      <c r="B612" s="1233" t="n"/>
      <c r="C612" s="1233" t="n"/>
      <c r="D612" s="1264" t="n"/>
      <c r="E612" s="1264" t="n"/>
      <c r="F612" s="1264" t="n">
        <v>4001</v>
      </c>
      <c r="G612" s="1264" t="n">
        <v>5000</v>
      </c>
      <c r="H612" s="1261" t="n">
        <v>91.59</v>
      </c>
      <c r="I612" s="1250" t="n">
        <v>0</v>
      </c>
      <c r="J612" s="1228">
        <f>+I612*H612</f>
        <v/>
      </c>
      <c r="K612" s="1280" t="n"/>
      <c r="L612" s="1281">
        <f>J612</f>
        <v/>
      </c>
      <c r="M612" s="1132" t="inlineStr">
        <is>
          <t>Automaitc</t>
        </is>
      </c>
      <c r="Q612" s="1215" t="n"/>
    </row>
    <row r="613" ht="12.75" customHeight="1" s="1134">
      <c r="A613" s="1232" t="n"/>
      <c r="B613" s="1233" t="n"/>
      <c r="C613" s="1233" t="n"/>
      <c r="D613" s="1264" t="n"/>
      <c r="E613" s="1264" t="n"/>
      <c r="F613" s="1264" t="n">
        <v>5001</v>
      </c>
      <c r="G613" s="1264" t="n">
        <v>99999</v>
      </c>
      <c r="H613" s="1261" t="n">
        <v>91.59</v>
      </c>
      <c r="I613" s="1250" t="n">
        <v>0</v>
      </c>
      <c r="J613" s="1228">
        <f>+I613*H613</f>
        <v/>
      </c>
      <c r="K613" s="1280" t="n"/>
      <c r="L613" s="1281">
        <f>J613</f>
        <v/>
      </c>
      <c r="M613" s="1132" t="inlineStr">
        <is>
          <t>Automaitc</t>
        </is>
      </c>
      <c r="Q613" s="1215" t="n"/>
    </row>
    <row r="614" ht="13.5" customHeight="1" s="1134">
      <c r="A614" s="1236" t="n"/>
      <c r="B614" s="1237" t="n"/>
      <c r="C614" s="1237" t="n"/>
      <c r="D614" s="1238" t="n"/>
      <c r="E614" s="1238" t="n"/>
      <c r="F614" s="1238" t="n"/>
      <c r="G614" s="1238" t="n"/>
      <c r="H614" s="1239" t="n"/>
      <c r="I614" s="1253" t="n"/>
      <c r="J614" s="1241">
        <f>+I614*H614</f>
        <v/>
      </c>
      <c r="K614" s="1354" t="n"/>
      <c r="L614" s="1355">
        <f>J614</f>
        <v/>
      </c>
      <c r="M614" s="1231" t="n"/>
      <c r="Q614" s="1215" t="n"/>
    </row>
    <row r="615" ht="12.75" customHeight="1" s="1134">
      <c r="A615" s="1364" t="inlineStr">
        <is>
          <t>twist wires (4wires) - to be used also if "Insul Matl Code' = NONE in case there are 4 twised wires  + drain (5 wires in the group, but only 4 twisted)</t>
        </is>
      </c>
      <c r="B615" s="1256" t="inlineStr">
        <is>
          <t>Twister</t>
        </is>
      </c>
      <c r="C615" s="1256" t="inlineStr">
        <is>
          <t>BT 188</t>
        </is>
      </c>
      <c r="D615" s="1257" t="n"/>
      <c r="E615" s="1257" t="n"/>
      <c r="F615" s="1257" t="n">
        <v>0</v>
      </c>
      <c r="G615" s="1257" t="n">
        <v>1000</v>
      </c>
      <c r="H615" s="1342" t="n">
        <v>17.2</v>
      </c>
      <c r="I615" s="1258" t="n">
        <v>0</v>
      </c>
      <c r="J615" s="1259">
        <f>+I615*H615</f>
        <v/>
      </c>
      <c r="K615" s="1276" t="n"/>
      <c r="L615" s="1277">
        <f>J615</f>
        <v/>
      </c>
      <c r="M615" s="1231" t="inlineStr">
        <is>
          <t>Automaitc</t>
        </is>
      </c>
      <c r="P615" s="1343" t="n"/>
      <c r="Q615" s="1344" t="n"/>
    </row>
    <row r="616" ht="12.75" customHeight="1" s="1134">
      <c r="A616" s="1232" t="n"/>
      <c r="B616" s="1233" t="n"/>
      <c r="C616" s="1233" t="n"/>
      <c r="D616" s="1234" t="n"/>
      <c r="E616" s="1234" t="n"/>
      <c r="F616" s="1234" t="n">
        <v>1001</v>
      </c>
      <c r="G616" s="1234" t="n">
        <v>2000</v>
      </c>
      <c r="H616" s="1226" t="n">
        <v>24.76</v>
      </c>
      <c r="I616" s="1250" t="n">
        <v>0</v>
      </c>
      <c r="J616" s="1228">
        <f>+I616*H616</f>
        <v/>
      </c>
      <c r="K616" s="1280" t="n"/>
      <c r="L616" s="1281">
        <f>J616</f>
        <v/>
      </c>
      <c r="M616" s="1231" t="inlineStr">
        <is>
          <t>Automaitc</t>
        </is>
      </c>
      <c r="P616" s="1345" t="n"/>
      <c r="Q616" s="1215" t="n"/>
    </row>
    <row r="617" ht="12.75" customHeight="1" s="1134">
      <c r="A617" s="1232" t="n"/>
      <c r="B617" s="1233" t="n"/>
      <c r="C617" s="1233" t="n"/>
      <c r="D617" s="1234" t="n"/>
      <c r="E617" s="1234" t="n"/>
      <c r="F617" s="1234" t="n">
        <v>2001</v>
      </c>
      <c r="G617" s="1234" t="n">
        <v>3000</v>
      </c>
      <c r="H617" s="1226" t="n">
        <v>42.88</v>
      </c>
      <c r="I617" s="1250" t="n">
        <v>0</v>
      </c>
      <c r="J617" s="1228">
        <f>+I617*H617</f>
        <v/>
      </c>
      <c r="K617" s="1280" t="n"/>
      <c r="L617" s="1281">
        <f>J617</f>
        <v/>
      </c>
      <c r="M617" s="1231" t="inlineStr">
        <is>
          <t>Automaitc</t>
        </is>
      </c>
      <c r="P617" s="1345" t="n"/>
      <c r="Q617" s="1215" t="n"/>
    </row>
    <row r="618" ht="12.75" customHeight="1" s="1134">
      <c r="A618" s="1232" t="n"/>
      <c r="B618" s="1233" t="n"/>
      <c r="C618" s="1233" t="n"/>
      <c r="D618" s="1234" t="n"/>
      <c r="E618" s="1234" t="n"/>
      <c r="F618" s="1234" t="n">
        <v>3001</v>
      </c>
      <c r="G618" s="1234" t="n">
        <v>4000</v>
      </c>
      <c r="H618" s="1226" t="n">
        <v>76.69</v>
      </c>
      <c r="I618" s="1250" t="n">
        <v>0</v>
      </c>
      <c r="J618" s="1228">
        <f>+I618*H618</f>
        <v/>
      </c>
      <c r="K618" s="1280" t="n"/>
      <c r="L618" s="1281">
        <f>J618</f>
        <v/>
      </c>
      <c r="M618" s="1231" t="inlineStr">
        <is>
          <t>Automaitc</t>
        </is>
      </c>
      <c r="Q618" s="1215" t="n"/>
    </row>
    <row r="619" ht="12.75" customHeight="1" s="1134">
      <c r="A619" s="1232" t="n"/>
      <c r="B619" s="1233" t="n"/>
      <c r="C619" s="1233" t="n"/>
      <c r="D619" s="1264" t="n"/>
      <c r="E619" s="1264" t="n"/>
      <c r="F619" s="1264" t="n">
        <v>4001</v>
      </c>
      <c r="G619" s="1264" t="n">
        <v>5000</v>
      </c>
      <c r="H619" s="1261" t="n">
        <v>129.3</v>
      </c>
      <c r="I619" s="1262" t="n">
        <v>0</v>
      </c>
      <c r="J619" s="1265">
        <f>+I619*H619</f>
        <v/>
      </c>
      <c r="K619" s="1282" t="n"/>
      <c r="L619" s="1353">
        <f>J619</f>
        <v/>
      </c>
      <c r="M619" s="1231" t="inlineStr">
        <is>
          <t>Automaitc</t>
        </is>
      </c>
      <c r="Q619" s="1215" t="n"/>
    </row>
    <row r="620" ht="12.75" customHeight="1" s="1134">
      <c r="A620" s="1232" t="n"/>
      <c r="B620" s="1233" t="n"/>
      <c r="C620" s="1233" t="n"/>
      <c r="D620" s="1264" t="n"/>
      <c r="E620" s="1264" t="n"/>
      <c r="F620" s="1264" t="n">
        <v>5001</v>
      </c>
      <c r="G620" s="1264" t="n">
        <v>99999</v>
      </c>
      <c r="H620" s="1261" t="n">
        <v>129.3</v>
      </c>
      <c r="I620" s="1262" t="n">
        <v>0</v>
      </c>
      <c r="J620" s="1265">
        <f>+I620*H620</f>
        <v/>
      </c>
      <c r="K620" s="1282" t="n"/>
      <c r="L620" s="1353">
        <f>J620</f>
        <v/>
      </c>
      <c r="M620" s="1231" t="inlineStr">
        <is>
          <t>Automaitc</t>
        </is>
      </c>
      <c r="Q620" s="1215" t="n"/>
    </row>
    <row r="621" ht="13.5" customHeight="1" s="1134">
      <c r="A621" s="1236" t="n"/>
      <c r="B621" s="1237" t="n"/>
      <c r="C621" s="1237" t="n"/>
      <c r="D621" s="1238" t="n"/>
      <c r="E621" s="1238" t="n"/>
      <c r="F621" s="1238" t="n"/>
      <c r="G621" s="1238" t="n"/>
      <c r="H621" s="1239" t="n"/>
      <c r="I621" s="1253" t="n"/>
      <c r="J621" s="1241">
        <f>+I621*H621</f>
        <v/>
      </c>
      <c r="K621" s="1354" t="n"/>
      <c r="L621" s="1355">
        <f>J621</f>
        <v/>
      </c>
      <c r="Q621" s="1215" t="n"/>
    </row>
    <row r="622" ht="66.75" customHeight="1" s="1134">
      <c r="A622" s="1365" t="inlineStr">
        <is>
          <t>twist wires (&gt; 4wires) - In case that more than 4 twisted wires in the group use a default time</t>
        </is>
      </c>
      <c r="B622" s="1366" t="inlineStr">
        <is>
          <t xml:space="preserve">Twister   </t>
        </is>
      </c>
      <c r="C622" s="1367" t="inlineStr">
        <is>
          <t>BT 188</t>
        </is>
      </c>
      <c r="D622" s="1299" t="n"/>
      <c r="E622" s="1299" t="n"/>
      <c r="F622" s="1299" t="n">
        <v>0</v>
      </c>
      <c r="G622" s="1299" t="n">
        <v>99999</v>
      </c>
      <c r="H622" s="1368" t="n">
        <v>129.3</v>
      </c>
      <c r="I622" s="1369" t="n">
        <v>0</v>
      </c>
      <c r="J622" s="1370">
        <f>H622*I622</f>
        <v/>
      </c>
      <c r="K622" s="1371" t="n"/>
      <c r="L622" s="1372">
        <f>J622</f>
        <v/>
      </c>
      <c r="M622" s="1231" t="inlineStr">
        <is>
          <t>Manual</t>
        </is>
      </c>
      <c r="Q622" s="1215" t="n"/>
    </row>
    <row r="623" ht="12.75" customHeight="1" s="1134">
      <c r="A623" s="1373" t="inlineStr">
        <is>
          <t>PVC Tube/ Sleeve / Foams  Tapes Cutting
NOTE: 
it includes also “Sleeves filmic” with bigger diameter (up to 100mm²)</t>
        </is>
      </c>
      <c r="B623" s="1374" t="inlineStr">
        <is>
          <t>PVC Tube Cutter</t>
        </is>
      </c>
      <c r="C623" s="1374" t="inlineStr">
        <is>
          <t>ULMER SM 152P</t>
        </is>
      </c>
      <c r="D623" s="1257" t="n">
        <v>0</v>
      </c>
      <c r="E623" s="1257" t="n">
        <v>40</v>
      </c>
      <c r="F623" s="1257" t="n">
        <v>0</v>
      </c>
      <c r="G623" s="1257" t="n">
        <v>100</v>
      </c>
      <c r="H623" s="1342" t="n">
        <v>0.61</v>
      </c>
      <c r="I623" s="1258" t="n">
        <v>0</v>
      </c>
      <c r="J623" s="1259">
        <f>+I623*H623</f>
        <v/>
      </c>
      <c r="K623" s="1276" t="n"/>
      <c r="L623" s="1277">
        <f>J623</f>
        <v/>
      </c>
      <c r="M623" s="1231" t="inlineStr">
        <is>
          <t>Automaitc</t>
        </is>
      </c>
      <c r="Q623" s="1215" t="n"/>
    </row>
    <row r="624" ht="12.75" customHeight="1" s="1134">
      <c r="A624" s="1232" t="n"/>
      <c r="B624" s="1233" t="n"/>
      <c r="C624" s="1233" t="n"/>
      <c r="D624" s="1234" t="n">
        <v>0</v>
      </c>
      <c r="E624" s="1234" t="n">
        <v>40</v>
      </c>
      <c r="F624" s="1234" t="n">
        <v>101</v>
      </c>
      <c r="G624" s="1234" t="n">
        <v>200</v>
      </c>
      <c r="H624" s="1226" t="n">
        <v>0.77</v>
      </c>
      <c r="I624" s="1250" t="n">
        <v>0</v>
      </c>
      <c r="J624" s="1228">
        <f>+I624*H624</f>
        <v/>
      </c>
      <c r="K624" s="1280" t="n"/>
      <c r="L624" s="1281">
        <f>J624</f>
        <v/>
      </c>
      <c r="M624" s="1231" t="inlineStr">
        <is>
          <t>Automaitc</t>
        </is>
      </c>
      <c r="Q624" s="1215" t="n"/>
    </row>
    <row r="625" ht="12.75" customHeight="1" s="1134">
      <c r="A625" s="1232" t="n"/>
      <c r="B625" s="1233" t="n"/>
      <c r="C625" s="1233" t="n"/>
      <c r="D625" s="1234" t="n">
        <v>0</v>
      </c>
      <c r="E625" s="1234" t="n">
        <v>40</v>
      </c>
      <c r="F625" s="1234" t="n">
        <v>201</v>
      </c>
      <c r="G625" s="1234" t="n">
        <v>300</v>
      </c>
      <c r="H625" s="1226" t="n">
        <v>0.97</v>
      </c>
      <c r="I625" s="1250" t="n">
        <v>0</v>
      </c>
      <c r="J625" s="1228">
        <f>+I625*H625</f>
        <v/>
      </c>
      <c r="K625" s="1280" t="n"/>
      <c r="L625" s="1281">
        <f>J625</f>
        <v/>
      </c>
      <c r="M625" s="1231" t="inlineStr">
        <is>
          <t>Automaitc</t>
        </is>
      </c>
      <c r="Q625" s="1215" t="n"/>
    </row>
    <row r="626" ht="12.75" customHeight="1" s="1134">
      <c r="A626" s="1232" t="n"/>
      <c r="B626" s="1233" t="n"/>
      <c r="C626" s="1233" t="n"/>
      <c r="D626" s="1234" t="n">
        <v>0</v>
      </c>
      <c r="E626" s="1234" t="n">
        <v>40</v>
      </c>
      <c r="F626" s="1234" t="n">
        <v>301</v>
      </c>
      <c r="G626" s="1234" t="n">
        <v>400</v>
      </c>
      <c r="H626" s="1226" t="n">
        <v>1.17</v>
      </c>
      <c r="I626" s="1250" t="n">
        <v>0</v>
      </c>
      <c r="J626" s="1228">
        <f>+I626*H626</f>
        <v/>
      </c>
      <c r="K626" s="1280" t="n"/>
      <c r="L626" s="1281">
        <f>J626</f>
        <v/>
      </c>
      <c r="M626" s="1231" t="inlineStr">
        <is>
          <t>Automaitc</t>
        </is>
      </c>
      <c r="Q626" s="1215" t="n"/>
    </row>
    <row r="627" ht="12.75" customHeight="1" s="1134">
      <c r="A627" s="1232" t="n"/>
      <c r="B627" s="1233" t="n"/>
      <c r="C627" s="1233" t="n"/>
      <c r="D627" s="1234" t="n">
        <v>0</v>
      </c>
      <c r="E627" s="1234" t="n">
        <v>40</v>
      </c>
      <c r="F627" s="1234" t="n">
        <v>401</v>
      </c>
      <c r="G627" s="1234" t="n">
        <v>500</v>
      </c>
      <c r="H627" s="1226" t="n">
        <v>1.37</v>
      </c>
      <c r="I627" s="1250" t="n">
        <v>0</v>
      </c>
      <c r="J627" s="1228">
        <f>+I627*H627</f>
        <v/>
      </c>
      <c r="K627" s="1280" t="n"/>
      <c r="L627" s="1281">
        <f>J627</f>
        <v/>
      </c>
      <c r="M627" s="1231" t="inlineStr">
        <is>
          <t>Automaitc</t>
        </is>
      </c>
      <c r="Q627" s="1215" t="n"/>
    </row>
    <row r="628" ht="12.75" customHeight="1" s="1134">
      <c r="A628" s="1232" t="n"/>
      <c r="B628" s="1233" t="n"/>
      <c r="C628" s="1233" t="n"/>
      <c r="D628" s="1234" t="n">
        <v>0</v>
      </c>
      <c r="E628" s="1234" t="n">
        <v>40</v>
      </c>
      <c r="F628" s="1234" t="n">
        <v>501</v>
      </c>
      <c r="G628" s="1234" t="n">
        <v>600</v>
      </c>
      <c r="H628" s="1226" t="n">
        <v>1.57</v>
      </c>
      <c r="I628" s="1250" t="n">
        <v>0</v>
      </c>
      <c r="J628" s="1228">
        <f>+I628*H628</f>
        <v/>
      </c>
      <c r="K628" s="1280" t="n"/>
      <c r="L628" s="1281">
        <f>J628</f>
        <v/>
      </c>
      <c r="M628" s="1231" t="inlineStr">
        <is>
          <t>Automaitc</t>
        </is>
      </c>
      <c r="Q628" s="1215" t="n"/>
    </row>
    <row r="629" ht="12.75" customHeight="1" s="1134">
      <c r="A629" s="1232" t="n"/>
      <c r="B629" s="1233" t="n"/>
      <c r="C629" s="1233" t="n"/>
      <c r="D629" s="1234" t="n">
        <v>0</v>
      </c>
      <c r="E629" s="1234" t="n">
        <v>40</v>
      </c>
      <c r="F629" s="1234" t="n">
        <v>601</v>
      </c>
      <c r="G629" s="1234" t="n">
        <v>700</v>
      </c>
      <c r="H629" s="1226" t="n">
        <v>1.77</v>
      </c>
      <c r="I629" s="1250" t="n">
        <v>0</v>
      </c>
      <c r="J629" s="1228">
        <f>+I629*H629</f>
        <v/>
      </c>
      <c r="K629" s="1280" t="n"/>
      <c r="L629" s="1281">
        <f>J629</f>
        <v/>
      </c>
      <c r="M629" s="1231" t="inlineStr">
        <is>
          <t>Automaitc</t>
        </is>
      </c>
      <c r="Q629" s="1215" t="n"/>
    </row>
    <row r="630" ht="12.75" customHeight="1" s="1134">
      <c r="A630" s="1232" t="n"/>
      <c r="B630" s="1233" t="n"/>
      <c r="C630" s="1233" t="n"/>
      <c r="D630" s="1234" t="n">
        <v>0</v>
      </c>
      <c r="E630" s="1234" t="n">
        <v>40</v>
      </c>
      <c r="F630" s="1234" t="n">
        <v>701</v>
      </c>
      <c r="G630" s="1234" t="n">
        <v>800</v>
      </c>
      <c r="H630" s="1226" t="n">
        <v>1.97</v>
      </c>
      <c r="I630" s="1250" t="n">
        <v>0</v>
      </c>
      <c r="J630" s="1228">
        <f>+I630*H630</f>
        <v/>
      </c>
      <c r="K630" s="1280" t="n"/>
      <c r="L630" s="1281">
        <f>J630</f>
        <v/>
      </c>
      <c r="M630" s="1231" t="inlineStr">
        <is>
          <t>Automaitc</t>
        </is>
      </c>
      <c r="Q630" s="1215" t="n"/>
    </row>
    <row r="631" ht="12.75" customHeight="1" s="1134">
      <c r="A631" s="1232" t="n"/>
      <c r="B631" s="1233" t="n"/>
      <c r="C631" s="1233" t="n"/>
      <c r="D631" s="1234" t="n">
        <v>0</v>
      </c>
      <c r="E631" s="1234" t="n">
        <v>40</v>
      </c>
      <c r="F631" s="1234" t="n">
        <v>801</v>
      </c>
      <c r="G631" s="1234" t="n">
        <v>900</v>
      </c>
      <c r="H631" s="1226" t="n">
        <v>2.17</v>
      </c>
      <c r="I631" s="1250" t="n">
        <v>0</v>
      </c>
      <c r="J631" s="1228">
        <f>+I631*H631</f>
        <v/>
      </c>
      <c r="K631" s="1280" t="n"/>
      <c r="L631" s="1281">
        <f>J631</f>
        <v/>
      </c>
      <c r="M631" s="1231" t="inlineStr">
        <is>
          <t>Automaitc</t>
        </is>
      </c>
      <c r="Q631" s="1215" t="n"/>
    </row>
    <row r="632" ht="12.75" customHeight="1" s="1134">
      <c r="A632" s="1232" t="n"/>
      <c r="B632" s="1233" t="n"/>
      <c r="C632" s="1233" t="n"/>
      <c r="D632" s="1234" t="n">
        <v>0</v>
      </c>
      <c r="E632" s="1234" t="n">
        <v>40</v>
      </c>
      <c r="F632" s="1234" t="n">
        <v>901</v>
      </c>
      <c r="G632" s="1234" t="n">
        <v>1000</v>
      </c>
      <c r="H632" s="1226" t="n">
        <v>2.37</v>
      </c>
      <c r="I632" s="1250" t="n">
        <v>0</v>
      </c>
      <c r="J632" s="1228">
        <f>+I632*H632</f>
        <v/>
      </c>
      <c r="K632" s="1280" t="n"/>
      <c r="L632" s="1281">
        <f>J632</f>
        <v/>
      </c>
      <c r="M632" s="1231" t="inlineStr">
        <is>
          <t>Automaitc</t>
        </is>
      </c>
      <c r="Q632" s="1215" t="n"/>
    </row>
    <row r="633" ht="12.75" customHeight="1" s="1134">
      <c r="A633" s="1232" t="n"/>
      <c r="B633" s="1233" t="n"/>
      <c r="C633" s="1233" t="n"/>
      <c r="D633" s="1234" t="n">
        <v>0</v>
      </c>
      <c r="E633" s="1234" t="n">
        <v>40</v>
      </c>
      <c r="F633" s="1234" t="n">
        <v>1000</v>
      </c>
      <c r="G633" s="1234" t="n">
        <v>1250</v>
      </c>
      <c r="H633" s="1226" t="n">
        <v>2.73</v>
      </c>
      <c r="I633" s="1250" t="n">
        <v>0</v>
      </c>
      <c r="J633" s="1228">
        <f>+I633*H633</f>
        <v/>
      </c>
      <c r="K633" s="1280" t="n"/>
      <c r="L633" s="1281">
        <f>J633</f>
        <v/>
      </c>
      <c r="M633" s="1231" t="inlineStr">
        <is>
          <t>Automaitc</t>
        </is>
      </c>
      <c r="Q633" s="1215" t="n"/>
    </row>
    <row r="634" ht="12.75" customHeight="1" s="1134">
      <c r="A634" s="1232" t="n"/>
      <c r="B634" s="1233" t="n"/>
      <c r="C634" s="1233" t="n"/>
      <c r="D634" s="1234" t="n">
        <v>0</v>
      </c>
      <c r="E634" s="1234" t="n">
        <v>40</v>
      </c>
      <c r="F634" s="1234" t="n">
        <v>1251</v>
      </c>
      <c r="G634" s="1234" t="n">
        <v>1500</v>
      </c>
      <c r="H634" s="1226" t="n">
        <v>3.23</v>
      </c>
      <c r="I634" s="1250" t="n">
        <v>0</v>
      </c>
      <c r="J634" s="1228">
        <f>+I634*H634</f>
        <v/>
      </c>
      <c r="K634" s="1280" t="n"/>
      <c r="L634" s="1281">
        <f>J634</f>
        <v/>
      </c>
      <c r="M634" s="1231" t="inlineStr">
        <is>
          <t>Automaitc</t>
        </is>
      </c>
      <c r="Q634" s="1215" t="n"/>
    </row>
    <row r="635" ht="12.75" customHeight="1" s="1134">
      <c r="A635" s="1232" t="n"/>
      <c r="B635" s="1233" t="n"/>
      <c r="C635" s="1233" t="n"/>
      <c r="D635" s="1234" t="n">
        <v>0</v>
      </c>
      <c r="E635" s="1234" t="n">
        <v>40</v>
      </c>
      <c r="F635" s="1234" t="n">
        <v>1501</v>
      </c>
      <c r="G635" s="1234" t="n">
        <v>1750</v>
      </c>
      <c r="H635" s="1226" t="n">
        <v>3.73</v>
      </c>
      <c r="I635" s="1250" t="n">
        <v>0</v>
      </c>
      <c r="J635" s="1228">
        <f>+I635*H635</f>
        <v/>
      </c>
      <c r="K635" s="1280" t="n"/>
      <c r="L635" s="1281">
        <f>J635</f>
        <v/>
      </c>
      <c r="M635" s="1231" t="inlineStr">
        <is>
          <t>Automaitc</t>
        </is>
      </c>
      <c r="Q635" s="1215" t="n"/>
    </row>
    <row r="636" ht="12.75" customHeight="1" s="1134">
      <c r="A636" s="1232" t="n"/>
      <c r="B636" s="1233" t="n"/>
      <c r="C636" s="1233" t="n"/>
      <c r="D636" s="1264" t="n">
        <v>0</v>
      </c>
      <c r="E636" s="1264" t="n">
        <v>40</v>
      </c>
      <c r="F636" s="1264" t="n">
        <v>1751</v>
      </c>
      <c r="G636" s="1264" t="n">
        <v>2000</v>
      </c>
      <c r="H636" s="1261" t="n">
        <v>4.11</v>
      </c>
      <c r="I636" s="1262" t="n">
        <v>0</v>
      </c>
      <c r="J636" s="1228">
        <f>+I636*H636</f>
        <v/>
      </c>
      <c r="K636" s="1282" t="n"/>
      <c r="L636" s="1281">
        <f>J636</f>
        <v/>
      </c>
      <c r="M636" s="1231" t="inlineStr">
        <is>
          <t>Automaitc</t>
        </is>
      </c>
      <c r="Q636" s="1215" t="n"/>
    </row>
    <row r="637" ht="12.75" customHeight="1" s="1134">
      <c r="A637" s="1232" t="n"/>
      <c r="B637" s="1233" t="n"/>
      <c r="C637" s="1233" t="n"/>
      <c r="D637" s="1264" t="n">
        <v>0</v>
      </c>
      <c r="E637" s="1264" t="n">
        <v>40</v>
      </c>
      <c r="F637" s="1264" t="n">
        <v>2001</v>
      </c>
      <c r="G637" s="1264" t="n">
        <v>2250</v>
      </c>
      <c r="H637" s="1261" t="n">
        <v>4.48</v>
      </c>
      <c r="I637" s="1262" t="n">
        <v>0</v>
      </c>
      <c r="J637" s="1228">
        <f>+I637*H637</f>
        <v/>
      </c>
      <c r="K637" s="1282" t="n"/>
      <c r="L637" s="1281">
        <f>J637</f>
        <v/>
      </c>
      <c r="M637" s="1231" t="inlineStr">
        <is>
          <t>Automaitc</t>
        </is>
      </c>
      <c r="Q637" s="1215" t="n"/>
    </row>
    <row r="638" ht="12.75" customHeight="1" s="1134">
      <c r="A638" s="1232" t="n"/>
      <c r="B638" s="1233" t="n"/>
      <c r="C638" s="1233" t="n"/>
      <c r="D638" s="1264" t="n">
        <v>0</v>
      </c>
      <c r="E638" s="1264" t="n">
        <v>40</v>
      </c>
      <c r="F638" s="1264" t="n">
        <v>2251</v>
      </c>
      <c r="G638" s="1264" t="n">
        <v>2500</v>
      </c>
      <c r="H638" s="1261" t="n">
        <v>4.88</v>
      </c>
      <c r="I638" s="1262" t="n">
        <v>0</v>
      </c>
      <c r="J638" s="1265">
        <f>+I638*H638</f>
        <v/>
      </c>
      <c r="K638" s="1282" t="n"/>
      <c r="L638" s="1353">
        <f>J638</f>
        <v/>
      </c>
      <c r="M638" s="1231" t="inlineStr">
        <is>
          <t>Automaitc</t>
        </is>
      </c>
      <c r="Q638" s="1215" t="n"/>
    </row>
    <row r="639" ht="12.75" customHeight="1" s="1134">
      <c r="A639" s="1232" t="n"/>
      <c r="B639" s="1233" t="n"/>
      <c r="C639" s="1233" t="n"/>
      <c r="D639" s="1264" t="n">
        <v>0</v>
      </c>
      <c r="E639" s="1264" t="n">
        <v>40</v>
      </c>
      <c r="F639" s="1264" t="n">
        <v>2501</v>
      </c>
      <c r="G639" s="1264" t="n">
        <v>2750</v>
      </c>
      <c r="H639" s="1261">
        <f>0.38+H638</f>
        <v/>
      </c>
      <c r="I639" s="1262" t="n">
        <v>0</v>
      </c>
      <c r="J639" s="1265">
        <f>+I639*H639</f>
        <v/>
      </c>
      <c r="K639" s="1282" t="n"/>
      <c r="L639" s="1353">
        <f>J639</f>
        <v/>
      </c>
      <c r="M639" s="1231" t="inlineStr">
        <is>
          <t>Automaitc</t>
        </is>
      </c>
      <c r="Q639" s="1215" t="n"/>
    </row>
    <row r="640" ht="12.75" customHeight="1" s="1134">
      <c r="A640" s="1232" t="n"/>
      <c r="B640" s="1233" t="n"/>
      <c r="C640" s="1233" t="n"/>
      <c r="D640" s="1264" t="n">
        <v>0</v>
      </c>
      <c r="E640" s="1264" t="n">
        <v>40</v>
      </c>
      <c r="F640" s="1264" t="n">
        <v>2751</v>
      </c>
      <c r="G640" s="1264" t="n">
        <v>3000</v>
      </c>
      <c r="H640" s="1261">
        <f>0.38+H639</f>
        <v/>
      </c>
      <c r="I640" s="1262" t="n">
        <v>0</v>
      </c>
      <c r="J640" s="1265">
        <f>+I640*H640</f>
        <v/>
      </c>
      <c r="K640" s="1282" t="n"/>
      <c r="L640" s="1353">
        <f>J640</f>
        <v/>
      </c>
      <c r="M640" s="1231" t="inlineStr">
        <is>
          <t>Automaitc</t>
        </is>
      </c>
      <c r="Q640" s="1215" t="n"/>
    </row>
    <row r="641" ht="12.75" customHeight="1" s="1134">
      <c r="A641" s="1232" t="n"/>
      <c r="B641" s="1233" t="n"/>
      <c r="C641" s="1233" t="n"/>
      <c r="D641" s="1264" t="n">
        <v>0</v>
      </c>
      <c r="E641" s="1264" t="n">
        <v>40</v>
      </c>
      <c r="F641" s="1264" t="n">
        <v>3001</v>
      </c>
      <c r="G641" s="1264" t="n">
        <v>3250</v>
      </c>
      <c r="H641" s="1261">
        <f>0.38+H640</f>
        <v/>
      </c>
      <c r="I641" s="1262" t="n">
        <v>0</v>
      </c>
      <c r="J641" s="1265">
        <f>+I641*H641</f>
        <v/>
      </c>
      <c r="K641" s="1282" t="n"/>
      <c r="L641" s="1353">
        <f>J641</f>
        <v/>
      </c>
      <c r="M641" s="1231" t="inlineStr">
        <is>
          <t>Automaitc</t>
        </is>
      </c>
      <c r="Q641" s="1215" t="n"/>
    </row>
    <row r="642" ht="12.75" customHeight="1" s="1134">
      <c r="A642" s="1232" t="n"/>
      <c r="B642" s="1233" t="n"/>
      <c r="C642" s="1233" t="n"/>
      <c r="D642" s="1264" t="n">
        <v>0</v>
      </c>
      <c r="E642" s="1264" t="n">
        <v>40</v>
      </c>
      <c r="F642" s="1264" t="n">
        <v>3251</v>
      </c>
      <c r="G642" s="1264" t="n">
        <v>3500</v>
      </c>
      <c r="H642" s="1261">
        <f>0.38+H641</f>
        <v/>
      </c>
      <c r="I642" s="1262" t="n">
        <v>0</v>
      </c>
      <c r="J642" s="1265">
        <f>+I642*H642</f>
        <v/>
      </c>
      <c r="K642" s="1282" t="n"/>
      <c r="L642" s="1353">
        <f>J642</f>
        <v/>
      </c>
      <c r="M642" s="1231" t="inlineStr">
        <is>
          <t>Automaitc</t>
        </is>
      </c>
      <c r="Q642" s="1215" t="n"/>
    </row>
    <row r="643" ht="12.75" customHeight="1" s="1134">
      <c r="A643" s="1232" t="n"/>
      <c r="B643" s="1233" t="n"/>
      <c r="C643" s="1233" t="n"/>
      <c r="D643" s="1264" t="n">
        <v>0</v>
      </c>
      <c r="E643" s="1264" t="n">
        <v>40</v>
      </c>
      <c r="F643" s="1264" t="n">
        <v>3501</v>
      </c>
      <c r="G643" s="1264" t="n">
        <v>3750</v>
      </c>
      <c r="H643" s="1261">
        <f>0.38+H642</f>
        <v/>
      </c>
      <c r="I643" s="1262" t="n">
        <v>0</v>
      </c>
      <c r="J643" s="1265">
        <f>+I643*H643</f>
        <v/>
      </c>
      <c r="K643" s="1282" t="n"/>
      <c r="L643" s="1353">
        <f>J643</f>
        <v/>
      </c>
      <c r="M643" s="1231" t="inlineStr">
        <is>
          <t>Automaitc</t>
        </is>
      </c>
      <c r="Q643" s="1215" t="n"/>
    </row>
    <row r="644" ht="12.75" customHeight="1" s="1134">
      <c r="A644" s="1232" t="n"/>
      <c r="B644" s="1233" t="n"/>
      <c r="C644" s="1233" t="n"/>
      <c r="D644" s="1264" t="n">
        <v>0</v>
      </c>
      <c r="E644" s="1264" t="n">
        <v>40</v>
      </c>
      <c r="F644" s="1264" t="n">
        <v>3751</v>
      </c>
      <c r="G644" s="1264" t="n">
        <v>4000</v>
      </c>
      <c r="H644" s="1261">
        <f>0.38+H643</f>
        <v/>
      </c>
      <c r="I644" s="1262" t="n">
        <v>0</v>
      </c>
      <c r="J644" s="1265">
        <f>+I644*H644</f>
        <v/>
      </c>
      <c r="K644" s="1282" t="n"/>
      <c r="L644" s="1353">
        <f>J644</f>
        <v/>
      </c>
      <c r="M644" s="1231" t="inlineStr">
        <is>
          <t>Automaitc</t>
        </is>
      </c>
      <c r="Q644" s="1215" t="n"/>
    </row>
    <row r="645" ht="12.75" customHeight="1" s="1134">
      <c r="A645" s="1232" t="n"/>
      <c r="B645" s="1233" t="n"/>
      <c r="C645" s="1233" t="n"/>
      <c r="D645" s="1264" t="n">
        <v>0</v>
      </c>
      <c r="E645" s="1264" t="n">
        <v>40</v>
      </c>
      <c r="F645" s="1264" t="n">
        <v>4001</v>
      </c>
      <c r="G645" s="1264" t="n">
        <v>4250</v>
      </c>
      <c r="H645" s="1261">
        <f>0.38+H644</f>
        <v/>
      </c>
      <c r="I645" s="1262" t="n">
        <v>0</v>
      </c>
      <c r="J645" s="1265">
        <f>+I645*H645</f>
        <v/>
      </c>
      <c r="K645" s="1282" t="n"/>
      <c r="L645" s="1353">
        <f>J645</f>
        <v/>
      </c>
      <c r="M645" s="1231" t="inlineStr">
        <is>
          <t>Automaitc</t>
        </is>
      </c>
      <c r="Q645" s="1215" t="n"/>
    </row>
    <row r="646" ht="12.75" customHeight="1" s="1134">
      <c r="A646" s="1232" t="n"/>
      <c r="B646" s="1233" t="n"/>
      <c r="C646" s="1233" t="n"/>
      <c r="D646" s="1264" t="n">
        <v>0</v>
      </c>
      <c r="E646" s="1264" t="n">
        <v>40</v>
      </c>
      <c r="F646" s="1264" t="n">
        <v>4251</v>
      </c>
      <c r="G646" s="1264" t="n">
        <v>4500</v>
      </c>
      <c r="H646" s="1261">
        <f>0.38+H645</f>
        <v/>
      </c>
      <c r="I646" s="1262" t="n">
        <v>0</v>
      </c>
      <c r="J646" s="1265">
        <f>+I646*H646</f>
        <v/>
      </c>
      <c r="K646" s="1282" t="n"/>
      <c r="L646" s="1353">
        <f>J646</f>
        <v/>
      </c>
      <c r="M646" s="1231" t="inlineStr">
        <is>
          <t>Automaitc</t>
        </is>
      </c>
      <c r="Q646" s="1215" t="n"/>
    </row>
    <row r="647" ht="12.75" customHeight="1" s="1134">
      <c r="A647" s="1232" t="n"/>
      <c r="B647" s="1233" t="n"/>
      <c r="C647" s="1233" t="n"/>
      <c r="D647" s="1264" t="n">
        <v>0</v>
      </c>
      <c r="E647" s="1264" t="n">
        <v>40</v>
      </c>
      <c r="F647" s="1264" t="n">
        <v>4501</v>
      </c>
      <c r="G647" s="1264" t="n">
        <v>4750</v>
      </c>
      <c r="H647" s="1261">
        <f>0.38+H646</f>
        <v/>
      </c>
      <c r="I647" s="1262" t="n">
        <v>0</v>
      </c>
      <c r="J647" s="1265">
        <f>+I647*H647</f>
        <v/>
      </c>
      <c r="K647" s="1282" t="n"/>
      <c r="L647" s="1353">
        <f>J647</f>
        <v/>
      </c>
      <c r="M647" s="1231" t="inlineStr">
        <is>
          <t>Automaitc</t>
        </is>
      </c>
      <c r="Q647" s="1215" t="n"/>
    </row>
    <row r="648" ht="12.75" customHeight="1" s="1134">
      <c r="A648" s="1232" t="n"/>
      <c r="B648" s="1233" t="n"/>
      <c r="C648" s="1233" t="n"/>
      <c r="D648" s="1264" t="n">
        <v>0</v>
      </c>
      <c r="E648" s="1264" t="n">
        <v>40</v>
      </c>
      <c r="F648" s="1264" t="n">
        <v>4751</v>
      </c>
      <c r="G648" s="1264" t="n">
        <v>5000</v>
      </c>
      <c r="H648" s="1261">
        <f>0.38+H647</f>
        <v/>
      </c>
      <c r="I648" s="1262" t="n">
        <v>0</v>
      </c>
      <c r="J648" s="1265">
        <f>+I648*H648</f>
        <v/>
      </c>
      <c r="K648" s="1282" t="n"/>
      <c r="L648" s="1353">
        <f>J648</f>
        <v/>
      </c>
      <c r="M648" s="1231" t="inlineStr">
        <is>
          <t>Automaitc</t>
        </is>
      </c>
      <c r="Q648" s="1215" t="n"/>
    </row>
    <row r="649" ht="12.75" customHeight="1" s="1134">
      <c r="A649" s="1232" t="n"/>
      <c r="B649" s="1233" t="n"/>
      <c r="C649" s="1233" t="n"/>
      <c r="D649" s="1264" t="n">
        <v>0</v>
      </c>
      <c r="E649" s="1264" t="n">
        <v>40</v>
      </c>
      <c r="F649" s="1264" t="n">
        <v>5001</v>
      </c>
      <c r="G649" s="1264" t="n">
        <v>5250</v>
      </c>
      <c r="H649" s="1261">
        <f>0.38+H648</f>
        <v/>
      </c>
      <c r="I649" s="1262" t="n">
        <v>0</v>
      </c>
      <c r="J649" s="1265">
        <f>+I649*H649</f>
        <v/>
      </c>
      <c r="K649" s="1282" t="n"/>
      <c r="L649" s="1353">
        <f>J649</f>
        <v/>
      </c>
      <c r="M649" s="1231" t="inlineStr">
        <is>
          <t>Automaitc</t>
        </is>
      </c>
      <c r="Q649" s="1215" t="n"/>
    </row>
    <row r="650" ht="12.75" customHeight="1" s="1134">
      <c r="A650" s="1232" t="n"/>
      <c r="B650" s="1233" t="n"/>
      <c r="C650" s="1233" t="n"/>
      <c r="D650" s="1264" t="n">
        <v>0</v>
      </c>
      <c r="E650" s="1264" t="n">
        <v>40</v>
      </c>
      <c r="F650" s="1264" t="n">
        <v>5251</v>
      </c>
      <c r="G650" s="1264" t="n">
        <v>5500</v>
      </c>
      <c r="H650" s="1261">
        <f>0.38+H649</f>
        <v/>
      </c>
      <c r="I650" s="1262" t="n">
        <v>0</v>
      </c>
      <c r="J650" s="1265">
        <f>+I650*H650</f>
        <v/>
      </c>
      <c r="K650" s="1282" t="n"/>
      <c r="L650" s="1353">
        <f>J650</f>
        <v/>
      </c>
      <c r="M650" s="1231" t="inlineStr">
        <is>
          <t>Automaitc</t>
        </is>
      </c>
      <c r="Q650" s="1215" t="n"/>
    </row>
    <row r="651" ht="12.75" customHeight="1" s="1134">
      <c r="A651" s="1232" t="n"/>
      <c r="B651" s="1233" t="n"/>
      <c r="C651" s="1233" t="n"/>
      <c r="D651" s="1264" t="n">
        <v>0</v>
      </c>
      <c r="E651" s="1264" t="n">
        <v>40</v>
      </c>
      <c r="F651" s="1264" t="n">
        <v>5501</v>
      </c>
      <c r="G651" s="1264" t="n">
        <v>5750</v>
      </c>
      <c r="H651" s="1261">
        <f>0.38+H650</f>
        <v/>
      </c>
      <c r="I651" s="1262" t="n">
        <v>0</v>
      </c>
      <c r="J651" s="1265">
        <f>+I651*H651</f>
        <v/>
      </c>
      <c r="K651" s="1282" t="n"/>
      <c r="L651" s="1353">
        <f>J651</f>
        <v/>
      </c>
      <c r="M651" s="1231" t="inlineStr">
        <is>
          <t>Automaitc</t>
        </is>
      </c>
      <c r="Q651" s="1215" t="n"/>
    </row>
    <row r="652" ht="12.75" customHeight="1" s="1134">
      <c r="A652" s="1232" t="n"/>
      <c r="B652" s="1233" t="n"/>
      <c r="C652" s="1233" t="n"/>
      <c r="D652" s="1264" t="n">
        <v>0</v>
      </c>
      <c r="E652" s="1264" t="n">
        <v>40</v>
      </c>
      <c r="F652" s="1264" t="n">
        <v>5751</v>
      </c>
      <c r="G652" s="1264" t="n">
        <v>6000</v>
      </c>
      <c r="H652" s="1261">
        <f>0.38+H651</f>
        <v/>
      </c>
      <c r="I652" s="1262" t="n">
        <v>0</v>
      </c>
      <c r="J652" s="1265">
        <f>+I652*H652</f>
        <v/>
      </c>
      <c r="K652" s="1282" t="n"/>
      <c r="L652" s="1353">
        <f>J652</f>
        <v/>
      </c>
      <c r="M652" s="1231" t="inlineStr">
        <is>
          <t>Automaitc</t>
        </is>
      </c>
      <c r="Q652" s="1215" t="n"/>
    </row>
    <row r="653" ht="12.75" customHeight="1" s="1134">
      <c r="A653" s="1232" t="n"/>
      <c r="B653" s="1233" t="n"/>
      <c r="C653" s="1233" t="n"/>
      <c r="D653" s="1264" t="n">
        <v>0</v>
      </c>
      <c r="E653" s="1264" t="n">
        <v>40</v>
      </c>
      <c r="F653" s="1264" t="n">
        <v>6001</v>
      </c>
      <c r="G653" s="1264" t="n">
        <v>6250</v>
      </c>
      <c r="H653" s="1261">
        <f>0.38+H652</f>
        <v/>
      </c>
      <c r="I653" s="1262" t="n">
        <v>0</v>
      </c>
      <c r="J653" s="1265">
        <f>+I653*H653</f>
        <v/>
      </c>
      <c r="K653" s="1282" t="n"/>
      <c r="L653" s="1353">
        <f>J653</f>
        <v/>
      </c>
      <c r="M653" s="1231" t="inlineStr">
        <is>
          <t>Automaitc</t>
        </is>
      </c>
      <c r="Q653" s="1215" t="n"/>
    </row>
    <row r="654" ht="12.75" customHeight="1" s="1134">
      <c r="A654" s="1232" t="n"/>
      <c r="B654" s="1233" t="n"/>
      <c r="C654" s="1233" t="n"/>
      <c r="D654" s="1264" t="n">
        <v>0</v>
      </c>
      <c r="E654" s="1264" t="n">
        <v>40</v>
      </c>
      <c r="F654" s="1264" t="n">
        <v>6251</v>
      </c>
      <c r="G654" s="1264" t="n">
        <v>6500</v>
      </c>
      <c r="H654" s="1261">
        <f>0.38+H653</f>
        <v/>
      </c>
      <c r="I654" s="1262" t="n">
        <v>0</v>
      </c>
      <c r="J654" s="1265">
        <f>+I654*H654</f>
        <v/>
      </c>
      <c r="K654" s="1282" t="n"/>
      <c r="L654" s="1353">
        <f>J654</f>
        <v/>
      </c>
      <c r="M654" s="1231" t="inlineStr">
        <is>
          <t>Automaitc</t>
        </is>
      </c>
      <c r="Q654" s="1215" t="n"/>
    </row>
    <row r="655" ht="12.75" customHeight="1" s="1134">
      <c r="A655" s="1232" t="n"/>
      <c r="B655" s="1233" t="n"/>
      <c r="C655" s="1233" t="n"/>
      <c r="D655" s="1264" t="n">
        <v>0</v>
      </c>
      <c r="E655" s="1264" t="n">
        <v>40</v>
      </c>
      <c r="F655" s="1264" t="n">
        <v>6501</v>
      </c>
      <c r="G655" s="1264" t="n">
        <v>6750</v>
      </c>
      <c r="H655" s="1261">
        <f>0.38+H654</f>
        <v/>
      </c>
      <c r="I655" s="1262" t="n">
        <v>0</v>
      </c>
      <c r="J655" s="1265">
        <f>+I655*H655</f>
        <v/>
      </c>
      <c r="K655" s="1282" t="n"/>
      <c r="L655" s="1353">
        <f>J655</f>
        <v/>
      </c>
      <c r="M655" s="1231" t="inlineStr">
        <is>
          <t>Automaitc</t>
        </is>
      </c>
      <c r="Q655" s="1215" t="n"/>
    </row>
    <row r="656" ht="12.75" customHeight="1" s="1134">
      <c r="A656" s="1232" t="n"/>
      <c r="B656" s="1233" t="n"/>
      <c r="C656" s="1233" t="n"/>
      <c r="D656" s="1264" t="n">
        <v>0</v>
      </c>
      <c r="E656" s="1264" t="n">
        <v>40</v>
      </c>
      <c r="F656" s="1264" t="n">
        <v>6751</v>
      </c>
      <c r="G656" s="1264" t="n">
        <v>7000</v>
      </c>
      <c r="H656" s="1261">
        <f>0.38+H655</f>
        <v/>
      </c>
      <c r="I656" s="1262" t="n">
        <v>0</v>
      </c>
      <c r="J656" s="1265">
        <f>+I656*H656</f>
        <v/>
      </c>
      <c r="K656" s="1282" t="n"/>
      <c r="L656" s="1353">
        <f>J656</f>
        <v/>
      </c>
      <c r="M656" s="1231" t="inlineStr">
        <is>
          <t>Automaitc</t>
        </is>
      </c>
      <c r="Q656" s="1215" t="n"/>
    </row>
    <row r="657" ht="12.75" customHeight="1" s="1134">
      <c r="A657" s="1232" t="n"/>
      <c r="B657" s="1233" t="n"/>
      <c r="C657" s="1233" t="n"/>
      <c r="D657" s="1264" t="n">
        <v>0</v>
      </c>
      <c r="E657" s="1264" t="n">
        <v>40</v>
      </c>
      <c r="F657" s="1264" t="n">
        <v>7001</v>
      </c>
      <c r="G657" s="1264" t="n">
        <v>7250</v>
      </c>
      <c r="H657" s="1261">
        <f>0.38+H656</f>
        <v/>
      </c>
      <c r="I657" s="1262" t="n">
        <v>0</v>
      </c>
      <c r="J657" s="1265">
        <f>+I657*H657</f>
        <v/>
      </c>
      <c r="K657" s="1282" t="n"/>
      <c r="L657" s="1353">
        <f>J657</f>
        <v/>
      </c>
      <c r="M657" s="1231" t="inlineStr">
        <is>
          <t>Automaitc</t>
        </is>
      </c>
      <c r="Q657" s="1215" t="n"/>
    </row>
    <row r="658" ht="12.75" customHeight="1" s="1134">
      <c r="A658" s="1232" t="n"/>
      <c r="B658" s="1233" t="n"/>
      <c r="C658" s="1233" t="n"/>
      <c r="D658" s="1264" t="n">
        <v>0</v>
      </c>
      <c r="E658" s="1264" t="n">
        <v>40</v>
      </c>
      <c r="F658" s="1264" t="n">
        <v>7251</v>
      </c>
      <c r="G658" s="1264" t="n">
        <v>7500</v>
      </c>
      <c r="H658" s="1261">
        <f>0.38+H657</f>
        <v/>
      </c>
      <c r="I658" s="1262" t="n">
        <v>0</v>
      </c>
      <c r="J658" s="1265">
        <f>+I658*H658</f>
        <v/>
      </c>
      <c r="K658" s="1282" t="n"/>
      <c r="L658" s="1353">
        <f>J658</f>
        <v/>
      </c>
      <c r="M658" s="1231" t="inlineStr">
        <is>
          <t>Automaitc</t>
        </is>
      </c>
      <c r="Q658" s="1215" t="n"/>
    </row>
    <row r="659" ht="12.75" customHeight="1" s="1134">
      <c r="A659" s="1232" t="n"/>
      <c r="B659" s="1233" t="n"/>
      <c r="C659" s="1233" t="n"/>
      <c r="D659" s="1264" t="n">
        <v>0</v>
      </c>
      <c r="E659" s="1264" t="n">
        <v>40</v>
      </c>
      <c r="F659" s="1264" t="n">
        <v>7501</v>
      </c>
      <c r="G659" s="1264" t="n">
        <v>7750</v>
      </c>
      <c r="H659" s="1261">
        <f>0.38+H658</f>
        <v/>
      </c>
      <c r="I659" s="1262" t="n">
        <v>0</v>
      </c>
      <c r="J659" s="1265">
        <f>+I659*H659</f>
        <v/>
      </c>
      <c r="K659" s="1282" t="n"/>
      <c r="L659" s="1353">
        <f>J659</f>
        <v/>
      </c>
      <c r="M659" s="1231" t="inlineStr">
        <is>
          <t>Automaitc</t>
        </is>
      </c>
      <c r="Q659" s="1215" t="n"/>
    </row>
    <row r="660" ht="12.75" customHeight="1" s="1134">
      <c r="A660" s="1232" t="n"/>
      <c r="B660" s="1233" t="n"/>
      <c r="C660" s="1233" t="n"/>
      <c r="D660" s="1264" t="n">
        <v>0</v>
      </c>
      <c r="E660" s="1264" t="n">
        <v>40</v>
      </c>
      <c r="F660" s="1264" t="n">
        <v>7751</v>
      </c>
      <c r="G660" s="1264" t="n">
        <v>8000</v>
      </c>
      <c r="H660" s="1261">
        <f>0.38+H659</f>
        <v/>
      </c>
      <c r="I660" s="1262" t="n">
        <v>0</v>
      </c>
      <c r="J660" s="1265">
        <f>+I660*H660</f>
        <v/>
      </c>
      <c r="K660" s="1282" t="n"/>
      <c r="L660" s="1353">
        <f>J660</f>
        <v/>
      </c>
      <c r="M660" s="1231" t="inlineStr">
        <is>
          <t>Automaitc</t>
        </is>
      </c>
      <c r="Q660" s="1215" t="n"/>
    </row>
    <row r="661" ht="12.75" customHeight="1" s="1134">
      <c r="A661" s="1232" t="n"/>
      <c r="B661" s="1233" t="n"/>
      <c r="C661" s="1233" t="n"/>
      <c r="D661" s="1264" t="n">
        <v>0</v>
      </c>
      <c r="E661" s="1264" t="n">
        <v>40</v>
      </c>
      <c r="F661" s="1264" t="n">
        <v>8001</v>
      </c>
      <c r="G661" s="1264" t="n">
        <v>8250</v>
      </c>
      <c r="H661" s="1261">
        <f>0.38+H660</f>
        <v/>
      </c>
      <c r="I661" s="1262" t="n">
        <v>0</v>
      </c>
      <c r="J661" s="1265">
        <f>+I661*H661</f>
        <v/>
      </c>
      <c r="K661" s="1282" t="n"/>
      <c r="L661" s="1353">
        <f>J661</f>
        <v/>
      </c>
      <c r="M661" s="1231" t="inlineStr">
        <is>
          <t>Automaitc</t>
        </is>
      </c>
      <c r="Q661" s="1215" t="n"/>
    </row>
    <row r="662" ht="12.75" customHeight="1" s="1134">
      <c r="A662" s="1232" t="n"/>
      <c r="B662" s="1233" t="n"/>
      <c r="C662" s="1233" t="n"/>
      <c r="D662" s="1264" t="n">
        <v>0</v>
      </c>
      <c r="E662" s="1264" t="n">
        <v>40</v>
      </c>
      <c r="F662" s="1264" t="n">
        <v>8251</v>
      </c>
      <c r="G662" s="1264" t="n">
        <v>8500</v>
      </c>
      <c r="H662" s="1261">
        <f>0.38+H661</f>
        <v/>
      </c>
      <c r="I662" s="1262" t="n">
        <v>0</v>
      </c>
      <c r="J662" s="1265">
        <f>+I662*H662</f>
        <v/>
      </c>
      <c r="K662" s="1282" t="n"/>
      <c r="L662" s="1353">
        <f>J662</f>
        <v/>
      </c>
      <c r="M662" s="1231" t="inlineStr">
        <is>
          <t>Automaitc</t>
        </is>
      </c>
      <c r="Q662" s="1215" t="n"/>
    </row>
    <row r="663" ht="12.75" customHeight="1" s="1134">
      <c r="A663" s="1232" t="n"/>
      <c r="B663" s="1233" t="n"/>
      <c r="C663" s="1233" t="n"/>
      <c r="D663" s="1264" t="n">
        <v>0</v>
      </c>
      <c r="E663" s="1264" t="n">
        <v>40</v>
      </c>
      <c r="F663" s="1264" t="n">
        <v>8501</v>
      </c>
      <c r="G663" s="1264" t="n">
        <v>8750</v>
      </c>
      <c r="H663" s="1261">
        <f>0.38+H662</f>
        <v/>
      </c>
      <c r="I663" s="1262" t="n">
        <v>0</v>
      </c>
      <c r="J663" s="1265">
        <f>+I663*H663</f>
        <v/>
      </c>
      <c r="K663" s="1282" t="n"/>
      <c r="L663" s="1353">
        <f>J663</f>
        <v/>
      </c>
      <c r="M663" s="1231" t="inlineStr">
        <is>
          <t>Automaitc</t>
        </is>
      </c>
      <c r="Q663" s="1215" t="n"/>
    </row>
    <row r="664" ht="12.75" customHeight="1" s="1134">
      <c r="A664" s="1232" t="n"/>
      <c r="B664" s="1233" t="n"/>
      <c r="C664" s="1233" t="n"/>
      <c r="D664" s="1264" t="n">
        <v>0</v>
      </c>
      <c r="E664" s="1264" t="n">
        <v>40</v>
      </c>
      <c r="F664" s="1264" t="n">
        <v>8751</v>
      </c>
      <c r="G664" s="1264" t="n">
        <v>9000</v>
      </c>
      <c r="H664" s="1261">
        <f>0.38+H663</f>
        <v/>
      </c>
      <c r="I664" s="1262" t="n">
        <v>0</v>
      </c>
      <c r="J664" s="1265">
        <f>+I664*H664</f>
        <v/>
      </c>
      <c r="K664" s="1282" t="n"/>
      <c r="L664" s="1353">
        <f>J664</f>
        <v/>
      </c>
      <c r="M664" s="1231" t="inlineStr">
        <is>
          <t>Automaitc</t>
        </is>
      </c>
      <c r="Q664" s="1215" t="n"/>
    </row>
    <row r="665" ht="12.75" customHeight="1" s="1134">
      <c r="A665" s="1232" t="n"/>
      <c r="B665" s="1233" t="n"/>
      <c r="C665" s="1233" t="n"/>
      <c r="D665" s="1264" t="n">
        <v>0</v>
      </c>
      <c r="E665" s="1264" t="n">
        <v>40</v>
      </c>
      <c r="F665" s="1264" t="n">
        <v>9001</v>
      </c>
      <c r="G665" s="1264" t="n">
        <v>9250</v>
      </c>
      <c r="H665" s="1261">
        <f>0.38+H664</f>
        <v/>
      </c>
      <c r="I665" s="1262" t="n">
        <v>0</v>
      </c>
      <c r="J665" s="1265">
        <f>+I665*H665</f>
        <v/>
      </c>
      <c r="K665" s="1282" t="n"/>
      <c r="L665" s="1353">
        <f>J665</f>
        <v/>
      </c>
      <c r="M665" s="1231" t="inlineStr">
        <is>
          <t>Automaitc</t>
        </is>
      </c>
      <c r="Q665" s="1215" t="n"/>
    </row>
    <row r="666" ht="12.75" customHeight="1" s="1134">
      <c r="A666" s="1232" t="n"/>
      <c r="B666" s="1233" t="n"/>
      <c r="C666" s="1233" t="n"/>
      <c r="D666" s="1264" t="n">
        <v>0</v>
      </c>
      <c r="E666" s="1264" t="n">
        <v>40</v>
      </c>
      <c r="F666" s="1264" t="n">
        <v>9251</v>
      </c>
      <c r="G666" s="1264" t="n">
        <v>9500</v>
      </c>
      <c r="H666" s="1261">
        <f>0.38+H665</f>
        <v/>
      </c>
      <c r="I666" s="1262" t="n">
        <v>0</v>
      </c>
      <c r="J666" s="1265">
        <f>+I666*H666</f>
        <v/>
      </c>
      <c r="K666" s="1282" t="n"/>
      <c r="L666" s="1353">
        <f>J666</f>
        <v/>
      </c>
      <c r="M666" s="1231" t="inlineStr">
        <is>
          <t>Automaitc</t>
        </is>
      </c>
      <c r="Q666" s="1215" t="n"/>
    </row>
    <row r="667" ht="12.75" customHeight="1" s="1134">
      <c r="A667" s="1232" t="n"/>
      <c r="B667" s="1233" t="n"/>
      <c r="C667" s="1233" t="n"/>
      <c r="D667" s="1264" t="n">
        <v>0</v>
      </c>
      <c r="E667" s="1264" t="n">
        <v>40</v>
      </c>
      <c r="F667" s="1264" t="n">
        <v>9501</v>
      </c>
      <c r="G667" s="1264" t="n">
        <v>9750</v>
      </c>
      <c r="H667" s="1261">
        <f>0.38+H666</f>
        <v/>
      </c>
      <c r="I667" s="1262" t="n">
        <v>0</v>
      </c>
      <c r="J667" s="1265">
        <f>+I667*H667</f>
        <v/>
      </c>
      <c r="K667" s="1282" t="n"/>
      <c r="L667" s="1353">
        <f>J667</f>
        <v/>
      </c>
      <c r="M667" s="1231" t="inlineStr">
        <is>
          <t>Automaitc</t>
        </is>
      </c>
      <c r="Q667" s="1215" t="n"/>
    </row>
    <row r="668" ht="12.75" customHeight="1" s="1134">
      <c r="A668" s="1232" t="n"/>
      <c r="B668" s="1233" t="n"/>
      <c r="C668" s="1233" t="n"/>
      <c r="D668" s="1264" t="n">
        <v>0</v>
      </c>
      <c r="E668" s="1264" t="n">
        <v>40</v>
      </c>
      <c r="F668" s="1264" t="n">
        <v>9751</v>
      </c>
      <c r="G668" s="1264" t="n">
        <v>10000</v>
      </c>
      <c r="H668" s="1261">
        <f>0.38+H667</f>
        <v/>
      </c>
      <c r="I668" s="1262" t="n">
        <v>0</v>
      </c>
      <c r="J668" s="1265">
        <f>+I668*H668</f>
        <v/>
      </c>
      <c r="K668" s="1282" t="n"/>
      <c r="L668" s="1353">
        <f>J668</f>
        <v/>
      </c>
      <c r="M668" s="1231" t="inlineStr">
        <is>
          <t>Automaitc</t>
        </is>
      </c>
      <c r="Q668" s="1215" t="n"/>
    </row>
    <row r="669" ht="12.75" customHeight="1" s="1134">
      <c r="A669" s="1232" t="n"/>
      <c r="B669" s="1233" t="n"/>
      <c r="C669" s="1233" t="n"/>
      <c r="D669" s="1264" t="n"/>
      <c r="E669" s="1264" t="n"/>
      <c r="F669" s="1264" t="n"/>
      <c r="G669" s="1264" t="n"/>
      <c r="H669" s="1261" t="n"/>
      <c r="I669" s="1263" t="n"/>
      <c r="J669" s="1265">
        <f>+I669*H669</f>
        <v/>
      </c>
      <c r="K669" s="1282" t="n"/>
      <c r="L669" s="1353">
        <f>J669</f>
        <v/>
      </c>
      <c r="Q669" s="1215" t="n"/>
    </row>
    <row r="670" ht="12.75" customHeight="1" s="1134">
      <c r="A670" s="1232" t="n"/>
      <c r="B670" s="1233" t="n"/>
      <c r="C670" s="1233" t="n"/>
      <c r="D670" s="1264" t="n"/>
      <c r="E670" s="1264" t="n"/>
      <c r="F670" s="1264" t="n"/>
      <c r="G670" s="1264" t="n"/>
      <c r="H670" s="1261" t="n"/>
      <c r="I670" s="1263" t="n"/>
      <c r="J670" s="1265">
        <f>+I670*H670</f>
        <v/>
      </c>
      <c r="K670" s="1282" t="n"/>
      <c r="L670" s="1353">
        <f>J670</f>
        <v/>
      </c>
      <c r="Q670" s="1215" t="n"/>
    </row>
    <row r="671" ht="12.75" customHeight="1" s="1134">
      <c r="A671" s="1232" t="n"/>
      <c r="B671" s="1233" t="n"/>
      <c r="C671" s="1233" t="n"/>
      <c r="D671" s="1264" t="n"/>
      <c r="E671" s="1264" t="n"/>
      <c r="F671" s="1264" t="n"/>
      <c r="G671" s="1264" t="n"/>
      <c r="H671" s="1261" t="n"/>
      <c r="I671" s="1263" t="n"/>
      <c r="J671" s="1265">
        <f>+I671*H671</f>
        <v/>
      </c>
      <c r="K671" s="1282" t="n"/>
      <c r="L671" s="1353">
        <f>J671</f>
        <v/>
      </c>
      <c r="Q671" s="1215" t="n"/>
    </row>
    <row r="672" ht="12.75" customHeight="1" s="1134">
      <c r="A672" s="1232" t="n"/>
      <c r="B672" s="1233" t="n"/>
      <c r="C672" s="1233" t="n"/>
      <c r="D672" s="1264" t="n"/>
      <c r="E672" s="1264" t="n"/>
      <c r="F672" s="1264" t="n"/>
      <c r="G672" s="1264" t="n"/>
      <c r="H672" s="1261" t="n"/>
      <c r="I672" s="1263" t="n"/>
      <c r="J672" s="1265">
        <f>+I672*H672</f>
        <v/>
      </c>
      <c r="K672" s="1282" t="n"/>
      <c r="L672" s="1353">
        <f>J672</f>
        <v/>
      </c>
      <c r="Q672" s="1215" t="n"/>
    </row>
    <row r="673" ht="12.75" customHeight="1" s="1134">
      <c r="A673" s="1232" t="n"/>
      <c r="B673" s="1233" t="n"/>
      <c r="C673" s="1233" t="n"/>
      <c r="D673" s="1264" t="n"/>
      <c r="E673" s="1264" t="n"/>
      <c r="F673" s="1264" t="n"/>
      <c r="G673" s="1264" t="n"/>
      <c r="H673" s="1261" t="n"/>
      <c r="I673" s="1263" t="n"/>
      <c r="J673" s="1265">
        <f>+I673*H673</f>
        <v/>
      </c>
      <c r="K673" s="1282" t="n"/>
      <c r="L673" s="1353">
        <f>J673</f>
        <v/>
      </c>
      <c r="Q673" s="1215" t="n"/>
    </row>
    <row r="674" ht="12.75" customHeight="1" s="1134">
      <c r="A674" s="1232" t="n"/>
      <c r="B674" s="1233" t="n"/>
      <c r="C674" s="1233" t="n"/>
      <c r="D674" s="1264" t="n"/>
      <c r="E674" s="1264" t="n"/>
      <c r="F674" s="1264" t="n"/>
      <c r="G674" s="1264" t="n"/>
      <c r="H674" s="1261" t="n"/>
      <c r="I674" s="1263" t="n"/>
      <c r="J674" s="1265">
        <f>+I674*H674</f>
        <v/>
      </c>
      <c r="K674" s="1282" t="n"/>
      <c r="L674" s="1353">
        <f>J674</f>
        <v/>
      </c>
      <c r="Q674" s="1215" t="n"/>
    </row>
    <row r="675" ht="12.75" customHeight="1" s="1134">
      <c r="A675" s="1255" t="inlineStr">
        <is>
          <t xml:space="preserve">cut / strip of wires with short lengths </t>
        </is>
      </c>
      <c r="B675" s="1323" t="inlineStr">
        <is>
          <t>Specially for quotes where sometimes very short cables appear and time is not applied. For these ranges the terminal should be applied in a press since cutter has no capability</t>
        </is>
      </c>
      <c r="C675" s="1375" t="inlineStr">
        <is>
          <t xml:space="preserve">Virtual cutting machine </t>
        </is>
      </c>
      <c r="D675" s="1376" t="n">
        <v>0</v>
      </c>
      <c r="E675" s="1376" t="n">
        <v>6</v>
      </c>
      <c r="F675" s="1376" t="n">
        <v>1</v>
      </c>
      <c r="G675" s="1376" t="n">
        <v>59</v>
      </c>
      <c r="H675" s="1377" t="n">
        <v>1.12</v>
      </c>
      <c r="I675" s="1378" t="n">
        <v>0</v>
      </c>
      <c r="J675" s="1357">
        <f>+I675*H675</f>
        <v/>
      </c>
      <c r="K675" s="1358" t="n"/>
      <c r="L675" s="1359">
        <f>J675</f>
        <v/>
      </c>
      <c r="M675" s="1132" t="inlineStr">
        <is>
          <t>Automaitc</t>
        </is>
      </c>
      <c r="Q675" s="1215" t="n"/>
    </row>
    <row r="676" ht="12.75" customHeight="1" s="1134">
      <c r="A676" s="1232" t="n"/>
      <c r="B676" s="1233" t="n"/>
      <c r="C676" s="1233" t="n"/>
      <c r="D676" s="1264" t="n">
        <v>6.1</v>
      </c>
      <c r="E676" s="1264" t="n">
        <v>103</v>
      </c>
      <c r="F676" s="1264" t="n">
        <v>1</v>
      </c>
      <c r="G676" s="1264" t="n">
        <v>59</v>
      </c>
      <c r="H676" s="1379" t="n">
        <v>3.34</v>
      </c>
      <c r="I676" s="1262" t="n">
        <v>0</v>
      </c>
      <c r="J676" s="1265">
        <f>+I676*H676</f>
        <v/>
      </c>
      <c r="K676" s="1282" t="n"/>
      <c r="L676" s="1353">
        <f>J676</f>
        <v/>
      </c>
      <c r="M676" s="1132" t="inlineStr">
        <is>
          <t>Automaitc</t>
        </is>
      </c>
      <c r="Q676" s="1215" t="n"/>
    </row>
    <row r="677" ht="12.75" customHeight="1" s="1134">
      <c r="A677" s="1232" t="n"/>
      <c r="B677" s="1233" t="n"/>
      <c r="C677" s="1233" t="n"/>
      <c r="D677" s="1264" t="n"/>
      <c r="E677" s="1264" t="n"/>
      <c r="F677" s="1264" t="n"/>
      <c r="G677" s="1264" t="n"/>
      <c r="H677" s="1379" t="n"/>
      <c r="I677" s="1263" t="n"/>
      <c r="J677" s="1265">
        <f>+I677*H677</f>
        <v/>
      </c>
      <c r="K677" s="1282" t="n"/>
      <c r="L677" s="1353">
        <f>J677</f>
        <v/>
      </c>
      <c r="Q677" s="1215" t="n"/>
    </row>
    <row r="678" ht="12.75" customHeight="1" s="1134">
      <c r="A678" s="1232" t="n"/>
      <c r="B678" s="1233" t="n"/>
      <c r="C678" s="1233" t="n"/>
      <c r="D678" s="1264" t="n"/>
      <c r="E678" s="1264" t="n"/>
      <c r="F678" s="1264" t="n"/>
      <c r="G678" s="1264" t="n"/>
      <c r="H678" s="1379" t="n"/>
      <c r="I678" s="1263" t="n"/>
      <c r="J678" s="1265">
        <f>+I678*H678</f>
        <v/>
      </c>
      <c r="K678" s="1282" t="n"/>
      <c r="L678" s="1353">
        <f>J678</f>
        <v/>
      </c>
      <c r="Q678" s="1215" t="n"/>
    </row>
    <row r="679" ht="12.75" customHeight="1" s="1134">
      <c r="A679" s="1232" t="n"/>
      <c r="B679" s="1233" t="n"/>
      <c r="C679" s="1233" t="n"/>
      <c r="D679" s="1264" t="n"/>
      <c r="E679" s="1264" t="n"/>
      <c r="F679" s="1264" t="n"/>
      <c r="G679" s="1264" t="n"/>
      <c r="H679" s="1379" t="n"/>
      <c r="I679" s="1263" t="n"/>
      <c r="J679" s="1265">
        <f>+I679*H679</f>
        <v/>
      </c>
      <c r="K679" s="1282" t="n"/>
      <c r="L679" s="1353">
        <f>J679</f>
        <v/>
      </c>
      <c r="Q679" s="1215" t="n"/>
    </row>
    <row r="680" ht="12.75" customHeight="1" s="1134">
      <c r="A680" s="1232" t="n"/>
      <c r="B680" s="1233" t="n"/>
      <c r="C680" s="1233" t="n"/>
      <c r="D680" s="1264" t="n"/>
      <c r="E680" s="1264" t="n"/>
      <c r="F680" s="1264" t="n"/>
      <c r="G680" s="1264" t="n"/>
      <c r="H680" s="1379" t="n"/>
      <c r="I680" s="1263" t="n"/>
      <c r="J680" s="1265">
        <f>+I680*H680</f>
        <v/>
      </c>
      <c r="K680" s="1282" t="n"/>
      <c r="L680" s="1353">
        <f>J680</f>
        <v/>
      </c>
      <c r="Q680" s="1215" t="n"/>
    </row>
    <row r="681" ht="13.5" customHeight="1" s="1134">
      <c r="A681" s="1236" t="n"/>
      <c r="B681" s="1237" t="n"/>
      <c r="C681" s="1237" t="n"/>
      <c r="D681" s="1238" t="n"/>
      <c r="E681" s="1238" t="n"/>
      <c r="F681" s="1238" t="n"/>
      <c r="G681" s="1238" t="n"/>
      <c r="H681" s="1380" t="n"/>
      <c r="I681" s="1253" t="n"/>
      <c r="J681" s="1241">
        <f>+I681*H681</f>
        <v/>
      </c>
      <c r="K681" s="1354" t="n"/>
      <c r="L681" s="1355">
        <f>J681</f>
        <v/>
      </c>
      <c r="Q681" s="1215" t="n"/>
    </row>
    <row r="682" ht="49.5" customHeight="1" s="1134">
      <c r="A682" s="1381" t="n"/>
      <c r="B682" s="1382" t="n"/>
      <c r="C682" s="1382" t="n"/>
      <c r="D682" s="1382" t="n"/>
      <c r="E682" s="1382" t="n"/>
      <c r="F682" s="1382" t="n"/>
      <c r="G682" s="1382" t="n"/>
      <c r="H682" s="1383" t="inlineStr">
        <is>
          <t>TOTAL</t>
        </is>
      </c>
      <c r="I682" s="1382" t="n"/>
      <c r="J682" s="1382">
        <f>SUM(J26:J681)+SUM('LEAD PREP'!K50:K66)+SUM('LEAD PREP FA'!K50:K66)</f>
        <v/>
      </c>
      <c r="K682" s="1382" t="n"/>
      <c r="L682" s="1382">
        <f>SUM(L26:L681)+SUM('LEAD PREP'!K50:K66)+SUM('LEAD PREP FA'!K50:K66)</f>
        <v/>
      </c>
    </row>
    <row r="683" ht="12.75" customHeight="1" s="1134">
      <c r="A683" s="1381" t="n"/>
      <c r="B683" s="1382" t="n"/>
      <c r="C683" s="1382" t="n"/>
      <c r="D683" s="1382" t="n"/>
      <c r="E683" s="1382" t="n"/>
      <c r="F683" s="1382" t="n"/>
      <c r="G683" s="1382" t="n"/>
      <c r="H683" s="1384" t="n"/>
      <c r="I683" s="1385" t="n"/>
      <c r="J683" s="1385" t="n"/>
      <c r="K683" s="1385" t="n"/>
      <c r="L683" s="1385" t="n"/>
    </row>
    <row r="684" ht="14.25" customHeight="1" s="1134">
      <c r="A684" s="1381" t="n"/>
      <c r="B684" s="1382" t="n"/>
      <c r="C684" s="1382" t="n"/>
      <c r="D684" s="1382" t="n"/>
      <c r="E684" s="1382" t="n"/>
      <c r="F684" s="1382" t="n"/>
      <c r="G684" s="1382" t="n"/>
      <c r="H684" s="1384" t="n"/>
      <c r="I684" s="1385" t="n"/>
      <c r="J684" s="1385" t="n"/>
      <c r="K684" s="1385" t="n"/>
      <c r="L684" s="1385" t="n"/>
    </row>
    <row r="685" ht="23.25" customHeight="1" s="1134">
      <c r="A685" s="1381" t="n"/>
      <c r="B685" s="1382" t="n"/>
      <c r="C685" s="1382" t="n"/>
      <c r="D685" s="1382" t="n"/>
      <c r="E685" s="1382" t="n"/>
      <c r="F685" s="1382" t="n"/>
      <c r="G685" s="1382" t="n"/>
      <c r="H685" s="1384" t="inlineStr">
        <is>
          <t xml:space="preserve"> TOTAL</t>
        </is>
      </c>
      <c r="I685" s="1386" t="inlineStr">
        <is>
          <t>CUT</t>
        </is>
      </c>
      <c r="J685" s="1386">
        <f>J682-J687-J689</f>
        <v/>
      </c>
      <c r="K685" s="1386" t="n"/>
      <c r="L685" s="1386">
        <f>L682-L687-L689</f>
        <v/>
      </c>
    </row>
    <row r="686" ht="12.75" customHeight="1" s="1134">
      <c r="A686" s="1381" t="n"/>
      <c r="B686" s="1382" t="n"/>
      <c r="C686" s="1382" t="n"/>
      <c r="D686" s="1382" t="n"/>
      <c r="E686" s="1382" t="n"/>
      <c r="F686" s="1382" t="n"/>
      <c r="G686" s="1382" t="n"/>
      <c r="H686" s="1384" t="n"/>
      <c r="I686" s="1385" t="n"/>
      <c r="J686" s="1385" t="n"/>
      <c r="K686" s="1385" t="n"/>
      <c r="L686" s="1385" t="n"/>
    </row>
    <row r="687" ht="23.25" customHeight="1" s="1134">
      <c r="A687" s="1381" t="n"/>
      <c r="B687" s="1382" t="n"/>
      <c r="C687" s="1382" t="n"/>
      <c r="D687" s="1382" t="n"/>
      <c r="E687" s="1382" t="n"/>
      <c r="F687" s="1382" t="n"/>
      <c r="G687" s="1382" t="n"/>
      <c r="H687" s="1384" t="inlineStr">
        <is>
          <t>TOTAL</t>
        </is>
      </c>
      <c r="I687" s="1386" t="inlineStr">
        <is>
          <t>TUBE</t>
        </is>
      </c>
      <c r="J687" s="1386">
        <f>SUM(J478:J569)+SUM(J623:J674)+SUM('LEAD PREP'!K50:K66)+SUM('LEAD PREP FA'!K50:K66)</f>
        <v/>
      </c>
      <c r="K687" s="1386" t="n"/>
      <c r="L687" s="1386">
        <f>SUM(L478:L569)+SUM(L623:L674)+SUM('LEAD PREP'!K50:K66)+SUM('LEAD PREP FA'!K50:K66)</f>
        <v/>
      </c>
    </row>
    <row r="688" ht="12.75" customHeight="1" s="1134">
      <c r="A688" s="1381" t="n"/>
      <c r="B688" s="1382" t="n"/>
      <c r="C688" s="1382" t="n"/>
      <c r="D688" s="1382" t="n"/>
      <c r="E688" s="1382" t="n"/>
      <c r="F688" s="1382" t="n"/>
      <c r="G688" s="1382" t="n"/>
      <c r="H688" s="1387" t="n"/>
      <c r="I688" s="1385" t="n"/>
      <c r="J688" s="1385" t="n"/>
      <c r="K688" s="1385" t="n"/>
      <c r="L688" s="1385" t="n"/>
    </row>
    <row r="689" ht="23.25" customHeight="1" s="1134">
      <c r="A689" s="1381" t="n"/>
      <c r="B689" s="1382" t="n"/>
      <c r="C689" s="1382" t="n"/>
      <c r="D689" s="1382" t="n"/>
      <c r="E689" s="1382" t="n"/>
      <c r="F689" s="1382" t="n"/>
      <c r="G689" s="1382" t="n"/>
      <c r="H689" s="1384" t="inlineStr">
        <is>
          <t>TOTAL</t>
        </is>
      </c>
      <c r="I689" s="1386" t="inlineStr">
        <is>
          <t>BT 188 TWISTER</t>
        </is>
      </c>
      <c r="J689" s="1386">
        <f>J608+J609+J610+J611+J614+J615+J616+J617+J618+J621+J570+J571+J572+J573+J574+J575+J576+J577+J578+J579+J580+J581+J582+J620+J619+J613+J612+J592+J591+J590+J589+J588+J587+J586+J585+J584+J583+J622+SUM(J594:J607)</f>
        <v/>
      </c>
      <c r="K689" s="1386" t="n"/>
      <c r="L689" s="1386">
        <f>SUM(L570:L593,L608:L622)+SUM(L594:L607)</f>
        <v/>
      </c>
    </row>
    <row r="690" ht="12.75" customHeight="1" s="1134">
      <c r="A690" s="1381" t="n"/>
      <c r="B690" s="1382" t="n"/>
      <c r="C690" s="1382" t="n"/>
      <c r="D690" s="1382" t="n"/>
      <c r="E690" s="1382" t="n"/>
      <c r="F690" s="1382" t="n"/>
      <c r="G690" s="1382" t="n"/>
      <c r="H690" s="1387" t="n"/>
      <c r="I690" s="1385" t="n"/>
      <c r="J690" s="1385" t="n"/>
      <c r="K690" s="1385" t="n"/>
      <c r="L690" s="1385" t="n"/>
    </row>
    <row r="691" ht="12.75" customHeight="1" s="1134">
      <c r="A691" s="1381" t="n"/>
      <c r="B691" s="1382" t="n"/>
      <c r="C691" s="1382" t="n"/>
      <c r="D691" s="1382" t="n"/>
      <c r="E691" s="1382" t="n"/>
      <c r="F691" s="1382" t="n"/>
      <c r="G691" s="1382" t="n"/>
      <c r="H691" s="1387" t="n"/>
      <c r="I691" s="1385" t="n"/>
      <c r="J691" s="1385" t="n"/>
      <c r="K691" s="1385" t="n"/>
      <c r="L691" s="1385" t="n"/>
    </row>
    <row r="692" ht="12.75" customHeight="1" s="1134">
      <c r="A692" s="1381" t="n"/>
      <c r="B692" s="1382" t="n"/>
      <c r="C692" s="1382" t="n"/>
      <c r="D692" s="1382" t="n"/>
      <c r="E692" s="1382" t="n"/>
      <c r="F692" s="1382" t="n"/>
      <c r="G692" s="1382" t="n"/>
      <c r="H692" s="1387" t="n"/>
      <c r="I692" s="1385" t="n"/>
      <c r="J692" s="1385" t="n"/>
      <c r="K692" s="1385" t="n"/>
      <c r="L692" s="1385" t="n"/>
    </row>
    <row r="693" ht="12.75" customHeight="1" s="1134">
      <c r="A693" s="1381" t="n"/>
      <c r="B693" s="1382" t="n"/>
      <c r="C693" s="1382" t="n"/>
      <c r="D693" s="1382" t="n"/>
      <c r="E693" s="1382" t="n"/>
      <c r="F693" s="1382" t="n"/>
      <c r="G693" s="1382" t="n"/>
      <c r="H693" s="1388" t="n"/>
      <c r="I693" s="1382" t="n"/>
      <c r="J693" s="1382" t="n"/>
      <c r="K693" s="1382" t="n"/>
      <c r="L693" s="1382" t="n"/>
    </row>
    <row r="694" ht="12.75" customHeight="1" s="1134">
      <c r="A694" s="1381" t="n"/>
      <c r="B694" s="1382" t="n"/>
      <c r="C694" s="1382" t="n"/>
      <c r="D694" s="1382" t="n"/>
      <c r="E694" s="1382" t="n"/>
      <c r="F694" s="1382" t="n"/>
      <c r="G694" s="1382" t="n"/>
      <c r="H694" s="1388" t="n"/>
      <c r="I694" s="1382" t="n"/>
      <c r="J694" s="1382" t="n"/>
      <c r="K694" s="1382" t="n"/>
      <c r="L694" s="1382" t="n"/>
    </row>
    <row r="695" ht="12.75" customHeight="1" s="1134">
      <c r="A695" s="1381" t="n"/>
      <c r="B695" s="1382" t="n"/>
      <c r="C695" s="1382" t="n"/>
      <c r="D695" s="1382" t="n"/>
      <c r="E695" s="1382" t="n"/>
      <c r="F695" s="1382" t="n"/>
      <c r="G695" s="1382" t="n"/>
      <c r="H695" s="1388" t="n"/>
      <c r="I695" s="1382" t="n"/>
      <c r="J695" s="1382" t="n"/>
      <c r="K695" s="1382" t="n"/>
      <c r="L695" s="1382" t="n"/>
    </row>
    <row r="696" ht="12.75" customHeight="1" s="1134">
      <c r="A696" s="1381" t="n"/>
      <c r="B696" s="1382" t="n"/>
      <c r="C696" s="1382" t="n"/>
      <c r="D696" s="1382" t="n"/>
      <c r="E696" s="1382" t="n"/>
      <c r="F696" s="1382" t="n"/>
      <c r="G696" s="1382" t="n"/>
      <c r="H696" s="1388" t="n"/>
      <c r="I696" s="1382" t="n"/>
      <c r="J696" s="1382" t="n"/>
      <c r="K696" s="1382" t="n"/>
      <c r="L696" s="1382" t="n"/>
    </row>
    <row r="697" ht="12.75" customHeight="1" s="1134">
      <c r="A697" s="1381" t="n"/>
      <c r="B697" s="1382" t="n"/>
      <c r="C697" s="1382" t="n"/>
      <c r="D697" s="1382" t="n"/>
      <c r="E697" s="1382" t="n"/>
      <c r="F697" s="1382" t="n"/>
      <c r="G697" s="1382" t="n"/>
      <c r="H697" s="1388" t="n"/>
      <c r="I697" s="1382" t="n"/>
      <c r="J697" s="1382" t="n"/>
      <c r="K697" s="1382" t="n"/>
      <c r="L697" s="1382" t="n"/>
    </row>
    <row r="698" ht="12.75" customHeight="1" s="1134">
      <c r="A698" s="1381" t="n"/>
      <c r="B698" s="1382" t="n"/>
      <c r="C698" s="1382" t="n"/>
      <c r="D698" s="1382" t="n"/>
      <c r="E698" s="1382" t="n"/>
      <c r="F698" s="1382" t="n"/>
      <c r="G698" s="1382" t="n"/>
      <c r="H698" s="1388" t="n"/>
      <c r="I698" s="1382" t="n"/>
      <c r="J698" s="1382" t="n"/>
      <c r="K698" s="1382" t="n"/>
      <c r="L698" s="1382" t="n"/>
    </row>
    <row r="699" ht="12.75" customHeight="1" s="1134">
      <c r="A699" s="1381" t="n"/>
      <c r="B699" s="1382" t="n"/>
      <c r="C699" s="1382" t="n"/>
      <c r="D699" s="1382" t="n"/>
      <c r="E699" s="1382" t="n"/>
      <c r="F699" s="1382" t="n"/>
      <c r="G699" s="1382" t="n"/>
      <c r="H699" s="1388" t="n"/>
      <c r="I699" s="1382" t="n"/>
      <c r="J699" s="1382" t="n"/>
      <c r="K699" s="1382" t="n"/>
      <c r="L699" s="1382" t="n"/>
    </row>
    <row r="700" ht="12.75" customHeight="1" s="1134">
      <c r="A700" s="1381" t="n"/>
      <c r="B700" s="1382" t="n"/>
      <c r="C700" s="1382" t="n"/>
      <c r="D700" s="1382" t="n"/>
      <c r="E700" s="1382" t="n"/>
      <c r="F700" s="1382" t="n"/>
      <c r="G700" s="1382" t="n"/>
      <c r="H700" s="1388" t="n"/>
      <c r="I700" s="1382" t="n"/>
      <c r="J700" s="1382" t="n"/>
      <c r="K700" s="1382" t="n"/>
      <c r="L700" s="1382" t="n"/>
    </row>
    <row r="701" ht="12.75" customHeight="1" s="1134">
      <c r="A701" s="1381" t="n"/>
      <c r="B701" s="1382" t="n"/>
      <c r="C701" s="1382" t="n"/>
      <c r="D701" s="1382" t="n"/>
      <c r="E701" s="1382" t="n"/>
      <c r="F701" s="1382" t="n"/>
      <c r="G701" s="1382" t="n"/>
      <c r="H701" s="1388" t="n"/>
      <c r="I701" s="1382" t="n"/>
      <c r="J701" s="1382" t="n"/>
      <c r="K701" s="1382" t="n"/>
      <c r="L701" s="1382" t="n"/>
    </row>
    <row r="702" ht="12.75" customHeight="1" s="1134">
      <c r="A702" s="1381" t="n"/>
      <c r="B702" s="1382" t="n"/>
      <c r="C702" s="1382" t="n"/>
      <c r="D702" s="1382" t="n"/>
      <c r="E702" s="1382" t="n"/>
      <c r="F702" s="1382" t="n"/>
      <c r="G702" s="1382" t="n"/>
      <c r="H702" s="1388" t="n"/>
      <c r="I702" s="1382" t="n"/>
      <c r="J702" s="1382" t="n"/>
      <c r="K702" s="1382" t="n"/>
      <c r="L702" s="1382" t="n"/>
    </row>
    <row r="703" ht="12.75" customHeight="1" s="1134">
      <c r="A703" s="1381" t="n"/>
      <c r="B703" s="1382" t="n"/>
      <c r="C703" s="1382" t="n"/>
      <c r="D703" s="1382" t="n"/>
      <c r="E703" s="1382" t="n"/>
      <c r="F703" s="1382" t="n"/>
      <c r="G703" s="1382" t="n"/>
      <c r="H703" s="1388" t="n"/>
      <c r="I703" s="1382" t="n"/>
      <c r="J703" s="1382" t="n"/>
      <c r="K703" s="1382" t="n"/>
      <c r="L703" s="1382" t="n"/>
    </row>
    <row r="704" ht="12.75" customHeight="1" s="1134">
      <c r="A704" s="1381" t="n"/>
      <c r="B704" s="1382" t="n"/>
      <c r="C704" s="1382" t="n"/>
      <c r="D704" s="1382" t="n"/>
      <c r="E704" s="1382" t="n"/>
      <c r="F704" s="1382" t="n"/>
      <c r="G704" s="1382" t="n"/>
      <c r="H704" s="1388" t="n"/>
      <c r="I704" s="1382" t="n"/>
      <c r="J704" s="1382" t="n"/>
      <c r="K704" s="1382" t="n"/>
      <c r="L704" s="1382" t="n"/>
    </row>
    <row r="705" ht="12.75" customHeight="1" s="1134">
      <c r="A705" s="1381" t="n"/>
      <c r="B705" s="1382" t="n"/>
      <c r="C705" s="1382" t="n"/>
      <c r="D705" s="1382" t="n"/>
      <c r="E705" s="1382" t="n"/>
      <c r="F705" s="1382" t="n"/>
      <c r="G705" s="1382" t="n"/>
      <c r="H705" s="1388" t="n"/>
      <c r="I705" s="1382" t="n"/>
      <c r="J705" s="1382" t="n"/>
      <c r="K705" s="1382" t="n"/>
      <c r="L705" s="1382" t="n"/>
    </row>
    <row r="706" ht="12.75" customHeight="1" s="1134">
      <c r="A706" s="1381" t="n"/>
      <c r="B706" s="1382" t="n"/>
      <c r="C706" s="1382" t="n"/>
      <c r="D706" s="1382" t="n"/>
      <c r="E706" s="1382" t="n"/>
      <c r="F706" s="1382" t="n"/>
      <c r="G706" s="1382" t="n"/>
      <c r="H706" s="1388" t="n"/>
      <c r="I706" s="1382" t="n"/>
      <c r="J706" s="1382" t="n"/>
      <c r="K706" s="1382" t="n"/>
      <c r="L706" s="1382" t="n"/>
    </row>
    <row r="707" ht="12.75" customHeight="1" s="1134">
      <c r="A707" s="1381" t="n"/>
      <c r="B707" s="1382" t="n"/>
      <c r="C707" s="1382" t="n"/>
      <c r="D707" s="1382" t="n"/>
      <c r="E707" s="1382" t="n"/>
      <c r="F707" s="1382" t="n"/>
      <c r="G707" s="1382" t="n"/>
      <c r="H707" s="1388" t="n"/>
      <c r="I707" s="1382" t="n"/>
      <c r="J707" s="1382" t="n"/>
      <c r="K707" s="1382" t="n"/>
      <c r="L707" s="1382" t="n"/>
    </row>
    <row r="708" ht="12.75" customHeight="1" s="1134">
      <c r="A708" s="1381" t="n"/>
      <c r="B708" s="1382" t="n"/>
      <c r="C708" s="1382" t="n"/>
      <c r="D708" s="1382" t="n"/>
      <c r="E708" s="1382" t="n"/>
      <c r="F708" s="1382" t="n"/>
      <c r="G708" s="1382" t="n"/>
      <c r="H708" s="1388" t="n"/>
      <c r="I708" s="1382" t="n"/>
      <c r="J708" s="1382" t="n"/>
      <c r="K708" s="1382" t="n"/>
      <c r="L708" s="1382" t="n"/>
    </row>
    <row r="709" ht="12.75" customHeight="1" s="1134">
      <c r="A709" s="1381" t="n"/>
      <c r="B709" s="1382" t="n"/>
      <c r="C709" s="1382" t="n"/>
      <c r="D709" s="1382" t="n"/>
      <c r="E709" s="1382" t="n"/>
      <c r="F709" s="1382" t="n"/>
      <c r="G709" s="1382" t="n"/>
      <c r="H709" s="1388" t="n"/>
      <c r="I709" s="1382" t="n"/>
      <c r="J709" s="1382" t="n"/>
      <c r="K709" s="1382" t="n"/>
      <c r="L709" s="1382" t="n"/>
    </row>
    <row r="710" ht="12.75" customHeight="1" s="1134">
      <c r="A710" s="1381" t="n"/>
      <c r="B710" s="1382" t="n"/>
      <c r="C710" s="1382" t="n"/>
      <c r="D710" s="1382" t="n"/>
      <c r="E710" s="1382" t="n"/>
      <c r="F710" s="1382" t="n"/>
      <c r="G710" s="1382" t="n"/>
      <c r="H710" s="1388" t="n"/>
      <c r="I710" s="1382" t="n"/>
      <c r="J710" s="1382" t="n"/>
      <c r="K710" s="1382" t="n"/>
      <c r="L710" s="1382" t="n"/>
    </row>
    <row r="711" ht="12.75" customHeight="1" s="1134">
      <c r="A711" s="1381" t="n"/>
      <c r="B711" s="1382" t="n"/>
      <c r="C711" s="1382" t="n"/>
      <c r="D711" s="1382" t="n"/>
      <c r="E711" s="1382" t="n"/>
      <c r="F711" s="1382" t="n"/>
      <c r="G711" s="1382" t="n"/>
      <c r="H711" s="1388" t="n"/>
      <c r="I711" s="1382" t="n"/>
      <c r="J711" s="1382" t="n"/>
      <c r="K711" s="1382" t="n"/>
      <c r="L711" s="1382" t="n"/>
    </row>
    <row r="712" ht="12.75" customHeight="1" s="1134">
      <c r="A712" s="1381" t="n"/>
      <c r="B712" s="1382" t="n"/>
      <c r="C712" s="1382" t="n"/>
      <c r="D712" s="1382" t="n"/>
      <c r="E712" s="1382" t="n"/>
      <c r="F712" s="1382" t="n"/>
      <c r="G712" s="1382" t="n"/>
      <c r="H712" s="1388" t="n"/>
      <c r="I712" s="1382" t="n"/>
      <c r="J712" s="1382" t="n"/>
      <c r="K712" s="1382" t="n"/>
      <c r="L712" s="1382" t="n"/>
    </row>
    <row r="713" ht="12.75" customHeight="1" s="1134">
      <c r="A713" s="1381" t="n"/>
      <c r="B713" s="1382" t="n"/>
      <c r="C713" s="1382" t="n"/>
      <c r="D713" s="1382" t="n"/>
      <c r="E713" s="1382" t="n"/>
      <c r="F713" s="1382" t="n"/>
      <c r="G713" s="1382" t="n"/>
      <c r="H713" s="1388" t="n"/>
      <c r="I713" s="1382" t="n"/>
      <c r="J713" s="1382" t="n"/>
      <c r="K713" s="1382" t="n"/>
      <c r="L713" s="1382" t="n"/>
    </row>
    <row r="714" ht="12.75" customHeight="1" s="1134">
      <c r="A714" s="1381" t="n"/>
      <c r="B714" s="1382" t="n"/>
      <c r="C714" s="1382" t="n"/>
      <c r="D714" s="1382" t="n"/>
      <c r="E714" s="1382" t="n"/>
      <c r="F714" s="1382" t="n"/>
      <c r="G714" s="1382" t="n"/>
      <c r="H714" s="1388" t="n"/>
      <c r="I714" s="1382" t="n"/>
      <c r="J714" s="1382" t="n"/>
      <c r="K714" s="1382" t="n"/>
      <c r="L714" s="1382" t="n"/>
    </row>
    <row r="715" ht="12.75" customHeight="1" s="1134">
      <c r="A715" s="1381" t="n"/>
      <c r="B715" s="1382" t="n"/>
      <c r="C715" s="1382" t="n"/>
      <c r="D715" s="1382" t="n"/>
      <c r="E715" s="1382" t="n"/>
      <c r="F715" s="1382" t="n"/>
      <c r="G715" s="1382" t="n"/>
      <c r="H715" s="1388" t="n"/>
      <c r="I715" s="1382" t="n"/>
      <c r="J715" s="1382" t="n"/>
      <c r="K715" s="1382" t="n"/>
      <c r="L715" s="1382" t="n"/>
    </row>
    <row r="716" ht="12.75" customHeight="1" s="1134">
      <c r="A716" s="1381" t="n"/>
      <c r="B716" s="1382" t="n"/>
      <c r="C716" s="1382" t="n"/>
      <c r="D716" s="1382" t="n"/>
      <c r="E716" s="1382" t="n"/>
      <c r="F716" s="1382" t="n"/>
      <c r="G716" s="1382" t="n"/>
      <c r="H716" s="1388" t="n"/>
      <c r="I716" s="1382" t="n"/>
      <c r="J716" s="1382" t="n"/>
      <c r="K716" s="1382" t="n"/>
      <c r="L716" s="1382" t="n"/>
    </row>
    <row r="717" ht="12.75" customHeight="1" s="1134">
      <c r="A717" s="1381" t="n"/>
      <c r="B717" s="1382" t="n"/>
      <c r="C717" s="1382" t="n"/>
      <c r="D717" s="1382" t="n"/>
      <c r="E717" s="1382" t="n"/>
      <c r="F717" s="1382" t="n"/>
      <c r="G717" s="1382" t="n"/>
      <c r="H717" s="1388" t="n"/>
      <c r="I717" s="1382" t="n"/>
      <c r="J717" s="1382" t="n"/>
      <c r="K717" s="1382" t="n"/>
      <c r="L717" s="1382" t="n"/>
    </row>
    <row r="718" ht="12.75" customHeight="1" s="1134">
      <c r="A718" s="1381" t="n"/>
      <c r="B718" s="1382" t="n"/>
      <c r="C718" s="1382" t="n"/>
      <c r="D718" s="1382" t="n"/>
      <c r="E718" s="1382" t="n"/>
      <c r="F718" s="1382" t="n"/>
      <c r="G718" s="1382" t="n"/>
      <c r="H718" s="1388" t="n"/>
      <c r="I718" s="1382" t="n"/>
      <c r="J718" s="1382" t="n"/>
      <c r="K718" s="1382" t="n"/>
      <c r="L718" s="1382" t="n"/>
    </row>
    <row r="719" ht="12.75" customHeight="1" s="1134">
      <c r="A719" s="1381" t="n"/>
      <c r="B719" s="1382" t="n"/>
      <c r="C719" s="1382" t="n"/>
      <c r="D719" s="1382" t="n"/>
      <c r="E719" s="1382" t="n"/>
      <c r="F719" s="1382" t="n"/>
      <c r="G719" s="1382" t="n"/>
      <c r="H719" s="1388" t="n"/>
      <c r="I719" s="1382" t="n"/>
      <c r="J719" s="1382" t="n"/>
      <c r="K719" s="1382" t="n"/>
      <c r="L719" s="1382" t="n"/>
    </row>
    <row r="720" ht="12.75" customHeight="1" s="1134">
      <c r="A720" s="1381" t="n"/>
      <c r="B720" s="1382" t="n"/>
      <c r="C720" s="1382" t="n"/>
      <c r="D720" s="1382" t="n"/>
      <c r="E720" s="1382" t="n"/>
      <c r="F720" s="1382" t="n"/>
      <c r="G720" s="1382" t="n"/>
      <c r="H720" s="1388" t="n"/>
      <c r="I720" s="1382" t="n"/>
      <c r="J720" s="1382" t="n"/>
      <c r="K720" s="1382" t="n"/>
      <c r="L720" s="1382" t="n"/>
    </row>
    <row r="721" ht="12.75" customHeight="1" s="1134">
      <c r="A721" s="1381" t="n"/>
      <c r="B721" s="1382" t="n"/>
      <c r="C721" s="1382" t="n"/>
      <c r="D721" s="1382" t="n"/>
      <c r="E721" s="1382" t="n"/>
      <c r="F721" s="1382" t="n"/>
      <c r="G721" s="1382" t="n"/>
      <c r="H721" s="1388" t="n"/>
      <c r="I721" s="1382" t="n"/>
      <c r="J721" s="1382" t="n"/>
      <c r="K721" s="1382" t="n"/>
      <c r="L721" s="1382" t="n"/>
    </row>
    <row r="722" ht="12.75" customHeight="1" s="1134">
      <c r="A722" s="1381" t="n"/>
      <c r="B722" s="1382" t="n"/>
      <c r="C722" s="1382" t="n"/>
      <c r="D722" s="1382" t="n"/>
      <c r="E722" s="1382" t="n"/>
      <c r="F722" s="1382" t="n"/>
      <c r="G722" s="1382" t="n"/>
      <c r="H722" s="1388" t="n"/>
      <c r="I722" s="1382" t="n"/>
      <c r="J722" s="1382" t="n"/>
      <c r="K722" s="1382" t="n"/>
      <c r="L722" s="1382" t="n"/>
    </row>
    <row r="723" ht="12.75" customHeight="1" s="1134">
      <c r="A723" s="1381" t="n"/>
      <c r="B723" s="1382" t="n"/>
      <c r="C723" s="1382" t="n"/>
      <c r="D723" s="1382" t="n"/>
      <c r="E723" s="1382" t="n"/>
      <c r="F723" s="1382" t="n"/>
      <c r="G723" s="1382" t="n"/>
      <c r="H723" s="1388" t="n"/>
      <c r="I723" s="1382" t="n"/>
      <c r="J723" s="1382" t="n"/>
      <c r="K723" s="1382" t="n"/>
      <c r="L723" s="1382" t="n"/>
    </row>
    <row r="724" ht="12.75" customHeight="1" s="1134">
      <c r="A724" s="1381" t="n"/>
      <c r="B724" s="1382" t="n"/>
      <c r="C724" s="1382" t="n"/>
      <c r="D724" s="1382" t="n"/>
      <c r="E724" s="1382" t="n"/>
      <c r="F724" s="1382" t="n"/>
      <c r="G724" s="1382" t="n"/>
      <c r="H724" s="1388" t="n"/>
      <c r="I724" s="1382" t="n"/>
      <c r="J724" s="1382" t="n"/>
      <c r="K724" s="1382" t="n"/>
      <c r="L724" s="1382" t="n"/>
    </row>
    <row r="725" ht="12.75" customHeight="1" s="1134">
      <c r="A725" s="1381" t="n"/>
      <c r="B725" s="1382" t="n"/>
      <c r="C725" s="1382" t="n"/>
      <c r="D725" s="1382" t="n"/>
      <c r="E725" s="1382" t="n"/>
      <c r="F725" s="1382" t="n"/>
      <c r="G725" s="1382" t="n"/>
      <c r="H725" s="1388" t="n"/>
      <c r="I725" s="1382" t="n"/>
      <c r="J725" s="1382" t="n"/>
      <c r="K725" s="1382" t="n"/>
      <c r="L725" s="1382" t="n"/>
    </row>
    <row r="726" ht="12.75" customHeight="1" s="1134">
      <c r="A726" s="1381" t="n"/>
      <c r="B726" s="1382" t="n"/>
      <c r="C726" s="1382" t="n"/>
      <c r="D726" s="1382" t="n"/>
      <c r="E726" s="1382" t="n"/>
      <c r="F726" s="1382" t="n"/>
      <c r="G726" s="1382" t="n"/>
      <c r="H726" s="1388" t="n"/>
      <c r="I726" s="1382" t="n"/>
      <c r="J726" s="1382" t="n"/>
      <c r="K726" s="1382" t="n"/>
      <c r="L726" s="1382" t="n"/>
    </row>
    <row r="727" ht="12.75" customHeight="1" s="1134">
      <c r="A727" s="1381" t="n"/>
      <c r="B727" s="1382" t="n"/>
      <c r="C727" s="1382" t="n"/>
      <c r="D727" s="1382" t="n"/>
      <c r="E727" s="1382" t="n"/>
      <c r="F727" s="1382" t="n"/>
      <c r="G727" s="1382" t="n"/>
      <c r="H727" s="1388" t="n"/>
      <c r="I727" s="1382" t="n"/>
      <c r="J727" s="1382" t="n"/>
      <c r="K727" s="1382" t="n"/>
      <c r="L727" s="1382" t="n"/>
    </row>
    <row r="728" ht="12.75" customHeight="1" s="1134">
      <c r="A728" s="1381" t="n"/>
      <c r="B728" s="1382" t="n"/>
      <c r="C728" s="1382" t="n"/>
      <c r="D728" s="1382" t="n"/>
      <c r="E728" s="1382" t="n"/>
      <c r="F728" s="1382" t="n"/>
      <c r="G728" s="1382" t="n"/>
      <c r="H728" s="1388" t="n"/>
      <c r="I728" s="1382" t="n"/>
      <c r="J728" s="1382" t="n"/>
      <c r="K728" s="1382" t="n"/>
      <c r="L728" s="1382" t="n"/>
    </row>
    <row r="729" ht="12.75" customHeight="1" s="1134">
      <c r="A729" s="1381" t="n"/>
      <c r="B729" s="1382" t="n"/>
      <c r="C729" s="1382" t="n"/>
      <c r="D729" s="1382" t="n"/>
      <c r="E729" s="1382" t="n"/>
      <c r="F729" s="1382" t="n"/>
      <c r="G729" s="1382" t="n"/>
      <c r="H729" s="1388" t="n"/>
      <c r="I729" s="1382" t="n"/>
      <c r="J729" s="1382" t="n"/>
      <c r="K729" s="1382" t="n"/>
      <c r="L729" s="1382" t="n"/>
    </row>
    <row r="730" ht="12.75" customHeight="1" s="1134">
      <c r="A730" s="1381" t="n"/>
      <c r="B730" s="1382" t="n"/>
      <c r="C730" s="1382" t="n"/>
      <c r="D730" s="1382" t="n"/>
      <c r="E730" s="1382" t="n"/>
      <c r="F730" s="1382" t="n"/>
      <c r="G730" s="1382" t="n"/>
      <c r="H730" s="1388" t="n"/>
      <c r="I730" s="1382" t="n"/>
      <c r="J730" s="1382" t="n"/>
      <c r="K730" s="1382" t="n"/>
      <c r="L730" s="1382" t="n"/>
    </row>
    <row r="731" ht="12.75" customHeight="1" s="1134">
      <c r="A731" s="1381" t="n"/>
      <c r="B731" s="1382" t="n"/>
      <c r="C731" s="1382" t="n"/>
      <c r="D731" s="1382" t="n"/>
      <c r="E731" s="1382" t="n"/>
      <c r="F731" s="1382" t="n"/>
      <c r="G731" s="1382" t="n"/>
      <c r="H731" s="1388" t="n"/>
      <c r="I731" s="1382" t="n"/>
      <c r="J731" s="1382" t="n"/>
      <c r="K731" s="1382" t="n"/>
      <c r="L731" s="1382" t="n"/>
    </row>
    <row r="732" ht="12.75" customHeight="1" s="1134">
      <c r="A732" s="1381" t="n"/>
      <c r="B732" s="1382" t="n"/>
      <c r="C732" s="1382" t="n"/>
      <c r="D732" s="1382" t="n"/>
      <c r="E732" s="1382" t="n"/>
      <c r="F732" s="1382" t="n"/>
      <c r="G732" s="1382" t="n"/>
      <c r="H732" s="1388" t="n"/>
      <c r="I732" s="1382" t="n"/>
      <c r="J732" s="1382" t="n"/>
      <c r="K732" s="1382" t="n"/>
      <c r="L732" s="1382" t="n"/>
    </row>
    <row r="733" ht="12.75" customHeight="1" s="1134">
      <c r="A733" s="1381" t="n"/>
      <c r="B733" s="1382" t="n"/>
      <c r="C733" s="1382" t="n"/>
      <c r="D733" s="1382" t="n"/>
      <c r="E733" s="1382" t="n"/>
      <c r="F733" s="1382" t="n"/>
      <c r="G733" s="1382" t="n"/>
      <c r="H733" s="1388" t="n"/>
      <c r="I733" s="1382" t="n"/>
      <c r="J733" s="1382" t="n"/>
      <c r="K733" s="1382" t="n"/>
      <c r="L733" s="1382" t="n"/>
    </row>
    <row r="734" ht="12.75" customHeight="1" s="1134">
      <c r="A734" s="1381" t="n"/>
      <c r="B734" s="1382" t="n"/>
      <c r="C734" s="1382" t="n"/>
      <c r="D734" s="1382" t="n"/>
      <c r="E734" s="1382" t="n"/>
      <c r="F734" s="1382" t="n"/>
      <c r="G734" s="1382" t="n"/>
      <c r="H734" s="1388" t="n"/>
      <c r="I734" s="1382" t="n"/>
      <c r="J734" s="1382" t="n"/>
      <c r="K734" s="1382" t="n"/>
      <c r="L734" s="1382" t="n"/>
    </row>
    <row r="735" ht="12.75" customHeight="1" s="1134">
      <c r="A735" s="1381" t="n"/>
      <c r="B735" s="1382" t="n"/>
      <c r="C735" s="1382" t="n"/>
      <c r="D735" s="1382" t="n"/>
      <c r="E735" s="1382" t="n"/>
      <c r="F735" s="1382" t="n"/>
      <c r="G735" s="1382" t="n"/>
      <c r="H735" s="1388" t="n"/>
      <c r="I735" s="1382" t="n"/>
      <c r="J735" s="1382" t="n"/>
      <c r="K735" s="1382" t="n"/>
      <c r="L735" s="1382" t="n"/>
    </row>
    <row r="736" ht="12.75" customHeight="1" s="1134">
      <c r="A736" s="1381" t="n"/>
      <c r="B736" s="1382" t="n"/>
      <c r="C736" s="1382" t="n"/>
      <c r="D736" s="1382" t="n"/>
      <c r="E736" s="1382" t="n"/>
      <c r="F736" s="1382" t="n"/>
      <c r="G736" s="1382" t="n"/>
      <c r="H736" s="1388" t="n"/>
      <c r="I736" s="1382" t="n"/>
      <c r="J736" s="1382" t="n"/>
      <c r="K736" s="1382" t="n"/>
      <c r="L736" s="1382" t="n"/>
    </row>
    <row r="737" ht="12.75" customHeight="1" s="1134">
      <c r="A737" s="1381" t="n"/>
      <c r="B737" s="1382" t="n"/>
      <c r="C737" s="1382" t="n"/>
      <c r="D737" s="1382" t="n"/>
      <c r="E737" s="1382" t="n"/>
      <c r="F737" s="1382" t="n"/>
      <c r="G737" s="1382" t="n"/>
      <c r="H737" s="1388" t="n"/>
      <c r="I737" s="1382" t="n"/>
      <c r="J737" s="1382" t="n"/>
      <c r="K737" s="1382" t="n"/>
      <c r="L737" s="1382" t="n"/>
    </row>
    <row r="738" ht="12.75" customHeight="1" s="1134">
      <c r="A738" s="1381" t="n"/>
      <c r="B738" s="1382" t="n"/>
      <c r="C738" s="1382" t="n"/>
      <c r="D738" s="1382" t="n"/>
      <c r="E738" s="1382" t="n"/>
      <c r="F738" s="1382" t="n"/>
      <c r="G738" s="1382" t="n"/>
      <c r="H738" s="1388" t="n"/>
      <c r="I738" s="1382" t="n"/>
      <c r="J738" s="1382" t="n"/>
      <c r="K738" s="1382" t="n"/>
      <c r="L738" s="1382" t="n"/>
    </row>
    <row r="739" ht="12.75" customHeight="1" s="1134">
      <c r="A739" s="1381" t="n"/>
      <c r="B739" s="1382" t="n"/>
      <c r="C739" s="1382" t="n"/>
      <c r="D739" s="1382" t="n"/>
      <c r="E739" s="1382" t="n"/>
      <c r="F739" s="1382" t="n"/>
      <c r="G739" s="1382" t="n"/>
      <c r="H739" s="1388" t="n"/>
      <c r="I739" s="1382" t="n"/>
      <c r="J739" s="1382" t="n"/>
      <c r="K739" s="1382" t="n"/>
      <c r="L739" s="1382" t="n"/>
    </row>
    <row r="740" ht="12.75" customHeight="1" s="1134">
      <c r="A740" s="1381" t="n"/>
      <c r="B740" s="1382" t="n"/>
      <c r="C740" s="1382" t="n"/>
      <c r="D740" s="1382" t="n"/>
      <c r="E740" s="1382" t="n"/>
      <c r="F740" s="1382" t="n"/>
      <c r="G740" s="1382" t="n"/>
      <c r="H740" s="1388" t="n"/>
      <c r="I740" s="1382" t="n"/>
      <c r="J740" s="1382" t="n"/>
      <c r="K740" s="1382" t="n"/>
      <c r="L740" s="1382" t="n"/>
    </row>
    <row r="741" ht="12.75" customHeight="1" s="1134">
      <c r="A741" s="1381" t="n"/>
      <c r="B741" s="1382" t="n"/>
      <c r="C741" s="1382" t="n"/>
      <c r="D741" s="1382" t="n"/>
      <c r="E741" s="1382" t="n"/>
      <c r="F741" s="1382" t="n"/>
      <c r="G741" s="1382" t="n"/>
      <c r="H741" s="1388" t="n"/>
      <c r="I741" s="1382" t="n"/>
      <c r="J741" s="1382" t="n"/>
      <c r="K741" s="1382" t="n"/>
      <c r="L741" s="1382" t="n"/>
    </row>
    <row r="742" ht="12.75" customHeight="1" s="1134">
      <c r="A742" s="1381" t="n"/>
      <c r="B742" s="1382" t="n"/>
      <c r="C742" s="1382" t="n"/>
      <c r="D742" s="1382" t="n"/>
      <c r="E742" s="1382" t="n"/>
      <c r="F742" s="1382" t="n"/>
      <c r="G742" s="1382" t="n"/>
      <c r="H742" s="1388" t="n"/>
      <c r="I742" s="1382" t="n"/>
      <c r="J742" s="1382" t="n"/>
      <c r="K742" s="1382" t="n"/>
      <c r="L742" s="1382" t="n"/>
    </row>
    <row r="743" ht="12.75" customHeight="1" s="1134">
      <c r="A743" s="1381" t="n"/>
      <c r="B743" s="1382" t="n"/>
      <c r="C743" s="1382" t="n"/>
      <c r="D743" s="1382" t="n"/>
      <c r="E743" s="1382" t="n"/>
      <c r="F743" s="1382" t="n"/>
      <c r="G743" s="1382" t="n"/>
      <c r="H743" s="1388" t="n"/>
      <c r="I743" s="1382" t="n"/>
      <c r="J743" s="1382" t="n"/>
      <c r="K743" s="1382" t="n"/>
      <c r="L743" s="1382" t="n"/>
    </row>
    <row r="744" ht="12.75" customHeight="1" s="1134">
      <c r="A744" s="1381" t="n"/>
      <c r="B744" s="1382" t="n"/>
      <c r="C744" s="1382" t="n"/>
      <c r="D744" s="1382" t="n"/>
      <c r="E744" s="1382" t="n"/>
      <c r="F744" s="1382" t="n"/>
      <c r="G744" s="1382" t="n"/>
      <c r="H744" s="1388" t="n"/>
      <c r="I744" s="1382" t="n"/>
      <c r="J744" s="1382" t="n"/>
      <c r="K744" s="1382" t="n"/>
      <c r="L744" s="1382" t="n"/>
    </row>
    <row r="745" ht="12.75" customHeight="1" s="1134">
      <c r="A745" s="1381" t="n"/>
      <c r="B745" s="1382" t="n"/>
      <c r="C745" s="1382" t="n"/>
      <c r="D745" s="1382" t="n"/>
      <c r="E745" s="1382" t="n"/>
      <c r="F745" s="1382" t="n"/>
      <c r="G745" s="1382" t="n"/>
      <c r="H745" s="1388" t="n"/>
      <c r="I745" s="1382" t="n"/>
      <c r="J745" s="1382" t="n"/>
      <c r="K745" s="1382" t="n"/>
      <c r="L745" s="1382" t="n"/>
    </row>
    <row r="746" ht="12.75" customHeight="1" s="1134">
      <c r="A746" s="1381" t="n"/>
      <c r="B746" s="1382" t="n"/>
      <c r="C746" s="1382" t="n"/>
      <c r="D746" s="1382" t="n"/>
      <c r="E746" s="1382" t="n"/>
      <c r="F746" s="1382" t="n"/>
      <c r="G746" s="1382" t="n"/>
      <c r="H746" s="1388" t="n"/>
      <c r="I746" s="1382" t="n"/>
      <c r="J746" s="1382" t="n"/>
      <c r="K746" s="1382" t="n"/>
      <c r="L746" s="1382" t="n"/>
    </row>
    <row r="747" ht="12.75" customHeight="1" s="1134">
      <c r="A747" s="1381" t="n"/>
      <c r="B747" s="1382" t="n"/>
      <c r="C747" s="1382" t="n"/>
      <c r="D747" s="1382" t="n"/>
      <c r="E747" s="1382" t="n"/>
      <c r="F747" s="1382" t="n"/>
      <c r="G747" s="1382" t="n"/>
      <c r="H747" s="1388" t="n"/>
      <c r="I747" s="1382" t="n"/>
      <c r="J747" s="1382" t="n"/>
      <c r="K747" s="1382" t="n"/>
      <c r="L747" s="1382" t="n"/>
    </row>
    <row r="748" ht="12.75" customHeight="1" s="1134">
      <c r="A748" s="1381" t="n"/>
      <c r="B748" s="1382" t="n"/>
      <c r="C748" s="1382" t="n"/>
      <c r="D748" s="1382" t="n"/>
      <c r="E748" s="1382" t="n"/>
      <c r="F748" s="1382" t="n"/>
      <c r="G748" s="1382" t="n"/>
      <c r="H748" s="1388" t="n"/>
      <c r="I748" s="1382" t="n"/>
      <c r="J748" s="1382" t="n"/>
      <c r="K748" s="1382" t="n"/>
      <c r="L748" s="1382" t="n"/>
    </row>
    <row r="749" ht="12.75" customHeight="1" s="1134">
      <c r="A749" s="1381" t="n"/>
      <c r="B749" s="1382" t="n"/>
      <c r="C749" s="1382" t="n"/>
      <c r="D749" s="1382" t="n"/>
      <c r="E749" s="1382" t="n"/>
      <c r="F749" s="1382" t="n"/>
      <c r="G749" s="1382" t="n"/>
      <c r="H749" s="1388" t="n"/>
      <c r="I749" s="1382" t="n"/>
      <c r="J749" s="1382" t="n"/>
      <c r="K749" s="1382" t="n"/>
      <c r="L749" s="1382" t="n"/>
    </row>
    <row r="750" ht="12.75" customHeight="1" s="1134">
      <c r="A750" s="1381" t="n"/>
      <c r="B750" s="1382" t="n"/>
      <c r="C750" s="1382" t="n"/>
      <c r="D750" s="1382" t="n"/>
      <c r="E750" s="1382" t="n"/>
      <c r="F750" s="1382" t="n"/>
      <c r="G750" s="1382" t="n"/>
      <c r="H750" s="1388" t="n"/>
      <c r="I750" s="1382" t="n"/>
      <c r="J750" s="1382" t="n"/>
      <c r="K750" s="1382" t="n"/>
      <c r="L750" s="1382" t="n"/>
    </row>
    <row r="751" ht="12.75" customHeight="1" s="1134">
      <c r="A751" s="1381" t="n"/>
      <c r="B751" s="1382" t="n"/>
      <c r="C751" s="1382" t="n"/>
      <c r="D751" s="1382" t="n"/>
      <c r="E751" s="1382" t="n"/>
      <c r="F751" s="1382" t="n"/>
      <c r="G751" s="1382" t="n"/>
      <c r="H751" s="1388" t="n"/>
      <c r="I751" s="1382" t="n"/>
      <c r="J751" s="1382" t="n"/>
      <c r="K751" s="1382" t="n"/>
      <c r="L751" s="1382" t="n"/>
    </row>
    <row r="752" ht="12.75" customHeight="1" s="1134">
      <c r="A752" s="1381" t="n"/>
      <c r="B752" s="1382" t="n"/>
      <c r="C752" s="1382" t="n"/>
      <c r="D752" s="1382" t="n"/>
      <c r="E752" s="1382" t="n"/>
      <c r="F752" s="1382" t="n"/>
      <c r="G752" s="1382" t="n"/>
      <c r="H752" s="1388" t="n"/>
      <c r="I752" s="1382" t="n"/>
      <c r="J752" s="1382" t="n"/>
      <c r="K752" s="1382" t="n"/>
      <c r="L752" s="1382" t="n"/>
    </row>
    <row r="753" ht="12.75" customHeight="1" s="1134">
      <c r="A753" s="1381" t="n"/>
      <c r="B753" s="1382" t="n"/>
      <c r="C753" s="1382" t="n"/>
      <c r="D753" s="1382" t="n"/>
      <c r="E753" s="1382" t="n"/>
      <c r="F753" s="1382" t="n"/>
      <c r="G753" s="1382" t="n"/>
      <c r="H753" s="1388" t="n"/>
      <c r="I753" s="1382" t="n"/>
      <c r="J753" s="1382" t="n"/>
      <c r="K753" s="1382" t="n"/>
      <c r="L753" s="1382" t="n"/>
    </row>
    <row r="754" ht="12.75" customHeight="1" s="1134">
      <c r="A754" s="1381" t="n"/>
      <c r="B754" s="1382" t="n"/>
      <c r="C754" s="1382" t="n"/>
      <c r="D754" s="1382" t="n"/>
      <c r="E754" s="1382" t="n"/>
      <c r="F754" s="1382" t="n"/>
      <c r="G754" s="1382" t="n"/>
      <c r="H754" s="1388" t="n"/>
      <c r="I754" s="1382" t="n"/>
      <c r="J754" s="1382" t="n"/>
      <c r="K754" s="1382" t="n"/>
      <c r="L754" s="1382" t="n"/>
    </row>
    <row r="755" ht="12.75" customHeight="1" s="1134">
      <c r="A755" s="1381" t="n"/>
      <c r="B755" s="1382" t="n"/>
      <c r="C755" s="1382" t="n"/>
      <c r="D755" s="1382" t="n"/>
      <c r="E755" s="1382" t="n"/>
      <c r="F755" s="1382" t="n"/>
      <c r="G755" s="1382" t="n"/>
      <c r="H755" s="1388" t="n"/>
      <c r="I755" s="1382" t="n"/>
      <c r="J755" s="1382" t="n"/>
      <c r="K755" s="1382" t="n"/>
      <c r="L755" s="1382" t="n"/>
    </row>
    <row r="756" ht="12.75" customHeight="1" s="1134">
      <c r="A756" s="1381" t="n"/>
      <c r="B756" s="1382" t="n"/>
      <c r="C756" s="1382" t="n"/>
      <c r="D756" s="1382" t="n"/>
      <c r="E756" s="1382" t="n"/>
      <c r="F756" s="1382" t="n"/>
      <c r="G756" s="1382" t="n"/>
      <c r="H756" s="1388" t="n"/>
      <c r="I756" s="1382" t="n"/>
      <c r="J756" s="1382" t="n"/>
      <c r="K756" s="1382" t="n"/>
      <c r="L756" s="1382" t="n"/>
    </row>
    <row r="757" ht="12.75" customHeight="1" s="1134">
      <c r="A757" s="1381" t="n"/>
      <c r="B757" s="1382" t="n"/>
      <c r="C757" s="1382" t="n"/>
      <c r="D757" s="1382" t="n"/>
      <c r="E757" s="1382" t="n"/>
      <c r="F757" s="1382" t="n"/>
      <c r="G757" s="1382" t="n"/>
      <c r="H757" s="1388" t="n"/>
      <c r="I757" s="1382" t="n"/>
      <c r="J757" s="1382" t="n"/>
      <c r="K757" s="1382" t="n"/>
      <c r="L757" s="1382" t="n"/>
    </row>
    <row r="758" ht="12.75" customHeight="1" s="1134">
      <c r="A758" s="1381" t="n"/>
      <c r="B758" s="1382" t="n"/>
      <c r="C758" s="1382" t="n"/>
      <c r="D758" s="1382" t="n"/>
      <c r="E758" s="1382" t="n"/>
      <c r="F758" s="1382" t="n"/>
      <c r="G758" s="1382" t="n"/>
      <c r="H758" s="1388" t="n"/>
      <c r="I758" s="1382" t="n"/>
      <c r="J758" s="1382" t="n"/>
      <c r="K758" s="1382" t="n"/>
      <c r="L758" s="1382" t="n"/>
    </row>
    <row r="759" ht="12.75" customHeight="1" s="1134">
      <c r="A759" s="1381" t="n"/>
      <c r="B759" s="1382" t="n"/>
      <c r="C759" s="1382" t="n"/>
      <c r="D759" s="1382" t="n"/>
      <c r="E759" s="1382" t="n"/>
      <c r="F759" s="1382" t="n"/>
      <c r="G759" s="1382" t="n"/>
      <c r="H759" s="1388" t="n"/>
      <c r="I759" s="1382" t="n"/>
      <c r="J759" s="1382" t="n"/>
      <c r="K759" s="1382" t="n"/>
      <c r="L759" s="1382" t="n"/>
    </row>
    <row r="760" ht="12.75" customHeight="1" s="1134">
      <c r="A760" s="1381" t="n"/>
      <c r="B760" s="1382" t="n"/>
      <c r="C760" s="1382" t="n"/>
      <c r="D760" s="1382" t="n"/>
      <c r="E760" s="1382" t="n"/>
      <c r="F760" s="1382" t="n"/>
      <c r="G760" s="1382" t="n"/>
      <c r="H760" s="1388" t="n"/>
      <c r="I760" s="1382" t="n"/>
      <c r="J760" s="1382" t="n"/>
      <c r="K760" s="1382" t="n"/>
      <c r="L760" s="1382" t="n"/>
    </row>
    <row r="761" ht="12.75" customHeight="1" s="1134">
      <c r="A761" s="1381" t="n"/>
      <c r="B761" s="1382" t="n"/>
      <c r="C761" s="1382" t="n"/>
      <c r="D761" s="1382" t="n"/>
      <c r="E761" s="1382" t="n"/>
      <c r="F761" s="1382" t="n"/>
      <c r="G761" s="1382" t="n"/>
      <c r="H761" s="1388" t="n"/>
      <c r="I761" s="1382" t="n"/>
      <c r="J761" s="1382" t="n"/>
      <c r="K761" s="1382" t="n"/>
      <c r="L761" s="1382" t="n"/>
    </row>
    <row r="762" ht="12.75" customHeight="1" s="1134">
      <c r="A762" s="1381" t="n"/>
      <c r="B762" s="1382" t="n"/>
      <c r="C762" s="1382" t="n"/>
      <c r="D762" s="1382" t="n"/>
      <c r="E762" s="1382" t="n"/>
      <c r="F762" s="1382" t="n"/>
      <c r="G762" s="1382" t="n"/>
      <c r="H762" s="1388" t="n"/>
      <c r="I762" s="1382" t="n"/>
      <c r="J762" s="1382" t="n"/>
      <c r="K762" s="1382" t="n"/>
      <c r="L762" s="1382" t="n"/>
    </row>
    <row r="763" ht="12.75" customHeight="1" s="1134">
      <c r="A763" s="1381" t="n"/>
      <c r="B763" s="1382" t="n"/>
      <c r="C763" s="1382" t="n"/>
      <c r="D763" s="1382" t="n"/>
      <c r="E763" s="1382" t="n"/>
      <c r="F763" s="1382" t="n"/>
      <c r="G763" s="1382" t="n"/>
      <c r="H763" s="1388" t="n"/>
      <c r="I763" s="1382" t="n"/>
      <c r="J763" s="1382" t="n"/>
      <c r="K763" s="1382" t="n"/>
      <c r="L763" s="1382" t="n"/>
    </row>
    <row r="764" ht="12.75" customHeight="1" s="1134">
      <c r="A764" s="1381" t="n"/>
      <c r="B764" s="1382" t="n"/>
      <c r="C764" s="1382" t="n"/>
      <c r="D764" s="1382" t="n"/>
      <c r="E764" s="1382" t="n"/>
      <c r="F764" s="1382" t="n"/>
      <c r="G764" s="1382" t="n"/>
      <c r="H764" s="1388" t="n"/>
      <c r="I764" s="1382" t="n"/>
      <c r="J764" s="1382" t="n"/>
      <c r="K764" s="1382" t="n"/>
      <c r="L764" s="1382" t="n"/>
    </row>
    <row r="765" ht="12.75" customHeight="1" s="1134">
      <c r="A765" s="1381" t="n"/>
      <c r="B765" s="1382" t="n"/>
      <c r="C765" s="1382" t="n"/>
      <c r="D765" s="1382" t="n"/>
      <c r="E765" s="1382" t="n"/>
      <c r="F765" s="1382" t="n"/>
      <c r="G765" s="1382" t="n"/>
      <c r="H765" s="1388" t="n"/>
      <c r="I765" s="1382" t="n"/>
      <c r="J765" s="1382" t="n"/>
      <c r="K765" s="1382" t="n"/>
      <c r="L765" s="1382" t="n"/>
    </row>
    <row r="766" ht="12.75" customHeight="1" s="1134">
      <c r="A766" s="1381" t="n"/>
      <c r="B766" s="1382" t="n"/>
      <c r="C766" s="1382" t="n"/>
      <c r="D766" s="1382" t="n"/>
      <c r="E766" s="1382" t="n"/>
      <c r="F766" s="1382" t="n"/>
      <c r="G766" s="1382" t="n"/>
      <c r="H766" s="1388" t="n"/>
      <c r="I766" s="1382" t="n"/>
      <c r="J766" s="1382" t="n"/>
      <c r="K766" s="1382" t="n"/>
      <c r="L766" s="1382" t="n"/>
    </row>
    <row r="767" ht="12.75" customHeight="1" s="1134">
      <c r="A767" s="1381" t="n"/>
      <c r="B767" s="1382" t="n"/>
      <c r="C767" s="1382" t="n"/>
      <c r="D767" s="1382" t="n"/>
      <c r="E767" s="1382" t="n"/>
      <c r="F767" s="1382" t="n"/>
      <c r="G767" s="1382" t="n"/>
      <c r="H767" s="1388" t="n"/>
      <c r="I767" s="1382" t="n"/>
      <c r="J767" s="1382" t="n"/>
      <c r="K767" s="1382" t="n"/>
      <c r="L767" s="1382" t="n"/>
    </row>
    <row r="768" ht="12.75" customHeight="1" s="1134">
      <c r="A768" s="1381" t="n"/>
      <c r="B768" s="1382" t="n"/>
      <c r="C768" s="1382" t="n"/>
      <c r="D768" s="1382" t="n"/>
      <c r="E768" s="1382" t="n"/>
      <c r="F768" s="1382" t="n"/>
      <c r="G768" s="1382" t="n"/>
      <c r="H768" s="1388" t="n"/>
      <c r="I768" s="1382" t="n"/>
      <c r="J768" s="1382" t="n"/>
      <c r="K768" s="1382" t="n"/>
      <c r="L768" s="1382" t="n"/>
    </row>
    <row r="769" ht="12.75" customHeight="1" s="1134">
      <c r="A769" s="1381" t="n"/>
      <c r="B769" s="1382" t="n"/>
      <c r="C769" s="1382" t="n"/>
      <c r="D769" s="1382" t="n"/>
      <c r="E769" s="1382" t="n"/>
      <c r="F769" s="1382" t="n"/>
      <c r="G769" s="1382" t="n"/>
      <c r="H769" s="1388" t="n"/>
      <c r="I769" s="1382" t="n"/>
      <c r="J769" s="1382" t="n"/>
      <c r="K769" s="1382" t="n"/>
      <c r="L769" s="1382" t="n"/>
    </row>
    <row r="770" ht="12.75" customHeight="1" s="1134">
      <c r="A770" s="1381" t="n"/>
      <c r="B770" s="1382" t="n"/>
      <c r="C770" s="1382" t="n"/>
      <c r="D770" s="1382" t="n"/>
      <c r="E770" s="1382" t="n"/>
      <c r="F770" s="1382" t="n"/>
      <c r="G770" s="1382" t="n"/>
      <c r="H770" s="1388" t="n"/>
      <c r="I770" s="1382" t="n"/>
      <c r="J770" s="1382" t="n"/>
      <c r="K770" s="1382" t="n"/>
      <c r="L770" s="1382" t="n"/>
    </row>
    <row r="771" ht="12.75" customHeight="1" s="1134">
      <c r="A771" s="1381" t="n"/>
      <c r="B771" s="1382" t="n"/>
      <c r="C771" s="1382" t="n"/>
      <c r="D771" s="1382" t="n"/>
      <c r="E771" s="1382" t="n"/>
      <c r="F771" s="1382" t="n"/>
      <c r="G771" s="1382" t="n"/>
      <c r="H771" s="1388" t="n"/>
      <c r="I771" s="1382" t="n"/>
      <c r="J771" s="1382" t="n"/>
      <c r="K771" s="1382" t="n"/>
      <c r="L771" s="1382" t="n"/>
    </row>
    <row r="772" ht="12.75" customHeight="1" s="1134">
      <c r="A772" s="1381" t="n"/>
      <c r="B772" s="1382" t="n"/>
      <c r="C772" s="1382" t="n"/>
      <c r="D772" s="1382" t="n"/>
      <c r="E772" s="1382" t="n"/>
      <c r="F772" s="1382" t="n"/>
      <c r="G772" s="1382" t="n"/>
      <c r="H772" s="1388" t="n"/>
      <c r="I772" s="1382" t="n"/>
      <c r="J772" s="1382" t="n"/>
      <c r="K772" s="1382" t="n"/>
      <c r="L772" s="1382" t="n"/>
    </row>
    <row r="773" ht="12.75" customHeight="1" s="1134">
      <c r="A773" s="1381" t="n"/>
      <c r="B773" s="1382" t="n"/>
      <c r="C773" s="1382" t="n"/>
      <c r="D773" s="1382" t="n"/>
      <c r="E773" s="1382" t="n"/>
      <c r="F773" s="1382" t="n"/>
      <c r="G773" s="1382" t="n"/>
      <c r="H773" s="1388" t="n"/>
      <c r="I773" s="1382" t="n"/>
      <c r="J773" s="1382" t="n"/>
      <c r="K773" s="1382" t="n"/>
      <c r="L773" s="1382" t="n"/>
    </row>
    <row r="774" ht="12.75" customHeight="1" s="1134">
      <c r="A774" s="1381" t="n"/>
      <c r="B774" s="1382" t="n"/>
      <c r="C774" s="1382" t="n"/>
      <c r="D774" s="1382" t="n"/>
      <c r="E774" s="1382" t="n"/>
      <c r="F774" s="1382" t="n"/>
      <c r="G774" s="1382" t="n"/>
      <c r="H774" s="1388" t="n"/>
      <c r="I774" s="1382" t="n"/>
      <c r="J774" s="1382" t="n"/>
      <c r="K774" s="1382" t="n"/>
      <c r="L774" s="1382" t="n"/>
    </row>
    <row r="775" ht="12.75" customHeight="1" s="1134">
      <c r="A775" s="1381" t="n"/>
      <c r="B775" s="1382" t="n"/>
      <c r="C775" s="1382" t="n"/>
      <c r="D775" s="1382" t="n"/>
      <c r="E775" s="1382" t="n"/>
      <c r="F775" s="1382" t="n"/>
      <c r="G775" s="1382" t="n"/>
      <c r="H775" s="1388" t="n"/>
      <c r="I775" s="1382" t="n"/>
      <c r="J775" s="1382" t="n"/>
      <c r="K775" s="1382" t="n"/>
      <c r="L775" s="1382" t="n"/>
    </row>
    <row r="776" ht="12.75" customHeight="1" s="1134">
      <c r="A776" s="1381" t="n"/>
      <c r="B776" s="1382" t="n"/>
      <c r="C776" s="1382" t="n"/>
      <c r="D776" s="1382" t="n"/>
      <c r="E776" s="1382" t="n"/>
      <c r="F776" s="1382" t="n"/>
      <c r="G776" s="1382" t="n"/>
      <c r="H776" s="1388" t="n"/>
      <c r="I776" s="1382" t="n"/>
      <c r="J776" s="1382" t="n"/>
      <c r="K776" s="1382" t="n"/>
      <c r="L776" s="1382" t="n"/>
    </row>
    <row r="777" ht="12.75" customHeight="1" s="1134">
      <c r="A777" s="1381" t="n"/>
      <c r="B777" s="1382" t="n"/>
      <c r="C777" s="1382" t="n"/>
      <c r="D777" s="1382" t="n"/>
      <c r="E777" s="1382" t="n"/>
      <c r="F777" s="1382" t="n"/>
      <c r="G777" s="1382" t="n"/>
      <c r="H777" s="1388" t="n"/>
      <c r="I777" s="1382" t="n"/>
      <c r="J777" s="1382" t="n"/>
      <c r="K777" s="1382" t="n"/>
      <c r="L777" s="1382" t="n"/>
    </row>
    <row r="778" ht="12.75" customHeight="1" s="1134">
      <c r="A778" s="1381" t="n"/>
      <c r="B778" s="1382" t="n"/>
      <c r="C778" s="1382" t="n"/>
      <c r="D778" s="1382" t="n"/>
      <c r="E778" s="1382" t="n"/>
      <c r="F778" s="1382" t="n"/>
      <c r="G778" s="1382" t="n"/>
      <c r="H778" s="1388" t="n"/>
      <c r="I778" s="1382" t="n"/>
      <c r="J778" s="1382" t="n"/>
      <c r="K778" s="1382" t="n"/>
      <c r="L778" s="1382" t="n"/>
    </row>
    <row r="779" ht="12.75" customHeight="1" s="1134">
      <c r="A779" s="1381" t="n"/>
      <c r="B779" s="1382" t="n"/>
      <c r="C779" s="1382" t="n"/>
      <c r="D779" s="1382" t="n"/>
      <c r="E779" s="1382" t="n"/>
      <c r="F779" s="1382" t="n"/>
      <c r="G779" s="1382" t="n"/>
      <c r="H779" s="1388" t="n"/>
      <c r="I779" s="1382" t="n"/>
      <c r="J779" s="1382" t="n"/>
      <c r="K779" s="1382" t="n"/>
      <c r="L779" s="1382" t="n"/>
    </row>
    <row r="780" ht="12.75" customHeight="1" s="1134">
      <c r="A780" s="1381" t="n"/>
      <c r="B780" s="1382" t="n"/>
      <c r="C780" s="1382" t="n"/>
      <c r="D780" s="1382" t="n"/>
      <c r="E780" s="1382" t="n"/>
      <c r="F780" s="1382" t="n"/>
      <c r="G780" s="1382" t="n"/>
      <c r="H780" s="1388" t="n"/>
      <c r="I780" s="1382" t="n"/>
      <c r="J780" s="1382" t="n"/>
      <c r="K780" s="1382" t="n"/>
      <c r="L780" s="1382" t="n"/>
    </row>
    <row r="781" ht="12.75" customHeight="1" s="1134">
      <c r="A781" s="1381" t="n"/>
      <c r="B781" s="1382" t="n"/>
      <c r="C781" s="1382" t="n"/>
      <c r="D781" s="1382" t="n"/>
      <c r="E781" s="1382" t="n"/>
      <c r="F781" s="1382" t="n"/>
      <c r="G781" s="1382" t="n"/>
      <c r="H781" s="1388" t="n"/>
      <c r="I781" s="1382" t="n"/>
      <c r="J781" s="1382" t="n"/>
      <c r="K781" s="1382" t="n"/>
      <c r="L781" s="1382" t="n"/>
    </row>
    <row r="782" ht="12.75" customHeight="1" s="1134">
      <c r="A782" s="1381" t="n"/>
      <c r="B782" s="1382" t="n"/>
      <c r="C782" s="1382" t="n"/>
      <c r="D782" s="1382" t="n"/>
      <c r="E782" s="1382" t="n"/>
      <c r="F782" s="1382" t="n"/>
      <c r="G782" s="1382" t="n"/>
      <c r="H782" s="1388" t="n"/>
      <c r="I782" s="1382" t="n"/>
      <c r="J782" s="1382" t="n"/>
      <c r="K782" s="1382" t="n"/>
      <c r="L782" s="1382" t="n"/>
    </row>
    <row r="783" ht="12.75" customHeight="1" s="1134">
      <c r="A783" s="1381" t="n"/>
      <c r="B783" s="1382" t="n"/>
      <c r="C783" s="1382" t="n"/>
      <c r="D783" s="1382" t="n"/>
      <c r="E783" s="1382" t="n"/>
      <c r="F783" s="1382" t="n"/>
      <c r="G783" s="1382" t="n"/>
      <c r="H783" s="1388" t="n"/>
      <c r="I783" s="1382" t="n"/>
      <c r="J783" s="1382" t="n"/>
      <c r="K783" s="1382" t="n"/>
      <c r="L783" s="1382" t="n"/>
    </row>
    <row r="784" ht="12.75" customHeight="1" s="1134">
      <c r="A784" s="1381" t="n"/>
      <c r="B784" s="1382" t="n"/>
      <c r="C784" s="1382" t="n"/>
      <c r="D784" s="1382" t="n"/>
      <c r="E784" s="1382" t="n"/>
      <c r="F784" s="1382" t="n"/>
      <c r="G784" s="1382" t="n"/>
      <c r="H784" s="1388" t="n"/>
      <c r="I784" s="1382" t="n"/>
      <c r="J784" s="1382" t="n"/>
      <c r="K784" s="1382" t="n"/>
      <c r="L784" s="1382" t="n"/>
    </row>
    <row r="785" ht="12.75" customHeight="1" s="1134">
      <c r="A785" s="1381" t="n"/>
      <c r="B785" s="1382" t="n"/>
      <c r="C785" s="1382" t="n"/>
      <c r="D785" s="1382" t="n"/>
      <c r="E785" s="1382" t="n"/>
      <c r="F785" s="1382" t="n"/>
      <c r="G785" s="1382" t="n"/>
      <c r="H785" s="1388" t="n"/>
      <c r="I785" s="1382" t="n"/>
      <c r="J785" s="1382" t="n"/>
      <c r="K785" s="1382" t="n"/>
      <c r="L785" s="1382" t="n"/>
    </row>
    <row r="786" ht="12.75" customHeight="1" s="1134">
      <c r="A786" s="1381" t="n"/>
      <c r="B786" s="1382" t="n"/>
      <c r="C786" s="1382" t="n"/>
      <c r="D786" s="1382" t="n"/>
      <c r="E786" s="1382" t="n"/>
      <c r="F786" s="1382" t="n"/>
      <c r="G786" s="1382" t="n"/>
      <c r="H786" s="1388" t="n"/>
      <c r="I786" s="1382" t="n"/>
      <c r="J786" s="1382" t="n"/>
      <c r="K786" s="1382" t="n"/>
      <c r="L786" s="1382" t="n"/>
    </row>
    <row r="787" ht="12.75" customHeight="1" s="1134">
      <c r="A787" s="1381" t="n"/>
      <c r="B787" s="1382" t="n"/>
      <c r="C787" s="1382" t="n"/>
      <c r="D787" s="1382" t="n"/>
      <c r="E787" s="1382" t="n"/>
      <c r="F787" s="1382" t="n"/>
      <c r="G787" s="1382" t="n"/>
      <c r="H787" s="1388" t="n"/>
      <c r="I787" s="1382" t="n"/>
      <c r="J787" s="1382" t="n"/>
      <c r="K787" s="1382" t="n"/>
      <c r="L787" s="1382" t="n"/>
    </row>
    <row r="788" ht="12.75" customHeight="1" s="1134">
      <c r="A788" s="1381" t="n"/>
      <c r="B788" s="1382" t="n"/>
      <c r="C788" s="1382" t="n"/>
      <c r="D788" s="1382" t="n"/>
      <c r="E788" s="1382" t="n"/>
      <c r="F788" s="1382" t="n"/>
      <c r="G788" s="1382" t="n"/>
      <c r="H788" s="1388" t="n"/>
      <c r="I788" s="1382" t="n"/>
      <c r="J788" s="1382" t="n"/>
      <c r="K788" s="1382" t="n"/>
      <c r="L788" s="1382" t="n"/>
    </row>
    <row r="789" ht="12.75" customHeight="1" s="1134">
      <c r="A789" s="1381" t="n"/>
      <c r="B789" s="1382" t="n"/>
      <c r="C789" s="1382" t="n"/>
      <c r="D789" s="1382" t="n"/>
      <c r="E789" s="1382" t="n"/>
      <c r="F789" s="1382" t="n"/>
      <c r="G789" s="1382" t="n"/>
      <c r="H789" s="1388" t="n"/>
      <c r="I789" s="1382" t="n"/>
      <c r="J789" s="1382" t="n"/>
      <c r="K789" s="1382" t="n"/>
      <c r="L789" s="1382" t="n"/>
    </row>
    <row r="790" ht="12.75" customHeight="1" s="1134">
      <c r="A790" s="1381" t="n"/>
      <c r="B790" s="1382" t="n"/>
      <c r="C790" s="1382" t="n"/>
      <c r="D790" s="1382" t="n"/>
      <c r="E790" s="1382" t="n"/>
      <c r="F790" s="1382" t="n"/>
      <c r="G790" s="1382" t="n"/>
      <c r="H790" s="1388" t="n"/>
      <c r="I790" s="1382" t="n"/>
      <c r="J790" s="1382" t="n"/>
      <c r="K790" s="1382" t="n"/>
      <c r="L790" s="1382" t="n"/>
    </row>
    <row r="791" ht="12.75" customHeight="1" s="1134">
      <c r="A791" s="1381" t="n"/>
      <c r="B791" s="1382" t="n"/>
      <c r="C791" s="1382" t="n"/>
      <c r="D791" s="1382" t="n"/>
      <c r="E791" s="1382" t="n"/>
      <c r="F791" s="1382" t="n"/>
      <c r="G791" s="1382" t="n"/>
      <c r="H791" s="1388" t="n"/>
      <c r="I791" s="1382" t="n"/>
      <c r="J791" s="1382" t="n"/>
      <c r="K791" s="1382" t="n"/>
      <c r="L791" s="1382" t="n"/>
    </row>
    <row r="792" ht="12.75" customHeight="1" s="1134">
      <c r="A792" s="1381" t="n"/>
      <c r="B792" s="1382" t="n"/>
      <c r="C792" s="1382" t="n"/>
      <c r="D792" s="1382" t="n"/>
      <c r="E792" s="1382" t="n"/>
      <c r="F792" s="1382" t="n"/>
      <c r="G792" s="1382" t="n"/>
      <c r="H792" s="1388" t="n"/>
      <c r="I792" s="1382" t="n"/>
      <c r="J792" s="1382" t="n"/>
      <c r="K792" s="1382" t="n"/>
      <c r="L792" s="1382" t="n"/>
    </row>
    <row r="793" ht="12.75" customHeight="1" s="1134">
      <c r="A793" s="1381" t="n"/>
      <c r="B793" s="1382" t="n"/>
      <c r="C793" s="1382" t="n"/>
      <c r="D793" s="1382" t="n"/>
      <c r="E793" s="1382" t="n"/>
      <c r="F793" s="1382" t="n"/>
      <c r="G793" s="1382" t="n"/>
      <c r="H793" s="1388" t="n"/>
      <c r="I793" s="1382" t="n"/>
      <c r="J793" s="1382" t="n"/>
      <c r="K793" s="1382" t="n"/>
      <c r="L793" s="1382" t="n"/>
    </row>
    <row r="794" ht="12.75" customHeight="1" s="1134">
      <c r="A794" s="1381" t="n"/>
      <c r="B794" s="1382" t="n"/>
      <c r="C794" s="1382" t="n"/>
      <c r="D794" s="1382" t="n"/>
      <c r="E794" s="1382" t="n"/>
      <c r="F794" s="1382" t="n"/>
      <c r="G794" s="1382" t="n"/>
      <c r="H794" s="1388" t="n"/>
      <c r="I794" s="1382" t="n"/>
      <c r="J794" s="1382" t="n"/>
      <c r="K794" s="1382" t="n"/>
      <c r="L794" s="1382" t="n"/>
    </row>
    <row r="795" ht="12.75" customHeight="1" s="1134">
      <c r="A795" s="1381" t="n"/>
      <c r="B795" s="1382" t="n"/>
      <c r="C795" s="1382" t="n"/>
      <c r="D795" s="1382" t="n"/>
      <c r="E795" s="1382" t="n"/>
      <c r="F795" s="1382" t="n"/>
      <c r="G795" s="1382" t="n"/>
      <c r="H795" s="1388" t="n"/>
      <c r="I795" s="1382" t="n"/>
      <c r="J795" s="1382" t="n"/>
      <c r="K795" s="1382" t="n"/>
      <c r="L795" s="1382" t="n"/>
    </row>
    <row r="796" ht="12.75" customHeight="1" s="1134">
      <c r="A796" s="1381" t="n"/>
      <c r="B796" s="1382" t="n"/>
      <c r="C796" s="1382" t="n"/>
      <c r="D796" s="1382" t="n"/>
      <c r="E796" s="1382" t="n"/>
      <c r="F796" s="1382" t="n"/>
      <c r="G796" s="1382" t="n"/>
      <c r="H796" s="1388" t="n"/>
      <c r="I796" s="1382" t="n"/>
      <c r="J796" s="1382" t="n"/>
      <c r="K796" s="1382" t="n"/>
      <c r="L796" s="1382" t="n"/>
    </row>
    <row r="797" ht="12.75" customHeight="1" s="1134">
      <c r="A797" s="1381" t="n"/>
      <c r="B797" s="1382" t="n"/>
      <c r="C797" s="1382" t="n"/>
      <c r="D797" s="1382" t="n"/>
      <c r="E797" s="1382" t="n"/>
      <c r="F797" s="1382" t="n"/>
      <c r="G797" s="1382" t="n"/>
      <c r="H797" s="1388" t="n"/>
      <c r="I797" s="1382" t="n"/>
      <c r="J797" s="1382" t="n"/>
      <c r="K797" s="1382" t="n"/>
      <c r="L797" s="1382" t="n"/>
    </row>
    <row r="798" ht="12.75" customHeight="1" s="1134">
      <c r="A798" s="1381" t="n"/>
      <c r="B798" s="1382" t="n"/>
      <c r="C798" s="1382" t="n"/>
      <c r="D798" s="1382" t="n"/>
      <c r="E798" s="1382" t="n"/>
      <c r="F798" s="1382" t="n"/>
      <c r="G798" s="1382" t="n"/>
      <c r="H798" s="1388" t="n"/>
      <c r="I798" s="1382" t="n"/>
      <c r="J798" s="1382" t="n"/>
      <c r="K798" s="1382" t="n"/>
      <c r="L798" s="1382" t="n"/>
    </row>
    <row r="799" ht="12.75" customHeight="1" s="1134">
      <c r="A799" s="1381" t="n"/>
      <c r="B799" s="1382" t="n"/>
      <c r="C799" s="1382" t="n"/>
      <c r="D799" s="1382" t="n"/>
      <c r="E799" s="1382" t="n"/>
      <c r="F799" s="1382" t="n"/>
      <c r="G799" s="1382" t="n"/>
      <c r="H799" s="1388" t="n"/>
      <c r="I799" s="1382" t="n"/>
      <c r="J799" s="1382" t="n"/>
      <c r="K799" s="1382" t="n"/>
      <c r="L799" s="1382" t="n"/>
    </row>
    <row r="800" ht="12.75" customHeight="1" s="1134">
      <c r="A800" s="1381" t="n"/>
      <c r="B800" s="1382" t="n"/>
      <c r="C800" s="1382" t="n"/>
      <c r="D800" s="1382" t="n"/>
      <c r="E800" s="1382" t="n"/>
      <c r="F800" s="1382" t="n"/>
      <c r="G800" s="1382" t="n"/>
      <c r="H800" s="1388" t="n"/>
      <c r="I800" s="1382" t="n"/>
      <c r="J800" s="1382" t="n"/>
      <c r="K800" s="1382" t="n"/>
      <c r="L800" s="1382" t="n"/>
    </row>
    <row r="801" ht="12.75" customHeight="1" s="1134">
      <c r="A801" s="1381" t="n"/>
      <c r="B801" s="1382" t="n"/>
      <c r="C801" s="1382" t="n"/>
      <c r="D801" s="1382" t="n"/>
      <c r="E801" s="1382" t="n"/>
      <c r="F801" s="1382" t="n"/>
      <c r="G801" s="1382" t="n"/>
      <c r="H801" s="1388" t="n"/>
      <c r="I801" s="1382" t="n"/>
      <c r="J801" s="1382" t="n"/>
      <c r="K801" s="1382" t="n"/>
      <c r="L801" s="1382" t="n"/>
    </row>
    <row r="802" ht="12.75" customHeight="1" s="1134">
      <c r="A802" s="1381" t="n"/>
      <c r="B802" s="1382" t="n"/>
      <c r="C802" s="1382" t="n"/>
      <c r="D802" s="1382" t="n"/>
      <c r="E802" s="1382" t="n"/>
      <c r="F802" s="1382" t="n"/>
      <c r="G802" s="1382" t="n"/>
      <c r="H802" s="1388" t="n"/>
      <c r="I802" s="1382" t="n"/>
      <c r="J802" s="1382" t="n"/>
      <c r="K802" s="1382" t="n"/>
      <c r="L802" s="1382" t="n"/>
    </row>
    <row r="803" ht="12.75" customHeight="1" s="1134">
      <c r="A803" s="1381" t="n"/>
      <c r="B803" s="1382" t="n"/>
      <c r="C803" s="1382" t="n"/>
      <c r="D803" s="1382" t="n"/>
      <c r="E803" s="1382" t="n"/>
      <c r="F803" s="1382" t="n"/>
      <c r="G803" s="1382" t="n"/>
      <c r="H803" s="1388" t="n"/>
      <c r="I803" s="1382" t="n"/>
      <c r="J803" s="1382" t="n"/>
      <c r="K803" s="1382" t="n"/>
      <c r="L803" s="1382" t="n"/>
    </row>
    <row r="804" ht="12.75" customHeight="1" s="1134">
      <c r="A804" s="1381" t="n"/>
      <c r="B804" s="1382" t="n"/>
      <c r="C804" s="1382" t="n"/>
      <c r="D804" s="1382" t="n"/>
      <c r="E804" s="1382" t="n"/>
      <c r="F804" s="1382" t="n"/>
      <c r="G804" s="1382" t="n"/>
      <c r="H804" s="1388" t="n"/>
      <c r="I804" s="1382" t="n"/>
      <c r="J804" s="1382" t="n"/>
      <c r="K804" s="1382" t="n"/>
      <c r="L804" s="1382" t="n"/>
    </row>
    <row r="805" ht="12.75" customHeight="1" s="1134">
      <c r="A805" s="1381" t="n"/>
      <c r="B805" s="1382" t="n"/>
      <c r="C805" s="1382" t="n"/>
      <c r="D805" s="1382" t="n"/>
      <c r="E805" s="1382" t="n"/>
      <c r="F805" s="1382" t="n"/>
      <c r="G805" s="1382" t="n"/>
      <c r="H805" s="1388" t="n"/>
      <c r="I805" s="1382" t="n"/>
      <c r="J805" s="1382" t="n"/>
      <c r="K805" s="1382" t="n"/>
      <c r="L805" s="1382" t="n"/>
    </row>
    <row r="806" ht="12.75" customHeight="1" s="1134">
      <c r="A806" s="1381" t="n"/>
      <c r="B806" s="1382" t="n"/>
      <c r="C806" s="1382" t="n"/>
      <c r="D806" s="1382" t="n"/>
      <c r="E806" s="1382" t="n"/>
      <c r="F806" s="1382" t="n"/>
      <c r="G806" s="1382" t="n"/>
      <c r="H806" s="1388" t="n"/>
      <c r="I806" s="1382" t="n"/>
      <c r="J806" s="1382" t="n"/>
      <c r="K806" s="1382" t="n"/>
      <c r="L806" s="1382" t="n"/>
    </row>
    <row r="807" ht="12.75" customHeight="1" s="1134">
      <c r="A807" s="1381" t="n"/>
      <c r="B807" s="1382" t="n"/>
      <c r="C807" s="1382" t="n"/>
      <c r="D807" s="1382" t="n"/>
      <c r="E807" s="1382" t="n"/>
      <c r="F807" s="1382" t="n"/>
      <c r="G807" s="1382" t="n"/>
      <c r="H807" s="1388" t="n"/>
      <c r="I807" s="1382" t="n"/>
      <c r="J807" s="1382" t="n"/>
      <c r="K807" s="1382" t="n"/>
      <c r="L807" s="1382" t="n"/>
    </row>
    <row r="808" ht="12.75" customHeight="1" s="1134">
      <c r="A808" s="1381" t="n"/>
      <c r="B808" s="1382" t="n"/>
      <c r="C808" s="1382" t="n"/>
      <c r="D808" s="1382" t="n"/>
      <c r="E808" s="1382" t="n"/>
      <c r="F808" s="1382" t="n"/>
      <c r="G808" s="1382" t="n"/>
      <c r="H808" s="1388" t="n"/>
      <c r="I808" s="1382" t="n"/>
      <c r="J808" s="1382" t="n"/>
      <c r="K808" s="1382" t="n"/>
      <c r="L808" s="1382" t="n"/>
    </row>
    <row r="809" ht="12.75" customHeight="1" s="1134">
      <c r="A809" s="1381" t="n"/>
      <c r="B809" s="1382" t="n"/>
      <c r="C809" s="1382" t="n"/>
      <c r="D809" s="1382" t="n"/>
      <c r="E809" s="1382" t="n"/>
      <c r="F809" s="1382" t="n"/>
      <c r="G809" s="1382" t="n"/>
      <c r="H809" s="1388" t="n"/>
      <c r="I809" s="1382" t="n"/>
      <c r="J809" s="1382" t="n"/>
      <c r="K809" s="1382" t="n"/>
      <c r="L809" s="1382" t="n"/>
    </row>
    <row r="810" ht="12.75" customHeight="1" s="1134">
      <c r="A810" s="1381" t="n"/>
      <c r="B810" s="1382" t="n"/>
      <c r="C810" s="1382" t="n"/>
      <c r="D810" s="1382" t="n"/>
      <c r="E810" s="1382" t="n"/>
      <c r="F810" s="1382" t="n"/>
      <c r="G810" s="1382" t="n"/>
      <c r="H810" s="1388" t="n"/>
      <c r="I810" s="1382" t="n"/>
      <c r="J810" s="1382" t="n"/>
      <c r="K810" s="1382" t="n"/>
      <c r="L810" s="1382" t="n"/>
    </row>
    <row r="811" ht="12.75" customHeight="1" s="1134">
      <c r="A811" s="1381" t="n"/>
      <c r="B811" s="1382" t="n"/>
      <c r="C811" s="1382" t="n"/>
      <c r="D811" s="1382" t="n"/>
      <c r="E811" s="1382" t="n"/>
      <c r="F811" s="1382" t="n"/>
      <c r="G811" s="1382" t="n"/>
      <c r="H811" s="1388" t="n"/>
      <c r="I811" s="1382" t="n"/>
      <c r="J811" s="1382" t="n"/>
      <c r="K811" s="1382" t="n"/>
      <c r="L811" s="1382" t="n"/>
    </row>
    <row r="812" ht="12.75" customHeight="1" s="1134">
      <c r="A812" s="1381" t="n"/>
      <c r="B812" s="1382" t="n"/>
      <c r="C812" s="1382" t="n"/>
      <c r="D812" s="1382" t="n"/>
      <c r="E812" s="1382" t="n"/>
      <c r="F812" s="1382" t="n"/>
      <c r="G812" s="1382" t="n"/>
      <c r="H812" s="1388" t="n"/>
      <c r="I812" s="1382" t="n"/>
      <c r="J812" s="1382" t="n"/>
      <c r="K812" s="1382" t="n"/>
      <c r="L812" s="1382" t="n"/>
    </row>
    <row r="813" ht="12.75" customHeight="1" s="1134">
      <c r="A813" s="1381" t="n"/>
      <c r="B813" s="1382" t="n"/>
      <c r="C813" s="1382" t="n"/>
      <c r="D813" s="1382" t="n"/>
      <c r="E813" s="1382" t="n"/>
      <c r="F813" s="1382" t="n"/>
      <c r="G813" s="1382" t="n"/>
      <c r="H813" s="1388" t="n"/>
      <c r="I813" s="1382" t="n"/>
      <c r="J813" s="1382" t="n"/>
      <c r="K813" s="1382" t="n"/>
      <c r="L813" s="1382" t="n"/>
    </row>
    <row r="814" ht="12.75" customHeight="1" s="1134">
      <c r="A814" s="1381" t="n"/>
      <c r="B814" s="1382" t="n"/>
      <c r="C814" s="1382" t="n"/>
      <c r="D814" s="1382" t="n"/>
      <c r="E814" s="1382" t="n"/>
      <c r="F814" s="1382" t="n"/>
      <c r="G814" s="1382" t="n"/>
      <c r="H814" s="1388" t="n"/>
      <c r="I814" s="1382" t="n"/>
      <c r="J814" s="1382" t="n"/>
      <c r="K814" s="1382" t="n"/>
      <c r="L814" s="1382" t="n"/>
    </row>
    <row r="815" ht="12.75" customHeight="1" s="1134">
      <c r="A815" s="1381" t="n"/>
      <c r="B815" s="1382" t="n"/>
      <c r="C815" s="1382" t="n"/>
      <c r="D815" s="1382" t="n"/>
      <c r="E815" s="1382" t="n"/>
      <c r="F815" s="1382" t="n"/>
      <c r="G815" s="1382" t="n"/>
      <c r="H815" s="1388" t="n"/>
      <c r="I815" s="1382" t="n"/>
      <c r="J815" s="1382" t="n"/>
      <c r="K815" s="1382" t="n"/>
      <c r="L815" s="1382" t="n"/>
    </row>
    <row r="816" ht="12.75" customHeight="1" s="1134">
      <c r="A816" s="1381" t="n"/>
      <c r="B816" s="1382" t="n"/>
      <c r="C816" s="1382" t="n"/>
      <c r="D816" s="1382" t="n"/>
      <c r="E816" s="1382" t="n"/>
      <c r="F816" s="1382" t="n"/>
      <c r="G816" s="1382" t="n"/>
      <c r="H816" s="1388" t="n"/>
      <c r="I816" s="1382" t="n"/>
      <c r="J816" s="1382" t="n"/>
      <c r="K816" s="1382" t="n"/>
      <c r="L816" s="1382" t="n"/>
    </row>
    <row r="817" ht="12.75" customHeight="1" s="1134">
      <c r="A817" s="1381" t="n"/>
      <c r="B817" s="1382" t="n"/>
      <c r="C817" s="1382" t="n"/>
      <c r="D817" s="1382" t="n"/>
      <c r="E817" s="1382" t="n"/>
      <c r="F817" s="1382" t="n"/>
      <c r="G817" s="1382" t="n"/>
      <c r="H817" s="1388" t="n"/>
      <c r="I817" s="1382" t="n"/>
      <c r="J817" s="1382" t="n"/>
      <c r="K817" s="1382" t="n"/>
      <c r="L817" s="1382" t="n"/>
    </row>
    <row r="818" ht="12.75" customHeight="1" s="1134">
      <c r="A818" s="1381" t="n"/>
      <c r="B818" s="1382" t="n"/>
      <c r="C818" s="1382" t="n"/>
      <c r="D818" s="1382" t="n"/>
      <c r="E818" s="1382" t="n"/>
      <c r="F818" s="1382" t="n"/>
      <c r="G818" s="1382" t="n"/>
      <c r="H818" s="1388" t="n"/>
      <c r="I818" s="1382" t="n"/>
      <c r="J818" s="1382" t="n"/>
      <c r="K818" s="1382" t="n"/>
      <c r="L818" s="1382" t="n"/>
    </row>
    <row r="819" ht="12.75" customHeight="1" s="1134">
      <c r="A819" s="1381" t="n"/>
      <c r="B819" s="1382" t="n"/>
      <c r="C819" s="1382" t="n"/>
      <c r="D819" s="1382" t="n"/>
      <c r="E819" s="1382" t="n"/>
      <c r="F819" s="1382" t="n"/>
      <c r="G819" s="1382" t="n"/>
      <c r="H819" s="1388" t="n"/>
      <c r="I819" s="1382" t="n"/>
      <c r="J819" s="1382" t="n"/>
      <c r="K819" s="1382" t="n"/>
      <c r="L819" s="1382" t="n"/>
    </row>
    <row r="820" ht="12.75" customHeight="1" s="1134">
      <c r="A820" s="1381" t="n"/>
      <c r="B820" s="1382" t="n"/>
      <c r="C820" s="1382" t="n"/>
      <c r="D820" s="1382" t="n"/>
      <c r="E820" s="1382" t="n"/>
      <c r="F820" s="1382" t="n"/>
      <c r="G820" s="1382" t="n"/>
      <c r="H820" s="1388" t="n"/>
      <c r="I820" s="1382" t="n"/>
      <c r="J820" s="1382" t="n"/>
      <c r="K820" s="1382" t="n"/>
      <c r="L820" s="1382" t="n"/>
    </row>
    <row r="821" ht="12.75" customHeight="1" s="1134">
      <c r="A821" s="1381" t="n"/>
      <c r="B821" s="1382" t="n"/>
      <c r="C821" s="1382" t="n"/>
      <c r="D821" s="1382" t="n"/>
      <c r="E821" s="1382" t="n"/>
      <c r="F821" s="1382" t="n"/>
      <c r="G821" s="1382" t="n"/>
      <c r="H821" s="1388" t="n"/>
      <c r="I821" s="1382" t="n"/>
      <c r="J821" s="1382" t="n"/>
      <c r="K821" s="1382" t="n"/>
      <c r="L821" s="1382" t="n"/>
    </row>
    <row r="822" ht="12.75" customHeight="1" s="1134">
      <c r="A822" s="1381" t="n"/>
      <c r="B822" s="1382" t="n"/>
      <c r="C822" s="1382" t="n"/>
      <c r="D822" s="1382" t="n"/>
      <c r="E822" s="1382" t="n"/>
      <c r="F822" s="1382" t="n"/>
      <c r="G822" s="1382" t="n"/>
      <c r="H822" s="1388" t="n"/>
      <c r="I822" s="1382" t="n"/>
      <c r="J822" s="1382" t="n"/>
      <c r="K822" s="1382" t="n"/>
      <c r="L822" s="1382" t="n"/>
    </row>
    <row r="823" ht="12.75" customHeight="1" s="1134">
      <c r="A823" s="1381" t="n"/>
      <c r="B823" s="1382" t="n"/>
      <c r="C823" s="1382" t="n"/>
      <c r="D823" s="1382" t="n"/>
      <c r="E823" s="1382" t="n"/>
      <c r="F823" s="1382" t="n"/>
      <c r="G823" s="1382" t="n"/>
      <c r="H823" s="1388" t="n"/>
      <c r="I823" s="1382" t="n"/>
      <c r="J823" s="1382" t="n"/>
      <c r="K823" s="1382" t="n"/>
      <c r="L823" s="1382" t="n"/>
    </row>
    <row r="824" ht="12.75" customHeight="1" s="1134">
      <c r="A824" s="1381" t="n"/>
      <c r="B824" s="1382" t="n"/>
      <c r="C824" s="1382" t="n"/>
      <c r="D824" s="1382" t="n"/>
      <c r="E824" s="1382" t="n"/>
      <c r="F824" s="1382" t="n"/>
      <c r="G824" s="1382" t="n"/>
      <c r="H824" s="1388" t="n"/>
      <c r="I824" s="1382" t="n"/>
      <c r="J824" s="1382" t="n"/>
      <c r="K824" s="1382" t="n"/>
      <c r="L824" s="1382" t="n"/>
    </row>
    <row r="825" ht="12.75" customHeight="1" s="1134">
      <c r="A825" s="1381" t="n"/>
      <c r="B825" s="1382" t="n"/>
      <c r="C825" s="1382" t="n"/>
      <c r="D825" s="1382" t="n"/>
      <c r="E825" s="1382" t="n"/>
      <c r="F825" s="1382" t="n"/>
      <c r="G825" s="1382" t="n"/>
      <c r="H825" s="1388" t="n"/>
      <c r="I825" s="1382" t="n"/>
      <c r="J825" s="1382" t="n"/>
      <c r="K825" s="1382" t="n"/>
      <c r="L825" s="1382" t="n"/>
    </row>
    <row r="826" ht="12.75" customHeight="1" s="1134">
      <c r="A826" s="1381" t="n"/>
      <c r="B826" s="1382" t="n"/>
      <c r="C826" s="1382" t="n"/>
      <c r="D826" s="1382" t="n"/>
      <c r="E826" s="1382" t="n"/>
      <c r="F826" s="1382" t="n"/>
      <c r="G826" s="1382" t="n"/>
      <c r="H826" s="1388" t="n"/>
      <c r="I826" s="1382" t="n"/>
      <c r="J826" s="1382" t="n"/>
      <c r="K826" s="1382" t="n"/>
      <c r="L826" s="1382" t="n"/>
    </row>
    <row r="827" ht="12.75" customHeight="1" s="1134">
      <c r="A827" s="1381" t="n"/>
      <c r="B827" s="1382" t="n"/>
      <c r="C827" s="1382" t="n"/>
      <c r="D827" s="1382" t="n"/>
      <c r="E827" s="1382" t="n"/>
      <c r="F827" s="1382" t="n"/>
      <c r="G827" s="1382" t="n"/>
      <c r="H827" s="1388" t="n"/>
      <c r="I827" s="1382" t="n"/>
      <c r="J827" s="1382" t="n"/>
      <c r="K827" s="1382" t="n"/>
      <c r="L827" s="1382" t="n"/>
    </row>
    <row r="828" ht="12.75" customHeight="1" s="1134">
      <c r="A828" s="1381" t="n"/>
      <c r="B828" s="1382" t="n"/>
      <c r="C828" s="1382" t="n"/>
      <c r="D828" s="1382" t="n"/>
      <c r="E828" s="1382" t="n"/>
      <c r="F828" s="1382" t="n"/>
      <c r="G828" s="1382" t="n"/>
      <c r="H828" s="1388" t="n"/>
      <c r="I828" s="1382" t="n"/>
      <c r="J828" s="1382" t="n"/>
      <c r="K828" s="1382" t="n"/>
      <c r="L828" s="1382" t="n"/>
    </row>
    <row r="829" ht="12.75" customHeight="1" s="1134">
      <c r="A829" s="1381" t="n"/>
      <c r="B829" s="1382" t="n"/>
      <c r="C829" s="1382" t="n"/>
      <c r="D829" s="1382" t="n"/>
      <c r="E829" s="1382" t="n"/>
      <c r="F829" s="1382" t="n"/>
      <c r="G829" s="1382" t="n"/>
      <c r="H829" s="1388" t="n"/>
      <c r="I829" s="1382" t="n"/>
      <c r="J829" s="1382" t="n"/>
      <c r="K829" s="1382" t="n"/>
      <c r="L829" s="1382" t="n"/>
    </row>
    <row r="830" ht="12.75" customHeight="1" s="1134">
      <c r="A830" s="1381" t="n"/>
      <c r="B830" s="1382" t="n"/>
      <c r="C830" s="1382" t="n"/>
      <c r="D830" s="1382" t="n"/>
      <c r="E830" s="1382" t="n"/>
      <c r="F830" s="1382" t="n"/>
      <c r="G830" s="1382" t="n"/>
      <c r="H830" s="1388" t="n"/>
      <c r="I830" s="1382" t="n"/>
      <c r="J830" s="1382" t="n"/>
      <c r="K830" s="1382" t="n"/>
      <c r="L830" s="1382" t="n"/>
    </row>
    <row r="831" ht="12.75" customHeight="1" s="1134">
      <c r="A831" s="1381" t="n"/>
      <c r="B831" s="1382" t="n"/>
      <c r="C831" s="1382" t="n"/>
      <c r="D831" s="1382" t="n"/>
      <c r="E831" s="1382" t="n"/>
      <c r="F831" s="1382" t="n"/>
      <c r="G831" s="1382" t="n"/>
      <c r="H831" s="1388" t="n"/>
      <c r="I831" s="1382" t="n"/>
      <c r="J831" s="1382" t="n"/>
      <c r="K831" s="1382" t="n"/>
      <c r="L831" s="1382" t="n"/>
    </row>
    <row r="832" ht="12.75" customHeight="1" s="1134">
      <c r="A832" s="1381" t="n"/>
      <c r="B832" s="1382" t="n"/>
      <c r="C832" s="1382" t="n"/>
      <c r="D832" s="1382" t="n"/>
      <c r="E832" s="1382" t="n"/>
      <c r="F832" s="1382" t="n"/>
      <c r="G832" s="1382" t="n"/>
      <c r="H832" s="1388" t="n"/>
      <c r="I832" s="1382" t="n"/>
      <c r="J832" s="1382" t="n"/>
      <c r="K832" s="1382" t="n"/>
      <c r="L832" s="1382" t="n"/>
    </row>
    <row r="833" ht="12.75" customHeight="1" s="1134">
      <c r="A833" s="1381" t="n"/>
      <c r="B833" s="1382" t="n"/>
      <c r="C833" s="1382" t="n"/>
      <c r="D833" s="1382" t="n"/>
      <c r="E833" s="1382" t="n"/>
      <c r="F833" s="1382" t="n"/>
      <c r="G833" s="1382" t="n"/>
      <c r="H833" s="1388" t="n"/>
      <c r="I833" s="1382" t="n"/>
      <c r="J833" s="1382" t="n"/>
      <c r="K833" s="1382" t="n"/>
      <c r="L833" s="1382" t="n"/>
    </row>
    <row r="834" ht="12.75" customHeight="1" s="1134">
      <c r="A834" s="1381" t="n"/>
      <c r="B834" s="1382" t="n"/>
      <c r="C834" s="1382" t="n"/>
      <c r="D834" s="1382" t="n"/>
      <c r="E834" s="1382" t="n"/>
      <c r="F834" s="1382" t="n"/>
      <c r="G834" s="1382" t="n"/>
      <c r="H834" s="1388" t="n"/>
      <c r="I834" s="1382" t="n"/>
      <c r="J834" s="1382" t="n"/>
      <c r="K834" s="1382" t="n"/>
      <c r="L834" s="1382" t="n"/>
    </row>
    <row r="835" ht="12.75" customHeight="1" s="1134">
      <c r="A835" s="1381" t="n"/>
      <c r="B835" s="1382" t="n"/>
      <c r="C835" s="1382" t="n"/>
      <c r="D835" s="1382" t="n"/>
      <c r="E835" s="1382" t="n"/>
      <c r="F835" s="1382" t="n"/>
      <c r="G835" s="1382" t="n"/>
      <c r="H835" s="1388" t="n"/>
      <c r="I835" s="1382" t="n"/>
      <c r="J835" s="1382" t="n"/>
      <c r="K835" s="1382" t="n"/>
      <c r="L835" s="1382" t="n"/>
    </row>
    <row r="836" ht="12.75" customHeight="1" s="1134">
      <c r="A836" s="1381" t="n"/>
      <c r="B836" s="1382" t="n"/>
      <c r="C836" s="1382" t="n"/>
      <c r="D836" s="1382" t="n"/>
      <c r="E836" s="1382" t="n"/>
      <c r="F836" s="1382" t="n"/>
      <c r="G836" s="1382" t="n"/>
      <c r="H836" s="1388" t="n"/>
      <c r="I836" s="1382" t="n"/>
      <c r="J836" s="1382" t="n"/>
      <c r="K836" s="1382" t="n"/>
      <c r="L836" s="1382" t="n"/>
    </row>
    <row r="837" ht="12.75" customHeight="1" s="1134">
      <c r="A837" s="1381" t="n"/>
      <c r="B837" s="1382" t="n"/>
      <c r="C837" s="1382" t="n"/>
      <c r="D837" s="1382" t="n"/>
      <c r="E837" s="1382" t="n"/>
      <c r="F837" s="1382" t="n"/>
      <c r="G837" s="1382" t="n"/>
      <c r="H837" s="1388" t="n"/>
      <c r="I837" s="1382" t="n"/>
      <c r="J837" s="1382" t="n"/>
      <c r="K837" s="1382" t="n"/>
      <c r="L837" s="1382" t="n"/>
    </row>
    <row r="838" ht="12.75" customHeight="1" s="1134">
      <c r="A838" s="1381" t="n"/>
      <c r="B838" s="1382" t="n"/>
      <c r="C838" s="1382" t="n"/>
      <c r="D838" s="1382" t="n"/>
      <c r="E838" s="1382" t="n"/>
      <c r="F838" s="1382" t="n"/>
      <c r="G838" s="1382" t="n"/>
      <c r="H838" s="1388" t="n"/>
      <c r="I838" s="1382" t="n"/>
      <c r="J838" s="1382" t="n"/>
      <c r="K838" s="1382" t="n"/>
      <c r="L838" s="1382" t="n"/>
    </row>
    <row r="839" ht="12.75" customHeight="1" s="1134">
      <c r="A839" s="1381" t="n"/>
      <c r="B839" s="1382" t="n"/>
      <c r="C839" s="1382" t="n"/>
      <c r="D839" s="1382" t="n"/>
      <c r="E839" s="1382" t="n"/>
      <c r="F839" s="1382" t="n"/>
      <c r="G839" s="1382" t="n"/>
      <c r="H839" s="1388" t="n"/>
      <c r="I839" s="1382" t="n"/>
      <c r="J839" s="1382" t="n"/>
      <c r="K839" s="1382" t="n"/>
      <c r="L839" s="1382" t="n"/>
    </row>
    <row r="840" ht="12.75" customHeight="1" s="1134">
      <c r="A840" s="1381" t="n"/>
      <c r="B840" s="1382" t="n"/>
      <c r="C840" s="1382" t="n"/>
      <c r="D840" s="1382" t="n"/>
      <c r="E840" s="1382" t="n"/>
      <c r="F840" s="1382" t="n"/>
      <c r="G840" s="1382" t="n"/>
      <c r="H840" s="1388" t="n"/>
      <c r="I840" s="1382" t="n"/>
      <c r="J840" s="1382" t="n"/>
      <c r="K840" s="1382" t="n"/>
      <c r="L840" s="1382" t="n"/>
    </row>
    <row r="841" ht="12.75" customHeight="1" s="1134">
      <c r="A841" s="1381" t="n"/>
      <c r="B841" s="1382" t="n"/>
      <c r="C841" s="1382" t="n"/>
      <c r="D841" s="1382" t="n"/>
      <c r="E841" s="1382" t="n"/>
      <c r="F841" s="1382" t="n"/>
      <c r="G841" s="1382" t="n"/>
      <c r="H841" s="1388" t="n"/>
      <c r="I841" s="1382" t="n"/>
      <c r="J841" s="1382" t="n"/>
      <c r="K841" s="1382" t="n"/>
      <c r="L841" s="1382" t="n"/>
    </row>
    <row r="842" ht="12.75" customHeight="1" s="1134">
      <c r="A842" s="1381" t="n"/>
      <c r="B842" s="1382" t="n"/>
      <c r="C842" s="1382" t="n"/>
      <c r="D842" s="1382" t="n"/>
      <c r="E842" s="1382" t="n"/>
      <c r="F842" s="1382" t="n"/>
      <c r="G842" s="1382" t="n"/>
      <c r="H842" s="1388" t="n"/>
      <c r="I842" s="1382" t="n"/>
      <c r="J842" s="1382" t="n"/>
      <c r="K842" s="1382" t="n"/>
      <c r="L842" s="1382" t="n"/>
    </row>
    <row r="843" ht="12.75" customHeight="1" s="1134">
      <c r="A843" s="1381" t="n"/>
      <c r="B843" s="1382" t="n"/>
      <c r="C843" s="1382" t="n"/>
      <c r="D843" s="1382" t="n"/>
      <c r="E843" s="1382" t="n"/>
      <c r="F843" s="1382" t="n"/>
      <c r="G843" s="1382" t="n"/>
      <c r="H843" s="1388" t="n"/>
      <c r="I843" s="1382" t="n"/>
      <c r="J843" s="1382" t="n"/>
      <c r="K843" s="1382" t="n"/>
      <c r="L843" s="1382" t="n"/>
    </row>
    <row r="844" ht="12.75" customHeight="1" s="1134">
      <c r="A844" s="1381" t="n"/>
      <c r="B844" s="1382" t="n"/>
      <c r="C844" s="1382" t="n"/>
      <c r="D844" s="1382" t="n"/>
      <c r="E844" s="1382" t="n"/>
      <c r="F844" s="1382" t="n"/>
      <c r="G844" s="1382" t="n"/>
      <c r="H844" s="1388" t="n"/>
      <c r="I844" s="1382" t="n"/>
      <c r="J844" s="1382" t="n"/>
      <c r="K844" s="1382" t="n"/>
      <c r="L844" s="1382" t="n"/>
    </row>
    <row r="845" ht="12.75" customHeight="1" s="1134">
      <c r="A845" s="1381" t="n"/>
      <c r="B845" s="1382" t="n"/>
      <c r="C845" s="1382" t="n"/>
      <c r="D845" s="1382" t="n"/>
      <c r="E845" s="1382" t="n"/>
      <c r="F845" s="1382" t="n"/>
      <c r="G845" s="1382" t="n"/>
      <c r="H845" s="1388" t="n"/>
      <c r="I845" s="1382" t="n"/>
      <c r="J845" s="1382" t="n"/>
      <c r="K845" s="1382" t="n"/>
      <c r="L845" s="1382" t="n"/>
    </row>
    <row r="846" ht="12.75" customHeight="1" s="1134">
      <c r="A846" s="1381" t="n"/>
      <c r="B846" s="1382" t="n"/>
      <c r="C846" s="1382" t="n"/>
      <c r="D846" s="1382" t="n"/>
      <c r="E846" s="1382" t="n"/>
      <c r="F846" s="1382" t="n"/>
      <c r="G846" s="1382" t="n"/>
      <c r="H846" s="1388" t="n"/>
      <c r="I846" s="1382" t="n"/>
      <c r="J846" s="1382" t="n"/>
      <c r="K846" s="1382" t="n"/>
      <c r="L846" s="1382" t="n"/>
    </row>
    <row r="847" ht="12.75" customHeight="1" s="1134">
      <c r="A847" s="1381" t="n"/>
      <c r="B847" s="1382" t="n"/>
      <c r="C847" s="1382" t="n"/>
      <c r="D847" s="1382" t="n"/>
      <c r="E847" s="1382" t="n"/>
      <c r="F847" s="1382" t="n"/>
      <c r="G847" s="1382" t="n"/>
      <c r="H847" s="1388" t="n"/>
      <c r="I847" s="1382" t="n"/>
      <c r="J847" s="1382" t="n"/>
      <c r="K847" s="1382" t="n"/>
      <c r="L847" s="1382" t="n"/>
    </row>
    <row r="848" ht="12.75" customHeight="1" s="1134">
      <c r="A848" s="1381" t="n"/>
      <c r="B848" s="1382" t="n"/>
      <c r="C848" s="1382" t="n"/>
      <c r="D848" s="1382" t="n"/>
      <c r="E848" s="1382" t="n"/>
      <c r="F848" s="1382" t="n"/>
      <c r="G848" s="1382" t="n"/>
      <c r="H848" s="1388" t="n"/>
      <c r="I848" s="1382" t="n"/>
      <c r="J848" s="1382" t="n"/>
      <c r="K848" s="1382" t="n"/>
      <c r="L848" s="1382" t="n"/>
    </row>
    <row r="849" ht="12.75" customHeight="1" s="1134">
      <c r="A849" s="1381" t="n"/>
      <c r="B849" s="1382" t="n"/>
      <c r="C849" s="1382" t="n"/>
      <c r="D849" s="1382" t="n"/>
      <c r="E849" s="1382" t="n"/>
      <c r="F849" s="1382" t="n"/>
      <c r="G849" s="1382" t="n"/>
      <c r="H849" s="1388" t="n"/>
      <c r="I849" s="1382" t="n"/>
      <c r="J849" s="1382" t="n"/>
      <c r="K849" s="1382" t="n"/>
      <c r="L849" s="1382" t="n"/>
    </row>
    <row r="850" ht="12.75" customHeight="1" s="1134">
      <c r="A850" s="1381" t="n"/>
      <c r="B850" s="1382" t="n"/>
      <c r="C850" s="1382" t="n"/>
      <c r="D850" s="1382" t="n"/>
      <c r="E850" s="1382" t="n"/>
      <c r="F850" s="1382" t="n"/>
      <c r="G850" s="1382" t="n"/>
      <c r="H850" s="1388" t="n"/>
      <c r="I850" s="1382" t="n"/>
      <c r="J850" s="1382" t="n"/>
      <c r="K850" s="1382" t="n"/>
      <c r="L850" s="1382" t="n"/>
    </row>
    <row r="851" ht="12.75" customHeight="1" s="1134">
      <c r="A851" s="1381" t="n"/>
      <c r="B851" s="1382" t="n"/>
      <c r="C851" s="1382" t="n"/>
      <c r="D851" s="1382" t="n"/>
      <c r="E851" s="1382" t="n"/>
      <c r="F851" s="1382" t="n"/>
      <c r="G851" s="1382" t="n"/>
      <c r="H851" s="1388" t="n"/>
      <c r="I851" s="1382" t="n"/>
      <c r="J851" s="1382" t="n"/>
      <c r="K851" s="1382" t="n"/>
      <c r="L851" s="1382" t="n"/>
    </row>
    <row r="852" ht="12.75" customHeight="1" s="1134">
      <c r="A852" s="1381" t="n"/>
      <c r="B852" s="1382" t="n"/>
      <c r="C852" s="1382" t="n"/>
      <c r="D852" s="1382" t="n"/>
      <c r="E852" s="1382" t="n"/>
      <c r="F852" s="1382" t="n"/>
      <c r="G852" s="1382" t="n"/>
      <c r="H852" s="1388" t="n"/>
      <c r="I852" s="1382" t="n"/>
      <c r="J852" s="1382" t="n"/>
      <c r="K852" s="1382" t="n"/>
      <c r="L852" s="1382" t="n"/>
    </row>
    <row r="853" ht="12.75" customHeight="1" s="1134">
      <c r="A853" s="1381" t="n"/>
      <c r="B853" s="1382" t="n"/>
      <c r="C853" s="1382" t="n"/>
      <c r="D853" s="1382" t="n"/>
      <c r="E853" s="1382" t="n"/>
      <c r="F853" s="1382" t="n"/>
      <c r="G853" s="1382" t="n"/>
      <c r="H853" s="1388" t="n"/>
      <c r="I853" s="1382" t="n"/>
      <c r="J853" s="1382" t="n"/>
      <c r="K853" s="1382" t="n"/>
      <c r="L853" s="1382" t="n"/>
    </row>
    <row r="854" ht="12.75" customHeight="1" s="1134">
      <c r="A854" s="1381" t="n"/>
      <c r="B854" s="1382" t="n"/>
      <c r="C854" s="1382" t="n"/>
      <c r="D854" s="1382" t="n"/>
      <c r="E854" s="1382" t="n"/>
      <c r="F854" s="1382" t="n"/>
      <c r="G854" s="1382" t="n"/>
      <c r="H854" s="1388" t="n"/>
      <c r="I854" s="1382" t="n"/>
      <c r="J854" s="1382" t="n"/>
      <c r="K854" s="1382" t="n"/>
      <c r="L854" s="1382" t="n"/>
    </row>
    <row r="855" ht="12.75" customHeight="1" s="1134">
      <c r="A855" s="1381" t="n"/>
      <c r="B855" s="1382" t="n"/>
      <c r="C855" s="1382" t="n"/>
      <c r="D855" s="1382" t="n"/>
      <c r="E855" s="1382" t="n"/>
      <c r="F855" s="1382" t="n"/>
      <c r="G855" s="1382" t="n"/>
      <c r="H855" s="1388" t="n"/>
      <c r="I855" s="1382" t="n"/>
      <c r="J855" s="1382" t="n"/>
      <c r="K855" s="1382" t="n"/>
      <c r="L855" s="1382" t="n"/>
    </row>
    <row r="856" ht="12.75" customHeight="1" s="1134">
      <c r="A856" s="1381" t="n"/>
      <c r="B856" s="1382" t="n"/>
      <c r="C856" s="1382" t="n"/>
      <c r="D856" s="1382" t="n"/>
      <c r="E856" s="1382" t="n"/>
      <c r="F856" s="1382" t="n"/>
      <c r="G856" s="1382" t="n"/>
      <c r="H856" s="1388" t="n"/>
      <c r="I856" s="1382" t="n"/>
      <c r="J856" s="1382" t="n"/>
      <c r="K856" s="1382" t="n"/>
      <c r="L856" s="1382" t="n"/>
    </row>
    <row r="857" ht="12.75" customHeight="1" s="1134">
      <c r="A857" s="1381" t="n"/>
      <c r="B857" s="1382" t="n"/>
      <c r="C857" s="1382" t="n"/>
      <c r="D857" s="1382" t="n"/>
      <c r="E857" s="1382" t="n"/>
      <c r="F857" s="1382" t="n"/>
      <c r="G857" s="1382" t="n"/>
      <c r="H857" s="1388" t="n"/>
      <c r="I857" s="1382" t="n"/>
      <c r="J857" s="1382" t="n"/>
      <c r="K857" s="1382" t="n"/>
      <c r="L857" s="1382" t="n"/>
    </row>
    <row r="858" ht="12.75" customHeight="1" s="1134">
      <c r="A858" s="1381" t="n"/>
      <c r="B858" s="1382" t="n"/>
      <c r="C858" s="1382" t="n"/>
      <c r="D858" s="1382" t="n"/>
      <c r="E858" s="1382" t="n"/>
      <c r="F858" s="1382" t="n"/>
      <c r="G858" s="1382" t="n"/>
      <c r="H858" s="1388" t="n"/>
      <c r="I858" s="1382" t="n"/>
      <c r="J858" s="1382" t="n"/>
      <c r="K858" s="1382" t="n"/>
      <c r="L858" s="1382" t="n"/>
    </row>
    <row r="859" ht="12.75" customHeight="1" s="1134">
      <c r="A859" s="1381" t="n"/>
      <c r="B859" s="1382" t="n"/>
      <c r="C859" s="1382" t="n"/>
      <c r="D859" s="1382" t="n"/>
      <c r="E859" s="1382" t="n"/>
      <c r="F859" s="1382" t="n"/>
      <c r="G859" s="1382" t="n"/>
      <c r="H859" s="1388" t="n"/>
      <c r="I859" s="1382" t="n"/>
      <c r="J859" s="1382" t="n"/>
      <c r="K859" s="1382" t="n"/>
      <c r="L859" s="1382" t="n"/>
    </row>
    <row r="860" ht="12.75" customHeight="1" s="1134">
      <c r="A860" s="1381" t="n"/>
      <c r="B860" s="1382" t="n"/>
      <c r="C860" s="1382" t="n"/>
      <c r="D860" s="1382" t="n"/>
      <c r="E860" s="1382" t="n"/>
      <c r="F860" s="1382" t="n"/>
      <c r="G860" s="1382" t="n"/>
      <c r="H860" s="1388" t="n"/>
      <c r="I860" s="1382" t="n"/>
      <c r="J860" s="1382" t="n"/>
      <c r="K860" s="1382" t="n"/>
      <c r="L860" s="1382" t="n"/>
    </row>
    <row r="861" ht="12.75" customHeight="1" s="1134">
      <c r="A861" s="1381" t="n"/>
      <c r="B861" s="1382" t="n"/>
      <c r="C861" s="1382" t="n"/>
      <c r="D861" s="1382" t="n"/>
      <c r="E861" s="1382" t="n"/>
      <c r="F861" s="1382" t="n"/>
      <c r="G861" s="1382" t="n"/>
      <c r="H861" s="1388" t="n"/>
      <c r="I861" s="1382" t="n"/>
      <c r="J861" s="1382" t="n"/>
      <c r="K861" s="1382" t="n"/>
      <c r="L861" s="1382" t="n"/>
    </row>
    <row r="862" ht="12.75" customHeight="1" s="1134">
      <c r="A862" s="1381" t="n"/>
      <c r="B862" s="1382" t="n"/>
      <c r="C862" s="1382" t="n"/>
      <c r="D862" s="1382" t="n"/>
      <c r="E862" s="1382" t="n"/>
      <c r="F862" s="1382" t="n"/>
      <c r="G862" s="1382" t="n"/>
      <c r="H862" s="1388" t="n"/>
      <c r="I862" s="1382" t="n"/>
      <c r="J862" s="1382" t="n"/>
      <c r="K862" s="1382" t="n"/>
      <c r="L862" s="1382" t="n"/>
    </row>
    <row r="863" ht="12.75" customHeight="1" s="1134">
      <c r="A863" s="1381" t="n"/>
      <c r="B863" s="1382" t="n"/>
      <c r="C863" s="1382" t="n"/>
      <c r="D863" s="1382" t="n"/>
      <c r="E863" s="1382" t="n"/>
      <c r="F863" s="1382" t="n"/>
      <c r="G863" s="1382" t="n"/>
      <c r="H863" s="1388" t="n"/>
      <c r="I863" s="1382" t="n"/>
      <c r="J863" s="1382" t="n"/>
      <c r="K863" s="1382" t="n"/>
      <c r="L863" s="1382" t="n"/>
    </row>
    <row r="864" ht="12.75" customHeight="1" s="1134">
      <c r="A864" s="1381" t="n"/>
      <c r="B864" s="1382" t="n"/>
      <c r="C864" s="1382" t="n"/>
      <c r="D864" s="1382" t="n"/>
      <c r="E864" s="1382" t="n"/>
      <c r="F864" s="1382" t="n"/>
      <c r="G864" s="1382" t="n"/>
      <c r="H864" s="1388" t="n"/>
      <c r="I864" s="1382" t="n"/>
      <c r="J864" s="1382" t="n"/>
      <c r="K864" s="1382" t="n"/>
      <c r="L864" s="1382" t="n"/>
    </row>
    <row r="865" ht="12.75" customHeight="1" s="1134">
      <c r="A865" s="1381" t="n"/>
      <c r="B865" s="1382" t="n"/>
      <c r="C865" s="1382" t="n"/>
      <c r="D865" s="1382" t="n"/>
      <c r="E865" s="1382" t="n"/>
      <c r="F865" s="1382" t="n"/>
      <c r="G865" s="1382" t="n"/>
      <c r="H865" s="1388" t="n"/>
      <c r="I865" s="1382" t="n"/>
      <c r="J865" s="1382" t="n"/>
      <c r="K865" s="1382" t="n"/>
      <c r="L865" s="1382" t="n"/>
    </row>
    <row r="866" ht="12.75" customHeight="1" s="1134">
      <c r="A866" s="1381" t="n"/>
      <c r="B866" s="1382" t="n"/>
      <c r="C866" s="1382" t="n"/>
      <c r="D866" s="1382" t="n"/>
      <c r="E866" s="1382" t="n"/>
      <c r="F866" s="1382" t="n"/>
      <c r="G866" s="1382" t="n"/>
      <c r="H866" s="1388" t="n"/>
      <c r="I866" s="1382" t="n"/>
      <c r="J866" s="1382" t="n"/>
      <c r="K866" s="1382" t="n"/>
      <c r="L866" s="1382" t="n"/>
    </row>
    <row r="867" ht="12.75" customHeight="1" s="1134">
      <c r="A867" s="1381" t="n"/>
      <c r="B867" s="1382" t="n"/>
      <c r="C867" s="1382" t="n"/>
      <c r="D867" s="1382" t="n"/>
      <c r="E867" s="1382" t="n"/>
      <c r="F867" s="1382" t="n"/>
      <c r="G867" s="1382" t="n"/>
      <c r="H867" s="1388" t="n"/>
      <c r="I867" s="1382" t="n"/>
      <c r="J867" s="1382" t="n"/>
      <c r="K867" s="1382" t="n"/>
      <c r="L867" s="1382" t="n"/>
    </row>
    <row r="868" ht="12.75" customHeight="1" s="1134">
      <c r="A868" s="1381" t="n"/>
      <c r="B868" s="1382" t="n"/>
      <c r="C868" s="1382" t="n"/>
      <c r="D868" s="1382" t="n"/>
      <c r="E868" s="1382" t="n"/>
      <c r="F868" s="1382" t="n"/>
      <c r="G868" s="1382" t="n"/>
      <c r="H868" s="1388" t="n"/>
      <c r="I868" s="1382" t="n"/>
      <c r="J868" s="1382" t="n"/>
      <c r="K868" s="1382" t="n"/>
      <c r="L868" s="1382" t="n"/>
    </row>
    <row r="869" ht="12.75" customHeight="1" s="1134">
      <c r="A869" s="1381" t="n"/>
      <c r="B869" s="1382" t="n"/>
      <c r="C869" s="1382" t="n"/>
      <c r="D869" s="1382" t="n"/>
      <c r="E869" s="1382" t="n"/>
      <c r="F869" s="1382" t="n"/>
      <c r="G869" s="1382" t="n"/>
      <c r="H869" s="1388" t="n"/>
      <c r="I869" s="1382" t="n"/>
      <c r="J869" s="1382" t="n"/>
      <c r="K869" s="1382" t="n"/>
      <c r="L869" s="1382" t="n"/>
    </row>
    <row r="870" ht="12.75" customHeight="1" s="1134">
      <c r="A870" s="1381" t="n"/>
      <c r="B870" s="1382" t="n"/>
      <c r="C870" s="1382" t="n"/>
      <c r="D870" s="1382" t="n"/>
      <c r="E870" s="1382" t="n"/>
      <c r="F870" s="1382" t="n"/>
      <c r="G870" s="1382" t="n"/>
      <c r="H870" s="1388" t="n"/>
      <c r="I870" s="1382" t="n"/>
      <c r="J870" s="1382" t="n"/>
      <c r="K870" s="1382" t="n"/>
      <c r="L870" s="1382" t="n"/>
    </row>
    <row r="871" ht="12.75" customHeight="1" s="1134">
      <c r="A871" s="1381" t="n"/>
      <c r="B871" s="1382" t="n"/>
      <c r="C871" s="1382" t="n"/>
      <c r="D871" s="1382" t="n"/>
      <c r="E871" s="1382" t="n"/>
      <c r="F871" s="1382" t="n"/>
      <c r="G871" s="1382" t="n"/>
      <c r="H871" s="1388" t="n"/>
      <c r="I871" s="1382" t="n"/>
      <c r="J871" s="1382" t="n"/>
      <c r="K871" s="1382" t="n"/>
      <c r="L871" s="1382" t="n"/>
    </row>
    <row r="872" ht="12.75" customHeight="1" s="1134">
      <c r="A872" s="1381" t="n"/>
      <c r="B872" s="1382" t="n"/>
      <c r="C872" s="1382" t="n"/>
      <c r="D872" s="1382" t="n"/>
      <c r="E872" s="1382" t="n"/>
      <c r="F872" s="1382" t="n"/>
      <c r="G872" s="1382" t="n"/>
      <c r="H872" s="1388" t="n"/>
      <c r="I872" s="1382" t="n"/>
      <c r="J872" s="1382" t="n"/>
      <c r="K872" s="1382" t="n"/>
      <c r="L872" s="1382" t="n"/>
    </row>
    <row r="873" ht="12.75" customHeight="1" s="1134">
      <c r="A873" s="1381" t="n"/>
      <c r="B873" s="1382" t="n"/>
      <c r="C873" s="1382" t="n"/>
      <c r="D873" s="1382" t="n"/>
      <c r="E873" s="1382" t="n"/>
      <c r="F873" s="1382" t="n"/>
      <c r="G873" s="1382" t="n"/>
      <c r="H873" s="1388" t="n"/>
      <c r="I873" s="1382" t="n"/>
      <c r="J873" s="1382" t="n"/>
      <c r="K873" s="1382" t="n"/>
      <c r="L873" s="1382" t="n"/>
    </row>
    <row r="874" ht="12.75" customHeight="1" s="1134">
      <c r="A874" s="1381" t="n"/>
      <c r="B874" s="1382" t="n"/>
      <c r="C874" s="1382" t="n"/>
      <c r="D874" s="1382" t="n"/>
      <c r="E874" s="1382" t="n"/>
      <c r="F874" s="1382" t="n"/>
      <c r="G874" s="1382" t="n"/>
      <c r="H874" s="1388" t="n"/>
      <c r="I874" s="1382" t="n"/>
      <c r="J874" s="1382" t="n"/>
      <c r="K874" s="1382" t="n"/>
      <c r="L874" s="1382" t="n"/>
    </row>
    <row r="875" ht="12.75" customHeight="1" s="1134">
      <c r="A875" s="1381" t="n"/>
      <c r="B875" s="1382" t="n"/>
      <c r="C875" s="1382" t="n"/>
      <c r="D875" s="1382" t="n"/>
      <c r="E875" s="1382" t="n"/>
      <c r="F875" s="1382" t="n"/>
      <c r="G875" s="1382" t="n"/>
      <c r="H875" s="1388" t="n"/>
      <c r="I875" s="1382" t="n"/>
      <c r="J875" s="1382" t="n"/>
      <c r="K875" s="1382" t="n"/>
      <c r="L875" s="1382" t="n"/>
    </row>
    <row r="876" ht="12.75" customHeight="1" s="1134">
      <c r="A876" s="1381" t="n"/>
      <c r="B876" s="1382" t="n"/>
      <c r="C876" s="1382" t="n"/>
      <c r="D876" s="1382" t="n"/>
      <c r="E876" s="1382" t="n"/>
      <c r="F876" s="1382" t="n"/>
      <c r="G876" s="1382" t="n"/>
      <c r="H876" s="1388" t="n"/>
      <c r="I876" s="1382" t="n"/>
      <c r="J876" s="1382" t="n"/>
      <c r="K876" s="1382" t="n"/>
      <c r="L876" s="1382" t="n"/>
    </row>
    <row r="877" ht="12.75" customHeight="1" s="1134">
      <c r="A877" s="1381" t="n"/>
      <c r="B877" s="1382" t="n"/>
      <c r="C877" s="1382" t="n"/>
      <c r="D877" s="1382" t="n"/>
      <c r="E877" s="1382" t="n"/>
      <c r="F877" s="1382" t="n"/>
      <c r="G877" s="1382" t="n"/>
      <c r="H877" s="1388" t="n"/>
      <c r="I877" s="1382" t="n"/>
      <c r="J877" s="1382" t="n"/>
      <c r="K877" s="1382" t="n"/>
      <c r="L877" s="1382" t="n"/>
    </row>
    <row r="878" ht="12.75" customHeight="1" s="1134">
      <c r="A878" s="1381" t="n"/>
      <c r="B878" s="1382" t="n"/>
      <c r="C878" s="1382" t="n"/>
      <c r="D878" s="1382" t="n"/>
      <c r="E878" s="1382" t="n"/>
      <c r="F878" s="1382" t="n"/>
      <c r="G878" s="1382" t="n"/>
      <c r="H878" s="1388" t="n"/>
      <c r="I878" s="1382" t="n"/>
      <c r="J878" s="1382" t="n"/>
      <c r="K878" s="1382" t="n"/>
      <c r="L878" s="1382" t="n"/>
    </row>
    <row r="879" ht="12.75" customHeight="1" s="1134">
      <c r="A879" s="1381" t="n"/>
      <c r="B879" s="1382" t="n"/>
      <c r="C879" s="1382" t="n"/>
      <c r="D879" s="1382" t="n"/>
      <c r="E879" s="1382" t="n"/>
      <c r="F879" s="1382" t="n"/>
      <c r="G879" s="1382" t="n"/>
      <c r="H879" s="1388" t="n"/>
      <c r="I879" s="1382" t="n"/>
      <c r="J879" s="1382" t="n"/>
      <c r="K879" s="1382" t="n"/>
      <c r="L879" s="1382" t="n"/>
    </row>
    <row r="880" ht="12.75" customHeight="1" s="1134">
      <c r="A880" s="1381" t="n"/>
      <c r="B880" s="1382" t="n"/>
      <c r="C880" s="1382" t="n"/>
      <c r="D880" s="1382" t="n"/>
      <c r="E880" s="1382" t="n"/>
      <c r="F880" s="1382" t="n"/>
      <c r="G880" s="1382" t="n"/>
      <c r="H880" s="1388" t="n"/>
      <c r="I880" s="1382" t="n"/>
      <c r="J880" s="1382" t="n"/>
      <c r="K880" s="1382" t="n"/>
      <c r="L880" s="1382" t="n"/>
    </row>
    <row r="881" ht="12.75" customHeight="1" s="1134">
      <c r="A881" s="1381" t="n"/>
      <c r="B881" s="1382" t="n"/>
      <c r="C881" s="1382" t="n"/>
      <c r="D881" s="1382" t="n"/>
      <c r="E881" s="1382" t="n"/>
      <c r="F881" s="1382" t="n"/>
      <c r="G881" s="1382" t="n"/>
      <c r="H881" s="1388" t="n"/>
      <c r="I881" s="1382" t="n"/>
      <c r="J881" s="1382" t="n"/>
      <c r="K881" s="1382" t="n"/>
      <c r="L881" s="1382" t="n"/>
    </row>
    <row r="882" ht="12.75" customHeight="1" s="1134">
      <c r="A882" s="1381" t="n"/>
      <c r="B882" s="1382" t="n"/>
      <c r="C882" s="1382" t="n"/>
      <c r="D882" s="1382" t="n"/>
      <c r="E882" s="1382" t="n"/>
      <c r="F882" s="1382" t="n"/>
      <c r="G882" s="1382" t="n"/>
      <c r="H882" s="1388" t="n"/>
      <c r="I882" s="1382" t="n"/>
      <c r="J882" s="1382" t="n"/>
      <c r="K882" s="1382" t="n"/>
      <c r="L882" s="1382" t="n"/>
    </row>
    <row r="883" ht="12.75" customHeight="1" s="1134">
      <c r="A883" s="1381" t="n"/>
      <c r="B883" s="1382" t="n"/>
      <c r="C883" s="1382" t="n"/>
      <c r="D883" s="1382" t="n"/>
      <c r="E883" s="1382" t="n"/>
      <c r="F883" s="1382" t="n"/>
      <c r="G883" s="1382" t="n"/>
      <c r="H883" s="1388" t="n"/>
      <c r="I883" s="1382" t="n"/>
      <c r="J883" s="1382" t="n"/>
      <c r="K883" s="1382" t="n"/>
      <c r="L883" s="1382" t="n"/>
    </row>
    <row r="884" ht="12.75" customHeight="1" s="1134">
      <c r="A884" s="1381" t="n"/>
      <c r="B884" s="1382" t="n"/>
      <c r="C884" s="1382" t="n"/>
      <c r="D884" s="1382" t="n"/>
      <c r="E884" s="1382" t="n"/>
      <c r="F884" s="1382" t="n"/>
      <c r="G884" s="1382" t="n"/>
      <c r="H884" s="1388" t="n"/>
      <c r="I884" s="1382" t="n"/>
      <c r="J884" s="1382" t="n"/>
      <c r="K884" s="1382" t="n"/>
      <c r="L884" s="1382" t="n"/>
    </row>
    <row r="885" ht="12.75" customHeight="1" s="1134">
      <c r="A885" s="1381" t="n"/>
      <c r="B885" s="1382" t="n"/>
      <c r="C885" s="1382" t="n"/>
      <c r="D885" s="1382" t="n"/>
      <c r="E885" s="1382" t="n"/>
      <c r="F885" s="1382" t="n"/>
      <c r="G885" s="1382" t="n"/>
      <c r="H885" s="1388" t="n"/>
      <c r="I885" s="1382" t="n"/>
      <c r="J885" s="1382" t="n"/>
      <c r="K885" s="1382" t="n"/>
      <c r="L885" s="1382" t="n"/>
    </row>
    <row r="886" ht="12.75" customHeight="1" s="1134">
      <c r="A886" s="1381" t="n"/>
      <c r="B886" s="1382" t="n"/>
      <c r="C886" s="1382" t="n"/>
      <c r="D886" s="1382" t="n"/>
      <c r="E886" s="1382" t="n"/>
      <c r="F886" s="1382" t="n"/>
      <c r="G886" s="1382" t="n"/>
      <c r="H886" s="1388" t="n"/>
      <c r="I886" s="1382" t="n"/>
      <c r="J886" s="1382" t="n"/>
      <c r="K886" s="1382" t="n"/>
      <c r="L886" s="1382" t="n"/>
    </row>
    <row r="887" ht="12.75" customHeight="1" s="1134">
      <c r="A887" s="1381" t="n"/>
      <c r="B887" s="1382" t="n"/>
      <c r="C887" s="1382" t="n"/>
      <c r="D887" s="1382" t="n"/>
      <c r="E887" s="1382" t="n"/>
      <c r="F887" s="1382" t="n"/>
      <c r="G887" s="1382" t="n"/>
      <c r="H887" s="1388" t="n"/>
      <c r="I887" s="1382" t="n"/>
      <c r="J887" s="1382" t="n"/>
      <c r="K887" s="1382" t="n"/>
      <c r="L887" s="1382" t="n"/>
    </row>
    <row r="888" ht="12.75" customHeight="1" s="1134">
      <c r="A888" s="1381" t="n"/>
      <c r="B888" s="1382" t="n"/>
      <c r="C888" s="1382" t="n"/>
      <c r="D888" s="1382" t="n"/>
      <c r="E888" s="1382" t="n"/>
      <c r="F888" s="1382" t="n"/>
      <c r="G888" s="1382" t="n"/>
      <c r="H888" s="1388" t="n"/>
      <c r="I888" s="1382" t="n"/>
      <c r="J888" s="1382" t="n"/>
      <c r="K888" s="1382" t="n"/>
      <c r="L888" s="1382" t="n"/>
    </row>
    <row r="889" ht="12.75" customHeight="1" s="1134">
      <c r="A889" s="1381" t="n"/>
      <c r="B889" s="1382" t="n"/>
      <c r="C889" s="1382" t="n"/>
      <c r="D889" s="1382" t="n"/>
      <c r="E889" s="1382" t="n"/>
      <c r="F889" s="1382" t="n"/>
      <c r="G889" s="1382" t="n"/>
      <c r="H889" s="1388" t="n"/>
      <c r="I889" s="1382" t="n"/>
      <c r="J889" s="1382" t="n"/>
      <c r="K889" s="1382" t="n"/>
      <c r="L889" s="1382" t="n"/>
    </row>
    <row r="890" ht="12.75" customHeight="1" s="1134">
      <c r="A890" s="1381" t="n"/>
      <c r="B890" s="1382" t="n"/>
      <c r="C890" s="1382" t="n"/>
      <c r="D890" s="1382" t="n"/>
      <c r="E890" s="1382" t="n"/>
      <c r="F890" s="1382" t="n"/>
      <c r="G890" s="1382" t="n"/>
      <c r="H890" s="1388" t="n"/>
      <c r="I890" s="1382" t="n"/>
      <c r="J890" s="1382" t="n"/>
      <c r="K890" s="1382" t="n"/>
      <c r="L890" s="1382" t="n"/>
    </row>
    <row r="891" ht="12.75" customHeight="1" s="1134">
      <c r="A891" s="1381" t="n"/>
      <c r="B891" s="1382" t="n"/>
      <c r="C891" s="1382" t="n"/>
      <c r="D891" s="1382" t="n"/>
      <c r="E891" s="1382" t="n"/>
      <c r="F891" s="1382" t="n"/>
      <c r="G891" s="1382" t="n"/>
      <c r="H891" s="1388" t="n"/>
      <c r="I891" s="1382" t="n"/>
      <c r="J891" s="1382" t="n"/>
      <c r="K891" s="1382" t="n"/>
      <c r="L891" s="1382" t="n"/>
    </row>
    <row r="892" ht="12.75" customHeight="1" s="1134">
      <c r="A892" s="1381" t="n"/>
      <c r="B892" s="1382" t="n"/>
      <c r="C892" s="1382" t="n"/>
      <c r="D892" s="1382" t="n"/>
      <c r="E892" s="1382" t="n"/>
      <c r="F892" s="1382" t="n"/>
      <c r="G892" s="1382" t="n"/>
      <c r="H892" s="1388" t="n"/>
      <c r="I892" s="1382" t="n"/>
      <c r="J892" s="1382" t="n"/>
      <c r="K892" s="1382" t="n"/>
      <c r="L892" s="1382" t="n"/>
    </row>
    <row r="893" ht="12.75" customHeight="1" s="1134">
      <c r="A893" s="1381" t="n"/>
      <c r="B893" s="1382" t="n"/>
      <c r="C893" s="1382" t="n"/>
      <c r="D893" s="1382" t="n"/>
      <c r="E893" s="1382" t="n"/>
      <c r="F893" s="1382" t="n"/>
      <c r="G893" s="1382" t="n"/>
      <c r="H893" s="1388" t="n"/>
      <c r="I893" s="1382" t="n"/>
      <c r="J893" s="1382" t="n"/>
      <c r="K893" s="1382" t="n"/>
      <c r="L893" s="1382" t="n"/>
    </row>
    <row r="894" ht="12.75" customHeight="1" s="1134">
      <c r="A894" s="1381" t="n"/>
      <c r="B894" s="1382" t="n"/>
      <c r="C894" s="1382" t="n"/>
      <c r="D894" s="1382" t="n"/>
      <c r="E894" s="1382" t="n"/>
      <c r="F894" s="1382" t="n"/>
      <c r="G894" s="1382" t="n"/>
      <c r="H894" s="1388" t="n"/>
      <c r="I894" s="1382" t="n"/>
      <c r="J894" s="1382" t="n"/>
      <c r="K894" s="1382" t="n"/>
      <c r="L894" s="1382" t="n"/>
    </row>
    <row r="895" ht="12.75" customHeight="1" s="1134">
      <c r="A895" s="1381" t="n"/>
      <c r="B895" s="1382" t="n"/>
      <c r="C895" s="1382" t="n"/>
      <c r="D895" s="1382" t="n"/>
      <c r="E895" s="1382" t="n"/>
      <c r="F895" s="1382" t="n"/>
      <c r="G895" s="1382" t="n"/>
      <c r="H895" s="1388" t="n"/>
      <c r="I895" s="1382" t="n"/>
      <c r="J895" s="1382" t="n"/>
      <c r="K895" s="1382" t="n"/>
      <c r="L895" s="1382" t="n"/>
    </row>
    <row r="896" ht="12.75" customHeight="1" s="1134">
      <c r="A896" s="1381" t="n"/>
      <c r="B896" s="1382" t="n"/>
      <c r="C896" s="1382" t="n"/>
      <c r="D896" s="1382" t="n"/>
      <c r="E896" s="1382" t="n"/>
      <c r="F896" s="1382" t="n"/>
      <c r="G896" s="1382" t="n"/>
      <c r="H896" s="1388" t="n"/>
      <c r="I896" s="1382" t="n"/>
      <c r="J896" s="1382" t="n"/>
      <c r="K896" s="1382" t="n"/>
      <c r="L896" s="1382" t="n"/>
    </row>
    <row r="897" ht="12.75" customHeight="1" s="1134">
      <c r="A897" s="1381" t="n"/>
      <c r="B897" s="1382" t="n"/>
      <c r="C897" s="1382" t="n"/>
      <c r="D897" s="1382" t="n"/>
      <c r="E897" s="1382" t="n"/>
      <c r="F897" s="1382" t="n"/>
      <c r="G897" s="1382" t="n"/>
      <c r="H897" s="1388" t="n"/>
      <c r="I897" s="1382" t="n"/>
      <c r="J897" s="1382" t="n"/>
      <c r="K897" s="1382" t="n"/>
      <c r="L897" s="1382" t="n"/>
    </row>
    <row r="898" ht="12.75" customHeight="1" s="1134">
      <c r="A898" s="1381" t="n"/>
      <c r="B898" s="1382" t="n"/>
      <c r="C898" s="1382" t="n"/>
      <c r="D898" s="1382" t="n"/>
      <c r="E898" s="1382" t="n"/>
      <c r="F898" s="1382" t="n"/>
      <c r="G898" s="1382" t="n"/>
      <c r="H898" s="1388" t="n"/>
      <c r="I898" s="1382" t="n"/>
      <c r="J898" s="1382" t="n"/>
      <c r="K898" s="1382" t="n"/>
      <c r="L898" s="1382" t="n"/>
    </row>
    <row r="899" ht="12.75" customHeight="1" s="1134">
      <c r="A899" s="1381" t="n"/>
      <c r="B899" s="1382" t="n"/>
      <c r="C899" s="1382" t="n"/>
      <c r="D899" s="1382" t="n"/>
      <c r="E899" s="1382" t="n"/>
      <c r="F899" s="1382" t="n"/>
      <c r="G899" s="1382" t="n"/>
      <c r="H899" s="1388" t="n"/>
      <c r="I899" s="1382" t="n"/>
      <c r="J899" s="1382" t="n"/>
      <c r="K899" s="1382" t="n"/>
      <c r="L899" s="1382" t="n"/>
    </row>
    <row r="900" ht="12.75" customHeight="1" s="1134">
      <c r="A900" s="1381" t="n"/>
      <c r="B900" s="1382" t="n"/>
      <c r="C900" s="1382" t="n"/>
      <c r="D900" s="1382" t="n"/>
      <c r="E900" s="1382" t="n"/>
      <c r="F900" s="1382" t="n"/>
      <c r="G900" s="1382" t="n"/>
      <c r="H900" s="1388" t="n"/>
      <c r="I900" s="1382" t="n"/>
      <c r="J900" s="1382" t="n"/>
      <c r="K900" s="1382" t="n"/>
      <c r="L900" s="1382" t="n"/>
    </row>
    <row r="901" ht="12.75" customHeight="1" s="1134">
      <c r="A901" s="1381" t="n"/>
      <c r="B901" s="1382" t="n"/>
      <c r="C901" s="1382" t="n"/>
      <c r="D901" s="1382" t="n"/>
      <c r="E901" s="1382" t="n"/>
      <c r="F901" s="1382" t="n"/>
      <c r="G901" s="1382" t="n"/>
      <c r="H901" s="1388" t="n"/>
      <c r="I901" s="1382" t="n"/>
      <c r="J901" s="1382" t="n"/>
      <c r="K901" s="1382" t="n"/>
      <c r="L901" s="1382" t="n"/>
    </row>
    <row r="902" ht="12.75" customHeight="1" s="1134">
      <c r="A902" s="1381" t="n"/>
      <c r="B902" s="1382" t="n"/>
      <c r="C902" s="1382" t="n"/>
      <c r="D902" s="1382" t="n"/>
      <c r="E902" s="1382" t="n"/>
      <c r="F902" s="1382" t="n"/>
      <c r="G902" s="1382" t="n"/>
      <c r="H902" s="1388" t="n"/>
      <c r="I902" s="1382" t="n"/>
      <c r="J902" s="1382" t="n"/>
      <c r="K902" s="1382" t="n"/>
      <c r="L902" s="1382" t="n"/>
    </row>
    <row r="903" ht="12.75" customHeight="1" s="1134">
      <c r="A903" s="1381" t="n"/>
      <c r="B903" s="1382" t="n"/>
      <c r="C903" s="1382" t="n"/>
      <c r="D903" s="1382" t="n"/>
      <c r="E903" s="1382" t="n"/>
      <c r="F903" s="1382" t="n"/>
      <c r="G903" s="1382" t="n"/>
      <c r="H903" s="1388" t="n"/>
      <c r="I903" s="1382" t="n"/>
      <c r="J903" s="1382" t="n"/>
      <c r="K903" s="1382" t="n"/>
      <c r="L903" s="1382" t="n"/>
    </row>
    <row r="904" ht="12.75" customHeight="1" s="1134">
      <c r="A904" s="1381" t="n"/>
      <c r="B904" s="1382" t="n"/>
      <c r="C904" s="1382" t="n"/>
      <c r="D904" s="1382" t="n"/>
      <c r="E904" s="1382" t="n"/>
      <c r="F904" s="1382" t="n"/>
      <c r="G904" s="1382" t="n"/>
      <c r="H904" s="1388" t="n"/>
      <c r="I904" s="1382" t="n"/>
      <c r="J904" s="1382" t="n"/>
      <c r="K904" s="1382" t="n"/>
      <c r="L904" s="1382" t="n"/>
    </row>
    <row r="905" ht="12.75" customHeight="1" s="1134">
      <c r="A905" s="1381" t="n"/>
      <c r="B905" s="1382" t="n"/>
      <c r="C905" s="1382" t="n"/>
      <c r="D905" s="1382" t="n"/>
      <c r="E905" s="1382" t="n"/>
      <c r="F905" s="1382" t="n"/>
      <c r="G905" s="1382" t="n"/>
      <c r="H905" s="1388" t="n"/>
      <c r="I905" s="1382" t="n"/>
      <c r="J905" s="1382" t="n"/>
      <c r="K905" s="1382" t="n"/>
      <c r="L905" s="1382" t="n"/>
    </row>
    <row r="906" ht="12.75" customHeight="1" s="1134">
      <c r="A906" s="1214" t="n"/>
      <c r="B906" s="1132" t="n"/>
      <c r="C906" s="1132" t="n"/>
      <c r="D906" s="1132" t="n"/>
      <c r="E906" s="1132" t="n"/>
      <c r="F906" s="1132" t="n"/>
      <c r="G906" s="1132" t="n"/>
      <c r="H906" s="1215" t="n"/>
      <c r="I906" s="1132" t="n"/>
      <c r="K906" s="1132" t="n"/>
    </row>
    <row r="907" ht="12.75" customHeight="1" s="1134">
      <c r="A907" s="1214" t="n"/>
      <c r="B907" s="1132" t="n"/>
      <c r="C907" s="1132" t="n"/>
      <c r="D907" s="1132" t="n"/>
      <c r="E907" s="1132" t="n"/>
      <c r="F907" s="1132" t="n"/>
      <c r="G907" s="1132" t="n"/>
      <c r="H907" s="1215" t="n"/>
      <c r="I907" s="1132" t="n"/>
      <c r="K907" s="1132" t="n"/>
    </row>
    <row r="908" ht="12.75" customHeight="1" s="1134">
      <c r="A908" s="1214" t="n"/>
      <c r="B908" s="1132" t="n"/>
      <c r="C908" s="1132" t="n"/>
      <c r="D908" s="1132" t="n"/>
      <c r="E908" s="1132" t="n"/>
      <c r="F908" s="1132" t="n"/>
      <c r="G908" s="1132" t="n"/>
      <c r="H908" s="1215" t="n"/>
      <c r="I908" s="1132" t="n"/>
      <c r="K908" s="1132" t="n"/>
    </row>
  </sheetData>
  <mergeCells count="132">
    <mergeCell ref="B115:B131"/>
    <mergeCell ref="C328:C334"/>
    <mergeCell ref="C234:C250"/>
    <mergeCell ref="B45:B58"/>
    <mergeCell ref="B149:B165"/>
    <mergeCell ref="A436:A442"/>
    <mergeCell ref="A464:A470"/>
    <mergeCell ref="A268:A284"/>
    <mergeCell ref="A217:A233"/>
    <mergeCell ref="B132:B148"/>
    <mergeCell ref="C251:C267"/>
    <mergeCell ref="C101:C114"/>
    <mergeCell ref="B166:B182"/>
    <mergeCell ref="C285:C302"/>
    <mergeCell ref="B3:B25"/>
    <mergeCell ref="A372:A389"/>
    <mergeCell ref="B675:B681"/>
    <mergeCell ref="A251:A267"/>
    <mergeCell ref="C594:C607"/>
    <mergeCell ref="B73:B86"/>
    <mergeCell ref="C132:C148"/>
    <mergeCell ref="A429:A435"/>
    <mergeCell ref="A422:A428"/>
    <mergeCell ref="C422:C428"/>
    <mergeCell ref="B464:B470"/>
    <mergeCell ref="A166:A182"/>
    <mergeCell ref="A415:A421"/>
    <mergeCell ref="C166:C182"/>
    <mergeCell ref="C415:C421"/>
    <mergeCell ref="B26:B44"/>
    <mergeCell ref="B533:B569"/>
    <mergeCell ref="A321:A327"/>
    <mergeCell ref="A303:A320"/>
    <mergeCell ref="C408:C414"/>
    <mergeCell ref="C303:C320"/>
    <mergeCell ref="A478:A532"/>
    <mergeCell ref="C478:C532"/>
    <mergeCell ref="C3:C25"/>
    <mergeCell ref="A583:A593"/>
    <mergeCell ref="C200:C216"/>
    <mergeCell ref="B372:B389"/>
    <mergeCell ref="B443:B449"/>
    <mergeCell ref="B608:B614"/>
    <mergeCell ref="B59:B72"/>
    <mergeCell ref="A450:A456"/>
    <mergeCell ref="C450:C456"/>
    <mergeCell ref="C87:C100"/>
    <mergeCell ref="B623:B674"/>
    <mergeCell ref="B415:B421"/>
    <mergeCell ref="B429:B435"/>
    <mergeCell ref="C390:C407"/>
    <mergeCell ref="B336:B353"/>
    <mergeCell ref="C436:C442"/>
    <mergeCell ref="C73:C86"/>
    <mergeCell ref="A234:A250"/>
    <mergeCell ref="A115:A131"/>
    <mergeCell ref="A26:A44"/>
    <mergeCell ref="C321:C327"/>
    <mergeCell ref="B183:B199"/>
    <mergeCell ref="B328:B334"/>
    <mergeCell ref="C59:C72"/>
    <mergeCell ref="B471:B477"/>
    <mergeCell ref="B200:B216"/>
    <mergeCell ref="A101:A114"/>
    <mergeCell ref="C615:C621"/>
    <mergeCell ref="C149:C165"/>
    <mergeCell ref="A570:A582"/>
    <mergeCell ref="B87:B100"/>
    <mergeCell ref="C570:C582"/>
    <mergeCell ref="A285:A302"/>
    <mergeCell ref="A623:A674"/>
    <mergeCell ref="B268:B284"/>
    <mergeCell ref="C471:C477"/>
    <mergeCell ref="A132:A148"/>
    <mergeCell ref="A336:A353"/>
    <mergeCell ref="B457:B463"/>
    <mergeCell ref="B285:B302"/>
    <mergeCell ref="A675:A681"/>
    <mergeCell ref="C675:C681"/>
    <mergeCell ref="A183:A199"/>
    <mergeCell ref="A73:A86"/>
    <mergeCell ref="C183:C199"/>
    <mergeCell ref="B234:B250"/>
    <mergeCell ref="B390:B407"/>
    <mergeCell ref="C354:C371"/>
    <mergeCell ref="B101:B114"/>
    <mergeCell ref="A408:A414"/>
    <mergeCell ref="C464:C470"/>
    <mergeCell ref="A3:A25"/>
    <mergeCell ref="C268:C284"/>
    <mergeCell ref="B251:B267"/>
    <mergeCell ref="C217:C233"/>
    <mergeCell ref="B303:B320"/>
    <mergeCell ref="B583:B593"/>
    <mergeCell ref="A443:A449"/>
    <mergeCell ref="C443:C449"/>
    <mergeCell ref="A390:A407"/>
    <mergeCell ref="B354:B371"/>
    <mergeCell ref="B408:B414"/>
    <mergeCell ref="B422:B428"/>
    <mergeCell ref="A594:A607"/>
    <mergeCell ref="C429:C435"/>
    <mergeCell ref="A59:A72"/>
    <mergeCell ref="C115:C131"/>
    <mergeCell ref="A533:A569"/>
    <mergeCell ref="C26:C44"/>
    <mergeCell ref="C533:C569"/>
    <mergeCell ref="A615:A621"/>
    <mergeCell ref="A149:A165"/>
    <mergeCell ref="B321:B327"/>
    <mergeCell ref="B478:B532"/>
    <mergeCell ref="A328:A334"/>
    <mergeCell ref="C372:C389"/>
    <mergeCell ref="A608:A614"/>
    <mergeCell ref="A45:A58"/>
    <mergeCell ref="C608:C614"/>
    <mergeCell ref="C45:C58"/>
    <mergeCell ref="B450:B456"/>
    <mergeCell ref="A200:A216"/>
    <mergeCell ref="A471:A477"/>
    <mergeCell ref="B615:B621"/>
    <mergeCell ref="A87:A100"/>
    <mergeCell ref="B570:B582"/>
    <mergeCell ref="C583:C593"/>
    <mergeCell ref="C623:C674"/>
    <mergeCell ref="B217:B233"/>
    <mergeCell ref="A354:A371"/>
    <mergeCell ref="C336:C353"/>
    <mergeCell ref="B594:B607"/>
    <mergeCell ref="B436:B442"/>
    <mergeCell ref="A457:A463"/>
    <mergeCell ref="C457:C463"/>
  </mergeCells>
  <conditionalFormatting sqref="L457:L463">
    <cfRule type="cellIs" rank="0" priority="2" equalAverage="0" operator="equal" aboveAverage="0" dxfId="0" text="" percent="0" bottom="0">
      <formula>"ERROR"</formula>
    </cfRule>
  </conditionalFormatting>
  <conditionalFormatting sqref="L450:L456">
    <cfRule type="cellIs" rank="0" priority="3" equalAverage="0" operator="equal" aboveAverage="0" dxfId="0" text="" percent="0" bottom="0">
      <formula>"ERROR"</formula>
    </cfRule>
  </conditionalFormatting>
  <conditionalFormatting sqref="L132:L148">
    <cfRule type="cellIs" rank="0" priority="4" equalAverage="0" operator="equal" aboveAverage="0" dxfId="0" text="" percent="0" bottom="0">
      <formula>"ERROR"</formula>
    </cfRule>
  </conditionalFormatting>
  <conditionalFormatting sqref="L200:L216">
    <cfRule type="cellIs" rank="0" priority="5" equalAverage="0" operator="equal" aboveAverage="0" dxfId="0" text="" percent="0" bottom="0">
      <formula>"ERROR"</formula>
    </cfRule>
  </conditionalFormatting>
  <conditionalFormatting sqref="L471:L477">
    <cfRule type="cellIs" rank="0" priority="6" equalAverage="0" operator="equal" aboveAverage="0" dxfId="0" text="" percent="0" bottom="0">
      <formula>"ERROR"</formula>
    </cfRule>
  </conditionalFormatting>
  <conditionalFormatting sqref="L443:L449">
    <cfRule type="cellIs" rank="0" priority="7" equalAverage="0" operator="equal" aboveAverage="0" dxfId="0" text="" percent="0" bottom="0">
      <formula>"ERROR"</formula>
    </cfRule>
  </conditionalFormatting>
  <conditionalFormatting sqref="L429:L435">
    <cfRule type="cellIs" rank="0" priority="8" equalAverage="0" operator="equal" aboveAverage="0" dxfId="0" text="" percent="0" bottom="0">
      <formula>"ERROR"</formula>
    </cfRule>
  </conditionalFormatting>
  <conditionalFormatting sqref="L415:L421">
    <cfRule type="cellIs" rank="0" priority="9" equalAverage="0" operator="equal" aboveAverage="0" dxfId="0" text="" percent="0" bottom="0">
      <formula>"ERROR"</formula>
    </cfRule>
  </conditionalFormatting>
  <conditionalFormatting sqref="L390:L407">
    <cfRule type="cellIs" rank="0" priority="10" equalAverage="0" operator="equal" aboveAverage="0" dxfId="0" text="" percent="0" bottom="0">
      <formula>"ERROR"</formula>
    </cfRule>
  </conditionalFormatting>
  <conditionalFormatting sqref="L354:L371">
    <cfRule type="cellIs" rank="0" priority="11" equalAverage="0" operator="equal" aboveAverage="0" dxfId="0" text="" percent="0" bottom="0">
      <formula>"ERROR"</formula>
    </cfRule>
  </conditionalFormatting>
  <conditionalFormatting sqref="L321 L327:L335">
    <cfRule type="cellIs" rank="0" priority="12" equalAverage="0" operator="equal" aboveAverage="0" dxfId="0" text="" percent="0" bottom="0">
      <formula>"ERROR"</formula>
    </cfRule>
  </conditionalFormatting>
  <conditionalFormatting sqref="L268:L284">
    <cfRule type="cellIs" rank="0" priority="13" equalAverage="0" operator="equal" aboveAverage="0" dxfId="0" text="" percent="0" bottom="0">
      <formula>"ERROR"</formula>
    </cfRule>
  </conditionalFormatting>
  <conditionalFormatting sqref="L234:L250">
    <cfRule type="cellIs" rank="0" priority="14" equalAverage="0" operator="equal" aboveAverage="0" dxfId="0" text="" percent="0" bottom="0">
      <formula>"ERROR"</formula>
    </cfRule>
  </conditionalFormatting>
  <conditionalFormatting sqref="L166:L182">
    <cfRule type="cellIs" rank="0" priority="15" equalAverage="0" operator="equal" aboveAverage="0" dxfId="0" text="" percent="0" bottom="0">
      <formula>"ERROR"</formula>
    </cfRule>
  </conditionalFormatting>
  <conditionalFormatting sqref="L101:L114">
    <cfRule type="cellIs" rank="0" priority="16" equalAverage="0" operator="equal" aboveAverage="0" dxfId="0" text="" percent="0" bottom="0">
      <formula>"ERROR"</formula>
    </cfRule>
  </conditionalFormatting>
  <conditionalFormatting sqref="L87:L100">
    <cfRule type="cellIs" rank="0" priority="17" equalAverage="0" operator="equal" aboveAverage="0" dxfId="0" text="" percent="0" bottom="0">
      <formula>"ERROR"</formula>
    </cfRule>
  </conditionalFormatting>
  <conditionalFormatting sqref="L73:L86">
    <cfRule type="cellIs" rank="0" priority="18" equalAverage="0" operator="equal" aboveAverage="0" dxfId="0" text="" percent="0" bottom="0">
      <formula>"ERROR"</formula>
    </cfRule>
  </conditionalFormatting>
  <conditionalFormatting sqref="L59:L72">
    <cfRule type="cellIs" rank="0" priority="19" equalAverage="0" operator="equal" aboveAverage="0" dxfId="0" text="" percent="0" bottom="0">
      <formula>"ERROR"</formula>
    </cfRule>
  </conditionalFormatting>
  <conditionalFormatting sqref="L1:L58 L115:L131 L149:L165 L183:L199 L217:L233 L251:L267 L336:L353 L372:L389 L408:L414 L422:L428 L436:L442 L464:L470 L478:L681 L690:L65536">
    <cfRule type="cellIs" rank="0" priority="20" equalAverage="0" operator="equal" aboveAverage="0" dxfId="0" text="" percent="0" bottom="0">
      <formula>"ERROR"</formula>
    </cfRule>
  </conditionalFormatting>
  <printOptions horizontalCentered="0" verticalCentered="0" headings="0" gridLines="0" gridLinesSet="1"/>
  <pageMargins left="0.409722222222222" right="0" top="0.390277777777778" bottom="0.420138888888889" header="0.511811023622047" footer="0.170138888888889"/>
  <pageSetup orientation="portrait" paperSize="1" scale="66" fitToHeight="1" fitToWidth="1" pageOrder="downThenOver" blackAndWhite="0" draft="0" horizontalDpi="300" verticalDpi="300" copies="1"/>
  <headerFooter differentOddEven="0" differentFirst="0">
    <oddHeader/>
    <oddFooter>&amp;R&amp;P</oddFooter>
    <evenHeader/>
    <evenFooter/>
    <firstHeader/>
    <firstFooter/>
  </headerFooter>
  <rowBreaks count="3" manualBreakCount="3">
    <brk id="335" min="0" max="16383" man="1"/>
    <brk id="532" min="0" max="16383" man="1"/>
    <brk id="607" min="0" max="16383" man="1"/>
  </rowBreaks>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CQ356"/>
  <sheetViews>
    <sheetView showFormulas="0" showGridLines="1" showRowColHeaders="1" showZeros="1" rightToLeft="0" tabSelected="0" showOutlineSymbols="1" defaultGridColor="1" view="normal" topLeftCell="A147" colorId="64" zoomScale="85" zoomScaleNormal="85" zoomScalePageLayoutView="100" workbookViewId="0">
      <selection pane="topLeft" activeCell="N274" activeCellId="0" sqref="N274"/>
    </sheetView>
  </sheetViews>
  <sheetFormatPr baseColWidth="8" defaultColWidth="9.3359375" defaultRowHeight="12.75" customHeight="0" zeroHeight="0" outlineLevelRow="0"/>
  <cols>
    <col width="27" customWidth="1" style="1132" min="1" max="1"/>
    <col width="29" customWidth="1" style="1214" min="2" max="2"/>
    <col width="22.56" customWidth="1" style="1132" min="3" max="3"/>
    <col width="18.44" customWidth="1" style="1132" min="4" max="4"/>
    <col width="11.33" customWidth="1" style="1132" min="5" max="6"/>
    <col width="7.67" customWidth="1" style="1132" min="7" max="7"/>
    <col width="9.33" customWidth="1" style="1215" min="8" max="9"/>
    <col width="9.33" customWidth="1" style="1132" min="10" max="10"/>
    <col width="15.33" customWidth="1" style="1132" min="11" max="11"/>
    <col width="3.56" customWidth="1" style="1132" min="12" max="12"/>
    <col width="15.33" customWidth="1" style="1132" min="13" max="13"/>
    <col width="16.33" customWidth="1" style="1132" min="14" max="14"/>
    <col width="19.44" customWidth="1" style="1344" min="15" max="15"/>
    <col width="14.33" customWidth="1" style="1343" min="16" max="16"/>
    <col width="43.88" customWidth="1" style="1344" min="17" max="17"/>
    <col width="12.44" customWidth="1" style="1132" min="18" max="18"/>
    <col width="30.44" customWidth="1" style="1132" min="19" max="19"/>
    <col width="9.33" customWidth="1" style="1132" min="20" max="16384"/>
  </cols>
  <sheetData>
    <row r="1" ht="24" customHeight="1" s="1134">
      <c r="A1" s="1389" t="inlineStr">
        <is>
          <t>LEAD PREP PROCESS</t>
        </is>
      </c>
      <c r="B1" s="1390" t="n"/>
      <c r="C1" s="1390" t="n"/>
      <c r="D1" s="1390" t="n"/>
      <c r="E1" s="1390" t="n"/>
      <c r="F1" s="1390" t="n"/>
      <c r="G1" s="1390" t="n"/>
      <c r="H1" s="1390" t="n"/>
      <c r="I1" s="1390" t="n"/>
      <c r="J1" s="1390" t="n"/>
      <c r="K1" s="1390" t="n"/>
    </row>
    <row r="2" ht="45" customFormat="1" customHeight="1" s="1391">
      <c r="A2" s="1216" t="inlineStr">
        <is>
          <t>SEAL APPLICATIONS (Including Grommet Pass through)</t>
        </is>
      </c>
      <c r="B2" s="1217" t="inlineStr">
        <is>
          <t>COMMENTS</t>
        </is>
      </c>
      <c r="C2" s="1217" t="inlineStr">
        <is>
          <t>Machine</t>
        </is>
      </c>
      <c r="D2" s="1217" t="inlineStr">
        <is>
          <t>Multicond?</t>
        </is>
      </c>
      <c r="E2" s="1217" t="inlineStr">
        <is>
          <t>Min Gage</t>
        </is>
      </c>
      <c r="F2" s="1217" t="inlineStr">
        <is>
          <t>Max Gage</t>
        </is>
      </c>
      <c r="G2" s="1217" t="n"/>
      <c r="H2" s="1392" t="inlineStr">
        <is>
          <t>Global Sec/ Pc</t>
        </is>
      </c>
      <c r="I2" s="1392" t="inlineStr">
        <is>
          <t>Location
LP/FA</t>
        </is>
      </c>
      <c r="J2" s="1217" t="inlineStr">
        <is>
          <t>QTY</t>
        </is>
      </c>
      <c r="K2" s="1393" t="inlineStr">
        <is>
          <t>TOTAL</t>
        </is>
      </c>
      <c r="N2" s="1391" t="n"/>
      <c r="O2" s="1394" t="n"/>
      <c r="P2" s="1395" t="n"/>
      <c r="Q2" s="1394" t="n"/>
    </row>
    <row r="3" ht="18" customHeight="1" s="1134">
      <c r="A3" s="1396" t="inlineStr">
        <is>
          <t>APPLY SEAL</t>
        </is>
      </c>
      <c r="B3" s="1397" t="inlineStr">
        <is>
          <t>apply seal in a normal cable</t>
        </is>
      </c>
      <c r="C3" s="1398" t="inlineStr">
        <is>
          <t>Seal Station / per application</t>
        </is>
      </c>
      <c r="D3" s="1399" t="n"/>
      <c r="E3" s="1399" t="n">
        <v>0.13</v>
      </c>
      <c r="F3" s="1399" t="n">
        <v>8</v>
      </c>
      <c r="G3" s="1399" t="n"/>
      <c r="H3" s="1400" t="n">
        <v>5.26</v>
      </c>
      <c r="I3" s="1401" t="inlineStr">
        <is>
          <t>LP</t>
        </is>
      </c>
      <c r="J3" s="1402" t="n">
        <v>1</v>
      </c>
      <c r="K3" s="1403">
        <f>+J3*H3</f>
        <v/>
      </c>
      <c r="L3" s="1231" t="inlineStr">
        <is>
          <t>LP</t>
        </is>
      </c>
      <c r="M3" s="1231" t="inlineStr">
        <is>
          <t>Automatic</t>
        </is>
      </c>
      <c r="N3" s="1231" t="n"/>
      <c r="O3" s="1344" t="n"/>
      <c r="P3" s="1343" t="n"/>
      <c r="Q3" s="1404" t="n"/>
      <c r="R3" s="1231" t="n"/>
    </row>
    <row r="4" ht="35.25" customHeight="1" s="1134">
      <c r="A4" s="1405" t="n"/>
      <c r="B4" s="1397" t="inlineStr">
        <is>
          <t>apply seals in multiconductor cable 
(to be applied also to apply seal to subassiemblies)</t>
        </is>
      </c>
      <c r="C4" s="1406" t="n"/>
      <c r="D4" s="1399" t="inlineStr">
        <is>
          <t>Y</t>
        </is>
      </c>
      <c r="E4" s="1399" t="n">
        <v>0.13</v>
      </c>
      <c r="F4" s="1399" t="n">
        <v>8</v>
      </c>
      <c r="G4" s="1399" t="n"/>
      <c r="H4" s="1400" t="n">
        <v>6</v>
      </c>
      <c r="I4" s="1401" t="inlineStr">
        <is>
          <t>LP</t>
        </is>
      </c>
      <c r="J4" s="1402" t="n">
        <v>1</v>
      </c>
      <c r="K4" s="1403">
        <f>+J4*H4</f>
        <v/>
      </c>
      <c r="L4" s="1231" t="inlineStr">
        <is>
          <t>FA</t>
        </is>
      </c>
      <c r="M4" s="1231" t="inlineStr">
        <is>
          <t>Automatic</t>
        </is>
      </c>
      <c r="N4" s="1231" t="n"/>
      <c r="O4" s="1344" t="n"/>
      <c r="P4" s="1407" t="n"/>
      <c r="Q4" s="1344" t="n"/>
      <c r="R4" s="1231" t="n"/>
    </row>
    <row r="5" ht="35.25" customHeight="1" s="1134">
      <c r="A5" s="1408" t="inlineStr">
        <is>
          <t>APPLY / PLUG SEAL / CAVITY PLUG TO CONNECTOR</t>
        </is>
      </c>
      <c r="B5" s="1409" t="inlineStr">
        <is>
          <t>Insert cavity plugs in connectors</t>
        </is>
      </c>
      <c r="C5" s="1410" t="inlineStr">
        <is>
          <t>Seal Station / per application 
(masks or small devices to support can be used)</t>
        </is>
      </c>
      <c r="D5" s="1411" t="n"/>
      <c r="E5" s="1411" t="n"/>
      <c r="F5" s="1411" t="n"/>
      <c r="G5" s="1411" t="n"/>
      <c r="H5" s="1400" t="n">
        <v>4</v>
      </c>
      <c r="I5" s="1401" t="inlineStr">
        <is>
          <t>LP</t>
        </is>
      </c>
      <c r="J5" s="1402" t="n">
        <v>1</v>
      </c>
      <c r="K5" s="1403">
        <f>+J5*H5</f>
        <v/>
      </c>
      <c r="L5" s="1231" t="n"/>
      <c r="M5" s="1412" t="inlineStr">
        <is>
          <t>R2*</t>
        </is>
      </c>
      <c r="N5" s="1231" t="n"/>
      <c r="O5" s="1344" t="n"/>
      <c r="P5" s="1343" t="n"/>
      <c r="Q5" s="1413" t="n"/>
      <c r="R5" s="1231" t="n"/>
    </row>
    <row r="6" ht="33" customHeight="1" s="1134">
      <c r="A6" s="1396" t="inlineStr">
        <is>
          <t xml:space="preserve">PERFORATE CONNECTOR AND CONNECTOR COMPONENTS </t>
        </is>
      </c>
      <c r="B6" s="1397" t="inlineStr">
        <is>
          <t>punch holes in connector / seal / perforate plugs of connector cover</t>
        </is>
      </c>
      <c r="C6" s="1397" t="inlineStr">
        <is>
          <t>Newmatic punch press</t>
        </is>
      </c>
      <c r="D6" s="1399" t="n"/>
      <c r="E6" s="1399" t="n"/>
      <c r="F6" s="1399" t="n"/>
      <c r="G6" s="1399" t="n"/>
      <c r="H6" s="1400" t="n">
        <v>9</v>
      </c>
      <c r="I6" s="1401" t="inlineStr">
        <is>
          <t>LP</t>
        </is>
      </c>
      <c r="J6" s="1402" t="n">
        <v>0</v>
      </c>
      <c r="K6" s="1403">
        <f>+J6*H6</f>
        <v/>
      </c>
      <c r="L6" s="1231" t="n"/>
      <c r="M6" s="1231" t="inlineStr">
        <is>
          <t>Semi-automatic</t>
        </is>
      </c>
      <c r="N6" s="1231" t="inlineStr">
        <is>
          <t>не учитываю</t>
        </is>
      </c>
      <c r="O6" s="1344" t="n"/>
      <c r="P6" s="1343" t="n"/>
      <c r="Q6" s="1404" t="n"/>
      <c r="R6" s="1231" t="n"/>
    </row>
    <row r="7" ht="33" customHeight="1" s="1134">
      <c r="A7" s="1414" t="inlineStr">
        <is>
          <t>PERFORATE BOOT</t>
        </is>
      </c>
      <c r="B7" s="1415" t="inlineStr">
        <is>
          <t>Perforate connector boot</t>
        </is>
      </c>
      <c r="C7" s="1397" t="inlineStr">
        <is>
          <t>Newmatic punch press</t>
        </is>
      </c>
      <c r="D7" s="1399" t="n"/>
      <c r="E7" s="1399" t="n"/>
      <c r="F7" s="1399" t="n"/>
      <c r="G7" s="1399" t="n"/>
      <c r="H7" s="1400" t="n">
        <v>12.67</v>
      </c>
      <c r="I7" s="1401" t="inlineStr">
        <is>
          <t>LP</t>
        </is>
      </c>
      <c r="J7" s="1402" t="n">
        <v>0</v>
      </c>
      <c r="K7" s="1403">
        <f>+J7*H7</f>
        <v/>
      </c>
      <c r="L7" s="1231" t="n"/>
      <c r="M7" s="1231" t="inlineStr">
        <is>
          <t>Automatic</t>
        </is>
      </c>
      <c r="N7" s="1231" t="inlineStr">
        <is>
          <t>не учитываю</t>
        </is>
      </c>
      <c r="O7" s="1344" t="n"/>
      <c r="P7" s="1343" t="n"/>
      <c r="Q7" s="1404" t="n"/>
      <c r="R7" s="1231" t="n"/>
    </row>
    <row r="8" ht="24.75" customHeight="1" s="1134">
      <c r="A8" s="1396" t="inlineStr">
        <is>
          <t>APPLY BACKSHELL TO CONN</t>
        </is>
      </c>
      <c r="B8" s="1397" t="inlineStr">
        <is>
          <t>apply backshell  to connector</t>
        </is>
      </c>
      <c r="C8" s="1397" t="inlineStr">
        <is>
          <t>manual tool</t>
        </is>
      </c>
      <c r="D8" s="1399" t="n"/>
      <c r="E8" s="1399" t="n"/>
      <c r="F8" s="1399" t="n"/>
      <c r="G8" s="1399" t="n"/>
      <c r="H8" s="1400" t="n">
        <v>10.4</v>
      </c>
      <c r="I8" s="1401" t="inlineStr">
        <is>
          <t>LP</t>
        </is>
      </c>
      <c r="J8" s="1402" t="n">
        <v>0</v>
      </c>
      <c r="K8" s="1403">
        <f>+J8*H8</f>
        <v/>
      </c>
      <c r="L8" s="1231" t="n"/>
      <c r="M8" s="1231" t="inlineStr">
        <is>
          <t>Semi-automatic</t>
        </is>
      </c>
      <c r="N8" s="1231" t="inlineStr">
        <is>
          <t>не учитываю</t>
        </is>
      </c>
      <c r="O8" s="1344" t="n"/>
      <c r="P8" s="1343" t="n"/>
      <c r="Q8" s="1404" t="n"/>
      <c r="R8" s="1231" t="n"/>
    </row>
    <row r="9" ht="18" customHeight="1" s="1134">
      <c r="A9" s="1396" t="inlineStr">
        <is>
          <t>SEAL OVER CONN</t>
        </is>
      </c>
      <c r="B9" s="1397" t="inlineStr">
        <is>
          <t>apply seal over connector</t>
        </is>
      </c>
      <c r="C9" s="1397" t="inlineStr">
        <is>
          <t>Seal Inserter for Conn seal</t>
        </is>
      </c>
      <c r="D9" s="1399" t="n"/>
      <c r="E9" s="1399" t="n"/>
      <c r="F9" s="1399" t="n"/>
      <c r="G9" s="1399" t="n"/>
      <c r="H9" s="1400" t="n">
        <v>9.75</v>
      </c>
      <c r="I9" s="1401" t="inlineStr">
        <is>
          <t>LP</t>
        </is>
      </c>
      <c r="J9" s="1402" t="n">
        <v>0</v>
      </c>
      <c r="K9" s="1403">
        <f>+J9*H9</f>
        <v/>
      </c>
      <c r="L9" s="1132" t="n"/>
      <c r="M9" s="1132" t="inlineStr">
        <is>
          <t>Automatic</t>
        </is>
      </c>
      <c r="N9" s="1231" t="inlineStr">
        <is>
          <t>не учитываю</t>
        </is>
      </c>
      <c r="O9" s="1344" t="n"/>
      <c r="P9" s="1343" t="n"/>
      <c r="Q9" s="1404" t="n"/>
      <c r="R9" s="1231" t="n"/>
    </row>
    <row r="10" ht="23.25" customHeight="1" s="1134">
      <c r="A10" s="1396" t="inlineStr">
        <is>
          <t>APPLY MIXED FLUIDS</t>
        </is>
      </c>
      <c r="B10" s="1397" t="inlineStr">
        <is>
          <t>mix up fluids into grommet</t>
        </is>
      </c>
      <c r="C10" s="1397" t="inlineStr">
        <is>
          <t xml:space="preserve">Two Fluids machine  </t>
        </is>
      </c>
      <c r="D10" s="1399" t="n"/>
      <c r="E10" s="1399" t="n"/>
      <c r="F10" s="1399" t="n"/>
      <c r="G10" s="1399" t="n"/>
      <c r="H10" s="1400" t="n">
        <v>17.4</v>
      </c>
      <c r="I10" s="1401" t="inlineStr">
        <is>
          <t>LP</t>
        </is>
      </c>
      <c r="J10" s="1402" t="n">
        <v>0</v>
      </c>
      <c r="K10" s="1403">
        <f>+J10*H10</f>
        <v/>
      </c>
      <c r="L10" s="1132" t="n"/>
      <c r="M10" s="1132" t="inlineStr">
        <is>
          <t>Automatic</t>
        </is>
      </c>
      <c r="N10" s="1231" t="inlineStr">
        <is>
          <t>не учитываю</t>
        </is>
      </c>
      <c r="O10" s="1344" t="n"/>
      <c r="P10" s="1343" t="n"/>
      <c r="Q10" s="1404" t="n"/>
      <c r="R10" s="1231" t="n"/>
    </row>
    <row r="11" ht="18" customHeight="1" s="1134">
      <c r="A11" s="1396" t="inlineStr">
        <is>
          <t>INSRT LEADS IN GROM</t>
        </is>
      </c>
      <c r="B11" s="1397" t="inlineStr">
        <is>
          <t>grommets boots &amp; sleeves over branch</t>
        </is>
      </c>
      <c r="C11" s="1398" t="inlineStr">
        <is>
          <t>Grommet Spreader (4 bill)</t>
        </is>
      </c>
      <c r="D11" s="1416" t="n"/>
      <c r="E11" s="1399" t="n"/>
      <c r="F11" s="1399" t="n"/>
      <c r="G11" s="1399" t="n"/>
      <c r="H11" s="1400" t="n">
        <v>28.08</v>
      </c>
      <c r="I11" s="1401" t="inlineStr">
        <is>
          <t>LP</t>
        </is>
      </c>
      <c r="J11" s="1402" t="n">
        <v>0</v>
      </c>
      <c r="K11" s="1403">
        <f>+J11*H11</f>
        <v/>
      </c>
      <c r="L11" s="1132" t="n"/>
      <c r="M11" s="1132" t="inlineStr">
        <is>
          <t>Manual</t>
        </is>
      </c>
      <c r="N11" s="1231" t="inlineStr">
        <is>
          <t>не учитываю</t>
        </is>
      </c>
      <c r="O11" s="1344" t="n"/>
      <c r="P11" s="1343" t="n"/>
      <c r="Q11" s="1404" t="n"/>
      <c r="R11" s="1231" t="n"/>
    </row>
    <row r="12" ht="31.5" customHeight="1" s="1134">
      <c r="A12" s="1417" t="inlineStr">
        <is>
          <t>JOIN CABLE TIE WITH BODY CLIP</t>
        </is>
      </c>
      <c r="B12" s="1409" t="inlineStr">
        <is>
          <t xml:space="preserve">per component application </t>
        </is>
      </c>
      <c r="C12" s="1410" t="inlineStr">
        <is>
          <t xml:space="preserve">manual station to join two seperate DPN / APN </t>
        </is>
      </c>
      <c r="D12" s="1418" t="n"/>
      <c r="E12" s="1419" t="n"/>
      <c r="F12" s="1419" t="n"/>
      <c r="G12" s="1419" t="n"/>
      <c r="H12" s="1420" t="n">
        <v>3</v>
      </c>
      <c r="I12" s="1401" t="inlineStr">
        <is>
          <t>LP</t>
        </is>
      </c>
      <c r="J12" s="1402" t="n">
        <v>1</v>
      </c>
      <c r="K12" s="1403">
        <f>+J12*H12</f>
        <v/>
      </c>
      <c r="M12" s="1412" t="inlineStr">
        <is>
          <t>R2*</t>
        </is>
      </c>
      <c r="N12" s="1231" t="n"/>
      <c r="O12" s="1344" t="n"/>
      <c r="P12" s="1343" t="n"/>
      <c r="Q12" s="1404" t="n"/>
      <c r="R12" s="1231" t="n"/>
    </row>
    <row r="13" ht="18" customHeight="1" s="1134">
      <c r="A13" s="1421" t="n"/>
      <c r="B13" s="1415" t="n"/>
      <c r="C13" s="1422" t="n"/>
      <c r="D13" s="1423" t="n"/>
      <c r="E13" s="1317" t="n"/>
      <c r="F13" s="1317" t="n"/>
      <c r="G13" s="1317" t="n"/>
      <c r="H13" s="1424" t="n"/>
      <c r="I13" s="1401" t="n"/>
      <c r="J13" s="1402" t="n">
        <v>0</v>
      </c>
      <c r="K13" s="1403">
        <f>+J13*H13</f>
        <v/>
      </c>
      <c r="N13" s="1231" t="n"/>
      <c r="O13" s="1344" t="n"/>
      <c r="P13" s="1343" t="n"/>
      <c r="Q13" s="1404" t="n"/>
      <c r="R13" s="1231" t="n"/>
    </row>
    <row r="14" ht="18" customHeight="1" s="1134">
      <c r="A14" s="1421" t="n"/>
      <c r="B14" s="1415" t="n"/>
      <c r="C14" s="1422" t="n"/>
      <c r="D14" s="1423" t="n"/>
      <c r="E14" s="1317" t="n"/>
      <c r="F14" s="1317" t="n"/>
      <c r="G14" s="1317" t="n"/>
      <c r="H14" s="1424" t="n"/>
      <c r="I14" s="1401" t="n"/>
      <c r="J14" s="1402" t="n">
        <v>0</v>
      </c>
      <c r="K14" s="1403">
        <f>+J14*H14</f>
        <v/>
      </c>
      <c r="N14" s="1231" t="n"/>
      <c r="O14" s="1344" t="n"/>
      <c r="P14" s="1343" t="n"/>
      <c r="Q14" s="1404" t="n"/>
      <c r="R14" s="1231" t="n"/>
    </row>
    <row r="15" ht="18" customHeight="1" s="1134">
      <c r="A15" s="1425" t="n"/>
      <c r="B15" s="1426" t="n"/>
      <c r="C15" s="1427" t="n"/>
      <c r="D15" s="1427" t="n"/>
      <c r="E15" s="1319" t="n"/>
      <c r="F15" s="1319" t="n"/>
      <c r="G15" s="1319" t="n"/>
      <c r="H15" s="1428" t="n"/>
      <c r="I15" s="1428" t="n"/>
      <c r="J15" s="1429" t="n">
        <v>0</v>
      </c>
      <c r="K15" s="1430" t="n"/>
      <c r="N15" s="1231" t="n"/>
      <c r="O15" s="1344" t="n"/>
      <c r="P15" s="1343" t="n"/>
      <c r="Q15" s="1404" t="n"/>
      <c r="R15" s="1231" t="n"/>
    </row>
    <row r="16" ht="53.25" customFormat="1" customHeight="1" s="1391">
      <c r="A16" s="1216" t="inlineStr">
        <is>
          <t>SEALING (including LMX, RAYBLOCK, coldmelt)</t>
        </is>
      </c>
      <c r="B16" s="1217" t="inlineStr">
        <is>
          <t>COMMENTS</t>
        </is>
      </c>
      <c r="C16" s="1217" t="inlineStr">
        <is>
          <t>Machine Vendor</t>
        </is>
      </c>
      <c r="D16" s="1431" t="inlineStr">
        <is>
          <t>Min Gage</t>
        </is>
      </c>
      <c r="E16" s="1431" t="inlineStr">
        <is>
          <t>Max Gage</t>
        </is>
      </c>
      <c r="F16" s="1217" t="inlineStr">
        <is>
          <t>Min Length</t>
        </is>
      </c>
      <c r="G16" s="1217" t="inlineStr">
        <is>
          <t>Max Length</t>
        </is>
      </c>
      <c r="H16" s="1392" t="inlineStr">
        <is>
          <t>Global Sec/ Pc</t>
        </is>
      </c>
      <c r="I16" s="1392" t="inlineStr">
        <is>
          <t>Location
LP/FA</t>
        </is>
      </c>
      <c r="J16" s="1432" t="n">
        <v>0</v>
      </c>
      <c r="K16" s="1393" t="inlineStr">
        <is>
          <t>Total</t>
        </is>
      </c>
      <c r="N16" s="1231" t="n"/>
      <c r="O16" s="1344" t="n"/>
      <c r="P16" s="1343" t="n"/>
      <c r="Q16" s="1404" t="n"/>
      <c r="R16" s="1231" t="n"/>
    </row>
    <row r="17" ht="41.25" customHeight="1" s="1134">
      <c r="A17" s="1396" t="inlineStr">
        <is>
          <t>Heat Shrink on term. including automatic cooling (performed by the shrinking machine)</t>
        </is>
      </c>
      <c r="B17" s="1397" t="inlineStr">
        <is>
          <t xml:space="preserve">heat shrink over terminal
Cooling of the tubes shrinked over ring terminal and over the cable (average time, taking into consideration set of subs is cooled at the same time) </t>
        </is>
      </c>
      <c r="C17" s="1397" t="inlineStr">
        <is>
          <t>IR 1891Shuttle - Air, Slide Toaster, etc.</t>
        </is>
      </c>
      <c r="D17" s="1317" t="inlineStr">
        <is>
          <t>0 mm²</t>
        </is>
      </c>
      <c r="E17" s="1317" t="inlineStr">
        <is>
          <t>30mm²</t>
        </is>
      </c>
      <c r="F17" s="1433" t="n"/>
      <c r="G17" s="1433" t="n"/>
      <c r="H17" s="1434" t="n">
        <v>13.5</v>
      </c>
      <c r="I17" s="1401" t="inlineStr">
        <is>
          <t>LP</t>
        </is>
      </c>
      <c r="J17" s="1402" t="n">
        <v>1</v>
      </c>
      <c r="K17" s="1403">
        <f>+J17*H17</f>
        <v/>
      </c>
      <c r="L17" s="1435" t="n"/>
      <c r="M17" s="1435" t="inlineStr">
        <is>
          <t>Manual</t>
        </is>
      </c>
      <c r="N17" s="1231" t="n"/>
      <c r="O17" s="1344" t="n"/>
      <c r="P17" s="1343" t="n"/>
      <c r="Q17" s="1404" t="n"/>
      <c r="R17" s="1231" t="n"/>
    </row>
    <row r="18" ht="43.5" customHeight="1" s="1134">
      <c r="A18" s="1405" t="n"/>
      <c r="B18" s="1406" t="n"/>
      <c r="C18" s="1406" t="n"/>
      <c r="D18" s="1399" t="inlineStr">
        <is>
          <t>31 mm²</t>
        </is>
      </c>
      <c r="E18" s="1399" t="inlineStr">
        <is>
          <t>120mm²</t>
        </is>
      </c>
      <c r="F18" s="1433" t="n"/>
      <c r="G18" s="1433" t="n"/>
      <c r="H18" s="1434" t="n">
        <v>24</v>
      </c>
      <c r="I18" s="1401" t="inlineStr">
        <is>
          <t>LP</t>
        </is>
      </c>
      <c r="J18" s="1402" t="n">
        <v>1</v>
      </c>
      <c r="K18" s="1403">
        <f>+J18*H18</f>
        <v/>
      </c>
      <c r="L18" s="1435" t="n"/>
      <c r="M18" s="1435" t="inlineStr">
        <is>
          <t>Automatic</t>
        </is>
      </c>
      <c r="N18" s="1231" t="n"/>
      <c r="O18" s="1344" t="n"/>
      <c r="P18" s="1343" t="n"/>
      <c r="Q18" s="1404" t="n"/>
      <c r="R18" s="1231" t="n"/>
    </row>
    <row r="19" ht="38.25" customHeight="1" s="1134">
      <c r="A19" s="1421" t="inlineStr">
        <is>
          <t>HEAT SHRINK</t>
        </is>
      </c>
      <c r="B19" s="1415" t="inlineStr">
        <is>
          <t>heat shrink over cable  / multiconductor cable including drain wire
(often on drain wire of multiconductor where  diameter of tubes are smaller or equal to 6 mm)</t>
        </is>
      </c>
      <c r="C19" s="1436" t="inlineStr">
        <is>
          <t>Heat Shrink station</t>
        </is>
      </c>
      <c r="D19" s="1437" t="n"/>
      <c r="E19" s="1437" t="n"/>
      <c r="F19" s="1399" t="n">
        <v>0</v>
      </c>
      <c r="G19" s="1399" t="n">
        <v>80</v>
      </c>
      <c r="H19" s="1400" t="n">
        <v>15.6</v>
      </c>
      <c r="I19" s="1401" t="inlineStr">
        <is>
          <t>LP</t>
        </is>
      </c>
      <c r="J19" s="1402" t="n">
        <v>1</v>
      </c>
      <c r="K19" s="1403">
        <f>+J19*H19</f>
        <v/>
      </c>
      <c r="L19" s="1132" t="n"/>
      <c r="M19" s="1132" t="inlineStr">
        <is>
          <t>Automatic</t>
        </is>
      </c>
      <c r="N19" s="1231" t="n"/>
      <c r="O19" s="1344" t="n"/>
      <c r="P19" s="1343" t="n"/>
      <c r="Q19" s="1404" t="n"/>
      <c r="R19" s="1231" t="n"/>
    </row>
    <row r="20" ht="30.75" customHeight="1" s="1134">
      <c r="A20" s="1232" t="n"/>
      <c r="B20" s="1233" t="n"/>
      <c r="C20" s="1233" t="n"/>
      <c r="D20" s="1317" t="n"/>
      <c r="E20" s="1317" t="n"/>
      <c r="F20" s="1317" t="n">
        <v>81</v>
      </c>
      <c r="G20" s="1317" t="n">
        <v>160</v>
      </c>
      <c r="H20" s="1420" t="n">
        <v>18.61</v>
      </c>
      <c r="I20" s="1438" t="inlineStr">
        <is>
          <t>LP</t>
        </is>
      </c>
      <c r="J20" s="1439" t="n">
        <v>0</v>
      </c>
      <c r="K20" s="1440">
        <f>+J20*H20</f>
        <v/>
      </c>
      <c r="L20" s="1132" t="n"/>
      <c r="M20" s="1132" t="inlineStr">
        <is>
          <t>Automatic</t>
        </is>
      </c>
      <c r="N20" s="1231" t="n"/>
      <c r="O20" s="1344" t="n"/>
      <c r="P20" s="1343" t="n"/>
      <c r="Q20" s="1404" t="n"/>
      <c r="R20" s="1231" t="n"/>
    </row>
    <row r="21" ht="48" customHeight="1" s="1134">
      <c r="A21" s="1441" t="inlineStr">
        <is>
          <t>HEAT SHRINK OVER CONNECTOR                         to be used also for Heat shrink sleeve/tube over hose</t>
        </is>
      </c>
      <c r="B21" s="1442" t="inlineStr">
        <is>
          <t>per connector / hose</t>
        </is>
      </c>
      <c r="C21" s="1443" t="inlineStr">
        <is>
          <t>Raychem IR 03/15 &amp; R.Semiautom./ FLS MK2
'Speed 40-90 / Temp. 100ºC</t>
        </is>
      </c>
      <c r="D21" s="1444" t="n"/>
      <c r="E21" s="1444" t="n"/>
      <c r="F21" s="1444" t="n"/>
      <c r="G21" s="1444" t="n"/>
      <c r="H21" s="1445" t="n">
        <v>49.13</v>
      </c>
      <c r="I21" s="1446" t="inlineStr">
        <is>
          <t>LP</t>
        </is>
      </c>
      <c r="J21" s="1447" t="n">
        <v>0</v>
      </c>
      <c r="K21" s="1448">
        <f>+J21*H21</f>
        <v/>
      </c>
      <c r="L21" s="1132" t="n"/>
      <c r="M21" s="1132" t="inlineStr">
        <is>
          <t>Manual</t>
        </is>
      </c>
      <c r="N21" s="1231" t="inlineStr">
        <is>
          <t>не учитываю</t>
        </is>
      </c>
      <c r="O21" s="1344" t="n"/>
      <c r="P21" s="1343" t="n"/>
      <c r="Q21" s="1404" t="n"/>
      <c r="R21" s="1231" t="n"/>
    </row>
    <row r="22" ht="51.75" customHeight="1" s="1134">
      <c r="A22" s="1236" t="n"/>
      <c r="B22" s="1449" t="inlineStr">
        <is>
          <t>per  hot melt (additional glue / sealing) application - to be used also for splices and multiconductors  (plastic ferrules application)</t>
        </is>
      </c>
      <c r="C22" s="1450" t="n"/>
      <c r="D22" s="1319" t="n"/>
      <c r="E22" s="1319" t="n"/>
      <c r="F22" s="1319" t="n">
        <v>1</v>
      </c>
      <c r="G22" s="1319" t="n">
        <v>99999</v>
      </c>
      <c r="H22" s="1451" t="n">
        <v>3.73</v>
      </c>
      <c r="I22" s="1452" t="inlineStr">
        <is>
          <t>LP</t>
        </is>
      </c>
      <c r="J22" s="1429" t="n">
        <v>0</v>
      </c>
      <c r="K22" s="1430">
        <f>+J22*H22</f>
        <v/>
      </c>
      <c r="L22" s="1132" t="n"/>
      <c r="M22" s="1132" t="inlineStr">
        <is>
          <t>Automatic</t>
        </is>
      </c>
      <c r="N22" s="1231" t="n"/>
      <c r="O22" s="1344" t="n"/>
      <c r="P22" s="1343" t="n"/>
      <c r="Q22" s="1404" t="n"/>
      <c r="R22" s="1231" t="n"/>
    </row>
    <row r="23" ht="43.5" customHeight="1" s="1134">
      <c r="A23" s="1453" t="inlineStr">
        <is>
          <t>Sealing of strands from ring terminal</t>
        </is>
      </c>
      <c r="B23" s="1454" t="inlineStr">
        <is>
          <t>Cover crimped strands from a ring terminal with sealing to protect them against environment (when customer request)</t>
        </is>
      </c>
      <c r="C23" s="1454" t="inlineStr">
        <is>
          <t>Heat Gun</t>
        </is>
      </c>
      <c r="D23" s="1455" t="n"/>
      <c r="E23" s="1455" t="n"/>
      <c r="F23" s="1455" t="n"/>
      <c r="G23" s="1455" t="n"/>
      <c r="H23" s="1456" t="n">
        <v>65</v>
      </c>
      <c r="I23" s="1457" t="inlineStr">
        <is>
          <t>LP</t>
        </is>
      </c>
      <c r="J23" s="1458" t="n">
        <v>0</v>
      </c>
      <c r="K23" s="1459">
        <f>+J23*H23</f>
        <v/>
      </c>
      <c r="L23" s="1132" t="n"/>
      <c r="M23" s="1132" t="inlineStr">
        <is>
          <t>Manual</t>
        </is>
      </c>
      <c r="N23" s="1231" t="n"/>
      <c r="O23" s="1344" t="n"/>
      <c r="P23" s="1343" t="n"/>
      <c r="Q23" s="1404" t="n"/>
      <c r="R23" s="1231" t="n"/>
    </row>
    <row r="24" ht="30.75" customHeight="1" s="1134">
      <c r="A24" s="1460" t="n"/>
      <c r="B24" s="1461" t="n"/>
      <c r="C24" s="1461" t="n"/>
      <c r="D24" s="1319" t="n"/>
      <c r="E24" s="1319" t="n"/>
      <c r="F24" s="1319" t="n"/>
      <c r="G24" s="1319" t="n"/>
      <c r="H24" s="1462" t="n"/>
      <c r="I24" s="1463" t="n"/>
      <c r="J24" s="1429" t="n">
        <v>0</v>
      </c>
      <c r="K24" s="1430">
        <f>+J24*H24</f>
        <v/>
      </c>
      <c r="L24" s="1132" t="n"/>
      <c r="M24" s="1132" t="n"/>
      <c r="N24" s="1231" t="n"/>
      <c r="O24" s="1344" t="n"/>
      <c r="P24" s="1343" t="n"/>
      <c r="Q24" s="1404" t="n"/>
      <c r="R24" s="1231" t="n"/>
    </row>
    <row r="25" ht="18" customHeight="1" s="1134">
      <c r="A25" s="1464" t="inlineStr">
        <is>
          <t>HEAT SHRINK</t>
        </is>
      </c>
      <c r="B25" s="1465" t="inlineStr">
        <is>
          <t>antena  heat shrinking on metal terminal</t>
        </is>
      </c>
      <c r="C25" s="1466" t="n"/>
      <c r="D25" s="1437" t="n"/>
      <c r="E25" s="1437" t="n"/>
      <c r="F25" s="1437" t="n">
        <v>2</v>
      </c>
      <c r="G25" s="1437" t="n">
        <v>99999</v>
      </c>
      <c r="H25" s="1467" t="n">
        <v>20.74</v>
      </c>
      <c r="I25" s="1468" t="inlineStr">
        <is>
          <t>LP</t>
        </is>
      </c>
      <c r="J25" s="1469" t="n">
        <v>0</v>
      </c>
      <c r="K25" s="1470">
        <f>+J25*H25</f>
        <v/>
      </c>
      <c r="L25" s="1132" t="n"/>
      <c r="M25" s="1132" t="inlineStr">
        <is>
          <t>Manual</t>
        </is>
      </c>
      <c r="N25" s="1231" t="n"/>
      <c r="O25" s="1344" t="n"/>
      <c r="P25" s="1343" t="n"/>
      <c r="Q25" s="1404" t="n"/>
      <c r="R25" s="1231" t="n"/>
    </row>
    <row r="26" ht="25.5" customHeight="1" s="1134">
      <c r="A26" s="1396" t="inlineStr">
        <is>
          <t>HEAT SHRINK CD SLEEVE</t>
        </is>
      </c>
      <c r="B26" s="1397" t="inlineStr">
        <is>
          <t>shrinking sleeve with cadmium solder</t>
        </is>
      </c>
      <c r="C26" s="1397" t="inlineStr">
        <is>
          <t>Heat shrink Cd sleeve Station</t>
        </is>
      </c>
      <c r="D26" s="1399" t="n"/>
      <c r="E26" s="1399" t="n"/>
      <c r="F26" s="1399" t="n"/>
      <c r="G26" s="1399" t="n"/>
      <c r="H26" s="1400" t="n">
        <v>46.6</v>
      </c>
      <c r="I26" s="1401" t="inlineStr">
        <is>
          <t>LP</t>
        </is>
      </c>
      <c r="J26" s="1402" t="n">
        <v>0</v>
      </c>
      <c r="K26" s="1403">
        <f>+J26*H26</f>
        <v/>
      </c>
      <c r="L26" s="1132" t="n"/>
      <c r="M26" s="1132" t="inlineStr">
        <is>
          <t>Manual</t>
        </is>
      </c>
      <c r="N26" s="1231" t="inlineStr">
        <is>
          <t>не учитываю</t>
        </is>
      </c>
      <c r="O26" s="1344" t="n"/>
      <c r="P26" s="1343" t="n"/>
      <c r="Q26" s="1404" t="n"/>
      <c r="R26" s="1231" t="n"/>
    </row>
    <row r="27" ht="24.75" customHeight="1" s="1134">
      <c r="A27" s="1396" t="inlineStr">
        <is>
          <t>HEAT SHRINK GROMMET</t>
        </is>
      </c>
      <c r="B27" s="1397" t="inlineStr">
        <is>
          <t>shrink grommet over a harness branch</t>
        </is>
      </c>
      <c r="C27" s="1397" t="inlineStr">
        <is>
          <t>Heat shrink grommet Station</t>
        </is>
      </c>
      <c r="D27" s="1399" t="n"/>
      <c r="E27" s="1399" t="n"/>
      <c r="F27" s="1399" t="n"/>
      <c r="G27" s="1399" t="n"/>
      <c r="H27" s="1400" t="n">
        <v>69.81999999999999</v>
      </c>
      <c r="I27" s="1401" t="inlineStr">
        <is>
          <t>LP</t>
        </is>
      </c>
      <c r="J27" s="1402" t="n">
        <v>0</v>
      </c>
      <c r="K27" s="1403">
        <f>+J27*H27</f>
        <v/>
      </c>
      <c r="L27" s="1132" t="n"/>
      <c r="M27" s="1132" t="inlineStr">
        <is>
          <t>Automatic</t>
        </is>
      </c>
      <c r="N27" s="1231" t="inlineStr">
        <is>
          <t>не учитываю</t>
        </is>
      </c>
      <c r="O27" s="1344" t="n"/>
      <c r="P27" s="1343" t="n"/>
      <c r="Q27" s="1404" t="n"/>
      <c r="R27" s="1231" t="n"/>
    </row>
    <row r="28" ht="24" customHeight="1" s="1134">
      <c r="A28" s="1396" t="inlineStr">
        <is>
          <t>HEAT SHRINK TUBE END</t>
        </is>
      </c>
      <c r="B28" s="1397" t="inlineStr">
        <is>
          <t>Apply heat to seal the Watter tube end</t>
        </is>
      </c>
      <c r="C28" s="1397" t="inlineStr">
        <is>
          <t>Heat shrink tube end Station</t>
        </is>
      </c>
      <c r="D28" s="1399" t="n"/>
      <c r="E28" s="1399" t="n"/>
      <c r="F28" s="1399" t="n"/>
      <c r="G28" s="1399" t="n"/>
      <c r="H28" s="1400" t="n">
        <v>4.07</v>
      </c>
      <c r="I28" s="1401" t="inlineStr">
        <is>
          <t>LP</t>
        </is>
      </c>
      <c r="J28" s="1402" t="n">
        <v>0</v>
      </c>
      <c r="K28" s="1403">
        <f>+J28*H28</f>
        <v/>
      </c>
      <c r="L28" s="1132" t="n"/>
      <c r="M28" s="1132" t="inlineStr">
        <is>
          <t>Manual</t>
        </is>
      </c>
      <c r="N28" s="1231" t="inlineStr">
        <is>
          <t>не учитываю</t>
        </is>
      </c>
      <c r="O28" s="1344" t="n"/>
      <c r="P28" s="1343" t="n"/>
      <c r="Q28" s="1404" t="n"/>
      <c r="R28" s="1231" t="n"/>
    </row>
    <row r="29" ht="20.25" customHeight="1" s="1134">
      <c r="A29" s="1396" t="inlineStr">
        <is>
          <t>COLD MELT / BUTYL</t>
        </is>
      </c>
      <c r="B29" s="1397" t="inlineStr">
        <is>
          <t>Get and apply Coldmelt / Butyl Strips - press each piece with a plier/press - PER PIECE</t>
        </is>
      </c>
      <c r="C29" s="1397" t="inlineStr">
        <is>
          <t>Use press for more than 5 strips
If press is not used, pliers must be use always</t>
        </is>
      </c>
      <c r="D29" s="1399" t="inlineStr">
        <is>
          <t>up to 4 pcs</t>
        </is>
      </c>
      <c r="E29" s="1399" t="n"/>
      <c r="F29" s="1399" t="n"/>
      <c r="G29" s="1399" t="n"/>
      <c r="H29" s="1400" t="n">
        <v>33.02</v>
      </c>
      <c r="I29" s="1401" t="inlineStr">
        <is>
          <t>LP</t>
        </is>
      </c>
      <c r="J29" s="1402" t="n">
        <v>0</v>
      </c>
      <c r="K29" s="1403">
        <f>+J29*H29</f>
        <v/>
      </c>
      <c r="L29" s="1231" t="n"/>
      <c r="M29" s="1231" t="inlineStr">
        <is>
          <t>Manual</t>
        </is>
      </c>
      <c r="N29" s="1231" t="n"/>
      <c r="P29" s="1343" t="n"/>
      <c r="Q29" s="1404" t="n"/>
      <c r="R29" s="1231" t="n"/>
    </row>
    <row r="30" ht="19.5" customHeight="1" s="1134">
      <c r="A30" s="1232" t="n"/>
      <c r="B30" s="1233" t="n"/>
      <c r="C30" s="1233" t="n"/>
      <c r="D30" s="1399" t="inlineStr">
        <is>
          <t>5 to 9 pcs</t>
        </is>
      </c>
      <c r="E30" s="1399" t="n"/>
      <c r="F30" s="1399" t="n"/>
      <c r="G30" s="1399" t="n"/>
      <c r="H30" s="1400" t="n">
        <v>49.53</v>
      </c>
      <c r="I30" s="1401" t="inlineStr">
        <is>
          <t>LP</t>
        </is>
      </c>
      <c r="J30" s="1402" t="n">
        <v>0</v>
      </c>
      <c r="K30" s="1403">
        <f>+J30*H30</f>
        <v/>
      </c>
      <c r="L30" s="1231" t="n"/>
      <c r="M30" s="1231" t="inlineStr">
        <is>
          <t>Manual</t>
        </is>
      </c>
      <c r="N30" s="1231" t="n"/>
      <c r="P30" s="1343" t="n"/>
      <c r="Q30" s="1404" t="n"/>
      <c r="R30" s="1231" t="n"/>
    </row>
    <row r="31" ht="17.25" customHeight="1" s="1134">
      <c r="A31" s="1232" t="n"/>
      <c r="B31" s="1406" t="n"/>
      <c r="C31" s="1406" t="n"/>
      <c r="D31" s="1399" t="inlineStr">
        <is>
          <t>10 or more pcs</t>
        </is>
      </c>
      <c r="E31" s="1399" t="n"/>
      <c r="F31" s="1399" t="n"/>
      <c r="G31" s="1399" t="n"/>
      <c r="H31" s="1400" t="n">
        <v>66.04000000000001</v>
      </c>
      <c r="I31" s="1401" t="inlineStr">
        <is>
          <t>LP</t>
        </is>
      </c>
      <c r="J31" s="1402" t="n">
        <v>0</v>
      </c>
      <c r="K31" s="1403">
        <f>+J31*H31</f>
        <v/>
      </c>
      <c r="L31" s="1231" t="n"/>
      <c r="M31" s="1231" t="inlineStr">
        <is>
          <t>Manual</t>
        </is>
      </c>
      <c r="N31" s="1231" t="n"/>
      <c r="P31" s="1343" t="n"/>
      <c r="Q31" s="1404" t="n"/>
      <c r="R31" s="1231" t="n"/>
    </row>
    <row r="32" ht="26.25" customHeight="1" s="1134">
      <c r="A32" s="1232" t="n"/>
      <c r="B32" s="1471" t="inlineStr">
        <is>
          <t>Form the Coldmelt and position sleeve</t>
        </is>
      </c>
      <c r="C32" s="1397" t="inlineStr">
        <is>
          <t>Manual work</t>
        </is>
      </c>
      <c r="D32" s="1399" t="n"/>
      <c r="E32" s="1399" t="n"/>
      <c r="F32" s="1399" t="n"/>
      <c r="G32" s="1399" t="n"/>
      <c r="H32" s="1400" t="n">
        <v>28.67</v>
      </c>
      <c r="I32" s="1401" t="inlineStr">
        <is>
          <t>LP</t>
        </is>
      </c>
      <c r="J32" s="1402" t="n">
        <v>0</v>
      </c>
      <c r="K32" s="1403">
        <f>+J32*H32</f>
        <v/>
      </c>
      <c r="L32" s="1231" t="n"/>
      <c r="M32" s="1231" t="inlineStr">
        <is>
          <t>Manual</t>
        </is>
      </c>
      <c r="N32" s="1231" t="inlineStr">
        <is>
          <t>не учитываю</t>
        </is>
      </c>
      <c r="P32" s="1343" t="n"/>
      <c r="Q32" s="1404" t="n"/>
      <c r="R32" s="1231" t="n"/>
    </row>
    <row r="33" ht="18" customHeight="1" s="1134">
      <c r="A33" s="1232" t="n"/>
      <c r="B33" s="1397" t="inlineStr">
        <is>
          <t>Shrinking of the tube over sealing branch
Load/Cycle/Unload</t>
        </is>
      </c>
      <c r="C33" s="1397" t="inlineStr">
        <is>
          <t xml:space="preserve">DSG Canusa Sealman 70
</t>
        </is>
      </c>
      <c r="D33" s="1399" t="inlineStr">
        <is>
          <t>3 to 4 pcs</t>
        </is>
      </c>
      <c r="E33" s="1399" t="n"/>
      <c r="F33" s="1399" t="n"/>
      <c r="G33" s="1399" t="n"/>
      <c r="H33" s="1400" t="n">
        <v>72</v>
      </c>
      <c r="I33" s="1401" t="inlineStr">
        <is>
          <t>LP</t>
        </is>
      </c>
      <c r="J33" s="1402" t="n">
        <v>0</v>
      </c>
      <c r="K33" s="1403">
        <f>+J33*H33</f>
        <v/>
      </c>
      <c r="L33" s="1231" t="n"/>
      <c r="M33" s="1231" t="inlineStr">
        <is>
          <t>Manual</t>
        </is>
      </c>
      <c r="N33" s="1231" t="n"/>
      <c r="P33" s="1343" t="n"/>
      <c r="Q33" s="1404" t="n"/>
      <c r="R33" s="1231" t="n"/>
    </row>
    <row r="34" ht="18" customHeight="1" s="1134">
      <c r="A34" s="1232" t="n"/>
      <c r="B34" s="1233" t="n"/>
      <c r="C34" s="1233" t="n"/>
      <c r="D34" s="1399" t="inlineStr">
        <is>
          <t>5 to 9 pcs</t>
        </is>
      </c>
      <c r="E34" s="1399" t="n"/>
      <c r="F34" s="1399" t="n"/>
      <c r="G34" s="1399" t="n"/>
      <c r="H34" s="1400" t="n">
        <v>187</v>
      </c>
      <c r="I34" s="1401" t="inlineStr">
        <is>
          <t>LP</t>
        </is>
      </c>
      <c r="J34" s="1402" t="n">
        <v>0</v>
      </c>
      <c r="K34" s="1403">
        <f>+J34*H34</f>
        <v/>
      </c>
      <c r="L34" s="1231" t="n"/>
      <c r="M34" s="1231" t="inlineStr">
        <is>
          <t>Manual</t>
        </is>
      </c>
      <c r="N34" s="1231" t="n"/>
      <c r="P34" s="1343" t="n"/>
      <c r="Q34" s="1404" t="n"/>
      <c r="R34" s="1231" t="n"/>
    </row>
    <row r="35" ht="18" customHeight="1" s="1134">
      <c r="A35" s="1405" t="n"/>
      <c r="B35" s="1406" t="n"/>
      <c r="C35" s="1406" t="n"/>
      <c r="D35" s="1399" t="inlineStr">
        <is>
          <t>10 or more pcs</t>
        </is>
      </c>
      <c r="E35" s="1399" t="n"/>
      <c r="F35" s="1399" t="n"/>
      <c r="G35" s="1399" t="n"/>
      <c r="H35" s="1400" t="n">
        <v>225</v>
      </c>
      <c r="I35" s="1401" t="inlineStr">
        <is>
          <t>LP</t>
        </is>
      </c>
      <c r="J35" s="1402" t="n">
        <v>0</v>
      </c>
      <c r="K35" s="1403">
        <f>+J35*H35</f>
        <v/>
      </c>
      <c r="L35" s="1231" t="n"/>
      <c r="M35" s="1231" t="inlineStr">
        <is>
          <t>Manual</t>
        </is>
      </c>
      <c r="N35" s="1231" t="n"/>
      <c r="P35" s="1343" t="n"/>
      <c r="Q35" s="1404" t="n"/>
      <c r="R35" s="1231" t="n"/>
    </row>
    <row r="36" ht="18" customHeight="1" s="1134">
      <c r="A36" s="1472" t="inlineStr">
        <is>
          <t xml:space="preserve">TEROSTAT PREPARATION </t>
        </is>
      </c>
      <c r="B36" s="1473" t="inlineStr">
        <is>
          <t>terostat preparation (including weight)</t>
        </is>
      </c>
      <c r="C36" s="1473" t="n"/>
      <c r="D36" s="1474" t="inlineStr">
        <is>
          <t xml:space="preserve">Portion weighted and ready to use </t>
        </is>
      </c>
      <c r="E36" s="1475" t="n"/>
      <c r="F36" s="1475" t="n"/>
      <c r="G36" s="1475" t="n"/>
      <c r="H36" s="1476" t="n">
        <v>9.039999999999999</v>
      </c>
      <c r="I36" s="1468" t="inlineStr">
        <is>
          <t>LP</t>
        </is>
      </c>
      <c r="J36" s="1469" t="n">
        <v>0</v>
      </c>
      <c r="K36" s="1477">
        <f>+J36*H36</f>
        <v/>
      </c>
      <c r="L36" s="1231" t="n"/>
      <c r="M36" s="1412" t="inlineStr">
        <is>
          <t>R2*</t>
        </is>
      </c>
      <c r="N36" s="1231" t="n"/>
      <c r="O36" s="1344" t="n"/>
      <c r="P36" s="1343" t="n"/>
      <c r="Q36" s="1404" t="n"/>
      <c r="R36" s="1231" t="n"/>
    </row>
    <row r="37" ht="24" customHeight="1" s="1134">
      <c r="A37" s="1232" t="n"/>
      <c r="B37" s="1473" t="inlineStr">
        <is>
          <t xml:space="preserve">Slice terostat when provided in  block (if applies) AP REGION ONLY </t>
        </is>
      </c>
      <c r="C37" s="1473" t="inlineStr">
        <is>
          <t xml:space="preserve">Gilotinue </t>
        </is>
      </c>
      <c r="D37" s="1478" t="n"/>
      <c r="E37" s="1475" t="n"/>
      <c r="F37" s="1475" t="n"/>
      <c r="G37" s="1475" t="n"/>
      <c r="H37" s="1476" t="n">
        <v>6.916</v>
      </c>
      <c r="I37" s="1468" t="inlineStr">
        <is>
          <t>LP</t>
        </is>
      </c>
      <c r="J37" s="1469" t="n">
        <v>0</v>
      </c>
      <c r="K37" s="1477">
        <f>+J37*H37</f>
        <v/>
      </c>
      <c r="L37" s="1231" t="n"/>
      <c r="M37" s="1412" t="inlineStr">
        <is>
          <t>R2*</t>
        </is>
      </c>
      <c r="N37" s="1231" t="n"/>
      <c r="O37" s="1344" t="n"/>
      <c r="P37" s="1343" t="n"/>
      <c r="R37" s="1231" t="n"/>
    </row>
    <row r="38" ht="29.25" customHeight="1" s="1134">
      <c r="A38" s="1236" t="n"/>
      <c r="B38" s="1473" t="inlineStr">
        <is>
          <t>Remove protection and make portion of terostat flat (if applies) AP REGION ONLY</t>
        </is>
      </c>
      <c r="C38" s="1473" t="inlineStr">
        <is>
          <t>Manual work</t>
        </is>
      </c>
      <c r="D38" s="1478" t="n"/>
      <c r="E38" s="1475" t="n"/>
      <c r="F38" s="1475" t="n"/>
      <c r="G38" s="1475" t="n"/>
      <c r="H38" s="1476" t="n">
        <v>11.78</v>
      </c>
      <c r="I38" s="1468" t="inlineStr">
        <is>
          <t>LP</t>
        </is>
      </c>
      <c r="J38" s="1469" t="n">
        <v>0</v>
      </c>
      <c r="K38" s="1477">
        <f>+J38*H38</f>
        <v/>
      </c>
      <c r="L38" s="1231" t="n"/>
      <c r="M38" s="1412" t="inlineStr">
        <is>
          <t>R2*</t>
        </is>
      </c>
      <c r="N38" s="1231" t="n"/>
      <c r="O38" s="1344" t="n"/>
      <c r="P38" s="1343" t="n"/>
      <c r="R38" s="1231" t="n"/>
    </row>
    <row r="39" ht="53.25" customFormat="1" customHeight="1" s="1391">
      <c r="A39" s="1216" t="inlineStr">
        <is>
          <t>BATTERIES</t>
        </is>
      </c>
      <c r="B39" s="1217" t="inlineStr">
        <is>
          <t>COMMENTS</t>
        </is>
      </c>
      <c r="C39" s="1217" t="inlineStr">
        <is>
          <t>Machine</t>
        </is>
      </c>
      <c r="D39" s="1217" t="inlineStr">
        <is>
          <t xml:space="preserve"> Special Component</t>
        </is>
      </c>
      <c r="E39" s="1217" t="n"/>
      <c r="F39" s="1217" t="n"/>
      <c r="G39" s="1217" t="n"/>
      <c r="H39" s="1392" t="inlineStr">
        <is>
          <t>Global Sec/ Pc</t>
        </is>
      </c>
      <c r="I39" s="1479" t="inlineStr">
        <is>
          <t>Location
LP/FA</t>
        </is>
      </c>
      <c r="J39" s="1432" t="n">
        <v>0</v>
      </c>
      <c r="K39" s="1393" t="inlineStr">
        <is>
          <t>Total</t>
        </is>
      </c>
      <c r="L39" s="1391" t="n"/>
      <c r="M39" s="1391" t="n"/>
      <c r="N39" s="1231" t="n"/>
      <c r="O39" s="1391" t="n"/>
      <c r="P39" s="1395" t="n"/>
      <c r="Q39" s="1394" t="n"/>
      <c r="R39" s="1231" t="n"/>
    </row>
    <row r="40" ht="22.5" customHeight="1" s="1134">
      <c r="A40" s="1480" t="inlineStr">
        <is>
          <t>BATTERY COVER</t>
        </is>
      </c>
      <c r="B40" s="1481" t="inlineStr">
        <is>
          <t>battery cover</t>
        </is>
      </c>
      <c r="C40" s="1482" t="inlineStr">
        <is>
          <t>batt cover &amp; Bolt Station</t>
        </is>
      </c>
      <c r="D40" s="1399" t="n"/>
      <c r="E40" s="1399" t="n"/>
      <c r="F40" s="1399" t="n"/>
      <c r="G40" s="1399" t="n"/>
      <c r="H40" s="1400" t="n">
        <v>6</v>
      </c>
      <c r="I40" s="1401" t="inlineStr">
        <is>
          <t>LP</t>
        </is>
      </c>
      <c r="J40" s="1402" t="n">
        <v>0</v>
      </c>
      <c r="K40" s="1403">
        <f>+J40*H40</f>
        <v/>
      </c>
      <c r="L40" s="1231" t="n"/>
      <c r="M40" s="1231" t="inlineStr">
        <is>
          <t>Automatic</t>
        </is>
      </c>
      <c r="N40" s="1231" t="inlineStr">
        <is>
          <t>не учитываю</t>
        </is>
      </c>
      <c r="O40" s="1344" t="n"/>
      <c r="P40" s="1343" t="n"/>
      <c r="Q40" s="1404" t="n"/>
      <c r="R40" s="1231" t="n"/>
    </row>
    <row r="41" ht="22.5" customHeight="1" s="1134">
      <c r="A41" s="1480" t="inlineStr">
        <is>
          <t>BATTERY COVER &amp; BOLT</t>
        </is>
      </c>
      <c r="B41" s="1481" t="inlineStr">
        <is>
          <t>battery cover &amp; bolt</t>
        </is>
      </c>
      <c r="C41" s="1482" t="inlineStr">
        <is>
          <t>batt cover &amp; bolt Station</t>
        </is>
      </c>
      <c r="D41" s="1399" t="n"/>
      <c r="E41" s="1399" t="n"/>
      <c r="F41" s="1399" t="n"/>
      <c r="G41" s="1399" t="n"/>
      <c r="H41" s="1400" t="n">
        <v>10</v>
      </c>
      <c r="I41" s="1401" t="inlineStr">
        <is>
          <t>LP</t>
        </is>
      </c>
      <c r="J41" s="1402" t="n">
        <v>0</v>
      </c>
      <c r="K41" s="1403">
        <f>+J41*H41</f>
        <v/>
      </c>
      <c r="L41" s="1231" t="n"/>
      <c r="M41" s="1231" t="inlineStr">
        <is>
          <t>Automatic</t>
        </is>
      </c>
      <c r="N41" s="1231" t="inlineStr">
        <is>
          <t>не учитываю</t>
        </is>
      </c>
      <c r="O41" s="1344" t="n"/>
      <c r="P41" s="1343" t="n"/>
      <c r="Q41" s="1404" t="n"/>
      <c r="R41" s="1231" t="n"/>
    </row>
    <row r="42" ht="22.5" customFormat="1" customHeight="1" s="1132">
      <c r="A42" s="1480" t="inlineStr">
        <is>
          <t>APPLY BOOT</t>
        </is>
      </c>
      <c r="B42" s="1481" t="inlineStr">
        <is>
          <t>apply boot over terminal</t>
        </is>
      </c>
      <c r="C42" s="1482" t="inlineStr">
        <is>
          <t>Grommet Spreader (2 bill)</t>
        </is>
      </c>
      <c r="D42" s="1399" t="n"/>
      <c r="E42" s="1399" t="n"/>
      <c r="F42" s="1399" t="n"/>
      <c r="G42" s="1399" t="n"/>
      <c r="H42" s="1400" t="n">
        <v>6.9</v>
      </c>
      <c r="I42" s="1401" t="inlineStr">
        <is>
          <t>LP</t>
        </is>
      </c>
      <c r="J42" s="1402" t="n">
        <v>0</v>
      </c>
      <c r="K42" s="1403">
        <f>+J42*H42</f>
        <v/>
      </c>
      <c r="L42" s="1231" t="n"/>
      <c r="M42" s="1231" t="inlineStr">
        <is>
          <t>Automatic</t>
        </is>
      </c>
      <c r="N42" s="1231" t="inlineStr">
        <is>
          <t>не учитываю</t>
        </is>
      </c>
      <c r="O42" s="1344" t="n"/>
      <c r="P42" s="1343" t="n"/>
      <c r="Q42" s="1404" t="n"/>
      <c r="R42" s="1231" t="n"/>
    </row>
    <row r="43" ht="22.5" customHeight="1" s="1134">
      <c r="A43" s="1483" t="inlineStr">
        <is>
          <t>BOLT INTO BATTERY TERM</t>
        </is>
      </c>
      <c r="B43" s="1481" t="inlineStr">
        <is>
          <t>bolt into battery term</t>
        </is>
      </c>
      <c r="C43" s="1482" t="inlineStr">
        <is>
          <t>batt cover &amp; Bolt Station</t>
        </is>
      </c>
      <c r="D43" s="1399" t="n">
        <v>12066325</v>
      </c>
      <c r="E43" s="1399" t="n"/>
      <c r="F43" s="1399" t="n"/>
      <c r="G43" s="1399" t="n"/>
      <c r="H43" s="1400" t="n">
        <v>14.8</v>
      </c>
      <c r="I43" s="1401" t="inlineStr">
        <is>
          <t>LP</t>
        </is>
      </c>
      <c r="J43" s="1402" t="n">
        <v>0</v>
      </c>
      <c r="K43" s="1403">
        <f>+J43*H43</f>
        <v/>
      </c>
      <c r="L43" s="1231" t="n"/>
      <c r="M43" s="1231" t="inlineStr">
        <is>
          <t>Automatic</t>
        </is>
      </c>
      <c r="N43" s="1231" t="inlineStr">
        <is>
          <t>не учитываю</t>
        </is>
      </c>
      <c r="O43" s="1344" t="n"/>
      <c r="P43" s="1343" t="n"/>
      <c r="Q43" s="1404" t="n"/>
      <c r="R43" s="1231" t="n"/>
    </row>
    <row r="44" ht="22.5" customHeight="1" s="1134">
      <c r="A44" s="1232" t="n"/>
      <c r="B44" s="1481" t="inlineStr">
        <is>
          <t>bolt into battery term</t>
        </is>
      </c>
      <c r="C44" s="1482" t="inlineStr">
        <is>
          <t>batt cover &amp; Bolt Station</t>
        </is>
      </c>
      <c r="D44" s="1399" t="n">
        <v>12092218</v>
      </c>
      <c r="E44" s="1399" t="n"/>
      <c r="F44" s="1399" t="n"/>
      <c r="G44" s="1399" t="n"/>
      <c r="H44" s="1400" t="n">
        <v>14.8</v>
      </c>
      <c r="I44" s="1401" t="inlineStr">
        <is>
          <t>LP</t>
        </is>
      </c>
      <c r="J44" s="1402" t="n">
        <v>0</v>
      </c>
      <c r="K44" s="1403">
        <f>+J44*H44</f>
        <v/>
      </c>
      <c r="L44" s="1231" t="n"/>
      <c r="M44" s="1231" t="inlineStr">
        <is>
          <t>Automatic</t>
        </is>
      </c>
      <c r="N44" s="1231" t="inlineStr">
        <is>
          <t>не учитываю</t>
        </is>
      </c>
      <c r="O44" s="1344" t="n"/>
      <c r="P44" s="1343" t="n"/>
      <c r="Q44" s="1404" t="n"/>
      <c r="R44" s="1231" t="n"/>
    </row>
    <row r="45" ht="22.5" customHeight="1" s="1134">
      <c r="A45" s="1405" t="n"/>
      <c r="B45" s="1481" t="inlineStr">
        <is>
          <t>bolt into battery term</t>
        </is>
      </c>
      <c r="C45" s="1482" t="inlineStr">
        <is>
          <t>batt cover &amp; Bolt Station</t>
        </is>
      </c>
      <c r="D45" s="1399" t="n"/>
      <c r="E45" s="1399" t="n"/>
      <c r="F45" s="1399" t="n"/>
      <c r="G45" s="1399" t="n"/>
      <c r="H45" s="1400" t="n">
        <v>5.8</v>
      </c>
      <c r="I45" s="1401" t="inlineStr">
        <is>
          <t>LP</t>
        </is>
      </c>
      <c r="J45" s="1402" t="n">
        <v>0</v>
      </c>
      <c r="K45" s="1403">
        <f>+J45*H45</f>
        <v/>
      </c>
      <c r="L45" s="1231" t="n"/>
      <c r="M45" s="1231" t="inlineStr">
        <is>
          <t>Automatic</t>
        </is>
      </c>
      <c r="N45" s="1231" t="inlineStr">
        <is>
          <t>не учитываю</t>
        </is>
      </c>
      <c r="O45" s="1344" t="n"/>
      <c r="P45" s="1343" t="n"/>
      <c r="Q45" s="1404" t="n"/>
      <c r="R45" s="1231" t="n"/>
    </row>
    <row r="46" ht="22.5" customHeight="1" s="1134">
      <c r="A46" s="1484" t="n"/>
      <c r="B46" s="1485" t="n"/>
      <c r="C46" s="1423" t="n"/>
      <c r="D46" s="1317" t="n"/>
      <c r="E46" s="1317" t="n"/>
      <c r="F46" s="1317" t="n"/>
      <c r="G46" s="1317" t="n"/>
      <c r="H46" s="1400" t="n"/>
      <c r="I46" s="1401" t="n"/>
      <c r="J46" s="1402" t="n">
        <v>0</v>
      </c>
      <c r="K46" s="1403">
        <f>+J46*H46</f>
        <v/>
      </c>
      <c r="L46" s="1231" t="n"/>
      <c r="M46" s="1231" t="inlineStr">
        <is>
          <t>Automatic</t>
        </is>
      </c>
      <c r="N46" s="1231" t="inlineStr">
        <is>
          <t>не учитываю</t>
        </is>
      </c>
      <c r="O46" s="1344" t="n"/>
      <c r="P46" s="1343" t="n"/>
      <c r="Q46" s="1404" t="n"/>
      <c r="R46" s="1231" t="n"/>
    </row>
    <row r="47" ht="22.5" customHeight="1" s="1134">
      <c r="A47" s="1484" t="n"/>
      <c r="B47" s="1485" t="n"/>
      <c r="C47" s="1423" t="n"/>
      <c r="D47" s="1317" t="n"/>
      <c r="E47" s="1317" t="n"/>
      <c r="F47" s="1317" t="n"/>
      <c r="G47" s="1317" t="n"/>
      <c r="H47" s="1486" t="n"/>
      <c r="I47" s="1401" t="n"/>
      <c r="J47" s="1402" t="n">
        <v>0</v>
      </c>
      <c r="K47" s="1403">
        <f>+J47*H47</f>
        <v/>
      </c>
      <c r="N47" s="1231" t="inlineStr">
        <is>
          <t>не учитываю</t>
        </is>
      </c>
      <c r="O47" s="1344" t="n"/>
      <c r="P47" s="1343" t="n"/>
      <c r="Q47" s="1404" t="n"/>
      <c r="R47" s="1231" t="n"/>
    </row>
    <row r="48" ht="22.5" customHeight="1" s="1134">
      <c r="A48" s="1425" t="n"/>
      <c r="B48" s="1426" t="n"/>
      <c r="C48" s="1319" t="n"/>
      <c r="D48" s="1319" t="n"/>
      <c r="E48" s="1319" t="n"/>
      <c r="F48" s="1319" t="n"/>
      <c r="G48" s="1319" t="n"/>
      <c r="H48" s="1463" t="n"/>
      <c r="I48" s="1463" t="n"/>
      <c r="J48" s="1429" t="n">
        <v>0</v>
      </c>
      <c r="K48" s="1430" t="n"/>
      <c r="N48" s="1231" t="n"/>
      <c r="O48" s="1344" t="n"/>
      <c r="P48" s="1343" t="n"/>
      <c r="Q48" s="1404" t="n"/>
      <c r="R48" s="1231" t="n"/>
    </row>
    <row r="49" ht="53.25" customFormat="1" customHeight="1" s="1391">
      <c r="A49" s="1216" t="inlineStr">
        <is>
          <t>CUT BRAIDED SLEEVE  (HOT GUILLOTINE)</t>
        </is>
      </c>
      <c r="B49" s="1217" t="inlineStr">
        <is>
          <t>COMMENTS</t>
        </is>
      </c>
      <c r="C49" s="1217" t="inlineStr">
        <is>
          <t>Machine Vendor</t>
        </is>
      </c>
      <c r="D49" s="1217" t="n"/>
      <c r="E49" s="1217" t="n"/>
      <c r="F49" s="1217" t="inlineStr">
        <is>
          <t>Min Length</t>
        </is>
      </c>
      <c r="G49" s="1217" t="inlineStr">
        <is>
          <t>Max Length</t>
        </is>
      </c>
      <c r="H49" s="1392" t="inlineStr">
        <is>
          <t>Global Sec/ Pc</t>
        </is>
      </c>
      <c r="I49" s="1479" t="inlineStr">
        <is>
          <t>Location
LP/FA</t>
        </is>
      </c>
      <c r="J49" s="1432" t="n">
        <v>0</v>
      </c>
      <c r="K49" s="1393" t="inlineStr">
        <is>
          <t>Total</t>
        </is>
      </c>
      <c r="N49" s="1231" t="n"/>
      <c r="O49" s="1344" t="n"/>
      <c r="P49" s="1343" t="n"/>
      <c r="Q49" s="1404" t="n"/>
      <c r="R49" s="1231" t="n"/>
    </row>
    <row r="50" ht="27" customHeight="1" s="1134">
      <c r="A50" s="1487" t="inlineStr">
        <is>
          <t xml:space="preserve">CUT BRAIDED SLEEVE </t>
        </is>
      </c>
      <c r="B50" s="1488" t="inlineStr">
        <is>
          <t>Cut sleeve with hot guillotine</t>
        </is>
      </c>
      <c r="C50" s="1489" t="inlineStr">
        <is>
          <t>Guillotine</t>
        </is>
      </c>
      <c r="D50" s="1234" t="n"/>
      <c r="E50" s="1399" t="n"/>
      <c r="F50" s="1399" t="n">
        <v>0</v>
      </c>
      <c r="G50" s="1399" t="n">
        <v>100</v>
      </c>
      <c r="H50" s="1400" t="n">
        <v>2.973</v>
      </c>
      <c r="I50" s="1401" t="inlineStr">
        <is>
          <t>LP</t>
        </is>
      </c>
      <c r="J50" s="1402" t="n">
        <v>1</v>
      </c>
      <c r="K50" s="1403">
        <f>+J50*H50</f>
        <v/>
      </c>
      <c r="M50" s="1132" t="inlineStr">
        <is>
          <t>Automatic</t>
        </is>
      </c>
      <c r="N50" s="1231" t="n"/>
      <c r="O50" s="1344" t="n"/>
      <c r="P50" s="1343" t="n"/>
      <c r="Q50" s="1404" t="n"/>
      <c r="R50" s="1231" t="n"/>
    </row>
    <row r="51" ht="18" customHeight="1" s="1134">
      <c r="A51" s="1232" t="n"/>
      <c r="B51" s="1233" t="n"/>
      <c r="C51" s="1233" t="n"/>
      <c r="D51" s="1399" t="n"/>
      <c r="E51" s="1399" t="n"/>
      <c r="F51" s="1399" t="n">
        <v>101</v>
      </c>
      <c r="G51" s="1399" t="n">
        <v>200</v>
      </c>
      <c r="H51" s="1400" t="n">
        <v>3.05</v>
      </c>
      <c r="I51" s="1401" t="inlineStr">
        <is>
          <t>LP</t>
        </is>
      </c>
      <c r="J51" s="1402" t="n">
        <v>1</v>
      </c>
      <c r="K51" s="1403">
        <f>+J51*H51</f>
        <v/>
      </c>
      <c r="M51" s="1132" t="inlineStr">
        <is>
          <t>Automatic</t>
        </is>
      </c>
      <c r="N51" s="1231" t="n"/>
      <c r="O51" s="1344" t="n"/>
      <c r="P51" s="1343" t="n"/>
      <c r="Q51" s="1404" t="n"/>
      <c r="R51" s="1231" t="n"/>
    </row>
    <row r="52" ht="18" customHeight="1" s="1134">
      <c r="A52" s="1232" t="n"/>
      <c r="B52" s="1233" t="n"/>
      <c r="C52" s="1233" t="n"/>
      <c r="D52" s="1399" t="n"/>
      <c r="E52" s="1399" t="n"/>
      <c r="F52" s="1399" t="n">
        <v>201</v>
      </c>
      <c r="G52" s="1399" t="n">
        <v>300</v>
      </c>
      <c r="H52" s="1400" t="n">
        <v>3.1</v>
      </c>
      <c r="I52" s="1401" t="inlineStr">
        <is>
          <t>LP</t>
        </is>
      </c>
      <c r="J52" s="1402" t="n">
        <v>1</v>
      </c>
      <c r="K52" s="1403">
        <f>+J52*H52</f>
        <v/>
      </c>
      <c r="M52" s="1132" t="inlineStr">
        <is>
          <t>Automatic</t>
        </is>
      </c>
      <c r="N52" s="1231" t="n"/>
      <c r="O52" s="1344" t="n"/>
      <c r="P52" s="1343" t="n"/>
      <c r="Q52" s="1404" t="n"/>
      <c r="R52" s="1231" t="n"/>
    </row>
    <row r="53" ht="28.5" customHeight="1" s="1134">
      <c r="A53" s="1232" t="n"/>
      <c r="B53" s="1233" t="n"/>
      <c r="C53" s="1233" t="n"/>
      <c r="D53" s="1399" t="n"/>
      <c r="E53" s="1399" t="n"/>
      <c r="F53" s="1399" t="n">
        <v>301</v>
      </c>
      <c r="G53" s="1399" t="n">
        <v>400</v>
      </c>
      <c r="H53" s="1400" t="n">
        <v>3.31</v>
      </c>
      <c r="I53" s="1401" t="inlineStr">
        <is>
          <t>LP</t>
        </is>
      </c>
      <c r="J53" s="1402" t="n">
        <v>0</v>
      </c>
      <c r="K53" s="1403">
        <f>+J53*H53</f>
        <v/>
      </c>
      <c r="M53" s="1132" t="inlineStr">
        <is>
          <t>Automatic</t>
        </is>
      </c>
      <c r="N53" s="1231" t="n"/>
      <c r="O53" s="1344" t="n"/>
      <c r="P53" s="1343" t="n"/>
      <c r="Q53" s="1404" t="n"/>
      <c r="R53" s="1231" t="n"/>
    </row>
    <row r="54" ht="28.5" customHeight="1" s="1134">
      <c r="A54" s="1232" t="n"/>
      <c r="B54" s="1233" t="n"/>
      <c r="C54" s="1233" t="n"/>
      <c r="D54" s="1317" t="n"/>
      <c r="E54" s="1317" t="n"/>
      <c r="F54" s="1317" t="n">
        <v>401</v>
      </c>
      <c r="G54" s="1317" t="n">
        <v>500</v>
      </c>
      <c r="H54" s="1420" t="n">
        <v>3.569</v>
      </c>
      <c r="I54" s="1438" t="inlineStr">
        <is>
          <t>LP</t>
        </is>
      </c>
      <c r="J54" s="1439" t="n">
        <v>0</v>
      </c>
      <c r="K54" s="1403">
        <f>+J54*H54</f>
        <v/>
      </c>
      <c r="M54" s="1132" t="inlineStr">
        <is>
          <t>Automatic</t>
        </is>
      </c>
      <c r="N54" s="1231" t="n"/>
      <c r="O54" s="1344" t="n"/>
      <c r="P54" s="1343" t="n"/>
      <c r="Q54" s="1404" t="n"/>
      <c r="R54" s="1231" t="n"/>
    </row>
    <row r="55" ht="28.5" customHeight="1" s="1134">
      <c r="A55" s="1232" t="n"/>
      <c r="B55" s="1233" t="n"/>
      <c r="C55" s="1233" t="n"/>
      <c r="D55" s="1317" t="n"/>
      <c r="E55" s="1317" t="n"/>
      <c r="F55" s="1317" t="n">
        <v>501</v>
      </c>
      <c r="G55" s="1317" t="n">
        <v>600</v>
      </c>
      <c r="H55" s="1420" t="n">
        <v>3.828</v>
      </c>
      <c r="I55" s="1438" t="inlineStr">
        <is>
          <t>LP</t>
        </is>
      </c>
      <c r="J55" s="1439" t="n">
        <v>0</v>
      </c>
      <c r="K55" s="1403">
        <f>+J55*H55</f>
        <v/>
      </c>
      <c r="M55" s="1132" t="inlineStr">
        <is>
          <t>Automatic</t>
        </is>
      </c>
      <c r="N55" s="1231" t="n"/>
      <c r="O55" s="1344" t="n"/>
      <c r="P55" s="1343" t="n"/>
      <c r="Q55" s="1404" t="n"/>
      <c r="R55" s="1231" t="n"/>
    </row>
    <row r="56" ht="28.5" customHeight="1" s="1134">
      <c r="A56" s="1232" t="n"/>
      <c r="B56" s="1233" t="n"/>
      <c r="C56" s="1233" t="n"/>
      <c r="D56" s="1317" t="n"/>
      <c r="E56" s="1317" t="n"/>
      <c r="F56" s="1317" t="n">
        <v>601</v>
      </c>
      <c r="G56" s="1317" t="n">
        <v>700</v>
      </c>
      <c r="H56" s="1420" t="n">
        <v>4.087</v>
      </c>
      <c r="I56" s="1438" t="inlineStr">
        <is>
          <t>LP</t>
        </is>
      </c>
      <c r="J56" s="1439" t="n">
        <v>0</v>
      </c>
      <c r="K56" s="1403">
        <f>+J56*H56</f>
        <v/>
      </c>
      <c r="M56" s="1132" t="inlineStr">
        <is>
          <t>Automatic</t>
        </is>
      </c>
      <c r="N56" s="1231" t="n"/>
      <c r="O56" s="1344" t="n"/>
      <c r="P56" s="1343" t="n"/>
      <c r="Q56" s="1404" t="n"/>
      <c r="R56" s="1231" t="n"/>
    </row>
    <row r="57" ht="28.5" customHeight="1" s="1134">
      <c r="A57" s="1232" t="n"/>
      <c r="B57" s="1233" t="n"/>
      <c r="C57" s="1233" t="n"/>
      <c r="D57" s="1317" t="n"/>
      <c r="E57" s="1317" t="n"/>
      <c r="F57" s="1317" t="n">
        <v>701</v>
      </c>
      <c r="G57" s="1317" t="n">
        <v>800</v>
      </c>
      <c r="H57" s="1420" t="n">
        <v>4.346</v>
      </c>
      <c r="I57" s="1438" t="inlineStr">
        <is>
          <t>LP</t>
        </is>
      </c>
      <c r="J57" s="1439" t="n">
        <v>0</v>
      </c>
      <c r="K57" s="1403">
        <f>+J57*H57</f>
        <v/>
      </c>
      <c r="M57" s="1132" t="inlineStr">
        <is>
          <t>Automatic</t>
        </is>
      </c>
      <c r="N57" s="1231" t="n"/>
      <c r="O57" s="1344" t="n"/>
      <c r="P57" s="1343" t="n"/>
      <c r="Q57" s="1404" t="n"/>
      <c r="R57" s="1231" t="n"/>
    </row>
    <row r="58" ht="28.5" customHeight="1" s="1134">
      <c r="A58" s="1232" t="n"/>
      <c r="B58" s="1233" t="n"/>
      <c r="C58" s="1233" t="n"/>
      <c r="D58" s="1317" t="n"/>
      <c r="E58" s="1317" t="n"/>
      <c r="F58" s="1317" t="n">
        <v>801</v>
      </c>
      <c r="G58" s="1317" t="n">
        <v>900</v>
      </c>
      <c r="H58" s="1420" t="n">
        <v>4.605</v>
      </c>
      <c r="I58" s="1438" t="inlineStr">
        <is>
          <t>LP</t>
        </is>
      </c>
      <c r="J58" s="1439" t="n">
        <v>0</v>
      </c>
      <c r="K58" s="1403">
        <f>+J58*H58</f>
        <v/>
      </c>
      <c r="M58" s="1132" t="inlineStr">
        <is>
          <t>Automatic</t>
        </is>
      </c>
      <c r="N58" s="1231" t="n"/>
      <c r="O58" s="1344" t="n"/>
      <c r="P58" s="1343" t="n"/>
      <c r="Q58" s="1404" t="n"/>
      <c r="R58" s="1231" t="n"/>
    </row>
    <row r="59" ht="21" customHeight="1" s="1134">
      <c r="A59" s="1232" t="n"/>
      <c r="B59" s="1233" t="n"/>
      <c r="C59" s="1233" t="n"/>
      <c r="D59" s="1317" t="n"/>
      <c r="E59" s="1317" t="n"/>
      <c r="F59" s="1399" t="n">
        <v>901</v>
      </c>
      <c r="G59" s="1399" t="n">
        <v>1000</v>
      </c>
      <c r="H59" s="1420" t="n">
        <v>4.864</v>
      </c>
      <c r="I59" s="1438" t="inlineStr">
        <is>
          <t>LP</t>
        </is>
      </c>
      <c r="J59" s="1439" t="n">
        <v>0</v>
      </c>
      <c r="K59" s="1403">
        <f>+J59*H59</f>
        <v/>
      </c>
      <c r="M59" s="1132" t="inlineStr">
        <is>
          <t>Automatic</t>
        </is>
      </c>
      <c r="N59" s="1231" t="n"/>
      <c r="O59" s="1344" t="n"/>
      <c r="P59" s="1343" t="n"/>
      <c r="Q59" s="1404" t="n"/>
      <c r="R59" s="1231" t="n"/>
    </row>
    <row r="60" ht="21" customHeight="1" s="1134">
      <c r="A60" s="1232" t="n"/>
      <c r="B60" s="1233" t="n"/>
      <c r="C60" s="1233" t="n"/>
      <c r="D60" s="1399" t="n"/>
      <c r="E60" s="1399" t="n"/>
      <c r="F60" s="1399" t="n">
        <v>1001</v>
      </c>
      <c r="G60" s="1399" t="n">
        <v>1200</v>
      </c>
      <c r="H60" s="1420" t="n">
        <v>5.382</v>
      </c>
      <c r="I60" s="1401" t="inlineStr">
        <is>
          <t>LP</t>
        </is>
      </c>
      <c r="J60" s="1402" t="n">
        <v>0</v>
      </c>
      <c r="K60" s="1440">
        <f>+J60*H60</f>
        <v/>
      </c>
      <c r="M60" s="1132" t="inlineStr">
        <is>
          <t>Automatic</t>
        </is>
      </c>
      <c r="N60" s="1231" t="n"/>
      <c r="O60" s="1344" t="n"/>
      <c r="P60" s="1343" t="n"/>
      <c r="Q60" s="1404" t="n"/>
      <c r="R60" s="1231" t="n"/>
    </row>
    <row r="61" ht="21" customHeight="1" s="1134">
      <c r="A61" s="1232" t="n"/>
      <c r="B61" s="1233" t="n"/>
      <c r="C61" s="1233" t="n"/>
      <c r="D61" s="1317" t="n"/>
      <c r="E61" s="1317" t="n"/>
      <c r="F61" s="1490" t="n">
        <v>1201</v>
      </c>
      <c r="G61" s="1490" t="n">
        <v>1400</v>
      </c>
      <c r="H61" s="1420" t="n">
        <v>5.9</v>
      </c>
      <c r="I61" s="1438" t="inlineStr">
        <is>
          <t>LP</t>
        </is>
      </c>
      <c r="J61" s="1439" t="n">
        <v>0</v>
      </c>
      <c r="K61" s="1440">
        <f>+J61*H61</f>
        <v/>
      </c>
      <c r="M61" s="1132" t="inlineStr">
        <is>
          <t>Automatic</t>
        </is>
      </c>
      <c r="N61" s="1231" t="n"/>
      <c r="O61" s="1344" t="n"/>
      <c r="P61" s="1343" t="n"/>
      <c r="Q61" s="1404" t="n"/>
      <c r="R61" s="1231" t="n"/>
    </row>
    <row r="62" ht="21" customHeight="1" s="1134">
      <c r="A62" s="1491" t="n"/>
      <c r="B62" s="1492" t="n"/>
      <c r="C62" s="1493" t="n"/>
      <c r="D62" s="1399" t="n"/>
      <c r="E62" s="1399" t="n"/>
      <c r="F62" s="1399" t="n"/>
      <c r="G62" s="1399" t="n"/>
      <c r="H62" s="1494" t="n"/>
      <c r="I62" s="1401" t="n"/>
      <c r="J62" s="1402" t="n">
        <v>0</v>
      </c>
      <c r="K62" s="1403" t="n"/>
      <c r="N62" s="1231" t="n"/>
      <c r="O62" s="1344" t="n"/>
      <c r="P62" s="1343" t="n"/>
      <c r="Q62" s="1404" t="n"/>
      <c r="R62" s="1231" t="n"/>
    </row>
    <row r="63" ht="21" customHeight="1" s="1134">
      <c r="A63" s="1491" t="n"/>
      <c r="B63" s="1492" t="n"/>
      <c r="C63" s="1493" t="n"/>
      <c r="D63" s="1399" t="n"/>
      <c r="E63" s="1399" t="n"/>
      <c r="F63" s="1399" t="n"/>
      <c r="G63" s="1399" t="n"/>
      <c r="H63" s="1495" t="n"/>
      <c r="I63" s="1401" t="n"/>
      <c r="J63" s="1402" t="n">
        <v>0</v>
      </c>
      <c r="K63" s="1403" t="n"/>
      <c r="N63" s="1231" t="n"/>
      <c r="O63" s="1344" t="n"/>
      <c r="P63" s="1343" t="n"/>
      <c r="Q63" s="1404" t="n"/>
      <c r="R63" s="1231" t="n"/>
    </row>
    <row r="64" ht="21" customHeight="1" s="1134">
      <c r="A64" s="1491" t="n"/>
      <c r="B64" s="1492" t="n"/>
      <c r="C64" s="1493" t="n"/>
      <c r="D64" s="1399" t="n"/>
      <c r="E64" s="1399" t="n"/>
      <c r="F64" s="1399" t="n"/>
      <c r="G64" s="1399" t="n"/>
      <c r="H64" s="1495" t="n"/>
      <c r="I64" s="1401" t="n"/>
      <c r="J64" s="1402" t="n">
        <v>0</v>
      </c>
      <c r="K64" s="1403" t="n"/>
      <c r="N64" s="1231" t="n"/>
      <c r="O64" s="1344" t="n"/>
      <c r="P64" s="1343" t="n"/>
      <c r="Q64" s="1404" t="n"/>
      <c r="R64" s="1231" t="n"/>
    </row>
    <row r="65" ht="21" customHeight="1" s="1134">
      <c r="A65" s="1491" t="n"/>
      <c r="B65" s="1492" t="n"/>
      <c r="C65" s="1493" t="n"/>
      <c r="D65" s="1399" t="n"/>
      <c r="E65" s="1399" t="n"/>
      <c r="F65" s="1399" t="n"/>
      <c r="G65" s="1399" t="n"/>
      <c r="H65" s="1495" t="n"/>
      <c r="I65" s="1401" t="n"/>
      <c r="J65" s="1402" t="n">
        <v>0</v>
      </c>
      <c r="K65" s="1403" t="n"/>
      <c r="N65" s="1231" t="n"/>
      <c r="O65" s="1344" t="n"/>
      <c r="P65" s="1343" t="n"/>
      <c r="Q65" s="1404" t="n"/>
      <c r="R65" s="1231" t="n"/>
    </row>
    <row r="66" ht="22.5" customHeight="1" s="1134">
      <c r="A66" s="1425" t="n"/>
      <c r="B66" s="1426" t="n"/>
      <c r="C66" s="1319" t="n"/>
      <c r="D66" s="1319" t="n"/>
      <c r="E66" s="1319" t="n"/>
      <c r="F66" s="1319" t="n"/>
      <c r="G66" s="1319" t="n"/>
      <c r="H66" s="1319" t="n"/>
      <c r="I66" s="1463" t="n"/>
      <c r="J66" s="1429" t="n">
        <v>0</v>
      </c>
      <c r="K66" s="1430" t="n"/>
      <c r="N66" s="1231" t="n"/>
      <c r="O66" s="1344" t="n"/>
      <c r="P66" s="1343" t="n"/>
      <c r="Q66" s="1404" t="n"/>
      <c r="R66" s="1231" t="n"/>
    </row>
    <row r="67" ht="53.25" customFormat="1" customHeight="1" s="1391">
      <c r="A67" s="1216" t="inlineStr">
        <is>
          <t>COMPONENTS</t>
        </is>
      </c>
      <c r="B67" s="1217" t="inlineStr">
        <is>
          <t>COMMENTS</t>
        </is>
      </c>
      <c r="C67" s="1217" t="inlineStr">
        <is>
          <t>Machine Vendor</t>
        </is>
      </c>
      <c r="D67" s="1217" t="n"/>
      <c r="E67" s="1217" t="n"/>
      <c r="F67" s="1217" t="n"/>
      <c r="G67" s="1217" t="n"/>
      <c r="H67" s="1392" t="inlineStr">
        <is>
          <t>Global Sec/ Pc</t>
        </is>
      </c>
      <c r="I67" s="1479" t="inlineStr">
        <is>
          <t>Location
LP/FA</t>
        </is>
      </c>
      <c r="J67" s="1432" t="n">
        <v>0</v>
      </c>
      <c r="K67" s="1393" t="inlineStr">
        <is>
          <t>Total</t>
        </is>
      </c>
      <c r="N67" s="1231" t="n"/>
      <c r="O67" s="1344" t="n"/>
      <c r="P67" s="1343" t="n"/>
      <c r="Q67" s="1404" t="n"/>
      <c r="R67" s="1231" t="n"/>
    </row>
    <row r="68" ht="103.5" customHeight="1" s="1134">
      <c r="A68" s="1496" t="inlineStr">
        <is>
          <t xml:space="preserve">REOPEN TWISTED WIRES / 
Untwist wires </t>
        </is>
      </c>
      <c r="B68" s="1234" t="inlineStr">
        <is>
          <t>reopen twisted wires
NOTE: to be used for twists cut from reel /multiconductors /  purchased parts when additional processes to be applied on LP; to be used also to reopen / untwist for splicing operation for wires coming from BT 188  and when twisted wires with different length</t>
        </is>
      </c>
      <c r="C68" s="1497" t="inlineStr">
        <is>
          <t xml:space="preserve">Reopen Twisted Wires Station 
</t>
        </is>
      </c>
      <c r="D68" s="1399" t="n"/>
      <c r="E68" s="1399" t="n"/>
      <c r="F68" s="1399" t="n"/>
      <c r="G68" s="1399" t="n"/>
      <c r="H68" s="1400" t="n">
        <v>2.7</v>
      </c>
      <c r="I68" s="1401" t="inlineStr">
        <is>
          <t>LP</t>
        </is>
      </c>
      <c r="J68" s="1402" t="n">
        <v>0</v>
      </c>
      <c r="K68" s="1403">
        <f>+J68*H68</f>
        <v/>
      </c>
      <c r="M68" s="1132" t="inlineStr">
        <is>
          <t>Manual</t>
        </is>
      </c>
      <c r="N68" s="1231" t="inlineStr">
        <is>
          <t>не учитываю</t>
        </is>
      </c>
      <c r="O68" s="1344" t="n"/>
      <c r="P68" s="1343" t="n"/>
      <c r="Q68" s="1404" t="n"/>
      <c r="R68" s="1231" t="n"/>
    </row>
    <row r="69" ht="103.5" customHeight="1" s="1134">
      <c r="A69" s="1496" t="inlineStr">
        <is>
          <t xml:space="preserve">
Untwist FLEX RAY, CAN &amp; CAN FD twisted wires (for both jacketed and unjacketed twists)
Untwist ETHERNET wires  </t>
        </is>
      </c>
      <c r="B69" s="1397" t="inlineStr">
        <is>
          <t xml:space="preserve">first step is to untwist Flex Ray, CAN, CAN FD twisted wires, then second to strigth the single wires from previously untwisted to prepare them for crimping operation
the time is for pair of twisted wires
Untwist Ethernet wires </t>
        </is>
      </c>
      <c r="C69" s="1497" t="inlineStr">
        <is>
          <t xml:space="preserve">
TEKNOMATIK (EU) / 
Untwister Exmore (NA)
</t>
        </is>
      </c>
      <c r="D69" s="1397" t="inlineStr">
        <is>
          <t>Starting point: introduction of wire in the machine, 
finishing point: wire is taken out of the machine .</t>
        </is>
      </c>
      <c r="E69" s="1399" t="n"/>
      <c r="F69" s="1399" t="n"/>
      <c r="G69" s="1399" t="n"/>
      <c r="H69" s="1400" t="n">
        <v>8</v>
      </c>
      <c r="I69" s="1401" t="inlineStr">
        <is>
          <t>LP</t>
        </is>
      </c>
      <c r="J69" s="1402" t="n">
        <v>0</v>
      </c>
      <c r="K69" s="1403">
        <f>+J69*H69</f>
        <v/>
      </c>
      <c r="N69" s="1231" t="inlineStr">
        <is>
          <t>не учитываю</t>
        </is>
      </c>
      <c r="O69" s="1344" t="n"/>
      <c r="P69" s="1343" t="n"/>
      <c r="Q69" s="1404" t="n"/>
      <c r="R69" s="1231" t="n"/>
    </row>
    <row r="70" hidden="1" ht="42" customHeight="1" s="1134">
      <c r="A70" s="1496" t="inlineStr">
        <is>
          <t>Untwist ETHERNET wires  (NA)</t>
        </is>
      </c>
      <c r="B70" s="1397" t="inlineStr">
        <is>
          <t xml:space="preserve">Untwist Ethernet wires </t>
        </is>
      </c>
      <c r="C70" s="1497" t="inlineStr">
        <is>
          <t xml:space="preserve"> Untwister Exmore (NA)</t>
        </is>
      </c>
      <c r="D70" s="1399" t="n"/>
      <c r="E70" s="1399" t="n"/>
      <c r="F70" s="1399" t="n"/>
      <c r="G70" s="1399" t="n"/>
      <c r="H70" s="1400" t="n">
        <v>7</v>
      </c>
      <c r="I70" s="1401" t="inlineStr">
        <is>
          <t>LP</t>
        </is>
      </c>
      <c r="J70" s="1402" t="n">
        <v>0</v>
      </c>
      <c r="K70" s="1403" t="n"/>
      <c r="N70" s="1231" t="inlineStr">
        <is>
          <t>не учитываю</t>
        </is>
      </c>
      <c r="O70" s="1344" t="n"/>
      <c r="P70" s="1343" t="n"/>
      <c r="Q70" s="1404" t="n"/>
      <c r="R70" s="1231" t="n"/>
    </row>
    <row r="71" ht="18" customHeight="1" s="1134">
      <c r="A71" s="1498" t="inlineStr">
        <is>
          <t>ELECTRONIC SOLDERING</t>
        </is>
      </c>
      <c r="B71" s="1499" t="inlineStr">
        <is>
          <t>solder wires in electronic circuit</t>
        </is>
      </c>
      <c r="C71" s="1499" t="inlineStr">
        <is>
          <t>Electronic Solder</t>
        </is>
      </c>
      <c r="D71" s="1399" t="n"/>
      <c r="E71" s="1399" t="n"/>
      <c r="F71" s="1399" t="n"/>
      <c r="G71" s="1399" t="n"/>
      <c r="H71" s="1400" t="n">
        <v>10.51</v>
      </c>
      <c r="I71" s="1401" t="inlineStr">
        <is>
          <t>LP</t>
        </is>
      </c>
      <c r="J71" s="1402" t="n">
        <v>0</v>
      </c>
      <c r="K71" s="1403">
        <f>+J71*H71</f>
        <v/>
      </c>
      <c r="M71" s="1132" t="inlineStr">
        <is>
          <t>Manual</t>
        </is>
      </c>
      <c r="N71" s="1231" t="inlineStr">
        <is>
          <t>не учитываю</t>
        </is>
      </c>
      <c r="O71" s="1344" t="n"/>
      <c r="P71" s="1343" t="n"/>
      <c r="Q71" s="1404" t="n"/>
      <c r="R71" s="1231" t="n"/>
    </row>
    <row r="72" ht="18" customHeight="1" s="1134">
      <c r="A72" s="1500" t="n"/>
      <c r="B72" s="1485" t="n"/>
      <c r="C72" s="1485" t="n"/>
      <c r="D72" s="1317" t="n"/>
      <c r="E72" s="1317" t="n"/>
      <c r="F72" s="1317" t="n"/>
      <c r="G72" s="1317" t="n"/>
      <c r="H72" s="1424" t="n"/>
      <c r="I72" s="1438" t="n"/>
      <c r="J72" s="1439" t="n">
        <v>0</v>
      </c>
      <c r="K72" s="1403">
        <f>+J72*H72</f>
        <v/>
      </c>
      <c r="N72" s="1231" t="n"/>
      <c r="O72" s="1344" t="n"/>
      <c r="P72" s="1343" t="n"/>
      <c r="Q72" s="1404" t="n"/>
      <c r="R72" s="1231" t="n"/>
    </row>
    <row r="73" ht="18" customHeight="1" s="1134">
      <c r="A73" s="1425" t="n"/>
      <c r="B73" s="1426" t="n"/>
      <c r="C73" s="1319" t="n"/>
      <c r="D73" s="1319" t="n"/>
      <c r="E73" s="1319" t="n"/>
      <c r="F73" s="1319" t="n"/>
      <c r="G73" s="1319" t="n"/>
      <c r="H73" s="1319" t="n"/>
      <c r="I73" s="1463" t="n"/>
      <c r="J73" s="1429" t="n">
        <v>0</v>
      </c>
      <c r="K73" s="1430" t="n"/>
      <c r="N73" s="1231" t="n"/>
      <c r="O73" s="1344" t="n"/>
      <c r="P73" s="1343" t="n"/>
      <c r="Q73" s="1404" t="n"/>
      <c r="R73" s="1231" t="n"/>
    </row>
    <row r="74" ht="53.25" customFormat="1" customHeight="1" s="1391">
      <c r="A74" s="1216" t="inlineStr">
        <is>
          <t>TERMINATE</t>
        </is>
      </c>
      <c r="B74" s="1217" t="inlineStr">
        <is>
          <t>COMMENTS</t>
        </is>
      </c>
      <c r="C74" s="1217" t="inlineStr">
        <is>
          <t>Machine Vendor</t>
        </is>
      </c>
      <c r="D74" s="1217" t="inlineStr">
        <is>
          <t>Min Gage</t>
        </is>
      </c>
      <c r="E74" s="1217" t="inlineStr">
        <is>
          <t>Max Gage</t>
        </is>
      </c>
      <c r="F74" s="1217" t="n"/>
      <c r="G74" s="1217" t="n"/>
      <c r="H74" s="1392" t="inlineStr">
        <is>
          <t>Global Sec/ Pc</t>
        </is>
      </c>
      <c r="I74" s="1479" t="inlineStr">
        <is>
          <t>Location
LP/FA</t>
        </is>
      </c>
      <c r="J74" s="1432" t="n">
        <v>0</v>
      </c>
      <c r="K74" s="1393" t="inlineStr">
        <is>
          <t>Total</t>
        </is>
      </c>
      <c r="N74" s="1231" t="n"/>
      <c r="O74" s="1344" t="n"/>
      <c r="P74" s="1343" t="n"/>
      <c r="Q74" s="1404" t="n"/>
      <c r="R74" s="1231" t="n"/>
    </row>
    <row r="75" ht="38.25" customHeight="1" s="1134">
      <c r="A75" s="1501" t="inlineStr">
        <is>
          <t>TERMINATE</t>
        </is>
      </c>
      <c r="B75" s="1415" t="inlineStr">
        <is>
          <t xml:space="preserve">single crimping 
</t>
        </is>
      </c>
      <c r="C75" s="1398" t="inlineStr">
        <is>
          <t>Terminal Press / per crimp (Including diodes and resistors)</t>
        </is>
      </c>
      <c r="D75" s="1399" t="n">
        <v>0.22</v>
      </c>
      <c r="E75" s="1399" t="n">
        <v>1.5</v>
      </c>
      <c r="F75" s="1399" t="n"/>
      <c r="G75" s="1399" t="n"/>
      <c r="H75" s="1400" t="n">
        <v>2.62</v>
      </c>
      <c r="I75" s="1401" t="inlineStr">
        <is>
          <t>LP</t>
        </is>
      </c>
      <c r="J75" s="1402" t="n">
        <v>0</v>
      </c>
      <c r="K75" s="1403">
        <f>+J75*H75</f>
        <v/>
      </c>
      <c r="L75" s="1231" t="n"/>
      <c r="M75" s="1231" t="inlineStr">
        <is>
          <t>Automatic</t>
        </is>
      </c>
      <c r="N75" s="1231" t="n"/>
      <c r="O75" s="1344" t="n"/>
      <c r="P75" s="1343" t="n"/>
      <c r="Q75" s="1404" t="n"/>
      <c r="R75" s="1231" t="n"/>
    </row>
    <row r="76" ht="48" customHeight="1" s="1134">
      <c r="A76" s="1232" t="n"/>
      <c r="B76" s="1233" t="n"/>
      <c r="C76" s="1398" t="inlineStr">
        <is>
          <t>Terminal Press / per crimp
Use also for:
crimp fuse term (bus bar) per wire</t>
        </is>
      </c>
      <c r="D76" s="1399" t="n">
        <v>2</v>
      </c>
      <c r="E76" s="1399" t="n">
        <v>7</v>
      </c>
      <c r="F76" s="1399" t="n"/>
      <c r="G76" s="1399" t="n"/>
      <c r="H76" s="1400" t="n">
        <v>2.87</v>
      </c>
      <c r="I76" s="1401" t="inlineStr">
        <is>
          <t>LP</t>
        </is>
      </c>
      <c r="J76" s="1402" t="n">
        <v>0</v>
      </c>
      <c r="K76" s="1403">
        <f>+J76*H76</f>
        <v/>
      </c>
      <c r="L76" s="1231" t="n"/>
      <c r="M76" s="1231" t="inlineStr">
        <is>
          <t>Semi-automatic</t>
        </is>
      </c>
      <c r="N76" s="1231" t="n"/>
      <c r="O76" s="1344" t="n"/>
      <c r="P76" s="1343" t="n"/>
      <c r="Q76" s="1404" t="n"/>
      <c r="R76" s="1231" t="n"/>
    </row>
    <row r="77" ht="27" customHeight="1" s="1134">
      <c r="A77" s="1232" t="n"/>
      <c r="B77" s="1233" t="n"/>
      <c r="C77" s="1397" t="inlineStr">
        <is>
          <t xml:space="preserve">crimp (bus bar) per each empty terminal    </t>
        </is>
      </c>
      <c r="D77" s="1397" t="inlineStr">
        <is>
          <t>bus bar term press</t>
        </is>
      </c>
      <c r="E77" s="1399" t="n"/>
      <c r="F77" s="1399" t="n"/>
      <c r="G77" s="1399" t="n"/>
      <c r="H77" s="1400" t="n">
        <v>1.08</v>
      </c>
      <c r="I77" s="1401" t="inlineStr">
        <is>
          <t>LP</t>
        </is>
      </c>
      <c r="J77" s="1402" t="n">
        <v>0</v>
      </c>
      <c r="K77" s="1403">
        <f>+J77*H77</f>
        <v/>
      </c>
      <c r="L77" s="1231" t="n"/>
      <c r="M77" s="1231" t="inlineStr">
        <is>
          <t>Manual</t>
        </is>
      </c>
      <c r="N77" s="1231" t="n"/>
      <c r="O77" s="1344" t="n"/>
      <c r="P77" s="1343" t="n"/>
      <c r="Q77" s="1404" t="n"/>
      <c r="R77" s="1231" t="n"/>
    </row>
    <row r="78" ht="49.5" customFormat="1" customHeight="1" s="1132">
      <c r="A78" s="1232" t="n"/>
      <c r="B78" s="1397" t="inlineStr">
        <is>
          <t>single crimping in multiconductors 
(Also to be applied for drain wires and subassemblies crimping)</t>
        </is>
      </c>
      <c r="C78" s="1398" t="inlineStr">
        <is>
          <t>Terminal Press / per crimp</t>
        </is>
      </c>
      <c r="D78" s="1399" t="n">
        <v>0</v>
      </c>
      <c r="E78" s="1399" t="n">
        <v>6</v>
      </c>
      <c r="F78" s="1399" t="n"/>
      <c r="G78" s="1399" t="n"/>
      <c r="H78" s="1400" t="n">
        <v>6.3</v>
      </c>
      <c r="I78" s="1401" t="inlineStr">
        <is>
          <t>LP</t>
        </is>
      </c>
      <c r="J78" s="1402" t="n">
        <v>1</v>
      </c>
      <c r="K78" s="1403">
        <f>+J78*H78</f>
        <v/>
      </c>
      <c r="L78" s="1231" t="n"/>
      <c r="M78" s="1231" t="inlineStr">
        <is>
          <t>Semi-automatic</t>
        </is>
      </c>
      <c r="N78" s="1231" t="n"/>
      <c r="O78" s="1344" t="n"/>
      <c r="P78" s="1407" t="n"/>
      <c r="Q78" s="1344" t="n"/>
      <c r="R78" s="1231" t="n"/>
    </row>
    <row r="79" ht="25.5" customFormat="1" customHeight="1" s="1132">
      <c r="A79" s="1232" t="n"/>
      <c r="B79" s="1397" t="inlineStr">
        <is>
          <t xml:space="preserve">terminal orientation for heavy gauge </t>
        </is>
      </c>
      <c r="C79" s="1398" t="inlineStr">
        <is>
          <t xml:space="preserve">support station / tool </t>
        </is>
      </c>
      <c r="D79" s="1399" t="n">
        <v>8</v>
      </c>
      <c r="E79" s="1399" t="n">
        <v>103</v>
      </c>
      <c r="F79" s="1399" t="n"/>
      <c r="G79" s="1399" t="n"/>
      <c r="H79" s="1400" t="n">
        <v>6</v>
      </c>
      <c r="I79" s="1401" t="inlineStr">
        <is>
          <t>LP</t>
        </is>
      </c>
      <c r="J79" s="1402" t="n">
        <v>0</v>
      </c>
      <c r="K79" s="1403">
        <f>+J79*H79</f>
        <v/>
      </c>
      <c r="L79" s="1231" t="n"/>
      <c r="M79" s="1231" t="n"/>
      <c r="N79" s="1231" t="n"/>
      <c r="O79" s="1344" t="n"/>
      <c r="P79" s="1343" t="n"/>
      <c r="Q79" s="1404" t="n"/>
      <c r="R79" s="1231" t="n"/>
    </row>
    <row r="80" ht="24.75" customHeight="1" s="1134">
      <c r="A80" s="1232" t="n"/>
      <c r="B80" s="1397" t="inlineStr">
        <is>
          <t>single crimping for battery wires</t>
        </is>
      </c>
      <c r="C80" s="1398" t="inlineStr">
        <is>
          <t>Heavy Gage Press / per crimp</t>
        </is>
      </c>
      <c r="D80" s="1399" t="n">
        <v>8</v>
      </c>
      <c r="E80" s="1399" t="n">
        <v>103</v>
      </c>
      <c r="F80" s="1399" t="n"/>
      <c r="G80" s="1399" t="n"/>
      <c r="H80" s="1400" t="n">
        <v>6.09</v>
      </c>
      <c r="I80" s="1401" t="inlineStr">
        <is>
          <t>LP</t>
        </is>
      </c>
      <c r="J80" s="1402" t="n">
        <v>0</v>
      </c>
      <c r="K80" s="1403">
        <f>+J80*H80</f>
        <v/>
      </c>
      <c r="L80" s="1231" t="n"/>
      <c r="M80" s="1231" t="inlineStr">
        <is>
          <t>Manual</t>
        </is>
      </c>
      <c r="N80" s="1231" t="n"/>
      <c r="O80" s="1344" t="n"/>
      <c r="P80" s="1343" t="n"/>
      <c r="Q80" s="1404" t="n"/>
      <c r="R80" s="1231" t="n"/>
    </row>
    <row r="81" ht="63" customHeight="1" s="1134">
      <c r="A81" s="1232" t="n"/>
      <c r="B81" s="1397" t="inlineStr">
        <is>
          <t>single crimping with seal</t>
        </is>
      </c>
      <c r="C81" s="1398" t="inlineStr">
        <is>
          <t>Crimp is done in a Terminal Press. 
NOTE: seal was previously applied by hand in a separate station</t>
        </is>
      </c>
      <c r="D81" s="1399" t="n">
        <v>0</v>
      </c>
      <c r="E81" s="1399" t="n">
        <v>10</v>
      </c>
      <c r="F81" s="1399" t="n"/>
      <c r="G81" s="1399" t="n"/>
      <c r="H81" s="1400" t="n">
        <v>6.67</v>
      </c>
      <c r="I81" s="1401" t="inlineStr">
        <is>
          <t>LP</t>
        </is>
      </c>
      <c r="J81" s="1402" t="n">
        <v>1</v>
      </c>
      <c r="K81" s="1403">
        <f>+J81*H81</f>
        <v/>
      </c>
      <c r="L81" s="1502" t="n"/>
      <c r="M81" s="1502" t="inlineStr">
        <is>
          <t>Manual</t>
        </is>
      </c>
      <c r="N81" s="1231" t="n"/>
      <c r="O81" s="1344" t="n"/>
      <c r="P81" s="1407" t="n"/>
      <c r="Q81" s="1344" t="n"/>
      <c r="R81" s="1231" t="n"/>
    </row>
    <row r="82" ht="24.75" customHeight="1" s="1134">
      <c r="A82" s="1232" t="n"/>
      <c r="B82" s="1397" t="inlineStr">
        <is>
          <t>double crimping</t>
        </is>
      </c>
      <c r="C82" s="1398" t="inlineStr">
        <is>
          <t>Terminal Press / per crimp</t>
        </is>
      </c>
      <c r="D82" s="1399" t="n">
        <v>0.13</v>
      </c>
      <c r="E82" s="1399" t="n">
        <v>0.35</v>
      </c>
      <c r="F82" s="1399" t="n"/>
      <c r="G82" s="1399" t="n"/>
      <c r="H82" s="1400" t="n">
        <v>5.39</v>
      </c>
      <c r="I82" s="1401" t="inlineStr">
        <is>
          <t>LP</t>
        </is>
      </c>
      <c r="J82" s="1402" t="n">
        <v>0</v>
      </c>
      <c r="K82" s="1403">
        <f>+J82*H82</f>
        <v/>
      </c>
      <c r="L82" s="1231" t="n"/>
      <c r="M82" s="1231" t="inlineStr">
        <is>
          <t>Manual</t>
        </is>
      </c>
      <c r="N82" s="1231" t="n"/>
      <c r="O82" s="1344" t="n"/>
      <c r="P82" s="1343" t="n"/>
      <c r="Q82" s="1404" t="n"/>
      <c r="R82" s="1231" t="n"/>
    </row>
    <row r="83" ht="24.75" customHeight="1" s="1134">
      <c r="A83" s="1232" t="n"/>
      <c r="B83" s="1233" t="n"/>
      <c r="C83" s="1233" t="n"/>
      <c r="D83" s="1399" t="n">
        <v>0.5</v>
      </c>
      <c r="E83" s="1399" t="n">
        <v>0.85</v>
      </c>
      <c r="F83" s="1399" t="n"/>
      <c r="G83" s="1399" t="n"/>
      <c r="H83" s="1400" t="n">
        <v>5.29</v>
      </c>
      <c r="I83" s="1401" t="inlineStr">
        <is>
          <t>LP</t>
        </is>
      </c>
      <c r="J83" s="1402" t="n">
        <v>0</v>
      </c>
      <c r="K83" s="1403">
        <f>+J83*H83</f>
        <v/>
      </c>
      <c r="L83" s="1231" t="n"/>
      <c r="M83" s="1231" t="inlineStr">
        <is>
          <t>Automatic</t>
        </is>
      </c>
      <c r="N83" s="1231" t="n"/>
      <c r="O83" s="1344" t="n"/>
      <c r="P83" s="1343" t="n"/>
      <c r="Q83" s="1404" t="n"/>
      <c r="R83" s="1231" t="n"/>
    </row>
    <row r="84" ht="24.75" customHeight="1" s="1134">
      <c r="A84" s="1232" t="n"/>
      <c r="B84" s="1233" t="n"/>
      <c r="C84" s="1233" t="n"/>
      <c r="D84" s="1399" t="n">
        <v>1</v>
      </c>
      <c r="E84" s="1399" t="n">
        <v>2</v>
      </c>
      <c r="F84" s="1399" t="n"/>
      <c r="G84" s="1399" t="n"/>
      <c r="H84" s="1400" t="n">
        <v>5.22</v>
      </c>
      <c r="I84" s="1401" t="inlineStr">
        <is>
          <t>LP</t>
        </is>
      </c>
      <c r="J84" s="1402" t="n">
        <v>0</v>
      </c>
      <c r="K84" s="1403">
        <f>+J84*H84</f>
        <v/>
      </c>
      <c r="L84" s="1231" t="n"/>
      <c r="M84" s="1231" t="inlineStr">
        <is>
          <t>Automatic</t>
        </is>
      </c>
      <c r="N84" s="1231" t="n"/>
      <c r="O84" s="1344" t="n"/>
      <c r="P84" s="1343" t="n"/>
      <c r="Q84" s="1404" t="n"/>
      <c r="R84" s="1231" t="n"/>
    </row>
    <row r="85" ht="24.75" customHeight="1" s="1134">
      <c r="A85" s="1232" t="n"/>
      <c r="B85" s="1406" t="n"/>
      <c r="C85" s="1406" t="n"/>
      <c r="D85" s="1399" t="n">
        <v>2.5</v>
      </c>
      <c r="E85" s="1399" t="n">
        <v>7</v>
      </c>
      <c r="F85" s="1399" t="n"/>
      <c r="G85" s="1399" t="n"/>
      <c r="H85" s="1400" t="n">
        <v>5.77</v>
      </c>
      <c r="I85" s="1401" t="inlineStr">
        <is>
          <t>LP</t>
        </is>
      </c>
      <c r="J85" s="1402" t="n">
        <v>0</v>
      </c>
      <c r="K85" s="1403">
        <f>+J85*H85</f>
        <v/>
      </c>
      <c r="L85" s="1231" t="n"/>
      <c r="M85" s="1231" t="inlineStr">
        <is>
          <t>Automatic</t>
        </is>
      </c>
      <c r="N85" s="1231" t="n"/>
      <c r="O85" s="1344" t="n"/>
      <c r="P85" s="1343" t="n"/>
      <c r="Q85" s="1404" t="n"/>
      <c r="R85" s="1231" t="n"/>
    </row>
    <row r="86" ht="24.75" customHeight="1" s="1134">
      <c r="A86" s="1232" t="n"/>
      <c r="B86" s="1397" t="inlineStr">
        <is>
          <t>double crimping for 0.13/0.13 and other combinations with 0.13</t>
        </is>
      </c>
      <c r="C86" s="1503" t="inlineStr">
        <is>
          <t>Terminal Press / per crimp</t>
        </is>
      </c>
      <c r="D86" s="1399" t="n">
        <v>0.13</v>
      </c>
      <c r="E86" s="1399" t="n">
        <v>0.35</v>
      </c>
      <c r="F86" s="1399" t="n"/>
      <c r="G86" s="1399" t="n"/>
      <c r="H86" s="1400" t="n">
        <v>14</v>
      </c>
      <c r="I86" s="1401" t="inlineStr">
        <is>
          <t>LP</t>
        </is>
      </c>
      <c r="J86" s="1402" t="n">
        <v>0</v>
      </c>
      <c r="K86" s="1403">
        <f>+J86*H86</f>
        <v/>
      </c>
      <c r="L86" s="1231" t="n"/>
      <c r="M86" s="1231" t="inlineStr">
        <is>
          <t>Automatic</t>
        </is>
      </c>
      <c r="N86" s="1231" t="n"/>
      <c r="O86" s="1344" t="n"/>
      <c r="P86" s="1343" t="n"/>
      <c r="Q86" s="1404" t="n"/>
      <c r="R86" s="1231" t="n"/>
    </row>
    <row r="87" ht="24.75" customHeight="1" s="1134">
      <c r="A87" s="1232" t="n"/>
      <c r="B87" s="1397" t="inlineStr">
        <is>
          <t>double crimping for multiconductors</t>
        </is>
      </c>
      <c r="C87" s="1503" t="inlineStr">
        <is>
          <t>Terminal Press / per crimp</t>
        </is>
      </c>
      <c r="D87" s="1399" t="n">
        <v>0</v>
      </c>
      <c r="E87" s="1399" t="n">
        <v>5</v>
      </c>
      <c r="F87" s="1399" t="n"/>
      <c r="G87" s="1399" t="n"/>
      <c r="H87" s="1400" t="n">
        <v>8.199999999999999</v>
      </c>
      <c r="I87" s="1401" t="inlineStr">
        <is>
          <t>LP</t>
        </is>
      </c>
      <c r="J87" s="1402" t="n">
        <v>0</v>
      </c>
      <c r="K87" s="1403">
        <f>+J87*H87</f>
        <v/>
      </c>
      <c r="L87" s="1231" t="n"/>
      <c r="M87" s="1231" t="inlineStr">
        <is>
          <t>Automatic</t>
        </is>
      </c>
      <c r="N87" s="1231" t="n"/>
      <c r="O87" s="1344" t="n"/>
      <c r="P87" s="1343" t="n"/>
      <c r="Q87" s="1404" t="n"/>
      <c r="R87" s="1231" t="n"/>
    </row>
    <row r="88" ht="24.75" customHeight="1" s="1134">
      <c r="A88" s="1232" t="n"/>
      <c r="B88" s="1397" t="inlineStr">
        <is>
          <t>double crimping for battery wires</t>
        </is>
      </c>
      <c r="C88" s="1398" t="inlineStr">
        <is>
          <t>Heavy Gage Press / per crimp</t>
        </is>
      </c>
      <c r="D88" s="1399" t="n">
        <v>8</v>
      </c>
      <c r="E88" s="1399" t="n">
        <v>103</v>
      </c>
      <c r="F88" s="1399" t="n"/>
      <c r="G88" s="1399" t="n"/>
      <c r="H88" s="1400" t="n">
        <v>13.85</v>
      </c>
      <c r="I88" s="1401" t="inlineStr">
        <is>
          <t>LP</t>
        </is>
      </c>
      <c r="J88" s="1402" t="n">
        <v>0</v>
      </c>
      <c r="K88" s="1403">
        <f>+J88*H88</f>
        <v/>
      </c>
      <c r="L88" s="1231" t="n"/>
      <c r="M88" s="1231" t="inlineStr">
        <is>
          <t>Automatic</t>
        </is>
      </c>
      <c r="N88" s="1231" t="n"/>
      <c r="O88" s="1344" t="n"/>
      <c r="P88" s="1343" t="n"/>
      <c r="Q88" s="1404" t="n"/>
      <c r="R88" s="1231" t="n"/>
    </row>
    <row r="89" ht="24.75" customHeight="1" s="1134">
      <c r="A89" s="1232" t="n"/>
      <c r="B89" s="1397" t="inlineStr">
        <is>
          <t>mutiple crimping (&gt;2 wires)</t>
        </is>
      </c>
      <c r="C89" s="1398" t="inlineStr">
        <is>
          <t>Terminal Press / per crimp</t>
        </is>
      </c>
      <c r="D89" s="1399" t="n">
        <v>0.13</v>
      </c>
      <c r="E89" s="1399" t="n">
        <v>7</v>
      </c>
      <c r="F89" s="1399" t="n"/>
      <c r="G89" s="1399" t="n"/>
      <c r="H89" s="1400" t="n">
        <v>10.5</v>
      </c>
      <c r="I89" s="1401" t="inlineStr">
        <is>
          <t>LP</t>
        </is>
      </c>
      <c r="J89" s="1402" t="n">
        <v>0</v>
      </c>
      <c r="K89" s="1403">
        <f>+J89*H89</f>
        <v/>
      </c>
      <c r="L89" s="1231" t="n"/>
      <c r="M89" s="1231" t="inlineStr">
        <is>
          <t>Automatic</t>
        </is>
      </c>
      <c r="N89" s="1231" t="n"/>
      <c r="O89" s="1344" t="n"/>
      <c r="P89" s="1343" t="n"/>
      <c r="Q89" s="1404" t="n"/>
      <c r="R89" s="1231" t="n"/>
    </row>
    <row r="90" ht="24.75" customHeight="1" s="1134">
      <c r="A90" s="1232" t="n"/>
      <c r="B90" s="1397" t="inlineStr">
        <is>
          <t>mutiple crimping (&gt;2 wires)  battery</t>
        </is>
      </c>
      <c r="C90" s="1398" t="inlineStr">
        <is>
          <t>Heavy Gage Press / per crimp</t>
        </is>
      </c>
      <c r="D90" s="1399" t="n">
        <v>8</v>
      </c>
      <c r="E90" s="1399" t="n">
        <v>103</v>
      </c>
      <c r="F90" s="1399" t="n"/>
      <c r="G90" s="1399" t="n"/>
      <c r="H90" s="1400" t="n">
        <v>19.6</v>
      </c>
      <c r="I90" s="1401" t="inlineStr">
        <is>
          <t>LP</t>
        </is>
      </c>
      <c r="J90" s="1402" t="n">
        <v>0</v>
      </c>
      <c r="K90" s="1403">
        <f>+J90*H90</f>
        <v/>
      </c>
      <c r="L90" s="1231" t="n"/>
      <c r="M90" s="1231" t="inlineStr">
        <is>
          <t>Automatic</t>
        </is>
      </c>
      <c r="N90" s="1231" t="n"/>
      <c r="O90" s="1344" t="n"/>
      <c r="P90" s="1343" t="n"/>
      <c r="Q90" s="1404" t="n"/>
      <c r="R90" s="1231" t="n"/>
    </row>
    <row r="91" ht="24.75" customHeight="1" s="1134">
      <c r="A91" s="1232" t="n"/>
      <c r="B91" s="1397" t="inlineStr">
        <is>
          <t>single crimping for barrel terminals</t>
        </is>
      </c>
      <c r="C91" s="1398" t="inlineStr">
        <is>
          <t>Barrel Press / per crimp</t>
        </is>
      </c>
      <c r="D91" s="1399" t="n">
        <v>0.22</v>
      </c>
      <c r="E91" s="1399" t="n">
        <v>8</v>
      </c>
      <c r="F91" s="1399" t="n"/>
      <c r="G91" s="1399" t="n"/>
      <c r="H91" s="1400" t="n">
        <v>9.890000000000001</v>
      </c>
      <c r="I91" s="1401" t="inlineStr">
        <is>
          <t>LP</t>
        </is>
      </c>
      <c r="J91" s="1402" t="n">
        <v>0</v>
      </c>
      <c r="K91" s="1403">
        <f>+J91*H91</f>
        <v/>
      </c>
      <c r="L91" s="1231" t="n"/>
      <c r="M91" s="1231" t="inlineStr">
        <is>
          <t>Manual</t>
        </is>
      </c>
      <c r="N91" s="1231" t="n"/>
      <c r="O91" s="1344" t="n"/>
      <c r="P91" s="1343" t="n"/>
      <c r="Q91" s="1404" t="n"/>
      <c r="R91" s="1231" t="n"/>
    </row>
    <row r="92" ht="57" customHeight="1" s="1134">
      <c r="A92" s="1232" t="n"/>
      <c r="B92" s="1397" t="inlineStr">
        <is>
          <t xml:space="preserve">Crimping loose piece term (1 wire) (BUS CIRC terminal / battery / other) 
NOTE: to be used also for wings closing operation for soldered ground terminal </t>
        </is>
      </c>
      <c r="C92" s="1398" t="inlineStr">
        <is>
          <t>Heavy Gage Press-Loose piece</t>
        </is>
      </c>
      <c r="D92" s="1504" t="n">
        <v>0.3</v>
      </c>
      <c r="E92" s="1399" t="n">
        <v>103</v>
      </c>
      <c r="F92" s="1399" t="n"/>
      <c r="G92" s="1399" t="n"/>
      <c r="H92" s="1400" t="n">
        <v>7.6</v>
      </c>
      <c r="I92" s="1401" t="inlineStr">
        <is>
          <t>LP</t>
        </is>
      </c>
      <c r="J92" s="1402" t="n">
        <v>1</v>
      </c>
      <c r="K92" s="1403">
        <f>+J92*H92</f>
        <v/>
      </c>
      <c r="L92" s="1502" t="n"/>
      <c r="M92" s="1502" t="inlineStr">
        <is>
          <t>Automatic</t>
        </is>
      </c>
      <c r="N92" s="1231" t="n"/>
      <c r="O92" s="1344" t="n"/>
      <c r="P92" s="1343" t="n"/>
      <c r="Q92" s="1404" t="n"/>
      <c r="R92" s="1231" t="n"/>
    </row>
    <row r="93" ht="24.75" customHeight="1" s="1134">
      <c r="A93" s="1232" t="n"/>
      <c r="B93" s="1397" t="inlineStr">
        <is>
          <t>crimping loose piece (2 wires)</t>
        </is>
      </c>
      <c r="C93" s="1233" t="n"/>
      <c r="D93" s="1399" t="n">
        <v>8</v>
      </c>
      <c r="E93" s="1399" t="n">
        <v>103</v>
      </c>
      <c r="F93" s="1399" t="n"/>
      <c r="G93" s="1399" t="n"/>
      <c r="H93" s="1400" t="n">
        <v>9.6</v>
      </c>
      <c r="I93" s="1401" t="inlineStr">
        <is>
          <t>LP</t>
        </is>
      </c>
      <c r="J93" s="1402" t="n">
        <v>0</v>
      </c>
      <c r="K93" s="1403">
        <f>+J93*H93</f>
        <v/>
      </c>
      <c r="L93" s="1231" t="n"/>
      <c r="M93" s="1231" t="inlineStr">
        <is>
          <t>Automatic</t>
        </is>
      </c>
      <c r="N93" s="1231" t="n"/>
      <c r="O93" s="1344" t="n"/>
      <c r="P93" s="1343" t="n"/>
      <c r="Q93" s="1404" t="n"/>
      <c r="R93" s="1231" t="n"/>
    </row>
    <row r="94" ht="24.75" customHeight="1" s="1134">
      <c r="A94" s="1232" t="n"/>
      <c r="B94" s="1397" t="inlineStr">
        <is>
          <t>crimping loose piece (3 wires)</t>
        </is>
      </c>
      <c r="C94" s="1233" t="n"/>
      <c r="D94" s="1399" t="n">
        <v>8</v>
      </c>
      <c r="E94" s="1399" t="n">
        <v>103</v>
      </c>
      <c r="F94" s="1399" t="n"/>
      <c r="G94" s="1399" t="n"/>
      <c r="H94" s="1400" t="n">
        <v>14.51</v>
      </c>
      <c r="I94" s="1401" t="inlineStr">
        <is>
          <t>LP</t>
        </is>
      </c>
      <c r="J94" s="1402" t="n">
        <v>0</v>
      </c>
      <c r="K94" s="1403">
        <f>+J94*H94</f>
        <v/>
      </c>
      <c r="L94" s="1231" t="n"/>
      <c r="M94" s="1231" t="inlineStr">
        <is>
          <t>Automatic</t>
        </is>
      </c>
      <c r="N94" s="1231" t="n"/>
      <c r="O94" s="1344" t="n"/>
      <c r="P94" s="1343" t="n"/>
      <c r="Q94" s="1404" t="n"/>
      <c r="R94" s="1231" t="n"/>
    </row>
    <row r="95" ht="24.75" customHeight="1" s="1134">
      <c r="A95" s="1232" t="n"/>
      <c r="B95" s="1397" t="inlineStr">
        <is>
          <t>crimping loose piece (&gt;3 wires)</t>
        </is>
      </c>
      <c r="C95" s="1406" t="n"/>
      <c r="D95" s="1399" t="n">
        <v>8</v>
      </c>
      <c r="E95" s="1399" t="n">
        <v>103</v>
      </c>
      <c r="F95" s="1399" t="n"/>
      <c r="G95" s="1399" t="n"/>
      <c r="H95" s="1400" t="n">
        <v>16.4</v>
      </c>
      <c r="I95" s="1401" t="inlineStr">
        <is>
          <t>LP</t>
        </is>
      </c>
      <c r="J95" s="1402" t="n">
        <v>0</v>
      </c>
      <c r="K95" s="1403">
        <f>+J95*H95</f>
        <v/>
      </c>
      <c r="L95" s="1231" t="n"/>
      <c r="M95" s="1231" t="inlineStr">
        <is>
          <t>Automatic</t>
        </is>
      </c>
      <c r="N95" s="1231" t="n"/>
      <c r="O95" s="1344" t="n"/>
      <c r="P95" s="1343" t="n"/>
      <c r="Q95" s="1404" t="n"/>
      <c r="R95" s="1231" t="n"/>
    </row>
    <row r="96" ht="69.75" customHeight="1" s="1134">
      <c r="A96" s="1232" t="n"/>
      <c r="B96" s="1397" t="inlineStr">
        <is>
          <t>Crimping additional control for tubular / special applications
USE ALSO FOR SPLICE SAVER GEN 1,5 CONTROL 
NOTE: only when requested by the Customer</t>
        </is>
      </c>
      <c r="C96" s="1397" t="inlineStr">
        <is>
          <t>Magnifier glass</t>
        </is>
      </c>
      <c r="D96" s="1399" t="n">
        <v>0</v>
      </c>
      <c r="E96" s="1399" t="n">
        <v>103</v>
      </c>
      <c r="F96" s="1399" t="n"/>
      <c r="G96" s="1399" t="n"/>
      <c r="H96" s="1400" t="n">
        <v>0.8</v>
      </c>
      <c r="I96" s="1401" t="inlineStr">
        <is>
          <t>LP</t>
        </is>
      </c>
      <c r="J96" s="1402" t="n">
        <v>0</v>
      </c>
      <c r="K96" s="1403">
        <f>+J96*H96</f>
        <v/>
      </c>
      <c r="L96" s="1502" t="n"/>
      <c r="M96" s="1502" t="inlineStr">
        <is>
          <t>Manual</t>
        </is>
      </c>
      <c r="N96" s="1231" t="n"/>
      <c r="O96" s="1344" t="n"/>
      <c r="P96" s="1343" t="n"/>
      <c r="Q96" s="1404" t="n"/>
      <c r="R96" s="1231" t="n"/>
    </row>
    <row r="97" ht="24.75" customHeight="1" s="1134">
      <c r="A97" s="1405" t="n"/>
      <c r="B97" s="1397" t="inlineStr">
        <is>
          <t>Crimp Ferrule (metal ring) on cable/ multiconductor cable</t>
        </is>
      </c>
      <c r="C97" s="1397" t="inlineStr">
        <is>
          <t>Terminal Press / per crimp</t>
        </is>
      </c>
      <c r="D97" s="1399" t="n">
        <v>0.22</v>
      </c>
      <c r="E97" s="1399" t="n">
        <v>103</v>
      </c>
      <c r="F97" s="1399" t="n"/>
      <c r="G97" s="1399" t="n"/>
      <c r="H97" s="1400" t="n">
        <v>30.7</v>
      </c>
      <c r="I97" s="1401" t="inlineStr">
        <is>
          <t>LP</t>
        </is>
      </c>
      <c r="J97" s="1402" t="n">
        <v>0</v>
      </c>
      <c r="K97" s="1403">
        <f>+J97*H97</f>
        <v/>
      </c>
      <c r="L97" s="1231" t="n"/>
      <c r="M97" s="1231" t="inlineStr">
        <is>
          <t>Automatic</t>
        </is>
      </c>
      <c r="N97" s="1231" t="n"/>
      <c r="O97" s="1344" t="n"/>
      <c r="P97" s="1343" t="n"/>
      <c r="Q97" s="1404" t="n"/>
      <c r="R97" s="1231" t="n"/>
    </row>
    <row r="98" ht="39" customHeight="1" s="1134">
      <c r="A98" s="1491" t="inlineStr">
        <is>
          <t>STAMP &amp; CRIMP TERMINAL</t>
        </is>
      </c>
      <c r="B98" s="1397" t="inlineStr">
        <is>
          <t>stamp &amp; crimp terminal (crimping time including removing of insulation)</t>
        </is>
      </c>
      <c r="C98" s="1397" t="inlineStr">
        <is>
          <t>stamp&amp; crimp terminal</t>
        </is>
      </c>
      <c r="D98" s="1399" t="n"/>
      <c r="E98" s="1399" t="n"/>
      <c r="F98" s="1399" t="n"/>
      <c r="G98" s="1399" t="n"/>
      <c r="H98" s="1400" t="n">
        <v>24.49</v>
      </c>
      <c r="I98" s="1401" t="inlineStr">
        <is>
          <t>LP</t>
        </is>
      </c>
      <c r="J98" s="1402" t="n">
        <v>0</v>
      </c>
      <c r="K98" s="1403">
        <f>+J98*H98</f>
        <v/>
      </c>
      <c r="L98" s="1231" t="n"/>
      <c r="M98" s="1231" t="inlineStr">
        <is>
          <t>Manual</t>
        </is>
      </c>
      <c r="N98" s="1231" t="inlineStr">
        <is>
          <t>не учитываю</t>
        </is>
      </c>
      <c r="O98" s="1344" t="n"/>
      <c r="P98" s="1343" t="n"/>
      <c r="Q98" s="1404" t="n"/>
      <c r="R98" s="1231" t="n"/>
    </row>
    <row r="99" ht="33.75" customHeight="1" s="1134">
      <c r="A99" s="1405" t="n"/>
      <c r="B99" s="1397" t="inlineStr">
        <is>
          <t>per wire</t>
        </is>
      </c>
      <c r="C99" s="1397" t="n"/>
      <c r="D99" s="1399" t="n"/>
      <c r="E99" s="1399" t="n"/>
      <c r="F99" s="1399" t="n"/>
      <c r="G99" s="1399" t="n"/>
      <c r="H99" s="1400" t="n">
        <v>2.68</v>
      </c>
      <c r="I99" s="1401" t="inlineStr">
        <is>
          <t>LP</t>
        </is>
      </c>
      <c r="J99" s="1402" t="n">
        <v>0</v>
      </c>
      <c r="K99" s="1403">
        <f>+J99*H99</f>
        <v/>
      </c>
      <c r="L99" s="1231" t="n"/>
      <c r="M99" s="1231" t="inlineStr">
        <is>
          <t>Manual</t>
        </is>
      </c>
      <c r="N99" s="1231" t="inlineStr">
        <is>
          <t>не учитываю</t>
        </is>
      </c>
      <c r="O99" s="1344" t="n"/>
      <c r="P99" s="1343" t="n"/>
      <c r="Q99" s="1404" t="n"/>
      <c r="R99" s="1231" t="n"/>
    </row>
    <row r="100" ht="38.25" customHeight="1" s="1134">
      <c r="A100" s="1421" t="inlineStr">
        <is>
          <t xml:space="preserve">TERMINATE MJE (MANCHON DE JONCTION ETANCHE ) </t>
        </is>
      </c>
      <c r="B100" s="1397" t="inlineStr">
        <is>
          <t xml:space="preserve"> crimping + shrinking on the crimp</t>
        </is>
      </c>
      <c r="C100" s="1397" t="inlineStr">
        <is>
          <t xml:space="preserve">time considered for application (1 application = 2 wires) </t>
        </is>
      </c>
      <c r="D100" s="1399" t="n">
        <v>0</v>
      </c>
      <c r="E100" s="1399" t="n">
        <v>103</v>
      </c>
      <c r="F100" s="1399" t="n"/>
      <c r="G100" s="1399" t="n"/>
      <c r="H100" s="1400" t="n">
        <v>20</v>
      </c>
      <c r="I100" s="1401" t="inlineStr">
        <is>
          <t>LP</t>
        </is>
      </c>
      <c r="J100" s="1402" t="n">
        <v>0</v>
      </c>
      <c r="K100" s="1403">
        <f>+J100*H100</f>
        <v/>
      </c>
      <c r="L100" s="1231" t="n"/>
      <c r="M100" s="1231" t="inlineStr">
        <is>
          <t>Manual</t>
        </is>
      </c>
      <c r="N100" s="1231" t="n"/>
      <c r="O100" s="1344" t="n"/>
      <c r="P100" s="1343" t="n"/>
      <c r="Q100" s="1404" t="n"/>
      <c r="R100" s="1231" t="n"/>
    </row>
    <row r="101" ht="27" customHeight="1" s="1134">
      <c r="A101" s="1396" t="inlineStr">
        <is>
          <t>BEND TERMINAL</t>
        </is>
      </c>
      <c r="B101" s="1397" t="inlineStr">
        <is>
          <t>terminal bending</t>
        </is>
      </c>
      <c r="C101" s="1398" t="inlineStr">
        <is>
          <t>Bent Term Press</t>
        </is>
      </c>
      <c r="D101" s="1399" t="n">
        <v>0.3</v>
      </c>
      <c r="E101" s="1399" t="n">
        <v>6</v>
      </c>
      <c r="F101" s="1399" t="n"/>
      <c r="G101" s="1399" t="n"/>
      <c r="H101" s="1400" t="n">
        <v>3.86</v>
      </c>
      <c r="I101" s="1401" t="inlineStr">
        <is>
          <t>LP</t>
        </is>
      </c>
      <c r="J101" s="1402" t="n">
        <v>0</v>
      </c>
      <c r="K101" s="1403">
        <f>+J101*H101</f>
        <v/>
      </c>
      <c r="L101" s="1231" t="n"/>
      <c r="M101" s="1231" t="inlineStr">
        <is>
          <t>Automatic</t>
        </is>
      </c>
      <c r="N101" s="1231" t="n"/>
      <c r="O101" s="1344" t="n"/>
      <c r="P101" s="1343" t="n"/>
      <c r="Q101" s="1404" t="n"/>
      <c r="R101" s="1231" t="n"/>
    </row>
    <row r="102" ht="27" customHeight="1" s="1134">
      <c r="A102" s="1405" t="n"/>
      <c r="B102" s="1406" t="n"/>
      <c r="C102" s="1406" t="n"/>
      <c r="D102" s="1399" t="n">
        <v>6</v>
      </c>
      <c r="E102" s="1399" t="n">
        <v>103</v>
      </c>
      <c r="F102" s="1399" t="n"/>
      <c r="G102" s="1399" t="n"/>
      <c r="H102" s="1400" t="n">
        <v>4.44</v>
      </c>
      <c r="I102" s="1401" t="inlineStr">
        <is>
          <t>LP</t>
        </is>
      </c>
      <c r="J102" s="1402" t="n">
        <v>0</v>
      </c>
      <c r="K102" s="1403">
        <f>+J102*H102</f>
        <v/>
      </c>
      <c r="L102" s="1231" t="n"/>
      <c r="M102" s="1231" t="inlineStr">
        <is>
          <t>Automatic</t>
        </is>
      </c>
      <c r="N102" s="1231" t="n"/>
      <c r="O102" s="1344" t="n"/>
      <c r="P102" s="1343" t="n"/>
      <c r="Q102" s="1404" t="n"/>
      <c r="R102" s="1231" t="n"/>
    </row>
    <row r="103" ht="27" customHeight="1" s="1134">
      <c r="A103" s="1505" t="inlineStr">
        <is>
          <t>BEND BATTERY CABLE</t>
        </is>
      </c>
      <c r="B103" s="1397" t="inlineStr">
        <is>
          <t>Cable should be bent to fit on the fuse block</t>
        </is>
      </c>
      <c r="C103" s="1506" t="n"/>
      <c r="D103" s="1399" t="n">
        <v>7</v>
      </c>
      <c r="E103" s="1399" t="n">
        <v>103</v>
      </c>
      <c r="F103" s="1399" t="n"/>
      <c r="G103" s="1399" t="n"/>
      <c r="H103" s="1400" t="n">
        <v>11.74</v>
      </c>
      <c r="I103" s="1401" t="inlineStr">
        <is>
          <t>LP</t>
        </is>
      </c>
      <c r="J103" s="1402" t="n">
        <v>0</v>
      </c>
      <c r="K103" s="1403">
        <f>+J103*H103</f>
        <v/>
      </c>
      <c r="L103" s="1231" t="n"/>
      <c r="M103" s="1231" t="inlineStr">
        <is>
          <t>Manual</t>
        </is>
      </c>
      <c r="N103" s="1231" t="n"/>
      <c r="O103" s="1344" t="n"/>
      <c r="P103" s="1343" t="n"/>
      <c r="Q103" s="1404" t="n"/>
      <c r="R103" s="1231" t="n"/>
    </row>
    <row r="104" ht="27" customHeight="1" s="1134">
      <c r="A104" s="1396" t="inlineStr">
        <is>
          <t>CUT TERMINAL</t>
        </is>
      </c>
      <c r="B104" s="1397" t="inlineStr">
        <is>
          <t>Terminal Cutting</t>
        </is>
      </c>
      <c r="C104" s="1397" t="inlineStr">
        <is>
          <t>Terminal Cutter</t>
        </is>
      </c>
      <c r="D104" s="1399" t="n"/>
      <c r="E104" s="1399" t="n"/>
      <c r="F104" s="1399" t="n"/>
      <c r="G104" s="1399" t="n"/>
      <c r="H104" s="1400" t="n">
        <v>0.91</v>
      </c>
      <c r="I104" s="1401" t="inlineStr">
        <is>
          <t>LP</t>
        </is>
      </c>
      <c r="J104" s="1402" t="n">
        <v>0</v>
      </c>
      <c r="K104" s="1403">
        <f>+J104*H104</f>
        <v/>
      </c>
      <c r="L104" s="1231" t="n"/>
      <c r="M104" s="1231" t="inlineStr">
        <is>
          <t>Manual</t>
        </is>
      </c>
      <c r="N104" s="1231" t="inlineStr">
        <is>
          <t>не учитываю</t>
        </is>
      </c>
      <c r="O104" s="1344" t="n"/>
      <c r="P104" s="1343" t="n"/>
      <c r="Q104" s="1404" t="n"/>
      <c r="R104" s="1231" t="n"/>
    </row>
    <row r="105" ht="50.25" customHeight="1" s="1134">
      <c r="A105" s="1421" t="inlineStr">
        <is>
          <t>Strip, apply Seal &amp; Crimp in multiconductor</t>
        </is>
      </c>
      <c r="B105" s="1397" t="inlineStr">
        <is>
          <t>Strip, apply seal and Crimping are all performed in same machine (stripper-sealer-crimper)</t>
        </is>
      </c>
      <c r="C105" s="1398" t="inlineStr">
        <is>
          <t>Stripper-sealer-crimper / per crimp</t>
        </is>
      </c>
      <c r="D105" s="1399" t="n">
        <v>0.22</v>
      </c>
      <c r="E105" s="1399" t="n">
        <v>6</v>
      </c>
      <c r="F105" s="1399" t="n"/>
      <c r="G105" s="1399" t="n"/>
      <c r="H105" s="1400" t="n">
        <v>4.49</v>
      </c>
      <c r="I105" s="1401" t="inlineStr">
        <is>
          <t>LP</t>
        </is>
      </c>
      <c r="J105" s="1402" t="n">
        <v>0</v>
      </c>
      <c r="K105" s="1403">
        <f>+J105*H105</f>
        <v/>
      </c>
      <c r="L105" s="1502" t="n"/>
      <c r="M105" s="1502" t="inlineStr">
        <is>
          <t>Manual</t>
        </is>
      </c>
      <c r="N105" s="1231" t="n"/>
      <c r="O105" s="1344" t="n"/>
      <c r="P105" s="1343" t="n"/>
      <c r="Q105" s="1404" t="n"/>
      <c r="R105" s="1231" t="n"/>
    </row>
    <row r="106" ht="51" customHeight="1" s="1134">
      <c r="A106" s="1421" t="inlineStr">
        <is>
          <t>Strip, apply Seal &amp; Crimp  single wires (including FLEX RAY, ETHERNET)</t>
        </is>
      </c>
      <c r="B106" s="1415" t="inlineStr">
        <is>
          <t xml:space="preserve">Strip, apply seal and Crimping are all performed in same machine (stripper-sealer-crimper).  It applies also for wires from Oxigen sensor </t>
        </is>
      </c>
      <c r="C106" s="1415" t="inlineStr">
        <is>
          <t>seal and term press
 BT752/ Artos SSC501</t>
        </is>
      </c>
      <c r="D106" s="1317" t="n">
        <v>0.22</v>
      </c>
      <c r="E106" s="1317" t="n">
        <v>6</v>
      </c>
      <c r="F106" s="1317" t="n"/>
      <c r="G106" s="1317" t="n"/>
      <c r="H106" s="1420" t="n">
        <v>3.6</v>
      </c>
      <c r="I106" s="1438" t="inlineStr">
        <is>
          <t>LP</t>
        </is>
      </c>
      <c r="J106" s="1439" t="n">
        <v>0</v>
      </c>
      <c r="K106" s="1440">
        <f>+J106*H106</f>
        <v/>
      </c>
      <c r="L106" s="1502" t="n"/>
      <c r="M106" s="1502" t="inlineStr">
        <is>
          <t>Manual</t>
        </is>
      </c>
      <c r="N106" s="1231" t="n"/>
      <c r="O106" s="1344" t="n"/>
      <c r="P106" s="1343" t="n"/>
      <c r="Q106" s="1404" t="n"/>
      <c r="R106" s="1231" t="n"/>
    </row>
    <row r="107" ht="18.75" customHeight="1" s="1134">
      <c r="A107" s="1396" t="n"/>
      <c r="B107" s="1397" t="n"/>
      <c r="C107" s="1397" t="n"/>
      <c r="D107" s="1399" t="n"/>
      <c r="E107" s="1399" t="n"/>
      <c r="F107" s="1399" t="n"/>
      <c r="G107" s="1399" t="n"/>
      <c r="H107" s="1486" t="n"/>
      <c r="I107" s="1401" t="n"/>
      <c r="J107" s="1402" t="n">
        <v>0</v>
      </c>
      <c r="K107" s="1440">
        <f>+J107*H107</f>
        <v/>
      </c>
      <c r="L107" s="1132" t="n"/>
      <c r="M107" s="1132" t="n"/>
      <c r="N107" s="1231" t="n"/>
      <c r="O107" s="1344" t="n"/>
      <c r="P107" s="1343" t="n"/>
      <c r="Q107" s="1404" t="n"/>
      <c r="R107" s="1231" t="n"/>
    </row>
    <row r="108" ht="21" customHeight="1" s="1134">
      <c r="A108" s="1396" t="n"/>
      <c r="B108" s="1397" t="n"/>
      <c r="C108" s="1397" t="n"/>
      <c r="D108" s="1399" t="n"/>
      <c r="E108" s="1399" t="n"/>
      <c r="F108" s="1399" t="n"/>
      <c r="G108" s="1399" t="n"/>
      <c r="H108" s="1486" t="n"/>
      <c r="I108" s="1401" t="n"/>
      <c r="J108" s="1402" t="n">
        <v>0</v>
      </c>
      <c r="K108" s="1440">
        <f>+J108*H108</f>
        <v/>
      </c>
      <c r="L108" s="1132" t="n"/>
      <c r="M108" s="1132" t="n"/>
      <c r="N108" s="1231" t="n"/>
      <c r="O108" s="1344" t="n"/>
      <c r="P108" s="1343" t="n"/>
      <c r="Q108" s="1404" t="n"/>
      <c r="R108" s="1231" t="n"/>
    </row>
    <row r="109" ht="20.25" customHeight="1" s="1134">
      <c r="A109" s="1507" t="n"/>
      <c r="B109" s="1508" t="n"/>
      <c r="C109" s="1508" t="n"/>
      <c r="D109" s="1490" t="n"/>
      <c r="E109" s="1490" t="n"/>
      <c r="F109" s="1490" t="n"/>
      <c r="G109" s="1490" t="n"/>
      <c r="H109" s="1509" t="n"/>
      <c r="I109" s="1468" t="n"/>
      <c r="J109" s="1469" t="n">
        <v>0</v>
      </c>
      <c r="K109" s="1477" t="n"/>
      <c r="L109" s="1132" t="n"/>
      <c r="M109" s="1132" t="n"/>
      <c r="N109" s="1231" t="n"/>
      <c r="O109" s="1344" t="n"/>
      <c r="P109" s="1343" t="n"/>
      <c r="Q109" s="1404" t="n"/>
      <c r="R109" s="1231" t="n"/>
    </row>
    <row r="110" ht="53.25" customFormat="1" customHeight="1" s="1391">
      <c r="A110" s="1216" t="inlineStr">
        <is>
          <t>PULL TO SEAT</t>
        </is>
      </c>
      <c r="B110" s="1217" t="inlineStr">
        <is>
          <t>COMMENTS</t>
        </is>
      </c>
      <c r="C110" s="1217" t="inlineStr">
        <is>
          <t>Machine Vendor</t>
        </is>
      </c>
      <c r="D110" s="1217" t="inlineStr">
        <is>
          <t>Min Gage</t>
        </is>
      </c>
      <c r="E110" s="1217" t="inlineStr">
        <is>
          <t>Max Gage</t>
        </is>
      </c>
      <c r="F110" s="1217" t="inlineStr">
        <is>
          <t>Min Length</t>
        </is>
      </c>
      <c r="G110" s="1217" t="inlineStr">
        <is>
          <t>Max Length</t>
        </is>
      </c>
      <c r="H110" s="1392" t="inlineStr">
        <is>
          <t>Global Sec/ Pc</t>
        </is>
      </c>
      <c r="I110" s="1479" t="inlineStr">
        <is>
          <t>Location
LP/FA</t>
        </is>
      </c>
      <c r="J110" s="1432" t="n">
        <v>0</v>
      </c>
      <c r="K110" s="1393" t="inlineStr">
        <is>
          <t>Total</t>
        </is>
      </c>
      <c r="N110" s="1231" t="n"/>
      <c r="O110" s="1344" t="n"/>
      <c r="P110" s="1343" t="n"/>
      <c r="Q110" s="1404" t="n"/>
      <c r="R110" s="1231" t="n"/>
    </row>
    <row r="111" ht="60" customHeight="1" s="1134">
      <c r="A111" s="1510" t="inlineStr">
        <is>
          <t>PULL TO SEAT</t>
        </is>
      </c>
      <c r="B111" s="1397" t="inlineStr">
        <is>
          <t>Pull-to-seat connectors - unsealed / per wire
To be used also for oxygen sensor:  Pass cable through black seal</t>
        </is>
      </c>
      <c r="C111" s="1397" t="inlineStr">
        <is>
          <t>Includes pass wire through connector cavity and seat terminal. For crimping operation use proper standard from "terminate" section</t>
        </is>
      </c>
      <c r="D111" s="1399" t="n">
        <v>0.22</v>
      </c>
      <c r="E111" s="1399" t="n">
        <v>5</v>
      </c>
      <c r="F111" s="1399" t="n">
        <v>0</v>
      </c>
      <c r="G111" s="1399" t="n">
        <v>99999</v>
      </c>
      <c r="H111" s="1400" t="n">
        <v>8.6</v>
      </c>
      <c r="I111" s="1401" t="inlineStr">
        <is>
          <t>LP</t>
        </is>
      </c>
      <c r="J111" s="1402" t="n">
        <v>0</v>
      </c>
      <c r="K111" s="1403">
        <f>+J111*H111</f>
        <v/>
      </c>
      <c r="M111" s="1132" t="inlineStr">
        <is>
          <t>Manual</t>
        </is>
      </c>
      <c r="N111" s="1231" t="n"/>
      <c r="O111" s="1344" t="n"/>
      <c r="P111" s="1343" t="n"/>
      <c r="Q111" s="1404" t="n"/>
      <c r="R111" s="1231" t="n"/>
    </row>
    <row r="112" ht="75.75" customHeight="1" s="1134">
      <c r="A112" s="1405" t="n"/>
      <c r="B112" s="1397" t="inlineStr">
        <is>
          <t xml:space="preserve">Pull-to-seat connectors - sealed / per wire
To be used also for oxygen sensor: Insert cable into the ceramic connector </t>
        </is>
      </c>
      <c r="C112" s="1406" t="n"/>
      <c r="D112" s="1399" t="n">
        <v>0.22</v>
      </c>
      <c r="E112" s="1399" t="n">
        <v>5</v>
      </c>
      <c r="F112" s="1399" t="n">
        <v>0</v>
      </c>
      <c r="G112" s="1399" t="n">
        <v>99999</v>
      </c>
      <c r="H112" s="1400" t="n">
        <v>13.5</v>
      </c>
      <c r="I112" s="1401" t="inlineStr">
        <is>
          <t>LP</t>
        </is>
      </c>
      <c r="J112" s="1402" t="n">
        <v>0</v>
      </c>
      <c r="K112" s="1403">
        <f>+J112*H112</f>
        <v/>
      </c>
      <c r="M112" s="1132" t="inlineStr">
        <is>
          <t>Manual</t>
        </is>
      </c>
      <c r="N112" s="1231" t="n"/>
      <c r="O112" s="1344" t="n"/>
      <c r="P112" s="1343" t="n"/>
      <c r="Q112" s="1404" t="n"/>
      <c r="R112" s="1231" t="n"/>
    </row>
    <row r="113" ht="53.25" customFormat="1" customHeight="1" s="1391">
      <c r="A113" s="1216" t="inlineStr">
        <is>
          <t>IDC</t>
        </is>
      </c>
      <c r="B113" s="1217" t="inlineStr">
        <is>
          <t>COMMENTS</t>
        </is>
      </c>
      <c r="C113" s="1217" t="inlineStr">
        <is>
          <t>Machine Vendor</t>
        </is>
      </c>
      <c r="D113" s="1217" t="inlineStr">
        <is>
          <t xml:space="preserve"> Special Component</t>
        </is>
      </c>
      <c r="E113" s="1217" t="n"/>
      <c r="F113" s="1217" t="n"/>
      <c r="G113" s="1217" t="n"/>
      <c r="H113" s="1392" t="inlineStr">
        <is>
          <t>Global Sec/ Pc</t>
        </is>
      </c>
      <c r="I113" s="1479" t="inlineStr">
        <is>
          <t>Location
LP/FA</t>
        </is>
      </c>
      <c r="J113" s="1432" t="n">
        <v>0</v>
      </c>
      <c r="K113" s="1393" t="inlineStr">
        <is>
          <t>Total</t>
        </is>
      </c>
      <c r="N113" s="1231" t="n"/>
      <c r="O113" s="1344" t="n"/>
      <c r="P113" s="1343" t="n"/>
      <c r="Q113" s="1404" t="n"/>
      <c r="R113" s="1231" t="n"/>
    </row>
    <row r="114" ht="22.5" customHeight="1" s="1134">
      <c r="A114" s="1396" t="inlineStr">
        <is>
          <t>IDC CRIMPING</t>
        </is>
      </c>
      <c r="B114" s="1499" t="inlineStr">
        <is>
          <t>STS / IDC Crimping per wire</t>
        </is>
      </c>
      <c r="C114" s="1499" t="inlineStr">
        <is>
          <t>IDC Crimper</t>
        </is>
      </c>
      <c r="D114" s="1399" t="n"/>
      <c r="E114" s="1399" t="n"/>
      <c r="F114" s="1399" t="n"/>
      <c r="G114" s="1399" t="n"/>
      <c r="H114" s="1400" t="n">
        <v>2.94</v>
      </c>
      <c r="I114" s="1401" t="inlineStr">
        <is>
          <t>LP</t>
        </is>
      </c>
      <c r="J114" s="1402" t="n">
        <v>0</v>
      </c>
      <c r="K114" s="1403">
        <f>+J114*H114</f>
        <v/>
      </c>
      <c r="L114" s="1231" t="n"/>
      <c r="M114" s="1231" t="inlineStr">
        <is>
          <t>Automatic</t>
        </is>
      </c>
      <c r="N114" s="1231" t="inlineStr">
        <is>
          <t>не учитываю</t>
        </is>
      </c>
      <c r="P114" s="1343" t="n"/>
      <c r="Q114" s="1404" t="n"/>
      <c r="R114" s="1231" t="n"/>
    </row>
    <row r="115" ht="22.5" customHeight="1" s="1134">
      <c r="A115" s="1405" t="n"/>
      <c r="B115" s="1511" t="inlineStr">
        <is>
          <t>STS / IDC Crimping per connector</t>
        </is>
      </c>
      <c r="C115" s="1499" t="inlineStr">
        <is>
          <t>STS / IDC Crimping per conn</t>
        </is>
      </c>
      <c r="D115" s="1399" t="n"/>
      <c r="E115" s="1399" t="n"/>
      <c r="F115" s="1399" t="n"/>
      <c r="G115" s="1399" t="n"/>
      <c r="H115" s="1400" t="n">
        <v>17.25</v>
      </c>
      <c r="I115" s="1401" t="inlineStr">
        <is>
          <t>LP</t>
        </is>
      </c>
      <c r="J115" s="1402" t="n">
        <v>0</v>
      </c>
      <c r="K115" s="1403">
        <f>+J115*H115</f>
        <v/>
      </c>
      <c r="L115" s="1231" t="n"/>
      <c r="M115" s="1231" t="inlineStr">
        <is>
          <t>Automatic</t>
        </is>
      </c>
      <c r="N115" s="1231" t="inlineStr">
        <is>
          <t>не учитываю</t>
        </is>
      </c>
      <c r="P115" s="1343" t="n"/>
      <c r="Q115" s="1404" t="n"/>
      <c r="R115" s="1231" t="n"/>
    </row>
    <row r="116" ht="22.5" customHeight="1" s="1134">
      <c r="A116" s="1498" t="inlineStr">
        <is>
          <t xml:space="preserve">SPLICE-IDC  </t>
        </is>
      </c>
      <c r="B116" s="1499" t="inlineStr">
        <is>
          <t>Splice-IDC</t>
        </is>
      </c>
      <c r="C116" s="1511" t="inlineStr">
        <is>
          <t>Splice-IDC Applicator</t>
        </is>
      </c>
      <c r="D116" s="1399" t="n">
        <v>12110145</v>
      </c>
      <c r="E116" s="1399" t="n"/>
      <c r="F116" s="1399" t="n"/>
      <c r="G116" s="1399" t="n"/>
      <c r="H116" s="1400" t="n">
        <v>18.11</v>
      </c>
      <c r="I116" s="1401" t="inlineStr">
        <is>
          <t>LP</t>
        </is>
      </c>
      <c r="J116" s="1402" t="n">
        <v>0</v>
      </c>
      <c r="K116" s="1403">
        <f>+J116*H116</f>
        <v/>
      </c>
      <c r="L116" s="1231" t="n"/>
      <c r="M116" s="1231" t="inlineStr">
        <is>
          <t>Automatic</t>
        </is>
      </c>
      <c r="N116" s="1231" t="n"/>
      <c r="P116" s="1343" t="n"/>
      <c r="Q116" s="1404" t="n"/>
      <c r="R116" s="1231" t="n"/>
    </row>
    <row r="117" ht="22.5" customHeight="1" s="1134">
      <c r="A117" s="1425" t="n"/>
      <c r="B117" s="1426" t="n"/>
      <c r="C117" s="1238" t="n"/>
      <c r="D117" s="1319" t="n"/>
      <c r="E117" s="1319" t="n"/>
      <c r="F117" s="1319" t="n"/>
      <c r="G117" s="1319" t="n"/>
      <c r="H117" s="1512" t="n"/>
      <c r="I117" s="1463" t="n"/>
      <c r="J117" s="1429" t="n">
        <v>0</v>
      </c>
      <c r="K117" s="1430" t="n"/>
      <c r="L117" s="1231" t="n"/>
      <c r="M117" s="1231" t="n"/>
      <c r="N117" s="1231" t="n"/>
      <c r="O117" s="1344" t="n"/>
      <c r="P117" s="1343" t="n"/>
      <c r="Q117" s="1404" t="n"/>
      <c r="R117" s="1231" t="n"/>
    </row>
    <row r="118" ht="53.25" customFormat="1" customHeight="1" s="1391">
      <c r="A118" s="1216" t="inlineStr">
        <is>
          <t>SLEEVE OVER TERM</t>
        </is>
      </c>
      <c r="B118" s="1217" t="inlineStr">
        <is>
          <t>COMMENTS</t>
        </is>
      </c>
      <c r="C118" s="1217" t="inlineStr">
        <is>
          <t>Machine Vendor</t>
        </is>
      </c>
      <c r="D118" s="1217" t="n"/>
      <c r="E118" s="1217" t="n"/>
      <c r="F118" s="1217" t="n"/>
      <c r="G118" s="1217" t="n"/>
      <c r="H118" s="1392" t="inlineStr">
        <is>
          <t>Global Sec/ Pc</t>
        </is>
      </c>
      <c r="I118" s="1479" t="inlineStr">
        <is>
          <t>Location
LP/FA</t>
        </is>
      </c>
      <c r="J118" s="1432" t="n">
        <v>0</v>
      </c>
      <c r="K118" s="1393" t="inlineStr">
        <is>
          <t>Total</t>
        </is>
      </c>
      <c r="N118" s="1231" t="n"/>
      <c r="O118" s="1344" t="n"/>
      <c r="P118" s="1343" t="n"/>
      <c r="Q118" s="1404" t="n"/>
      <c r="R118" s="1231" t="n"/>
    </row>
    <row r="119" ht="22.5" customHeight="1" s="1134">
      <c r="A119" s="1483" t="inlineStr">
        <is>
          <t>SLEEVE OVER TERM</t>
        </is>
      </c>
      <c r="B119" s="1397" t="inlineStr">
        <is>
          <t>Apply Boots &amp; sleeves over term</t>
        </is>
      </c>
      <c r="C119" s="1513" t="inlineStr">
        <is>
          <t>Grommet Spreader (2 bill)</t>
        </is>
      </c>
      <c r="D119" s="1399" t="n"/>
      <c r="E119" s="1399" t="n"/>
      <c r="F119" s="1399" t="n"/>
      <c r="G119" s="1399" t="n"/>
      <c r="H119" s="1400" t="n">
        <v>6</v>
      </c>
      <c r="I119" s="1401" t="inlineStr">
        <is>
          <t>LP</t>
        </is>
      </c>
      <c r="J119" s="1402" t="n">
        <v>0</v>
      </c>
      <c r="K119" s="1403">
        <f>+J119*H119</f>
        <v/>
      </c>
      <c r="L119" s="1231" t="n"/>
      <c r="M119" s="1231" t="inlineStr">
        <is>
          <t>Autmatic</t>
        </is>
      </c>
      <c r="N119" s="1231" t="inlineStr">
        <is>
          <t>не учитываю</t>
        </is>
      </c>
      <c r="O119" s="1344" t="n"/>
      <c r="P119" s="1343" t="n"/>
      <c r="Q119" s="1404" t="n"/>
      <c r="R119" s="1231" t="n"/>
    </row>
    <row r="120" ht="22.5" customHeight="1" s="1134">
      <c r="A120" s="1405" t="n"/>
      <c r="B120" s="1397" t="inlineStr">
        <is>
          <t xml:space="preserve"> Apply tube over the Ferrites that are covering part of a lead</t>
        </is>
      </c>
      <c r="C120" s="1513" t="inlineStr">
        <is>
          <t>sleeve over ferrites Station</t>
        </is>
      </c>
      <c r="D120" s="1399" t="n"/>
      <c r="E120" s="1399" t="n"/>
      <c r="F120" s="1399" t="n"/>
      <c r="G120" s="1399" t="n"/>
      <c r="H120" s="1400" t="n">
        <v>3.89</v>
      </c>
      <c r="I120" s="1401" t="inlineStr">
        <is>
          <t>LP</t>
        </is>
      </c>
      <c r="J120" s="1402" t="n">
        <v>0</v>
      </c>
      <c r="K120" s="1403">
        <f>+J120*H120</f>
        <v/>
      </c>
      <c r="L120" s="1231" t="n"/>
      <c r="M120" s="1231" t="inlineStr">
        <is>
          <t>Manual</t>
        </is>
      </c>
      <c r="N120" s="1231" t="inlineStr">
        <is>
          <t>не учитываю</t>
        </is>
      </c>
      <c r="O120" s="1344" t="n"/>
      <c r="P120" s="1343" t="n"/>
      <c r="Q120" s="1404" t="n"/>
      <c r="R120" s="1231" t="n"/>
    </row>
    <row r="121" ht="12.75" customHeight="1" s="1134">
      <c r="A121" s="1425" t="n"/>
      <c r="B121" s="1426" t="n"/>
      <c r="C121" s="1319" t="n"/>
      <c r="D121" s="1319" t="n"/>
      <c r="E121" s="1319" t="n"/>
      <c r="F121" s="1319" t="n"/>
      <c r="G121" s="1319" t="n"/>
      <c r="H121" s="1319" t="n"/>
      <c r="I121" s="1463" t="n"/>
      <c r="J121" s="1429" t="n">
        <v>0</v>
      </c>
      <c r="K121" s="1430" t="n"/>
      <c r="N121" s="1231" t="n"/>
      <c r="O121" s="1344" t="n"/>
      <c r="P121" s="1343" t="n"/>
      <c r="Q121" s="1404" t="n"/>
      <c r="R121" s="1231" t="n"/>
    </row>
    <row r="122" ht="53.25" customFormat="1" customHeight="1" s="1391">
      <c r="A122" s="1216" t="inlineStr">
        <is>
          <t>SONIC GROUND TERMINAL</t>
        </is>
      </c>
      <c r="B122" s="1217" t="inlineStr">
        <is>
          <t>COMMENTS</t>
        </is>
      </c>
      <c r="C122" s="1217" t="inlineStr">
        <is>
          <t>Machine Vendor</t>
        </is>
      </c>
      <c r="D122" s="1217" t="n"/>
      <c r="E122" s="1217" t="n"/>
      <c r="F122" s="1217" t="n"/>
      <c r="G122" s="1217" t="n"/>
      <c r="H122" s="1392" t="inlineStr">
        <is>
          <t>Global Sec/ Pc</t>
        </is>
      </c>
      <c r="I122" s="1479" t="inlineStr">
        <is>
          <t>Location
LP/FA</t>
        </is>
      </c>
      <c r="J122" s="1432" t="n">
        <v>0</v>
      </c>
      <c r="K122" s="1393" t="inlineStr">
        <is>
          <t>Total</t>
        </is>
      </c>
      <c r="N122" s="1231" t="n"/>
      <c r="O122" s="1344" t="n"/>
      <c r="P122" s="1343" t="n"/>
      <c r="Q122" s="1404" t="n"/>
      <c r="R122" s="1231" t="n"/>
    </row>
    <row r="123" ht="22.5" customHeight="1" s="1134">
      <c r="A123" s="1396" t="inlineStr">
        <is>
          <t>SONIC RING PREP</t>
        </is>
      </c>
      <c r="B123" s="1397" t="inlineStr">
        <is>
          <t>preparation of ground terminal with ultrasonic welding</t>
        </is>
      </c>
      <c r="C123" s="1398" t="inlineStr">
        <is>
          <t>Sonic Ring Preparation</t>
        </is>
      </c>
      <c r="D123" s="1399" t="inlineStr">
        <is>
          <t>per  wire</t>
        </is>
      </c>
      <c r="E123" s="1399" t="n"/>
      <c r="F123" s="1399" t="n"/>
      <c r="G123" s="1399" t="n"/>
      <c r="H123" s="1400" t="n">
        <v>5.0533</v>
      </c>
      <c r="I123" s="1401" t="inlineStr">
        <is>
          <t>LP</t>
        </is>
      </c>
      <c r="J123" s="1402" t="n">
        <v>0</v>
      </c>
      <c r="K123" s="1403">
        <f>+J123*H123</f>
        <v/>
      </c>
      <c r="M123" s="1412" t="inlineStr">
        <is>
          <t>R2*</t>
        </is>
      </c>
      <c r="N123" s="1231" t="n"/>
      <c r="O123" s="1344" t="n"/>
      <c r="P123" s="1407" t="n"/>
      <c r="Q123" s="1344" t="n"/>
      <c r="R123" s="1231" t="n"/>
    </row>
    <row r="124" ht="22.5" customFormat="1" customHeight="1" s="1132">
      <c r="A124" s="1498" t="inlineStr">
        <is>
          <t>SONIC TERM WELDER</t>
        </is>
      </c>
      <c r="B124" s="1397" t="inlineStr">
        <is>
          <t>ground terminal is ultrasonic welded</t>
        </is>
      </c>
      <c r="C124" s="1397" t="inlineStr">
        <is>
          <t>sonic term welder</t>
        </is>
      </c>
      <c r="D124" s="1399" t="inlineStr">
        <is>
          <t>process time</t>
        </is>
      </c>
      <c r="E124" s="1399" t="n"/>
      <c r="F124" s="1399" t="n"/>
      <c r="G124" s="1399" t="n"/>
      <c r="H124" s="1400" t="n">
        <v>11.24</v>
      </c>
      <c r="I124" s="1401" t="inlineStr">
        <is>
          <t>LP</t>
        </is>
      </c>
      <c r="J124" s="1402" t="n">
        <v>0</v>
      </c>
      <c r="K124" s="1403">
        <f>+J124*H124</f>
        <v/>
      </c>
      <c r="M124" s="1412" t="inlineStr">
        <is>
          <t>R2*</t>
        </is>
      </c>
      <c r="N124" s="1231" t="n"/>
      <c r="O124" s="1344" t="n"/>
      <c r="P124" s="1343" t="n"/>
      <c r="Q124" s="1404" t="n"/>
      <c r="R124" s="1231" t="n"/>
    </row>
    <row r="125" ht="21.75" customFormat="1" customHeight="1" s="1132">
      <c r="A125" s="1500" t="n"/>
      <c r="B125" s="1415" t="n"/>
      <c r="C125" s="1415" t="n"/>
      <c r="D125" s="1317" t="n"/>
      <c r="E125" s="1317" t="n"/>
      <c r="F125" s="1317" t="n"/>
      <c r="G125" s="1317" t="n"/>
      <c r="H125" s="1424" t="n"/>
      <c r="I125" s="1438" t="n"/>
      <c r="J125" s="1439" t="n">
        <v>0</v>
      </c>
      <c r="K125" s="1440" t="n"/>
      <c r="N125" s="1231" t="n"/>
      <c r="O125" s="1132" t="n"/>
      <c r="P125" s="1343" t="n"/>
      <c r="Q125" s="1404" t="n"/>
      <c r="R125" s="1231" t="n"/>
    </row>
    <row r="126" ht="12.75" customHeight="1" s="1134">
      <c r="A126" s="1425" t="n"/>
      <c r="B126" s="1426" t="n"/>
      <c r="C126" s="1319" t="n"/>
      <c r="D126" s="1319" t="n"/>
      <c r="E126" s="1319" t="n"/>
      <c r="F126" s="1319" t="n"/>
      <c r="G126" s="1319" t="n"/>
      <c r="H126" s="1319" t="n"/>
      <c r="I126" s="1463" t="n"/>
      <c r="J126" s="1429" t="n">
        <v>0</v>
      </c>
      <c r="K126" s="1430" t="n"/>
      <c r="N126" s="1231" t="n"/>
      <c r="P126" s="1343" t="n"/>
      <c r="Q126" s="1404" t="n"/>
      <c r="R126" s="1231" t="n"/>
    </row>
    <row r="127" ht="53.25" customFormat="1" customHeight="1" s="1391">
      <c r="A127" s="1216" t="inlineStr">
        <is>
          <t>MULTICONDUCTOR</t>
        </is>
      </c>
      <c r="B127" s="1217" t="inlineStr">
        <is>
          <t>COMMENTS</t>
        </is>
      </c>
      <c r="C127" s="1217" t="inlineStr">
        <is>
          <t>Machine Vendor</t>
        </is>
      </c>
      <c r="D127" s="1217" t="inlineStr">
        <is>
          <t>Min Length</t>
        </is>
      </c>
      <c r="E127" s="1217" t="inlineStr">
        <is>
          <t>Max Length</t>
        </is>
      </c>
      <c r="F127" s="1217" t="n"/>
      <c r="G127" s="1217" t="n"/>
      <c r="H127" s="1392" t="inlineStr">
        <is>
          <t>Global Sec/ Pc</t>
        </is>
      </c>
      <c r="I127" s="1479" t="inlineStr">
        <is>
          <t>Location
LP/FA</t>
        </is>
      </c>
      <c r="J127" s="1432" t="n">
        <v>0</v>
      </c>
      <c r="K127" s="1393" t="inlineStr">
        <is>
          <t>Total</t>
        </is>
      </c>
      <c r="N127" s="1231" t="n"/>
      <c r="O127" s="1344" t="n"/>
      <c r="P127" s="1343" t="n"/>
      <c r="Q127" s="1404" t="n"/>
      <c r="R127" s="1231" t="n"/>
    </row>
    <row r="128" ht="22.5" customHeight="1" s="1134">
      <c r="A128" s="1396" t="inlineStr">
        <is>
          <t>STRIP JACKET</t>
        </is>
      </c>
      <c r="B128" s="1397" t="inlineStr">
        <is>
          <t>multiconductor jacket</t>
        </is>
      </c>
      <c r="C128" s="1514" t="inlineStr">
        <is>
          <t>Jacket Stripper</t>
        </is>
      </c>
      <c r="D128" s="1399" t="n">
        <v>0</v>
      </c>
      <c r="E128" s="1399" t="n">
        <v>80</v>
      </c>
      <c r="F128" s="1399" t="n"/>
      <c r="G128" s="1399" t="n"/>
      <c r="H128" s="1400" t="n">
        <v>5.3</v>
      </c>
      <c r="I128" s="1401" t="inlineStr">
        <is>
          <t>LP</t>
        </is>
      </c>
      <c r="J128" s="1402" t="n">
        <v>0</v>
      </c>
      <c r="K128" s="1403">
        <f>+J128*H128</f>
        <v/>
      </c>
      <c r="L128" s="1231" t="n"/>
      <c r="M128" s="1231" t="inlineStr">
        <is>
          <t>Semi-automatic</t>
        </is>
      </c>
      <c r="N128" s="1231" t="n"/>
      <c r="O128" s="1344" t="n"/>
      <c r="P128" s="1407" t="n"/>
      <c r="Q128" s="1344" t="n"/>
      <c r="R128" s="1231" t="n"/>
    </row>
    <row r="129" ht="22.5" customHeight="1" s="1134">
      <c r="A129" s="1232" t="n"/>
      <c r="B129" s="1233" t="n"/>
      <c r="C129" s="1515" t="inlineStr">
        <is>
          <t>JacketStrip
Schleuniger 8400</t>
        </is>
      </c>
      <c r="D129" s="1399" t="n">
        <v>81</v>
      </c>
      <c r="E129" s="1399" t="n">
        <v>200</v>
      </c>
      <c r="F129" s="1399" t="n"/>
      <c r="G129" s="1399" t="n"/>
      <c r="H129" s="1400" t="n">
        <v>8.4</v>
      </c>
      <c r="I129" s="1401" t="inlineStr">
        <is>
          <t>LP</t>
        </is>
      </c>
      <c r="J129" s="1402" t="n">
        <v>0</v>
      </c>
      <c r="K129" s="1403">
        <f>+J129*H129</f>
        <v/>
      </c>
      <c r="L129" s="1231" t="n"/>
      <c r="M129" s="1231" t="inlineStr">
        <is>
          <t>Manual</t>
        </is>
      </c>
      <c r="N129" s="1231" t="n"/>
      <c r="O129" s="1344" t="n"/>
      <c r="P129" s="1343" t="n"/>
      <c r="Q129" s="1404" t="n"/>
      <c r="R129" s="1231" t="n"/>
    </row>
    <row r="130" ht="22.5" customHeight="1" s="1134">
      <c r="A130" s="1405" t="n"/>
      <c r="B130" s="1406" t="n"/>
      <c r="C130" s="1406" t="n"/>
      <c r="D130" s="1399" t="n">
        <v>201</v>
      </c>
      <c r="E130" s="1399" t="inlineStr">
        <is>
          <t>and more</t>
        </is>
      </c>
      <c r="F130" s="1399" t="n"/>
      <c r="G130" s="1399" t="n"/>
      <c r="H130" s="1400" t="n">
        <v>35.84</v>
      </c>
      <c r="I130" s="1401" t="inlineStr">
        <is>
          <t>LP</t>
        </is>
      </c>
      <c r="J130" s="1402" t="n">
        <v>0</v>
      </c>
      <c r="K130" s="1403">
        <f>+J130*H130</f>
        <v/>
      </c>
      <c r="L130" s="1231" t="n"/>
      <c r="M130" s="1231" t="inlineStr">
        <is>
          <t>Manual</t>
        </is>
      </c>
      <c r="N130" s="1231" t="n"/>
      <c r="O130" s="1344" t="n"/>
      <c r="P130" s="1343" t="n"/>
      <c r="Q130" s="1404" t="n"/>
      <c r="R130" s="1231" t="n"/>
    </row>
    <row r="131" ht="22.5" customHeight="1" s="1134">
      <c r="A131" s="1396" t="inlineStr">
        <is>
          <t>TAKE OFF INSULATION</t>
        </is>
      </c>
      <c r="B131" s="1397" t="inlineStr">
        <is>
          <t>Take off outer jacket of mulitconductor</t>
        </is>
      </c>
      <c r="C131" s="1398" t="inlineStr">
        <is>
          <t>hand work</t>
        </is>
      </c>
      <c r="D131" s="1516" t="n"/>
      <c r="E131" s="1516" t="n"/>
      <c r="F131" s="1516" t="n"/>
      <c r="G131" s="1516" t="n"/>
      <c r="H131" s="1400" t="n">
        <v>2.23</v>
      </c>
      <c r="I131" s="1401" t="inlineStr">
        <is>
          <t>LP</t>
        </is>
      </c>
      <c r="J131" s="1402" t="n">
        <v>1</v>
      </c>
      <c r="K131" s="1403">
        <f>+J131*H131</f>
        <v/>
      </c>
      <c r="L131" s="1231" t="n"/>
      <c r="M131" s="1231" t="inlineStr">
        <is>
          <t>Manual</t>
        </is>
      </c>
      <c r="N131" s="1231" t="n"/>
      <c r="O131" s="1344" t="n"/>
      <c r="P131" s="1407" t="n"/>
      <c r="Q131" s="1344" t="n"/>
      <c r="R131" s="1231" t="n"/>
    </row>
    <row r="132" ht="22.5" customHeight="1" s="1134">
      <c r="A132" s="1396" t="inlineStr">
        <is>
          <t>CUT INNER WIRES</t>
        </is>
      </c>
      <c r="B132" s="1397" t="inlineStr">
        <is>
          <t>Cut short leads from Coaxial Cable</t>
        </is>
      </c>
      <c r="C132" s="1397" t="inlineStr">
        <is>
          <t>cut inner wires station (scissors) / hand work</t>
        </is>
      </c>
      <c r="D132" s="1399" t="n"/>
      <c r="E132" s="1399" t="n"/>
      <c r="F132" s="1399" t="n"/>
      <c r="G132" s="1399" t="n"/>
      <c r="H132" s="1400" t="n">
        <v>4.46</v>
      </c>
      <c r="I132" s="1401" t="inlineStr">
        <is>
          <t>LP</t>
        </is>
      </c>
      <c r="J132" s="1402" t="n">
        <v>1</v>
      </c>
      <c r="K132" s="1403">
        <f>+J132*H132</f>
        <v/>
      </c>
      <c r="L132" s="1231" t="n"/>
      <c r="M132" s="1231" t="inlineStr">
        <is>
          <t>Manual</t>
        </is>
      </c>
      <c r="N132" s="1231" t="n"/>
      <c r="O132" s="1344" t="n"/>
      <c r="P132" s="1343" t="n"/>
      <c r="Q132" s="1404" t="n"/>
      <c r="R132" s="1231" t="n"/>
    </row>
    <row r="133" ht="22.5" customHeight="1" s="1134">
      <c r="A133" s="1396" t="inlineStr">
        <is>
          <t>STRIP INNER WIRES</t>
        </is>
      </c>
      <c r="B133" s="1397" t="inlineStr">
        <is>
          <t>strip multiconductor Inner wires</t>
        </is>
      </c>
      <c r="C133" s="1397" t="inlineStr">
        <is>
          <t>Wire Stripper / per stripe</t>
        </is>
      </c>
      <c r="D133" s="1399" t="n"/>
      <c r="E133" s="1399" t="n"/>
      <c r="F133" s="1399" t="n"/>
      <c r="G133" s="1399" t="n"/>
      <c r="H133" s="1400" t="n">
        <v>2.5</v>
      </c>
      <c r="I133" s="1401" t="inlineStr">
        <is>
          <t>LP</t>
        </is>
      </c>
      <c r="J133" s="1402" t="n">
        <v>1</v>
      </c>
      <c r="K133" s="1403">
        <f>+J133*H133</f>
        <v/>
      </c>
      <c r="L133" s="1231" t="n"/>
      <c r="M133" s="1231" t="inlineStr">
        <is>
          <t>Manual</t>
        </is>
      </c>
      <c r="N133" s="1231" t="n"/>
      <c r="O133" s="1344" t="n"/>
      <c r="P133" s="1407" t="n"/>
      <c r="Q133" s="1344" t="n"/>
      <c r="R133" s="1231" t="n"/>
    </row>
    <row r="134" ht="22.5" customHeight="1" s="1134">
      <c r="A134" s="1396" t="inlineStr">
        <is>
          <t>DEFOIL</t>
        </is>
      </c>
      <c r="B134" s="1397" t="inlineStr">
        <is>
          <t>Multiconductor with aluminum foil / cut aluminium foil around the inner wiress</t>
        </is>
      </c>
      <c r="C134" s="1397" t="inlineStr">
        <is>
          <t>Defoil station  (scissors)</t>
        </is>
      </c>
      <c r="D134" s="1399" t="n"/>
      <c r="E134" s="1399" t="n"/>
      <c r="F134" s="1399" t="n"/>
      <c r="G134" s="1399" t="n"/>
      <c r="H134" s="1400" t="n">
        <v>6.7</v>
      </c>
      <c r="I134" s="1401" t="inlineStr">
        <is>
          <t>LP</t>
        </is>
      </c>
      <c r="J134" s="1402" t="n">
        <v>0</v>
      </c>
      <c r="K134" s="1403">
        <f>+J134*H134</f>
        <v/>
      </c>
      <c r="L134" s="1231" t="n"/>
      <c r="M134" s="1231" t="inlineStr">
        <is>
          <t>Automatic</t>
        </is>
      </c>
      <c r="N134" s="1231" t="inlineStr">
        <is>
          <t>не учитываю</t>
        </is>
      </c>
      <c r="O134" s="1344" t="n"/>
      <c r="P134" s="1407" t="n"/>
      <c r="Q134" s="1344" t="n"/>
      <c r="R134" s="1231" t="n"/>
    </row>
    <row r="135" ht="25.5" customHeight="1" s="1134">
      <c r="A135" s="1396" t="inlineStr">
        <is>
          <t>CUT BRAIDED SHIELD &amp; DRAIN WIRE (if available)</t>
        </is>
      </c>
      <c r="B135" s="1397" t="inlineStr">
        <is>
          <t>cut multiconductor braided shield</t>
        </is>
      </c>
      <c r="C135" s="1397" t="inlineStr">
        <is>
          <t>cut braided shield station (scissors)</t>
        </is>
      </c>
      <c r="D135" s="1399" t="n"/>
      <c r="E135" s="1399" t="n"/>
      <c r="F135" s="1399" t="n"/>
      <c r="G135" s="1399" t="n"/>
      <c r="H135" s="1400" t="n">
        <v>18.56</v>
      </c>
      <c r="I135" s="1401" t="inlineStr">
        <is>
          <t>LP</t>
        </is>
      </c>
      <c r="J135" s="1402" t="n">
        <v>0</v>
      </c>
      <c r="K135" s="1403">
        <f>+J135*H135</f>
        <v/>
      </c>
      <c r="L135" s="1231" t="n"/>
      <c r="M135" s="1231" t="inlineStr">
        <is>
          <t>Automatic</t>
        </is>
      </c>
      <c r="N135" s="1231" t="inlineStr">
        <is>
          <t>не учитываю</t>
        </is>
      </c>
      <c r="O135" s="1344" t="n"/>
      <c r="P135" s="1343" t="n"/>
      <c r="Q135" s="1404" t="n"/>
      <c r="R135" s="1231" t="n"/>
    </row>
    <row r="136" ht="22.5" customHeight="1" s="1134">
      <c r="A136" s="1396" t="inlineStr">
        <is>
          <t>CUT &amp; TWIST SHIELD</t>
        </is>
      </c>
      <c r="B136" s="1397" t="inlineStr">
        <is>
          <t>Cut &amp; Twist Shield from Coaxial Cables</t>
        </is>
      </c>
      <c r="C136" s="1397" t="inlineStr">
        <is>
          <t>Cut &amp; Twist Shield station</t>
        </is>
      </c>
      <c r="D136" s="1399" t="n">
        <v>0</v>
      </c>
      <c r="E136" s="1399" t="n">
        <v>30</v>
      </c>
      <c r="F136" s="1399" t="n"/>
      <c r="G136" s="1399" t="n"/>
      <c r="H136" s="1400" t="n">
        <v>16.56</v>
      </c>
      <c r="I136" s="1401" t="inlineStr">
        <is>
          <t>LP</t>
        </is>
      </c>
      <c r="J136" s="1402" t="n">
        <v>0</v>
      </c>
      <c r="K136" s="1403">
        <f>+J136*H136</f>
        <v/>
      </c>
      <c r="L136" s="1231" t="n"/>
      <c r="M136" s="1231" t="inlineStr">
        <is>
          <t>Manual</t>
        </is>
      </c>
      <c r="N136" s="1231" t="n"/>
      <c r="O136" s="1344" t="n"/>
      <c r="P136" s="1343" t="n"/>
      <c r="Q136" s="1404" t="n"/>
      <c r="R136" s="1231" t="n"/>
    </row>
    <row r="137" ht="22.5" customHeight="1" s="1134">
      <c r="A137" s="1396" t="n"/>
      <c r="B137" s="1397" t="n"/>
      <c r="C137" s="1397" t="n"/>
      <c r="D137" s="1399" t="n">
        <v>31</v>
      </c>
      <c r="E137" s="1399" t="n">
        <v>60</v>
      </c>
      <c r="F137" s="1399" t="n"/>
      <c r="G137" s="1399" t="n"/>
      <c r="H137" s="1400" t="n">
        <v>17.46</v>
      </c>
      <c r="I137" s="1401" t="inlineStr">
        <is>
          <t>LP</t>
        </is>
      </c>
      <c r="J137" s="1402" t="n">
        <v>0</v>
      </c>
      <c r="K137" s="1403">
        <f>+J137*H137</f>
        <v/>
      </c>
      <c r="L137" s="1231" t="n"/>
      <c r="M137" s="1231" t="inlineStr">
        <is>
          <t>Manual</t>
        </is>
      </c>
      <c r="N137" s="1231" t="n"/>
      <c r="O137" s="1344" t="n"/>
      <c r="P137" s="1343" t="n"/>
      <c r="Q137" s="1404" t="n"/>
      <c r="R137" s="1231" t="n"/>
    </row>
    <row r="138" ht="22.5" customHeight="1" s="1134">
      <c r="A138" s="1396" t="n"/>
      <c r="B138" s="1397" t="n"/>
      <c r="C138" s="1397" t="n"/>
      <c r="D138" s="1399" t="n">
        <v>61</v>
      </c>
      <c r="E138" s="1399" t="n">
        <v>90</v>
      </c>
      <c r="F138" s="1399" t="n"/>
      <c r="G138" s="1399" t="n"/>
      <c r="H138" s="1400" t="n">
        <v>18.4</v>
      </c>
      <c r="I138" s="1401" t="inlineStr">
        <is>
          <t>LP</t>
        </is>
      </c>
      <c r="J138" s="1402" t="n">
        <v>0</v>
      </c>
      <c r="K138" s="1403">
        <f>+J138*H138</f>
        <v/>
      </c>
      <c r="L138" s="1231" t="n"/>
      <c r="M138" s="1231" t="inlineStr">
        <is>
          <t>Manual</t>
        </is>
      </c>
      <c r="N138" s="1231" t="n"/>
      <c r="O138" s="1344" t="n"/>
      <c r="P138" s="1343" t="n"/>
      <c r="Q138" s="1404" t="n"/>
      <c r="R138" s="1231" t="n"/>
    </row>
    <row r="139" ht="24.75" customFormat="1" customHeight="1" s="1132">
      <c r="A139" s="1396" t="inlineStr">
        <is>
          <t>APPLY FERRITE</t>
        </is>
      </c>
      <c r="B139" s="1397" t="inlineStr">
        <is>
          <t>apply ferrite</t>
        </is>
      </c>
      <c r="C139" s="1517" t="inlineStr">
        <is>
          <t>Ferrite Station</t>
        </is>
      </c>
      <c r="D139" s="1399" t="n"/>
      <c r="E139" s="1399" t="n"/>
      <c r="F139" s="1399" t="n"/>
      <c r="G139" s="1399" t="n"/>
      <c r="H139" s="1400" t="n">
        <v>8</v>
      </c>
      <c r="I139" s="1401" t="inlineStr">
        <is>
          <t>LP</t>
        </is>
      </c>
      <c r="J139" s="1402" t="n">
        <v>0</v>
      </c>
      <c r="K139" s="1403">
        <f>+J139*H139</f>
        <v/>
      </c>
      <c r="L139" s="1231" t="n"/>
      <c r="M139" s="1231" t="inlineStr">
        <is>
          <t>Automatic</t>
        </is>
      </c>
      <c r="N139" s="1231" t="inlineStr">
        <is>
          <t>не учитываю</t>
        </is>
      </c>
      <c r="O139" s="1344" t="n"/>
      <c r="P139" s="1343" t="n"/>
      <c r="Q139" s="1404" t="n"/>
      <c r="R139" s="1231" t="n"/>
      <c r="S139" s="1132" t="n"/>
    </row>
    <row r="140" ht="24.75" customFormat="1" customHeight="1" s="1132">
      <c r="A140" s="1396" t="inlineStr">
        <is>
          <t>FILLER REMOVAL</t>
        </is>
      </c>
      <c r="B140" s="1397" t="inlineStr">
        <is>
          <t>cut off filler inside multiconductor cable</t>
        </is>
      </c>
      <c r="C140" s="1397" t="inlineStr">
        <is>
          <t>hand work (scissors)</t>
        </is>
      </c>
      <c r="D140" s="1399" t="n"/>
      <c r="E140" s="1399" t="n"/>
      <c r="F140" s="1399" t="n"/>
      <c r="G140" s="1399" t="n"/>
      <c r="H140" s="1400" t="n">
        <v>2.5</v>
      </c>
      <c r="I140" s="1401" t="inlineStr">
        <is>
          <t>LP</t>
        </is>
      </c>
      <c r="J140" s="1402" t="n">
        <v>0</v>
      </c>
      <c r="K140" s="1403">
        <f>+J140*H140</f>
        <v/>
      </c>
      <c r="L140" s="1231" t="n"/>
      <c r="M140" s="1231" t="inlineStr">
        <is>
          <t>Manual</t>
        </is>
      </c>
      <c r="N140" s="1231" t="inlineStr">
        <is>
          <t>не учитываю</t>
        </is>
      </c>
      <c r="O140" s="1344" t="n"/>
      <c r="P140" s="1343" t="n"/>
      <c r="Q140" s="1404" t="n"/>
      <c r="R140" s="1231" t="n"/>
      <c r="S140" s="1132" t="n"/>
    </row>
    <row r="141" ht="24.75" customFormat="1" customHeight="1" s="1132">
      <c r="A141" s="1421" t="inlineStr">
        <is>
          <t>APPLY FERRULE (metal ring)</t>
        </is>
      </c>
      <c r="B141" s="1415" t="inlineStr">
        <is>
          <t>Put ferrule on the cable</t>
        </is>
      </c>
      <c r="C141" s="1415" t="inlineStr">
        <is>
          <t>hand work</t>
        </is>
      </c>
      <c r="D141" s="1490" t="n"/>
      <c r="E141" s="1490" t="n"/>
      <c r="F141" s="1490" t="n"/>
      <c r="G141" s="1490" t="n"/>
      <c r="H141" s="1476" t="n">
        <v>4.2</v>
      </c>
      <c r="I141" s="1401" t="inlineStr">
        <is>
          <t>LP</t>
        </is>
      </c>
      <c r="J141" s="1518" t="n">
        <v>0</v>
      </c>
      <c r="K141" s="1403">
        <f>+J141*H141</f>
        <v/>
      </c>
      <c r="L141" s="1231" t="n"/>
      <c r="M141" s="1231" t="inlineStr">
        <is>
          <t>Manual</t>
        </is>
      </c>
      <c r="N141" s="1231" t="inlineStr">
        <is>
          <t>не учитываю</t>
        </is>
      </c>
      <c r="O141" s="1344" t="n"/>
      <c r="P141" s="1343" t="n"/>
      <c r="Q141" s="1404" t="n"/>
      <c r="R141" s="1231" t="n"/>
      <c r="S141" s="1132" t="n"/>
    </row>
    <row r="142" ht="24.75" customFormat="1" customHeight="1" s="1132">
      <c r="A142" s="1396" t="n"/>
      <c r="B142" s="1397" t="n"/>
      <c r="C142" s="1397" t="n"/>
      <c r="D142" s="1397" t="n"/>
      <c r="E142" s="1399" t="n"/>
      <c r="F142" s="1399" t="n"/>
      <c r="G142" s="1399" t="n"/>
      <c r="H142" s="1486" t="n"/>
      <c r="I142" s="1401" t="n"/>
      <c r="J142" s="1402" t="n">
        <v>0</v>
      </c>
      <c r="K142" s="1403">
        <f>+J142*H142</f>
        <v/>
      </c>
      <c r="N142" s="1231" t="n"/>
      <c r="O142" s="1132" t="n"/>
      <c r="P142" s="1343" t="n"/>
      <c r="Q142" s="1404" t="n"/>
      <c r="R142" s="1132" t="n"/>
      <c r="S142" s="1132" t="n"/>
    </row>
    <row r="143" ht="24.75" customFormat="1" customHeight="1" s="1132">
      <c r="A143" s="1396" t="n"/>
      <c r="B143" s="1397" t="n"/>
      <c r="C143" s="1397" t="n"/>
      <c r="D143" s="1399" t="n"/>
      <c r="E143" s="1399" t="n"/>
      <c r="F143" s="1399" t="n"/>
      <c r="G143" s="1399" t="n"/>
      <c r="H143" s="1486" t="n"/>
      <c r="I143" s="1401" t="n"/>
      <c r="J143" s="1402" t="n">
        <v>0</v>
      </c>
      <c r="K143" s="1403">
        <f>+J143*H143</f>
        <v/>
      </c>
      <c r="N143" s="1231" t="n"/>
      <c r="O143" s="1344" t="n"/>
      <c r="P143" s="1343" t="n"/>
      <c r="Q143" s="1404" t="n"/>
      <c r="R143" s="1132" t="n"/>
      <c r="S143" s="1132" t="n"/>
    </row>
    <row r="144" ht="24.75" customFormat="1" customHeight="1" s="1132">
      <c r="A144" s="1396" t="n"/>
      <c r="B144" s="1397" t="n"/>
      <c r="C144" s="1397" t="n"/>
      <c r="D144" s="1399" t="n"/>
      <c r="E144" s="1399" t="n"/>
      <c r="F144" s="1399" t="n"/>
      <c r="G144" s="1399" t="n"/>
      <c r="H144" s="1486" t="n"/>
      <c r="I144" s="1401" t="n"/>
      <c r="J144" s="1402" t="n">
        <v>0</v>
      </c>
      <c r="K144" s="1403">
        <f>+J144*H144</f>
        <v/>
      </c>
      <c r="N144" s="1231" t="n"/>
      <c r="O144" s="1344" t="n"/>
      <c r="P144" s="1343" t="n"/>
      <c r="Q144" s="1404" t="n"/>
      <c r="R144" s="1132" t="n"/>
      <c r="S144" s="1132" t="n"/>
    </row>
    <row r="145" ht="24.75" customFormat="1" customHeight="1" s="1132">
      <c r="A145" s="1464" t="n"/>
      <c r="B145" s="1465" t="n"/>
      <c r="C145" s="1465" t="n"/>
      <c r="D145" s="1490" t="n"/>
      <c r="E145" s="1490" t="n"/>
      <c r="F145" s="1490" t="n"/>
      <c r="G145" s="1490" t="n"/>
      <c r="H145" s="1519" t="n"/>
      <c r="I145" s="1468" t="n"/>
      <c r="J145" s="1469" t="n">
        <v>0</v>
      </c>
      <c r="K145" s="1477" t="n"/>
      <c r="N145" s="1231" t="n"/>
      <c r="O145" s="1344" t="n"/>
      <c r="P145" s="1343" t="n"/>
      <c r="Q145" s="1404" t="n"/>
      <c r="R145" s="1132" t="n"/>
      <c r="S145" s="1132" t="n"/>
    </row>
    <row r="146" ht="53.25" customFormat="1" customHeight="1" s="1391">
      <c r="A146" s="1216" t="inlineStr">
        <is>
          <t>Operation</t>
        </is>
      </c>
      <c r="B146" s="1217" t="inlineStr">
        <is>
          <t>COMMENTS</t>
        </is>
      </c>
      <c r="C146" s="1217" t="inlineStr">
        <is>
          <t>Machine Vendor</t>
        </is>
      </c>
      <c r="D146" s="1217" t="inlineStr">
        <is>
          <t>Min Gage</t>
        </is>
      </c>
      <c r="E146" s="1217" t="inlineStr">
        <is>
          <t>Max Gage</t>
        </is>
      </c>
      <c r="F146" s="1217" t="n"/>
      <c r="G146" s="1217" t="n"/>
      <c r="H146" s="1392" t="inlineStr">
        <is>
          <t>Global Sec/ Pc</t>
        </is>
      </c>
      <c r="I146" s="1479" t="inlineStr">
        <is>
          <t>Location
LP/FA</t>
        </is>
      </c>
      <c r="J146" s="1432" t="n">
        <v>0</v>
      </c>
      <c r="K146" s="1393" t="inlineStr">
        <is>
          <t>Total</t>
        </is>
      </c>
      <c r="N146" s="1231" t="n"/>
      <c r="O146" s="1344" t="n"/>
      <c r="P146" s="1343" t="n"/>
      <c r="Q146" s="1404" t="n"/>
      <c r="R146" s="1132" t="n"/>
      <c r="S146" s="1132" t="n"/>
    </row>
    <row r="147" ht="22.5" customFormat="1" customHeight="1" s="1132">
      <c r="A147" s="1491" t="inlineStr">
        <is>
          <t>UCAB /ULTRASONIC WELDING</t>
        </is>
      </c>
      <c r="B147" s="1497" t="inlineStr">
        <is>
          <t>Per splice</t>
        </is>
      </c>
      <c r="C147" s="1520" t="n"/>
      <c r="D147" s="1399" t="n"/>
      <c r="E147" s="1399" t="n"/>
      <c r="F147" s="1399" t="n"/>
      <c r="G147" s="1399" t="n"/>
      <c r="H147" s="1521" t="n">
        <v>3.83</v>
      </c>
      <c r="I147" s="1401" t="inlineStr">
        <is>
          <t>LP</t>
        </is>
      </c>
      <c r="J147" s="1313" t="n">
        <v>1</v>
      </c>
      <c r="K147" s="1403">
        <f>+J147*H147</f>
        <v/>
      </c>
      <c r="M147" s="1412" t="n"/>
      <c r="N147" s="1231" t="n"/>
      <c r="O147" s="1344" t="n"/>
      <c r="P147" s="1343" t="n"/>
      <c r="Q147" s="1404" t="n"/>
      <c r="R147" s="1132" t="n"/>
      <c r="S147" s="1132" t="n"/>
    </row>
    <row r="148" ht="22.5" customFormat="1" customHeight="1" s="1132">
      <c r="A148" s="1232" t="n"/>
      <c r="B148" s="1497" t="inlineStr">
        <is>
          <t>Per wire</t>
        </is>
      </c>
      <c r="C148" s="1503" t="n"/>
      <c r="D148" s="1522" t="n"/>
      <c r="E148" s="1522" t="n"/>
      <c r="F148" s="1522" t="n"/>
      <c r="G148" s="1522" t="n"/>
      <c r="H148" s="1523" t="n">
        <v>3.53</v>
      </c>
      <c r="I148" s="1524" t="inlineStr">
        <is>
          <t>LP</t>
        </is>
      </c>
      <c r="J148" s="1525" t="n">
        <v>1</v>
      </c>
      <c r="K148" s="1526">
        <f>+J148*H148</f>
        <v/>
      </c>
      <c r="M148" s="1412" t="n"/>
      <c r="N148" s="1231" t="n"/>
      <c r="O148" s="1344" t="n"/>
      <c r="P148" s="1407" t="n"/>
      <c r="Q148" s="1344" t="n"/>
      <c r="R148" s="1132" t="n"/>
      <c r="S148" s="1132" t="n"/>
    </row>
    <row r="149" ht="133.5" customFormat="1" customHeight="1" s="1132">
      <c r="A149" s="1405" t="n"/>
      <c r="B149" s="1497" t="inlineStr">
        <is>
          <t>NOTE: when Region requires that Butt splices for 0.13mm  and other sensible splices to be bent (make the loop) then apply an extra time same as the one per wire to do the loop. (Spot tapes needs to be added to the harness to be paid as spot tape in other cathegory).</t>
        </is>
      </c>
      <c r="C149" s="1406" t="n"/>
      <c r="D149" s="1406" t="n"/>
      <c r="E149" s="1406" t="n"/>
      <c r="F149" s="1406" t="n"/>
      <c r="G149" s="1406" t="n"/>
      <c r="H149" s="1406" t="n"/>
      <c r="I149" s="1527" t="n"/>
      <c r="J149" s="1406" t="n"/>
      <c r="K149" s="1528" t="n"/>
      <c r="L149" s="1529" t="n"/>
      <c r="M149" s="1412" t="n"/>
      <c r="N149" s="1231" t="n"/>
      <c r="O149" s="1344" t="n"/>
      <c r="P149" s="1343" t="n"/>
      <c r="Q149" s="1404" t="n"/>
      <c r="R149" s="1231" t="n"/>
      <c r="S149" s="1132" t="n"/>
      <c r="T149" s="1132" t="n"/>
      <c r="U149" s="1132" t="n"/>
      <c r="V149" s="1132" t="n"/>
      <c r="W149" s="1132" t="n"/>
      <c r="X149" s="1132" t="n"/>
      <c r="Y149" s="1132" t="n"/>
      <c r="Z149" s="1132" t="n"/>
      <c r="AA149" s="1132" t="n"/>
      <c r="AB149" s="1132" t="n"/>
      <c r="AC149" s="1132" t="n"/>
      <c r="AD149" s="1132" t="n"/>
      <c r="AE149" s="1132" t="n"/>
      <c r="AF149" s="1132" t="n"/>
      <c r="AG149" s="1132" t="n"/>
      <c r="AH149" s="1132" t="n"/>
      <c r="AI149" s="1132" t="n"/>
      <c r="AJ149" s="1132" t="n"/>
      <c r="AK149" s="1132" t="n"/>
      <c r="AL149" s="1132" t="n"/>
      <c r="AM149" s="1132" t="n"/>
      <c r="AN149" s="1132" t="n"/>
      <c r="AO149" s="1132" t="n"/>
      <c r="AP149" s="1132" t="n"/>
      <c r="AQ149" s="1132" t="n"/>
      <c r="AR149" s="1132" t="n"/>
      <c r="AS149" s="1132" t="n"/>
      <c r="AT149" s="1132" t="n"/>
      <c r="AU149" s="1132" t="n"/>
      <c r="AV149" s="1132" t="n"/>
      <c r="AW149" s="1132" t="n"/>
      <c r="AX149" s="1132" t="n"/>
      <c r="AY149" s="1132" t="n"/>
      <c r="AZ149" s="1132" t="n"/>
      <c r="BA149" s="1132" t="n"/>
      <c r="BB149" s="1132" t="n"/>
      <c r="BC149" s="1132" t="n"/>
      <c r="BD149" s="1132" t="n"/>
      <c r="BE149" s="1132" t="n"/>
      <c r="BF149" s="1132" t="n"/>
      <c r="BG149" s="1132" t="n"/>
      <c r="BH149" s="1132" t="n"/>
      <c r="BI149" s="1132" t="n"/>
      <c r="BJ149" s="1132" t="n"/>
      <c r="BK149" s="1132" t="n"/>
      <c r="BL149" s="1132" t="n"/>
      <c r="BM149" s="1132" t="n"/>
      <c r="BN149" s="1132" t="n"/>
      <c r="BO149" s="1132" t="n"/>
      <c r="BP149" s="1132" t="n"/>
      <c r="BQ149" s="1132" t="n"/>
      <c r="BR149" s="1132" t="n"/>
      <c r="BS149" s="1132" t="n"/>
      <c r="BT149" s="1132" t="n"/>
      <c r="BU149" s="1132" t="n"/>
      <c r="BV149" s="1132" t="n"/>
      <c r="BW149" s="1132" t="n"/>
      <c r="BX149" s="1132" t="n"/>
      <c r="BY149" s="1132" t="n"/>
      <c r="BZ149" s="1132" t="n"/>
      <c r="CA149" s="1132" t="n"/>
      <c r="CB149" s="1132" t="n"/>
      <c r="CC149" s="1132" t="n"/>
      <c r="CD149" s="1132" t="n"/>
      <c r="CE149" s="1132" t="n"/>
      <c r="CF149" s="1132" t="n"/>
      <c r="CG149" s="1132" t="n"/>
      <c r="CH149" s="1132" t="n"/>
      <c r="CI149" s="1132" t="n"/>
      <c r="CJ149" s="1132" t="n"/>
      <c r="CK149" s="1132" t="n"/>
      <c r="CL149" s="1132" t="n"/>
      <c r="CM149" s="1132" t="n"/>
      <c r="CN149" s="1132" t="n"/>
      <c r="CO149" s="1132" t="n"/>
      <c r="CP149" s="1132" t="n"/>
      <c r="CQ149" s="1132" t="n"/>
    </row>
    <row r="150" ht="32.25" customFormat="1" customHeight="1" s="1530">
      <c r="A150" s="1491" t="inlineStr">
        <is>
          <t>CAP COVER APPLICATION - EU</t>
        </is>
      </c>
      <c r="B150" s="1497" t="inlineStr">
        <is>
          <t>splice cap cover (glued) application</t>
        </is>
      </c>
      <c r="C150" s="1398" t="n"/>
      <c r="D150" s="1399" t="n"/>
      <c r="E150" s="1399" t="n"/>
      <c r="F150" s="1399" t="n"/>
      <c r="G150" s="1399" t="n"/>
      <c r="H150" s="1400" t="n">
        <v>6.3</v>
      </c>
      <c r="I150" s="1401" t="inlineStr">
        <is>
          <t>LP</t>
        </is>
      </c>
      <c r="J150" s="1402" t="n">
        <v>0</v>
      </c>
      <c r="K150" s="1403">
        <f>+J150*H150</f>
        <v/>
      </c>
      <c r="L150" s="1529" t="n"/>
      <c r="M150" s="1412" t="n"/>
      <c r="N150" s="1231" t="inlineStr">
        <is>
          <t>не учитываю</t>
        </is>
      </c>
      <c r="O150" s="1344" t="n"/>
      <c r="P150" s="1343" t="n"/>
      <c r="Q150" s="1404" t="n"/>
      <c r="R150" s="1231" t="n"/>
      <c r="S150" s="1132" t="n"/>
      <c r="T150" s="1132" t="n"/>
      <c r="U150" s="1132" t="n"/>
      <c r="V150" s="1132" t="n"/>
      <c r="W150" s="1132" t="n"/>
      <c r="X150" s="1132" t="n"/>
      <c r="Y150" s="1132" t="n"/>
      <c r="Z150" s="1132" t="n"/>
      <c r="AA150" s="1132" t="n"/>
      <c r="AB150" s="1132" t="n"/>
      <c r="AC150" s="1132" t="n"/>
      <c r="AD150" s="1132" t="n"/>
      <c r="AE150" s="1132" t="n"/>
      <c r="AF150" s="1132" t="n"/>
      <c r="AG150" s="1132" t="n"/>
      <c r="AH150" s="1132" t="n"/>
      <c r="AI150" s="1132" t="n"/>
      <c r="AJ150" s="1132" t="n"/>
      <c r="AK150" s="1132" t="n"/>
      <c r="AL150" s="1132" t="n"/>
      <c r="AM150" s="1132" t="n"/>
      <c r="AN150" s="1132" t="n"/>
      <c r="AO150" s="1132" t="n"/>
      <c r="AP150" s="1132" t="n"/>
      <c r="AQ150" s="1132" t="n"/>
      <c r="AR150" s="1132" t="n"/>
      <c r="AS150" s="1132" t="n"/>
      <c r="AT150" s="1132" t="n"/>
      <c r="AU150" s="1132" t="n"/>
      <c r="AV150" s="1132" t="n"/>
      <c r="AW150" s="1132" t="n"/>
      <c r="AX150" s="1132" t="n"/>
      <c r="AY150" s="1132" t="n"/>
      <c r="AZ150" s="1132" t="n"/>
      <c r="BA150" s="1132" t="n"/>
      <c r="BB150" s="1132" t="n"/>
      <c r="BC150" s="1132" t="n"/>
      <c r="BD150" s="1132" t="n"/>
      <c r="BE150" s="1132" t="n"/>
      <c r="BF150" s="1132" t="n"/>
      <c r="BG150" s="1132" t="n"/>
      <c r="BH150" s="1132" t="n"/>
      <c r="BI150" s="1132" t="n"/>
      <c r="BJ150" s="1132" t="n"/>
      <c r="BK150" s="1132" t="n"/>
      <c r="BL150" s="1132" t="n"/>
      <c r="BM150" s="1132" t="n"/>
      <c r="BN150" s="1132" t="n"/>
      <c r="BO150" s="1132" t="n"/>
      <c r="BP150" s="1132" t="n"/>
      <c r="BQ150" s="1132" t="n"/>
      <c r="BR150" s="1132" t="n"/>
      <c r="BS150" s="1132" t="n"/>
      <c r="BT150" s="1132" t="n"/>
      <c r="BU150" s="1132" t="n"/>
      <c r="BV150" s="1132" t="n"/>
      <c r="BW150" s="1132" t="n"/>
      <c r="BX150" s="1132" t="n"/>
      <c r="BY150" s="1132" t="n"/>
      <c r="BZ150" s="1132" t="n"/>
      <c r="CA150" s="1132" t="n"/>
      <c r="CB150" s="1132" t="n"/>
      <c r="CC150" s="1132" t="n"/>
      <c r="CD150" s="1132" t="n"/>
      <c r="CE150" s="1132" t="n"/>
      <c r="CF150" s="1132" t="n"/>
      <c r="CG150" s="1132" t="n"/>
      <c r="CH150" s="1132" t="n"/>
      <c r="CI150" s="1132" t="n"/>
      <c r="CJ150" s="1132" t="n"/>
      <c r="CK150" s="1132" t="n"/>
      <c r="CL150" s="1132" t="n"/>
      <c r="CM150" s="1132" t="n"/>
      <c r="CN150" s="1132" t="n"/>
      <c r="CO150" s="1132" t="n"/>
      <c r="CP150" s="1132" t="n"/>
      <c r="CQ150" s="1132" t="n"/>
    </row>
    <row r="151" ht="18" customHeight="1" s="1134">
      <c r="A151" s="1491" t="inlineStr">
        <is>
          <t>HEAT SHRINK</t>
        </is>
      </c>
      <c r="B151" s="1497" t="inlineStr">
        <is>
          <t>heat shrinking for splices ( std based on tubes diameter)</t>
        </is>
      </c>
      <c r="C151" s="1503" t="inlineStr">
        <is>
          <t>Heat Shrink splice station</t>
        </is>
      </c>
      <c r="D151" s="1399" t="n">
        <v>0</v>
      </c>
      <c r="E151" s="1399" t="n">
        <v>6</v>
      </c>
      <c r="F151" s="1399" t="n">
        <v>0</v>
      </c>
      <c r="G151" s="1399" t="n">
        <v>99999</v>
      </c>
      <c r="H151" s="1400" t="n">
        <v>13.01</v>
      </c>
      <c r="I151" s="1401" t="inlineStr">
        <is>
          <t>LP</t>
        </is>
      </c>
      <c r="J151" s="1402" t="n">
        <v>1</v>
      </c>
      <c r="K151" s="1403">
        <f>+J151*H151</f>
        <v/>
      </c>
      <c r="L151" s="1531" t="n"/>
      <c r="M151" s="1412" t="n"/>
      <c r="N151" s="1231" t="n"/>
      <c r="O151" s="1344" t="n"/>
      <c r="P151" s="1407" t="n"/>
      <c r="Q151" s="1344" t="n"/>
      <c r="R151" s="1231" t="n"/>
    </row>
    <row r="152" ht="18" customHeight="1" s="1134">
      <c r="A152" s="1232" t="n"/>
      <c r="B152" s="1233" t="n"/>
      <c r="C152" s="1233" t="n"/>
      <c r="D152" s="1399" t="n">
        <v>7</v>
      </c>
      <c r="E152" s="1399" t="n">
        <v>13</v>
      </c>
      <c r="F152" s="1399" t="n">
        <v>0</v>
      </c>
      <c r="G152" s="1399" t="n">
        <v>99999</v>
      </c>
      <c r="H152" s="1400" t="n">
        <v>14.72</v>
      </c>
      <c r="I152" s="1401" t="inlineStr">
        <is>
          <t>LP</t>
        </is>
      </c>
      <c r="J152" s="1402" t="n">
        <v>1</v>
      </c>
      <c r="K152" s="1403">
        <f>+J152*H152</f>
        <v/>
      </c>
      <c r="L152" s="1531" t="n"/>
      <c r="M152" s="1412" t="n"/>
      <c r="N152" s="1231" t="n"/>
      <c r="O152" s="1344" t="n"/>
      <c r="P152" s="1407" t="n"/>
      <c r="Q152" s="1344" t="n"/>
      <c r="R152" s="1231" t="n"/>
    </row>
    <row r="153" ht="18" customHeight="1" s="1134">
      <c r="A153" s="1405" t="n"/>
      <c r="B153" s="1406" t="n"/>
      <c r="C153" s="1406" t="n"/>
      <c r="D153" s="1399" t="n">
        <v>14</v>
      </c>
      <c r="E153" s="1399" t="n">
        <v>103</v>
      </c>
      <c r="F153" s="1399" t="n">
        <v>0</v>
      </c>
      <c r="G153" s="1399" t="n">
        <v>99999</v>
      </c>
      <c r="H153" s="1400" t="n">
        <v>26.39</v>
      </c>
      <c r="I153" s="1401" t="inlineStr">
        <is>
          <t>LP</t>
        </is>
      </c>
      <c r="J153" s="1402" t="n">
        <v>1</v>
      </c>
      <c r="K153" s="1403">
        <f>+J153*H153</f>
        <v/>
      </c>
      <c r="L153" s="1531" t="n"/>
      <c r="M153" s="1412" t="n"/>
      <c r="N153" s="1231" t="n"/>
      <c r="O153" s="1344" t="n"/>
      <c r="P153" s="1407" t="n"/>
      <c r="Q153" s="1344" t="n"/>
      <c r="R153" s="1231" t="n"/>
    </row>
    <row r="154" ht="18" customHeight="1" s="1134">
      <c r="A154" s="1491" t="inlineStr">
        <is>
          <t>Manual taping - SPLICES</t>
        </is>
      </c>
      <c r="B154" s="1497" t="inlineStr">
        <is>
          <t>Splice insulation-Tape 50 mm (tape dipenser to be used)</t>
        </is>
      </c>
      <c r="C154" s="1506" t="inlineStr">
        <is>
          <t>SINGLE SPLICE TAPE  (Single wrap)</t>
        </is>
      </c>
      <c r="D154" s="1532" t="n"/>
      <c r="E154" s="1399" t="n"/>
      <c r="F154" s="1399" t="n"/>
      <c r="G154" s="1399" t="n"/>
      <c r="H154" s="1400" t="n">
        <v>7.6</v>
      </c>
      <c r="I154" s="1401" t="inlineStr">
        <is>
          <t>LP</t>
        </is>
      </c>
      <c r="J154" s="1402" t="n">
        <v>0</v>
      </c>
      <c r="K154" s="1403">
        <f>+J154*H154</f>
        <v/>
      </c>
      <c r="L154" s="1531" t="n"/>
      <c r="M154" s="1412" t="n"/>
      <c r="N154" s="1231" t="inlineStr">
        <is>
          <t>не учитываю</t>
        </is>
      </c>
      <c r="O154" s="1344" t="n"/>
      <c r="P154" s="1343" t="n"/>
      <c r="Q154" s="1404" t="n"/>
      <c r="R154" s="1231" t="n"/>
    </row>
    <row r="155" ht="45.75" customHeight="1" s="1134">
      <c r="A155" s="1405" t="n"/>
      <c r="B155" s="1406" t="n"/>
      <c r="C155" s="1506" t="inlineStr">
        <is>
          <t>DOUBLE SPLICE TAPE (Double wrap)
NOTE: only if double covering requested by Customer</t>
        </is>
      </c>
      <c r="D155" s="1532" t="n"/>
      <c r="E155" s="1399" t="n"/>
      <c r="F155" s="1399" t="n"/>
      <c r="G155" s="1399" t="n"/>
      <c r="H155" s="1400" t="n">
        <v>10.6</v>
      </c>
      <c r="I155" s="1401" t="inlineStr">
        <is>
          <t>LP</t>
        </is>
      </c>
      <c r="J155" s="1402" t="n">
        <v>0</v>
      </c>
      <c r="K155" s="1403">
        <f>+J155*H155</f>
        <v/>
      </c>
      <c r="L155" s="1531" t="n"/>
      <c r="M155" s="1412" t="n"/>
      <c r="N155" s="1231" t="inlineStr">
        <is>
          <t>не учитываю</t>
        </is>
      </c>
      <c r="O155" s="1344" t="n"/>
      <c r="P155" s="1343" t="n"/>
      <c r="Q155" s="1404" t="n"/>
      <c r="R155" s="1231" t="n"/>
    </row>
    <row r="156" ht="54.75" customHeight="1" s="1134">
      <c r="A156" s="1533" t="inlineStr">
        <is>
          <t>Automatic taping of dual splices
NOTE: only when requested by the Customer</t>
        </is>
      </c>
      <c r="B156" s="1497" t="inlineStr">
        <is>
          <t>Splice insulation - Tape of 38 or 50 mm according to list of approved Mspecs</t>
        </is>
      </c>
      <c r="C156" s="1534" t="inlineStr">
        <is>
          <t>KTB 50 E +</t>
        </is>
      </c>
      <c r="D156" s="1506" t="n"/>
      <c r="E156" s="1437" t="n"/>
      <c r="F156" s="1437" t="n"/>
      <c r="G156" s="1437" t="n"/>
      <c r="H156" s="1400" t="n">
        <v>3.6</v>
      </c>
      <c r="I156" s="1401" t="inlineStr">
        <is>
          <t>LP</t>
        </is>
      </c>
      <c r="J156" s="1469" t="n">
        <v>0</v>
      </c>
      <c r="K156" s="1470">
        <f>+J156*H156</f>
        <v/>
      </c>
      <c r="L156" s="1132" t="n"/>
      <c r="M156" s="1412" t="n"/>
      <c r="N156" s="1231" t="n"/>
      <c r="O156" s="1344" t="n"/>
      <c r="P156" s="1343" t="n"/>
      <c r="Q156" s="1404" t="n"/>
      <c r="R156" s="1231" t="n"/>
    </row>
    <row r="157" ht="76.5" customHeight="1" s="1134">
      <c r="A157" s="1533" t="inlineStr">
        <is>
          <t>POKE THROUGH DETECTION TEST
(when requested by Customer)</t>
        </is>
      </c>
      <c r="B157" s="1535" t="inlineStr">
        <is>
          <t xml:space="preserve">Take splice off cooling board + Visual inspection of the splice
Introduce splice in machine and do poke through test
Clean the splice off water and mark with green if it passed
</t>
        </is>
      </c>
      <c r="C157" s="1534" t="inlineStr">
        <is>
          <t>Mecalbi STCS-BM3</t>
        </is>
      </c>
      <c r="D157" s="1536" t="n"/>
      <c r="E157" s="1437" t="n"/>
      <c r="F157" s="1437" t="n"/>
      <c r="G157" s="1437" t="n"/>
      <c r="H157" s="1400" t="n">
        <v>10</v>
      </c>
      <c r="I157" s="1401" t="inlineStr">
        <is>
          <t>LP</t>
        </is>
      </c>
      <c r="J157" s="1469" t="n">
        <v>0</v>
      </c>
      <c r="K157" s="1470">
        <f>+J157*H157</f>
        <v/>
      </c>
      <c r="L157" s="1531" t="n"/>
      <c r="M157" s="1412" t="n"/>
      <c r="N157" s="1231" t="inlineStr">
        <is>
          <t>не учитываю</t>
        </is>
      </c>
      <c r="O157" s="1344" t="n"/>
      <c r="P157" s="1343" t="n"/>
      <c r="Q157" s="1404" t="n"/>
      <c r="R157" s="1231" t="n"/>
    </row>
    <row r="158" ht="48" customHeight="1" s="1134">
      <c r="A158" s="1533" t="inlineStr">
        <is>
          <t>HEATSHRINK ON TWISTED PAIRS SPLICES</t>
        </is>
      </c>
      <c r="B158" s="1535" t="inlineStr">
        <is>
          <t xml:space="preserve">Per 2 splices, including cooling;
where all cables of the splice are twisted </t>
        </is>
      </c>
      <c r="C158" s="1534" t="inlineStr">
        <is>
          <t>Workman DSG Canusa (dual end splices)
Raychem IR1891 (butt splices)</t>
        </is>
      </c>
      <c r="D158" s="1537" t="n"/>
      <c r="E158" s="1437" t="n"/>
      <c r="F158" s="1437" t="n"/>
      <c r="G158" s="1437" t="n"/>
      <c r="H158" s="1400" t="n">
        <v>44</v>
      </c>
      <c r="I158" s="1401" t="inlineStr">
        <is>
          <t>LP</t>
        </is>
      </c>
      <c r="J158" s="1469" t="n">
        <v>0</v>
      </c>
      <c r="K158" s="1538">
        <f>+J158*H158+N158*O158</f>
        <v/>
      </c>
      <c r="L158" s="1531" t="n"/>
      <c r="M158" s="1412" t="n"/>
      <c r="N158" s="1539" t="n"/>
      <c r="O158" s="1539" t="n">
        <v>22</v>
      </c>
      <c r="P158" s="1343" t="n"/>
      <c r="Q158" s="1404" t="n"/>
      <c r="R158" s="1231" t="n"/>
    </row>
    <row r="159" ht="43.5" customHeight="1" s="1134">
      <c r="A159" s="1491" t="inlineStr">
        <is>
          <t>Automatic cooling of butt and dual splices</t>
        </is>
      </c>
      <c r="B159" s="1493" t="inlineStr">
        <is>
          <t xml:space="preserve">Cooling time to be used  based on PFMEA results (operation method doesn't allow to assure right handling after shrinking), red splice config. or splice shrinked on the line (in line splice).  
</t>
        </is>
      </c>
      <c r="C159" s="1540" t="inlineStr">
        <is>
          <t xml:space="preserve">STCS-RCM </t>
        </is>
      </c>
      <c r="D159" s="1541" t="inlineStr">
        <is>
          <t>Cooling process  time depending on shrinking time</t>
        </is>
      </c>
      <c r="E159" s="1542" t="inlineStr">
        <is>
          <t>shrinking time between 8 and 17 sec / pc</t>
        </is>
      </c>
      <c r="F159" s="1532" t="n"/>
      <c r="G159" s="1437" t="n"/>
      <c r="H159" s="1543" t="n">
        <v>20</v>
      </c>
      <c r="I159" s="1401" t="inlineStr">
        <is>
          <t>LP</t>
        </is>
      </c>
      <c r="J159" s="1469" t="n">
        <v>1</v>
      </c>
      <c r="K159" s="1470">
        <f>+J159*H159</f>
        <v/>
      </c>
      <c r="L159" s="1531" t="n"/>
      <c r="M159" s="1412" t="n"/>
      <c r="N159" s="1231" t="n"/>
      <c r="O159" s="1344" t="n"/>
      <c r="P159" s="1343" t="n"/>
      <c r="Q159" s="1404" t="n"/>
      <c r="R159" s="1231" t="n"/>
    </row>
    <row r="160" ht="37.5" customHeight="1" s="1134">
      <c r="A160" s="1405" t="n"/>
      <c r="B160" s="1406" t="n"/>
      <c r="C160" s="1544" t="n"/>
      <c r="D160" s="1545" t="n"/>
      <c r="E160" s="1542" t="inlineStr">
        <is>
          <t>shrinking time between18 and  27 sec / pc</t>
        </is>
      </c>
      <c r="F160" s="1532" t="n"/>
      <c r="G160" s="1437" t="n"/>
      <c r="H160" s="1543" t="n">
        <v>30</v>
      </c>
      <c r="I160" s="1401" t="inlineStr">
        <is>
          <t>LP</t>
        </is>
      </c>
      <c r="J160" s="1469" t="n">
        <v>1</v>
      </c>
      <c r="K160" s="1470">
        <f>+J160*H160</f>
        <v/>
      </c>
      <c r="L160" s="1531" t="n"/>
      <c r="M160" s="1412" t="n"/>
      <c r="N160" s="1231" t="n"/>
      <c r="O160" s="1344" t="n"/>
      <c r="P160" s="1343" t="n"/>
      <c r="Q160" s="1404" t="n"/>
      <c r="R160" s="1231" t="n"/>
    </row>
    <row r="161" ht="37.5" customHeight="1" s="1134">
      <c r="A161" s="1546" t="inlineStr">
        <is>
          <t>Manual Coiling for Splices
(NA Region)</t>
        </is>
      </c>
      <c r="B161" s="1547" t="inlineStr">
        <is>
          <t>For any type of splice. 
Onece per Splice</t>
        </is>
      </c>
      <c r="C161" s="1548" t="n"/>
      <c r="D161" s="1549" t="inlineStr">
        <is>
          <t>Get finished splice</t>
        </is>
      </c>
      <c r="E161" s="1549" t="inlineStr">
        <is>
          <t>Coiled splice configuration</t>
        </is>
      </c>
      <c r="F161" s="1550" t="n"/>
      <c r="G161" s="1550" t="n"/>
      <c r="H161" s="1551" t="n">
        <v>8.66</v>
      </c>
      <c r="I161" s="1468" t="inlineStr">
        <is>
          <t>LP</t>
        </is>
      </c>
      <c r="J161" s="1552" t="n">
        <v>0</v>
      </c>
      <c r="K161" s="1470">
        <f>+J161*H161</f>
        <v/>
      </c>
      <c r="L161" s="1529" t="n"/>
      <c r="M161" s="1412" t="inlineStr">
        <is>
          <t>R2*</t>
        </is>
      </c>
      <c r="N161" s="1231" t="n"/>
      <c r="O161" s="1344" t="n"/>
      <c r="P161" s="1343" t="n"/>
      <c r="Q161" s="1404" t="n"/>
      <c r="R161" s="1231" t="n"/>
    </row>
    <row r="162" ht="53.25" customFormat="1" customHeight="1" s="1391">
      <c r="A162" s="1216" t="inlineStr">
        <is>
          <t>Operation</t>
        </is>
      </c>
      <c r="B162" s="1217" t="inlineStr">
        <is>
          <t>COMMENTS</t>
        </is>
      </c>
      <c r="C162" s="1217" t="inlineStr">
        <is>
          <t>Machine Vendor</t>
        </is>
      </c>
      <c r="D162" s="1217" t="inlineStr">
        <is>
          <t>Min Gage</t>
        </is>
      </c>
      <c r="E162" s="1217" t="inlineStr">
        <is>
          <t>Max Gage</t>
        </is>
      </c>
      <c r="F162" s="1217" t="n"/>
      <c r="G162" s="1217" t="n"/>
      <c r="H162" s="1392" t="inlineStr">
        <is>
          <t>Global Sec/ Pc</t>
        </is>
      </c>
      <c r="I162" s="1479" t="inlineStr">
        <is>
          <t>Location
LP/FA</t>
        </is>
      </c>
      <c r="J162" s="1432" t="n">
        <v>0</v>
      </c>
      <c r="K162" s="1393" t="inlineStr">
        <is>
          <t>Total</t>
        </is>
      </c>
      <c r="N162" s="1231" t="n"/>
      <c r="O162" s="1344" t="n"/>
      <c r="P162" s="1343" t="n"/>
      <c r="Q162" s="1404" t="n"/>
      <c r="R162" s="1231" t="n"/>
      <c r="S162" s="1132" t="n"/>
    </row>
    <row r="163" ht="22.5" customHeight="1" s="1134">
      <c r="A163" s="1396" t="inlineStr">
        <is>
          <t>SOLDER IN TERMINAL</t>
        </is>
      </c>
      <c r="B163" s="1397" t="inlineStr">
        <is>
          <t>solder in barrel terminal</t>
        </is>
      </c>
      <c r="C163" s="1397" t="inlineStr">
        <is>
          <t>Induction solder</t>
        </is>
      </c>
      <c r="D163" s="1399" t="n">
        <v>0.35</v>
      </c>
      <c r="E163" s="1399" t="n">
        <v>1.5</v>
      </c>
      <c r="F163" s="1399" t="n"/>
      <c r="G163" s="1399" t="n"/>
      <c r="H163" s="1521" t="n">
        <v>5.52</v>
      </c>
      <c r="I163" s="1401" t="inlineStr">
        <is>
          <t>LP</t>
        </is>
      </c>
      <c r="J163" s="1402" t="n">
        <v>0</v>
      </c>
      <c r="K163" s="1403">
        <f>+J163*H163</f>
        <v/>
      </c>
      <c r="L163" s="1531" t="n"/>
      <c r="M163" s="1531" t="inlineStr">
        <is>
          <t>Manual</t>
        </is>
      </c>
      <c r="N163" s="1231" t="n"/>
      <c r="O163" s="1344" t="n"/>
      <c r="P163" s="1343" t="n"/>
      <c r="Q163" s="1404" t="n"/>
      <c r="R163" s="1231" t="n"/>
      <c r="S163" s="1391" t="n"/>
    </row>
    <row r="164" ht="22.5" customHeight="1" s="1134">
      <c r="A164" s="1232" t="n"/>
      <c r="B164" s="1397" t="inlineStr">
        <is>
          <t>solder in barrel terminal</t>
        </is>
      </c>
      <c r="C164" s="1397" t="n"/>
      <c r="D164" s="1399" t="n">
        <v>1.75</v>
      </c>
      <c r="E164" s="1399" t="n">
        <v>103</v>
      </c>
      <c r="F164" s="1399" t="n"/>
      <c r="G164" s="1399" t="n"/>
      <c r="H164" s="1521" t="n">
        <v>6.28</v>
      </c>
      <c r="I164" s="1401" t="inlineStr">
        <is>
          <t>LP</t>
        </is>
      </c>
      <c r="J164" s="1402" t="n">
        <v>0</v>
      </c>
      <c r="K164" s="1403">
        <f>+J164*H164</f>
        <v/>
      </c>
      <c r="L164" s="1531" t="n"/>
      <c r="M164" s="1531" t="inlineStr">
        <is>
          <t>Manual</t>
        </is>
      </c>
      <c r="N164" s="1231" t="n"/>
      <c r="O164" s="1344" t="n"/>
      <c r="P164" s="1343" t="n"/>
      <c r="Q164" s="1404" t="n"/>
      <c r="R164" s="1231" t="n"/>
    </row>
    <row r="165" ht="22.5" customHeight="1" s="1134">
      <c r="A165" s="1232" t="n"/>
      <c r="B165" s="1397" t="inlineStr">
        <is>
          <t>solder in barrel terminal (2 wires)</t>
        </is>
      </c>
      <c r="C165" s="1397" t="n"/>
      <c r="D165" s="1399" t="n">
        <v>0.7</v>
      </c>
      <c r="E165" s="1399" t="n">
        <v>2</v>
      </c>
      <c r="F165" s="1399" t="n"/>
      <c r="G165" s="1399" t="n"/>
      <c r="H165" s="1521" t="n">
        <v>12.24</v>
      </c>
      <c r="I165" s="1401" t="inlineStr">
        <is>
          <t>LP</t>
        </is>
      </c>
      <c r="J165" s="1402" t="n">
        <v>0</v>
      </c>
      <c r="K165" s="1403">
        <f>+J165*H165</f>
        <v/>
      </c>
      <c r="L165" s="1553" t="n"/>
      <c r="M165" s="1553" t="inlineStr">
        <is>
          <t>Manual</t>
        </is>
      </c>
      <c r="N165" s="1231" t="n"/>
      <c r="O165" s="1344" t="n"/>
      <c r="P165" s="1343" t="n"/>
      <c r="Q165" s="1404" t="n"/>
      <c r="R165" s="1231" t="n"/>
    </row>
    <row r="166" ht="37.5" customHeight="1" s="1134">
      <c r="A166" s="1232" t="n"/>
      <c r="B166" s="1397" t="inlineStr">
        <is>
          <t xml:space="preserve">solder in barrel terminals - small gauges </t>
        </is>
      </c>
      <c r="C166" s="1397" t="inlineStr">
        <is>
          <t>Induction solder (Barrel terminal to be filled in by solder - controled soldering)</t>
        </is>
      </c>
      <c r="D166" s="1399" t="n">
        <v>0.08</v>
      </c>
      <c r="E166" s="1399" t="n">
        <v>6</v>
      </c>
      <c r="F166" s="1399" t="n"/>
      <c r="G166" s="1399" t="n"/>
      <c r="H166" s="1521" t="n">
        <v>24.3</v>
      </c>
      <c r="I166" s="1401" t="inlineStr">
        <is>
          <t>LP</t>
        </is>
      </c>
      <c r="J166" s="1402" t="n">
        <v>0</v>
      </c>
      <c r="K166" s="1403">
        <f>+J166*H166</f>
        <v/>
      </c>
      <c r="M166" s="1132" t="inlineStr">
        <is>
          <t>Manual</t>
        </is>
      </c>
      <c r="N166" s="1231" t="n"/>
      <c r="O166" s="1344" t="n"/>
      <c r="P166" s="1343" t="n"/>
      <c r="Q166" s="1404" t="n"/>
      <c r="R166" s="1231" t="n"/>
    </row>
    <row r="167" ht="45.75" customHeight="1" s="1134">
      <c r="A167" s="1232" t="n"/>
      <c r="B167" s="1397" t="inlineStr">
        <is>
          <t>solder in battery /  barrel terminal</t>
        </is>
      </c>
      <c r="C167" s="1397" t="inlineStr">
        <is>
          <t>Induction solder for batt term (Barrel terminal to be filled in by solder - controled soldering)</t>
        </is>
      </c>
      <c r="D167" s="1399" t="n">
        <v>7</v>
      </c>
      <c r="E167" s="1399" t="n">
        <v>103</v>
      </c>
      <c r="F167" s="1399" t="n"/>
      <c r="G167" s="1399" t="n"/>
      <c r="H167" s="1521" t="n">
        <v>35</v>
      </c>
      <c r="I167" s="1401" t="inlineStr">
        <is>
          <t>LP</t>
        </is>
      </c>
      <c r="J167" s="1402" t="n">
        <v>0</v>
      </c>
      <c r="K167" s="1403">
        <f>+J167*H167</f>
        <v/>
      </c>
      <c r="M167" s="1132" t="inlineStr">
        <is>
          <t>Manual</t>
        </is>
      </c>
      <c r="N167" s="1231" t="n"/>
      <c r="O167" s="1344" t="n"/>
      <c r="P167" s="1343" t="n"/>
      <c r="Q167" s="1404" t="n"/>
      <c r="R167" s="1231" t="n"/>
    </row>
    <row r="168" ht="51.75" customHeight="1" s="1134">
      <c r="A168" s="1405" t="n"/>
      <c r="B168" s="1397" t="inlineStr">
        <is>
          <t>solder in battery terminal</t>
        </is>
      </c>
      <c r="C168" s="1397" t="inlineStr">
        <is>
          <t>Induction solder for batt term crimped (ATN-automatic controled soldering)</t>
        </is>
      </c>
      <c r="D168" s="1399" t="n">
        <v>7</v>
      </c>
      <c r="E168" s="1399" t="n">
        <v>103</v>
      </c>
      <c r="F168" s="1399" t="n"/>
      <c r="G168" s="1399" t="n"/>
      <c r="H168" s="1521" t="n">
        <v>17</v>
      </c>
      <c r="I168" s="1401" t="inlineStr">
        <is>
          <t>LP</t>
        </is>
      </c>
      <c r="J168" s="1402" t="n">
        <v>0</v>
      </c>
      <c r="K168" s="1403">
        <f>+J168*H168</f>
        <v/>
      </c>
      <c r="M168" s="1132" t="inlineStr">
        <is>
          <t>Manual</t>
        </is>
      </c>
      <c r="N168" s="1231" t="n"/>
      <c r="O168" s="1344" t="n"/>
      <c r="P168" s="1343" t="n"/>
      <c r="Q168" s="1404" t="n"/>
      <c r="R168" s="1231" t="n"/>
    </row>
    <row r="169" ht="22.5" customFormat="1" customHeight="1" s="1132">
      <c r="A169" s="1396" t="inlineStr">
        <is>
          <t>DIP SOLDER TERM</t>
        </is>
      </c>
      <c r="B169" s="1397" t="inlineStr">
        <is>
          <t>Dip solder process/ (Flux - tin)</t>
        </is>
      </c>
      <c r="C169" s="1398" t="inlineStr">
        <is>
          <t>Solder Pot</t>
        </is>
      </c>
      <c r="D169" s="1399" t="n">
        <v>0.13</v>
      </c>
      <c r="E169" s="1399" t="n">
        <v>103</v>
      </c>
      <c r="F169" s="1399" t="n"/>
      <c r="G169" s="1399" t="n"/>
      <c r="H169" s="1521" t="n">
        <v>7</v>
      </c>
      <c r="I169" s="1401" t="inlineStr">
        <is>
          <t>LP</t>
        </is>
      </c>
      <c r="J169" s="1402" t="n">
        <v>0</v>
      </c>
      <c r="K169" s="1403">
        <f>+J169*H169</f>
        <v/>
      </c>
      <c r="L169" s="1132" t="n"/>
      <c r="M169" s="1132" t="inlineStr">
        <is>
          <t>Manual</t>
        </is>
      </c>
      <c r="N169" s="1231" t="n"/>
      <c r="O169" s="1344" t="n"/>
      <c r="P169" s="1343" t="n"/>
      <c r="Q169" s="1404" t="n"/>
      <c r="R169" s="1231" t="n"/>
      <c r="S169" s="1132" t="n"/>
    </row>
    <row r="170" ht="22.5" customHeight="1" s="1134">
      <c r="A170" s="1396" t="inlineStr">
        <is>
          <t>DIP SOLDER SPLICE</t>
        </is>
      </c>
      <c r="B170" s="1397" t="inlineStr">
        <is>
          <t>splice soldering</t>
        </is>
      </c>
      <c r="C170" s="1398" t="inlineStr">
        <is>
          <t>Small solder pot</t>
        </is>
      </c>
      <c r="D170" s="1399" t="n"/>
      <c r="E170" s="1399" t="n"/>
      <c r="F170" s="1399" t="n"/>
      <c r="G170" s="1399" t="n"/>
      <c r="H170" s="1521" t="n">
        <v>3.41</v>
      </c>
      <c r="I170" s="1401" t="inlineStr">
        <is>
          <t>LP</t>
        </is>
      </c>
      <c r="J170" s="1402" t="n">
        <v>0</v>
      </c>
      <c r="K170" s="1403">
        <f>+J170*H170</f>
        <v/>
      </c>
      <c r="L170" s="1132" t="n"/>
      <c r="M170" s="1132" t="inlineStr">
        <is>
          <t>Manual</t>
        </is>
      </c>
      <c r="N170" s="1231" t="n"/>
      <c r="O170" s="1344" t="n"/>
      <c r="P170" s="1343" t="n"/>
      <c r="Q170" s="1404" t="n"/>
      <c r="R170" s="1231" t="n"/>
      <c r="S170" s="1132" t="n"/>
    </row>
    <row r="171" ht="22.5" customHeight="1" s="1134">
      <c r="A171" s="1396" t="inlineStr">
        <is>
          <t>DIP SOLDER STRIP</t>
        </is>
      </c>
      <c r="B171" s="1397" t="inlineStr">
        <is>
          <t>end wire soldering 
(wires before termination)</t>
        </is>
      </c>
      <c r="C171" s="1398" t="inlineStr">
        <is>
          <t>Solder Pot</t>
        </is>
      </c>
      <c r="D171" s="1399" t="n">
        <v>0.13</v>
      </c>
      <c r="E171" s="1399" t="n">
        <v>6</v>
      </c>
      <c r="F171" s="1399" t="n"/>
      <c r="G171" s="1399" t="n"/>
      <c r="H171" s="1521" t="n">
        <v>2.87</v>
      </c>
      <c r="I171" s="1401" t="inlineStr">
        <is>
          <t>LP</t>
        </is>
      </c>
      <c r="J171" s="1402" t="n">
        <v>0</v>
      </c>
      <c r="K171" s="1403">
        <f>+J171*H171</f>
        <v/>
      </c>
      <c r="L171" s="1231" t="n"/>
      <c r="M171" s="1231" t="inlineStr">
        <is>
          <t>Manual</t>
        </is>
      </c>
      <c r="N171" s="1231" t="n"/>
      <c r="O171" s="1344" t="n"/>
      <c r="P171" s="1343" t="n"/>
      <c r="Q171" s="1404" t="n"/>
      <c r="R171" s="1231" t="n"/>
    </row>
    <row r="172" ht="22.5" customHeight="1" s="1134">
      <c r="A172" s="1405" t="n"/>
      <c r="B172" s="1406" t="n"/>
      <c r="C172" s="1398" t="n"/>
      <c r="D172" s="1399" t="n">
        <v>7</v>
      </c>
      <c r="E172" s="1399" t="n">
        <v>103</v>
      </c>
      <c r="F172" s="1399" t="n"/>
      <c r="G172" s="1399" t="n"/>
      <c r="H172" s="1521" t="n">
        <v>3.99</v>
      </c>
      <c r="I172" s="1401" t="inlineStr">
        <is>
          <t>LP</t>
        </is>
      </c>
      <c r="J172" s="1402" t="n">
        <v>0</v>
      </c>
      <c r="K172" s="1403">
        <f>+J172*H172</f>
        <v/>
      </c>
      <c r="L172" s="1231" t="n"/>
      <c r="M172" s="1231" t="inlineStr">
        <is>
          <t>Manual</t>
        </is>
      </c>
      <c r="N172" s="1231" t="n"/>
      <c r="O172" s="1344" t="n"/>
      <c r="P172" s="1343" t="n"/>
      <c r="Q172" s="1404" t="n"/>
      <c r="R172" s="1231" t="n"/>
    </row>
    <row r="173" ht="22.5" customHeight="1" s="1134">
      <c r="A173" s="1396" t="inlineStr">
        <is>
          <t>VARIAC</t>
        </is>
      </c>
      <c r="B173" s="1397" t="inlineStr">
        <is>
          <t>variac in single wire</t>
        </is>
      </c>
      <c r="C173" s="1503" t="inlineStr">
        <is>
          <t>Variac Station</t>
        </is>
      </c>
      <c r="D173" s="1399" t="n">
        <v>0.13</v>
      </c>
      <c r="E173" s="1399" t="n">
        <v>7</v>
      </c>
      <c r="F173" s="1399" t="n"/>
      <c r="G173" s="1399" t="n"/>
      <c r="H173" s="1521" t="n">
        <v>5</v>
      </c>
      <c r="I173" s="1401" t="inlineStr">
        <is>
          <t>LP</t>
        </is>
      </c>
      <c r="J173" s="1402" t="n">
        <v>0</v>
      </c>
      <c r="K173" s="1403">
        <f>+J173*H173</f>
        <v/>
      </c>
      <c r="L173" s="1231" t="n"/>
      <c r="M173" s="1231" t="inlineStr">
        <is>
          <t>Manual</t>
        </is>
      </c>
      <c r="N173" s="1231" t="n"/>
      <c r="O173" s="1344" t="n"/>
      <c r="P173" s="1343" t="n"/>
      <c r="Q173" s="1404" t="n"/>
      <c r="R173" s="1231" t="n"/>
    </row>
    <row r="174" ht="22.5" customHeight="1" s="1134">
      <c r="A174" s="1232" t="n"/>
      <c r="B174" s="1397" t="inlineStr">
        <is>
          <t>variac in double wires (2 wires)</t>
        </is>
      </c>
      <c r="C174" s="1233" t="n"/>
      <c r="D174" s="1399" t="n">
        <v>0.13</v>
      </c>
      <c r="E174" s="1399" t="n">
        <v>7</v>
      </c>
      <c r="F174" s="1399" t="n"/>
      <c r="G174" s="1399" t="n"/>
      <c r="H174" s="1521" t="n">
        <v>5.5</v>
      </c>
      <c r="I174" s="1401" t="inlineStr">
        <is>
          <t>LP</t>
        </is>
      </c>
      <c r="J174" s="1402" t="n">
        <v>0</v>
      </c>
      <c r="K174" s="1403">
        <f>+J174*H174</f>
        <v/>
      </c>
      <c r="L174" s="1231" t="n"/>
      <c r="M174" s="1231" t="inlineStr">
        <is>
          <t>Manual</t>
        </is>
      </c>
      <c r="N174" s="1231" t="n"/>
      <c r="O174" s="1344" t="n"/>
      <c r="P174" s="1343" t="n"/>
      <c r="Q174" s="1404" t="n"/>
      <c r="R174" s="1231" t="n"/>
    </row>
    <row r="175" ht="22.5" customHeight="1" s="1134">
      <c r="A175" s="1232" t="n"/>
      <c r="B175" s="1397" t="inlineStr">
        <is>
          <t>variac in tripple wires (3 Wires)</t>
        </is>
      </c>
      <c r="C175" s="1233" t="n"/>
      <c r="D175" s="1399" t="n">
        <v>0.13</v>
      </c>
      <c r="E175" s="1399" t="n">
        <v>7</v>
      </c>
      <c r="F175" s="1399" t="n"/>
      <c r="G175" s="1399" t="n"/>
      <c r="H175" s="1521" t="n">
        <v>6.2</v>
      </c>
      <c r="I175" s="1401" t="inlineStr">
        <is>
          <t>LP</t>
        </is>
      </c>
      <c r="J175" s="1402" t="n">
        <v>0</v>
      </c>
      <c r="K175" s="1403">
        <f>+J175*H175</f>
        <v/>
      </c>
      <c r="L175" s="1231" t="n"/>
      <c r="M175" s="1231" t="inlineStr">
        <is>
          <t>Manual</t>
        </is>
      </c>
      <c r="N175" s="1231" t="n"/>
      <c r="O175" s="1344" t="n"/>
      <c r="P175" s="1343" t="n"/>
      <c r="Q175" s="1404" t="n"/>
      <c r="R175" s="1231" t="n"/>
    </row>
    <row r="176" ht="22.5" customHeight="1" s="1134">
      <c r="A176" s="1232" t="n"/>
      <c r="B176" s="1493" t="inlineStr">
        <is>
          <t>variac in  wires – heavy gages</t>
        </is>
      </c>
      <c r="C176" s="1233" t="n"/>
      <c r="D176" s="1399" t="n">
        <v>8</v>
      </c>
      <c r="E176" s="1399" t="n">
        <v>15</v>
      </c>
      <c r="F176" s="1399" t="n"/>
      <c r="G176" s="1399" t="n"/>
      <c r="H176" s="1521" t="n">
        <v>8.75</v>
      </c>
      <c r="I176" s="1401" t="inlineStr">
        <is>
          <t>LP</t>
        </is>
      </c>
      <c r="J176" s="1402" t="n">
        <v>0</v>
      </c>
      <c r="K176" s="1403">
        <f>+J176*H176</f>
        <v/>
      </c>
      <c r="L176" s="1231" t="n"/>
      <c r="M176" s="1231" t="inlineStr">
        <is>
          <t>Manual</t>
        </is>
      </c>
      <c r="N176" s="1231" t="n"/>
      <c r="O176" s="1344" t="n"/>
      <c r="P176" s="1343" t="n"/>
      <c r="Q176" s="1404" t="n"/>
      <c r="R176" s="1231" t="n"/>
    </row>
    <row r="177" ht="22.5" customHeight="1" s="1134">
      <c r="A177" s="1232" t="n"/>
      <c r="B177" s="1233" t="n"/>
      <c r="C177" s="1233" t="n"/>
      <c r="D177" s="1399" t="n">
        <v>16</v>
      </c>
      <c r="E177" s="1399" t="n">
        <v>30</v>
      </c>
      <c r="F177" s="1399" t="n"/>
      <c r="G177" s="1399" t="n"/>
      <c r="H177" s="1521" t="n">
        <v>11.5</v>
      </c>
      <c r="I177" s="1401" t="inlineStr">
        <is>
          <t>LP</t>
        </is>
      </c>
      <c r="J177" s="1402" t="n">
        <v>0</v>
      </c>
      <c r="K177" s="1403">
        <f>+J177*H177</f>
        <v/>
      </c>
      <c r="L177" s="1231" t="n"/>
      <c r="M177" s="1231" t="inlineStr">
        <is>
          <t>Manual</t>
        </is>
      </c>
      <c r="N177" s="1231" t="n"/>
      <c r="O177" s="1344" t="n"/>
      <c r="P177" s="1343" t="n"/>
      <c r="Q177" s="1404" t="n"/>
      <c r="R177" s="1231" t="n"/>
    </row>
    <row r="178" ht="22.5" customHeight="1" s="1134">
      <c r="A178" s="1232" t="n"/>
      <c r="B178" s="1233" t="n"/>
      <c r="C178" s="1233" t="n"/>
      <c r="D178" s="1399" t="n">
        <v>31</v>
      </c>
      <c r="E178" s="1399" t="n">
        <v>50</v>
      </c>
      <c r="F178" s="1399" t="n"/>
      <c r="G178" s="1399" t="n"/>
      <c r="H178" s="1521" t="n">
        <v>14</v>
      </c>
      <c r="I178" s="1401" t="inlineStr">
        <is>
          <t>LP</t>
        </is>
      </c>
      <c r="J178" s="1402" t="n">
        <v>0</v>
      </c>
      <c r="K178" s="1403">
        <f>+J178*H178</f>
        <v/>
      </c>
      <c r="L178" s="1231" t="n"/>
      <c r="M178" s="1231" t="inlineStr">
        <is>
          <t>Manual</t>
        </is>
      </c>
      <c r="N178" s="1231" t="n"/>
      <c r="O178" s="1344" t="n"/>
      <c r="P178" s="1343" t="n"/>
      <c r="Q178" s="1404" t="n"/>
      <c r="R178" s="1231" t="n"/>
    </row>
    <row r="179" ht="22.5" customHeight="1" s="1134">
      <c r="A179" s="1405" t="n"/>
      <c r="B179" s="1406" t="n"/>
      <c r="C179" s="1406" t="n"/>
      <c r="D179" s="1399" t="n">
        <v>51</v>
      </c>
      <c r="E179" s="1399" t="n">
        <v>103</v>
      </c>
      <c r="F179" s="1399" t="n"/>
      <c r="G179" s="1399" t="n"/>
      <c r="H179" s="1521" t="n">
        <v>21</v>
      </c>
      <c r="I179" s="1401" t="inlineStr">
        <is>
          <t>LP</t>
        </is>
      </c>
      <c r="J179" s="1402" t="n">
        <v>0</v>
      </c>
      <c r="K179" s="1403">
        <f>+J179*H179</f>
        <v/>
      </c>
      <c r="L179" s="1231" t="n"/>
      <c r="M179" s="1231" t="inlineStr">
        <is>
          <t>Manual</t>
        </is>
      </c>
      <c r="N179" s="1231" t="n"/>
      <c r="O179" s="1344" t="n"/>
      <c r="P179" s="1343" t="n"/>
      <c r="Q179" s="1404" t="n"/>
      <c r="R179" s="1231" t="n"/>
    </row>
    <row r="180" ht="22.5" customHeight="1" s="1134">
      <c r="A180" s="1396" t="inlineStr">
        <is>
          <t>SONIC RING VARIAC</t>
        </is>
      </c>
      <c r="B180" s="1397" t="inlineStr">
        <is>
          <t>variac for ground terminal with ultrasonic welding (due to quality problems)</t>
        </is>
      </c>
      <c r="C180" s="1398" t="inlineStr">
        <is>
          <t>Variac Station</t>
        </is>
      </c>
      <c r="D180" s="1399" t="n"/>
      <c r="E180" s="1399" t="n"/>
      <c r="F180" s="1399" t="n"/>
      <c r="G180" s="1399" t="n"/>
      <c r="H180" s="1521" t="n">
        <v>6.2</v>
      </c>
      <c r="I180" s="1401" t="inlineStr">
        <is>
          <t>LP</t>
        </is>
      </c>
      <c r="J180" s="1402" t="n">
        <v>0</v>
      </c>
      <c r="K180" s="1403">
        <f>+J180*H180</f>
        <v/>
      </c>
      <c r="L180" s="1231" t="n"/>
      <c r="M180" s="1231" t="inlineStr">
        <is>
          <t>Manual</t>
        </is>
      </c>
      <c r="N180" s="1231" t="n"/>
      <c r="O180" s="1344" t="n"/>
      <c r="P180" s="1343" t="n"/>
      <c r="Q180" s="1404" t="n"/>
      <c r="R180" s="1231" t="n"/>
    </row>
    <row r="181" ht="22.5" customHeight="1" s="1134">
      <c r="A181" s="1396" t="inlineStr">
        <is>
          <t>REFLOW</t>
        </is>
      </c>
      <c r="B181" s="1397" t="inlineStr">
        <is>
          <t>reflow in single wires</t>
        </is>
      </c>
      <c r="C181" s="1398" t="inlineStr">
        <is>
          <t>Reflow Station</t>
        </is>
      </c>
      <c r="D181" s="1399" t="n">
        <v>0.13</v>
      </c>
      <c r="E181" s="1399" t="n">
        <v>103</v>
      </c>
      <c r="F181" s="1399" t="n"/>
      <c r="G181" s="1399" t="n"/>
      <c r="H181" s="1521" t="n">
        <v>3.3</v>
      </c>
      <c r="I181" s="1401" t="inlineStr">
        <is>
          <t>LP</t>
        </is>
      </c>
      <c r="J181" s="1402" t="n">
        <v>0</v>
      </c>
      <c r="K181" s="1403">
        <f>+J181*H181</f>
        <v/>
      </c>
      <c r="L181" s="1231" t="n"/>
      <c r="M181" s="1231" t="inlineStr">
        <is>
          <t>Manual</t>
        </is>
      </c>
      <c r="N181" s="1231" t="n"/>
      <c r="O181" s="1344" t="n"/>
      <c r="P181" s="1343" t="n"/>
      <c r="Q181" s="1404" t="n"/>
      <c r="R181" s="1231" t="n"/>
    </row>
    <row r="182" ht="22.5" customHeight="1" s="1134">
      <c r="A182" s="1405" t="n"/>
      <c r="B182" s="1397" t="inlineStr">
        <is>
          <t>reflow in &gt;1 wires</t>
        </is>
      </c>
      <c r="C182" s="1398" t="n"/>
      <c r="D182" s="1399" t="n">
        <v>0.13</v>
      </c>
      <c r="E182" s="1399" t="n">
        <v>103</v>
      </c>
      <c r="F182" s="1399" t="n"/>
      <c r="G182" s="1399" t="n"/>
      <c r="H182" s="1521" t="n">
        <v>4.9</v>
      </c>
      <c r="I182" s="1401" t="inlineStr">
        <is>
          <t>LP</t>
        </is>
      </c>
      <c r="J182" s="1402" t="n">
        <v>0</v>
      </c>
      <c r="K182" s="1403">
        <f>+J182*H182</f>
        <v/>
      </c>
      <c r="L182" s="1231" t="n"/>
      <c r="M182" s="1231" t="inlineStr">
        <is>
          <t>Manual</t>
        </is>
      </c>
      <c r="N182" s="1231" t="n"/>
      <c r="O182" s="1344" t="n"/>
      <c r="P182" s="1343" t="n"/>
      <c r="Q182" s="1404" t="n"/>
      <c r="R182" s="1231" t="n"/>
    </row>
    <row r="183" ht="22.5" customHeight="1" s="1134">
      <c r="A183" s="1554" t="inlineStr">
        <is>
          <t>SOLD WIRES</t>
        </is>
      </c>
      <c r="B183" s="1555" t="inlineStr">
        <is>
          <t>Sold wires to a microphone connector</t>
        </is>
      </c>
      <c r="C183" s="1422" t="n"/>
      <c r="D183" s="1317" t="n"/>
      <c r="E183" s="1317" t="n"/>
      <c r="F183" s="1317" t="n"/>
      <c r="G183" s="1317" t="n"/>
      <c r="H183" s="1556" t="n">
        <v>111</v>
      </c>
      <c r="I183" s="1401" t="inlineStr">
        <is>
          <t>LP</t>
        </is>
      </c>
      <c r="J183" s="1402" t="n">
        <v>0</v>
      </c>
      <c r="K183" s="1440">
        <f>+J183*H183</f>
        <v/>
      </c>
      <c r="M183" s="1132" t="inlineStr">
        <is>
          <t>Manual</t>
        </is>
      </c>
      <c r="N183" s="1231" t="n"/>
      <c r="O183" s="1344" t="n"/>
      <c r="P183" s="1343" t="n"/>
      <c r="Q183" s="1404" t="n"/>
      <c r="R183" s="1231" t="n"/>
    </row>
    <row r="184" ht="22.5" customHeight="1" s="1134">
      <c r="A184" s="1554" t="n"/>
      <c r="B184" s="1555" t="n"/>
      <c r="C184" s="1422" t="n"/>
      <c r="D184" s="1317" t="n"/>
      <c r="E184" s="1317" t="n"/>
      <c r="F184" s="1317" t="n"/>
      <c r="G184" s="1317" t="n"/>
      <c r="H184" s="1556" t="n"/>
      <c r="I184" s="1401" t="n"/>
      <c r="J184" s="1402" t="n">
        <v>0</v>
      </c>
      <c r="K184" s="1440" t="n"/>
      <c r="N184" s="1231" t="n"/>
      <c r="O184" s="1344" t="n"/>
      <c r="P184" s="1343" t="n"/>
      <c r="Q184" s="1404" t="n"/>
      <c r="R184" s="1231" t="n"/>
    </row>
    <row r="185" ht="22.5" customHeight="1" s="1134">
      <c r="A185" s="1554" t="n"/>
      <c r="B185" s="1555" t="n"/>
      <c r="C185" s="1422" t="n"/>
      <c r="D185" s="1317" t="n"/>
      <c r="E185" s="1317" t="n"/>
      <c r="F185" s="1317" t="n"/>
      <c r="G185" s="1317" t="n"/>
      <c r="H185" s="1557" t="n"/>
      <c r="I185" s="1401" t="n"/>
      <c r="J185" s="1402" t="n">
        <v>0</v>
      </c>
      <c r="K185" s="1440" t="n"/>
      <c r="N185" s="1231" t="n"/>
      <c r="O185" s="1344" t="n"/>
      <c r="P185" s="1343" t="n"/>
      <c r="Q185" s="1404" t="n"/>
      <c r="R185" s="1231" t="n"/>
    </row>
    <row r="186" ht="22.5" customHeight="1" s="1134">
      <c r="A186" s="1558" t="n"/>
      <c r="B186" s="1449" t="n"/>
      <c r="C186" s="1559" t="n"/>
      <c r="D186" s="1319" t="n"/>
      <c r="E186" s="1319" t="n"/>
      <c r="F186" s="1319" t="n"/>
      <c r="G186" s="1319" t="n"/>
      <c r="H186" s="1319" t="n"/>
      <c r="I186" s="1560" t="n"/>
      <c r="J186" s="1402" t="n">
        <v>0</v>
      </c>
      <c r="K186" s="1430" t="n"/>
      <c r="N186" s="1231" t="n"/>
      <c r="O186" s="1344" t="n"/>
      <c r="P186" s="1343" t="n"/>
      <c r="Q186" s="1404" t="n"/>
      <c r="R186" s="1231" t="n"/>
    </row>
    <row r="187" ht="53.25" customFormat="1" customHeight="1" s="1391">
      <c r="A187" s="1216" t="inlineStr">
        <is>
          <t>MOLDING</t>
        </is>
      </c>
      <c r="B187" s="1217" t="inlineStr">
        <is>
          <t>COMMENTS</t>
        </is>
      </c>
      <c r="C187" s="1217" t="inlineStr">
        <is>
          <t>Machine Vendor</t>
        </is>
      </c>
      <c r="D187" s="1217" t="inlineStr">
        <is>
          <t>Comment</t>
        </is>
      </c>
      <c r="E187" s="1217" t="n"/>
      <c r="F187" s="1217" t="n"/>
      <c r="G187" s="1217" t="n"/>
      <c r="H187" s="1392" t="inlineStr">
        <is>
          <t>Global Sec/ Pc</t>
        </is>
      </c>
      <c r="I187" s="1479" t="inlineStr">
        <is>
          <t>Location
LP/FA</t>
        </is>
      </c>
      <c r="J187" s="1432" t="n">
        <v>0</v>
      </c>
      <c r="K187" s="1393" t="inlineStr">
        <is>
          <t>Total</t>
        </is>
      </c>
      <c r="N187" s="1231" t="n"/>
      <c r="O187" s="1344" t="n"/>
      <c r="P187" s="1343" t="n"/>
      <c r="Q187" s="1404" t="n"/>
      <c r="R187" s="1231" t="n"/>
      <c r="S187" s="1132" t="n"/>
    </row>
    <row r="188" ht="24.75" customHeight="1" s="1134">
      <c r="A188" s="1396" t="inlineStr">
        <is>
          <t xml:space="preserve">  PUR FOAMED  GROMMET</t>
        </is>
      </c>
      <c r="B188" s="1493" t="inlineStr">
        <is>
          <t xml:space="preserve">Get &amp; Apply release agent -per Grommet </t>
        </is>
      </c>
      <c r="C188" s="1561" t="inlineStr">
        <is>
          <t>PUR Molding machine             CANNON A-10</t>
        </is>
      </c>
      <c r="D188" s="1562" t="n"/>
      <c r="E188" s="1399" t="n"/>
      <c r="F188" s="1399" t="n"/>
      <c r="G188" s="1399" t="n"/>
      <c r="H188" s="1556" t="n">
        <v>12.822</v>
      </c>
      <c r="I188" s="1563" t="inlineStr">
        <is>
          <t>LP</t>
        </is>
      </c>
      <c r="J188" s="1564" t="n">
        <v>0</v>
      </c>
      <c r="K188" s="1565">
        <f>+J188*H188</f>
        <v/>
      </c>
      <c r="L188" s="1566" t="n"/>
      <c r="M188" s="1566" t="inlineStr">
        <is>
          <t>Automatic</t>
        </is>
      </c>
      <c r="N188" s="1231" t="inlineStr">
        <is>
          <t>не учитываю</t>
        </is>
      </c>
      <c r="P188" s="1343" t="n"/>
      <c r="Q188" s="1404" t="n"/>
      <c r="R188" s="1231" t="n"/>
      <c r="S188" s="1391" t="n"/>
    </row>
    <row r="189" ht="24.75" customHeight="1" s="1134">
      <c r="A189" s="1232" t="n"/>
      <c r="B189" s="1493" t="inlineStr">
        <is>
          <t xml:space="preserve">Dry the mould by air gun - per Grommet </t>
        </is>
      </c>
      <c r="C189" s="1233" t="n"/>
      <c r="D189" s="1562" t="n"/>
      <c r="E189" s="1399" t="n"/>
      <c r="F189" s="1399" t="n"/>
      <c r="G189" s="1399" t="n"/>
      <c r="H189" s="1556" t="n">
        <v>8</v>
      </c>
      <c r="I189" s="1563" t="inlineStr">
        <is>
          <t>LP</t>
        </is>
      </c>
      <c r="J189" s="1564" t="n">
        <v>0</v>
      </c>
      <c r="K189" s="1565">
        <f>+J189*H189</f>
        <v/>
      </c>
      <c r="L189" s="1326" t="n"/>
      <c r="M189" s="1326" t="n"/>
      <c r="N189" s="1231" t="inlineStr">
        <is>
          <t>не учитываю</t>
        </is>
      </c>
      <c r="P189" s="1343" t="n"/>
      <c r="Q189" s="1404" t="n"/>
      <c r="R189" s="1231" t="n"/>
      <c r="S189" s="1391" t="n"/>
    </row>
    <row r="190" ht="45.75" customHeight="1" s="1134">
      <c r="A190" s="1232" t="n"/>
      <c r="B190" s="1493" t="inlineStr">
        <is>
          <t>Get the harness from input buffer - per harness</t>
        </is>
      </c>
      <c r="C190" s="1233" t="n"/>
      <c r="D190" s="1493" t="inlineStr">
        <is>
          <t>Get the harness from transportation (rail/hook) system and put into the trolley</t>
        </is>
      </c>
      <c r="E190" s="1399" t="n"/>
      <c r="F190" s="1399" t="n"/>
      <c r="G190" s="1399" t="n"/>
      <c r="H190" s="1556" t="n">
        <v>13</v>
      </c>
      <c r="I190" s="1563" t="inlineStr">
        <is>
          <t>LP</t>
        </is>
      </c>
      <c r="J190" s="1564" t="n">
        <v>0</v>
      </c>
      <c r="K190" s="1565">
        <f>+J190*H190</f>
        <v/>
      </c>
      <c r="L190" s="1326" t="n"/>
      <c r="M190" s="1326" t="n"/>
      <c r="N190" s="1231" t="inlineStr">
        <is>
          <t>не учитываю</t>
        </is>
      </c>
      <c r="P190" s="1343" t="n"/>
      <c r="Q190" s="1404" t="n"/>
      <c r="R190" s="1231" t="n"/>
      <c r="S190" s="1391" t="n"/>
    </row>
    <row r="191" ht="24.75" customHeight="1" s="1134">
      <c r="A191" s="1232" t="n"/>
      <c r="B191" s="1493" t="inlineStr">
        <is>
          <t>Move the trolley into PUR area - per harness</t>
        </is>
      </c>
      <c r="C191" s="1233" t="n"/>
      <c r="D191" s="1562" t="n"/>
      <c r="E191" s="1399" t="n"/>
      <c r="F191" s="1399" t="n"/>
      <c r="G191" s="1399" t="n"/>
      <c r="H191" s="1556" t="n">
        <v>6</v>
      </c>
      <c r="I191" s="1563" t="inlineStr">
        <is>
          <t>LP</t>
        </is>
      </c>
      <c r="J191" s="1564" t="n">
        <v>0</v>
      </c>
      <c r="K191" s="1565">
        <f>+J191*H191</f>
        <v/>
      </c>
      <c r="L191" s="1326" t="n"/>
      <c r="M191" s="1326" t="n"/>
      <c r="N191" s="1231" t="inlineStr">
        <is>
          <t>не учитываю</t>
        </is>
      </c>
      <c r="P191" s="1343" t="n"/>
      <c r="Q191" s="1404" t="n"/>
      <c r="R191" s="1231" t="n"/>
      <c r="S191" s="1391" t="n"/>
    </row>
    <row r="192" ht="24.75" customHeight="1" s="1134">
      <c r="A192" s="1232" t="n"/>
      <c r="B192" s="1493" t="inlineStr">
        <is>
          <t>Make sealing spot taping and measure with gauge - per grommet</t>
        </is>
      </c>
      <c r="C192" s="1233" t="n"/>
      <c r="D192" s="1493" t="inlineStr">
        <is>
          <t>Two spot tapes under one grommet</t>
        </is>
      </c>
      <c r="E192" s="1399" t="n"/>
      <c r="F192" s="1399" t="n"/>
      <c r="G192" s="1399" t="n"/>
      <c r="H192" s="1556" t="n">
        <v>26</v>
      </c>
      <c r="I192" s="1563" t="inlineStr">
        <is>
          <t>LP</t>
        </is>
      </c>
      <c r="J192" s="1564" t="n">
        <v>0</v>
      </c>
      <c r="K192" s="1565">
        <f>+J192*H192</f>
        <v/>
      </c>
      <c r="L192" s="1326" t="n"/>
      <c r="M192" s="1326" t="n"/>
      <c r="N192" s="1231" t="inlineStr">
        <is>
          <t>не учитываю</t>
        </is>
      </c>
      <c r="P192" s="1343" t="n"/>
      <c r="Q192" s="1404" t="n"/>
      <c r="R192" s="1231" t="n"/>
      <c r="S192" s="1391" t="n"/>
    </row>
    <row r="193" ht="24.75" customHeight="1" s="1134">
      <c r="A193" s="1232" t="n"/>
      <c r="B193" s="1493" t="inlineStr">
        <is>
          <t>Scan the barcode - per harness</t>
        </is>
      </c>
      <c r="C193" s="1233" t="n"/>
      <c r="D193" s="1562" t="n"/>
      <c r="E193" s="1399" t="n"/>
      <c r="F193" s="1399" t="n"/>
      <c r="G193" s="1399" t="n"/>
      <c r="H193" s="1556" t="n">
        <v>3</v>
      </c>
      <c r="I193" s="1563" t="inlineStr">
        <is>
          <t>LP</t>
        </is>
      </c>
      <c r="J193" s="1564" t="n">
        <v>0</v>
      </c>
      <c r="K193" s="1565">
        <f>+J193*H193</f>
        <v/>
      </c>
      <c r="L193" s="1326" t="n"/>
      <c r="M193" s="1326" t="n"/>
      <c r="N193" s="1231" t="inlineStr">
        <is>
          <t>не учитываю</t>
        </is>
      </c>
      <c r="P193" s="1343" t="n"/>
      <c r="Q193" s="1404" t="n"/>
      <c r="R193" s="1231" t="n"/>
      <c r="S193" s="1391" t="n"/>
    </row>
    <row r="194" ht="24.75" customHeight="1" s="1134">
      <c r="A194" s="1232" t="n"/>
      <c r="B194" s="1493" t="inlineStr">
        <is>
          <t xml:space="preserve">Get harness &amp; position in mould - Per Grommet </t>
        </is>
      </c>
      <c r="C194" s="1233" t="n"/>
      <c r="D194" s="1562" t="n"/>
      <c r="E194" s="1399" t="n"/>
      <c r="F194" s="1399" t="n"/>
      <c r="G194" s="1399" t="n"/>
      <c r="H194" s="1556" t="n">
        <v>18.69</v>
      </c>
      <c r="I194" s="1563" t="inlineStr">
        <is>
          <t>LP</t>
        </is>
      </c>
      <c r="J194" s="1564" t="n">
        <v>0</v>
      </c>
      <c r="K194" s="1565">
        <f>+J194*H194</f>
        <v/>
      </c>
      <c r="L194" s="1326" t="n"/>
      <c r="M194" s="1326" t="n"/>
      <c r="N194" s="1231" t="inlineStr">
        <is>
          <t>не учитываю</t>
        </is>
      </c>
      <c r="P194" s="1343" t="n"/>
      <c r="Q194" s="1404" t="n"/>
      <c r="R194" s="1231" t="n"/>
    </row>
    <row r="195" ht="49.5" customHeight="1" s="1134">
      <c r="A195" s="1232" t="n"/>
      <c r="B195" s="1493" t="inlineStr">
        <is>
          <t>Place defined elements into holders and sockets - per grommet</t>
        </is>
      </c>
      <c r="C195" s="1233" t="n"/>
      <c r="D195" s="1493" t="inlineStr">
        <is>
          <t>Error proofing system for harness and branch orientation accordingly to the 3D routing of the harness</t>
        </is>
      </c>
      <c r="E195" s="1399" t="n"/>
      <c r="F195" s="1399" t="n"/>
      <c r="G195" s="1399" t="n"/>
      <c r="H195" s="1556" t="n">
        <v>6</v>
      </c>
      <c r="I195" s="1563" t="inlineStr">
        <is>
          <t>LP</t>
        </is>
      </c>
      <c r="J195" s="1564" t="n">
        <v>0</v>
      </c>
      <c r="K195" s="1565">
        <f>+J195*H195</f>
        <v/>
      </c>
      <c r="L195" s="1326" t="n"/>
      <c r="M195" s="1326" t="n"/>
      <c r="N195" s="1231" t="inlineStr">
        <is>
          <t>не учитываю</t>
        </is>
      </c>
      <c r="P195" s="1343" t="n"/>
      <c r="Q195" s="1404" t="n"/>
      <c r="R195" s="1231" t="n"/>
    </row>
    <row r="196" ht="45.75" customHeight="1" s="1134">
      <c r="A196" s="1232" t="n"/>
      <c r="B196" s="1567" t="inlineStr">
        <is>
          <t>Machine time per injection-  Get machine heads &amp; make injection - per harness</t>
        </is>
      </c>
      <c r="C196" s="1233" t="n"/>
      <c r="D196" s="1493" t="inlineStr">
        <is>
          <t>Mean value of the currently running projects; +7 s per each additional grommet on one harness</t>
        </is>
      </c>
      <c r="E196" s="1399" t="n"/>
      <c r="F196" s="1399" t="n"/>
      <c r="G196" s="1399" t="n"/>
      <c r="H196" s="1556" t="n">
        <v>21.379</v>
      </c>
      <c r="I196" s="1563" t="inlineStr">
        <is>
          <t>LP</t>
        </is>
      </c>
      <c r="J196" s="1564" t="n">
        <v>0</v>
      </c>
      <c r="K196" s="1565">
        <f>+J196*H196</f>
        <v/>
      </c>
      <c r="L196" s="1326" t="n"/>
      <c r="M196" s="1326" t="n"/>
      <c r="N196" s="1231" t="inlineStr">
        <is>
          <t>не учитываю</t>
        </is>
      </c>
      <c r="P196" s="1343" t="n"/>
      <c r="Q196" s="1404" t="n"/>
      <c r="R196" s="1231" t="n"/>
    </row>
    <row r="197" ht="45.75" customHeight="1" s="1134">
      <c r="A197" s="1232" t="n"/>
      <c r="B197" s="1567" t="inlineStr">
        <is>
          <t>Machine time per injection - mould preparation for each additional grommet (in case there is more than one grommet on the harness)</t>
        </is>
      </c>
      <c r="C197" s="1233" t="n"/>
      <c r="D197" s="1493" t="inlineStr">
        <is>
          <t>7 s per each additional grommet on this harness</t>
        </is>
      </c>
      <c r="E197" s="1399" t="n"/>
      <c r="F197" s="1399" t="n"/>
      <c r="G197" s="1399" t="n"/>
      <c r="H197" s="1556" t="n">
        <v>7</v>
      </c>
      <c r="I197" s="1563" t="inlineStr">
        <is>
          <t>LP</t>
        </is>
      </c>
      <c r="J197" s="1564" t="n">
        <v>0</v>
      </c>
      <c r="K197" s="1565">
        <f>+J197*H197</f>
        <v/>
      </c>
      <c r="L197" s="1326" t="n"/>
      <c r="M197" s="1326" t="n"/>
      <c r="N197" s="1231" t="inlineStr">
        <is>
          <t>не учитываю</t>
        </is>
      </c>
      <c r="P197" s="1343" t="n"/>
      <c r="Q197" s="1404" t="n"/>
      <c r="R197" s="1231" t="n"/>
    </row>
    <row r="198" ht="24.75" customHeight="1" s="1134">
      <c r="A198" s="1232" t="n"/>
      <c r="B198" s="1567" t="inlineStr">
        <is>
          <t>Reacting time  - per grommet</t>
        </is>
      </c>
      <c r="C198" s="1406" t="n"/>
      <c r="D198" s="1493" t="inlineStr">
        <is>
          <t>Reacting time is constant per grommet</t>
        </is>
      </c>
      <c r="E198" s="1399" t="n"/>
      <c r="F198" s="1399" t="n"/>
      <c r="G198" s="1399" t="n"/>
      <c r="H198" s="1556" t="n">
        <v>180</v>
      </c>
      <c r="I198" s="1563" t="inlineStr">
        <is>
          <t>LP</t>
        </is>
      </c>
      <c r="J198" s="1564" t="n">
        <v>0</v>
      </c>
      <c r="K198" s="1565">
        <f>+J198*H198</f>
        <v/>
      </c>
      <c r="L198" s="1326" t="n"/>
      <c r="M198" s="1326" t="n"/>
      <c r="N198" s="1231" t="inlineStr">
        <is>
          <t>не учитываю</t>
        </is>
      </c>
      <c r="P198" s="1343" t="n"/>
      <c r="Q198" s="1404" t="n"/>
      <c r="R198" s="1231" t="n"/>
    </row>
    <row r="199" ht="24.75" customHeight="1" s="1134">
      <c r="A199" s="1232" t="n"/>
      <c r="B199" s="1567" t="inlineStr">
        <is>
          <t>Remove the Harness from mould - per grommet</t>
        </is>
      </c>
      <c r="C199" s="1561" t="n"/>
      <c r="D199" s="1493" t="n"/>
      <c r="E199" s="1399" t="n"/>
      <c r="F199" s="1399" t="n"/>
      <c r="G199" s="1399" t="n"/>
      <c r="H199" s="1556" t="n">
        <v>14.574</v>
      </c>
      <c r="I199" s="1563" t="inlineStr">
        <is>
          <t>LP</t>
        </is>
      </c>
      <c r="J199" s="1564" t="n">
        <v>0</v>
      </c>
      <c r="K199" s="1565">
        <f>+J199*H199</f>
        <v/>
      </c>
      <c r="L199" s="1326" t="n"/>
      <c r="M199" s="1326" t="n"/>
      <c r="N199" s="1231" t="inlineStr">
        <is>
          <t>не учитываю</t>
        </is>
      </c>
      <c r="P199" s="1343" t="n"/>
      <c r="Q199" s="1404" t="n"/>
      <c r="R199" s="1231" t="n"/>
    </row>
    <row r="200" ht="69" customHeight="1" s="1134">
      <c r="A200" s="1232" t="n"/>
      <c r="B200" s="1567" t="inlineStr">
        <is>
          <t>Move the trolley near the cooling area/apply PUR grommet cover if available - per harness</t>
        </is>
      </c>
      <c r="C200" s="1561" t="n"/>
      <c r="D200" s="1493" t="inlineStr">
        <is>
          <t>Move the trolley near the cooling area, take the harness from the trolley, 
put it on the cooling trolley, scan the barcode of cooling trolley and harness manifest</t>
        </is>
      </c>
      <c r="E200" s="1399" t="n"/>
      <c r="F200" s="1399" t="n"/>
      <c r="G200" s="1399" t="n"/>
      <c r="H200" s="1556" t="n">
        <v>13</v>
      </c>
      <c r="I200" s="1563" t="inlineStr">
        <is>
          <t>LP</t>
        </is>
      </c>
      <c r="J200" s="1564" t="n">
        <v>0</v>
      </c>
      <c r="K200" s="1565">
        <f>+J200*H200</f>
        <v/>
      </c>
      <c r="L200" s="1326" t="n"/>
      <c r="M200" s="1326" t="n"/>
      <c r="N200" s="1231" t="inlineStr">
        <is>
          <t>не учитываю</t>
        </is>
      </c>
      <c r="P200" s="1343" t="n"/>
      <c r="Q200" s="1404" t="n"/>
      <c r="R200" s="1231" t="n"/>
    </row>
    <row r="201" ht="24.75" customHeight="1" s="1134">
      <c r="A201" s="1232" t="n"/>
      <c r="B201" s="1567" t="inlineStr">
        <is>
          <t>Scan the barcode - per harness</t>
        </is>
      </c>
      <c r="C201" s="1561" t="n"/>
      <c r="D201" s="1493" t="n"/>
      <c r="E201" s="1399" t="n"/>
      <c r="F201" s="1399" t="n"/>
      <c r="G201" s="1399" t="n"/>
      <c r="H201" s="1556" t="n">
        <v>3</v>
      </c>
      <c r="I201" s="1563" t="inlineStr">
        <is>
          <t>LP</t>
        </is>
      </c>
      <c r="J201" s="1564" t="n">
        <v>0</v>
      </c>
      <c r="K201" s="1565">
        <f>+J201*H201</f>
        <v/>
      </c>
      <c r="L201" s="1326" t="n"/>
      <c r="M201" s="1326" t="n"/>
      <c r="N201" s="1231" t="inlineStr">
        <is>
          <t>не учитываю</t>
        </is>
      </c>
      <c r="P201" s="1343" t="n"/>
      <c r="Q201" s="1404" t="n"/>
      <c r="R201" s="1231" t="n"/>
    </row>
    <row r="202" ht="24.75" customHeight="1" s="1134">
      <c r="A202" s="1405" t="n"/>
      <c r="B202" s="1567" t="inlineStr">
        <is>
          <t>Operate time   -  Remove gate &amp; Channel Burrs - per grommet</t>
        </is>
      </c>
      <c r="C202" s="1568" t="inlineStr">
        <is>
          <t>In buggy or conveyor hook</t>
        </is>
      </c>
      <c r="D202" s="1399" t="n"/>
      <c r="E202" s="1399" t="n"/>
      <c r="F202" s="1399" t="n"/>
      <c r="G202" s="1399" t="n"/>
      <c r="H202" s="1556" t="n">
        <v>21.528</v>
      </c>
      <c r="I202" s="1563" t="inlineStr">
        <is>
          <t>LP</t>
        </is>
      </c>
      <c r="J202" s="1564" t="n">
        <v>0</v>
      </c>
      <c r="K202" s="1565">
        <f>+J202*H202</f>
        <v/>
      </c>
      <c r="L202" s="1326" t="n"/>
      <c r="M202" s="1326" t="n"/>
      <c r="N202" s="1231" t="inlineStr">
        <is>
          <t>не учитываю</t>
        </is>
      </c>
      <c r="P202" s="1343" t="n"/>
      <c r="Q202" s="1404" t="n"/>
      <c r="R202" s="1231" t="n"/>
    </row>
    <row r="203" ht="22.5" customHeight="1" s="1134">
      <c r="A203" s="1396" t="inlineStr">
        <is>
          <t>MOLD OVER TERMINAL</t>
        </is>
      </c>
      <c r="B203" s="1397" t="inlineStr">
        <is>
          <t>mold over terminal</t>
        </is>
      </c>
      <c r="C203" s="1398" t="inlineStr">
        <is>
          <t>Molding Machine</t>
        </is>
      </c>
      <c r="D203" s="1399" t="inlineStr">
        <is>
          <t>process time</t>
        </is>
      </c>
      <c r="E203" s="1399" t="n"/>
      <c r="F203" s="1399" t="n"/>
      <c r="G203" s="1399" t="n"/>
      <c r="H203" s="1400" t="n">
        <v>38.75</v>
      </c>
      <c r="I203" s="1563" t="inlineStr">
        <is>
          <t>LP</t>
        </is>
      </c>
      <c r="J203" s="1402" t="n">
        <v>0</v>
      </c>
      <c r="K203" s="1228">
        <f>+J203*H203</f>
        <v/>
      </c>
      <c r="L203" s="1231" t="n"/>
      <c r="M203" s="1231" t="inlineStr">
        <is>
          <t>Automatic</t>
        </is>
      </c>
      <c r="N203" s="1231" t="inlineStr">
        <is>
          <t>не учитываю</t>
        </is>
      </c>
      <c r="O203" s="1344" t="n"/>
      <c r="P203" s="1343" t="n"/>
      <c r="Q203" s="1404" t="n"/>
      <c r="R203" s="1231" t="n"/>
    </row>
    <row r="204" ht="22.5" customHeight="1" s="1134">
      <c r="A204" s="1405" t="n"/>
      <c r="B204" s="1406" t="n"/>
      <c r="C204" s="1406" t="n"/>
      <c r="D204" s="1399" t="inlineStr">
        <is>
          <t>per wire</t>
        </is>
      </c>
      <c r="E204" s="1399" t="n"/>
      <c r="F204" s="1399" t="n"/>
      <c r="G204" s="1399" t="n"/>
      <c r="H204" s="1400" t="n">
        <v>3.08</v>
      </c>
      <c r="I204" s="1563" t="inlineStr">
        <is>
          <t>LP</t>
        </is>
      </c>
      <c r="J204" s="1402" t="n">
        <v>0</v>
      </c>
      <c r="K204" s="1228">
        <f>+J204*H204</f>
        <v/>
      </c>
      <c r="L204" s="1231" t="n"/>
      <c r="M204" s="1231" t="inlineStr">
        <is>
          <t>Automatic</t>
        </is>
      </c>
      <c r="N204" s="1231" t="inlineStr">
        <is>
          <t>не учитываю</t>
        </is>
      </c>
      <c r="O204" s="1344" t="n"/>
      <c r="P204" s="1343" t="n"/>
      <c r="Q204" s="1404" t="n"/>
      <c r="R204" s="1231" t="n"/>
    </row>
    <row r="205" ht="22.5" customHeight="1" s="1134">
      <c r="A205" s="1396" t="inlineStr">
        <is>
          <t xml:space="preserve">MOLD-ON </t>
        </is>
      </c>
      <c r="B205" s="1397" t="inlineStr">
        <is>
          <t>mold-on grommet (over branch)  pvc</t>
        </is>
      </c>
      <c r="C205" s="1398" t="inlineStr">
        <is>
          <t>Molding Machine</t>
        </is>
      </c>
      <c r="D205" s="1399" t="n"/>
      <c r="E205" s="1399" t="n"/>
      <c r="F205" s="1399" t="n"/>
      <c r="G205" s="1399" t="n"/>
      <c r="H205" s="1400" t="n">
        <v>85</v>
      </c>
      <c r="I205" s="1563" t="inlineStr">
        <is>
          <t>LP</t>
        </is>
      </c>
      <c r="J205" s="1402" t="n">
        <v>0</v>
      </c>
      <c r="K205" s="1228">
        <f>+J205*H205</f>
        <v/>
      </c>
      <c r="L205" s="1231" t="n"/>
      <c r="M205" s="1231" t="inlineStr">
        <is>
          <t>Automatic</t>
        </is>
      </c>
      <c r="N205" s="1231" t="inlineStr">
        <is>
          <t>не учитываю</t>
        </is>
      </c>
      <c r="O205" s="1344" t="n"/>
      <c r="P205" s="1343" t="n"/>
      <c r="Q205" s="1404" t="n"/>
      <c r="R205" s="1231" t="n"/>
    </row>
    <row r="206" ht="46.5" customHeight="1" s="1134">
      <c r="A206" s="1396" t="inlineStr">
        <is>
          <t>HARDSHELL-GROM</t>
        </is>
      </c>
      <c r="B206" s="1397" t="inlineStr">
        <is>
          <t>build grommet over leads (hardshell grommet or hot melt) -- (2 parts of a connector cover a branch then glue is applied inside the parts)</t>
        </is>
      </c>
      <c r="C206" s="1397" t="inlineStr">
        <is>
          <t>IHG Machine</t>
        </is>
      </c>
      <c r="D206" s="1399" t="n"/>
      <c r="E206" s="1399" t="n"/>
      <c r="F206" s="1399" t="n"/>
      <c r="G206" s="1399" t="n"/>
      <c r="H206" s="1400" t="n">
        <v>52.2</v>
      </c>
      <c r="I206" s="1563" t="inlineStr">
        <is>
          <t>LP</t>
        </is>
      </c>
      <c r="J206" s="1402" t="n">
        <v>0</v>
      </c>
      <c r="K206" s="1403">
        <f>+J206*H206</f>
        <v/>
      </c>
      <c r="L206" s="1231" t="n"/>
      <c r="M206" s="1231" t="inlineStr">
        <is>
          <t>Automatic</t>
        </is>
      </c>
      <c r="N206" s="1231" t="inlineStr">
        <is>
          <t>не учитываю</t>
        </is>
      </c>
      <c r="O206" s="1344" t="n"/>
      <c r="P206" s="1343" t="n"/>
      <c r="Q206" s="1404" t="n"/>
      <c r="R206" s="1231" t="n"/>
    </row>
    <row r="207" ht="31.5" customHeight="1" s="1134">
      <c r="A207" s="1396" t="inlineStr">
        <is>
          <t>HARDSHELL-GROM TEST</t>
        </is>
      </c>
      <c r="B207" s="1415" t="inlineStr">
        <is>
          <t>build grommet over leads (hardshell grommet)</t>
        </is>
      </c>
      <c r="C207" s="1415" t="inlineStr">
        <is>
          <t>IHG Vaccum Tester</t>
        </is>
      </c>
      <c r="D207" s="1317" t="n"/>
      <c r="E207" s="1399" t="n"/>
      <c r="F207" s="1399" t="n"/>
      <c r="G207" s="1399" t="n"/>
      <c r="H207" s="1420" t="n">
        <v>87</v>
      </c>
      <c r="I207" s="1563" t="inlineStr">
        <is>
          <t>LP</t>
        </is>
      </c>
      <c r="J207" s="1402" t="n">
        <v>0</v>
      </c>
      <c r="K207" s="1403">
        <f>+J207*H207</f>
        <v/>
      </c>
      <c r="L207" s="1231" t="n"/>
      <c r="M207" s="1231" t="inlineStr">
        <is>
          <t>Automatic</t>
        </is>
      </c>
      <c r="N207" s="1231" t="inlineStr">
        <is>
          <t>не учитываю</t>
        </is>
      </c>
      <c r="O207" s="1344" t="n"/>
      <c r="P207" s="1343" t="n"/>
      <c r="Q207" s="1404" t="n"/>
      <c r="R207" s="1231" t="n"/>
    </row>
    <row r="208" ht="31.5" customHeight="1" s="1134">
      <c r="A208" s="1396" t="inlineStr">
        <is>
          <t xml:space="preserve">TPE Grommet Injection 
</t>
        </is>
      </c>
      <c r="B208" s="1569" t="inlineStr">
        <is>
          <t>Place the insert part one in the mould (15,30 sec)</t>
        </is>
      </c>
      <c r="C208" s="1493" t="n"/>
      <c r="D208" s="1399" t="n"/>
      <c r="E208" s="1317" t="n"/>
      <c r="F208" s="1317" t="n"/>
      <c r="G208" s="1570" t="n"/>
      <c r="H208" s="1571" t="n">
        <v>319.58</v>
      </c>
      <c r="I208" s="1563" t="inlineStr">
        <is>
          <t>LP</t>
        </is>
      </c>
      <c r="J208" s="1564" t="n">
        <v>0</v>
      </c>
      <c r="K208" s="1572">
        <f>+J208*H208</f>
        <v/>
      </c>
      <c r="L208" s="1566" t="n"/>
      <c r="M208" s="1566" t="inlineStr">
        <is>
          <t>Manual</t>
        </is>
      </c>
      <c r="N208" s="1231" t="inlineStr">
        <is>
          <t>не учитываю</t>
        </is>
      </c>
      <c r="O208" s="1344" t="n"/>
      <c r="P208" s="1343" t="n"/>
      <c r="Q208" s="1404" t="n"/>
      <c r="R208" s="1231" t="n"/>
    </row>
    <row r="209" ht="23.25" customHeight="1" s="1134">
      <c r="A209" s="1232" t="n"/>
      <c r="B209" s="1569" t="inlineStr">
        <is>
          <t>Get harness &amp; position in mould (28,60 sec)</t>
        </is>
      </c>
      <c r="C209" s="1493" t="n"/>
      <c r="D209" s="1399" t="n"/>
      <c r="E209" s="1317" t="n"/>
      <c r="F209" s="1317" t="n"/>
      <c r="G209" s="1570" t="n"/>
      <c r="H209" s="1233" t="n"/>
      <c r="I209" s="1573" t="n"/>
      <c r="J209" s="1573" t="n"/>
      <c r="K209" s="1574" t="n"/>
      <c r="L209" s="1326" t="n"/>
      <c r="M209" s="1326" t="n"/>
      <c r="N209" s="1231" t="inlineStr">
        <is>
          <t>не учитываю</t>
        </is>
      </c>
      <c r="O209" s="1344" t="n"/>
      <c r="P209" s="1343" t="n"/>
      <c r="Q209" s="1404" t="n"/>
      <c r="R209" s="1231" t="n"/>
    </row>
    <row r="210" ht="21" customHeight="1" s="1134">
      <c r="A210" s="1232" t="n"/>
      <c r="B210" s="1569" t="inlineStr">
        <is>
          <t>Place the insert part two in the mould (7,91 sec)</t>
        </is>
      </c>
      <c r="C210" s="1493" t="n"/>
      <c r="D210" s="1399" t="n"/>
      <c r="E210" s="1317" t="n"/>
      <c r="F210" s="1317" t="n"/>
      <c r="G210" s="1570" t="n"/>
      <c r="H210" s="1233" t="n"/>
      <c r="I210" s="1573" t="n"/>
      <c r="J210" s="1573" t="n"/>
      <c r="K210" s="1574" t="n"/>
      <c r="L210" s="1326" t="n"/>
      <c r="M210" s="1326" t="n"/>
      <c r="N210" s="1231" t="inlineStr">
        <is>
          <t>не учитываю</t>
        </is>
      </c>
      <c r="O210" s="1344" t="n"/>
      <c r="P210" s="1343" t="n"/>
      <c r="Q210" s="1404" t="n"/>
      <c r="R210" s="1231" t="n"/>
    </row>
    <row r="211" ht="24.75" customHeight="1" s="1134">
      <c r="A211" s="1232" t="n"/>
      <c r="B211" s="1569" t="inlineStr">
        <is>
          <t>Start the injection machine for over-molding (9,06 sec)</t>
        </is>
      </c>
      <c r="C211" s="1493" t="inlineStr">
        <is>
          <t>Injection Machine</t>
        </is>
      </c>
      <c r="D211" s="1399" t="n"/>
      <c r="E211" s="1317" t="n"/>
      <c r="F211" s="1317" t="n"/>
      <c r="G211" s="1570" t="n"/>
      <c r="H211" s="1233" t="n"/>
      <c r="I211" s="1573" t="n"/>
      <c r="J211" s="1573" t="n"/>
      <c r="K211" s="1574" t="n"/>
      <c r="L211" s="1326" t="n"/>
      <c r="M211" s="1326" t="n"/>
      <c r="N211" s="1231" t="inlineStr">
        <is>
          <t>не учитываю</t>
        </is>
      </c>
      <c r="O211" s="1344" t="n"/>
      <c r="P211" s="1343" t="n"/>
      <c r="Q211" s="1404" t="n"/>
      <c r="R211" s="1231" t="n"/>
    </row>
    <row r="212" ht="21.75" customHeight="1" s="1134">
      <c r="A212" s="1232" t="n"/>
      <c r="B212" s="1569" t="inlineStr">
        <is>
          <t>Injection and cooling in the mould (243,46 sec)</t>
        </is>
      </c>
      <c r="C212" s="1406" t="n"/>
      <c r="D212" s="1399" t="n"/>
      <c r="E212" s="1317" t="n"/>
      <c r="F212" s="1317" t="n"/>
      <c r="G212" s="1570" t="n"/>
      <c r="H212" s="1233" t="n"/>
      <c r="I212" s="1573" t="n"/>
      <c r="J212" s="1573" t="n"/>
      <c r="K212" s="1574" t="n"/>
      <c r="L212" s="1326" t="n"/>
      <c r="M212" s="1326" t="n"/>
      <c r="N212" s="1231" t="inlineStr">
        <is>
          <t>не учитываю</t>
        </is>
      </c>
      <c r="O212" s="1344" t="n"/>
      <c r="P212" s="1343" t="n"/>
      <c r="Q212" s="1404" t="n"/>
      <c r="R212" s="1231" t="n"/>
    </row>
    <row r="213" ht="30" customHeight="1" s="1134">
      <c r="A213" s="1405" t="n"/>
      <c r="B213" s="1569" t="inlineStr">
        <is>
          <t>Remove the Harness from mould (15,26 sec)</t>
        </is>
      </c>
      <c r="C213" s="1493" t="n"/>
      <c r="D213" s="1399" t="n"/>
      <c r="E213" s="1399" t="n"/>
      <c r="F213" s="1399" t="n"/>
      <c r="G213" s="1575" t="n"/>
      <c r="H213" s="1406" t="n"/>
      <c r="I213" s="1527" t="n"/>
      <c r="J213" s="1527" t="n"/>
      <c r="K213" s="1528" t="n"/>
      <c r="L213" s="1326" t="n"/>
      <c r="M213" s="1326" t="n"/>
      <c r="N213" s="1231" t="inlineStr">
        <is>
          <t>не учитываю</t>
        </is>
      </c>
      <c r="O213" s="1344" t="n"/>
      <c r="P213" s="1343" t="n"/>
      <c r="Q213" s="1404" t="n"/>
      <c r="R213" s="1231" t="n"/>
    </row>
    <row r="214" ht="20.25" customHeight="1" s="1134">
      <c r="A214" s="1576" t="inlineStr">
        <is>
          <t>BUBBLE TEST - JLR - Morocco - measured time</t>
        </is>
      </c>
      <c r="B214" s="1577" t="n"/>
      <c r="C214" s="1577" t="n"/>
      <c r="D214" s="1578" t="n"/>
      <c r="E214" s="1578" t="n"/>
      <c r="F214" s="1578" t="n"/>
      <c r="G214" s="1578" t="n"/>
      <c r="H214" s="1579" t="n">
        <v>79.2</v>
      </c>
      <c r="I214" s="1563" t="inlineStr">
        <is>
          <t>LP</t>
        </is>
      </c>
      <c r="J214" s="1564" t="n">
        <v>0</v>
      </c>
      <c r="K214" s="1580">
        <f>+J214*H214</f>
        <v/>
      </c>
      <c r="N214" s="1231" t="n"/>
      <c r="O214" s="1344" t="n"/>
      <c r="P214" s="1343" t="n"/>
      <c r="Q214" s="1404" t="n"/>
      <c r="R214" s="1231" t="n"/>
    </row>
    <row r="215" ht="15" customHeight="1" s="1134">
      <c r="A215" s="1396" t="n"/>
      <c r="B215" s="1493" t="n"/>
      <c r="C215" s="1493" t="n"/>
      <c r="D215" s="1399" t="n"/>
      <c r="E215" s="1399" t="n"/>
      <c r="F215" s="1399" t="n"/>
      <c r="G215" s="1399" t="n"/>
      <c r="H215" s="1579" t="n"/>
      <c r="I215" s="1563" t="n"/>
      <c r="J215" s="1564" t="n">
        <v>0</v>
      </c>
      <c r="K215" s="1580" t="n"/>
      <c r="N215" s="1231" t="n"/>
      <c r="O215" s="1344" t="n"/>
      <c r="P215" s="1343" t="n"/>
      <c r="Q215" s="1404" t="n"/>
      <c r="R215" s="1231" t="n"/>
    </row>
    <row r="216" ht="13.5" customHeight="1" s="1134">
      <c r="A216" s="1507" t="n"/>
      <c r="B216" s="1581" t="n"/>
      <c r="C216" s="1582" t="n"/>
      <c r="D216" s="1490" t="n"/>
      <c r="E216" s="1490" t="n"/>
      <c r="F216" s="1490" t="n"/>
      <c r="G216" s="1583" t="n"/>
      <c r="H216" s="1584" t="n"/>
      <c r="I216" s="1585" t="n"/>
      <c r="J216" s="1586" t="n">
        <v>0</v>
      </c>
      <c r="K216" s="1587" t="n"/>
      <c r="N216" s="1231" t="n"/>
      <c r="O216" s="1344" t="n"/>
      <c r="P216" s="1343" t="n"/>
      <c r="Q216" s="1404" t="n"/>
      <c r="R216" s="1231" t="n"/>
    </row>
    <row r="217" ht="23.85" customHeight="1" s="1134">
      <c r="A217" s="1588" t="inlineStr">
        <is>
          <t>Alu cables</t>
        </is>
      </c>
      <c r="B217" s="1431" t="inlineStr">
        <is>
          <t>Comments</t>
        </is>
      </c>
      <c r="C217" s="1431" t="inlineStr">
        <is>
          <t>Machine Vendor</t>
        </is>
      </c>
      <c r="D217" s="1431" t="inlineStr">
        <is>
          <t>Min gauge</t>
        </is>
      </c>
      <c r="E217" s="1431" t="inlineStr">
        <is>
          <t>Max gauge</t>
        </is>
      </c>
      <c r="F217" s="1589" t="n"/>
      <c r="G217" s="1590" t="n"/>
      <c r="H217" s="1591" t="inlineStr">
        <is>
          <t>Global Sec/ Pc</t>
        </is>
      </c>
      <c r="I217" s="1592" t="inlineStr">
        <is>
          <t>Location
LP/FA</t>
        </is>
      </c>
      <c r="J217" s="1593" t="n">
        <v>0</v>
      </c>
      <c r="K217" s="1393" t="inlineStr">
        <is>
          <t>Total</t>
        </is>
      </c>
      <c r="N217" s="1231" t="n"/>
      <c r="O217" s="1344" t="n"/>
      <c r="P217" s="1343" t="n"/>
      <c r="Q217" s="1404" t="n"/>
    </row>
    <row r="218" ht="31.5" customHeight="1" s="1134">
      <c r="A218" s="1594" t="inlineStr">
        <is>
          <t>Aluminum cable hot melt overmould</t>
        </is>
      </c>
      <c r="B218" s="1511" t="inlineStr">
        <is>
          <t xml:space="preserve">Time by cable side overmolded. Time includes mold  and lubricating of molds </t>
        </is>
      </c>
      <c r="C218" s="1399" t="inlineStr">
        <is>
          <t>Mold Man 8200</t>
        </is>
      </c>
      <c r="D218" s="1399" t="n">
        <v>0.13</v>
      </c>
      <c r="E218" s="1522" t="n">
        <v>6</v>
      </c>
      <c r="F218" s="1595" t="n"/>
      <c r="G218" s="1532" t="n"/>
      <c r="H218" s="1494" t="n">
        <v>9</v>
      </c>
      <c r="I218" s="1438" t="inlineStr">
        <is>
          <t>LP</t>
        </is>
      </c>
      <c r="J218" s="1402" t="n">
        <v>0</v>
      </c>
      <c r="K218" s="1596">
        <f>+J218*H218</f>
        <v/>
      </c>
      <c r="L218" s="1132" t="n"/>
      <c r="M218" s="1132" t="inlineStr">
        <is>
          <t>Automatic</t>
        </is>
      </c>
      <c r="N218" s="1231" t="n"/>
      <c r="O218" s="1344" t="n"/>
      <c r="P218" s="1343" t="n"/>
      <c r="Q218" s="1404" t="n"/>
      <c r="R218" s="1231" t="n"/>
    </row>
    <row r="219" ht="23.85" customHeight="1" s="1134">
      <c r="A219" s="1597" t="inlineStr">
        <is>
          <t>Aluminum Hot Melt Overmold Inspection</t>
        </is>
      </c>
      <c r="B219" s="1499" t="inlineStr">
        <is>
          <t>Time by cable side overmolded</t>
        </is>
      </c>
      <c r="C219" s="1399" t="n"/>
      <c r="D219" s="1399" t="n">
        <v>0.13</v>
      </c>
      <c r="E219" s="1522" t="n">
        <v>6</v>
      </c>
      <c r="F219" s="1595" t="n"/>
      <c r="G219" s="1532" t="n"/>
      <c r="H219" s="1494" t="n">
        <v>9.5</v>
      </c>
      <c r="I219" s="1401" t="inlineStr">
        <is>
          <t>LP</t>
        </is>
      </c>
      <c r="J219" s="1402" t="n">
        <v>0</v>
      </c>
      <c r="K219" s="1403">
        <f>+J219*H219</f>
        <v/>
      </c>
      <c r="M219" s="1132" t="inlineStr">
        <is>
          <t>Automatic</t>
        </is>
      </c>
      <c r="N219" s="1231" t="n"/>
      <c r="O219" s="1344" t="n"/>
      <c r="P219" s="1343" t="n"/>
      <c r="Q219" s="1404" t="n"/>
      <c r="R219" s="1231" t="n"/>
    </row>
    <row r="220" ht="12.75" customHeight="1" s="1134">
      <c r="A220" s="1598" t="n"/>
      <c r="B220" s="1499" t="n"/>
      <c r="C220" s="1399" t="n"/>
      <c r="D220" s="1399" t="n"/>
      <c r="E220" s="1522" t="n"/>
      <c r="F220" s="1522" t="n"/>
      <c r="G220" s="1522" t="n"/>
      <c r="H220" s="1495" t="n"/>
      <c r="I220" s="1401" t="n"/>
      <c r="J220" s="1402" t="n">
        <v>0</v>
      </c>
      <c r="K220" s="1403" t="n"/>
      <c r="N220" s="1231" t="n"/>
      <c r="O220" s="1344" t="n"/>
      <c r="P220" s="1343" t="n"/>
      <c r="Q220" s="1404" t="n"/>
      <c r="R220" s="1231" t="n"/>
    </row>
    <row r="221" ht="12.75" customHeight="1" s="1134">
      <c r="A221" s="1598" t="n"/>
      <c r="B221" s="1499" t="n"/>
      <c r="C221" s="1399" t="n"/>
      <c r="D221" s="1399" t="n"/>
      <c r="E221" s="1522" t="n"/>
      <c r="F221" s="1522" t="n"/>
      <c r="G221" s="1522" t="n"/>
      <c r="H221" s="1495" t="n"/>
      <c r="I221" s="1401" t="n"/>
      <c r="J221" s="1402" t="n">
        <v>0</v>
      </c>
      <c r="K221" s="1403" t="n"/>
      <c r="N221" s="1231" t="n"/>
      <c r="O221" s="1344" t="n"/>
      <c r="P221" s="1343" t="n"/>
      <c r="Q221" s="1404" t="n"/>
      <c r="R221" s="1231" t="n"/>
    </row>
    <row r="222" ht="12.75" customHeight="1" s="1134">
      <c r="A222" s="1598" t="n"/>
      <c r="B222" s="1499" t="n"/>
      <c r="C222" s="1399" t="n"/>
      <c r="D222" s="1399" t="n"/>
      <c r="E222" s="1522" t="n"/>
      <c r="F222" s="1522" t="n"/>
      <c r="G222" s="1522" t="n"/>
      <c r="H222" s="1495" t="n"/>
      <c r="I222" s="1401" t="n"/>
      <c r="J222" s="1402" t="n">
        <v>0</v>
      </c>
      <c r="K222" s="1403" t="n"/>
      <c r="N222" s="1231" t="n"/>
      <c r="O222" s="1344" t="n"/>
      <c r="P222" s="1343" t="n"/>
      <c r="Q222" s="1404" t="n"/>
      <c r="R222" s="1231" t="n"/>
    </row>
    <row r="223" ht="12.75" customHeight="1" s="1134">
      <c r="A223" s="1414" t="n"/>
      <c r="B223" s="1599" t="n"/>
      <c r="C223" s="1490" t="n"/>
      <c r="D223" s="1490" t="n"/>
      <c r="E223" s="1600" t="n"/>
      <c r="F223" s="1600" t="n"/>
      <c r="G223" s="1600" t="n"/>
      <c r="H223" s="1601" t="n"/>
      <c r="I223" s="1602" t="n"/>
      <c r="J223" s="1518" t="n">
        <v>0</v>
      </c>
      <c r="K223" s="1477" t="n"/>
      <c r="N223" s="1231" t="n"/>
      <c r="O223" s="1344" t="n"/>
      <c r="P223" s="1343" t="n"/>
      <c r="Q223" s="1404" t="n"/>
      <c r="R223" s="1231" t="n"/>
    </row>
    <row r="224" ht="53.25" customFormat="1" customHeight="1" s="1391">
      <c r="A224" s="1216" t="inlineStr">
        <is>
          <t>LABELS</t>
        </is>
      </c>
      <c r="B224" s="1217" t="inlineStr">
        <is>
          <t>COMMENTS</t>
        </is>
      </c>
      <c r="C224" s="1217" t="inlineStr">
        <is>
          <t>Machine Vendor</t>
        </is>
      </c>
      <c r="D224" s="1217" t="inlineStr">
        <is>
          <t xml:space="preserve"> Special Component</t>
        </is>
      </c>
      <c r="E224" s="1217" t="n"/>
      <c r="F224" s="1217" t="n"/>
      <c r="G224" s="1217" t="n"/>
      <c r="H224" s="1392" t="inlineStr">
        <is>
          <t>Global Sec/ Pc</t>
        </is>
      </c>
      <c r="I224" s="1479" t="inlineStr">
        <is>
          <t>Location
LP/FA</t>
        </is>
      </c>
      <c r="J224" s="1432" t="n">
        <v>0</v>
      </c>
      <c r="K224" s="1393" t="inlineStr">
        <is>
          <t>Total</t>
        </is>
      </c>
      <c r="N224" s="1231" t="n"/>
      <c r="O224" s="1344" t="n"/>
      <c r="P224" s="1343" t="n"/>
      <c r="Q224" s="1404" t="n"/>
      <c r="R224" s="1231" t="n"/>
      <c r="S224" s="1132" t="n"/>
    </row>
    <row r="225" ht="22.5" customHeight="1" s="1134">
      <c r="A225" s="1498" t="inlineStr">
        <is>
          <t>MARKER TAPE</t>
        </is>
      </c>
      <c r="B225" s="1397" t="inlineStr">
        <is>
          <t>Wiring Harness Identification (Last four digits of the harness)</t>
        </is>
      </c>
      <c r="C225" s="1499" t="inlineStr">
        <is>
          <t>Marking tape Printer</t>
        </is>
      </c>
      <c r="D225" s="1399" t="n"/>
      <c r="E225" s="1399" t="n"/>
      <c r="F225" s="1399" t="n"/>
      <c r="G225" s="1399" t="n"/>
      <c r="H225" s="1400" t="n">
        <v>7</v>
      </c>
      <c r="I225" s="1401" t="inlineStr">
        <is>
          <t>LP</t>
        </is>
      </c>
      <c r="J225" s="1402" t="n">
        <v>0</v>
      </c>
      <c r="K225" s="1403">
        <f>+J225*H225</f>
        <v/>
      </c>
      <c r="L225" s="1132" t="n"/>
      <c r="M225" s="1132" t="inlineStr">
        <is>
          <t>Automatic</t>
        </is>
      </c>
      <c r="N225" s="1231" t="inlineStr">
        <is>
          <t>не учитываю</t>
        </is>
      </c>
      <c r="O225" s="1344" t="n"/>
      <c r="P225" s="1343" t="n"/>
      <c r="Q225" s="1404" t="n"/>
      <c r="R225" s="1231" t="n"/>
      <c r="S225" s="1391" t="n"/>
    </row>
    <row r="226" ht="22.5" customHeight="1" s="1134">
      <c r="A226" s="1498" t="inlineStr">
        <is>
          <t>SCANNING</t>
        </is>
      </c>
      <c r="B226" s="1397" t="inlineStr">
        <is>
          <t>label used to scan a harness p/n -- Scanner</t>
        </is>
      </c>
      <c r="C226" s="1499" t="inlineStr">
        <is>
          <t>Label Scanner</t>
        </is>
      </c>
      <c r="D226" s="1399" t="inlineStr">
        <is>
          <t>M4907001</t>
        </is>
      </c>
      <c r="E226" s="1399" t="n"/>
      <c r="F226" s="1399" t="n"/>
      <c r="G226" s="1399" t="n"/>
      <c r="H226" s="1400" t="n">
        <v>6</v>
      </c>
      <c r="I226" s="1401" t="inlineStr">
        <is>
          <t>LP</t>
        </is>
      </c>
      <c r="J226" s="1402" t="n">
        <v>0</v>
      </c>
      <c r="K226" s="1403">
        <f>+J226*H226</f>
        <v/>
      </c>
      <c r="M226" s="1132" t="inlineStr">
        <is>
          <t>Manual</t>
        </is>
      </c>
      <c r="N226" s="1231" t="n"/>
      <c r="O226" s="1344" t="n"/>
      <c r="P226" s="1343" t="n"/>
      <c r="Q226" s="1404" t="n"/>
      <c r="R226" s="1231" t="n"/>
    </row>
    <row r="227" ht="22.5" customHeight="1" s="1134">
      <c r="A227" s="1425" t="n"/>
      <c r="B227" s="1426" t="n"/>
      <c r="C227" s="1319" t="n"/>
      <c r="D227" s="1319" t="n"/>
      <c r="E227" s="1319" t="n"/>
      <c r="F227" s="1319" t="n"/>
      <c r="G227" s="1319" t="n"/>
      <c r="H227" s="1319" t="n"/>
      <c r="I227" s="1560" t="n"/>
      <c r="J227" s="1402" t="n">
        <v>0</v>
      </c>
      <c r="K227" s="1430" t="n"/>
      <c r="N227" s="1231" t="n"/>
      <c r="O227" s="1344" t="n"/>
      <c r="P227" s="1343" t="n"/>
      <c r="Q227" s="1404" t="n"/>
      <c r="R227" s="1231" t="n"/>
    </row>
    <row r="228" ht="53.25" customFormat="1" customHeight="1" s="1391">
      <c r="A228" s="1216" t="inlineStr">
        <is>
          <t>SUB-ASSEMBLY</t>
        </is>
      </c>
      <c r="B228" s="1217" t="inlineStr">
        <is>
          <t>COMMENTS</t>
        </is>
      </c>
      <c r="C228" s="1217" t="inlineStr">
        <is>
          <t>Machine Vendor</t>
        </is>
      </c>
      <c r="D228" s="1217" t="n"/>
      <c r="E228" s="1217" t="n"/>
      <c r="F228" s="1217" t="n"/>
      <c r="G228" s="1217" t="n"/>
      <c r="H228" s="1392" t="inlineStr">
        <is>
          <t>Global Sec/ Pc</t>
        </is>
      </c>
      <c r="I228" s="1479" t="inlineStr">
        <is>
          <t>Location
LP/FA</t>
        </is>
      </c>
      <c r="J228" s="1432" t="n">
        <v>0</v>
      </c>
      <c r="K228" s="1393" t="inlineStr">
        <is>
          <t>Total</t>
        </is>
      </c>
      <c r="N228" s="1231" t="n"/>
      <c r="O228" s="1344" t="n"/>
      <c r="P228" s="1343" t="n"/>
      <c r="Q228" s="1404" t="n"/>
      <c r="R228" s="1231" t="n"/>
      <c r="S228" s="1132" t="n"/>
    </row>
    <row r="229" ht="22.5" customHeight="1" s="1134">
      <c r="A229" s="1498" t="inlineStr">
        <is>
          <t>CUT SUBASSY WIRES</t>
        </is>
      </c>
      <c r="B229" s="1397" t="inlineStr">
        <is>
          <t>cut and strip purchase componets (valve, sensor, switch, etc.)</t>
        </is>
      </c>
      <c r="C229" s="1499" t="inlineStr">
        <is>
          <t>subassy wires cutter</t>
        </is>
      </c>
      <c r="D229" s="1399" t="n"/>
      <c r="E229" s="1399" t="n"/>
      <c r="F229" s="1399" t="n"/>
      <c r="G229" s="1399" t="n"/>
      <c r="H229" s="1400" t="n">
        <v>10</v>
      </c>
      <c r="I229" s="1401" t="inlineStr">
        <is>
          <t>LP</t>
        </is>
      </c>
      <c r="J229" s="1402" t="n">
        <v>0</v>
      </c>
      <c r="K229" s="1403">
        <f>+J229*H229</f>
        <v/>
      </c>
      <c r="M229" s="1132" t="inlineStr">
        <is>
          <t>Automatic</t>
        </is>
      </c>
      <c r="N229" s="1231" t="inlineStr">
        <is>
          <t>не учитываю</t>
        </is>
      </c>
      <c r="O229" s="1344" t="n"/>
      <c r="P229" s="1343" t="n"/>
      <c r="Q229" s="1404" t="n"/>
      <c r="R229" s="1231" t="n"/>
      <c r="S229" s="1391" t="n"/>
    </row>
    <row r="230" ht="22.5" customHeight="1" s="1134">
      <c r="A230" s="1498" t="inlineStr">
        <is>
          <t>STRIP SUBASSY WIRES</t>
        </is>
      </c>
      <c r="B230" s="1397" t="inlineStr">
        <is>
          <t>strip subassembly wires</t>
        </is>
      </c>
      <c r="C230" s="1499" t="inlineStr">
        <is>
          <t>Wire Stripper / per strip</t>
        </is>
      </c>
      <c r="D230" s="1399" t="n"/>
      <c r="E230" s="1399" t="n"/>
      <c r="F230" s="1399" t="n"/>
      <c r="G230" s="1399" t="n"/>
      <c r="H230" s="1400" t="n">
        <v>2.5</v>
      </c>
      <c r="I230" s="1401" t="inlineStr">
        <is>
          <t>LP</t>
        </is>
      </c>
      <c r="J230" s="1402" t="n">
        <v>0</v>
      </c>
      <c r="K230" s="1403">
        <f>+J230*H230</f>
        <v/>
      </c>
      <c r="M230" s="1132" t="inlineStr">
        <is>
          <t>Manual</t>
        </is>
      </c>
      <c r="N230" s="1231" t="inlineStr">
        <is>
          <t>не учитываю</t>
        </is>
      </c>
      <c r="O230" s="1344" t="n"/>
      <c r="P230" s="1343" t="n"/>
      <c r="Q230" s="1404" t="n"/>
      <c r="R230" s="1231" t="n"/>
    </row>
    <row r="231" ht="22.5" customHeight="1" s="1134">
      <c r="A231" s="1500" t="n"/>
      <c r="B231" s="1415" t="n"/>
      <c r="C231" s="1485" t="n"/>
      <c r="D231" s="1317" t="n"/>
      <c r="E231" s="1317" t="n"/>
      <c r="F231" s="1317" t="n"/>
      <c r="G231" s="1317" t="n"/>
      <c r="H231" s="1420" t="n"/>
      <c r="I231" s="1438" t="n"/>
      <c r="J231" s="1439" t="n">
        <v>0</v>
      </c>
      <c r="K231" s="1440" t="n"/>
      <c r="N231" s="1231" t="n"/>
      <c r="O231" s="1344" t="n"/>
      <c r="P231" s="1343" t="n"/>
      <c r="Q231" s="1404" t="n"/>
      <c r="R231" s="1231" t="n"/>
    </row>
    <row r="232" ht="22.5" customHeight="1" s="1134">
      <c r="A232" s="1425" t="n"/>
      <c r="B232" s="1426" t="n"/>
      <c r="C232" s="1319" t="n"/>
      <c r="D232" s="1319" t="n"/>
      <c r="E232" s="1319" t="n"/>
      <c r="F232" s="1319" t="n"/>
      <c r="G232" s="1319" t="n"/>
      <c r="H232" s="1319" t="n"/>
      <c r="I232" s="1463" t="n"/>
      <c r="J232" s="1429" t="n">
        <v>0</v>
      </c>
      <c r="K232" s="1430" t="n"/>
      <c r="N232" s="1231" t="n"/>
      <c r="O232" s="1344" t="n"/>
      <c r="P232" s="1343" t="n"/>
      <c r="Q232" s="1404" t="n"/>
      <c r="R232" s="1231" t="n"/>
    </row>
    <row r="233" ht="53.25" customFormat="1" customHeight="1" s="1391">
      <c r="A233" s="1216" t="inlineStr">
        <is>
          <t>SUB-ASSEMBLY</t>
        </is>
      </c>
      <c r="B233" s="1217" t="inlineStr">
        <is>
          <t>COMMENTS</t>
        </is>
      </c>
      <c r="C233" s="1217" t="inlineStr">
        <is>
          <t>Machine Vendor</t>
        </is>
      </c>
      <c r="D233" s="1217" t="inlineStr">
        <is>
          <t>Min Length [mm]</t>
        </is>
      </c>
      <c r="E233" s="1217" t="inlineStr">
        <is>
          <t>Max Length [mm]</t>
        </is>
      </c>
      <c r="F233" s="1217" t="n"/>
      <c r="G233" s="1217" t="n"/>
      <c r="H233" s="1392" t="inlineStr">
        <is>
          <t>Global Sec/ Pc</t>
        </is>
      </c>
      <c r="I233" s="1479" t="inlineStr">
        <is>
          <t>Location
LP/FA</t>
        </is>
      </c>
      <c r="J233" s="1432" t="n">
        <v>0</v>
      </c>
      <c r="K233" s="1393" t="inlineStr">
        <is>
          <t>Total</t>
        </is>
      </c>
      <c r="N233" s="1231" t="n"/>
      <c r="O233" s="1344" t="n"/>
      <c r="P233" s="1343" t="n"/>
      <c r="Q233" s="1404" t="n"/>
      <c r="R233" s="1231" t="n"/>
      <c r="S233" s="1132" t="n"/>
    </row>
    <row r="234" ht="30" customHeight="1" s="1134">
      <c r="A234" s="1533" t="inlineStr">
        <is>
          <t>Connector marking (numbers or solid line)</t>
        </is>
      </c>
      <c r="B234" s="1499" t="inlineStr">
        <is>
          <t>marking text and solid reference line</t>
        </is>
      </c>
      <c r="C234" s="1603" t="inlineStr">
        <is>
          <t>Laser printer</t>
        </is>
      </c>
      <c r="D234" s="1490" t="n"/>
      <c r="E234" s="1490" t="n"/>
      <c r="F234" s="1490" t="n"/>
      <c r="G234" s="1490" t="n"/>
      <c r="H234" s="1400">
        <f>7.22/100*60</f>
        <v/>
      </c>
      <c r="I234" s="1401" t="inlineStr">
        <is>
          <t>LP</t>
        </is>
      </c>
      <c r="J234" s="1402" t="n">
        <v>0</v>
      </c>
      <c r="K234" s="1403">
        <f>+J234*H234</f>
        <v/>
      </c>
      <c r="L234" s="1231" t="n"/>
      <c r="M234" s="1231" t="inlineStr">
        <is>
          <t>Manual</t>
        </is>
      </c>
      <c r="N234" s="1231" t="inlineStr">
        <is>
          <t>не учитываю</t>
        </is>
      </c>
      <c r="O234" s="1344" t="n"/>
      <c r="P234" s="1343" t="n"/>
      <c r="Q234" s="1404" t="n"/>
      <c r="R234" s="1231" t="n"/>
    </row>
    <row r="235" ht="30" customHeight="1" s="1134">
      <c r="A235" s="1487" t="inlineStr">
        <is>
          <t xml:space="preserve">Marking text on outsourcing harness / subassembly </t>
        </is>
      </c>
      <c r="B235" s="1604" t="inlineStr">
        <is>
          <t>Marking text on outsourcing harness every 25mm which has two circuits (black and white) .Two circuits marking are done in one cycle. ( Black with white ink, white with black ink.)</t>
        </is>
      </c>
      <c r="C235" s="1603" t="inlineStr">
        <is>
          <t>LeiBinger Inkjet-2</t>
        </is>
      </c>
      <c r="D235" s="1490" t="n">
        <v>70</v>
      </c>
      <c r="E235" s="1490" t="n">
        <v>500</v>
      </c>
      <c r="F235" s="1490" t="n"/>
      <c r="G235" s="1490" t="n"/>
      <c r="H235" s="1400" t="n">
        <v>42.4</v>
      </c>
      <c r="I235" s="1401" t="inlineStr">
        <is>
          <t>LP</t>
        </is>
      </c>
      <c r="J235" s="1402" t="n">
        <v>0</v>
      </c>
      <c r="K235" s="1403">
        <f>+J235*H235</f>
        <v/>
      </c>
      <c r="L235" s="1231" t="n"/>
      <c r="M235" s="1231" t="inlineStr">
        <is>
          <t>Manual</t>
        </is>
      </c>
      <c r="N235" s="1231" t="n"/>
      <c r="O235" s="1344" t="n"/>
      <c r="P235" s="1343" t="n"/>
      <c r="Q235" s="1404" t="n"/>
      <c r="R235" s="1231" t="n"/>
      <c r="S235" s="1391" t="n"/>
    </row>
    <row r="236" ht="30" customHeight="1" s="1134">
      <c r="A236" s="1232" t="n"/>
      <c r="B236" s="1233" t="n"/>
      <c r="C236" s="1233" t="n"/>
      <c r="D236" s="1490" t="n">
        <v>501</v>
      </c>
      <c r="E236" s="1490" t="n">
        <v>1000</v>
      </c>
      <c r="F236" s="1490" t="n"/>
      <c r="G236" s="1490" t="n"/>
      <c r="H236" s="1400" t="n">
        <v>47.8</v>
      </c>
      <c r="I236" s="1401" t="inlineStr">
        <is>
          <t>LP</t>
        </is>
      </c>
      <c r="J236" s="1402" t="n">
        <v>0</v>
      </c>
      <c r="K236" s="1403">
        <f>+J236*H236</f>
        <v/>
      </c>
      <c r="L236" s="1231" t="n"/>
      <c r="M236" s="1231" t="inlineStr">
        <is>
          <t>Manual</t>
        </is>
      </c>
      <c r="N236" s="1231" t="n"/>
      <c r="O236" s="1344" t="n"/>
      <c r="P236" s="1343" t="n"/>
      <c r="Q236" s="1404" t="n"/>
      <c r="R236" s="1231" t="n"/>
    </row>
    <row r="237" ht="30" customHeight="1" s="1134">
      <c r="A237" s="1232" t="n"/>
      <c r="B237" s="1233" t="n"/>
      <c r="C237" s="1233" t="n"/>
      <c r="D237" s="1490" t="n">
        <v>1001</v>
      </c>
      <c r="E237" s="1490" t="n">
        <v>1500</v>
      </c>
      <c r="F237" s="1490" t="n"/>
      <c r="G237" s="1490" t="n"/>
      <c r="H237" s="1400" t="n">
        <v>55.4</v>
      </c>
      <c r="I237" s="1401" t="inlineStr">
        <is>
          <t>LP</t>
        </is>
      </c>
      <c r="J237" s="1402" t="n">
        <v>0</v>
      </c>
      <c r="K237" s="1403">
        <f>+J237*H237</f>
        <v/>
      </c>
      <c r="L237" s="1231" t="n"/>
      <c r="M237" s="1231" t="inlineStr">
        <is>
          <t>Manual</t>
        </is>
      </c>
      <c r="N237" s="1231" t="n"/>
      <c r="O237" s="1344" t="n"/>
      <c r="P237" s="1343" t="n"/>
      <c r="Q237" s="1404" t="n"/>
      <c r="R237" s="1231" t="n"/>
    </row>
    <row r="238" ht="30" customHeight="1" s="1134">
      <c r="A238" s="1232" t="n"/>
      <c r="B238" s="1233" t="n"/>
      <c r="C238" s="1233" t="n"/>
      <c r="D238" s="1490" t="n">
        <v>1501</v>
      </c>
      <c r="E238" s="1490" t="n">
        <v>2000</v>
      </c>
      <c r="F238" s="1490" t="n"/>
      <c r="G238" s="1490" t="n"/>
      <c r="H238" s="1420" t="n">
        <v>70</v>
      </c>
      <c r="I238" s="1401" t="inlineStr">
        <is>
          <t>LP</t>
        </is>
      </c>
      <c r="J238" s="1439" t="n">
        <v>0</v>
      </c>
      <c r="K238" s="1440">
        <f>+J238*H238</f>
        <v/>
      </c>
      <c r="L238" s="1231" t="n"/>
      <c r="M238" s="1231" t="inlineStr">
        <is>
          <t>Manual</t>
        </is>
      </c>
      <c r="N238" s="1231" t="n"/>
      <c r="O238" s="1344" t="n"/>
      <c r="P238" s="1343" t="n"/>
      <c r="Q238" s="1404" t="n"/>
      <c r="R238" s="1231" t="n"/>
    </row>
    <row r="239" ht="48" customHeight="1" s="1134">
      <c r="A239" s="1491" t="inlineStr">
        <is>
          <t>Manual marking of wires / connector (with marker) WHEN REQUESTED BY CUSTOMER</t>
        </is>
      </c>
      <c r="B239" s="1605" t="inlineStr">
        <is>
          <t>To mark on wires / connector when automatic marking is not allowed. 
Time per ONE side of the wire</t>
        </is>
      </c>
      <c r="C239" s="1492" t="inlineStr">
        <is>
          <t>Hand work (marker)</t>
        </is>
      </c>
      <c r="D239" s="1399" t="n"/>
      <c r="E239" s="1399" t="n"/>
      <c r="F239" s="1399" t="n"/>
      <c r="G239" s="1399" t="n"/>
      <c r="H239" s="1420" t="n">
        <v>0.4</v>
      </c>
      <c r="I239" s="1401" t="inlineStr">
        <is>
          <t>LP</t>
        </is>
      </c>
      <c r="J239" s="1402" t="n">
        <v>0</v>
      </c>
      <c r="K239" s="1403">
        <f>+J239*H239</f>
        <v/>
      </c>
      <c r="L239" s="1502" t="n"/>
      <c r="M239" s="1502" t="inlineStr">
        <is>
          <t>Manual</t>
        </is>
      </c>
      <c r="N239" s="1231" t="inlineStr">
        <is>
          <t>не учитываю</t>
        </is>
      </c>
      <c r="O239" s="1344" t="n"/>
      <c r="P239" s="1343" t="n"/>
      <c r="Q239" s="1404" t="n"/>
      <c r="R239" s="1231" t="n"/>
      <c r="S239" s="1391" t="n"/>
    </row>
    <row r="240" ht="23.25" customHeight="1" s="1134">
      <c r="A240" s="1491" t="n"/>
      <c r="B240" s="1605" t="n"/>
      <c r="C240" s="1492" t="n"/>
      <c r="D240" s="1399" t="n"/>
      <c r="E240" s="1399" t="n"/>
      <c r="F240" s="1399" t="n"/>
      <c r="G240" s="1399" t="n"/>
      <c r="H240" s="1486" t="n"/>
      <c r="I240" s="1401" t="n"/>
      <c r="J240" s="1402" t="n">
        <v>0</v>
      </c>
      <c r="K240" s="1403" t="n"/>
      <c r="L240" s="1231" t="n"/>
      <c r="M240" s="1231" t="n"/>
      <c r="N240" s="1231" t="n"/>
      <c r="O240" s="1344" t="n"/>
      <c r="P240" s="1343" t="n"/>
      <c r="Q240" s="1404" t="n"/>
      <c r="R240" s="1231" t="n"/>
    </row>
    <row r="241" ht="17.25" customHeight="1" s="1134">
      <c r="A241" s="1491" t="n"/>
      <c r="B241" s="1605" t="n"/>
      <c r="C241" s="1492" t="n"/>
      <c r="D241" s="1399" t="n"/>
      <c r="E241" s="1399" t="n"/>
      <c r="F241" s="1399" t="n"/>
      <c r="G241" s="1399" t="n"/>
      <c r="H241" s="1486" t="n"/>
      <c r="I241" s="1401" t="n"/>
      <c r="J241" s="1402" t="n">
        <v>0</v>
      </c>
      <c r="K241" s="1403" t="n"/>
      <c r="N241" s="1231" t="n"/>
      <c r="O241" s="1344" t="n"/>
      <c r="P241" s="1343" t="n"/>
      <c r="Q241" s="1404" t="n"/>
      <c r="R241" s="1231" t="n"/>
    </row>
    <row r="242" ht="22.5" customHeight="1" s="1134">
      <c r="A242" s="1606" t="n"/>
      <c r="B242" s="1599" t="n"/>
      <c r="C242" s="1490" t="n"/>
      <c r="D242" s="1490" t="n"/>
      <c r="E242" s="1490" t="n"/>
      <c r="F242" s="1490" t="n"/>
      <c r="G242" s="1490" t="n"/>
      <c r="H242" s="1490" t="n"/>
      <c r="I242" s="1607" t="n"/>
      <c r="J242" s="1518" t="n">
        <v>0</v>
      </c>
      <c r="K242" s="1477" t="n"/>
      <c r="N242" s="1231" t="n"/>
      <c r="O242" s="1344" t="n"/>
      <c r="P242" s="1343" t="n"/>
      <c r="Q242" s="1404" t="n"/>
      <c r="R242" s="1231" t="n"/>
    </row>
    <row r="243" ht="53.25" customFormat="1" customHeight="1" s="1391">
      <c r="A243" s="1216" t="inlineStr">
        <is>
          <t>MISCELLAN.</t>
        </is>
      </c>
      <c r="B243" s="1217" t="inlineStr">
        <is>
          <t>COMMENTS</t>
        </is>
      </c>
      <c r="C243" s="1217" t="inlineStr">
        <is>
          <t>Machine Vendor</t>
        </is>
      </c>
      <c r="D243" s="1217" t="inlineStr">
        <is>
          <t>DPN</t>
        </is>
      </c>
      <c r="E243" s="1217" t="n"/>
      <c r="F243" s="1217" t="n"/>
      <c r="G243" s="1217" t="n"/>
      <c r="H243" s="1392" t="inlineStr">
        <is>
          <t>Global Sec/ Pc</t>
        </is>
      </c>
      <c r="I243" s="1479" t="inlineStr">
        <is>
          <t>Location
LP/FA</t>
        </is>
      </c>
      <c r="J243" s="1432" t="n">
        <v>0</v>
      </c>
      <c r="K243" s="1393" t="inlineStr">
        <is>
          <t>Total</t>
        </is>
      </c>
      <c r="N243" s="1231" t="n"/>
      <c r="O243" s="1344" t="n"/>
      <c r="P243" s="1343" t="n"/>
      <c r="Q243" s="1404" t="n"/>
      <c r="R243" s="1231" t="n"/>
      <c r="S243" s="1132" t="n"/>
    </row>
    <row r="244" ht="22.5" customHeight="1" s="1134">
      <c r="A244" s="1498" t="inlineStr">
        <is>
          <t>LOCTITE</t>
        </is>
      </c>
      <c r="B244" s="1397" t="inlineStr">
        <is>
          <t>loctite</t>
        </is>
      </c>
      <c r="C244" s="1398" t="inlineStr">
        <is>
          <t>Loctite station</t>
        </is>
      </c>
      <c r="D244" s="1399" t="n"/>
      <c r="E244" s="1399" t="n"/>
      <c r="F244" s="1399" t="n"/>
      <c r="G244" s="1399" t="n"/>
      <c r="H244" s="1400" t="n">
        <v>4.62</v>
      </c>
      <c r="I244" s="1401" t="inlineStr">
        <is>
          <t>LP</t>
        </is>
      </c>
      <c r="J244" s="1402" t="n">
        <v>0</v>
      </c>
      <c r="K244" s="1403">
        <f>+J244*H244</f>
        <v/>
      </c>
      <c r="M244" s="1132" t="inlineStr">
        <is>
          <t>Manual</t>
        </is>
      </c>
      <c r="N244" s="1231" t="inlineStr">
        <is>
          <t>не учитываю</t>
        </is>
      </c>
      <c r="O244" s="1344" t="n"/>
      <c r="P244" s="1343" t="n"/>
      <c r="Q244" s="1404" t="n"/>
      <c r="R244" s="1231" t="n"/>
    </row>
    <row r="245" ht="22.5" customHeight="1" s="1134">
      <c r="A245" s="1498" t="inlineStr">
        <is>
          <t>GREASE</t>
        </is>
      </c>
      <c r="B245" s="1397" t="inlineStr">
        <is>
          <t>apply grease to conn (equip type depends on vol)</t>
        </is>
      </c>
      <c r="C245" s="1397" t="inlineStr">
        <is>
          <t>Greaser</t>
        </is>
      </c>
      <c r="D245" s="1399" t="n"/>
      <c r="E245" s="1399" t="n"/>
      <c r="F245" s="1399" t="n"/>
      <c r="G245" s="1399" t="n"/>
      <c r="H245" s="1400" t="n">
        <v>8.859999999999999</v>
      </c>
      <c r="I245" s="1401" t="inlineStr">
        <is>
          <t>LP</t>
        </is>
      </c>
      <c r="J245" s="1402" t="n">
        <v>0</v>
      </c>
      <c r="K245" s="1403">
        <f>+J245*H245</f>
        <v/>
      </c>
      <c r="M245" s="1132" t="inlineStr">
        <is>
          <t>Automatic</t>
        </is>
      </c>
      <c r="N245" s="1231" t="inlineStr">
        <is>
          <t>не учитываю</t>
        </is>
      </c>
      <c r="O245" s="1344" t="n"/>
      <c r="P245" s="1343" t="n"/>
      <c r="Q245" s="1404" t="n"/>
      <c r="R245" s="1231" t="n"/>
    </row>
    <row r="246" ht="55.5" customHeight="1" s="1134">
      <c r="A246" s="1396" t="inlineStr">
        <is>
          <t>GREASE APPLICATION
Nyogel Lubricant Application inside and on the connector edge - NA</t>
        </is>
      </c>
      <c r="B246" s="1397" t="inlineStr">
        <is>
          <t>Apply grease into cavities and edge of connector / per connector
(Reach the harness from the hook - Leave the harness on the hook)</t>
        </is>
      </c>
      <c r="C246" s="1397" t="inlineStr">
        <is>
          <t>Alprema</t>
        </is>
      </c>
      <c r="D246" s="1399" t="n"/>
      <c r="E246" s="1399" t="n"/>
      <c r="F246" s="1399" t="n"/>
      <c r="G246" s="1399" t="n"/>
      <c r="H246" s="1400" t="n">
        <v>52</v>
      </c>
      <c r="I246" s="1401" t="inlineStr">
        <is>
          <t>LP</t>
        </is>
      </c>
      <c r="J246" s="1402" t="n">
        <v>0</v>
      </c>
      <c r="K246" s="1403">
        <f>+J246*H246</f>
        <v/>
      </c>
      <c r="N246" s="1231" t="inlineStr">
        <is>
          <t>не учитываю</t>
        </is>
      </c>
      <c r="O246" s="1344" t="n"/>
      <c r="P246" s="1343" t="n"/>
      <c r="Q246" s="1404" t="n"/>
      <c r="R246" s="1231" t="n"/>
    </row>
    <row r="247" ht="22.5" customHeight="1" s="1134">
      <c r="A247" s="1498" t="inlineStr">
        <is>
          <t>PVC TUBE WELDING</t>
        </is>
      </c>
      <c r="B247" s="1397" t="inlineStr">
        <is>
          <t>PVC tube welding</t>
        </is>
      </c>
      <c r="C247" s="1397" t="inlineStr">
        <is>
          <t>PVC Tube welder</t>
        </is>
      </c>
      <c r="D247" s="1399" t="n"/>
      <c r="E247" s="1399" t="n"/>
      <c r="F247" s="1399" t="n"/>
      <c r="G247" s="1399" t="n"/>
      <c r="H247" s="1400" t="n">
        <v>10.8</v>
      </c>
      <c r="I247" s="1401" t="inlineStr">
        <is>
          <t>LP</t>
        </is>
      </c>
      <c r="J247" s="1402" t="n">
        <v>0</v>
      </c>
      <c r="K247" s="1403">
        <f>+J247*H247</f>
        <v/>
      </c>
      <c r="M247" s="1132" t="inlineStr">
        <is>
          <t>Manual</t>
        </is>
      </c>
      <c r="N247" s="1231" t="inlineStr">
        <is>
          <t>не учитываю</t>
        </is>
      </c>
      <c r="O247" s="1344" t="n"/>
      <c r="P247" s="1343" t="n"/>
      <c r="Q247" s="1404" t="n"/>
      <c r="R247" s="1231" t="n"/>
    </row>
    <row r="248" ht="22.5" customHeight="1" s="1134">
      <c r="A248" s="1498" t="inlineStr">
        <is>
          <t>CUT FUEL TUBE</t>
        </is>
      </c>
      <c r="B248" s="1397" t="inlineStr">
        <is>
          <t>Fuel Tube Cutting</t>
        </is>
      </c>
      <c r="C248" s="1397" t="inlineStr">
        <is>
          <t>Fuel tube cutter</t>
        </is>
      </c>
      <c r="D248" s="1399" t="n"/>
      <c r="E248" s="1399" t="n"/>
      <c r="F248" s="1399" t="n"/>
      <c r="G248" s="1399" t="n"/>
      <c r="H248" s="1400" t="n">
        <v>4.49</v>
      </c>
      <c r="I248" s="1401" t="inlineStr">
        <is>
          <t>LP</t>
        </is>
      </c>
      <c r="J248" s="1402" t="n">
        <v>0</v>
      </c>
      <c r="K248" s="1403">
        <f>+J248*H248</f>
        <v/>
      </c>
      <c r="L248" s="1132" t="n"/>
      <c r="M248" s="1132" t="inlineStr">
        <is>
          <t>Manual</t>
        </is>
      </c>
      <c r="N248" s="1231" t="inlineStr">
        <is>
          <t>не учитываю</t>
        </is>
      </c>
      <c r="O248" s="1344" t="n"/>
      <c r="P248" s="1343" t="n"/>
      <c r="Q248" s="1404" t="n"/>
      <c r="R248" s="1231" t="n"/>
    </row>
    <row r="249" ht="22.5" customHeight="1" s="1134">
      <c r="A249" s="1498" t="inlineStr">
        <is>
          <t>CUT BRANCH</t>
        </is>
      </c>
      <c r="B249" s="1397" t="inlineStr">
        <is>
          <t>Cut Branch with Guilhotine</t>
        </is>
      </c>
      <c r="C249" s="1397" t="inlineStr">
        <is>
          <t>Branch Cutter</t>
        </is>
      </c>
      <c r="D249" s="1399" t="n"/>
      <c r="E249" s="1399" t="n"/>
      <c r="F249" s="1399" t="n"/>
      <c r="G249" s="1399" t="n"/>
      <c r="H249" s="1400" t="n">
        <v>4.56</v>
      </c>
      <c r="I249" s="1401" t="inlineStr">
        <is>
          <t>LP</t>
        </is>
      </c>
      <c r="J249" s="1402" t="n">
        <v>0</v>
      </c>
      <c r="K249" s="1403">
        <f>+J249*H249</f>
        <v/>
      </c>
      <c r="M249" s="1132" t="inlineStr">
        <is>
          <t>Manual</t>
        </is>
      </c>
      <c r="N249" s="1231" t="inlineStr">
        <is>
          <t>не учитываю</t>
        </is>
      </c>
      <c r="O249" s="1344" t="n"/>
      <c r="P249" s="1343" t="n"/>
      <c r="Q249" s="1404" t="n"/>
      <c r="R249" s="1231" t="n"/>
    </row>
    <row r="250" ht="22.5" customHeight="1" s="1134">
      <c r="A250" s="1498" t="inlineStr">
        <is>
          <t>CUT TUBE W/HEAT</t>
        </is>
      </c>
      <c r="B250" s="1397" t="inlineStr">
        <is>
          <t>hot cut for tube</t>
        </is>
      </c>
      <c r="C250" s="1397" t="inlineStr">
        <is>
          <t>Tube Heat Cutter</t>
        </is>
      </c>
      <c r="D250" s="1399" t="n"/>
      <c r="E250" s="1399" t="n"/>
      <c r="F250" s="1399" t="n"/>
      <c r="G250" s="1399" t="n"/>
      <c r="H250" s="1400" t="n">
        <v>4.91</v>
      </c>
      <c r="I250" s="1401" t="inlineStr">
        <is>
          <t>LP</t>
        </is>
      </c>
      <c r="J250" s="1402" t="n">
        <v>0</v>
      </c>
      <c r="K250" s="1403">
        <f>+J250*H250</f>
        <v/>
      </c>
      <c r="M250" s="1132" t="inlineStr">
        <is>
          <t>Manual</t>
        </is>
      </c>
      <c r="N250" s="1231" t="inlineStr">
        <is>
          <t>не учитываю</t>
        </is>
      </c>
      <c r="O250" s="1344" t="n"/>
      <c r="P250" s="1343" t="n"/>
      <c r="Q250" s="1404" t="n"/>
      <c r="R250" s="1231" t="n"/>
    </row>
    <row r="251" ht="22.5" customHeight="1" s="1134">
      <c r="A251" s="1498" t="inlineStr">
        <is>
          <t xml:space="preserve">CONN PUSH TEST </t>
        </is>
      </c>
      <c r="B251" s="1397" t="inlineStr">
        <is>
          <t>push test to term loaded  in a special conn</t>
        </is>
      </c>
      <c r="C251" s="1397" t="inlineStr">
        <is>
          <t>Push Tester</t>
        </is>
      </c>
      <c r="D251" s="1399" t="n">
        <v>12160492</v>
      </c>
      <c r="E251" s="1399" t="n"/>
      <c r="F251" s="1399" t="n"/>
      <c r="G251" s="1399" t="n"/>
      <c r="H251" s="1400" t="n">
        <v>23.05</v>
      </c>
      <c r="I251" s="1401" t="inlineStr">
        <is>
          <t>LP</t>
        </is>
      </c>
      <c r="J251" s="1402" t="n">
        <v>0</v>
      </c>
      <c r="K251" s="1403">
        <f>+J251*H251</f>
        <v/>
      </c>
      <c r="M251" s="1132" t="inlineStr">
        <is>
          <t>Manual</t>
        </is>
      </c>
      <c r="N251" s="1231" t="inlineStr">
        <is>
          <t>не учитываю</t>
        </is>
      </c>
      <c r="O251" s="1344" t="n"/>
      <c r="P251" s="1343" t="n"/>
      <c r="Q251" s="1404" t="n"/>
      <c r="R251" s="1231" t="n"/>
    </row>
    <row r="252" ht="22.5" customHeight="1" s="1134">
      <c r="A252" s="1498" t="inlineStr">
        <is>
          <t>SPLICESAVER</t>
        </is>
      </c>
      <c r="B252" s="1397" t="inlineStr">
        <is>
          <t>apply splice saver to connector</t>
        </is>
      </c>
      <c r="C252" s="1397" t="inlineStr">
        <is>
          <t>Splice Saver Press and Die</t>
        </is>
      </c>
      <c r="D252" s="1399" t="n"/>
      <c r="E252" s="1399" t="n"/>
      <c r="F252" s="1399" t="n"/>
      <c r="G252" s="1399" t="n"/>
      <c r="H252" s="1400" t="n">
        <v>7.5</v>
      </c>
      <c r="I252" s="1401" t="inlineStr">
        <is>
          <t>LP</t>
        </is>
      </c>
      <c r="J252" s="1402" t="n">
        <v>0</v>
      </c>
      <c r="K252" s="1403">
        <f>+J252*H252</f>
        <v/>
      </c>
      <c r="M252" s="1132" t="inlineStr">
        <is>
          <t>Automatic</t>
        </is>
      </c>
      <c r="N252" s="1231" t="inlineStr">
        <is>
          <t>не учитываю</t>
        </is>
      </c>
      <c r="O252" s="1344" t="n"/>
      <c r="P252" s="1343" t="n"/>
      <c r="Q252" s="1404" t="n"/>
      <c r="R252" s="1231" t="n"/>
    </row>
    <row r="253" ht="22.5" customHeight="1" s="1134">
      <c r="A253" s="1498" t="inlineStr">
        <is>
          <t>CENTRAL STRIP</t>
        </is>
      </c>
      <c r="B253" s="1397" t="inlineStr">
        <is>
          <t>Central Strip in Coaxial Cable</t>
        </is>
      </c>
      <c r="C253" s="1397" t="inlineStr">
        <is>
          <t>Center strip Stripper</t>
        </is>
      </c>
      <c r="D253" s="1399" t="n"/>
      <c r="E253" s="1399" t="n"/>
      <c r="F253" s="1399" t="n"/>
      <c r="G253" s="1399" t="n"/>
      <c r="H253" s="1400" t="n">
        <v>24.34</v>
      </c>
      <c r="I253" s="1401" t="inlineStr">
        <is>
          <t>LP</t>
        </is>
      </c>
      <c r="J253" s="1402" t="n">
        <v>0</v>
      </c>
      <c r="K253" s="1403">
        <f>+J253*H253</f>
        <v/>
      </c>
      <c r="L253" s="1132" t="n"/>
      <c r="M253" s="1132" t="inlineStr">
        <is>
          <t>Manual</t>
        </is>
      </c>
      <c r="N253" s="1231" t="inlineStr">
        <is>
          <t>не учитываю</t>
        </is>
      </c>
      <c r="O253" s="1344" t="n"/>
      <c r="P253" s="1343" t="n"/>
      <c r="Q253" s="1404" t="n"/>
      <c r="R253" s="1231" t="n"/>
    </row>
    <row r="254" ht="22.5" customHeight="1" s="1134">
      <c r="A254" s="1498" t="inlineStr">
        <is>
          <t>CENTRAL STRIP</t>
        </is>
      </c>
      <c r="B254" s="1397" t="inlineStr">
        <is>
          <t>Central Strip in normal cable</t>
        </is>
      </c>
      <c r="C254" s="1397" t="inlineStr">
        <is>
          <t>Center strip Stripper</t>
        </is>
      </c>
      <c r="D254" s="1399" t="n"/>
      <c r="E254" s="1399" t="n"/>
      <c r="F254" s="1399" t="n"/>
      <c r="G254" s="1399" t="n"/>
      <c r="H254" s="1400" t="n">
        <v>3.76</v>
      </c>
      <c r="I254" s="1401" t="inlineStr">
        <is>
          <t>LP</t>
        </is>
      </c>
      <c r="J254" s="1402" t="n">
        <v>0</v>
      </c>
      <c r="K254" s="1403">
        <f>+J254*H254</f>
        <v/>
      </c>
      <c r="L254" s="1132" t="n"/>
      <c r="M254" s="1132" t="inlineStr">
        <is>
          <t>Automatic</t>
        </is>
      </c>
      <c r="N254" s="1231" t="inlineStr">
        <is>
          <t>не учитываю</t>
        </is>
      </c>
      <c r="O254" s="1344" t="n"/>
      <c r="P254" s="1343" t="n"/>
      <c r="Q254" s="1404" t="n"/>
      <c r="R254" s="1231" t="n"/>
      <c r="S254" s="1391" t="n"/>
    </row>
    <row r="255" ht="177" customHeight="1" s="1134">
      <c r="A255" s="1396" t="inlineStr">
        <is>
          <t>SPOT TAPING OVER TWISTED PAIR
&amp; unjacked FLEX RAY / ETHERNET / CAN / CAN-FD</t>
        </is>
      </c>
      <c r="B255" s="1415" t="inlineStr">
        <is>
          <t>To avoid untwisting on twist ends
When required and be added on BOM. 
For twisted pairs with total cross section =&lt; 1,5mm².
EU detailed configuration:
- For high speed data and high sensitive/fragile wires (CAN, CAN-FD, Flexray, Ethernet wires) – Twisting POS
- For splice process of below configuration: (1 wire is longer than the other and also customer spec. due to splice configuration) – USW POS
- For 0,13 mm wire splices and sensitive splices identified in the POS (with 19 mm tap width) – USW POS
- For heat shrink process – Sealing POS</t>
        </is>
      </c>
      <c r="C255" s="1415" t="inlineStr">
        <is>
          <t>Kabatec E9 Benchtop (machine can proceed twisted pairs with cross section up to 2 x 1,5mm²).
Recommended tape: M5209107 textil (100m length) and M4060 PVC (both 9 mm width) 
For NA: M4037101 (19 mm width)</t>
        </is>
      </c>
      <c r="D255" s="1317" t="n"/>
      <c r="E255" s="1317" t="n"/>
      <c r="F255" s="1317" t="n"/>
      <c r="G255" s="1317" t="n"/>
      <c r="H255" s="1608" t="n">
        <v>3.7</v>
      </c>
      <c r="I255" s="1401" t="inlineStr">
        <is>
          <t>LP</t>
        </is>
      </c>
      <c r="J255" s="1439" t="n">
        <v>0</v>
      </c>
      <c r="K255" s="1440">
        <f>+J255*H255</f>
        <v/>
      </c>
      <c r="L255" s="1132" t="n"/>
      <c r="M255" s="1132" t="inlineStr">
        <is>
          <t>Manual</t>
        </is>
      </c>
      <c r="N255" s="1231" t="inlineStr">
        <is>
          <t>не учитываю</t>
        </is>
      </c>
      <c r="O255" s="1344" t="n"/>
      <c r="P255" s="1343" t="n"/>
      <c r="Q255" s="1404" t="n"/>
      <c r="R255" s="1231" t="n"/>
    </row>
    <row r="256" ht="22.5" customHeight="1" s="1134">
      <c r="A256" s="1500" t="n"/>
      <c r="B256" s="1415" t="n"/>
      <c r="C256" s="1415" t="n"/>
      <c r="D256" s="1317" t="n"/>
      <c r="E256" s="1317" t="n"/>
      <c r="F256" s="1317" t="n"/>
      <c r="G256" s="1317" t="n"/>
      <c r="H256" s="1424" t="n"/>
      <c r="I256" s="1438" t="n"/>
      <c r="J256" s="1439" t="n">
        <v>0</v>
      </c>
      <c r="K256" s="1440" t="n"/>
      <c r="L256" s="1132" t="n"/>
      <c r="M256" s="1132" t="n"/>
      <c r="N256" s="1231" t="n"/>
      <c r="O256" s="1344" t="n"/>
      <c r="P256" s="1343" t="n"/>
      <c r="Q256" s="1404" t="n"/>
      <c r="R256" s="1231" t="n"/>
    </row>
    <row r="257" ht="22.5" customHeight="1" s="1134">
      <c r="A257" s="1500" t="n"/>
      <c r="B257" s="1415" t="n"/>
      <c r="C257" s="1415" t="n"/>
      <c r="D257" s="1317" t="n"/>
      <c r="E257" s="1317" t="n"/>
      <c r="F257" s="1317" t="n"/>
      <c r="G257" s="1317" t="n"/>
      <c r="H257" s="1424" t="n"/>
      <c r="I257" s="1438" t="n"/>
      <c r="J257" s="1439" t="n">
        <v>0</v>
      </c>
      <c r="K257" s="1440" t="n"/>
      <c r="L257" s="1132" t="n"/>
      <c r="M257" s="1132" t="n"/>
      <c r="N257" s="1231" t="n"/>
      <c r="O257" s="1344" t="n"/>
      <c r="P257" s="1343" t="n"/>
      <c r="Q257" s="1404" t="n"/>
      <c r="R257" s="1231" t="n"/>
    </row>
    <row r="258" ht="9.75" customHeight="1" s="1134">
      <c r="A258" s="1500" t="n"/>
      <c r="B258" s="1415" t="n"/>
      <c r="C258" s="1415" t="n"/>
      <c r="D258" s="1317" t="n"/>
      <c r="E258" s="1317" t="n"/>
      <c r="F258" s="1317" t="n"/>
      <c r="G258" s="1317" t="n"/>
      <c r="H258" s="1424" t="n"/>
      <c r="I258" s="1438" t="n"/>
      <c r="J258" s="1439" t="n">
        <v>0</v>
      </c>
      <c r="K258" s="1440" t="n"/>
      <c r="L258" s="1132" t="n"/>
      <c r="M258" s="1132" t="n"/>
      <c r="N258" s="1231" t="n"/>
      <c r="O258" s="1344" t="n"/>
      <c r="P258" s="1343" t="n"/>
      <c r="Q258" s="1404" t="n"/>
      <c r="R258" s="1231" t="n"/>
    </row>
    <row r="259" ht="53.25" customFormat="1" customHeight="1" s="1391">
      <c r="A259" s="1216" t="inlineStr">
        <is>
          <t>SHRINKING SLEEVES OVER CONVOLUTED CONDUITS</t>
        </is>
      </c>
      <c r="B259" s="1217" t="inlineStr">
        <is>
          <t>Comments</t>
        </is>
      </c>
      <c r="C259" s="1217" t="inlineStr">
        <is>
          <t>Clock start</t>
        </is>
      </c>
      <c r="D259" s="1217" t="inlineStr">
        <is>
          <t>Clock stop</t>
        </is>
      </c>
      <c r="E259" s="1217" t="inlineStr">
        <is>
          <t>Comments</t>
        </is>
      </c>
      <c r="F259" s="1609" t="n"/>
      <c r="G259" s="1610" t="n"/>
      <c r="H259" s="1392" t="inlineStr">
        <is>
          <t>Global Sec/ Pc</t>
        </is>
      </c>
      <c r="I259" s="1479" t="inlineStr">
        <is>
          <t>Location
LP/FA</t>
        </is>
      </c>
      <c r="J259" s="1432" t="n">
        <v>0</v>
      </c>
      <c r="K259" s="1393" t="inlineStr">
        <is>
          <t>Total</t>
        </is>
      </c>
      <c r="L259" s="1391" t="n"/>
      <c r="M259" s="1391" t="n"/>
      <c r="N259" s="1231" t="n"/>
      <c r="O259" s="1344" t="n"/>
      <c r="P259" s="1343" t="n"/>
      <c r="Q259" s="1404" t="n"/>
      <c r="R259" s="1231" t="n"/>
      <c r="S259" s="1132" t="n"/>
    </row>
    <row r="260" ht="22.5" customHeight="1" s="1134">
      <c r="A260" s="1421" t="inlineStr">
        <is>
          <t>Shrinking sleeves over convoluted conduits</t>
        </is>
      </c>
      <c r="B260" s="1489" t="inlineStr">
        <is>
          <t>Aligment of the conduits</t>
        </is>
      </c>
      <c r="C260" s="1489" t="inlineStr">
        <is>
          <t>Reach for harness</t>
        </is>
      </c>
      <c r="D260" s="1489" t="inlineStr">
        <is>
          <t>Release the harness</t>
        </is>
      </c>
      <c r="E260" s="1611" t="n"/>
      <c r="F260" s="1612" t="n"/>
      <c r="G260" s="1581" t="n"/>
      <c r="H260" s="1613">
        <f>2/100*60</f>
        <v/>
      </c>
      <c r="I260" s="1438" t="inlineStr">
        <is>
          <t>LP</t>
        </is>
      </c>
      <c r="J260" s="1439" t="n">
        <v>0</v>
      </c>
      <c r="K260" s="1403">
        <f>+J260*H260</f>
        <v/>
      </c>
      <c r="M260" s="1132" t="inlineStr">
        <is>
          <t>Manual</t>
        </is>
      </c>
      <c r="N260" s="1231" t="inlineStr">
        <is>
          <t>не учитываю</t>
        </is>
      </c>
      <c r="O260" s="1344" t="n"/>
      <c r="P260" s="1343" t="n"/>
      <c r="Q260" s="1404" t="n"/>
      <c r="R260" s="1231" t="n"/>
    </row>
    <row r="261" ht="22.5" customHeight="1" s="1134">
      <c r="A261" s="1232" t="n"/>
      <c r="B261" s="1489" t="inlineStr">
        <is>
          <t>Apply the cable tie</t>
        </is>
      </c>
      <c r="C261" s="1489" t="inlineStr">
        <is>
          <t>Reach for harness</t>
        </is>
      </c>
      <c r="D261" s="1489" t="inlineStr">
        <is>
          <t>Release the harness</t>
        </is>
      </c>
      <c r="E261" s="1611" t="n"/>
      <c r="F261" s="1612" t="n"/>
      <c r="G261" s="1581" t="n"/>
      <c r="H261" s="1613">
        <f>10.97/100*60</f>
        <v/>
      </c>
      <c r="I261" s="1438" t="inlineStr">
        <is>
          <t>LP</t>
        </is>
      </c>
      <c r="J261" s="1439" t="n">
        <v>0</v>
      </c>
      <c r="K261" s="1403">
        <f>+J261*H261</f>
        <v/>
      </c>
      <c r="M261" s="1132" t="inlineStr">
        <is>
          <t>Manual</t>
        </is>
      </c>
      <c r="N261" s="1231" t="inlineStr">
        <is>
          <t>не учитываю</t>
        </is>
      </c>
      <c r="O261" s="1344" t="n"/>
      <c r="P261" s="1343" t="n"/>
      <c r="Q261" s="1404" t="n"/>
      <c r="R261" s="1231" t="n"/>
    </row>
    <row r="262" ht="22.5" customHeight="1" s="1134">
      <c r="A262" s="1614" t="inlineStr">
        <is>
          <t>Sleeve positioning &amp; shrinking time
(Sum of conduits cross section [mm²])</t>
        </is>
      </c>
      <c r="B262" s="1489" t="inlineStr">
        <is>
          <t>160 - 300</t>
        </is>
      </c>
      <c r="C262" s="1489" t="n"/>
      <c r="D262" s="1489" t="n"/>
      <c r="E262" s="1582" t="inlineStr">
        <is>
          <t>Leister Hot Gun used for time study</t>
        </is>
      </c>
      <c r="G262" s="1297" t="n"/>
      <c r="H262" s="1613">
        <f>16.6/100*60</f>
        <v/>
      </c>
      <c r="I262" s="1438" t="inlineStr">
        <is>
          <t>LP</t>
        </is>
      </c>
      <c r="J262" s="1439" t="n">
        <v>0</v>
      </c>
      <c r="K262" s="1403">
        <f>+J262*H262</f>
        <v/>
      </c>
      <c r="L262" s="1231" t="n"/>
      <c r="M262" s="1231" t="inlineStr">
        <is>
          <t>Manual</t>
        </is>
      </c>
      <c r="N262" s="1231" t="inlineStr">
        <is>
          <t>не учитываю</t>
        </is>
      </c>
      <c r="O262" s="1344" t="n"/>
      <c r="P262" s="1343" t="n"/>
      <c r="Q262" s="1404" t="n"/>
      <c r="R262" s="1231" t="n"/>
    </row>
    <row r="263" ht="22.5" customHeight="1" s="1134">
      <c r="A263" s="1297" t="n"/>
      <c r="B263" s="1489" t="inlineStr">
        <is>
          <t>301 - 550</t>
        </is>
      </c>
      <c r="C263" s="1489" t="n"/>
      <c r="D263" s="1489" t="n"/>
      <c r="E263" s="1615" t="n"/>
      <c r="G263" s="1297" t="n"/>
      <c r="H263" s="1613">
        <f>35.25/100*60</f>
        <v/>
      </c>
      <c r="I263" s="1438" t="inlineStr">
        <is>
          <t>LP</t>
        </is>
      </c>
      <c r="J263" s="1439" t="n">
        <v>0</v>
      </c>
      <c r="K263" s="1403">
        <f>+J263*H263</f>
        <v/>
      </c>
      <c r="L263" s="1231" t="n"/>
      <c r="M263" s="1231" t="inlineStr">
        <is>
          <t>Manual</t>
        </is>
      </c>
      <c r="N263" s="1231" t="inlineStr">
        <is>
          <t>не учитываю</t>
        </is>
      </c>
      <c r="O263" s="1344" t="n"/>
      <c r="P263" s="1343" t="n"/>
      <c r="Q263" s="1404" t="n"/>
      <c r="R263" s="1231" t="n"/>
    </row>
    <row r="264" ht="22.5" customHeight="1" s="1134">
      <c r="A264" s="1297" t="n"/>
      <c r="B264" s="1489" t="inlineStr">
        <is>
          <t>551 - 820</t>
        </is>
      </c>
      <c r="C264" s="1489" t="n"/>
      <c r="D264" s="1489" t="n"/>
      <c r="E264" s="1582" t="inlineStr">
        <is>
          <t>Heating position 4 of Leister
Sleeve was shrinked 30mm ahead from the Leister</t>
        </is>
      </c>
      <c r="G264" s="1297" t="n"/>
      <c r="H264" s="1613">
        <f>37.56/100*60</f>
        <v/>
      </c>
      <c r="I264" s="1438" t="inlineStr">
        <is>
          <t>LP</t>
        </is>
      </c>
      <c r="J264" s="1439" t="n">
        <v>0</v>
      </c>
      <c r="K264" s="1403">
        <f>+J264*H264</f>
        <v/>
      </c>
      <c r="L264" s="1231" t="n"/>
      <c r="M264" s="1231" t="inlineStr">
        <is>
          <t>Manual</t>
        </is>
      </c>
      <c r="N264" s="1231" t="inlineStr">
        <is>
          <t>не учитываю</t>
        </is>
      </c>
      <c r="O264" s="1344" t="n"/>
      <c r="P264" s="1343" t="n"/>
      <c r="Q264" s="1404" t="n"/>
      <c r="R264" s="1231" t="n"/>
    </row>
    <row r="265" ht="22.5" customHeight="1" s="1134">
      <c r="A265" s="1297" t="n"/>
      <c r="B265" s="1489" t="inlineStr">
        <is>
          <t>821 - 1300</t>
        </is>
      </c>
      <c r="C265" s="1489" t="n"/>
      <c r="D265" s="1489" t="n"/>
      <c r="E265" s="1615" t="n"/>
      <c r="G265" s="1297" t="n"/>
      <c r="H265" s="1613">
        <f>54.84/100*60</f>
        <v/>
      </c>
      <c r="I265" s="1438" t="inlineStr">
        <is>
          <t>LP</t>
        </is>
      </c>
      <c r="J265" s="1439" t="n">
        <v>0</v>
      </c>
      <c r="K265" s="1403">
        <f>+J265*H265</f>
        <v/>
      </c>
      <c r="L265" s="1231" t="n"/>
      <c r="M265" s="1231" t="inlineStr">
        <is>
          <t>Manual</t>
        </is>
      </c>
      <c r="N265" s="1231" t="inlineStr">
        <is>
          <t>не учитываю</t>
        </is>
      </c>
      <c r="O265" s="1344" t="n"/>
      <c r="P265" s="1343" t="n"/>
      <c r="Q265" s="1404" t="n"/>
      <c r="R265" s="1231" t="n"/>
    </row>
    <row r="266" ht="22.5" customHeight="1" s="1134">
      <c r="A266" s="1297" t="n"/>
      <c r="B266" s="1489" t="inlineStr">
        <is>
          <t>1301 - 2400</t>
        </is>
      </c>
      <c r="C266" s="1489" t="n"/>
      <c r="D266" s="1489" t="n"/>
      <c r="E266" s="1615" t="n"/>
      <c r="G266" s="1297" t="n"/>
      <c r="H266" s="1613">
        <f>89.39/100*60</f>
        <v/>
      </c>
      <c r="I266" s="1438" t="inlineStr">
        <is>
          <t>LP</t>
        </is>
      </c>
      <c r="J266" s="1439" t="n">
        <v>0</v>
      </c>
      <c r="K266" s="1403">
        <f>+J266*H266</f>
        <v/>
      </c>
      <c r="L266" s="1231" t="n"/>
      <c r="M266" s="1231" t="inlineStr">
        <is>
          <t>Manual</t>
        </is>
      </c>
      <c r="N266" s="1231" t="inlineStr">
        <is>
          <t>не учитываю</t>
        </is>
      </c>
      <c r="O266" s="1344" t="n"/>
      <c r="P266" s="1343" t="n"/>
      <c r="Q266" s="1404" t="n"/>
      <c r="R266" s="1231" t="n"/>
    </row>
    <row r="267" ht="22.5" customHeight="1" s="1134">
      <c r="A267" s="1414" t="n"/>
      <c r="B267" s="1489" t="n"/>
      <c r="C267" s="1489" t="n"/>
      <c r="D267" s="1489" t="n"/>
      <c r="E267" s="1611" t="n"/>
      <c r="F267" s="1612" t="n"/>
      <c r="G267" s="1581" t="n"/>
      <c r="H267" s="1616" t="n"/>
      <c r="I267" s="1438" t="n"/>
      <c r="J267" s="1439" t="n">
        <v>0</v>
      </c>
      <c r="K267" s="1440" t="n"/>
      <c r="N267" s="1231" t="n"/>
      <c r="O267" s="1344" t="n"/>
      <c r="P267" s="1343" t="n"/>
      <c r="Q267" s="1404" t="n"/>
      <c r="R267" s="1231" t="n"/>
    </row>
    <row r="268" ht="12.75" customHeight="1" s="1134">
      <c r="A268" s="1598" t="n"/>
      <c r="B268" s="1489" t="n"/>
      <c r="C268" s="1489" t="n"/>
      <c r="D268" s="1489" t="n"/>
      <c r="E268" s="1611" t="n"/>
      <c r="F268" s="1612" t="n"/>
      <c r="G268" s="1581" t="n"/>
      <c r="H268" s="1616" t="n"/>
      <c r="I268" s="1438" t="n"/>
      <c r="J268" s="1439" t="n">
        <v>0</v>
      </c>
      <c r="K268" s="1440" t="n"/>
      <c r="N268" s="1231" t="n"/>
      <c r="O268" s="1344" t="n"/>
      <c r="P268" s="1343" t="n"/>
      <c r="Q268" s="1404" t="n"/>
      <c r="R268" s="1231" t="n"/>
    </row>
    <row r="269" ht="23.85" customHeight="1" s="1134">
      <c r="A269" s="1588" t="inlineStr">
        <is>
          <t>Oxygen sensor</t>
        </is>
      </c>
      <c r="B269" s="1431" t="inlineStr">
        <is>
          <t>Comments</t>
        </is>
      </c>
      <c r="C269" s="1431" t="inlineStr">
        <is>
          <t>Clock start</t>
        </is>
      </c>
      <c r="D269" s="1431" t="inlineStr">
        <is>
          <t>Clock stop</t>
        </is>
      </c>
      <c r="E269" s="1431" t="inlineStr">
        <is>
          <t>Comments</t>
        </is>
      </c>
      <c r="F269" s="1589" t="n"/>
      <c r="G269" s="1590" t="n"/>
      <c r="H269" s="1591" t="inlineStr">
        <is>
          <t>Global Sec/ Pc</t>
        </is>
      </c>
      <c r="I269" s="1592" t="inlineStr">
        <is>
          <t>Location
LP/FA</t>
        </is>
      </c>
      <c r="J269" s="1593" t="n">
        <v>0</v>
      </c>
      <c r="K269" s="1393" t="inlineStr">
        <is>
          <t>Total</t>
        </is>
      </c>
      <c r="N269" s="1231" t="n"/>
      <c r="O269" s="1344" t="n"/>
      <c r="P269" s="1343" t="n"/>
      <c r="Q269" s="1404" t="n"/>
      <c r="R269" s="1231" t="n"/>
      <c r="S269" s="1391" t="n"/>
    </row>
    <row r="270" ht="28.5" customHeight="1" s="1134">
      <c r="A270" s="1541" t="inlineStr">
        <is>
          <t>Assembly and press metallic tube of Oxygen Sensor</t>
        </is>
      </c>
      <c r="B270" s="1489" t="inlineStr">
        <is>
          <t>Assembly  2 shields and 1 tube (time for 3 pieces).</t>
        </is>
      </c>
      <c r="C270" s="1489" t="inlineStr">
        <is>
          <t>Reach for base part (1st shield)</t>
        </is>
      </c>
      <c r="D270" s="1489" t="inlineStr">
        <is>
          <t>Release assembled part and place on rack</t>
        </is>
      </c>
      <c r="E270" s="1617" t="n"/>
      <c r="F270" s="1618" t="n"/>
      <c r="G270" s="1545" t="n"/>
      <c r="H270" s="1619" t="n">
        <v>5</v>
      </c>
      <c r="I270" s="1438" t="inlineStr">
        <is>
          <t>LP</t>
        </is>
      </c>
      <c r="J270" s="1439" t="n">
        <v>0</v>
      </c>
      <c r="K270" s="1403">
        <f>+J270*H270</f>
        <v/>
      </c>
      <c r="M270" s="1132" t="inlineStr">
        <is>
          <t>Manual</t>
        </is>
      </c>
      <c r="N270" s="1231" t="inlineStr">
        <is>
          <t>не учитываю</t>
        </is>
      </c>
      <c r="O270" s="1344" t="n"/>
      <c r="P270" s="1343" t="n"/>
      <c r="Q270" s="1404" t="n"/>
      <c r="R270" s="1231" t="n"/>
    </row>
    <row r="271" ht="33.75" customHeight="1" s="1134">
      <c r="A271" s="1545" t="n"/>
      <c r="B271" s="1489" t="inlineStr">
        <is>
          <t>Press the assembled part</t>
        </is>
      </c>
      <c r="C271" s="1489" t="inlineStr">
        <is>
          <t>Reach assembled part</t>
        </is>
      </c>
      <c r="D271" s="1489" t="inlineStr">
        <is>
          <t>Removed assembled part from the press and place on the rack</t>
        </is>
      </c>
      <c r="E271" s="1611" t="n"/>
      <c r="F271" s="1612" t="n"/>
      <c r="G271" s="1581" t="n"/>
      <c r="H271" s="1620" t="n">
        <v>7</v>
      </c>
      <c r="I271" s="1438" t="inlineStr">
        <is>
          <t>LP</t>
        </is>
      </c>
      <c r="J271" s="1439" t="n">
        <v>0</v>
      </c>
      <c r="K271" s="1403">
        <f>+J271*H271</f>
        <v/>
      </c>
      <c r="M271" s="1132" t="inlineStr">
        <is>
          <t>Manual</t>
        </is>
      </c>
      <c r="N271" s="1231" t="inlineStr">
        <is>
          <t>не учитываю</t>
        </is>
      </c>
      <c r="O271" s="1344" t="n"/>
      <c r="P271" s="1343" t="n"/>
      <c r="Q271" s="1404" t="n"/>
      <c r="R271" s="1231" t="n"/>
    </row>
    <row r="272" ht="12.75" customHeight="1" s="1134">
      <c r="A272" s="1425" t="n"/>
      <c r="B272" s="1426" t="n"/>
      <c r="C272" s="1319" t="n"/>
      <c r="D272" s="1319" t="n"/>
      <c r="E272" s="1319" t="n"/>
      <c r="F272" s="1319" t="n"/>
      <c r="G272" s="1319" t="n"/>
      <c r="H272" s="1428" t="n"/>
      <c r="I272" s="1463" t="n"/>
      <c r="J272" s="1429" t="n">
        <v>0</v>
      </c>
      <c r="K272" s="1430" t="n"/>
      <c r="N272" s="1231" t="n"/>
      <c r="O272" s="1344" t="n"/>
      <c r="P272" s="1343" t="n"/>
      <c r="Q272" s="1404" t="n"/>
      <c r="R272" s="1231" t="n"/>
    </row>
    <row r="273" ht="23.85" customHeight="1" s="1134">
      <c r="A273" s="1588" t="inlineStr">
        <is>
          <t>Automatic taping for twisted wires</t>
        </is>
      </c>
      <c r="B273" s="1431" t="inlineStr">
        <is>
          <t>Comments</t>
        </is>
      </c>
      <c r="C273" s="1431" t="inlineStr">
        <is>
          <t>Machine Vendor</t>
        </is>
      </c>
      <c r="D273" s="1217" t="inlineStr">
        <is>
          <t>Comments</t>
        </is>
      </c>
      <c r="E273" s="1609" t="n"/>
      <c r="F273" s="1609" t="n"/>
      <c r="G273" s="1610" t="n"/>
      <c r="H273" s="1591" t="inlineStr">
        <is>
          <t>Global Sec/ Pc</t>
        </is>
      </c>
      <c r="I273" s="1592" t="inlineStr">
        <is>
          <t>Location
LP/FA</t>
        </is>
      </c>
      <c r="J273" s="1593" t="n">
        <v>0</v>
      </c>
      <c r="K273" s="1393" t="inlineStr">
        <is>
          <t>Total</t>
        </is>
      </c>
      <c r="N273" s="1231" t="n"/>
      <c r="O273" s="1344" t="n"/>
      <c r="P273" s="1343" t="n"/>
      <c r="Q273" s="1404" t="n"/>
      <c r="R273" s="1231" t="n"/>
    </row>
    <row r="274" ht="50.25" customHeight="1" s="1134">
      <c r="A274" s="1621" t="inlineStr">
        <is>
          <t>Automatic taping for Twisted wires</t>
        </is>
      </c>
      <c r="B274" s="1489" t="inlineStr">
        <is>
          <t>Manual work (Load/unload wires to machine plus manual taping at the start and end of the process). Does not include Spot tapes</t>
        </is>
      </c>
      <c r="C274" s="1489" t="n"/>
      <c r="D274" s="1489" t="inlineStr">
        <is>
          <t>Release taped wires on rack</t>
        </is>
      </c>
      <c r="E274" s="1493" t="n"/>
      <c r="F274" s="1595" t="n"/>
      <c r="G274" s="1532" t="n"/>
      <c r="H274" s="1620" t="n">
        <v>22</v>
      </c>
      <c r="I274" s="1401" t="inlineStr">
        <is>
          <t>LP</t>
        </is>
      </c>
      <c r="J274" s="1402" t="n">
        <v>0</v>
      </c>
      <c r="K274" s="1403">
        <f>+J274*H274</f>
        <v/>
      </c>
      <c r="L274" s="1231" t="n"/>
      <c r="M274" s="1231" t="inlineStr">
        <is>
          <t>Manual</t>
        </is>
      </c>
      <c r="N274" s="1231" t="n"/>
      <c r="O274" s="1344" t="n"/>
      <c r="P274" s="1343" t="n"/>
      <c r="Q274" s="1404" t="n"/>
      <c r="R274" s="1231" t="n"/>
    </row>
    <row r="275" ht="35.25" customHeight="1" s="1134">
      <c r="A275" s="1622" t="n"/>
      <c r="B275" s="1489" t="inlineStr">
        <is>
          <t>Machine Taping time (Secs. /Tape length)</t>
        </is>
      </c>
      <c r="C275" s="1489" t="inlineStr">
        <is>
          <t>Dual Taper</t>
        </is>
      </c>
      <c r="D275" s="1489" t="inlineStr">
        <is>
          <t>Machine stops taping at pre-set dimension</t>
        </is>
      </c>
      <c r="E275" s="1493" t="inlineStr">
        <is>
          <t>time per mm</t>
        </is>
      </c>
      <c r="F275" s="1595" t="n"/>
      <c r="G275" s="1532" t="n"/>
      <c r="H275" s="1620" t="n">
        <v>0.01</v>
      </c>
      <c r="I275" s="1401" t="inlineStr">
        <is>
          <t>LP</t>
        </is>
      </c>
      <c r="J275" s="1402" t="n">
        <v>0</v>
      </c>
      <c r="K275" s="1403">
        <f>+J275*H275</f>
        <v/>
      </c>
      <c r="L275" s="1231" t="n"/>
      <c r="M275" s="1231" t="inlineStr">
        <is>
          <t>Manual</t>
        </is>
      </c>
      <c r="N275" s="1231" t="n"/>
      <c r="O275" s="1344" t="n"/>
      <c r="P275" s="1343" t="n"/>
      <c r="Q275" s="1404" t="n"/>
      <c r="R275" s="1231" t="n"/>
    </row>
    <row r="276" ht="48" customHeight="1" s="1134">
      <c r="A276" s="1623" t="inlineStr">
        <is>
          <t>Automatic taping for Twisted wires with DRAIN wire loaded in spiral</t>
        </is>
      </c>
      <c r="B276" s="1489" t="inlineStr">
        <is>
          <t>Manual work (Load wires (twist + drain) to machine/ hand work/ unload wires to rack. Does not include Spot tapes</t>
        </is>
      </c>
      <c r="C276" s="1489" t="n"/>
      <c r="D276" s="1489" t="n"/>
      <c r="E276" s="1493" t="n"/>
      <c r="F276" s="1595" t="n"/>
      <c r="G276" s="1532" t="n"/>
      <c r="H276" s="1620" t="n">
        <v>48</v>
      </c>
      <c r="I276" s="1401" t="inlineStr">
        <is>
          <t>LP</t>
        </is>
      </c>
      <c r="J276" s="1402" t="n">
        <v>0</v>
      </c>
      <c r="K276" s="1403">
        <f>+J276*H276</f>
        <v/>
      </c>
      <c r="L276" s="1231" t="n"/>
      <c r="M276" s="1231" t="inlineStr">
        <is>
          <t>Manual</t>
        </is>
      </c>
      <c r="N276" s="1231" t="n"/>
      <c r="O276" s="1344" t="n"/>
      <c r="P276" s="1343" t="n"/>
      <c r="Q276" s="1404" t="n"/>
      <c r="R276" s="1231" t="n"/>
    </row>
    <row r="277" ht="19.4" customHeight="1" s="1134">
      <c r="A277" s="1233" t="n"/>
      <c r="B277" s="1489" t="inlineStr">
        <is>
          <t>Machine Taping time (Secs. /Tape length)</t>
        </is>
      </c>
      <c r="C277" s="1489" t="inlineStr">
        <is>
          <t>Dual Taper</t>
        </is>
      </c>
      <c r="D277" s="1489" t="inlineStr">
        <is>
          <t>Machine stops taping at pre-set dimension</t>
        </is>
      </c>
      <c r="E277" s="1489" t="inlineStr">
        <is>
          <t>time per mm</t>
        </is>
      </c>
      <c r="F277" s="1624" t="n"/>
      <c r="G277" s="1625" t="n"/>
      <c r="H277" s="1620" t="n">
        <v>0.01</v>
      </c>
      <c r="I277" s="1401" t="inlineStr">
        <is>
          <t>LP</t>
        </is>
      </c>
      <c r="J277" s="1439" t="n">
        <v>0</v>
      </c>
      <c r="K277" s="1440">
        <f>+J277*H277</f>
        <v/>
      </c>
      <c r="L277" s="1231" t="n"/>
      <c r="M277" s="1231" t="inlineStr">
        <is>
          <t>Manual</t>
        </is>
      </c>
      <c r="N277" s="1231" t="n"/>
      <c r="O277" s="1344" t="n"/>
      <c r="P277" s="1343" t="n"/>
      <c r="Q277" s="1404" t="n"/>
      <c r="R277" s="1231" t="n"/>
    </row>
    <row r="278" ht="82.5" customHeight="1" s="1134">
      <c r="A278" s="1626" t="inlineStr">
        <is>
          <t>Hi pot test for taped twisted wires with drain wire</t>
        </is>
      </c>
      <c r="B278" s="1567" t="n"/>
      <c r="C278" s="1567" t="inlineStr">
        <is>
          <t>Reach group of taped wires from rack</t>
        </is>
      </c>
      <c r="D278" s="1567" t="inlineStr">
        <is>
          <t>Release group of taped wires on rack</t>
        </is>
      </c>
      <c r="E278" s="1567" t="inlineStr">
        <is>
          <t>time per group</t>
        </is>
      </c>
      <c r="F278" s="1595" t="n"/>
      <c r="G278" s="1532" t="n"/>
      <c r="H278" s="1620" t="n">
        <v>25</v>
      </c>
      <c r="I278" s="1401" t="inlineStr">
        <is>
          <t>LP</t>
        </is>
      </c>
      <c r="J278" s="1402" t="n">
        <v>0</v>
      </c>
      <c r="K278" s="1403">
        <f>+J278*H278</f>
        <v/>
      </c>
      <c r="L278" s="1231" t="n"/>
      <c r="M278" s="1231" t="n"/>
      <c r="N278" s="1231" t="n"/>
      <c r="O278" s="1344" t="n"/>
      <c r="P278" s="1343" t="n"/>
      <c r="Q278" s="1404" t="n"/>
      <c r="R278" s="1231" t="n"/>
    </row>
    <row r="279" ht="12.75" customHeight="1" s="1134">
      <c r="A279" s="1367" t="n"/>
      <c r="B279" s="1582" t="n"/>
      <c r="C279" s="1582" t="n"/>
      <c r="D279" s="1582" t="n"/>
      <c r="E279" s="1611" t="n"/>
      <c r="F279" s="1612" t="n"/>
      <c r="G279" s="1581" t="n"/>
      <c r="H279" s="1627" t="n"/>
      <c r="I279" s="1602" t="n"/>
      <c r="J279" s="1518" t="n">
        <v>0</v>
      </c>
      <c r="K279" s="1477" t="n"/>
      <c r="N279" s="1231" t="n"/>
      <c r="O279" s="1344" t="n"/>
      <c r="P279" s="1343" t="n"/>
      <c r="Q279" s="1404" t="n"/>
      <c r="R279" s="1231" t="n"/>
    </row>
    <row r="280" ht="23.85" customHeight="1" s="1134">
      <c r="A280" s="1588" t="inlineStr">
        <is>
          <t xml:space="preserve">Drain Wire Cutting </t>
        </is>
      </c>
      <c r="B280" s="1431" t="inlineStr">
        <is>
          <t>Comments</t>
        </is>
      </c>
      <c r="C280" s="1431" t="inlineStr">
        <is>
          <t>Machine Vendor</t>
        </is>
      </c>
      <c r="D280" s="1591" t="inlineStr">
        <is>
          <t>Min wire size [mm²]</t>
        </is>
      </c>
      <c r="E280" s="1591" t="inlineStr">
        <is>
          <t>Max wire size [mm²]</t>
        </is>
      </c>
      <c r="F280" s="1591" t="inlineStr">
        <is>
          <t>Min Lth [mm]</t>
        </is>
      </c>
      <c r="G280" s="1591" t="inlineStr">
        <is>
          <t>Max Lth [mm]</t>
        </is>
      </c>
      <c r="H280" s="1591" t="inlineStr">
        <is>
          <t>Global Sec/ Pc</t>
        </is>
      </c>
      <c r="I280" s="1592" t="inlineStr">
        <is>
          <t>Location
LP/FA</t>
        </is>
      </c>
      <c r="J280" s="1593" t="n">
        <v>0</v>
      </c>
      <c r="K280" s="1393" t="inlineStr">
        <is>
          <t>Total</t>
        </is>
      </c>
      <c r="N280" s="1231" t="n"/>
      <c r="O280" s="1344" t="n"/>
      <c r="P280" s="1343" t="n"/>
      <c r="Q280" s="1404" t="n"/>
      <c r="R280" s="1231" t="n"/>
    </row>
    <row r="281" ht="23.85" customHeight="1" s="1134">
      <c r="A281" s="1367" t="inlineStr">
        <is>
          <t>Manual Drain Wire Cutting  (In Dual Taper Station)</t>
        </is>
      </c>
      <c r="B281" s="1367" t="inlineStr">
        <is>
          <t>Manual Cutting With Scissors in dual taper station</t>
        </is>
      </c>
      <c r="C281" s="1367" t="inlineStr">
        <is>
          <t>Scissors</t>
        </is>
      </c>
      <c r="D281" s="1367" t="n">
        <v>0.3</v>
      </c>
      <c r="E281" s="1367" t="n">
        <v>5</v>
      </c>
      <c r="F281" s="1367" t="n">
        <v>50</v>
      </c>
      <c r="G281" s="1367" t="n">
        <v>10000</v>
      </c>
      <c r="H281" s="1628" t="n">
        <v>3.23</v>
      </c>
      <c r="I281" s="1602" t="inlineStr">
        <is>
          <t>LP</t>
        </is>
      </c>
      <c r="J281" s="1518" t="n">
        <v>0</v>
      </c>
      <c r="K281" s="1403">
        <f>+J281*H281</f>
        <v/>
      </c>
      <c r="M281" s="1132" t="inlineStr">
        <is>
          <t>Manual</t>
        </is>
      </c>
      <c r="N281" s="1231" t="n"/>
      <c r="O281" s="1344" t="n"/>
      <c r="P281" s="1343" t="n"/>
      <c r="Q281" s="1404" t="n"/>
      <c r="R281" s="1231" t="n"/>
    </row>
    <row r="282" ht="12.75" customHeight="1" s="1134">
      <c r="A282" s="1629" t="n"/>
      <c r="B282" s="1630" t="n"/>
      <c r="C282" s="1631" t="n"/>
      <c r="D282" s="1631" t="n"/>
      <c r="E282" s="1631" t="n"/>
      <c r="F282" s="1631" t="n"/>
      <c r="G282" s="1631" t="n"/>
      <c r="H282" s="1632" t="n"/>
      <c r="I282" s="1633" t="n"/>
      <c r="J282" s="1634" t="n">
        <v>0</v>
      </c>
      <c r="K282" s="1635" t="n"/>
      <c r="N282" s="1231" t="n"/>
      <c r="O282" s="1344" t="n"/>
      <c r="P282" s="1343" t="n"/>
      <c r="Q282" s="1404" t="n"/>
      <c r="R282" s="1231" t="n"/>
    </row>
    <row r="283" ht="23.85" customHeight="1" s="1134">
      <c r="A283" s="1216" t="inlineStr">
        <is>
          <t xml:space="preserve">Coiling </t>
        </is>
      </c>
      <c r="B283" s="1217" t="inlineStr">
        <is>
          <t>Ranges of length</t>
        </is>
      </c>
      <c r="C283" s="1636" t="inlineStr">
        <is>
          <t xml:space="preserve">Standard Description </t>
        </is>
      </c>
      <c r="D283" s="1637" t="inlineStr">
        <is>
          <t>Clock start</t>
        </is>
      </c>
      <c r="E283" s="1637" t="inlineStr">
        <is>
          <t>Clock stop</t>
        </is>
      </c>
      <c r="F283" s="1638" t="n"/>
      <c r="G283" s="1392" t="n"/>
      <c r="H283" s="1392" t="inlineStr">
        <is>
          <t>Global Sec/ Pc</t>
        </is>
      </c>
      <c r="I283" s="1479" t="inlineStr">
        <is>
          <t>Location
LP/FA</t>
        </is>
      </c>
      <c r="J283" s="1432" t="n">
        <v>0</v>
      </c>
      <c r="K283" s="1393" t="inlineStr">
        <is>
          <t>Total</t>
        </is>
      </c>
      <c r="N283" s="1231" t="n"/>
      <c r="O283" s="1344" t="n"/>
      <c r="P283" s="1343" t="n"/>
      <c r="Q283" s="1404" t="n"/>
      <c r="R283" s="1231" t="n"/>
    </row>
    <row r="284" ht="12" customHeight="1" s="1134">
      <c r="A284" s="1639" t="inlineStr">
        <is>
          <t xml:space="preserve">Manual coiling
Cross section =&lt; 4mm² 
(Regions to decide the location LP or FA)
</t>
        </is>
      </c>
      <c r="B284" s="1640" t="inlineStr">
        <is>
          <t xml:space="preserve">7501 - 8000 </t>
        </is>
      </c>
      <c r="C284" s="1641" t="inlineStr">
        <is>
          <t>Get wire from the tray</t>
        </is>
      </c>
      <c r="D284" s="1642" t="inlineStr">
        <is>
          <t>Coiled wire closed with re-usable material</t>
        </is>
      </c>
      <c r="E284" s="1642" t="inlineStr">
        <is>
          <t xml:space="preserve">Coiling station to be used. Wires to be placed in horizontal trays. To close the coiled wire re-usable / recyclable material to be used. </t>
        </is>
      </c>
      <c r="F284" s="1643" t="n"/>
      <c r="G284" s="1643" t="n"/>
      <c r="H284" s="1644" t="n">
        <v>14.36</v>
      </c>
      <c r="I284" s="1602" t="inlineStr">
        <is>
          <t>LP</t>
        </is>
      </c>
      <c r="J284" s="1645" t="n">
        <v>0</v>
      </c>
      <c r="K284" s="1470">
        <f>+J284*H284</f>
        <v/>
      </c>
      <c r="M284" s="1412" t="inlineStr">
        <is>
          <t>R2*</t>
        </is>
      </c>
      <c r="N284" s="1231" t="n"/>
      <c r="O284" s="1344" t="n"/>
      <c r="P284" s="1407" t="n"/>
      <c r="Q284" s="1344" t="n"/>
      <c r="R284" s="1231" t="n"/>
    </row>
    <row r="285" ht="12" customHeight="1" s="1134">
      <c r="A285" s="1326" t="n"/>
      <c r="B285" s="1640" t="inlineStr">
        <is>
          <t>8001 - 9000</t>
        </is>
      </c>
      <c r="F285" s="1643" t="n"/>
      <c r="G285" s="1643" t="n"/>
      <c r="H285" s="1620" t="n">
        <v>15.31</v>
      </c>
      <c r="I285" s="1602" t="inlineStr">
        <is>
          <t>LP</t>
        </is>
      </c>
      <c r="J285" s="1645" t="n">
        <v>0</v>
      </c>
      <c r="K285" s="1403">
        <f>+J285*H285</f>
        <v/>
      </c>
      <c r="M285" s="1412" t="inlineStr">
        <is>
          <t>R2*</t>
        </is>
      </c>
      <c r="N285" s="1231" t="n"/>
      <c r="O285" s="1344" t="n"/>
      <c r="P285" s="1343" t="n"/>
      <c r="Q285" s="1404" t="n"/>
      <c r="R285" s="1231" t="n"/>
    </row>
    <row r="286" ht="12" customHeight="1" s="1134">
      <c r="A286" s="1326" t="n"/>
      <c r="B286" s="1640" t="inlineStr">
        <is>
          <t>9001 - 10 000</t>
        </is>
      </c>
      <c r="F286" s="1643" t="n"/>
      <c r="G286" s="1643" t="n"/>
      <c r="H286" s="1620" t="n">
        <v>17.2</v>
      </c>
      <c r="I286" s="1602" t="inlineStr">
        <is>
          <t>LP</t>
        </is>
      </c>
      <c r="J286" s="1645" t="n">
        <v>0</v>
      </c>
      <c r="K286" s="1403">
        <f>+J286*H286</f>
        <v/>
      </c>
      <c r="M286" s="1412" t="inlineStr">
        <is>
          <t>R2*</t>
        </is>
      </c>
      <c r="N286" s="1231" t="n"/>
      <c r="O286" s="1344" t="n"/>
      <c r="P286" s="1343" t="n"/>
      <c r="Q286" s="1404" t="n"/>
      <c r="R286" s="1231" t="n"/>
    </row>
    <row r="287" ht="12" customHeight="1" s="1134">
      <c r="A287" s="1326" t="n"/>
      <c r="B287" s="1640" t="inlineStr">
        <is>
          <t>10 001 - 11 000</t>
        </is>
      </c>
      <c r="F287" s="1643" t="n"/>
      <c r="G287" s="1643" t="n"/>
      <c r="H287" s="1620" t="n">
        <v>18.7</v>
      </c>
      <c r="I287" s="1602" t="inlineStr">
        <is>
          <t>LP</t>
        </is>
      </c>
      <c r="J287" s="1645" t="n">
        <v>0</v>
      </c>
      <c r="K287" s="1403">
        <f>+J287*H287</f>
        <v/>
      </c>
      <c r="M287" s="1412" t="inlineStr">
        <is>
          <t>R2*</t>
        </is>
      </c>
      <c r="N287" s="1231" t="n"/>
      <c r="O287" s="1344" t="n"/>
      <c r="P287" s="1343" t="n"/>
      <c r="Q287" s="1404" t="n"/>
      <c r="R287" s="1231" t="n"/>
    </row>
    <row r="288" ht="12" customHeight="1" s="1134">
      <c r="A288" s="1326" t="n"/>
      <c r="B288" s="1640" t="inlineStr">
        <is>
          <t>11 001 - 12 000</t>
        </is>
      </c>
      <c r="F288" s="1643" t="n"/>
      <c r="G288" s="1643" t="n"/>
      <c r="H288" s="1620" t="n">
        <v>20.4</v>
      </c>
      <c r="I288" s="1602" t="inlineStr">
        <is>
          <t>LP</t>
        </is>
      </c>
      <c r="J288" s="1645" t="n">
        <v>0</v>
      </c>
      <c r="K288" s="1403">
        <f>+J288*H288</f>
        <v/>
      </c>
      <c r="M288" s="1412" t="inlineStr">
        <is>
          <t>R2*</t>
        </is>
      </c>
      <c r="N288" s="1231" t="n"/>
      <c r="O288" s="1344" t="n"/>
      <c r="P288" s="1343" t="n"/>
      <c r="Q288" s="1404" t="n"/>
      <c r="R288" s="1231" t="n"/>
    </row>
    <row r="289" ht="12" customHeight="1" s="1134">
      <c r="A289" s="1326" t="n"/>
      <c r="B289" s="1640" t="inlineStr">
        <is>
          <t>12 001 - 13 000</t>
        </is>
      </c>
      <c r="F289" s="1643" t="n"/>
      <c r="G289" s="1643" t="n"/>
      <c r="H289" s="1620" t="n">
        <v>22.1</v>
      </c>
      <c r="I289" s="1602" t="inlineStr">
        <is>
          <t>LP</t>
        </is>
      </c>
      <c r="J289" s="1645" t="n">
        <v>0</v>
      </c>
      <c r="K289" s="1403">
        <f>+J289*H289</f>
        <v/>
      </c>
      <c r="M289" s="1412" t="inlineStr">
        <is>
          <t>R2*</t>
        </is>
      </c>
      <c r="N289" s="1231" t="n"/>
      <c r="O289" s="1344" t="n"/>
      <c r="P289" s="1343" t="n"/>
      <c r="Q289" s="1404" t="n"/>
      <c r="R289" s="1231" t="n"/>
    </row>
    <row r="290" ht="12" customHeight="1" s="1134">
      <c r="A290" s="1326" t="n"/>
      <c r="B290" s="1640" t="inlineStr">
        <is>
          <t>13 001 - 14 000</t>
        </is>
      </c>
      <c r="F290" s="1643" t="n"/>
      <c r="G290" s="1643" t="n"/>
      <c r="H290" s="1620" t="n">
        <v>23.8</v>
      </c>
      <c r="I290" s="1602" t="inlineStr">
        <is>
          <t>LP</t>
        </is>
      </c>
      <c r="J290" s="1645" t="n">
        <v>0</v>
      </c>
      <c r="K290" s="1403">
        <f>+J290*H290</f>
        <v/>
      </c>
      <c r="M290" s="1412" t="inlineStr">
        <is>
          <t>R2*</t>
        </is>
      </c>
      <c r="N290" s="1231" t="n"/>
      <c r="O290" s="1344" t="n"/>
      <c r="P290" s="1343" t="n"/>
      <c r="Q290" s="1404" t="n"/>
      <c r="R290" s="1231" t="n"/>
    </row>
    <row r="291" ht="12" customHeight="1" s="1134">
      <c r="A291" s="1326" t="n"/>
      <c r="B291" s="1640" t="inlineStr">
        <is>
          <t>14 001 - 15 000</t>
        </is>
      </c>
      <c r="F291" s="1643" t="n"/>
      <c r="G291" s="1643" t="n"/>
      <c r="H291" s="1620" t="n">
        <v>25.5</v>
      </c>
      <c r="I291" s="1602" t="inlineStr">
        <is>
          <t>LP</t>
        </is>
      </c>
      <c r="J291" s="1645" t="n">
        <v>0</v>
      </c>
      <c r="K291" s="1403">
        <f>+J291*H291</f>
        <v/>
      </c>
      <c r="M291" s="1412" t="inlineStr">
        <is>
          <t>R2*</t>
        </is>
      </c>
      <c r="N291" s="1231" t="n"/>
      <c r="O291" s="1344" t="n"/>
      <c r="P291" s="1343" t="n"/>
      <c r="Q291" s="1404" t="n"/>
      <c r="R291" s="1231" t="n"/>
    </row>
    <row r="292" ht="12" customHeight="1" s="1134">
      <c r="A292" s="1326" t="n"/>
      <c r="B292" s="1640" t="inlineStr">
        <is>
          <t>15 001 - 16 000</t>
        </is>
      </c>
      <c r="F292" s="1643" t="n"/>
      <c r="G292" s="1643" t="n"/>
      <c r="H292" s="1620" t="n">
        <v>27.2</v>
      </c>
      <c r="I292" s="1602" t="inlineStr">
        <is>
          <t>LP</t>
        </is>
      </c>
      <c r="J292" s="1645" t="n">
        <v>0</v>
      </c>
      <c r="K292" s="1403">
        <f>+J292*H292</f>
        <v/>
      </c>
      <c r="M292" s="1412" t="inlineStr">
        <is>
          <t>R2*</t>
        </is>
      </c>
      <c r="N292" s="1231" t="n"/>
      <c r="O292" s="1344" t="n"/>
      <c r="P292" s="1343" t="n"/>
      <c r="Q292" s="1404" t="n"/>
      <c r="R292" s="1231" t="n"/>
    </row>
    <row r="293" ht="12" customHeight="1" s="1134">
      <c r="A293" s="1326" t="n"/>
      <c r="B293" s="1640" t="inlineStr">
        <is>
          <t>16 001 - 17 000</t>
        </is>
      </c>
      <c r="F293" s="1643" t="n"/>
      <c r="G293" s="1643" t="n"/>
      <c r="H293" s="1620" t="n">
        <v>28.9</v>
      </c>
      <c r="I293" s="1602" t="inlineStr">
        <is>
          <t>LP</t>
        </is>
      </c>
      <c r="J293" s="1645" t="n">
        <v>0</v>
      </c>
      <c r="K293" s="1403">
        <f>+J293*H293</f>
        <v/>
      </c>
      <c r="M293" s="1412" t="inlineStr">
        <is>
          <t>R2*</t>
        </is>
      </c>
      <c r="N293" s="1231" t="n"/>
      <c r="O293" s="1344" t="n"/>
      <c r="P293" s="1343" t="n"/>
      <c r="Q293" s="1404" t="n"/>
      <c r="R293" s="1231" t="n"/>
    </row>
    <row r="294" ht="12" customHeight="1" s="1134">
      <c r="A294" s="1326" t="n"/>
      <c r="B294" s="1640" t="inlineStr">
        <is>
          <t>17 001 - 18 000</t>
        </is>
      </c>
      <c r="F294" s="1643" t="n"/>
      <c r="G294" s="1643" t="n"/>
      <c r="H294" s="1620" t="n">
        <v>30.6</v>
      </c>
      <c r="I294" s="1602" t="inlineStr">
        <is>
          <t>LP</t>
        </is>
      </c>
      <c r="J294" s="1645" t="n">
        <v>0</v>
      </c>
      <c r="K294" s="1403">
        <f>+J294*H294</f>
        <v/>
      </c>
      <c r="M294" s="1412" t="inlineStr">
        <is>
          <t>R2*</t>
        </is>
      </c>
      <c r="N294" s="1231" t="n"/>
      <c r="O294" s="1344" t="n"/>
      <c r="P294" s="1343" t="n"/>
      <c r="Q294" s="1404" t="n"/>
      <c r="R294" s="1231" t="n"/>
    </row>
    <row r="295" ht="12" customHeight="1" s="1134">
      <c r="A295" s="1326" t="n"/>
      <c r="B295" s="1640" t="inlineStr">
        <is>
          <t>18 001 - 19 000</t>
        </is>
      </c>
      <c r="F295" s="1643" t="n"/>
      <c r="G295" s="1643" t="n"/>
      <c r="H295" s="1620" t="n">
        <v>32.3</v>
      </c>
      <c r="I295" s="1602" t="inlineStr">
        <is>
          <t>LP</t>
        </is>
      </c>
      <c r="J295" s="1645" t="n">
        <v>0</v>
      </c>
      <c r="K295" s="1403">
        <f>+J295*H295</f>
        <v/>
      </c>
      <c r="M295" s="1412" t="inlineStr">
        <is>
          <t>R2*</t>
        </is>
      </c>
      <c r="N295" s="1231" t="n"/>
      <c r="O295" s="1344" t="n"/>
      <c r="P295" s="1343" t="n"/>
      <c r="Q295" s="1404" t="n"/>
      <c r="R295" s="1231" t="n"/>
    </row>
    <row r="296" ht="12" customHeight="1" s="1134">
      <c r="A296" s="1326" t="n"/>
      <c r="B296" s="1640" t="n"/>
      <c r="F296" s="1643" t="n"/>
      <c r="G296" s="1643" t="n"/>
      <c r="H296" s="1620" t="n"/>
      <c r="I296" s="1602" t="n"/>
      <c r="J296" s="1645" t="n">
        <v>0</v>
      </c>
      <c r="K296" s="1403">
        <f>+J296*H296</f>
        <v/>
      </c>
      <c r="N296" s="1231" t="n"/>
      <c r="O296" s="1344" t="n"/>
      <c r="P296" s="1343" t="n"/>
      <c r="Q296" s="1404" t="n"/>
      <c r="R296" s="1231" t="n"/>
    </row>
    <row r="297" ht="12" customHeight="1" s="1134">
      <c r="A297" s="1326" t="n"/>
      <c r="B297" s="1640" t="n"/>
      <c r="F297" s="1643" t="n"/>
      <c r="G297" s="1643" t="n"/>
      <c r="H297" s="1620" t="n"/>
      <c r="I297" s="1602" t="n"/>
      <c r="J297" s="1645" t="n">
        <v>0</v>
      </c>
      <c r="K297" s="1403">
        <f>+J297*H297</f>
        <v/>
      </c>
      <c r="N297" s="1231" t="n"/>
      <c r="O297" s="1344" t="n"/>
      <c r="P297" s="1343" t="n"/>
      <c r="Q297" s="1404" t="n"/>
      <c r="R297" s="1231" t="n"/>
    </row>
    <row r="298" ht="12" customHeight="1" s="1134">
      <c r="A298" s="1326" t="n"/>
      <c r="B298" s="1640" t="n"/>
      <c r="F298" s="1643" t="n"/>
      <c r="G298" s="1643" t="n"/>
      <c r="H298" s="1620" t="n"/>
      <c r="I298" s="1602" t="n"/>
      <c r="J298" s="1645" t="n">
        <v>0</v>
      </c>
      <c r="K298" s="1403">
        <f>+J298*H298</f>
        <v/>
      </c>
      <c r="N298" s="1231" t="n"/>
      <c r="O298" s="1344" t="n"/>
      <c r="P298" s="1343" t="n"/>
      <c r="Q298" s="1404" t="n"/>
      <c r="R298" s="1231" t="n"/>
    </row>
    <row r="299" ht="12.75" customHeight="1" s="1134">
      <c r="A299" s="1329" t="n"/>
      <c r="B299" s="1642" t="n"/>
      <c r="C299" s="1390" t="n"/>
      <c r="D299" s="1390" t="n"/>
      <c r="E299" s="1390" t="n"/>
      <c r="F299" s="1646" t="n"/>
      <c r="G299" s="1646" t="n"/>
      <c r="H299" s="1647" t="n"/>
      <c r="I299" s="1648" t="n"/>
      <c r="J299" s="1649" t="n">
        <v>0</v>
      </c>
      <c r="K299" s="1430">
        <f>+J299*H299</f>
        <v/>
      </c>
      <c r="N299" s="1231" t="n"/>
      <c r="O299" s="1344" t="n"/>
      <c r="P299" s="1343" t="n"/>
      <c r="Q299" s="1404" t="n"/>
      <c r="R299" s="1231" t="n"/>
    </row>
    <row r="300" ht="12.75" customHeight="1" s="1134">
      <c r="A300" s="1639" t="inlineStr">
        <is>
          <t>Manual coiling
Cross section &gt; 4mm² &lt; 11mm² 
To be used also for twisted wires, doubles, multiconductors, coaxial cables and antennas needs when total (sum of gages) cross section &gt; than 3 mm² and length is more than 4 m
(Regions to decide the location LP or FA)</t>
        </is>
      </c>
      <c r="B300" s="1640" t="inlineStr">
        <is>
          <t>4001 - 5000</t>
        </is>
      </c>
      <c r="C300" s="1641" t="inlineStr">
        <is>
          <t>Get wire from the tray</t>
        </is>
      </c>
      <c r="D300" s="1642" t="inlineStr">
        <is>
          <t>Coiled wire closed with re-usable material</t>
        </is>
      </c>
      <c r="E300" s="1642" t="inlineStr">
        <is>
          <t xml:space="preserve">Coiling station to be used. Wires to be placed in horizontal trays. To close the coiled wire re-usable / recyclable material to be used. </t>
        </is>
      </c>
      <c r="F300" s="1650" t="n"/>
      <c r="G300" s="1650" t="n"/>
      <c r="H300" s="1620" t="n">
        <v>10.5</v>
      </c>
      <c r="I300" s="1602" t="inlineStr">
        <is>
          <t>LP</t>
        </is>
      </c>
      <c r="J300" s="1645" t="n">
        <v>0</v>
      </c>
      <c r="K300" s="1403">
        <f>+J300*H300</f>
        <v/>
      </c>
      <c r="M300" s="1412" t="inlineStr">
        <is>
          <t>R2*</t>
        </is>
      </c>
      <c r="N300" s="1231" t="n"/>
      <c r="O300" s="1344" t="n"/>
      <c r="P300" s="1407" t="n"/>
      <c r="Q300" s="1344" t="n"/>
      <c r="R300" s="1231" t="n"/>
    </row>
    <row r="301" ht="12.75" customHeight="1" s="1134">
      <c r="A301" s="1326" t="n"/>
      <c r="B301" s="1640" t="inlineStr">
        <is>
          <t>5001 - 6000</t>
        </is>
      </c>
      <c r="F301" s="1643" t="n"/>
      <c r="G301" s="1643" t="n"/>
      <c r="H301" s="1620" t="n">
        <v>12.6</v>
      </c>
      <c r="I301" s="1602" t="inlineStr">
        <is>
          <t>LP</t>
        </is>
      </c>
      <c r="J301" s="1645" t="n">
        <v>0</v>
      </c>
      <c r="K301" s="1403">
        <f>+J301*H301</f>
        <v/>
      </c>
      <c r="M301" s="1412" t="inlineStr">
        <is>
          <t>R2*</t>
        </is>
      </c>
      <c r="N301" s="1231" t="n"/>
      <c r="O301" s="1344" t="n"/>
      <c r="P301" s="1343" t="n"/>
      <c r="Q301" s="1404" t="n"/>
      <c r="R301" s="1231" t="n"/>
    </row>
    <row r="302" ht="12.75" customHeight="1" s="1134">
      <c r="A302" s="1326" t="n"/>
      <c r="B302" s="1640" t="inlineStr">
        <is>
          <t>6001 - 7000</t>
        </is>
      </c>
      <c r="F302" s="1643" t="n"/>
      <c r="G302" s="1643" t="n"/>
      <c r="H302" s="1620" t="n">
        <v>14.7</v>
      </c>
      <c r="I302" s="1602" t="inlineStr">
        <is>
          <t>LP</t>
        </is>
      </c>
      <c r="J302" s="1645" t="n">
        <v>0</v>
      </c>
      <c r="K302" s="1403">
        <f>+J302*H302</f>
        <v/>
      </c>
      <c r="M302" s="1412" t="inlineStr">
        <is>
          <t>R2*</t>
        </is>
      </c>
      <c r="N302" s="1231" t="n"/>
      <c r="O302" s="1344" t="n"/>
      <c r="P302" s="1343" t="n"/>
      <c r="Q302" s="1404" t="n"/>
      <c r="R302" s="1231" t="n"/>
    </row>
    <row r="303" ht="12.75" customHeight="1" s="1134">
      <c r="A303" s="1326" t="n"/>
      <c r="B303" s="1640" t="inlineStr">
        <is>
          <t>7001 - 8000</t>
        </is>
      </c>
      <c r="F303" s="1643" t="n"/>
      <c r="G303" s="1643" t="n"/>
      <c r="H303" s="1620" t="n">
        <v>15.2</v>
      </c>
      <c r="I303" s="1602" t="inlineStr">
        <is>
          <t>LP</t>
        </is>
      </c>
      <c r="J303" s="1645" t="n">
        <v>0</v>
      </c>
      <c r="K303" s="1403">
        <f>+J303*H303</f>
        <v/>
      </c>
      <c r="M303" s="1412" t="inlineStr">
        <is>
          <t>R2*</t>
        </is>
      </c>
      <c r="N303" s="1231" t="n"/>
      <c r="O303" s="1344" t="n"/>
      <c r="P303" s="1343" t="n"/>
      <c r="Q303" s="1404" t="n"/>
      <c r="R303" s="1231" t="n"/>
    </row>
    <row r="304" ht="12.75" customHeight="1" s="1134">
      <c r="A304" s="1326" t="n"/>
      <c r="B304" s="1640" t="inlineStr">
        <is>
          <t>8001 - 9000</t>
        </is>
      </c>
      <c r="F304" s="1643" t="n"/>
      <c r="G304" s="1643" t="n"/>
      <c r="H304" s="1620" t="n">
        <v>17.1</v>
      </c>
      <c r="I304" s="1602" t="inlineStr">
        <is>
          <t>LP</t>
        </is>
      </c>
      <c r="J304" s="1645" t="n">
        <v>0</v>
      </c>
      <c r="K304" s="1403">
        <f>+J304*H304</f>
        <v/>
      </c>
      <c r="M304" s="1412" t="inlineStr">
        <is>
          <t>R2*</t>
        </is>
      </c>
      <c r="N304" s="1231" t="n"/>
      <c r="O304" s="1344" t="n"/>
      <c r="P304" s="1343" t="n"/>
      <c r="Q304" s="1404" t="n"/>
      <c r="R304" s="1231" t="n"/>
    </row>
    <row r="305" ht="12.75" customHeight="1" s="1134">
      <c r="A305" s="1326" t="n"/>
      <c r="B305" s="1640" t="inlineStr">
        <is>
          <t>9001 - 10 000</t>
        </is>
      </c>
      <c r="F305" s="1643" t="n"/>
      <c r="G305" s="1643" t="n"/>
      <c r="H305" s="1620" t="n">
        <v>19</v>
      </c>
      <c r="I305" s="1602" t="inlineStr">
        <is>
          <t>LP</t>
        </is>
      </c>
      <c r="J305" s="1645" t="n">
        <v>0</v>
      </c>
      <c r="K305" s="1403">
        <f>+J305*H305</f>
        <v/>
      </c>
      <c r="M305" s="1412" t="inlineStr">
        <is>
          <t>R2*</t>
        </is>
      </c>
      <c r="N305" s="1231" t="n"/>
      <c r="O305" s="1344" t="n"/>
      <c r="P305" s="1343" t="n"/>
      <c r="Q305" s="1404" t="n"/>
      <c r="R305" s="1231" t="n"/>
    </row>
    <row r="306" ht="12.75" customHeight="1" s="1134">
      <c r="A306" s="1326" t="n"/>
      <c r="B306" s="1640" t="inlineStr">
        <is>
          <t>10 001 - 11 000</t>
        </is>
      </c>
      <c r="F306" s="1643" t="n"/>
      <c r="G306" s="1643" t="n"/>
      <c r="H306" s="1620" t="n">
        <v>20.9</v>
      </c>
      <c r="I306" s="1602" t="inlineStr">
        <is>
          <t>LP</t>
        </is>
      </c>
      <c r="J306" s="1645" t="n">
        <v>0</v>
      </c>
      <c r="K306" s="1403">
        <f>+J306*H306</f>
        <v/>
      </c>
      <c r="M306" s="1412" t="inlineStr">
        <is>
          <t>R2*</t>
        </is>
      </c>
      <c r="N306" s="1231" t="n"/>
      <c r="R306" s="1231" t="n"/>
    </row>
    <row r="307" ht="12.75" customHeight="1" s="1134">
      <c r="A307" s="1326" t="n"/>
      <c r="B307" s="1640" t="inlineStr">
        <is>
          <t>11 001 - 11 000</t>
        </is>
      </c>
      <c r="F307" s="1643" t="n"/>
      <c r="G307" s="1643" t="n"/>
      <c r="H307" s="1620" t="n">
        <v>22.8</v>
      </c>
      <c r="I307" s="1602" t="inlineStr">
        <is>
          <t>LP</t>
        </is>
      </c>
      <c r="J307" s="1645" t="n">
        <v>0</v>
      </c>
      <c r="K307" s="1403">
        <f>+J307*H307</f>
        <v/>
      </c>
      <c r="M307" s="1412" t="inlineStr">
        <is>
          <t>R2*</t>
        </is>
      </c>
      <c r="N307" s="1231" t="n"/>
      <c r="R307" s="1231" t="n"/>
    </row>
    <row r="308" ht="12.75" customHeight="1" s="1134">
      <c r="A308" s="1326" t="n"/>
      <c r="B308" s="1640" t="inlineStr">
        <is>
          <t>12 001 - 13 000</t>
        </is>
      </c>
      <c r="F308" s="1643" t="n"/>
      <c r="G308" s="1643" t="n"/>
      <c r="H308" s="1620" t="n">
        <v>24.7</v>
      </c>
      <c r="I308" s="1602" t="inlineStr">
        <is>
          <t>LP</t>
        </is>
      </c>
      <c r="J308" s="1645" t="n">
        <v>0</v>
      </c>
      <c r="K308" s="1403">
        <f>+J308*H308</f>
        <v/>
      </c>
      <c r="M308" s="1412" t="inlineStr">
        <is>
          <t>R2*</t>
        </is>
      </c>
      <c r="N308" s="1231" t="n"/>
      <c r="R308" s="1231" t="n"/>
    </row>
    <row r="309" ht="12.75" customHeight="1" s="1134">
      <c r="A309" s="1326" t="n"/>
      <c r="B309" s="1640" t="inlineStr">
        <is>
          <t>13 001 - 14 000</t>
        </is>
      </c>
      <c r="F309" s="1643" t="n"/>
      <c r="G309" s="1643" t="n"/>
      <c r="H309" s="1620" t="n">
        <v>26.6</v>
      </c>
      <c r="I309" s="1602" t="inlineStr">
        <is>
          <t>LP</t>
        </is>
      </c>
      <c r="J309" s="1645" t="n">
        <v>0</v>
      </c>
      <c r="K309" s="1403">
        <f>+J309*H309</f>
        <v/>
      </c>
      <c r="M309" s="1412" t="inlineStr">
        <is>
          <t>R2*</t>
        </is>
      </c>
      <c r="N309" s="1231" t="n"/>
      <c r="R309" s="1231" t="n"/>
    </row>
    <row r="310" ht="12.75" customHeight="1" s="1134">
      <c r="A310" s="1326" t="n"/>
      <c r="B310" s="1640" t="inlineStr">
        <is>
          <t>14 001 - 15 000</t>
        </is>
      </c>
      <c r="F310" s="1643" t="n"/>
      <c r="G310" s="1643" t="n"/>
      <c r="H310" s="1620" t="n">
        <v>28.5</v>
      </c>
      <c r="I310" s="1602" t="inlineStr">
        <is>
          <t>LP</t>
        </is>
      </c>
      <c r="J310" s="1645" t="n">
        <v>0</v>
      </c>
      <c r="K310" s="1403">
        <f>+J310*H310</f>
        <v/>
      </c>
      <c r="M310" s="1412" t="inlineStr">
        <is>
          <t>R2*</t>
        </is>
      </c>
      <c r="N310" s="1231" t="n"/>
      <c r="R310" s="1231" t="n"/>
    </row>
    <row r="311" ht="12.75" customHeight="1" s="1134">
      <c r="A311" s="1326" t="n"/>
      <c r="B311" s="1640" t="inlineStr">
        <is>
          <t>15 001 - 16 000</t>
        </is>
      </c>
      <c r="F311" s="1643" t="n"/>
      <c r="G311" s="1643" t="n"/>
      <c r="H311" s="1620" t="n">
        <v>30.4</v>
      </c>
      <c r="I311" s="1602" t="inlineStr">
        <is>
          <t>LP</t>
        </is>
      </c>
      <c r="J311" s="1645" t="n">
        <v>0</v>
      </c>
      <c r="K311" s="1403">
        <f>+J311*H311</f>
        <v/>
      </c>
      <c r="M311" s="1412" t="inlineStr">
        <is>
          <t>R2*</t>
        </is>
      </c>
      <c r="N311" s="1231" t="n"/>
      <c r="R311" s="1231" t="n"/>
    </row>
    <row r="312" ht="12.75" customHeight="1" s="1134">
      <c r="A312" s="1326" t="n"/>
      <c r="B312" s="1640" t="inlineStr">
        <is>
          <t>16 001 - 17 000</t>
        </is>
      </c>
      <c r="F312" s="1643" t="n"/>
      <c r="G312" s="1643" t="n"/>
      <c r="H312" s="1620" t="n">
        <v>32.3</v>
      </c>
      <c r="I312" s="1602" t="inlineStr">
        <is>
          <t>LP</t>
        </is>
      </c>
      <c r="J312" s="1645" t="n">
        <v>0</v>
      </c>
      <c r="K312" s="1403">
        <f>+J312*H312</f>
        <v/>
      </c>
      <c r="M312" s="1412" t="inlineStr">
        <is>
          <t>R2*</t>
        </is>
      </c>
      <c r="N312" s="1231" t="n"/>
      <c r="R312" s="1231" t="n"/>
    </row>
    <row r="313" ht="12.75" customHeight="1" s="1134">
      <c r="A313" s="1326" t="n"/>
      <c r="B313" s="1640" t="inlineStr">
        <is>
          <t>17 001 - 18 000</t>
        </is>
      </c>
      <c r="F313" s="1643" t="n"/>
      <c r="G313" s="1643" t="n"/>
      <c r="H313" s="1620" t="n">
        <v>34.2</v>
      </c>
      <c r="I313" s="1602" t="inlineStr">
        <is>
          <t>LP</t>
        </is>
      </c>
      <c r="J313" s="1645" t="n">
        <v>0</v>
      </c>
      <c r="K313" s="1403">
        <f>+J313*H313</f>
        <v/>
      </c>
      <c r="M313" s="1412" t="inlineStr">
        <is>
          <t>R2*</t>
        </is>
      </c>
      <c r="N313" s="1231" t="n"/>
      <c r="R313" s="1231" t="n"/>
    </row>
    <row r="314" ht="12.75" customHeight="1" s="1134">
      <c r="A314" s="1326" t="n"/>
      <c r="B314" s="1640" t="inlineStr">
        <is>
          <t>18 001 - 19 000</t>
        </is>
      </c>
      <c r="F314" s="1643" t="n"/>
      <c r="G314" s="1643" t="n"/>
      <c r="H314" s="1620" t="n">
        <v>36.1</v>
      </c>
      <c r="I314" s="1602" t="inlineStr">
        <is>
          <t>LP</t>
        </is>
      </c>
      <c r="J314" s="1645" t="n">
        <v>0</v>
      </c>
      <c r="K314" s="1403">
        <f>+J314*H314</f>
        <v/>
      </c>
      <c r="M314" s="1412" t="inlineStr">
        <is>
          <t>R2*</t>
        </is>
      </c>
      <c r="N314" s="1231" t="n"/>
      <c r="R314" s="1231" t="n"/>
    </row>
    <row r="315" ht="12.75" customHeight="1" s="1134">
      <c r="A315" s="1329" t="n"/>
      <c r="B315" s="1642" t="n"/>
      <c r="C315" s="1390" t="n"/>
      <c r="D315" s="1390" t="n"/>
      <c r="E315" s="1390" t="n"/>
      <c r="F315" s="1646" t="n"/>
      <c r="G315" s="1646" t="n"/>
      <c r="H315" s="1647" t="n"/>
      <c r="I315" s="1648" t="n"/>
      <c r="J315" s="1651" t="n">
        <v>0</v>
      </c>
      <c r="K315" s="1430">
        <f>+J315*H315</f>
        <v/>
      </c>
      <c r="N315" s="1231" t="n"/>
    </row>
    <row r="316" ht="12.75" customHeight="1" s="1134">
      <c r="A316" s="1652" t="n"/>
      <c r="B316" s="1653" t="n"/>
      <c r="C316" s="1132" t="n"/>
      <c r="D316" s="1132" t="n"/>
      <c r="E316" s="1132" t="n"/>
      <c r="F316" s="1132" t="n"/>
      <c r="G316" s="1132" t="n"/>
      <c r="H316" s="1132" t="n"/>
      <c r="I316" s="1132" t="n"/>
      <c r="J316" s="1645" t="n">
        <v>0</v>
      </c>
      <c r="K316" s="1132" t="n"/>
      <c r="N316" s="1231" t="n"/>
    </row>
    <row r="317" ht="23.85" customHeight="1" s="1134">
      <c r="A317" s="1654" t="inlineStr">
        <is>
          <t>BUILD CATEGORY</t>
        </is>
      </c>
      <c r="B317" s="1655" t="n"/>
      <c r="C317" s="1656" t="inlineStr">
        <is>
          <t>ACTIVITY DESCRIPTION</t>
        </is>
      </c>
      <c r="D317" s="1656" t="inlineStr">
        <is>
          <t xml:space="preserve">Standard Description </t>
        </is>
      </c>
      <c r="E317" s="1657" t="inlineStr">
        <is>
          <t>CLOCK START</t>
        </is>
      </c>
      <c r="F317" s="1657" t="inlineStr">
        <is>
          <t>CLOCK STOP</t>
        </is>
      </c>
      <c r="G317" s="1658" t="inlineStr">
        <is>
          <t>UNIT</t>
        </is>
      </c>
      <c r="H317" s="1656" t="inlineStr">
        <is>
          <t>GLOBAL SEC/PC</t>
        </is>
      </c>
      <c r="I317" s="1659" t="inlineStr">
        <is>
          <t>Location
LP/FA</t>
        </is>
      </c>
      <c r="J317" s="1660" t="n">
        <v>0</v>
      </c>
      <c r="K317" s="1661" t="inlineStr">
        <is>
          <t>Total Time</t>
        </is>
      </c>
      <c r="N317" s="1231" t="n"/>
    </row>
    <row r="318" ht="23.85" customHeight="1" s="1134">
      <c r="A318" s="1662" t="inlineStr">
        <is>
          <t>Manual taping</t>
        </is>
      </c>
      <c r="B318" s="1545" t="n"/>
      <c r="C318" s="1663" t="inlineStr">
        <is>
          <t>Apply spot tape-PVC/Textile/Cloth</t>
        </is>
      </c>
      <c r="D318" s="1664" t="inlineStr">
        <is>
          <t xml:space="preserve">Single spot tape. </t>
        </is>
      </c>
      <c r="E318" s="1664" t="inlineStr">
        <is>
          <t>Reach for tape</t>
        </is>
      </c>
      <c r="F318" s="1664" t="inlineStr">
        <is>
          <t>Release taped branch</t>
        </is>
      </c>
      <c r="G318" s="1665" t="inlineStr">
        <is>
          <t>pc</t>
        </is>
      </c>
      <c r="H318" s="1666" t="n">
        <v>4.2</v>
      </c>
      <c r="I318" s="1602" t="inlineStr">
        <is>
          <t>LP</t>
        </is>
      </c>
      <c r="J318" s="1667" t="n">
        <v>0</v>
      </c>
      <c r="K318" s="1668">
        <f>+J318*H318</f>
        <v/>
      </c>
      <c r="M318" s="1412" t="inlineStr">
        <is>
          <t>R2*</t>
        </is>
      </c>
      <c r="N318" s="1231" t="n"/>
    </row>
    <row r="319" ht="57.45" customHeight="1" s="1134">
      <c r="A319" s="1669" t="inlineStr">
        <is>
          <t>MISC. ASSEMBLY</t>
        </is>
      </c>
      <c r="B319" s="1670" t="n"/>
      <c r="C319" s="1671" t="inlineStr">
        <is>
          <t>Apply secondary locks and covers to connectors / grommet</t>
        </is>
      </c>
      <c r="D319" s="1671" t="inlineStr">
        <is>
          <t>Loose piece secondary Locks/Covers/Combs / Inserts / hexagonal lock</t>
        </is>
      </c>
      <c r="E319" s="1672" t="inlineStr">
        <is>
          <t>Get component</t>
        </is>
      </c>
      <c r="F319" s="1672" t="inlineStr">
        <is>
          <t>Release connector</t>
        </is>
      </c>
      <c r="G319" s="1672" t="inlineStr">
        <is>
          <t>pc</t>
        </is>
      </c>
      <c r="H319" s="1673" t="n">
        <v>4.6</v>
      </c>
      <c r="I319" s="1648" t="inlineStr">
        <is>
          <t>LP</t>
        </is>
      </c>
      <c r="J319" s="1674" t="n">
        <v>0</v>
      </c>
      <c r="K319" s="1675">
        <f>+J319*H319</f>
        <v/>
      </c>
      <c r="M319" s="1412" t="inlineStr">
        <is>
          <t>R2*</t>
        </is>
      </c>
      <c r="N319" s="1231" t="n"/>
    </row>
    <row r="320" ht="12.75" customHeight="1" s="1134">
      <c r="A320" s="1652" t="n"/>
      <c r="B320" s="1653" t="n"/>
      <c r="C320" s="1132" t="n"/>
      <c r="D320" s="1132" t="n"/>
      <c r="E320" s="1132" t="n"/>
      <c r="F320" s="1132" t="n"/>
      <c r="G320" s="1132" t="n"/>
      <c r="H320" s="1132" t="n"/>
      <c r="I320" s="1132" t="n"/>
      <c r="J320" s="1645" t="n">
        <v>0</v>
      </c>
      <c r="K320" s="1132" t="n"/>
      <c r="N320" s="1231" t="n"/>
    </row>
    <row r="321" ht="26.85" customHeight="1" s="1134">
      <c r="A321" s="1676" t="inlineStr">
        <is>
          <t>BUILD CATEGORY</t>
        </is>
      </c>
      <c r="B321" s="1677" t="inlineStr">
        <is>
          <t>ACTIVITY DESCRIPTION</t>
        </is>
      </c>
      <c r="C321" s="1655" t="n"/>
      <c r="D321" s="1677" t="inlineStr">
        <is>
          <t xml:space="preserve">Standard Description </t>
        </is>
      </c>
      <c r="E321" s="1677" t="inlineStr">
        <is>
          <t>CLOCK START</t>
        </is>
      </c>
      <c r="F321" s="1677" t="inlineStr">
        <is>
          <t>CLOCK STOP</t>
        </is>
      </c>
      <c r="G321" s="1678" t="inlineStr">
        <is>
          <t>UNIT</t>
        </is>
      </c>
      <c r="H321" s="1679" t="inlineStr">
        <is>
          <t>Global Sec/ Pc</t>
        </is>
      </c>
      <c r="I321" s="1659" t="inlineStr">
        <is>
          <t>Location
LP/FA</t>
        </is>
      </c>
      <c r="J321" s="1680" t="n">
        <v>0</v>
      </c>
      <c r="K321" s="1681" t="n"/>
      <c r="N321" s="1231" t="n"/>
    </row>
    <row r="322" ht="25.5" customHeight="1" s="1134">
      <c r="A322" s="1682" t="inlineStr">
        <is>
          <t>Conduits and Tubes
SEALED / UNSEALED WIRES</t>
        </is>
      </c>
      <c r="B322" s="1683" t="inlineStr">
        <is>
          <t>Get closed (unslit) conduits and tubes - sealed / unsealed wires</t>
        </is>
      </c>
      <c r="C322" s="1589" t="n"/>
      <c r="D322" s="1684" t="inlineStr">
        <is>
          <t>Per Piece</t>
        </is>
      </c>
      <c r="E322" s="1684" t="inlineStr">
        <is>
          <t>Get conduit/tube</t>
        </is>
      </c>
      <c r="F322" s="1684" t="inlineStr">
        <is>
          <t>Reach for branch</t>
        </is>
      </c>
      <c r="G322" s="1685" t="inlineStr">
        <is>
          <t>pc</t>
        </is>
      </c>
      <c r="H322" s="1686" t="n">
        <v>5.941</v>
      </c>
      <c r="I322" s="1687" t="inlineStr">
        <is>
          <t>LP</t>
        </is>
      </c>
      <c r="J322" s="1688" t="n">
        <v>0</v>
      </c>
      <c r="K322" s="1448">
        <f>+J322*H322</f>
        <v/>
      </c>
      <c r="M322" s="1412" t="n"/>
      <c r="N322" s="1231" t="n"/>
    </row>
    <row r="323" ht="25.5" customHeight="1" s="1134">
      <c r="A323" s="1326" t="n"/>
      <c r="B323" s="1689" t="inlineStr">
        <is>
          <t>Apply closed (unslit) conduits and tubes - sealed / unsealed wires</t>
        </is>
      </c>
      <c r="D323" s="1132" t="inlineStr">
        <is>
          <t>Per mm</t>
        </is>
      </c>
      <c r="E323" s="1132" t="inlineStr">
        <is>
          <t>Start Apply</t>
        </is>
      </c>
      <c r="F323" s="1132" t="inlineStr">
        <is>
          <t>Release branch</t>
        </is>
      </c>
      <c r="G323" s="1690" t="inlineStr">
        <is>
          <t>mm</t>
        </is>
      </c>
      <c r="H323" s="1691" t="n">
        <v>0.01213</v>
      </c>
      <c r="I323" s="1602" t="inlineStr">
        <is>
          <t>LP</t>
        </is>
      </c>
      <c r="J323" s="1645" t="n">
        <v>0</v>
      </c>
      <c r="K323" s="1403">
        <f>+J323*H323</f>
        <v/>
      </c>
      <c r="M323" s="1412" t="n"/>
      <c r="N323" s="1231" t="n"/>
    </row>
    <row r="324" ht="60" customHeight="1" s="1134">
      <c r="A324" s="1326" t="n"/>
      <c r="B324" s="1689" t="inlineStr">
        <is>
          <t>Insert  wires through closed conduits/tubes
0mm - 1500mm
NOTE: group of wires (twists, multiconductors etc) to be considered as 1 wire</t>
        </is>
      </c>
      <c r="D324" s="1132" t="inlineStr">
        <is>
          <t>per each  wire</t>
        </is>
      </c>
      <c r="E324" s="1132" t="inlineStr">
        <is>
          <t>Reach for wire</t>
        </is>
      </c>
      <c r="F324" s="1132" t="inlineStr">
        <is>
          <t>Release branch</t>
        </is>
      </c>
      <c r="G324" s="1690" t="inlineStr">
        <is>
          <t>pc</t>
        </is>
      </c>
      <c r="H324" s="1691" t="n">
        <v>2.595</v>
      </c>
      <c r="I324" s="1602" t="inlineStr">
        <is>
          <t>LP</t>
        </is>
      </c>
      <c r="J324" s="1645" t="n">
        <v>0</v>
      </c>
      <c r="K324" s="1403">
        <f>+J324*H324</f>
        <v/>
      </c>
      <c r="M324" s="1412" t="n"/>
      <c r="N324" s="1231" t="n"/>
    </row>
    <row r="325" ht="54" customHeight="1" s="1134">
      <c r="A325" s="1329" t="n"/>
      <c r="B325" s="1692" t="inlineStr">
        <is>
          <t>Insert  wires through closed conduits/tubes
1501mm - 6000mm
NOTE: group of wires (twists, multiconductors etc) to be considered as 1 wire</t>
        </is>
      </c>
      <c r="C325" s="1390" t="n"/>
      <c r="D325" s="1693" t="inlineStr">
        <is>
          <t>per each wire</t>
        </is>
      </c>
      <c r="E325" s="1693" t="inlineStr">
        <is>
          <t>Reach for wire</t>
        </is>
      </c>
      <c r="F325" s="1693" t="inlineStr">
        <is>
          <t>Release branch</t>
        </is>
      </c>
      <c r="G325" s="1694" t="inlineStr">
        <is>
          <t>pc</t>
        </is>
      </c>
      <c r="H325" s="1695" t="n">
        <v>6.48</v>
      </c>
      <c r="I325" s="1648" t="inlineStr">
        <is>
          <t>LP</t>
        </is>
      </c>
      <c r="J325" s="1649" t="n">
        <v>0</v>
      </c>
      <c r="K325" s="1430">
        <f>+J325*H325</f>
        <v/>
      </c>
      <c r="M325" s="1412" t="n"/>
      <c r="N325" s="1231" t="n"/>
    </row>
    <row r="326" ht="12.75" customHeight="1" s="1134">
      <c r="A326" s="1652" t="n"/>
      <c r="B326" s="1653" t="n"/>
      <c r="C326" s="1132" t="n"/>
      <c r="D326" s="1132" t="n"/>
      <c r="E326" s="1132" t="n"/>
      <c r="F326" s="1132" t="n"/>
      <c r="G326" s="1132" t="n"/>
      <c r="H326" s="1132" t="n"/>
      <c r="I326" s="1132" t="n"/>
      <c r="J326" s="1645" t="n">
        <v>0</v>
      </c>
      <c r="K326" s="1132" t="n"/>
      <c r="N326" s="1231" t="n"/>
    </row>
    <row r="327" ht="26.85" customHeight="1" s="1134">
      <c r="A327" s="1676" t="inlineStr">
        <is>
          <t>BUILD CATEGORY</t>
        </is>
      </c>
      <c r="B327" s="1696" t="inlineStr">
        <is>
          <t>ACTIVITY DESCRIPTION</t>
        </is>
      </c>
      <c r="C327" s="1655" t="n"/>
      <c r="D327" s="1677" t="inlineStr">
        <is>
          <t xml:space="preserve">Standard Description </t>
        </is>
      </c>
      <c r="E327" s="1677" t="inlineStr">
        <is>
          <t>CLOCK START</t>
        </is>
      </c>
      <c r="F327" s="1677" t="inlineStr">
        <is>
          <t>CLOCK STOP</t>
        </is>
      </c>
      <c r="G327" s="1678" t="inlineStr">
        <is>
          <t>UNIT</t>
        </is>
      </c>
      <c r="H327" s="1679" t="inlineStr">
        <is>
          <t>Global Sec/ Pc</t>
        </is>
      </c>
      <c r="I327" s="1659" t="inlineStr">
        <is>
          <t>Location
LP/FA</t>
        </is>
      </c>
      <c r="J327" s="1680" t="n">
        <v>0</v>
      </c>
      <c r="K327" s="1681" t="n"/>
      <c r="N327" s="1231" t="n"/>
    </row>
    <row r="328" ht="23.85" customHeight="1" s="1134">
      <c r="A328" s="1697" t="inlineStr">
        <is>
          <t>Grommets / boots / sleeves</t>
        </is>
      </c>
      <c r="B328" s="1698" t="inlineStr">
        <is>
          <t>over branch (eg: firewall grommet)</t>
        </is>
      </c>
      <c r="C328" s="1610" t="n"/>
      <c r="D328" s="1698" t="inlineStr">
        <is>
          <t>using manual spreader</t>
        </is>
      </c>
      <c r="E328" s="1698" t="inlineStr">
        <is>
          <t>Reach for grommet</t>
        </is>
      </c>
      <c r="F328" s="1698" t="inlineStr">
        <is>
          <t>Rlease grommet</t>
        </is>
      </c>
      <c r="G328" s="1685" t="inlineStr">
        <is>
          <t>pc</t>
        </is>
      </c>
      <c r="H328" s="1699" t="n">
        <v>26.293</v>
      </c>
      <c r="I328" s="1687" t="inlineStr">
        <is>
          <t>LP</t>
        </is>
      </c>
      <c r="J328" s="1700" t="n">
        <v>0</v>
      </c>
      <c r="K328" s="1701">
        <f>+J328*H328</f>
        <v/>
      </c>
      <c r="M328" s="1412" t="n"/>
      <c r="N328" s="1231" t="n"/>
    </row>
    <row r="329" ht="46.25" customHeight="1" s="1134">
      <c r="A329" s="1236" t="n"/>
      <c r="B329" s="1672" t="inlineStr">
        <is>
          <t>insert wires through grommet
NOTE: group of wires (twists, multiconductors etc) to be considered as 1 wire</t>
        </is>
      </c>
      <c r="C329" s="1670" t="n"/>
      <c r="D329" s="1672" t="inlineStr">
        <is>
          <t>per wire</t>
        </is>
      </c>
      <c r="E329" s="1672" t="inlineStr">
        <is>
          <t>Wires at grommet face</t>
        </is>
      </c>
      <c r="F329" s="1672" t="inlineStr">
        <is>
          <t>Wires inserted through grommet</t>
        </is>
      </c>
      <c r="G329" s="1702" t="inlineStr">
        <is>
          <t>pc</t>
        </is>
      </c>
      <c r="H329" s="1703" t="n">
        <v>2.413</v>
      </c>
      <c r="I329" s="1648" t="inlineStr">
        <is>
          <t>LP</t>
        </is>
      </c>
      <c r="J329" s="1651" t="n">
        <v>0</v>
      </c>
      <c r="K329" s="1704">
        <f>+J329*H329</f>
        <v/>
      </c>
      <c r="M329" s="1412" t="n"/>
      <c r="N329" s="1231" t="n"/>
    </row>
    <row r="330" ht="12.75" customHeight="1" s="1134">
      <c r="A330" s="1652" t="n"/>
      <c r="B330" s="1653" t="n"/>
      <c r="C330" s="1132" t="n"/>
      <c r="D330" s="1132" t="n"/>
      <c r="E330" s="1132" t="n"/>
      <c r="F330" s="1132" t="n"/>
      <c r="G330" s="1132" t="n"/>
      <c r="H330" s="1132" t="n"/>
      <c r="I330" s="1132" t="n"/>
      <c r="J330" s="1645" t="n">
        <v>0</v>
      </c>
      <c r="K330" s="1132" t="n"/>
      <c r="N330" s="1231" t="n"/>
    </row>
    <row r="331" ht="12.75" customHeight="1" s="1134">
      <c r="A331" s="1652" t="n"/>
      <c r="B331" s="1653" t="n"/>
      <c r="C331" s="1132" t="n"/>
      <c r="D331" s="1132" t="n"/>
      <c r="E331" s="1132" t="n"/>
      <c r="F331" s="1132" t="n"/>
      <c r="G331" s="1132" t="n"/>
      <c r="H331" s="1132" t="n"/>
      <c r="I331" s="1132" t="n"/>
      <c r="J331" s="1645" t="n">
        <v>0</v>
      </c>
      <c r="K331" s="1132" t="n"/>
      <c r="N331" s="1231" t="n"/>
    </row>
    <row r="332" ht="12.75" customHeight="1" s="1134">
      <c r="A332" s="1652" t="n"/>
      <c r="B332" s="1653" t="n"/>
      <c r="C332" s="1132" t="n"/>
      <c r="D332" s="1132" t="n"/>
      <c r="E332" s="1132" t="n"/>
      <c r="F332" s="1132" t="n"/>
      <c r="G332" s="1132" t="n"/>
      <c r="H332" s="1132" t="n"/>
      <c r="I332" s="1132" t="n"/>
      <c r="J332" s="1645" t="n">
        <v>0</v>
      </c>
      <c r="K332" s="1132" t="n"/>
      <c r="N332" s="1231" t="n"/>
    </row>
    <row r="333" ht="12.75" customHeight="1" s="1134">
      <c r="A333" s="1652" t="n"/>
      <c r="B333" s="1653" t="n"/>
      <c r="C333" s="1132" t="n"/>
      <c r="D333" s="1132" t="n"/>
      <c r="E333" s="1132" t="n"/>
      <c r="F333" s="1132" t="n"/>
      <c r="G333" s="1132" t="n"/>
      <c r="H333" s="1132" t="n"/>
      <c r="I333" s="1132" t="n"/>
      <c r="J333" s="1645" t="n">
        <v>0</v>
      </c>
      <c r="K333" s="1132" t="n"/>
      <c r="N333" s="1231" t="n"/>
    </row>
    <row r="334" ht="12.75" customHeight="1" s="1134">
      <c r="A334" s="1652" t="n"/>
      <c r="B334" s="1653" t="n"/>
      <c r="C334" s="1132" t="n"/>
      <c r="D334" s="1132" t="n"/>
      <c r="E334" s="1132" t="n"/>
      <c r="F334" s="1132" t="n"/>
      <c r="G334" s="1132" t="n"/>
      <c r="H334" s="1132" t="n"/>
      <c r="I334" s="1132" t="n"/>
      <c r="J334" s="1645" t="n">
        <v>0</v>
      </c>
      <c r="K334" s="1132" t="n"/>
      <c r="N334" s="1231" t="n"/>
    </row>
    <row r="335" ht="12.75" customHeight="1" s="1134">
      <c r="A335" s="1652" t="n"/>
      <c r="B335" s="1653" t="n"/>
      <c r="C335" s="1132" t="n"/>
      <c r="D335" s="1132" t="n"/>
      <c r="E335" s="1132" t="n"/>
      <c r="F335" s="1132" t="n"/>
      <c r="G335" s="1132" t="n"/>
      <c r="H335" s="1132" t="n"/>
      <c r="I335" s="1132" t="n"/>
      <c r="J335" s="1645" t="n">
        <v>0</v>
      </c>
      <c r="K335" s="1132" t="n"/>
      <c r="N335" s="1231" t="n"/>
    </row>
    <row r="336" ht="12.75" customHeight="1" s="1134">
      <c r="A336" s="1652" t="n"/>
      <c r="B336" s="1653" t="n"/>
      <c r="C336" s="1132" t="n"/>
      <c r="D336" s="1132" t="n"/>
      <c r="E336" s="1132" t="n"/>
      <c r="F336" s="1132" t="n"/>
      <c r="G336" s="1132" t="n"/>
      <c r="H336" s="1132" t="n"/>
      <c r="I336" s="1132" t="n"/>
      <c r="J336" s="1645" t="n">
        <v>0</v>
      </c>
      <c r="K336" s="1132" t="n"/>
      <c r="N336" s="1231" t="n"/>
    </row>
    <row r="337" ht="12.75" customHeight="1" s="1134">
      <c r="A337" s="1652" t="n"/>
      <c r="B337" s="1653" t="n"/>
      <c r="C337" s="1132" t="n"/>
      <c r="D337" s="1132" t="n"/>
      <c r="E337" s="1132" t="n"/>
      <c r="F337" s="1132" t="n"/>
      <c r="G337" s="1132" t="n"/>
      <c r="H337" s="1132" t="n"/>
      <c r="I337" s="1132" t="n"/>
      <c r="J337" s="1645" t="n">
        <v>0</v>
      </c>
      <c r="K337" s="1132" t="n"/>
      <c r="N337" s="1231" t="n"/>
    </row>
    <row r="338" ht="12.75" customHeight="1" s="1134">
      <c r="A338" s="1652" t="n"/>
      <c r="B338" s="1653" t="n"/>
      <c r="C338" s="1132" t="n"/>
      <c r="D338" s="1132" t="n"/>
      <c r="E338" s="1132" t="n"/>
      <c r="F338" s="1132" t="n"/>
      <c r="G338" s="1132" t="n"/>
      <c r="H338" s="1132" t="n"/>
      <c r="I338" s="1132" t="n"/>
      <c r="J338" s="1645" t="n">
        <v>0</v>
      </c>
      <c r="K338" s="1132" t="n"/>
      <c r="N338" s="1231" t="n"/>
    </row>
    <row r="339" ht="12.75" customHeight="1" s="1134">
      <c r="A339" s="1652" t="n"/>
      <c r="B339" s="1653" t="n"/>
      <c r="C339" s="1132" t="n"/>
      <c r="D339" s="1132" t="n"/>
      <c r="E339" s="1132" t="n"/>
      <c r="F339" s="1132" t="n"/>
      <c r="G339" s="1132" t="n"/>
      <c r="H339" s="1132" t="n"/>
      <c r="I339" s="1132" t="n"/>
      <c r="J339" s="1645" t="n">
        <v>0</v>
      </c>
      <c r="K339" s="1132" t="n"/>
      <c r="N339" s="1231" t="n"/>
    </row>
    <row r="340" ht="12.75" customHeight="1" s="1134">
      <c r="A340" s="1652" t="n"/>
      <c r="B340" s="1653" t="n"/>
      <c r="C340" s="1132" t="n"/>
      <c r="D340" s="1132" t="n"/>
      <c r="E340" s="1132" t="n"/>
      <c r="F340" s="1132" t="n"/>
      <c r="G340" s="1132" t="n"/>
      <c r="H340" s="1132" t="n"/>
      <c r="I340" s="1132" t="n"/>
      <c r="J340" s="1645" t="n">
        <v>0</v>
      </c>
      <c r="K340" s="1132" t="n"/>
      <c r="N340" s="1231" t="n"/>
    </row>
    <row r="341" ht="12.75" customHeight="1" s="1134">
      <c r="A341" s="1652" t="n"/>
      <c r="B341" s="1653" t="n"/>
      <c r="C341" s="1132" t="n"/>
      <c r="D341" s="1132" t="n"/>
      <c r="E341" s="1132" t="n"/>
      <c r="F341" s="1132" t="n"/>
      <c r="G341" s="1132" t="n"/>
      <c r="H341" s="1132" t="n"/>
      <c r="I341" s="1132" t="n"/>
      <c r="J341" s="1645" t="n">
        <v>0</v>
      </c>
      <c r="K341" s="1132" t="n"/>
      <c r="N341" s="1231" t="n"/>
    </row>
    <row r="342" ht="12.75" customHeight="1" s="1134">
      <c r="A342" s="1652" t="n"/>
      <c r="B342" s="1653" t="n"/>
      <c r="C342" s="1132" t="n"/>
      <c r="D342" s="1132" t="n"/>
      <c r="E342" s="1132" t="n"/>
      <c r="F342" s="1132" t="n"/>
      <c r="G342" s="1132" t="n"/>
      <c r="H342" s="1132" t="n"/>
      <c r="I342" s="1132" t="n"/>
      <c r="J342" s="1645" t="n">
        <v>0</v>
      </c>
      <c r="K342" s="1132" t="n"/>
      <c r="N342" s="1231" t="n"/>
    </row>
    <row r="343" ht="12.75" customHeight="1" s="1134">
      <c r="A343" s="1652" t="n"/>
      <c r="B343" s="1653" t="n"/>
      <c r="C343" s="1132" t="n"/>
      <c r="D343" s="1132" t="n"/>
      <c r="E343" s="1132" t="n"/>
      <c r="F343" s="1132" t="n"/>
      <c r="G343" s="1132" t="n"/>
      <c r="H343" s="1132" t="n"/>
      <c r="I343" s="1132" t="n"/>
      <c r="J343" s="1645" t="n">
        <v>0</v>
      </c>
      <c r="K343" s="1132" t="n"/>
      <c r="N343" s="1231" t="n"/>
    </row>
    <row r="344" ht="12.75" customHeight="1" s="1134">
      <c r="A344" s="1652" t="n"/>
      <c r="B344" s="1653" t="n"/>
      <c r="C344" s="1132" t="n"/>
      <c r="D344" s="1132" t="n"/>
      <c r="E344" s="1132" t="n"/>
      <c r="F344" s="1132" t="n"/>
      <c r="G344" s="1132" t="n"/>
      <c r="H344" s="1132" t="n"/>
      <c r="I344" s="1132" t="n"/>
      <c r="J344" s="1645" t="n">
        <v>0</v>
      </c>
      <c r="K344" s="1132" t="n"/>
      <c r="N344" s="1231" t="n"/>
    </row>
    <row r="345" ht="12.75" customHeight="1" s="1134">
      <c r="A345" s="1132" t="n"/>
      <c r="B345" s="1214" t="n"/>
      <c r="C345" s="1132" t="n"/>
      <c r="D345" s="1132" t="n"/>
      <c r="E345" s="1132" t="n"/>
      <c r="F345" s="1132" t="n"/>
      <c r="G345" s="1132" t="n"/>
      <c r="H345" s="1132" t="n"/>
      <c r="I345" s="1132" t="n"/>
      <c r="J345" s="1645" t="n">
        <v>0</v>
      </c>
      <c r="K345" s="1132" t="n"/>
      <c r="N345" s="1231" t="n"/>
    </row>
    <row r="346" ht="12.75" customHeight="1" s="1134">
      <c r="F346" s="1705" t="inlineStr">
        <is>
          <t>TOTAL - LEAD PREP</t>
        </is>
      </c>
      <c r="G346" s="1589" t="n"/>
      <c r="H346" s="1589" t="n"/>
      <c r="I346" s="1653" t="n"/>
      <c r="J346" s="1706" t="n">
        <v>0</v>
      </c>
      <c r="N346" s="1231" t="n"/>
    </row>
    <row r="347" ht="30" customHeight="1" s="1134">
      <c r="A347" s="1382" t="n"/>
      <c r="I347" s="1653" t="n"/>
      <c r="J347" s="1706" t="n">
        <v>0</v>
      </c>
      <c r="K347" s="1707">
        <f>SUMIF(I3:I345,"LP",K3:K345)-SUM(K50:K66)</f>
        <v/>
      </c>
      <c r="N347" s="1231" t="n"/>
    </row>
    <row r="348" ht="13.5" customHeight="1" s="1134">
      <c r="J348" s="1706" t="n">
        <v>0</v>
      </c>
      <c r="N348" s="1231" t="n"/>
      <c r="O348" s="1344" t="n"/>
      <c r="P348" s="1343" t="n"/>
      <c r="Q348" s="1708" t="n"/>
    </row>
    <row r="349" ht="33" customHeight="1" s="1134">
      <c r="F349" s="1709" t="inlineStr">
        <is>
          <t>TOTAL FINAL ASSEMBLY</t>
        </is>
      </c>
      <c r="I349" s="1653" t="n"/>
      <c r="J349" s="1706" t="n">
        <v>0</v>
      </c>
      <c r="K349" s="1707">
        <f>SUMIF(I3:I345,"FA",K3:K345)</f>
        <v/>
      </c>
    </row>
    <row r="350" ht="21.75" customHeight="1" s="1134">
      <c r="I350" s="1653" t="n"/>
      <c r="J350" s="1706" t="n">
        <v>0</v>
      </c>
    </row>
    <row r="351" ht="12.75" customHeight="1" s="1134">
      <c r="B351" s="1132" t="n"/>
      <c r="J351" s="1706" t="n">
        <v>0</v>
      </c>
    </row>
    <row r="352" ht="15" customHeight="1" s="1134">
      <c r="B352" s="1132" t="n"/>
      <c r="F352" s="1710" t="inlineStr">
        <is>
          <t>TOTAL - R2* LEAD PREP</t>
        </is>
      </c>
      <c r="G352" s="1711" t="n"/>
      <c r="H352" s="1712" t="n"/>
      <c r="J352" s="1706" t="n">
        <v>0</v>
      </c>
      <c r="K352" s="1713">
        <f>SUMIFS(K:K,M:M,"R2*")</f>
        <v/>
      </c>
    </row>
    <row r="353" ht="12.75" customHeight="1" s="1134">
      <c r="B353" s="1132" t="n"/>
      <c r="J353" s="1706" t="n">
        <v>0</v>
      </c>
    </row>
    <row r="354" ht="12.75" customHeight="1" s="1134">
      <c r="B354" s="1132" t="n"/>
      <c r="J354" s="1706" t="n">
        <v>0</v>
      </c>
    </row>
    <row r="355" ht="12.75" customHeight="1" s="1134">
      <c r="B355" s="1132" t="n"/>
      <c r="J355" s="1706" t="n">
        <v>0</v>
      </c>
    </row>
    <row r="356" ht="12.75" customHeight="1" s="1134">
      <c r="B356" s="1132" t="n"/>
      <c r="J356" s="1706" t="n">
        <v>0</v>
      </c>
    </row>
  </sheetData>
  <mergeCells count="126">
    <mergeCell ref="E274:G274"/>
    <mergeCell ref="B327:C327"/>
    <mergeCell ref="C92:C95"/>
    <mergeCell ref="B101:B102"/>
    <mergeCell ref="A43:A45"/>
    <mergeCell ref="C188:C198"/>
    <mergeCell ref="C211:C212"/>
    <mergeCell ref="K208:K213"/>
    <mergeCell ref="M208:M213"/>
    <mergeCell ref="A322:A325"/>
    <mergeCell ref="A75:A97"/>
    <mergeCell ref="A235:A238"/>
    <mergeCell ref="A203:A204"/>
    <mergeCell ref="C82:C85"/>
    <mergeCell ref="A300:A315"/>
    <mergeCell ref="A270:A271"/>
    <mergeCell ref="A284:A299"/>
    <mergeCell ref="E278:G278"/>
    <mergeCell ref="C284:C299"/>
    <mergeCell ref="L188:L202"/>
    <mergeCell ref="A111:A112"/>
    <mergeCell ref="C111:C112"/>
    <mergeCell ref="B159:B160"/>
    <mergeCell ref="B324:C324"/>
    <mergeCell ref="A151:A153"/>
    <mergeCell ref="B128:B130"/>
    <mergeCell ref="A319:B319"/>
    <mergeCell ref="A119:A120"/>
    <mergeCell ref="F349:H350"/>
    <mergeCell ref="B17:B18"/>
    <mergeCell ref="B33:B35"/>
    <mergeCell ref="A262:A266"/>
    <mergeCell ref="A154:A155"/>
    <mergeCell ref="C148:C149"/>
    <mergeCell ref="E148:E149"/>
    <mergeCell ref="G148:G149"/>
    <mergeCell ref="C129:C130"/>
    <mergeCell ref="B328:C328"/>
    <mergeCell ref="A208:A213"/>
    <mergeCell ref="A21:A22"/>
    <mergeCell ref="C203:C204"/>
    <mergeCell ref="B75:B77"/>
    <mergeCell ref="A17:A18"/>
    <mergeCell ref="I148:I149"/>
    <mergeCell ref="E217:G217"/>
    <mergeCell ref="C17:C18"/>
    <mergeCell ref="K148:K149"/>
    <mergeCell ref="E277:G277"/>
    <mergeCell ref="A50:A61"/>
    <mergeCell ref="C50:C61"/>
    <mergeCell ref="A181:A182"/>
    <mergeCell ref="A274:A275"/>
    <mergeCell ref="A19:A20"/>
    <mergeCell ref="B151:B153"/>
    <mergeCell ref="B329:C329"/>
    <mergeCell ref="C19:C20"/>
    <mergeCell ref="A171:A172"/>
    <mergeCell ref="A276:A277"/>
    <mergeCell ref="C3:C4"/>
    <mergeCell ref="D159:D160"/>
    <mergeCell ref="E269:G269"/>
    <mergeCell ref="A328:A329"/>
    <mergeCell ref="B29:B31"/>
    <mergeCell ref="C155:D155"/>
    <mergeCell ref="E259:G259"/>
    <mergeCell ref="C101:C102"/>
    <mergeCell ref="I208:I213"/>
    <mergeCell ref="E160:F160"/>
    <mergeCell ref="H148:H149"/>
    <mergeCell ref="E276:G276"/>
    <mergeCell ref="F346:H347"/>
    <mergeCell ref="J148:J149"/>
    <mergeCell ref="C173:C179"/>
    <mergeCell ref="E270:G270"/>
    <mergeCell ref="A1:K1"/>
    <mergeCell ref="L208:L213"/>
    <mergeCell ref="E262:G263"/>
    <mergeCell ref="B322:C322"/>
    <mergeCell ref="B82:B85"/>
    <mergeCell ref="A317:B317"/>
    <mergeCell ref="B176:B179"/>
    <mergeCell ref="A36:A38"/>
    <mergeCell ref="E218:G218"/>
    <mergeCell ref="B171:B172"/>
    <mergeCell ref="A128:A130"/>
    <mergeCell ref="C29:C31"/>
    <mergeCell ref="A159:A160"/>
    <mergeCell ref="E219:G219"/>
    <mergeCell ref="B203:B204"/>
    <mergeCell ref="A98:A99"/>
    <mergeCell ref="C154:D154"/>
    <mergeCell ref="D273:G273"/>
    <mergeCell ref="D284:D299"/>
    <mergeCell ref="C235:C238"/>
    <mergeCell ref="B321:C321"/>
    <mergeCell ref="A147:A149"/>
    <mergeCell ref="M188:M202"/>
    <mergeCell ref="C300:C315"/>
    <mergeCell ref="E300:E315"/>
    <mergeCell ref="B235:B238"/>
    <mergeCell ref="E275:G275"/>
    <mergeCell ref="B323:C323"/>
    <mergeCell ref="E284:E299"/>
    <mergeCell ref="A3:A4"/>
    <mergeCell ref="A29:A35"/>
    <mergeCell ref="B50:B61"/>
    <mergeCell ref="C33:C35"/>
    <mergeCell ref="B19:B20"/>
    <mergeCell ref="A101:A102"/>
    <mergeCell ref="C151:C153"/>
    <mergeCell ref="A163:A168"/>
    <mergeCell ref="A188:A202"/>
    <mergeCell ref="C159:C160"/>
    <mergeCell ref="B154:B155"/>
    <mergeCell ref="D148:D149"/>
    <mergeCell ref="F148:F149"/>
    <mergeCell ref="A173:A179"/>
    <mergeCell ref="H208:H213"/>
    <mergeCell ref="J208:J213"/>
    <mergeCell ref="D300:D315"/>
    <mergeCell ref="A318:B318"/>
    <mergeCell ref="E264:G266"/>
    <mergeCell ref="B325:C325"/>
    <mergeCell ref="E159:F159"/>
    <mergeCell ref="A260:A261"/>
    <mergeCell ref="A114:A115"/>
  </mergeCells>
  <conditionalFormatting sqref="I328:I329">
    <cfRule type="expression" rank="0" priority="2" equalAverage="0" aboveAverage="0" dxfId="19" text="" percent="0" bottom="0">
      <formula>AND($J328&gt;0,$I328=0)</formula>
    </cfRule>
  </conditionalFormatting>
  <conditionalFormatting sqref="I322:I325">
    <cfRule type="expression" rank="0" priority="3" equalAverage="0" aboveAverage="0" dxfId="19" text="" percent="0" bottom="0">
      <formula>AND($J322&gt;0,$I322=0)</formula>
    </cfRule>
  </conditionalFormatting>
  <conditionalFormatting sqref="I319">
    <cfRule type="expression" rank="0" priority="4" equalAverage="0" aboveAverage="0" dxfId="19" text="" percent="0" bottom="0">
      <formula>AND($J319&gt;0,$I319=0)</formula>
    </cfRule>
  </conditionalFormatting>
  <conditionalFormatting sqref="I318">
    <cfRule type="expression" rank="0" priority="5" equalAverage="0" aboveAverage="0" dxfId="19" text="" percent="0" bottom="0">
      <formula>AND($J318&gt;0,$I318=0)</formula>
    </cfRule>
  </conditionalFormatting>
  <conditionalFormatting sqref="J317">
    <cfRule type="expression" rank="0" priority="6" equalAverage="0" aboveAverage="0" dxfId="19" text="" percent="0" bottom="0">
      <formula>AND($K317&gt;0,$J317=0)</formula>
    </cfRule>
  </conditionalFormatting>
  <conditionalFormatting sqref="I300:I315">
    <cfRule type="expression" rank="0" priority="7" equalAverage="0" aboveAverage="0" dxfId="19" text="" percent="0" bottom="0">
      <formula>AND($J300&gt;0,$I300=0)</formula>
    </cfRule>
  </conditionalFormatting>
  <conditionalFormatting sqref="I284:I299">
    <cfRule type="expression" rank="0" priority="8" equalAverage="0" aboveAverage="0" dxfId="19" text="" percent="0" bottom="0">
      <formula>AND($J284&gt;0,$I284=0)</formula>
    </cfRule>
  </conditionalFormatting>
  <conditionalFormatting sqref="I24">
    <cfRule type="expression" rank="0" priority="9" equalAverage="0" aboveAverage="0" dxfId="19" text="" percent="0" bottom="0">
      <formula>AND($J24&gt;0,$I24=0)</formula>
    </cfRule>
  </conditionalFormatting>
  <conditionalFormatting sqref="I281">
    <cfRule type="expression" rank="0" priority="10" equalAverage="0" aboveAverage="0" dxfId="19" text="" percent="0" bottom="0">
      <formula>AND($J281&gt;0,$I281=0)</formula>
    </cfRule>
  </conditionalFormatting>
  <conditionalFormatting sqref="I105">
    <cfRule type="expression" rank="0" priority="11" equalAverage="0" aboveAverage="0" dxfId="19" text="" percent="0" bottom="0">
      <formula>AND($J105&gt;0,$I105=0)</formula>
    </cfRule>
  </conditionalFormatting>
  <conditionalFormatting sqref="I218:I223">
    <cfRule type="expression" rank="0" priority="12" equalAverage="0" aboveAverage="0" dxfId="19" text="" percent="0" bottom="0">
      <formula>AND($J218&gt;0,$I218=0)</formula>
    </cfRule>
  </conditionalFormatting>
  <conditionalFormatting sqref="I3:I14 I17:I23 I25:I38 I40:I47 I50:I65 I68:I72 I75:I104 I106:I109 I111:I112 I114:I116 I119:I120 I123:I125 I128:I145 I147 I150:I161 I163:I186 I188:I216 I225:I227 I229:I231 I234:I241 I244:I258 I260:I268 I270:I271 I274:I279">
    <cfRule type="expression" rank="0" priority="13" equalAverage="0" aboveAverage="0" dxfId="19" text="" percent="0" bottom="0">
      <formula>AND($J3&gt;0,$I3=0)</formula>
    </cfRule>
  </conditionalFormatting>
  <conditionalFormatting sqref="I148">
    <cfRule type="expression" rank="0" priority="14" equalAverage="0" aboveAverage="0" dxfId="19" text="" percent="0" bottom="0">
      <formula>AND($J149&gt;0,$I148=0)</formula>
    </cfRule>
  </conditionalFormatting>
  <dataValidations count="1">
    <dataValidation sqref="I3:I14 I17:I38 I40:I47 I50:I65 I68:I72 I75:I109 I111:I112 I114:I116 I119:I120 I123:I125 I128:I145 I147:I148 I150:I161 I163:I186 I188:I216 I218:I223 I225:I227 I229:I231 I234:I241 I244:I258 I260:I268 I270:I271 I274:I279 I281 I284:I315 I318:I319 I322:I325 I328:I330 J317" showDropDown="0" showInputMessage="1" showErrorMessage="1" allowBlank="1" type="list" errorStyle="stop" operator="between">
      <formula1>$L$3:$L$4</formula1>
      <formula2>0</formula2>
    </dataValidation>
  </dataValidations>
  <printOptions horizontalCentered="0" verticalCentered="0" headings="0" gridLines="0" gridLinesSet="1"/>
  <pageMargins left="0.490277777777778" right="0.6402777777777779" top="0.55" bottom="0.540277777777778" header="0.511811023622047" footer="0.511811023622047"/>
  <pageSetup orientation="portrait" paperSize="9" scale="56" fitToHeight="1" fitToWidth="1" pageOrder="downThenOver" blackAndWhite="0" draft="0" horizontalDpi="300" verticalDpi="300" copies="1"/>
  <rowBreaks count="3" manualBreakCount="3">
    <brk id="73" min="0" max="16383" man="1"/>
    <brk id="117" min="0" max="16383" man="1"/>
    <brk id="186" min="0" max="16383" man="1"/>
  </rowBreaks>
  <legacyDrawing xmlns:r="http://schemas.openxmlformats.org/officeDocument/2006/relationships" r:id="anysvml"/>
</worksheet>
</file>

<file path=xl/worksheets/sheet4.xml><?xml version="1.0" encoding="utf-8"?>
<worksheet xmlns="http://schemas.openxmlformats.org/spreadsheetml/2006/main">
  <sheetPr filterMode="0">
    <tabColor rgb="FFFFC000"/>
    <outlinePr summaryBelow="1" summaryRight="1"/>
    <pageSetUpPr fitToPage="0"/>
  </sheetPr>
  <dimension ref="A1:CQ347"/>
  <sheetViews>
    <sheetView showFormulas="0" showGridLines="1" showRowColHeaders="1" showZeros="1" rightToLeft="0" tabSelected="0" showOutlineSymbols="1" defaultGridColor="1" view="normal" topLeftCell="A260" colorId="64" zoomScale="85" zoomScaleNormal="85" zoomScalePageLayoutView="100" workbookViewId="0">
      <selection pane="topLeft" activeCell="J58" activeCellId="0" sqref="J58"/>
    </sheetView>
  </sheetViews>
  <sheetFormatPr baseColWidth="8" defaultColWidth="9.3359375" defaultRowHeight="12.75" customHeight="0" zeroHeight="0" outlineLevelRow="0"/>
  <cols>
    <col width="27" customWidth="1" style="1132" min="1" max="1"/>
    <col width="29" customWidth="1" style="1214" min="2" max="2"/>
    <col width="22.56" customWidth="1" style="1132" min="3" max="3"/>
    <col width="18.44" customWidth="1" style="1132" min="4" max="4"/>
    <col width="11.33" customWidth="1" style="1132" min="5" max="5"/>
    <col width="8.56" customWidth="1" style="1132" min="6" max="6"/>
    <col width="7.67" customWidth="1" style="1132" min="7" max="7"/>
    <col width="9.33" customWidth="1" style="1215" min="8" max="9"/>
    <col width="9.33" customWidth="1" style="1132" min="10" max="10"/>
    <col width="15.33" customWidth="1" style="1132" min="11" max="11"/>
    <col width="3.56" customWidth="1" style="1132" min="12" max="12"/>
    <col width="15.33" customWidth="1" style="1132" min="13" max="13"/>
    <col width="19.33" customWidth="1" style="1132" min="14" max="14"/>
    <col width="19.44" customWidth="1" style="1344" min="15" max="15"/>
    <col width="14.67" customWidth="1" style="1343" min="16" max="16"/>
    <col width="43.88" customWidth="1" style="1344" min="17" max="17"/>
    <col width="10.33" customWidth="1" style="1132" min="18" max="18"/>
    <col width="28.11" customWidth="1" style="1132" min="19" max="19"/>
    <col width="9.33" customWidth="1" style="1132" min="20" max="16384"/>
  </cols>
  <sheetData>
    <row r="1" ht="25.5" customHeight="1" s="1134">
      <c r="A1" s="1389" t="inlineStr">
        <is>
          <t>LEAD PREP PROCESS</t>
        </is>
      </c>
      <c r="B1" s="1390" t="n"/>
      <c r="C1" s="1390" t="n"/>
      <c r="D1" s="1390" t="n"/>
      <c r="E1" s="1390" t="n"/>
      <c r="F1" s="1390" t="n"/>
      <c r="G1" s="1390" t="n"/>
      <c r="H1" s="1390" t="n"/>
      <c r="I1" s="1390" t="n"/>
      <c r="J1" s="1390" t="n"/>
      <c r="K1" s="1390" t="n"/>
    </row>
    <row r="2" ht="42.75" customFormat="1" customHeight="1" s="1391">
      <c r="A2" s="1216" t="inlineStr">
        <is>
          <t>SEAL APPLICATIONS (Including Grommet Pass through)</t>
        </is>
      </c>
      <c r="B2" s="1217" t="inlineStr">
        <is>
          <t>COMMENTS</t>
        </is>
      </c>
      <c r="C2" s="1217" t="inlineStr">
        <is>
          <t>Machine</t>
        </is>
      </c>
      <c r="D2" s="1217" t="inlineStr">
        <is>
          <t>Multicond?</t>
        </is>
      </c>
      <c r="E2" s="1217" t="inlineStr">
        <is>
          <t>Min Gage</t>
        </is>
      </c>
      <c r="F2" s="1217" t="inlineStr">
        <is>
          <t>Max Gage</t>
        </is>
      </c>
      <c r="G2" s="1217" t="n"/>
      <c r="H2" s="1392" t="inlineStr">
        <is>
          <t>Global Sec/ Pc</t>
        </is>
      </c>
      <c r="I2" s="1392" t="inlineStr">
        <is>
          <t>Location
LP/FA</t>
        </is>
      </c>
      <c r="J2" s="1217" t="inlineStr">
        <is>
          <t>QTY</t>
        </is>
      </c>
      <c r="K2" s="1393" t="inlineStr">
        <is>
          <t>TOTAL</t>
        </is>
      </c>
      <c r="N2" s="1391" t="n"/>
      <c r="O2" s="1394" t="n"/>
      <c r="P2" s="1395" t="n"/>
      <c r="Q2" s="1394" t="n"/>
    </row>
    <row r="3" ht="18" customHeight="1" s="1134">
      <c r="A3" s="1396" t="inlineStr">
        <is>
          <t>APPLY SEAL</t>
        </is>
      </c>
      <c r="B3" s="1397" t="inlineStr">
        <is>
          <t>apply seal in a normal cable</t>
        </is>
      </c>
      <c r="C3" s="1398" t="inlineStr">
        <is>
          <t>Seal Station / per application</t>
        </is>
      </c>
      <c r="D3" s="1399" t="n"/>
      <c r="E3" s="1399" t="n">
        <v>0.13</v>
      </c>
      <c r="F3" s="1399" t="n">
        <v>8</v>
      </c>
      <c r="G3" s="1399" t="n"/>
      <c r="H3" s="1400" t="n">
        <v>5.26</v>
      </c>
      <c r="I3" s="1401" t="inlineStr">
        <is>
          <t>FA</t>
        </is>
      </c>
      <c r="J3" s="1402" t="n">
        <v>0</v>
      </c>
      <c r="K3" s="1403">
        <f>+J3*H3</f>
        <v/>
      </c>
      <c r="L3" s="1231" t="inlineStr">
        <is>
          <t>LP</t>
        </is>
      </c>
      <c r="M3" s="1231" t="inlineStr">
        <is>
          <t>Automatic</t>
        </is>
      </c>
      <c r="N3" s="1231" t="n"/>
      <c r="O3" s="1344" t="n"/>
      <c r="P3" s="1343" t="n"/>
      <c r="Q3" s="1708" t="n"/>
      <c r="R3" s="1231" t="n"/>
    </row>
    <row r="4" ht="35.25" customHeight="1" s="1134">
      <c r="A4" s="1405" t="n"/>
      <c r="B4" s="1397" t="inlineStr">
        <is>
          <t>apply seals in multiconductor cable 
(to be applied also to apply seal to subassiemblies)</t>
        </is>
      </c>
      <c r="C4" s="1406" t="n"/>
      <c r="D4" s="1399" t="inlineStr">
        <is>
          <t>Y</t>
        </is>
      </c>
      <c r="E4" s="1399" t="n">
        <v>0.13</v>
      </c>
      <c r="F4" s="1399" t="n">
        <v>8</v>
      </c>
      <c r="G4" s="1399" t="n"/>
      <c r="H4" s="1400" t="n">
        <v>6</v>
      </c>
      <c r="I4" s="1401" t="inlineStr">
        <is>
          <t>FA</t>
        </is>
      </c>
      <c r="J4" s="1402" t="n">
        <v>0</v>
      </c>
      <c r="K4" s="1403">
        <f>+J4*H4</f>
        <v/>
      </c>
      <c r="L4" s="1231" t="inlineStr">
        <is>
          <t>FA</t>
        </is>
      </c>
      <c r="M4" s="1231" t="inlineStr">
        <is>
          <t>Automatic</t>
        </is>
      </c>
      <c r="N4" s="1231" t="n"/>
      <c r="O4" s="1344" t="n"/>
      <c r="P4" s="1343" t="n"/>
      <c r="Q4" s="1708" t="n"/>
      <c r="R4" s="1231" t="n"/>
    </row>
    <row r="5" ht="35.25" customHeight="1" s="1134">
      <c r="A5" s="1408" t="inlineStr">
        <is>
          <t>APPLY / PLUG SEAL / CAVITY PLUG TO CONNECTOR</t>
        </is>
      </c>
      <c r="B5" s="1409" t="inlineStr">
        <is>
          <t>Insert cavity plugs in connectors</t>
        </is>
      </c>
      <c r="C5" s="1410" t="inlineStr">
        <is>
          <t>Seal Station / per application 
(masks or small devices to support can be used)</t>
        </is>
      </c>
      <c r="D5" s="1411" t="n"/>
      <c r="E5" s="1411" t="n"/>
      <c r="F5" s="1411" t="n"/>
      <c r="G5" s="1411" t="n"/>
      <c r="H5" s="1400" t="n">
        <v>4</v>
      </c>
      <c r="I5" s="1401" t="inlineStr">
        <is>
          <t>FA</t>
        </is>
      </c>
      <c r="J5" s="1402" t="n">
        <v>1</v>
      </c>
      <c r="K5" s="1403">
        <f>+J5*H5</f>
        <v/>
      </c>
      <c r="L5" s="1231" t="n"/>
      <c r="M5" s="1231" t="n"/>
      <c r="N5" s="1231" t="n"/>
      <c r="O5" s="1344" t="n"/>
      <c r="P5" s="1343" t="n"/>
      <c r="Q5" s="1413" t="n"/>
      <c r="R5" s="1231" t="n"/>
    </row>
    <row r="6" ht="33" customHeight="1" s="1134">
      <c r="A6" s="1396" t="inlineStr">
        <is>
          <t xml:space="preserve">PERFORATE CONNECTOR AND CONNECTOR COMPONENTS </t>
        </is>
      </c>
      <c r="B6" s="1397" t="inlineStr">
        <is>
          <t>punch holes in connector / seal / perforate plugs of connector cover</t>
        </is>
      </c>
      <c r="C6" s="1397" t="inlineStr">
        <is>
          <t>Newmatic punch press</t>
        </is>
      </c>
      <c r="D6" s="1399" t="n"/>
      <c r="E6" s="1399" t="n"/>
      <c r="F6" s="1399" t="n"/>
      <c r="G6" s="1399" t="n"/>
      <c r="H6" s="1400" t="n">
        <v>9</v>
      </c>
      <c r="I6" s="1401" t="inlineStr">
        <is>
          <t>FA</t>
        </is>
      </c>
      <c r="J6" s="1402" t="n">
        <v>0</v>
      </c>
      <c r="K6" s="1403">
        <f>+J6*H6</f>
        <v/>
      </c>
      <c r="L6" s="1231" t="n"/>
      <c r="M6" s="1231" t="inlineStr">
        <is>
          <t>Semi-automatic</t>
        </is>
      </c>
      <c r="N6" s="1231" t="n"/>
      <c r="O6" s="1344" t="n"/>
      <c r="P6" s="1343" t="n"/>
      <c r="Q6" s="1708" t="n"/>
      <c r="R6" s="1231" t="n"/>
    </row>
    <row r="7" ht="33" customHeight="1" s="1134">
      <c r="A7" s="1414" t="inlineStr">
        <is>
          <t>PERFORATE BOOT</t>
        </is>
      </c>
      <c r="B7" s="1415" t="inlineStr">
        <is>
          <t>Perforate connector boot</t>
        </is>
      </c>
      <c r="C7" s="1397" t="inlineStr">
        <is>
          <t>Newmatic punch press</t>
        </is>
      </c>
      <c r="D7" s="1399" t="n"/>
      <c r="E7" s="1399" t="n"/>
      <c r="F7" s="1399" t="n"/>
      <c r="G7" s="1399" t="n"/>
      <c r="H7" s="1400" t="n">
        <v>12.67</v>
      </c>
      <c r="I7" s="1401" t="inlineStr">
        <is>
          <t>FA</t>
        </is>
      </c>
      <c r="J7" s="1402" t="n">
        <v>0</v>
      </c>
      <c r="K7" s="1403">
        <f>+J7*H7</f>
        <v/>
      </c>
      <c r="L7" s="1231" t="n"/>
      <c r="M7" s="1231" t="inlineStr">
        <is>
          <t>Automatic</t>
        </is>
      </c>
      <c r="N7" s="1231" t="n"/>
      <c r="O7" s="1344" t="n"/>
      <c r="P7" s="1343" t="n"/>
      <c r="Q7" s="1708" t="n"/>
      <c r="R7" s="1231" t="n"/>
    </row>
    <row r="8" ht="24.75" customHeight="1" s="1134">
      <c r="A8" s="1396" t="inlineStr">
        <is>
          <t>APPLY BACKSHELL TO CONN</t>
        </is>
      </c>
      <c r="B8" s="1397" t="inlineStr">
        <is>
          <t>apply backshell  to connector</t>
        </is>
      </c>
      <c r="C8" s="1397" t="inlineStr">
        <is>
          <t>manual tool</t>
        </is>
      </c>
      <c r="D8" s="1399" t="n"/>
      <c r="E8" s="1399" t="n"/>
      <c r="F8" s="1399" t="n"/>
      <c r="G8" s="1399" t="n"/>
      <c r="H8" s="1400" t="n">
        <v>10.4</v>
      </c>
      <c r="I8" s="1401" t="inlineStr">
        <is>
          <t>FA</t>
        </is>
      </c>
      <c r="J8" s="1402" t="n">
        <v>0</v>
      </c>
      <c r="K8" s="1403">
        <f>+J8*H8</f>
        <v/>
      </c>
      <c r="L8" s="1231" t="n"/>
      <c r="M8" s="1231" t="inlineStr">
        <is>
          <t>Semi-automatic</t>
        </is>
      </c>
      <c r="N8" s="1231" t="n"/>
      <c r="O8" s="1344" t="n"/>
      <c r="P8" s="1343" t="n"/>
      <c r="Q8" s="1708" t="n"/>
      <c r="R8" s="1231" t="n"/>
    </row>
    <row r="9" ht="18" customHeight="1" s="1134">
      <c r="A9" s="1396" t="inlineStr">
        <is>
          <t>SEAL OVER CONN</t>
        </is>
      </c>
      <c r="B9" s="1397" t="inlineStr">
        <is>
          <t>apply seal over connector</t>
        </is>
      </c>
      <c r="C9" s="1397" t="inlineStr">
        <is>
          <t>Seal Inserter for Conn seal</t>
        </is>
      </c>
      <c r="D9" s="1399" t="n"/>
      <c r="E9" s="1399" t="n"/>
      <c r="F9" s="1399" t="n"/>
      <c r="G9" s="1399" t="n"/>
      <c r="H9" s="1400" t="n">
        <v>9.75</v>
      </c>
      <c r="I9" s="1401" t="inlineStr">
        <is>
          <t>FA</t>
        </is>
      </c>
      <c r="J9" s="1402" t="n">
        <v>0</v>
      </c>
      <c r="K9" s="1403">
        <f>+J9*H9</f>
        <v/>
      </c>
      <c r="L9" s="1132" t="n"/>
      <c r="M9" s="1132" t="inlineStr">
        <is>
          <t>Automatic</t>
        </is>
      </c>
      <c r="N9" s="1231" t="n"/>
      <c r="O9" s="1344" t="n"/>
      <c r="P9" s="1343" t="n"/>
      <c r="Q9" s="1708" t="n"/>
      <c r="R9" s="1231" t="n"/>
    </row>
    <row r="10" ht="23.25" customHeight="1" s="1134">
      <c r="A10" s="1396" t="inlineStr">
        <is>
          <t>APPLY MIXED FLUIDS</t>
        </is>
      </c>
      <c r="B10" s="1397" t="inlineStr">
        <is>
          <t>mix up fluids into grommet</t>
        </is>
      </c>
      <c r="C10" s="1397" t="inlineStr">
        <is>
          <t xml:space="preserve">Two Fluids machine  </t>
        </is>
      </c>
      <c r="D10" s="1399" t="n"/>
      <c r="E10" s="1399" t="n"/>
      <c r="F10" s="1399" t="n"/>
      <c r="G10" s="1399" t="n"/>
      <c r="H10" s="1400" t="n">
        <v>17.4</v>
      </c>
      <c r="I10" s="1401" t="inlineStr">
        <is>
          <t>FA</t>
        </is>
      </c>
      <c r="J10" s="1402" t="n">
        <v>0</v>
      </c>
      <c r="K10" s="1403">
        <f>+J10*H10</f>
        <v/>
      </c>
      <c r="L10" s="1132" t="n"/>
      <c r="M10" s="1132" t="inlineStr">
        <is>
          <t>Automatic</t>
        </is>
      </c>
      <c r="N10" s="1231" t="n"/>
      <c r="O10" s="1344" t="n"/>
      <c r="P10" s="1343" t="n"/>
      <c r="Q10" s="1708" t="n"/>
      <c r="R10" s="1231" t="n"/>
    </row>
    <row r="11" ht="18" customHeight="1" s="1134">
      <c r="A11" s="1396" t="inlineStr">
        <is>
          <t>INSRT LEADS IN GROM</t>
        </is>
      </c>
      <c r="B11" s="1397" t="inlineStr">
        <is>
          <t>grommets boots &amp; sleeves over branch</t>
        </is>
      </c>
      <c r="C11" s="1398" t="inlineStr">
        <is>
          <t>Grommet Spreader (4 bill)</t>
        </is>
      </c>
      <c r="D11" s="1416" t="n"/>
      <c r="E11" s="1399" t="n"/>
      <c r="F11" s="1399" t="n"/>
      <c r="G11" s="1399" t="n"/>
      <c r="H11" s="1400" t="n">
        <v>28.08</v>
      </c>
      <c r="I11" s="1401" t="inlineStr">
        <is>
          <t>FA</t>
        </is>
      </c>
      <c r="J11" s="1402" t="n">
        <v>0</v>
      </c>
      <c r="K11" s="1403">
        <f>+J11*H11</f>
        <v/>
      </c>
      <c r="L11" s="1132" t="n"/>
      <c r="M11" s="1132" t="inlineStr">
        <is>
          <t>Manual</t>
        </is>
      </c>
      <c r="N11" s="1231" t="n"/>
      <c r="O11" s="1344" t="n"/>
      <c r="P11" s="1343" t="n"/>
      <c r="Q11" s="1708" t="n"/>
      <c r="R11" s="1231" t="n"/>
    </row>
    <row r="12" ht="31.5" customHeight="1" s="1134">
      <c r="A12" s="1417" t="inlineStr">
        <is>
          <t>JOIN CABLE TIE WITH BODY CLIP</t>
        </is>
      </c>
      <c r="B12" s="1409" t="inlineStr">
        <is>
          <t xml:space="preserve">per component application </t>
        </is>
      </c>
      <c r="C12" s="1410" t="inlineStr">
        <is>
          <t xml:space="preserve">manual station to join two seperate DPN / APN </t>
        </is>
      </c>
      <c r="D12" s="1418" t="n"/>
      <c r="E12" s="1419" t="n"/>
      <c r="F12" s="1419" t="n"/>
      <c r="G12" s="1419" t="n"/>
      <c r="H12" s="1420" t="n">
        <v>3</v>
      </c>
      <c r="I12" s="1401" t="inlineStr">
        <is>
          <t>FA</t>
        </is>
      </c>
      <c r="J12" s="1402" t="n">
        <v>0</v>
      </c>
      <c r="K12" s="1403">
        <f>+J12*H12</f>
        <v/>
      </c>
      <c r="N12" s="1231" t="n"/>
      <c r="O12" s="1344" t="n"/>
      <c r="P12" s="1407" t="n"/>
      <c r="Q12" s="1344" t="n"/>
      <c r="R12" s="1231" t="n"/>
    </row>
    <row r="13" ht="18" customHeight="1" s="1134">
      <c r="A13" s="1421" t="n"/>
      <c r="B13" s="1415" t="n"/>
      <c r="C13" s="1422" t="n"/>
      <c r="D13" s="1423" t="n"/>
      <c r="E13" s="1317" t="n"/>
      <c r="F13" s="1317" t="n"/>
      <c r="G13" s="1317" t="n"/>
      <c r="H13" s="1424" t="n"/>
      <c r="I13" s="1401" t="n"/>
      <c r="J13" s="1402" t="n">
        <v>0</v>
      </c>
      <c r="K13" s="1403">
        <f>+J13*H13</f>
        <v/>
      </c>
      <c r="N13" s="1231" t="n"/>
      <c r="O13" s="1344" t="n"/>
      <c r="P13" s="1343" t="n"/>
      <c r="Q13" s="1708" t="n"/>
      <c r="R13" s="1231" t="n"/>
    </row>
    <row r="14" ht="18" customHeight="1" s="1134">
      <c r="A14" s="1421" t="n"/>
      <c r="B14" s="1415" t="n"/>
      <c r="C14" s="1422" t="n"/>
      <c r="D14" s="1423" t="n"/>
      <c r="E14" s="1317" t="n"/>
      <c r="F14" s="1317" t="n"/>
      <c r="G14" s="1317" t="n"/>
      <c r="H14" s="1424" t="n"/>
      <c r="I14" s="1401" t="n"/>
      <c r="J14" s="1402" t="n">
        <v>0</v>
      </c>
      <c r="K14" s="1403">
        <f>+J14*H14</f>
        <v/>
      </c>
      <c r="N14" s="1231" t="n"/>
      <c r="O14" s="1344" t="n"/>
      <c r="P14" s="1343" t="n"/>
      <c r="Q14" s="1708" t="n"/>
      <c r="R14" s="1231" t="n"/>
    </row>
    <row r="15" ht="18" customHeight="1" s="1134">
      <c r="A15" s="1425" t="n"/>
      <c r="B15" s="1426" t="n"/>
      <c r="C15" s="1427" t="n"/>
      <c r="D15" s="1427" t="n"/>
      <c r="E15" s="1319" t="n"/>
      <c r="F15" s="1319" t="n"/>
      <c r="G15" s="1319" t="n"/>
      <c r="H15" s="1428" t="n"/>
      <c r="I15" s="1428" t="n"/>
      <c r="J15" s="1429" t="n">
        <v>0</v>
      </c>
      <c r="K15" s="1430" t="n"/>
      <c r="N15" s="1231" t="n"/>
      <c r="O15" s="1344" t="n"/>
      <c r="P15" s="1343" t="n"/>
      <c r="Q15" s="1708" t="n"/>
      <c r="R15" s="1231" t="n"/>
    </row>
    <row r="16" ht="53.25" customFormat="1" customHeight="1" s="1391">
      <c r="A16" s="1216" t="inlineStr">
        <is>
          <t>SEALING (including LMX, RAYBLOCK, coldmelt)</t>
        </is>
      </c>
      <c r="B16" s="1217" t="inlineStr">
        <is>
          <t>COMMENTS</t>
        </is>
      </c>
      <c r="C16" s="1217" t="inlineStr">
        <is>
          <t>Machine Vendor</t>
        </is>
      </c>
      <c r="D16" s="1431" t="inlineStr">
        <is>
          <t>Min Gage</t>
        </is>
      </c>
      <c r="E16" s="1431" t="inlineStr">
        <is>
          <t>Max Gage</t>
        </is>
      </c>
      <c r="F16" s="1217" t="inlineStr">
        <is>
          <t>Min Length</t>
        </is>
      </c>
      <c r="G16" s="1217" t="inlineStr">
        <is>
          <t>Max Length</t>
        </is>
      </c>
      <c r="H16" s="1392" t="inlineStr">
        <is>
          <t>Global Sec/ Pc</t>
        </is>
      </c>
      <c r="I16" s="1392" t="inlineStr">
        <is>
          <t>Location
LP/FA</t>
        </is>
      </c>
      <c r="J16" s="1432" t="n">
        <v>0</v>
      </c>
      <c r="K16" s="1393" t="inlineStr">
        <is>
          <t>Total</t>
        </is>
      </c>
      <c r="N16" s="1231" t="n"/>
      <c r="O16" s="1344" t="n"/>
      <c r="P16" s="1343" t="n"/>
      <c r="Q16" s="1708" t="n"/>
      <c r="R16" s="1231" t="n"/>
    </row>
    <row r="17" ht="41.25" customHeight="1" s="1134">
      <c r="A17" s="1396" t="inlineStr">
        <is>
          <t>Heat Shrink on term. including automatic cooling (performed by the shrinking machine)</t>
        </is>
      </c>
      <c r="B17" s="1397" t="inlineStr">
        <is>
          <t xml:space="preserve">heat shrink over terminal
Cooling of the tubes shrinked over ring terminal and over the cable (average time, taking into consideration set of subs is cooled at the same time) </t>
        </is>
      </c>
      <c r="C17" s="1397" t="inlineStr">
        <is>
          <t>IR 1891Shuttle - Air, Slide Toaster, etc.</t>
        </is>
      </c>
      <c r="D17" s="1317" t="inlineStr">
        <is>
          <t>0 mm²</t>
        </is>
      </c>
      <c r="E17" s="1317" t="inlineStr">
        <is>
          <t>30mm²</t>
        </is>
      </c>
      <c r="F17" s="1433" t="n"/>
      <c r="G17" s="1433" t="n"/>
      <c r="H17" s="1434" t="n">
        <v>13.5</v>
      </c>
      <c r="I17" s="1401" t="inlineStr">
        <is>
          <t>FA</t>
        </is>
      </c>
      <c r="J17" s="1402" t="n">
        <v>0</v>
      </c>
      <c r="K17" s="1403">
        <f>+J17*H17</f>
        <v/>
      </c>
      <c r="L17" s="1435" t="n"/>
      <c r="M17" s="1435" t="inlineStr">
        <is>
          <t>Manual</t>
        </is>
      </c>
      <c r="N17" s="1231" t="n"/>
      <c r="O17" s="1344" t="n"/>
      <c r="P17" s="1343" t="n"/>
      <c r="Q17" s="1708" t="n"/>
      <c r="R17" s="1231" t="n"/>
    </row>
    <row r="18" ht="43.5" customHeight="1" s="1134">
      <c r="A18" s="1405" t="n"/>
      <c r="B18" s="1406" t="n"/>
      <c r="C18" s="1406" t="n"/>
      <c r="D18" s="1399" t="inlineStr">
        <is>
          <t>31 mm²</t>
        </is>
      </c>
      <c r="E18" s="1399" t="inlineStr">
        <is>
          <t>120mm²</t>
        </is>
      </c>
      <c r="F18" s="1433" t="n"/>
      <c r="G18" s="1433" t="n"/>
      <c r="H18" s="1434" t="n">
        <v>24</v>
      </c>
      <c r="I18" s="1401" t="inlineStr">
        <is>
          <t>FA</t>
        </is>
      </c>
      <c r="J18" s="1402" t="n">
        <v>0</v>
      </c>
      <c r="K18" s="1403">
        <f>+J18*H18</f>
        <v/>
      </c>
      <c r="L18" s="1435" t="n"/>
      <c r="M18" s="1435" t="inlineStr">
        <is>
          <t>Automatic</t>
        </is>
      </c>
      <c r="N18" s="1231" t="n"/>
      <c r="O18" s="1344" t="n"/>
      <c r="P18" s="1343" t="n"/>
      <c r="Q18" s="1708" t="n"/>
      <c r="R18" s="1231" t="n"/>
    </row>
    <row r="19" ht="38.25" customHeight="1" s="1134">
      <c r="A19" s="1421" t="inlineStr">
        <is>
          <t>HEAT SHRINK</t>
        </is>
      </c>
      <c r="B19" s="1415" t="inlineStr">
        <is>
          <t>heat shrink over cable  / multiconductor cable including drain wire
(often on drain wire of multiconductor where  diameter of tubes are smaller or equal to 6 mm)</t>
        </is>
      </c>
      <c r="C19" s="1436" t="inlineStr">
        <is>
          <t>Heat Shrink station</t>
        </is>
      </c>
      <c r="D19" s="1437" t="n"/>
      <c r="E19" s="1437" t="n"/>
      <c r="F19" s="1399" t="n">
        <v>0</v>
      </c>
      <c r="G19" s="1399" t="n">
        <v>80</v>
      </c>
      <c r="H19" s="1400" t="n">
        <v>15.6</v>
      </c>
      <c r="I19" s="1401" t="inlineStr">
        <is>
          <t>FA</t>
        </is>
      </c>
      <c r="J19" s="1402" t="n">
        <v>0</v>
      </c>
      <c r="K19" s="1403">
        <f>+J19*H19</f>
        <v/>
      </c>
      <c r="L19" s="1132" t="n"/>
      <c r="M19" s="1132" t="inlineStr">
        <is>
          <t>Automatic</t>
        </is>
      </c>
      <c r="N19" s="1231" t="n"/>
      <c r="O19" s="1344" t="n"/>
      <c r="P19" s="1343" t="n"/>
      <c r="Q19" s="1708" t="n"/>
      <c r="R19" s="1231" t="n"/>
    </row>
    <row r="20" ht="30.75" customHeight="1" s="1134">
      <c r="A20" s="1232" t="n"/>
      <c r="B20" s="1233" t="n"/>
      <c r="C20" s="1233" t="n"/>
      <c r="D20" s="1317" t="n"/>
      <c r="E20" s="1317" t="n"/>
      <c r="F20" s="1317" t="n">
        <v>81</v>
      </c>
      <c r="G20" s="1317" t="n">
        <v>160</v>
      </c>
      <c r="H20" s="1420" t="n">
        <v>18.61</v>
      </c>
      <c r="I20" s="1438" t="inlineStr">
        <is>
          <t>FA</t>
        </is>
      </c>
      <c r="J20" s="1439" t="n">
        <v>0</v>
      </c>
      <c r="K20" s="1440">
        <f>+J20*H20</f>
        <v/>
      </c>
      <c r="L20" s="1132" t="n"/>
      <c r="M20" s="1132" t="inlineStr">
        <is>
          <t>Automatic</t>
        </is>
      </c>
      <c r="N20" s="1231" t="n"/>
      <c r="O20" s="1344" t="n"/>
      <c r="P20" s="1343" t="n"/>
      <c r="Q20" s="1708" t="n"/>
      <c r="R20" s="1231" t="n"/>
    </row>
    <row r="21" ht="48" customHeight="1" s="1134">
      <c r="A21" s="1441" t="inlineStr">
        <is>
          <t>HEAT SHRINK OVER CONNECTOR                         to be used also for Heat shrink sleeve/tube over hose</t>
        </is>
      </c>
      <c r="B21" s="1442" t="inlineStr">
        <is>
          <t>per connector / hose</t>
        </is>
      </c>
      <c r="C21" s="1443" t="inlineStr">
        <is>
          <t>Raychem IR 03/15 &amp; R.Semiautom./ FLS MK2
'Speed 40-90 / Temp. 100ºC</t>
        </is>
      </c>
      <c r="D21" s="1444" t="n"/>
      <c r="E21" s="1444" t="n"/>
      <c r="F21" s="1444" t="n"/>
      <c r="G21" s="1444" t="n"/>
      <c r="H21" s="1445" t="n">
        <v>49.13</v>
      </c>
      <c r="I21" s="1446" t="inlineStr">
        <is>
          <t>FA</t>
        </is>
      </c>
      <c r="J21" s="1447" t="n">
        <v>0</v>
      </c>
      <c r="K21" s="1448">
        <f>+J21*H21</f>
        <v/>
      </c>
      <c r="L21" s="1132" t="n"/>
      <c r="M21" s="1132" t="inlineStr">
        <is>
          <t>Manual</t>
        </is>
      </c>
      <c r="N21" s="1231" t="n"/>
      <c r="O21" s="1344" t="n"/>
      <c r="P21" s="1343" t="n"/>
      <c r="Q21" s="1708" t="n"/>
      <c r="R21" s="1231" t="n"/>
    </row>
    <row r="22" ht="51.75" customHeight="1" s="1134">
      <c r="A22" s="1236" t="n"/>
      <c r="B22" s="1449" t="inlineStr">
        <is>
          <t>per  hot melt (additional glue / sealing) application - to be used also for splices and multiconductors  (plastic ferrules application)</t>
        </is>
      </c>
      <c r="C22" s="1450" t="n"/>
      <c r="D22" s="1319" t="n"/>
      <c r="E22" s="1319" t="n"/>
      <c r="F22" s="1319" t="n">
        <v>1</v>
      </c>
      <c r="G22" s="1319" t="n">
        <v>99999</v>
      </c>
      <c r="H22" s="1451" t="n">
        <v>3.73</v>
      </c>
      <c r="I22" s="1452" t="inlineStr">
        <is>
          <t>FA</t>
        </is>
      </c>
      <c r="J22" s="1429" t="n">
        <v>0</v>
      </c>
      <c r="K22" s="1430">
        <f>+J22*H22</f>
        <v/>
      </c>
      <c r="L22" s="1132" t="n"/>
      <c r="M22" s="1132" t="inlineStr">
        <is>
          <t>Automatic</t>
        </is>
      </c>
      <c r="N22" s="1231" t="n"/>
      <c r="O22" s="1344" t="n"/>
      <c r="P22" s="1343" t="n"/>
      <c r="Q22" s="1708" t="n"/>
      <c r="R22" s="1231" t="n"/>
    </row>
    <row r="23" ht="43.5" customHeight="1" s="1134">
      <c r="A23" s="1453" t="inlineStr">
        <is>
          <t>Sealing of strands from ring terminal</t>
        </is>
      </c>
      <c r="B23" s="1454" t="inlineStr">
        <is>
          <t>Cover crimped strands from a ring terminal with sealing to protect them against environment (when customer request)</t>
        </is>
      </c>
      <c r="C23" s="1454" t="inlineStr">
        <is>
          <t>Heat Gun</t>
        </is>
      </c>
      <c r="D23" s="1455" t="n"/>
      <c r="E23" s="1455" t="n"/>
      <c r="F23" s="1455" t="n"/>
      <c r="G23" s="1455" t="n"/>
      <c r="H23" s="1456" t="n">
        <v>65</v>
      </c>
      <c r="I23" s="1457" t="inlineStr">
        <is>
          <t>FA</t>
        </is>
      </c>
      <c r="J23" s="1458" t="n">
        <v>0</v>
      </c>
      <c r="K23" s="1459">
        <f>+J23*H23</f>
        <v/>
      </c>
      <c r="L23" s="1132" t="n"/>
      <c r="M23" s="1132" t="inlineStr">
        <is>
          <t>Manual</t>
        </is>
      </c>
      <c r="N23" s="1231" t="n"/>
      <c r="O23" s="1344" t="n"/>
      <c r="P23" s="1343" t="n"/>
      <c r="Q23" s="1708" t="n"/>
      <c r="R23" s="1231" t="n"/>
    </row>
    <row r="24" ht="30.75" customHeight="1" s="1134">
      <c r="A24" s="1460" t="n"/>
      <c r="B24" s="1461" t="n"/>
      <c r="C24" s="1461" t="n"/>
      <c r="D24" s="1319" t="n"/>
      <c r="E24" s="1319" t="n"/>
      <c r="F24" s="1319" t="n"/>
      <c r="G24" s="1319" t="n"/>
      <c r="H24" s="1462" t="n"/>
      <c r="I24" s="1463" t="n"/>
      <c r="J24" s="1429" t="n">
        <v>0</v>
      </c>
      <c r="K24" s="1430">
        <f>+J24*H24</f>
        <v/>
      </c>
      <c r="L24" s="1132" t="n"/>
      <c r="M24" s="1132" t="n"/>
      <c r="N24" s="1231" t="n"/>
      <c r="O24" s="1344" t="n"/>
      <c r="P24" s="1343" t="n"/>
      <c r="Q24" s="1708" t="n"/>
      <c r="R24" s="1231" t="n"/>
    </row>
    <row r="25" ht="18" customHeight="1" s="1134">
      <c r="A25" s="1464" t="inlineStr">
        <is>
          <t>HEAT SHRINK</t>
        </is>
      </c>
      <c r="B25" s="1465" t="inlineStr">
        <is>
          <t>antena  heat shrinking on metal terminal</t>
        </is>
      </c>
      <c r="C25" s="1466" t="n"/>
      <c r="D25" s="1437" t="n"/>
      <c r="E25" s="1437" t="n"/>
      <c r="F25" s="1437" t="n">
        <v>2</v>
      </c>
      <c r="G25" s="1437" t="n">
        <v>99999</v>
      </c>
      <c r="H25" s="1467" t="n">
        <v>20.74</v>
      </c>
      <c r="I25" s="1468" t="inlineStr">
        <is>
          <t>FA</t>
        </is>
      </c>
      <c r="J25" s="1469" t="n">
        <v>0</v>
      </c>
      <c r="K25" s="1470">
        <f>+J25*H25</f>
        <v/>
      </c>
      <c r="L25" s="1132" t="n"/>
      <c r="M25" s="1132" t="inlineStr">
        <is>
          <t>Manual</t>
        </is>
      </c>
      <c r="N25" s="1231" t="n"/>
      <c r="O25" s="1344" t="n"/>
      <c r="P25" s="1343" t="n"/>
      <c r="Q25" s="1708" t="n"/>
      <c r="R25" s="1231" t="n"/>
    </row>
    <row r="26" ht="25.5" customHeight="1" s="1134">
      <c r="A26" s="1396" t="inlineStr">
        <is>
          <t>HEAT SHRINK CD SLEEVE</t>
        </is>
      </c>
      <c r="B26" s="1397" t="inlineStr">
        <is>
          <t>shrinking sleeve with cadmium solder</t>
        </is>
      </c>
      <c r="C26" s="1397" t="inlineStr">
        <is>
          <t>Heat shrink Cd sleeve Station</t>
        </is>
      </c>
      <c r="D26" s="1399" t="n"/>
      <c r="E26" s="1399" t="n"/>
      <c r="F26" s="1399" t="n"/>
      <c r="G26" s="1399" t="n"/>
      <c r="H26" s="1400" t="n">
        <v>46.6</v>
      </c>
      <c r="I26" s="1401" t="inlineStr">
        <is>
          <t>FA</t>
        </is>
      </c>
      <c r="J26" s="1402" t="n">
        <v>0</v>
      </c>
      <c r="K26" s="1403">
        <f>+J26*H26</f>
        <v/>
      </c>
      <c r="L26" s="1132" t="n"/>
      <c r="M26" s="1132" t="inlineStr">
        <is>
          <t>Manual</t>
        </is>
      </c>
      <c r="N26" s="1231" t="n"/>
      <c r="O26" s="1344" t="n"/>
      <c r="P26" s="1343" t="n"/>
      <c r="Q26" s="1708" t="n"/>
      <c r="R26" s="1231" t="n"/>
    </row>
    <row r="27" ht="24.75" customHeight="1" s="1134">
      <c r="A27" s="1396" t="inlineStr">
        <is>
          <t>HEAT SHRINK GROMMET</t>
        </is>
      </c>
      <c r="B27" s="1397" t="inlineStr">
        <is>
          <t>shrink grommet over a harness branch</t>
        </is>
      </c>
      <c r="C27" s="1397" t="inlineStr">
        <is>
          <t>Heat shrink grommet Station</t>
        </is>
      </c>
      <c r="D27" s="1399" t="n"/>
      <c r="E27" s="1399" t="n"/>
      <c r="F27" s="1399" t="n"/>
      <c r="G27" s="1399" t="n"/>
      <c r="H27" s="1400" t="n">
        <v>69.81999999999999</v>
      </c>
      <c r="I27" s="1401" t="inlineStr">
        <is>
          <t>FA</t>
        </is>
      </c>
      <c r="J27" s="1402" t="n">
        <v>0</v>
      </c>
      <c r="K27" s="1403">
        <f>+J27*H27</f>
        <v/>
      </c>
      <c r="L27" s="1132" t="n"/>
      <c r="M27" s="1132" t="inlineStr">
        <is>
          <t>Automatic</t>
        </is>
      </c>
      <c r="N27" s="1231" t="n"/>
      <c r="O27" s="1344" t="n"/>
      <c r="P27" s="1343" t="n"/>
      <c r="Q27" s="1708" t="n"/>
      <c r="R27" s="1231" t="n"/>
    </row>
    <row r="28" ht="24" customHeight="1" s="1134">
      <c r="A28" s="1396" t="inlineStr">
        <is>
          <t>HEAT SHRINK TUBE END</t>
        </is>
      </c>
      <c r="B28" s="1397" t="inlineStr">
        <is>
          <t>Apply heat to seal the Watter tube end</t>
        </is>
      </c>
      <c r="C28" s="1397" t="inlineStr">
        <is>
          <t>Heat shrink tube end Station</t>
        </is>
      </c>
      <c r="D28" s="1399" t="n"/>
      <c r="E28" s="1399" t="n"/>
      <c r="F28" s="1399" t="n"/>
      <c r="G28" s="1399" t="n"/>
      <c r="H28" s="1400" t="n">
        <v>4.07</v>
      </c>
      <c r="I28" s="1401" t="inlineStr">
        <is>
          <t>FA</t>
        </is>
      </c>
      <c r="J28" s="1402" t="n">
        <v>0</v>
      </c>
      <c r="K28" s="1403">
        <f>+J28*H28</f>
        <v/>
      </c>
      <c r="L28" s="1132" t="n"/>
      <c r="M28" s="1132" t="inlineStr">
        <is>
          <t>Manual</t>
        </is>
      </c>
      <c r="N28" s="1231" t="n"/>
      <c r="O28" s="1344" t="n"/>
      <c r="P28" s="1343" t="n"/>
      <c r="Q28" s="1708" t="n"/>
      <c r="R28" s="1231" t="n"/>
    </row>
    <row r="29" ht="20.25" customHeight="1" s="1134">
      <c r="A29" s="1396" t="inlineStr">
        <is>
          <t>COLD MELT / BUTYL</t>
        </is>
      </c>
      <c r="B29" s="1397" t="inlineStr">
        <is>
          <t>Get and apply Coldmelt / Butyl Strips - press each piece with a plier/press - PER PIECE</t>
        </is>
      </c>
      <c r="C29" s="1397" t="inlineStr">
        <is>
          <t>Use press for more than 5 strips
If press is not used, pliers must be use always</t>
        </is>
      </c>
      <c r="D29" s="1399" t="inlineStr">
        <is>
          <t>up to 4 pcs</t>
        </is>
      </c>
      <c r="E29" s="1399" t="n"/>
      <c r="F29" s="1399" t="n"/>
      <c r="G29" s="1399" t="n"/>
      <c r="H29" s="1400" t="n">
        <v>33.02</v>
      </c>
      <c r="I29" s="1401" t="inlineStr">
        <is>
          <t>FA</t>
        </is>
      </c>
      <c r="J29" s="1402" t="n">
        <v>0</v>
      </c>
      <c r="K29" s="1403">
        <f>+J29*H29</f>
        <v/>
      </c>
      <c r="L29" s="1231" t="n"/>
      <c r="M29" s="1231" t="inlineStr">
        <is>
          <t>Manual</t>
        </is>
      </c>
      <c r="N29" s="1231" t="n"/>
      <c r="O29" s="1344" t="n"/>
      <c r="P29" s="1407" t="n"/>
      <c r="Q29" s="1344" t="n"/>
      <c r="R29" s="1231" t="n"/>
    </row>
    <row r="30" ht="19.5" customHeight="1" s="1134">
      <c r="A30" s="1232" t="n"/>
      <c r="B30" s="1233" t="n"/>
      <c r="C30" s="1233" t="n"/>
      <c r="D30" s="1399" t="inlineStr">
        <is>
          <t>5 to 9 pcs</t>
        </is>
      </c>
      <c r="E30" s="1399" t="n"/>
      <c r="F30" s="1399" t="n"/>
      <c r="G30" s="1399" t="n"/>
      <c r="H30" s="1400" t="n">
        <v>49.53</v>
      </c>
      <c r="I30" s="1401" t="inlineStr">
        <is>
          <t>FA</t>
        </is>
      </c>
      <c r="J30" s="1402" t="n">
        <v>0</v>
      </c>
      <c r="K30" s="1403">
        <f>+J30*H30</f>
        <v/>
      </c>
      <c r="L30" s="1231" t="n"/>
      <c r="M30" s="1231" t="inlineStr">
        <is>
          <t>Manual</t>
        </is>
      </c>
      <c r="N30" s="1231" t="n"/>
      <c r="O30" s="1344" t="n"/>
      <c r="P30" s="1407" t="n"/>
      <c r="Q30" s="1344" t="n"/>
      <c r="R30" s="1231" t="n"/>
    </row>
    <row r="31" ht="17.25" customHeight="1" s="1134">
      <c r="A31" s="1232" t="n"/>
      <c r="B31" s="1406" t="n"/>
      <c r="C31" s="1406" t="n"/>
      <c r="D31" s="1399" t="inlineStr">
        <is>
          <t>10 or more pcs</t>
        </is>
      </c>
      <c r="E31" s="1399" t="n"/>
      <c r="F31" s="1399" t="n"/>
      <c r="G31" s="1399" t="n"/>
      <c r="H31" s="1400" t="n">
        <v>66.04000000000001</v>
      </c>
      <c r="I31" s="1401" t="inlineStr">
        <is>
          <t>FA</t>
        </is>
      </c>
      <c r="J31" s="1402" t="n">
        <v>0</v>
      </c>
      <c r="K31" s="1403">
        <f>+J31*H31</f>
        <v/>
      </c>
      <c r="L31" s="1231" t="n"/>
      <c r="M31" s="1231" t="inlineStr">
        <is>
          <t>Manual</t>
        </is>
      </c>
      <c r="N31" s="1231" t="n"/>
      <c r="O31" s="1344" t="n"/>
      <c r="P31" s="1407" t="n"/>
      <c r="Q31" s="1344" t="n"/>
      <c r="R31" s="1231" t="n"/>
    </row>
    <row r="32" ht="26.25" customHeight="1" s="1134">
      <c r="A32" s="1232" t="n"/>
      <c r="B32" s="1471" t="inlineStr">
        <is>
          <t>Form the Coldmelt and position sleeve</t>
        </is>
      </c>
      <c r="C32" s="1397" t="inlineStr">
        <is>
          <t>Manual work</t>
        </is>
      </c>
      <c r="D32" s="1399" t="n"/>
      <c r="E32" s="1399" t="n"/>
      <c r="F32" s="1399" t="n"/>
      <c r="G32" s="1399" t="n"/>
      <c r="H32" s="1400" t="n">
        <v>28.67</v>
      </c>
      <c r="I32" s="1401" t="inlineStr">
        <is>
          <t>FA</t>
        </is>
      </c>
      <c r="J32" s="1402" t="n">
        <v>0</v>
      </c>
      <c r="K32" s="1403">
        <f>+J32*H32</f>
        <v/>
      </c>
      <c r="L32" s="1231" t="n"/>
      <c r="M32" s="1231" t="inlineStr">
        <is>
          <t>Manual</t>
        </is>
      </c>
      <c r="N32" s="1231" t="n"/>
      <c r="O32" s="1344" t="n"/>
      <c r="P32" s="1343" t="n"/>
      <c r="Q32" s="1708" t="n"/>
      <c r="R32" s="1231" t="n"/>
    </row>
    <row r="33" ht="18" customHeight="1" s="1134">
      <c r="A33" s="1232" t="n"/>
      <c r="B33" s="1397" t="inlineStr">
        <is>
          <t>Shrinking of the tube over sealing branch
Load/Cycle/Unload</t>
        </is>
      </c>
      <c r="C33" s="1397" t="inlineStr">
        <is>
          <t xml:space="preserve">DSG Canusa Sealman 70
</t>
        </is>
      </c>
      <c r="D33" s="1399" t="inlineStr">
        <is>
          <t>3 to 4 pcs</t>
        </is>
      </c>
      <c r="E33" s="1399" t="n"/>
      <c r="F33" s="1399" t="n"/>
      <c r="G33" s="1399" t="n"/>
      <c r="H33" s="1400" t="n">
        <v>72</v>
      </c>
      <c r="I33" s="1401" t="inlineStr">
        <is>
          <t>FA</t>
        </is>
      </c>
      <c r="J33" s="1402" t="n">
        <v>0</v>
      </c>
      <c r="K33" s="1403">
        <f>+J33*H33</f>
        <v/>
      </c>
      <c r="L33" s="1231" t="n"/>
      <c r="M33" s="1231" t="inlineStr">
        <is>
          <t>Manual</t>
        </is>
      </c>
      <c r="N33" s="1231" t="n"/>
      <c r="O33" s="1344" t="n"/>
      <c r="P33" s="1343" t="n"/>
      <c r="Q33" s="1708" t="n"/>
      <c r="R33" s="1231" t="n"/>
    </row>
    <row r="34" ht="18" customHeight="1" s="1134">
      <c r="A34" s="1232" t="n"/>
      <c r="B34" s="1233" t="n"/>
      <c r="C34" s="1233" t="n"/>
      <c r="D34" s="1399" t="inlineStr">
        <is>
          <t>5 to 9 pcs</t>
        </is>
      </c>
      <c r="E34" s="1399" t="n"/>
      <c r="F34" s="1399" t="n"/>
      <c r="G34" s="1399" t="n"/>
      <c r="H34" s="1400" t="n">
        <v>187</v>
      </c>
      <c r="I34" s="1401" t="inlineStr">
        <is>
          <t>FA</t>
        </is>
      </c>
      <c r="J34" s="1402" t="n">
        <v>0</v>
      </c>
      <c r="K34" s="1403">
        <f>+J34*H34</f>
        <v/>
      </c>
      <c r="L34" s="1231" t="n"/>
      <c r="M34" s="1231" t="inlineStr">
        <is>
          <t>Manual</t>
        </is>
      </c>
      <c r="N34" s="1231" t="n"/>
      <c r="O34" s="1344" t="n"/>
      <c r="P34" s="1343" t="n"/>
      <c r="Q34" s="1708" t="n"/>
      <c r="R34" s="1231" t="n"/>
    </row>
    <row r="35" ht="18" customHeight="1" s="1134">
      <c r="A35" s="1405" t="n"/>
      <c r="B35" s="1406" t="n"/>
      <c r="C35" s="1406" t="n"/>
      <c r="D35" s="1399" t="inlineStr">
        <is>
          <t>10 or more pcs</t>
        </is>
      </c>
      <c r="E35" s="1399" t="n"/>
      <c r="F35" s="1399" t="n"/>
      <c r="G35" s="1399" t="n"/>
      <c r="H35" s="1400" t="n">
        <v>225</v>
      </c>
      <c r="I35" s="1401" t="inlineStr">
        <is>
          <t>FA</t>
        </is>
      </c>
      <c r="J35" s="1402" t="n">
        <v>0</v>
      </c>
      <c r="K35" s="1403">
        <f>+J35*H35</f>
        <v/>
      </c>
      <c r="L35" s="1231" t="n"/>
      <c r="M35" s="1231" t="inlineStr">
        <is>
          <t>Manual</t>
        </is>
      </c>
      <c r="N35" s="1231" t="n"/>
      <c r="O35" s="1344" t="n"/>
      <c r="P35" s="1343" t="n"/>
      <c r="Q35" s="1708" t="n"/>
      <c r="R35" s="1231" t="n"/>
    </row>
    <row r="36" ht="18" customHeight="1" s="1134">
      <c r="A36" s="1472" t="inlineStr">
        <is>
          <t xml:space="preserve">TEROSTAT PREPARATION </t>
        </is>
      </c>
      <c r="B36" s="1473" t="inlineStr">
        <is>
          <t>terostat preparation (including weight)</t>
        </is>
      </c>
      <c r="C36" s="1473" t="n"/>
      <c r="D36" s="1474" t="inlineStr">
        <is>
          <t xml:space="preserve">Portion weighted and ready to use </t>
        </is>
      </c>
      <c r="E36" s="1475" t="n"/>
      <c r="F36" s="1475" t="n"/>
      <c r="G36" s="1475" t="n"/>
      <c r="H36" s="1476" t="n">
        <v>9.039999999999999</v>
      </c>
      <c r="I36" s="1401" t="inlineStr">
        <is>
          <t>FA</t>
        </is>
      </c>
      <c r="J36" s="1469" t="n">
        <v>0</v>
      </c>
      <c r="K36" s="1477">
        <f>+J36*H36</f>
        <v/>
      </c>
      <c r="L36" s="1231" t="n"/>
      <c r="M36" s="1231" t="n"/>
      <c r="N36" s="1231" t="n"/>
      <c r="O36" s="1344" t="n"/>
      <c r="P36" s="1343" t="n"/>
      <c r="Q36" s="1708" t="n"/>
      <c r="R36" s="1231" t="n"/>
    </row>
    <row r="37" ht="24" customHeight="1" s="1134">
      <c r="A37" s="1232" t="n"/>
      <c r="B37" s="1473" t="inlineStr">
        <is>
          <t xml:space="preserve">Slice terostat when provided in  block (if applies) AP REGION ONLY </t>
        </is>
      </c>
      <c r="C37" s="1473" t="inlineStr">
        <is>
          <t xml:space="preserve">Gilotinue </t>
        </is>
      </c>
      <c r="D37" s="1478" t="n"/>
      <c r="E37" s="1475" t="n"/>
      <c r="F37" s="1475" t="n"/>
      <c r="G37" s="1475" t="n"/>
      <c r="H37" s="1476" t="n">
        <v>6.916</v>
      </c>
      <c r="I37" s="1401" t="inlineStr">
        <is>
          <t>FA</t>
        </is>
      </c>
      <c r="J37" s="1469" t="n">
        <v>0</v>
      </c>
      <c r="K37" s="1477">
        <f>+J37*H37</f>
        <v/>
      </c>
      <c r="L37" s="1231" t="n"/>
      <c r="M37" s="1231" t="n"/>
      <c r="N37" s="1231" t="n"/>
      <c r="O37" s="1344" t="n"/>
      <c r="P37" s="1343" t="n"/>
      <c r="Q37" s="1708" t="n"/>
      <c r="R37" s="1231" t="n"/>
    </row>
    <row r="38" ht="29.25" customHeight="1" s="1134">
      <c r="A38" s="1236" t="n"/>
      <c r="B38" s="1473" t="inlineStr">
        <is>
          <t>Remove protection and make portion of terostat flat (if applies) AP REGION ONLY</t>
        </is>
      </c>
      <c r="C38" s="1473" t="inlineStr">
        <is>
          <t>Manual work</t>
        </is>
      </c>
      <c r="D38" s="1478" t="n"/>
      <c r="E38" s="1475" t="n"/>
      <c r="F38" s="1475" t="n"/>
      <c r="G38" s="1475" t="n"/>
      <c r="H38" s="1476" t="n">
        <v>11.78</v>
      </c>
      <c r="I38" s="1468" t="inlineStr">
        <is>
          <t>FA</t>
        </is>
      </c>
      <c r="J38" s="1469" t="n">
        <v>0</v>
      </c>
      <c r="K38" s="1477">
        <f>+J38*H38</f>
        <v/>
      </c>
      <c r="L38" s="1231" t="n"/>
      <c r="M38" s="1231" t="n"/>
      <c r="N38" s="1231" t="n"/>
      <c r="O38" s="1344" t="n"/>
      <c r="P38" s="1343" t="n"/>
      <c r="Q38" s="1708" t="n"/>
      <c r="R38" s="1231" t="n"/>
    </row>
    <row r="39" ht="53.25" customFormat="1" customHeight="1" s="1391">
      <c r="A39" s="1216" t="inlineStr">
        <is>
          <t>BATTERIES</t>
        </is>
      </c>
      <c r="B39" s="1217" t="inlineStr">
        <is>
          <t>COMMENTS</t>
        </is>
      </c>
      <c r="C39" s="1217" t="inlineStr">
        <is>
          <t>Machine</t>
        </is>
      </c>
      <c r="D39" s="1217" t="inlineStr">
        <is>
          <t xml:space="preserve"> Special Component</t>
        </is>
      </c>
      <c r="E39" s="1217" t="n"/>
      <c r="F39" s="1217" t="n"/>
      <c r="G39" s="1217" t="n"/>
      <c r="H39" s="1392" t="inlineStr">
        <is>
          <t>Global Sec/ Pc</t>
        </is>
      </c>
      <c r="I39" s="1479" t="inlineStr">
        <is>
          <t>Location
LP/FA</t>
        </is>
      </c>
      <c r="J39" s="1432" t="n">
        <v>0</v>
      </c>
      <c r="K39" s="1393" t="inlineStr">
        <is>
          <t>Total</t>
        </is>
      </c>
      <c r="L39" s="1391" t="n"/>
      <c r="M39" s="1391" t="n"/>
      <c r="N39" s="1231" t="n"/>
      <c r="O39" s="1344" t="n"/>
      <c r="P39" s="1343" t="n"/>
      <c r="Q39" s="1708" t="n"/>
      <c r="R39" s="1231" t="n"/>
    </row>
    <row r="40" ht="22.5" customHeight="1" s="1134">
      <c r="A40" s="1480" t="inlineStr">
        <is>
          <t>BATTERY COVER</t>
        </is>
      </c>
      <c r="B40" s="1481" t="inlineStr">
        <is>
          <t>battery cover</t>
        </is>
      </c>
      <c r="C40" s="1482" t="inlineStr">
        <is>
          <t>batt cover &amp; Bolt Station</t>
        </is>
      </c>
      <c r="D40" s="1399" t="n"/>
      <c r="E40" s="1399" t="n"/>
      <c r="F40" s="1399" t="n"/>
      <c r="G40" s="1399" t="n"/>
      <c r="H40" s="1400" t="n">
        <v>6</v>
      </c>
      <c r="I40" s="1401" t="inlineStr">
        <is>
          <t>FA</t>
        </is>
      </c>
      <c r="J40" s="1402" t="n">
        <v>0</v>
      </c>
      <c r="K40" s="1403">
        <f>+J40*H40</f>
        <v/>
      </c>
      <c r="L40" s="1231" t="n"/>
      <c r="M40" s="1231" t="inlineStr">
        <is>
          <t>Automatic</t>
        </is>
      </c>
      <c r="N40" s="1231" t="n"/>
      <c r="O40" s="1344" t="n"/>
      <c r="P40" s="1343" t="n"/>
      <c r="Q40" s="1708" t="n"/>
      <c r="R40" s="1231" t="n"/>
    </row>
    <row r="41" ht="22.5" customHeight="1" s="1134">
      <c r="A41" s="1480" t="inlineStr">
        <is>
          <t>BATTERY COVER &amp; BOLT</t>
        </is>
      </c>
      <c r="B41" s="1481" t="inlineStr">
        <is>
          <t>battery cover &amp; bolt</t>
        </is>
      </c>
      <c r="C41" s="1482" t="inlineStr">
        <is>
          <t>batt cover &amp; bolt Station</t>
        </is>
      </c>
      <c r="D41" s="1399" t="n"/>
      <c r="E41" s="1399" t="n"/>
      <c r="F41" s="1399" t="n"/>
      <c r="G41" s="1399" t="n"/>
      <c r="H41" s="1400" t="n">
        <v>10</v>
      </c>
      <c r="I41" s="1401" t="inlineStr">
        <is>
          <t>FA</t>
        </is>
      </c>
      <c r="J41" s="1402" t="n">
        <v>0</v>
      </c>
      <c r="K41" s="1403">
        <f>+J41*H41</f>
        <v/>
      </c>
      <c r="L41" s="1231" t="n"/>
      <c r="M41" s="1231" t="inlineStr">
        <is>
          <t>Automatic</t>
        </is>
      </c>
      <c r="N41" s="1231" t="n"/>
      <c r="O41" s="1344" t="n"/>
      <c r="P41" s="1343" t="n"/>
      <c r="Q41" s="1708" t="n"/>
      <c r="R41" s="1231" t="n"/>
    </row>
    <row r="42" ht="22.5" customFormat="1" customHeight="1" s="1132">
      <c r="A42" s="1480" t="inlineStr">
        <is>
          <t>APPLY BOOT</t>
        </is>
      </c>
      <c r="B42" s="1481" t="inlineStr">
        <is>
          <t>apply boot over terminal</t>
        </is>
      </c>
      <c r="C42" s="1482" t="inlineStr">
        <is>
          <t>Grommet Spreader (2 bill)</t>
        </is>
      </c>
      <c r="D42" s="1399" t="n"/>
      <c r="E42" s="1399" t="n"/>
      <c r="F42" s="1399" t="n"/>
      <c r="G42" s="1399" t="n"/>
      <c r="H42" s="1400" t="n">
        <v>6.9</v>
      </c>
      <c r="I42" s="1401" t="inlineStr">
        <is>
          <t>FA</t>
        </is>
      </c>
      <c r="J42" s="1402" t="n">
        <v>0</v>
      </c>
      <c r="K42" s="1403">
        <f>+J42*H42</f>
        <v/>
      </c>
      <c r="L42" s="1231" t="n"/>
      <c r="M42" s="1231" t="inlineStr">
        <is>
          <t>Automatic</t>
        </is>
      </c>
      <c r="N42" s="1231" t="n"/>
      <c r="O42" s="1344" t="n"/>
      <c r="P42" s="1343" t="n"/>
      <c r="Q42" s="1708" t="n"/>
      <c r="R42" s="1231" t="n"/>
    </row>
    <row r="43" ht="22.5" customHeight="1" s="1134">
      <c r="A43" s="1483" t="inlineStr">
        <is>
          <t>BOLT INTO BATTERY TERM</t>
        </is>
      </c>
      <c r="B43" s="1481" t="inlineStr">
        <is>
          <t>bolt into battery term</t>
        </is>
      </c>
      <c r="C43" s="1482" t="inlineStr">
        <is>
          <t>batt cover &amp; Bolt Station</t>
        </is>
      </c>
      <c r="D43" s="1399" t="n">
        <v>12066325</v>
      </c>
      <c r="E43" s="1399" t="n"/>
      <c r="F43" s="1399" t="n"/>
      <c r="G43" s="1399" t="n"/>
      <c r="H43" s="1400" t="n">
        <v>14.8</v>
      </c>
      <c r="I43" s="1401" t="inlineStr">
        <is>
          <t>FA</t>
        </is>
      </c>
      <c r="J43" s="1402" t="n">
        <v>0</v>
      </c>
      <c r="K43" s="1403">
        <f>+J43*H43</f>
        <v/>
      </c>
      <c r="L43" s="1231" t="n"/>
      <c r="M43" s="1231" t="inlineStr">
        <is>
          <t>Automatic</t>
        </is>
      </c>
      <c r="N43" s="1231" t="n"/>
      <c r="O43" s="1344" t="n"/>
      <c r="P43" s="1343" t="n"/>
      <c r="Q43" s="1708" t="n"/>
      <c r="R43" s="1231" t="n"/>
    </row>
    <row r="44" ht="22.5" customHeight="1" s="1134">
      <c r="A44" s="1232" t="n"/>
      <c r="B44" s="1481" t="inlineStr">
        <is>
          <t>bolt into battery term</t>
        </is>
      </c>
      <c r="C44" s="1482" t="inlineStr">
        <is>
          <t>batt cover &amp; Bolt Station</t>
        </is>
      </c>
      <c r="D44" s="1399" t="n">
        <v>12092218</v>
      </c>
      <c r="E44" s="1399" t="n"/>
      <c r="F44" s="1399" t="n"/>
      <c r="G44" s="1399" t="n"/>
      <c r="H44" s="1400" t="n">
        <v>14.8</v>
      </c>
      <c r="I44" s="1401" t="inlineStr">
        <is>
          <t>FA</t>
        </is>
      </c>
      <c r="J44" s="1402" t="n">
        <v>0</v>
      </c>
      <c r="K44" s="1403">
        <f>+J44*H44</f>
        <v/>
      </c>
      <c r="L44" s="1231" t="n"/>
      <c r="M44" s="1231" t="inlineStr">
        <is>
          <t>Automatic</t>
        </is>
      </c>
      <c r="N44" s="1231" t="n"/>
      <c r="O44" s="1344" t="n"/>
      <c r="P44" s="1343" t="n"/>
      <c r="Q44" s="1708" t="n"/>
      <c r="R44" s="1231" t="n"/>
    </row>
    <row r="45" ht="22.5" customHeight="1" s="1134">
      <c r="A45" s="1405" t="n"/>
      <c r="B45" s="1481" t="inlineStr">
        <is>
          <t>bolt into battery term</t>
        </is>
      </c>
      <c r="C45" s="1482" t="inlineStr">
        <is>
          <t>batt cover &amp; Bolt Station</t>
        </is>
      </c>
      <c r="D45" s="1399" t="n"/>
      <c r="E45" s="1399" t="n"/>
      <c r="F45" s="1399" t="n"/>
      <c r="G45" s="1399" t="n"/>
      <c r="H45" s="1400" t="n">
        <v>5.8</v>
      </c>
      <c r="I45" s="1401" t="inlineStr">
        <is>
          <t>FA</t>
        </is>
      </c>
      <c r="J45" s="1402" t="n">
        <v>0</v>
      </c>
      <c r="K45" s="1403">
        <f>+J45*H45</f>
        <v/>
      </c>
      <c r="L45" s="1231" t="n"/>
      <c r="M45" s="1231" t="inlineStr">
        <is>
          <t>Automatic</t>
        </is>
      </c>
      <c r="N45" s="1231" t="n"/>
      <c r="O45" s="1344" t="n"/>
      <c r="P45" s="1343" t="n"/>
      <c r="Q45" s="1708" t="n"/>
      <c r="R45" s="1231" t="n"/>
    </row>
    <row r="46" ht="22.5" customHeight="1" s="1134">
      <c r="A46" s="1484" t="n"/>
      <c r="B46" s="1485" t="n"/>
      <c r="C46" s="1423" t="n"/>
      <c r="D46" s="1317" t="n"/>
      <c r="E46" s="1317" t="n"/>
      <c r="F46" s="1317" t="n"/>
      <c r="G46" s="1317" t="n"/>
      <c r="H46" s="1400" t="n"/>
      <c r="I46" s="1401" t="n"/>
      <c r="J46" s="1402" t="n">
        <v>0</v>
      </c>
      <c r="K46" s="1403">
        <f>+J46*H46</f>
        <v/>
      </c>
      <c r="L46" s="1231" t="n"/>
      <c r="M46" s="1231" t="inlineStr">
        <is>
          <t>Automatic</t>
        </is>
      </c>
      <c r="N46" s="1231" t="n"/>
      <c r="O46" s="1344" t="n"/>
      <c r="P46" s="1343" t="n"/>
      <c r="Q46" s="1708" t="n"/>
      <c r="R46" s="1231" t="n"/>
    </row>
    <row r="47" ht="22.5" customHeight="1" s="1134">
      <c r="A47" s="1484" t="n"/>
      <c r="B47" s="1485" t="n"/>
      <c r="C47" s="1423" t="n"/>
      <c r="D47" s="1317" t="n"/>
      <c r="E47" s="1317" t="n"/>
      <c r="F47" s="1317" t="n"/>
      <c r="G47" s="1317" t="n"/>
      <c r="H47" s="1486" t="n"/>
      <c r="I47" s="1401" t="n"/>
      <c r="J47" s="1402" t="n">
        <v>0</v>
      </c>
      <c r="K47" s="1403">
        <f>+J47*H47</f>
        <v/>
      </c>
      <c r="N47" s="1231" t="n"/>
      <c r="O47" s="1344" t="n"/>
      <c r="P47" s="1343" t="n"/>
      <c r="Q47" s="1708" t="n"/>
      <c r="R47" s="1231" t="n"/>
    </row>
    <row r="48" ht="22.5" customHeight="1" s="1134">
      <c r="A48" s="1425" t="n"/>
      <c r="B48" s="1426" t="n"/>
      <c r="C48" s="1319" t="n"/>
      <c r="D48" s="1319" t="n"/>
      <c r="E48" s="1319" t="n"/>
      <c r="F48" s="1319" t="n"/>
      <c r="G48" s="1319" t="n"/>
      <c r="H48" s="1463" t="n"/>
      <c r="I48" s="1463" t="n"/>
      <c r="J48" s="1429" t="n">
        <v>0</v>
      </c>
      <c r="K48" s="1430" t="n"/>
      <c r="N48" s="1231" t="n"/>
      <c r="O48" s="1344" t="n"/>
      <c r="P48" s="1343" t="n"/>
      <c r="Q48" s="1708" t="n"/>
      <c r="R48" s="1231" t="n"/>
    </row>
    <row r="49" ht="53.25" customFormat="1" customHeight="1" s="1391">
      <c r="A49" s="1216" t="inlineStr">
        <is>
          <t>CUT BRAIDED SLEEVE  (HOT GUILLOTINE)</t>
        </is>
      </c>
      <c r="B49" s="1217" t="inlineStr">
        <is>
          <t>COMMENTS</t>
        </is>
      </c>
      <c r="C49" s="1217" t="inlineStr">
        <is>
          <t>Machine Vendor</t>
        </is>
      </c>
      <c r="D49" s="1217" t="n"/>
      <c r="E49" s="1217" t="n"/>
      <c r="F49" s="1217" t="inlineStr">
        <is>
          <t>Min Length</t>
        </is>
      </c>
      <c r="G49" s="1217" t="inlineStr">
        <is>
          <t>Max Length</t>
        </is>
      </c>
      <c r="H49" s="1392" t="inlineStr">
        <is>
          <t>Global Sec/ Pc</t>
        </is>
      </c>
      <c r="I49" s="1479" t="inlineStr">
        <is>
          <t>Location
LP/FA</t>
        </is>
      </c>
      <c r="J49" s="1432" t="n">
        <v>0</v>
      </c>
      <c r="K49" s="1393" t="inlineStr">
        <is>
          <t>Total</t>
        </is>
      </c>
      <c r="N49" s="1231" t="n"/>
      <c r="O49" s="1344" t="n"/>
      <c r="P49" s="1343" t="n"/>
      <c r="Q49" s="1708" t="n"/>
      <c r="R49" s="1231" t="n"/>
    </row>
    <row r="50" ht="27" customHeight="1" s="1134">
      <c r="A50" s="1487" t="inlineStr">
        <is>
          <t xml:space="preserve">CUT BRAIDED SLEEVE </t>
        </is>
      </c>
      <c r="B50" s="1488" t="inlineStr">
        <is>
          <t>Cut sleeve with hot guillotine</t>
        </is>
      </c>
      <c r="C50" s="1489" t="inlineStr">
        <is>
          <t>Guillotine</t>
        </is>
      </c>
      <c r="D50" s="1234" t="n"/>
      <c r="E50" s="1399" t="n"/>
      <c r="F50" s="1399" t="n">
        <v>0</v>
      </c>
      <c r="G50" s="1399" t="n">
        <v>100</v>
      </c>
      <c r="H50" s="1400" t="n">
        <v>2.973</v>
      </c>
      <c r="I50" s="1401" t="inlineStr">
        <is>
          <t>FA</t>
        </is>
      </c>
      <c r="J50" s="1402" t="n">
        <v>0</v>
      </c>
      <c r="K50" s="1403">
        <f>+J50*H50</f>
        <v/>
      </c>
      <c r="M50" s="1132" t="inlineStr">
        <is>
          <t>Automatic</t>
        </is>
      </c>
      <c r="N50" s="1231" t="n"/>
      <c r="O50" s="1344" t="n"/>
      <c r="P50" s="1343" t="n"/>
      <c r="Q50" s="1708" t="n"/>
      <c r="R50" s="1231" t="n"/>
    </row>
    <row r="51" ht="18" customHeight="1" s="1134">
      <c r="A51" s="1232" t="n"/>
      <c r="B51" s="1233" t="n"/>
      <c r="C51" s="1233" t="n"/>
      <c r="D51" s="1399" t="n"/>
      <c r="E51" s="1399" t="n"/>
      <c r="F51" s="1399" t="n">
        <v>101</v>
      </c>
      <c r="G51" s="1399" t="n">
        <v>200</v>
      </c>
      <c r="H51" s="1400" t="n">
        <v>3.05</v>
      </c>
      <c r="I51" s="1401" t="inlineStr">
        <is>
          <t>FA</t>
        </is>
      </c>
      <c r="J51" s="1402" t="n">
        <v>0</v>
      </c>
      <c r="K51" s="1403">
        <f>+J51*H51</f>
        <v/>
      </c>
      <c r="M51" s="1132" t="inlineStr">
        <is>
          <t>Automatic</t>
        </is>
      </c>
      <c r="N51" s="1231" t="n"/>
      <c r="O51" s="1344" t="n"/>
      <c r="P51" s="1343" t="n"/>
      <c r="Q51" s="1708" t="n"/>
      <c r="R51" s="1231" t="n"/>
    </row>
    <row r="52" ht="18" customHeight="1" s="1134">
      <c r="A52" s="1232" t="n"/>
      <c r="B52" s="1233" t="n"/>
      <c r="C52" s="1233" t="n"/>
      <c r="D52" s="1399" t="n"/>
      <c r="E52" s="1399" t="n"/>
      <c r="F52" s="1399" t="n">
        <v>201</v>
      </c>
      <c r="G52" s="1399" t="n">
        <v>300</v>
      </c>
      <c r="H52" s="1400" t="n">
        <v>3.1</v>
      </c>
      <c r="I52" s="1401" t="inlineStr">
        <is>
          <t>FA</t>
        </is>
      </c>
      <c r="J52" s="1402" t="n">
        <v>0</v>
      </c>
      <c r="K52" s="1403">
        <f>+J52*H52</f>
        <v/>
      </c>
      <c r="M52" s="1132" t="inlineStr">
        <is>
          <t>Automatic</t>
        </is>
      </c>
      <c r="N52" s="1231" t="n"/>
      <c r="O52" s="1344" t="n"/>
      <c r="P52" s="1343" t="n"/>
      <c r="Q52" s="1708" t="n"/>
      <c r="R52" s="1231" t="n"/>
    </row>
    <row r="53" ht="28.5" customHeight="1" s="1134">
      <c r="A53" s="1232" t="n"/>
      <c r="B53" s="1233" t="n"/>
      <c r="C53" s="1233" t="n"/>
      <c r="D53" s="1399" t="n"/>
      <c r="E53" s="1399" t="n"/>
      <c r="F53" s="1399" t="n">
        <v>301</v>
      </c>
      <c r="G53" s="1399" t="n">
        <v>400</v>
      </c>
      <c r="H53" s="1400" t="n">
        <v>3.31</v>
      </c>
      <c r="I53" s="1401" t="inlineStr">
        <is>
          <t>FA</t>
        </is>
      </c>
      <c r="J53" s="1402" t="n">
        <v>0</v>
      </c>
      <c r="K53" s="1403">
        <f>+J53*H53</f>
        <v/>
      </c>
      <c r="M53" s="1132" t="inlineStr">
        <is>
          <t>Automatic</t>
        </is>
      </c>
      <c r="N53" s="1231" t="n"/>
      <c r="O53" s="1344" t="n"/>
      <c r="P53" s="1343" t="n"/>
      <c r="Q53" s="1708" t="n"/>
      <c r="R53" s="1231" t="n"/>
    </row>
    <row r="54" ht="28.5" customHeight="1" s="1134">
      <c r="A54" s="1232" t="n"/>
      <c r="B54" s="1233" t="n"/>
      <c r="C54" s="1233" t="n"/>
      <c r="D54" s="1317" t="n"/>
      <c r="E54" s="1317" t="n"/>
      <c r="F54" s="1317" t="n">
        <v>401</v>
      </c>
      <c r="G54" s="1317" t="n">
        <v>500</v>
      </c>
      <c r="H54" s="1420" t="n">
        <v>3.569</v>
      </c>
      <c r="I54" s="1401" t="inlineStr">
        <is>
          <t>FA</t>
        </is>
      </c>
      <c r="J54" s="1439" t="n">
        <v>0</v>
      </c>
      <c r="K54" s="1403">
        <f>+J54*H54</f>
        <v/>
      </c>
      <c r="M54" s="1132" t="inlineStr">
        <is>
          <t>Automatic</t>
        </is>
      </c>
      <c r="N54" s="1231" t="n"/>
      <c r="O54" s="1344" t="n"/>
      <c r="P54" s="1343" t="n"/>
      <c r="Q54" s="1708" t="n"/>
      <c r="R54" s="1231" t="n"/>
    </row>
    <row r="55" ht="28.5" customHeight="1" s="1134">
      <c r="A55" s="1232" t="n"/>
      <c r="B55" s="1233" t="n"/>
      <c r="C55" s="1233" t="n"/>
      <c r="D55" s="1317" t="n"/>
      <c r="E55" s="1317" t="n"/>
      <c r="F55" s="1317" t="n">
        <v>501</v>
      </c>
      <c r="G55" s="1317" t="n">
        <v>600</v>
      </c>
      <c r="H55" s="1420" t="n">
        <v>3.828</v>
      </c>
      <c r="I55" s="1401" t="inlineStr">
        <is>
          <t>FA</t>
        </is>
      </c>
      <c r="J55" s="1439" t="n">
        <v>0</v>
      </c>
      <c r="K55" s="1403">
        <f>+J55*H55</f>
        <v/>
      </c>
      <c r="M55" s="1132" t="inlineStr">
        <is>
          <t>Automatic</t>
        </is>
      </c>
      <c r="N55" s="1231" t="n"/>
      <c r="O55" s="1344" t="n"/>
      <c r="P55" s="1343" t="n"/>
      <c r="Q55" s="1708" t="n"/>
      <c r="R55" s="1231" t="n"/>
    </row>
    <row r="56" ht="28.5" customHeight="1" s="1134">
      <c r="A56" s="1232" t="n"/>
      <c r="B56" s="1233" t="n"/>
      <c r="C56" s="1233" t="n"/>
      <c r="D56" s="1317" t="n"/>
      <c r="E56" s="1317" t="n"/>
      <c r="F56" s="1317" t="n">
        <v>601</v>
      </c>
      <c r="G56" s="1317" t="n">
        <v>700</v>
      </c>
      <c r="H56" s="1420" t="n">
        <v>4.087</v>
      </c>
      <c r="I56" s="1401" t="inlineStr">
        <is>
          <t>FA</t>
        </is>
      </c>
      <c r="J56" s="1439" t="n">
        <v>0</v>
      </c>
      <c r="K56" s="1403">
        <f>+J56*H56</f>
        <v/>
      </c>
      <c r="M56" s="1132" t="inlineStr">
        <is>
          <t>Automatic</t>
        </is>
      </c>
      <c r="N56" s="1231" t="n"/>
      <c r="O56" s="1344" t="n"/>
      <c r="P56" s="1343" t="n"/>
      <c r="Q56" s="1708" t="n"/>
      <c r="R56" s="1231" t="n"/>
    </row>
    <row r="57" ht="28.5" customHeight="1" s="1134">
      <c r="A57" s="1232" t="n"/>
      <c r="B57" s="1233" t="n"/>
      <c r="C57" s="1233" t="n"/>
      <c r="D57" s="1317" t="n"/>
      <c r="E57" s="1317" t="n"/>
      <c r="F57" s="1317" t="n">
        <v>701</v>
      </c>
      <c r="G57" s="1317" t="n">
        <v>800</v>
      </c>
      <c r="H57" s="1420" t="n">
        <v>4.346</v>
      </c>
      <c r="I57" s="1401" t="inlineStr">
        <is>
          <t>FA</t>
        </is>
      </c>
      <c r="J57" s="1439" t="n">
        <v>0</v>
      </c>
      <c r="K57" s="1403">
        <f>+J57*H57</f>
        <v/>
      </c>
      <c r="M57" s="1132" t="inlineStr">
        <is>
          <t>Automatic</t>
        </is>
      </c>
      <c r="N57" s="1231" t="n"/>
      <c r="O57" s="1344" t="n"/>
      <c r="P57" s="1343" t="n"/>
      <c r="Q57" s="1708" t="n"/>
      <c r="R57" s="1231" t="n"/>
    </row>
    <row r="58" ht="28.5" customHeight="1" s="1134">
      <c r="A58" s="1232" t="n"/>
      <c r="B58" s="1233" t="n"/>
      <c r="C58" s="1233" t="n"/>
      <c r="D58" s="1317" t="n"/>
      <c r="E58" s="1317" t="n"/>
      <c r="F58" s="1317" t="n">
        <v>801</v>
      </c>
      <c r="G58" s="1317" t="n">
        <v>900</v>
      </c>
      <c r="H58" s="1420" t="n">
        <v>4.605</v>
      </c>
      <c r="I58" s="1401" t="inlineStr">
        <is>
          <t>FA</t>
        </is>
      </c>
      <c r="J58" s="1439" t="n">
        <v>0</v>
      </c>
      <c r="K58" s="1403">
        <f>+J58*H58</f>
        <v/>
      </c>
      <c r="M58" s="1132" t="inlineStr">
        <is>
          <t>Automatic</t>
        </is>
      </c>
      <c r="N58" s="1231" t="n"/>
      <c r="O58" s="1344" t="n"/>
      <c r="P58" s="1343" t="n"/>
      <c r="Q58" s="1708" t="n"/>
      <c r="R58" s="1231" t="n"/>
    </row>
    <row r="59" ht="21" customHeight="1" s="1134">
      <c r="A59" s="1232" t="n"/>
      <c r="B59" s="1233" t="n"/>
      <c r="C59" s="1233" t="n"/>
      <c r="D59" s="1317" t="n"/>
      <c r="E59" s="1317" t="n"/>
      <c r="F59" s="1399" t="n">
        <v>901</v>
      </c>
      <c r="G59" s="1399" t="n">
        <v>1000</v>
      </c>
      <c r="H59" s="1420" t="n">
        <v>4.864</v>
      </c>
      <c r="I59" s="1401" t="inlineStr">
        <is>
          <t>FA</t>
        </is>
      </c>
      <c r="J59" s="1439" t="n">
        <v>0</v>
      </c>
      <c r="K59" s="1403">
        <f>+J59*H59</f>
        <v/>
      </c>
      <c r="M59" s="1132" t="inlineStr">
        <is>
          <t>Automatic</t>
        </is>
      </c>
      <c r="N59" s="1231" t="n"/>
      <c r="O59" s="1344" t="n"/>
      <c r="P59" s="1343" t="n"/>
      <c r="Q59" s="1708" t="n"/>
      <c r="R59" s="1231" t="n"/>
    </row>
    <row r="60" ht="21" customHeight="1" s="1134">
      <c r="A60" s="1232" t="n"/>
      <c r="B60" s="1233" t="n"/>
      <c r="C60" s="1233" t="n"/>
      <c r="D60" s="1399" t="n"/>
      <c r="E60" s="1399" t="n"/>
      <c r="F60" s="1399" t="n">
        <v>1001</v>
      </c>
      <c r="G60" s="1399" t="n">
        <v>1200</v>
      </c>
      <c r="H60" s="1420" t="n">
        <v>5.382</v>
      </c>
      <c r="I60" s="1401" t="inlineStr">
        <is>
          <t>FA</t>
        </is>
      </c>
      <c r="J60" s="1402" t="n">
        <v>0</v>
      </c>
      <c r="K60" s="1440">
        <f>+J60*H60</f>
        <v/>
      </c>
      <c r="M60" s="1132" t="inlineStr">
        <is>
          <t>Automatic</t>
        </is>
      </c>
      <c r="N60" s="1231" t="n"/>
      <c r="O60" s="1344" t="n"/>
      <c r="P60" s="1343" t="n"/>
      <c r="Q60" s="1708" t="n"/>
      <c r="R60" s="1231" t="n"/>
    </row>
    <row r="61" ht="21" customHeight="1" s="1134">
      <c r="A61" s="1232" t="n"/>
      <c r="B61" s="1233" t="n"/>
      <c r="C61" s="1233" t="n"/>
      <c r="D61" s="1317" t="n"/>
      <c r="E61" s="1317" t="n"/>
      <c r="F61" s="1490" t="n">
        <v>1201</v>
      </c>
      <c r="G61" s="1490" t="n">
        <v>1400</v>
      </c>
      <c r="H61" s="1420" t="n">
        <v>5.9</v>
      </c>
      <c r="I61" s="1401" t="inlineStr">
        <is>
          <t>FA</t>
        </is>
      </c>
      <c r="J61" s="1439" t="n">
        <v>0</v>
      </c>
      <c r="K61" s="1440">
        <f>+J61*H61</f>
        <v/>
      </c>
      <c r="M61" s="1132" t="inlineStr">
        <is>
          <t>Automatic</t>
        </is>
      </c>
      <c r="N61" s="1231" t="n"/>
      <c r="O61" s="1344" t="n"/>
      <c r="P61" s="1343" t="n"/>
      <c r="Q61" s="1708" t="n"/>
      <c r="R61" s="1231" t="n"/>
    </row>
    <row r="62" ht="21" customHeight="1" s="1134">
      <c r="A62" s="1491" t="n"/>
      <c r="B62" s="1492" t="n"/>
      <c r="C62" s="1493" t="n"/>
      <c r="D62" s="1399" t="n"/>
      <c r="E62" s="1399" t="n"/>
      <c r="F62" s="1399" t="n"/>
      <c r="G62" s="1399" t="n"/>
      <c r="H62" s="1494" t="n"/>
      <c r="I62" s="1401" t="n"/>
      <c r="J62" s="1402" t="n">
        <v>0</v>
      </c>
      <c r="K62" s="1403" t="n"/>
      <c r="N62" s="1231" t="n"/>
      <c r="O62" s="1344" t="n"/>
      <c r="P62" s="1343" t="n"/>
      <c r="Q62" s="1708" t="n"/>
      <c r="R62" s="1231" t="n"/>
    </row>
    <row r="63" ht="21" customHeight="1" s="1134">
      <c r="A63" s="1491" t="n"/>
      <c r="B63" s="1492" t="n"/>
      <c r="C63" s="1493" t="n"/>
      <c r="D63" s="1399" t="n"/>
      <c r="E63" s="1399" t="n"/>
      <c r="F63" s="1399" t="n"/>
      <c r="G63" s="1399" t="n"/>
      <c r="H63" s="1495" t="n"/>
      <c r="I63" s="1401" t="n"/>
      <c r="J63" s="1402" t="n">
        <v>0</v>
      </c>
      <c r="K63" s="1403" t="n"/>
      <c r="N63" s="1231" t="n"/>
      <c r="O63" s="1344" t="n"/>
      <c r="P63" s="1343" t="n"/>
      <c r="Q63" s="1708" t="n"/>
      <c r="R63" s="1231" t="n"/>
    </row>
    <row r="64" ht="21" customHeight="1" s="1134">
      <c r="A64" s="1491" t="n"/>
      <c r="B64" s="1492" t="n"/>
      <c r="C64" s="1493" t="n"/>
      <c r="D64" s="1399" t="n"/>
      <c r="E64" s="1399" t="n"/>
      <c r="F64" s="1399" t="n"/>
      <c r="G64" s="1399" t="n"/>
      <c r="H64" s="1495" t="n"/>
      <c r="I64" s="1401" t="n"/>
      <c r="J64" s="1402" t="n">
        <v>0</v>
      </c>
      <c r="K64" s="1403" t="n"/>
      <c r="N64" s="1231" t="n"/>
      <c r="O64" s="1344" t="n"/>
      <c r="P64" s="1343" t="n"/>
      <c r="Q64" s="1708" t="n"/>
      <c r="R64" s="1231" t="n"/>
    </row>
    <row r="65" ht="21" customHeight="1" s="1134">
      <c r="A65" s="1491" t="n"/>
      <c r="B65" s="1492" t="n"/>
      <c r="C65" s="1493" t="n"/>
      <c r="D65" s="1399" t="n"/>
      <c r="E65" s="1399" t="n"/>
      <c r="F65" s="1399" t="n"/>
      <c r="G65" s="1399" t="n"/>
      <c r="H65" s="1495" t="n"/>
      <c r="I65" s="1401" t="n"/>
      <c r="J65" s="1402" t="n">
        <v>0</v>
      </c>
      <c r="K65" s="1403" t="n"/>
      <c r="N65" s="1231" t="n"/>
      <c r="O65" s="1344" t="n"/>
      <c r="P65" s="1343" t="n"/>
      <c r="Q65" s="1708" t="n"/>
      <c r="R65" s="1231" t="n"/>
    </row>
    <row r="66" ht="22.5" customHeight="1" s="1134">
      <c r="A66" s="1425" t="n"/>
      <c r="B66" s="1426" t="n"/>
      <c r="C66" s="1319" t="n"/>
      <c r="D66" s="1319" t="n"/>
      <c r="E66" s="1319" t="n"/>
      <c r="F66" s="1319" t="n"/>
      <c r="G66" s="1319" t="n"/>
      <c r="H66" s="1319" t="n"/>
      <c r="I66" s="1463" t="n"/>
      <c r="J66" s="1429" t="n">
        <v>0</v>
      </c>
      <c r="K66" s="1430" t="n"/>
      <c r="N66" s="1231" t="n"/>
      <c r="O66" s="1344" t="n"/>
      <c r="P66" s="1343" t="n"/>
      <c r="Q66" s="1708" t="n"/>
      <c r="R66" s="1231" t="n"/>
    </row>
    <row r="67" ht="53.25" customFormat="1" customHeight="1" s="1391">
      <c r="A67" s="1216" t="inlineStr">
        <is>
          <t>COMPONENTS</t>
        </is>
      </c>
      <c r="B67" s="1217" t="inlineStr">
        <is>
          <t>COMMENTS</t>
        </is>
      </c>
      <c r="C67" s="1217" t="inlineStr">
        <is>
          <t>Machine Vendor</t>
        </is>
      </c>
      <c r="D67" s="1217" t="n"/>
      <c r="E67" s="1217" t="n"/>
      <c r="F67" s="1217" t="n"/>
      <c r="G67" s="1217" t="n"/>
      <c r="H67" s="1392" t="inlineStr">
        <is>
          <t>Global Sec/ Pc</t>
        </is>
      </c>
      <c r="I67" s="1479" t="inlineStr">
        <is>
          <t>Location
LP/FA</t>
        </is>
      </c>
      <c r="J67" s="1432" t="n">
        <v>0</v>
      </c>
      <c r="K67" s="1393" t="inlineStr">
        <is>
          <t>Total</t>
        </is>
      </c>
      <c r="N67" s="1231" t="n"/>
      <c r="O67" s="1344" t="n"/>
      <c r="P67" s="1343" t="n"/>
      <c r="Q67" s="1708" t="n"/>
      <c r="R67" s="1231" t="n"/>
    </row>
    <row r="68" ht="103.5" customHeight="1" s="1134">
      <c r="A68" s="1496" t="inlineStr">
        <is>
          <t xml:space="preserve">REOPEN TWISTED WIRES / 
Untwist wires </t>
        </is>
      </c>
      <c r="B68" s="1234" t="inlineStr">
        <is>
          <t>reopen twisted wires
NOTE: to be used for twists cut from reel /multiconductors /  purchased parts when additional processes to be applied on LP; to be used also to reopen / untwist for splicing operation for wires coming from BT 188  and when twisted wires with different length</t>
        </is>
      </c>
      <c r="C68" s="1497" t="inlineStr">
        <is>
          <t xml:space="preserve">Reopen Twisted Wires Station 
</t>
        </is>
      </c>
      <c r="D68" s="1399" t="n"/>
      <c r="E68" s="1399" t="n"/>
      <c r="F68" s="1399" t="n"/>
      <c r="G68" s="1399" t="n"/>
      <c r="H68" s="1400" t="n">
        <v>2.7</v>
      </c>
      <c r="I68" s="1401" t="inlineStr">
        <is>
          <t>FA</t>
        </is>
      </c>
      <c r="J68" s="1402" t="n">
        <v>0</v>
      </c>
      <c r="K68" s="1403">
        <f>+J68*H68</f>
        <v/>
      </c>
      <c r="M68" s="1132" t="inlineStr">
        <is>
          <t>Manual</t>
        </is>
      </c>
      <c r="N68" s="1231" t="n"/>
      <c r="O68" s="1344" t="n"/>
      <c r="P68" s="1343" t="n"/>
      <c r="Q68" s="1708" t="n"/>
      <c r="R68" s="1231" t="n"/>
    </row>
    <row r="69" ht="103.5" customHeight="1" s="1134">
      <c r="A69" s="1496" t="inlineStr">
        <is>
          <t xml:space="preserve">
Untwist FLEX RAY, CAN &amp; CAN FD twisted wires (for both jacketed and unjacketed twists)
Untwist ETHERNET wires  </t>
        </is>
      </c>
      <c r="B69" s="1397" t="inlineStr">
        <is>
          <t xml:space="preserve">first step is to untwist Flex Ray, CAN, CAN FD twisted wires, then second to strigth the single wires from previously untwisted to prepare them for crimping operation
the time is for pair of twisted wires
Untwist Ethernet wires </t>
        </is>
      </c>
      <c r="C69" s="1497" t="inlineStr">
        <is>
          <t xml:space="preserve">
TEKNOMATIK (EU) / 
Untwister Exmore (NA)
</t>
        </is>
      </c>
      <c r="D69" s="1397" t="inlineStr">
        <is>
          <t>Starting point: introduction of wire in the machine, 
finishing point: wire is taken out of the machine .</t>
        </is>
      </c>
      <c r="E69" s="1399" t="n"/>
      <c r="F69" s="1399" t="n"/>
      <c r="G69" s="1399" t="n"/>
      <c r="H69" s="1400" t="n">
        <v>8</v>
      </c>
      <c r="I69" s="1401" t="inlineStr">
        <is>
          <t>FA</t>
        </is>
      </c>
      <c r="J69" s="1402" t="n">
        <v>0</v>
      </c>
      <c r="K69" s="1403">
        <f>+J69*H69</f>
        <v/>
      </c>
      <c r="N69" s="1231" t="n"/>
      <c r="O69" s="1344" t="n"/>
      <c r="P69" s="1343" t="n"/>
      <c r="Q69" s="1708" t="n"/>
      <c r="R69" s="1231" t="n"/>
    </row>
    <row r="70" hidden="1" ht="42" customHeight="1" s="1134">
      <c r="A70" s="1496" t="inlineStr">
        <is>
          <t>Untwist ETHERNET wires  (NA)</t>
        </is>
      </c>
      <c r="B70" s="1397" t="inlineStr">
        <is>
          <t xml:space="preserve">Untwist Ethernet wires </t>
        </is>
      </c>
      <c r="C70" s="1497" t="inlineStr">
        <is>
          <t xml:space="preserve"> Untwister Exmore (NA)</t>
        </is>
      </c>
      <c r="D70" s="1399" t="n"/>
      <c r="E70" s="1399" t="n"/>
      <c r="F70" s="1399" t="n"/>
      <c r="G70" s="1399" t="n"/>
      <c r="H70" s="1400" t="n">
        <v>7</v>
      </c>
      <c r="I70" s="1401" t="inlineStr">
        <is>
          <t>FA</t>
        </is>
      </c>
      <c r="J70" s="1402" t="n">
        <v>0</v>
      </c>
      <c r="K70" s="1403" t="n"/>
      <c r="N70" s="1231" t="n"/>
      <c r="O70" s="1344" t="n"/>
      <c r="P70" s="1343" t="n"/>
      <c r="Q70" s="1708" t="n"/>
      <c r="R70" s="1231" t="n"/>
    </row>
    <row r="71" ht="18" customHeight="1" s="1134">
      <c r="A71" s="1498" t="inlineStr">
        <is>
          <t>ELECTRONIC SOLDERING</t>
        </is>
      </c>
      <c r="B71" s="1499" t="inlineStr">
        <is>
          <t>solder wires in electronic circuit</t>
        </is>
      </c>
      <c r="C71" s="1499" t="inlineStr">
        <is>
          <t>Electronic Solder</t>
        </is>
      </c>
      <c r="D71" s="1399" t="n"/>
      <c r="E71" s="1399" t="n"/>
      <c r="F71" s="1399" t="n"/>
      <c r="G71" s="1399" t="n"/>
      <c r="H71" s="1400" t="n">
        <v>10.51</v>
      </c>
      <c r="I71" s="1401" t="inlineStr">
        <is>
          <t>FA</t>
        </is>
      </c>
      <c r="J71" s="1402" t="n">
        <v>0</v>
      </c>
      <c r="K71" s="1403">
        <f>+J71*H71</f>
        <v/>
      </c>
      <c r="M71" s="1132" t="inlineStr">
        <is>
          <t>Manual</t>
        </is>
      </c>
      <c r="N71" s="1231" t="n"/>
      <c r="O71" s="1344" t="n"/>
      <c r="P71" s="1343" t="n"/>
      <c r="Q71" s="1708" t="n"/>
      <c r="R71" s="1231" t="n"/>
    </row>
    <row r="72" ht="18" customHeight="1" s="1134">
      <c r="A72" s="1500" t="n"/>
      <c r="B72" s="1485" t="n"/>
      <c r="C72" s="1485" t="n"/>
      <c r="D72" s="1317" t="n"/>
      <c r="E72" s="1317" t="n"/>
      <c r="F72" s="1317" t="n"/>
      <c r="G72" s="1317" t="n"/>
      <c r="H72" s="1424" t="n"/>
      <c r="I72" s="1438" t="n"/>
      <c r="J72" s="1439" t="n">
        <v>0</v>
      </c>
      <c r="K72" s="1403">
        <f>+J72*H72</f>
        <v/>
      </c>
      <c r="N72" s="1231" t="n"/>
      <c r="O72" s="1344" t="n"/>
      <c r="P72" s="1343" t="n"/>
      <c r="Q72" s="1708" t="n"/>
      <c r="R72" s="1231" t="n"/>
    </row>
    <row r="73" ht="18" customHeight="1" s="1134">
      <c r="A73" s="1425" t="n"/>
      <c r="B73" s="1426" t="n"/>
      <c r="C73" s="1319" t="n"/>
      <c r="D73" s="1319" t="n"/>
      <c r="E73" s="1319" t="n"/>
      <c r="F73" s="1319" t="n"/>
      <c r="G73" s="1319" t="n"/>
      <c r="H73" s="1319" t="n"/>
      <c r="I73" s="1463" t="n"/>
      <c r="J73" s="1429" t="n">
        <v>0</v>
      </c>
      <c r="K73" s="1430" t="n"/>
      <c r="N73" s="1231" t="n"/>
      <c r="O73" s="1344" t="n"/>
      <c r="P73" s="1343" t="n"/>
      <c r="Q73" s="1708" t="n"/>
      <c r="R73" s="1231" t="n"/>
    </row>
    <row r="74" ht="53.25" customFormat="1" customHeight="1" s="1391">
      <c r="A74" s="1216" t="inlineStr">
        <is>
          <t>TERMINATE</t>
        </is>
      </c>
      <c r="B74" s="1217" t="inlineStr">
        <is>
          <t>COMMENTS</t>
        </is>
      </c>
      <c r="C74" s="1217" t="inlineStr">
        <is>
          <t>Machine Vendor</t>
        </is>
      </c>
      <c r="D74" s="1217" t="inlineStr">
        <is>
          <t>Min Gage</t>
        </is>
      </c>
      <c r="E74" s="1217" t="inlineStr">
        <is>
          <t>Max Gage</t>
        </is>
      </c>
      <c r="F74" s="1217" t="n"/>
      <c r="G74" s="1217" t="n"/>
      <c r="H74" s="1392" t="inlineStr">
        <is>
          <t>Global Sec/ Pc</t>
        </is>
      </c>
      <c r="I74" s="1479" t="inlineStr">
        <is>
          <t>Location
LP/FA</t>
        </is>
      </c>
      <c r="J74" s="1432" t="n">
        <v>0</v>
      </c>
      <c r="K74" s="1393" t="inlineStr">
        <is>
          <t>Total</t>
        </is>
      </c>
      <c r="N74" s="1231" t="n"/>
      <c r="O74" s="1344" t="n"/>
      <c r="P74" s="1343" t="n"/>
      <c r="Q74" s="1708" t="n"/>
      <c r="R74" s="1231" t="n"/>
    </row>
    <row r="75" ht="38.25" customHeight="1" s="1134">
      <c r="A75" s="1501" t="inlineStr">
        <is>
          <t>TERMINATE</t>
        </is>
      </c>
      <c r="B75" s="1415" t="inlineStr">
        <is>
          <t xml:space="preserve">single crimping 
</t>
        </is>
      </c>
      <c r="C75" s="1398" t="inlineStr">
        <is>
          <t>Terminal Press / per crimp (Including diodes and resistors)</t>
        </is>
      </c>
      <c r="D75" s="1399" t="n">
        <v>0.22</v>
      </c>
      <c r="E75" s="1399" t="n">
        <v>1.5</v>
      </c>
      <c r="F75" s="1399" t="n"/>
      <c r="G75" s="1399" t="n"/>
      <c r="H75" s="1400" t="n">
        <v>2.62</v>
      </c>
      <c r="I75" s="1401" t="inlineStr">
        <is>
          <t>FA</t>
        </is>
      </c>
      <c r="J75" s="1402" t="n">
        <v>0</v>
      </c>
      <c r="K75" s="1403">
        <f>+J75*H75</f>
        <v/>
      </c>
      <c r="L75" s="1231" t="n"/>
      <c r="M75" s="1231" t="inlineStr">
        <is>
          <t>Automatic</t>
        </is>
      </c>
      <c r="N75" s="1231" t="n"/>
      <c r="O75" s="1344" t="n"/>
      <c r="P75" s="1343" t="n"/>
      <c r="Q75" s="1708" t="n"/>
      <c r="R75" s="1231" t="n"/>
    </row>
    <row r="76" ht="48" customHeight="1" s="1134">
      <c r="A76" s="1232" t="n"/>
      <c r="B76" s="1233" t="n"/>
      <c r="C76" s="1398" t="inlineStr">
        <is>
          <t>Terminal Press / per crimp
Use also for:
crimp fuse term (bus bar) per wire</t>
        </is>
      </c>
      <c r="D76" s="1399" t="n">
        <v>2</v>
      </c>
      <c r="E76" s="1399" t="n">
        <v>7</v>
      </c>
      <c r="F76" s="1399" t="n"/>
      <c r="G76" s="1399" t="n"/>
      <c r="H76" s="1400" t="n">
        <v>2.87</v>
      </c>
      <c r="I76" s="1401" t="inlineStr">
        <is>
          <t>FA</t>
        </is>
      </c>
      <c r="J76" s="1402" t="n">
        <v>0</v>
      </c>
      <c r="K76" s="1403">
        <f>+J76*H76</f>
        <v/>
      </c>
      <c r="L76" s="1231" t="n"/>
      <c r="M76" s="1231" t="inlineStr">
        <is>
          <t>Semi-automatic</t>
        </is>
      </c>
      <c r="N76" s="1231" t="n"/>
      <c r="O76" s="1344" t="n"/>
      <c r="P76" s="1343" t="n"/>
      <c r="Q76" s="1708" t="n"/>
      <c r="R76" s="1231" t="n"/>
    </row>
    <row r="77" ht="27" customHeight="1" s="1134">
      <c r="A77" s="1232" t="n"/>
      <c r="B77" s="1233" t="n"/>
      <c r="C77" s="1397" t="inlineStr">
        <is>
          <t xml:space="preserve">crimp (bus bar) per each empty terminal    </t>
        </is>
      </c>
      <c r="D77" s="1397" t="inlineStr">
        <is>
          <t>bus bar term press</t>
        </is>
      </c>
      <c r="E77" s="1399" t="n"/>
      <c r="F77" s="1399" t="n"/>
      <c r="G77" s="1399" t="n"/>
      <c r="H77" s="1400" t="n">
        <v>1.08</v>
      </c>
      <c r="I77" s="1401" t="inlineStr">
        <is>
          <t>FA</t>
        </is>
      </c>
      <c r="J77" s="1402" t="n">
        <v>0</v>
      </c>
      <c r="K77" s="1403">
        <f>+J77*H77</f>
        <v/>
      </c>
      <c r="L77" s="1231" t="n"/>
      <c r="M77" s="1231" t="inlineStr">
        <is>
          <t>Manual</t>
        </is>
      </c>
      <c r="N77" s="1231" t="n"/>
      <c r="O77" s="1344" t="n"/>
      <c r="P77" s="1343" t="n"/>
      <c r="Q77" s="1708" t="n"/>
      <c r="R77" s="1231" t="n"/>
    </row>
    <row r="78" ht="49.5" customFormat="1" customHeight="1" s="1132">
      <c r="A78" s="1232" t="n"/>
      <c r="B78" s="1397" t="inlineStr">
        <is>
          <t>single crimping in multiconductors 
(Also to be applied for drain wires and subassemblies crimping)</t>
        </is>
      </c>
      <c r="C78" s="1398" t="inlineStr">
        <is>
          <t>Terminal Press / per crimp</t>
        </is>
      </c>
      <c r="D78" s="1399" t="n">
        <v>0</v>
      </c>
      <c r="E78" s="1399" t="n">
        <v>6</v>
      </c>
      <c r="F78" s="1399" t="n"/>
      <c r="G78" s="1399" t="n"/>
      <c r="H78" s="1400" t="n">
        <v>6.3</v>
      </c>
      <c r="I78" s="1401" t="inlineStr">
        <is>
          <t>FA</t>
        </is>
      </c>
      <c r="J78" s="1402" t="n">
        <v>0</v>
      </c>
      <c r="K78" s="1403">
        <f>+J78*H78</f>
        <v/>
      </c>
      <c r="L78" s="1231" t="n"/>
      <c r="M78" s="1231" t="inlineStr">
        <is>
          <t>Semi-automatic</t>
        </is>
      </c>
      <c r="N78" s="1231" t="n"/>
      <c r="O78" s="1344" t="n"/>
      <c r="P78" s="1343" t="n"/>
      <c r="Q78" s="1708" t="n"/>
      <c r="R78" s="1231" t="n"/>
    </row>
    <row r="79" ht="25.5" customFormat="1" customHeight="1" s="1132">
      <c r="A79" s="1232" t="n"/>
      <c r="B79" s="1397" t="inlineStr">
        <is>
          <t xml:space="preserve">terminal orientation for heavy gauge </t>
        </is>
      </c>
      <c r="C79" s="1398" t="inlineStr">
        <is>
          <t xml:space="preserve">support station / tool </t>
        </is>
      </c>
      <c r="D79" s="1399" t="n">
        <v>8</v>
      </c>
      <c r="E79" s="1399" t="n">
        <v>103</v>
      </c>
      <c r="F79" s="1399" t="n"/>
      <c r="G79" s="1399" t="n"/>
      <c r="H79" s="1400" t="n">
        <v>6</v>
      </c>
      <c r="I79" s="1401" t="inlineStr">
        <is>
          <t>FA</t>
        </is>
      </c>
      <c r="J79" s="1402" t="n">
        <v>0</v>
      </c>
      <c r="K79" s="1403">
        <f>+J79*H79</f>
        <v/>
      </c>
      <c r="L79" s="1231" t="n"/>
      <c r="M79" s="1231" t="n"/>
      <c r="N79" s="1231" t="n"/>
      <c r="O79" s="1344" t="n"/>
      <c r="P79" s="1343" t="n"/>
      <c r="Q79" s="1708" t="n"/>
      <c r="R79" s="1231" t="n"/>
    </row>
    <row r="80" ht="24.75" customHeight="1" s="1134">
      <c r="A80" s="1232" t="n"/>
      <c r="B80" s="1397" t="inlineStr">
        <is>
          <t>single crimping for battery wires</t>
        </is>
      </c>
      <c r="C80" s="1398" t="inlineStr">
        <is>
          <t>Heavy Gage Press / per crimp</t>
        </is>
      </c>
      <c r="D80" s="1399" t="n">
        <v>8</v>
      </c>
      <c r="E80" s="1399" t="n">
        <v>103</v>
      </c>
      <c r="F80" s="1399" t="n"/>
      <c r="G80" s="1399" t="n"/>
      <c r="H80" s="1400" t="n">
        <v>6.09</v>
      </c>
      <c r="I80" s="1401" t="inlineStr">
        <is>
          <t>FA</t>
        </is>
      </c>
      <c r="J80" s="1402" t="n">
        <v>0</v>
      </c>
      <c r="K80" s="1403">
        <f>+J80*H80</f>
        <v/>
      </c>
      <c r="L80" s="1231" t="n"/>
      <c r="M80" s="1231" t="inlineStr">
        <is>
          <t>Manual</t>
        </is>
      </c>
      <c r="N80" s="1231" t="n"/>
      <c r="O80" s="1344" t="n"/>
      <c r="P80" s="1343" t="n"/>
      <c r="Q80" s="1708" t="n"/>
      <c r="R80" s="1231" t="n"/>
    </row>
    <row r="81" ht="63" customHeight="1" s="1134">
      <c r="A81" s="1232" t="n"/>
      <c r="B81" s="1397" t="inlineStr">
        <is>
          <t>single crimping with seal</t>
        </is>
      </c>
      <c r="C81" s="1398" t="inlineStr">
        <is>
          <t>Crimp is done in a Terminal Press. 
NOTE: seal was previously applied by hand in a separate station</t>
        </is>
      </c>
      <c r="D81" s="1399" t="n">
        <v>0</v>
      </c>
      <c r="E81" s="1399" t="n">
        <v>10</v>
      </c>
      <c r="F81" s="1399" t="n"/>
      <c r="G81" s="1399" t="n"/>
      <c r="H81" s="1400" t="n">
        <v>6.67</v>
      </c>
      <c r="I81" s="1401" t="inlineStr">
        <is>
          <t>FA</t>
        </is>
      </c>
      <c r="J81" s="1402" t="n">
        <v>0</v>
      </c>
      <c r="K81" s="1403">
        <f>+J81*H81</f>
        <v/>
      </c>
      <c r="L81" s="1502" t="n"/>
      <c r="M81" s="1502" t="inlineStr">
        <is>
          <t>Manual</t>
        </is>
      </c>
      <c r="N81" s="1231" t="n"/>
      <c r="O81" s="1344" t="n"/>
      <c r="P81" s="1343" t="n"/>
      <c r="Q81" s="1708" t="n"/>
      <c r="R81" s="1231" t="n"/>
    </row>
    <row r="82" ht="24.75" customHeight="1" s="1134">
      <c r="A82" s="1232" t="n"/>
      <c r="B82" s="1397" t="inlineStr">
        <is>
          <t>double crimping</t>
        </is>
      </c>
      <c r="C82" s="1398" t="inlineStr">
        <is>
          <t>Terminal Press / per crimp</t>
        </is>
      </c>
      <c r="D82" s="1399" t="n">
        <v>0.13</v>
      </c>
      <c r="E82" s="1399" t="n">
        <v>0.35</v>
      </c>
      <c r="F82" s="1399" t="n"/>
      <c r="G82" s="1399" t="n"/>
      <c r="H82" s="1400" t="n">
        <v>5.39</v>
      </c>
      <c r="I82" s="1401" t="inlineStr">
        <is>
          <t>FA</t>
        </is>
      </c>
      <c r="J82" s="1402" t="n">
        <v>0</v>
      </c>
      <c r="K82" s="1403">
        <f>+J82*H82</f>
        <v/>
      </c>
      <c r="L82" s="1231" t="n"/>
      <c r="M82" s="1231" t="inlineStr">
        <is>
          <t>Manual</t>
        </is>
      </c>
      <c r="N82" s="1231" t="n"/>
      <c r="O82" s="1344" t="n"/>
      <c r="P82" s="1343" t="n"/>
      <c r="Q82" s="1708" t="n"/>
      <c r="R82" s="1231" t="n"/>
    </row>
    <row r="83" ht="24.75" customHeight="1" s="1134">
      <c r="A83" s="1232" t="n"/>
      <c r="B83" s="1233" t="n"/>
      <c r="C83" s="1233" t="n"/>
      <c r="D83" s="1399" t="n">
        <v>0.5</v>
      </c>
      <c r="E83" s="1399" t="n">
        <v>0.85</v>
      </c>
      <c r="F83" s="1399" t="n"/>
      <c r="G83" s="1399" t="n"/>
      <c r="H83" s="1400" t="n">
        <v>5.29</v>
      </c>
      <c r="I83" s="1401" t="inlineStr">
        <is>
          <t>FA</t>
        </is>
      </c>
      <c r="J83" s="1402" t="n">
        <v>0</v>
      </c>
      <c r="K83" s="1403">
        <f>+J83*H83</f>
        <v/>
      </c>
      <c r="L83" s="1231" t="n"/>
      <c r="M83" s="1231" t="inlineStr">
        <is>
          <t>Automatic</t>
        </is>
      </c>
      <c r="N83" s="1231" t="n"/>
      <c r="O83" s="1344" t="n"/>
      <c r="P83" s="1343" t="n"/>
      <c r="Q83" s="1708" t="n"/>
      <c r="R83" s="1231" t="n"/>
    </row>
    <row r="84" ht="24.75" customHeight="1" s="1134">
      <c r="A84" s="1232" t="n"/>
      <c r="B84" s="1233" t="n"/>
      <c r="C84" s="1233" t="n"/>
      <c r="D84" s="1399" t="n">
        <v>1</v>
      </c>
      <c r="E84" s="1399" t="n">
        <v>2</v>
      </c>
      <c r="F84" s="1399" t="n"/>
      <c r="G84" s="1399" t="n"/>
      <c r="H84" s="1400" t="n">
        <v>5.22</v>
      </c>
      <c r="I84" s="1401" t="inlineStr">
        <is>
          <t>FA</t>
        </is>
      </c>
      <c r="J84" s="1402" t="n">
        <v>0</v>
      </c>
      <c r="K84" s="1403">
        <f>+J84*H84</f>
        <v/>
      </c>
      <c r="L84" s="1231" t="n"/>
      <c r="M84" s="1231" t="inlineStr">
        <is>
          <t>Automatic</t>
        </is>
      </c>
      <c r="N84" s="1231" t="n"/>
      <c r="O84" s="1344" t="n"/>
      <c r="P84" s="1343" t="n"/>
      <c r="Q84" s="1708" t="n"/>
      <c r="R84" s="1231" t="n"/>
    </row>
    <row r="85" ht="24.75" customHeight="1" s="1134">
      <c r="A85" s="1232" t="n"/>
      <c r="B85" s="1406" t="n"/>
      <c r="C85" s="1406" t="n"/>
      <c r="D85" s="1399" t="n">
        <v>2.5</v>
      </c>
      <c r="E85" s="1399" t="n">
        <v>7</v>
      </c>
      <c r="F85" s="1399" t="n"/>
      <c r="G85" s="1399" t="n"/>
      <c r="H85" s="1400" t="n">
        <v>5.77</v>
      </c>
      <c r="I85" s="1401" t="inlineStr">
        <is>
          <t>FA</t>
        </is>
      </c>
      <c r="J85" s="1402" t="n">
        <v>0</v>
      </c>
      <c r="K85" s="1403">
        <f>+J85*H85</f>
        <v/>
      </c>
      <c r="L85" s="1231" t="n"/>
      <c r="M85" s="1231" t="inlineStr">
        <is>
          <t>Automatic</t>
        </is>
      </c>
      <c r="N85" s="1231" t="n"/>
      <c r="O85" s="1344" t="n"/>
      <c r="P85" s="1343" t="n"/>
      <c r="Q85" s="1708" t="n"/>
      <c r="R85" s="1231" t="n"/>
    </row>
    <row r="86" ht="24.75" customHeight="1" s="1134">
      <c r="A86" s="1232" t="n"/>
      <c r="B86" s="1397" t="inlineStr">
        <is>
          <t>double crimping for 0.13/0.13 and other combinations with 0.13</t>
        </is>
      </c>
      <c r="C86" s="1503" t="inlineStr">
        <is>
          <t>Terminal Press / per crimp</t>
        </is>
      </c>
      <c r="D86" s="1399" t="n">
        <v>0.13</v>
      </c>
      <c r="E86" s="1399" t="n">
        <v>0.35</v>
      </c>
      <c r="F86" s="1399" t="n"/>
      <c r="G86" s="1399" t="n"/>
      <c r="H86" s="1400" t="n">
        <v>14</v>
      </c>
      <c r="I86" s="1401" t="inlineStr">
        <is>
          <t>FA</t>
        </is>
      </c>
      <c r="J86" s="1402" t="n">
        <v>0</v>
      </c>
      <c r="K86" s="1403">
        <f>+J86*H86</f>
        <v/>
      </c>
      <c r="L86" s="1231" t="n"/>
      <c r="M86" s="1231" t="inlineStr">
        <is>
          <t>Automatic</t>
        </is>
      </c>
      <c r="N86" s="1231" t="n"/>
      <c r="O86" s="1344" t="n"/>
      <c r="P86" s="1343" t="n"/>
      <c r="Q86" s="1708" t="n"/>
      <c r="R86" s="1231" t="n"/>
    </row>
    <row r="87" ht="24.75" customHeight="1" s="1134">
      <c r="A87" s="1232" t="n"/>
      <c r="B87" s="1397" t="inlineStr">
        <is>
          <t>double crimping for multiconductors</t>
        </is>
      </c>
      <c r="C87" s="1503" t="inlineStr">
        <is>
          <t>Terminal Press / per crimp</t>
        </is>
      </c>
      <c r="D87" s="1399" t="n">
        <v>0</v>
      </c>
      <c r="E87" s="1399" t="n">
        <v>5</v>
      </c>
      <c r="F87" s="1399" t="n"/>
      <c r="G87" s="1399" t="n"/>
      <c r="H87" s="1400" t="n">
        <v>8.199999999999999</v>
      </c>
      <c r="I87" s="1401" t="inlineStr">
        <is>
          <t>FA</t>
        </is>
      </c>
      <c r="J87" s="1402" t="n">
        <v>0</v>
      </c>
      <c r="K87" s="1403">
        <f>+J87*H87</f>
        <v/>
      </c>
      <c r="L87" s="1231" t="n"/>
      <c r="M87" s="1231" t="inlineStr">
        <is>
          <t>Automatic</t>
        </is>
      </c>
      <c r="N87" s="1231" t="n"/>
      <c r="O87" s="1344" t="n"/>
      <c r="P87" s="1343" t="n"/>
      <c r="Q87" s="1708" t="n"/>
      <c r="R87" s="1231" t="n"/>
    </row>
    <row r="88" ht="24.75" customHeight="1" s="1134">
      <c r="A88" s="1232" t="n"/>
      <c r="B88" s="1397" t="inlineStr">
        <is>
          <t>double crimping for battery wires</t>
        </is>
      </c>
      <c r="C88" s="1398" t="inlineStr">
        <is>
          <t>Heavy Gage Press / per crimp</t>
        </is>
      </c>
      <c r="D88" s="1399" t="n">
        <v>8</v>
      </c>
      <c r="E88" s="1399" t="n">
        <v>103</v>
      </c>
      <c r="F88" s="1399" t="n"/>
      <c r="G88" s="1399" t="n"/>
      <c r="H88" s="1400" t="n">
        <v>13.85</v>
      </c>
      <c r="I88" s="1401" t="inlineStr">
        <is>
          <t>FA</t>
        </is>
      </c>
      <c r="J88" s="1402" t="n">
        <v>0</v>
      </c>
      <c r="K88" s="1403">
        <f>+J88*H88</f>
        <v/>
      </c>
      <c r="L88" s="1231" t="n"/>
      <c r="M88" s="1231" t="inlineStr">
        <is>
          <t>Automatic</t>
        </is>
      </c>
      <c r="N88" s="1231" t="n"/>
      <c r="O88" s="1344" t="n"/>
      <c r="P88" s="1343" t="n"/>
      <c r="Q88" s="1708" t="n"/>
      <c r="R88" s="1231" t="n"/>
    </row>
    <row r="89" ht="24.75" customHeight="1" s="1134">
      <c r="A89" s="1232" t="n"/>
      <c r="B89" s="1397" t="inlineStr">
        <is>
          <t>mutiple crimping (&gt;2 wires)</t>
        </is>
      </c>
      <c r="C89" s="1398" t="inlineStr">
        <is>
          <t>Terminal Press / per crimp</t>
        </is>
      </c>
      <c r="D89" s="1399" t="n">
        <v>0.13</v>
      </c>
      <c r="E89" s="1399" t="n">
        <v>7</v>
      </c>
      <c r="F89" s="1399" t="n"/>
      <c r="G89" s="1399" t="n"/>
      <c r="H89" s="1400" t="n">
        <v>10.5</v>
      </c>
      <c r="I89" s="1401" t="inlineStr">
        <is>
          <t>FA</t>
        </is>
      </c>
      <c r="J89" s="1402" t="n">
        <v>0</v>
      </c>
      <c r="K89" s="1403">
        <f>+J89*H89</f>
        <v/>
      </c>
      <c r="L89" s="1231" t="n"/>
      <c r="M89" s="1231" t="inlineStr">
        <is>
          <t>Automatic</t>
        </is>
      </c>
      <c r="N89" s="1231" t="n"/>
      <c r="O89" s="1344" t="n"/>
      <c r="P89" s="1343" t="n"/>
      <c r="Q89" s="1708" t="n"/>
      <c r="R89" s="1231" t="n"/>
    </row>
    <row r="90" ht="24.75" customHeight="1" s="1134">
      <c r="A90" s="1232" t="n"/>
      <c r="B90" s="1397" t="inlineStr">
        <is>
          <t>mutiple crimping (&gt;2 wires)  battery</t>
        </is>
      </c>
      <c r="C90" s="1398" t="inlineStr">
        <is>
          <t>Heavy Gage Press / per crimp</t>
        </is>
      </c>
      <c r="D90" s="1399" t="n">
        <v>8</v>
      </c>
      <c r="E90" s="1399" t="n">
        <v>103</v>
      </c>
      <c r="F90" s="1399" t="n"/>
      <c r="G90" s="1399" t="n"/>
      <c r="H90" s="1400" t="n">
        <v>19.6</v>
      </c>
      <c r="I90" s="1401" t="inlineStr">
        <is>
          <t>FA</t>
        </is>
      </c>
      <c r="J90" s="1402" t="n">
        <v>0</v>
      </c>
      <c r="K90" s="1403">
        <f>+J90*H90</f>
        <v/>
      </c>
      <c r="L90" s="1231" t="n"/>
      <c r="M90" s="1231" t="inlineStr">
        <is>
          <t>Automatic</t>
        </is>
      </c>
      <c r="N90" s="1231" t="n"/>
      <c r="O90" s="1344" t="n"/>
      <c r="P90" s="1343" t="n"/>
      <c r="Q90" s="1708" t="n"/>
      <c r="R90" s="1231" t="n"/>
    </row>
    <row r="91" ht="24.75" customHeight="1" s="1134">
      <c r="A91" s="1232" t="n"/>
      <c r="B91" s="1397" t="inlineStr">
        <is>
          <t>single crimping for barrel terminals</t>
        </is>
      </c>
      <c r="C91" s="1398" t="inlineStr">
        <is>
          <t>Barrel Press / per crimp</t>
        </is>
      </c>
      <c r="D91" s="1399" t="n">
        <v>0.22</v>
      </c>
      <c r="E91" s="1399" t="n">
        <v>8</v>
      </c>
      <c r="F91" s="1399" t="n"/>
      <c r="G91" s="1399" t="n"/>
      <c r="H91" s="1400" t="n">
        <v>9.890000000000001</v>
      </c>
      <c r="I91" s="1401" t="inlineStr">
        <is>
          <t>FA</t>
        </is>
      </c>
      <c r="J91" s="1402" t="n">
        <v>0</v>
      </c>
      <c r="K91" s="1403">
        <f>+J91*H91</f>
        <v/>
      </c>
      <c r="L91" s="1231" t="n"/>
      <c r="M91" s="1231" t="inlineStr">
        <is>
          <t>Manual</t>
        </is>
      </c>
      <c r="N91" s="1231" t="n"/>
      <c r="O91" s="1344" t="n"/>
      <c r="P91" s="1343" t="n"/>
      <c r="Q91" s="1708" t="n"/>
      <c r="R91" s="1231" t="n"/>
    </row>
    <row r="92" ht="57" customHeight="1" s="1134">
      <c r="A92" s="1232" t="n"/>
      <c r="B92" s="1397" t="inlineStr">
        <is>
          <t xml:space="preserve">Crimping loose piece term (1 wire) (BUS CIRC terminal / battery / other) 
NOTE: to be used also for wings closing operation for soldered ground terminal </t>
        </is>
      </c>
      <c r="C92" s="1398" t="inlineStr">
        <is>
          <t>Heavy Gage Press-Loose piece</t>
        </is>
      </c>
      <c r="D92" s="1504" t="n">
        <v>0.3</v>
      </c>
      <c r="E92" s="1399" t="n">
        <v>103</v>
      </c>
      <c r="F92" s="1399" t="n"/>
      <c r="G92" s="1399" t="n"/>
      <c r="H92" s="1400" t="n">
        <v>7.6</v>
      </c>
      <c r="I92" s="1401" t="inlineStr">
        <is>
          <t>FA</t>
        </is>
      </c>
      <c r="J92" s="1402" t="n">
        <v>0</v>
      </c>
      <c r="K92" s="1403">
        <f>+J92*H92</f>
        <v/>
      </c>
      <c r="L92" s="1502" t="n"/>
      <c r="M92" s="1502" t="inlineStr">
        <is>
          <t>Automatic</t>
        </is>
      </c>
      <c r="N92" s="1231" t="n"/>
      <c r="O92" s="1344" t="n"/>
      <c r="P92" s="1343" t="n"/>
      <c r="Q92" s="1708" t="n"/>
      <c r="R92" s="1231" t="n"/>
    </row>
    <row r="93" ht="24.75" customHeight="1" s="1134">
      <c r="A93" s="1232" t="n"/>
      <c r="B93" s="1397" t="inlineStr">
        <is>
          <t>crimping loose piece (2 wires)</t>
        </is>
      </c>
      <c r="C93" s="1233" t="n"/>
      <c r="D93" s="1399" t="n">
        <v>8</v>
      </c>
      <c r="E93" s="1399" t="n">
        <v>103</v>
      </c>
      <c r="F93" s="1399" t="n"/>
      <c r="G93" s="1399" t="n"/>
      <c r="H93" s="1400" t="n">
        <v>9.6</v>
      </c>
      <c r="I93" s="1401" t="inlineStr">
        <is>
          <t>FA</t>
        </is>
      </c>
      <c r="J93" s="1402" t="n">
        <v>0</v>
      </c>
      <c r="K93" s="1403">
        <f>+J93*H93</f>
        <v/>
      </c>
      <c r="L93" s="1231" t="n"/>
      <c r="M93" s="1231" t="inlineStr">
        <is>
          <t>Automatic</t>
        </is>
      </c>
      <c r="N93" s="1231" t="n"/>
      <c r="O93" s="1344" t="n"/>
      <c r="P93" s="1343" t="n"/>
      <c r="Q93" s="1708" t="n"/>
      <c r="R93" s="1231" t="n"/>
    </row>
    <row r="94" ht="24.75" customHeight="1" s="1134">
      <c r="A94" s="1232" t="n"/>
      <c r="B94" s="1397" t="inlineStr">
        <is>
          <t>crimping loose piece (3 wires)</t>
        </is>
      </c>
      <c r="C94" s="1233" t="n"/>
      <c r="D94" s="1399" t="n">
        <v>8</v>
      </c>
      <c r="E94" s="1399" t="n">
        <v>103</v>
      </c>
      <c r="F94" s="1399" t="n"/>
      <c r="G94" s="1399" t="n"/>
      <c r="H94" s="1400" t="n">
        <v>14.51</v>
      </c>
      <c r="I94" s="1401" t="inlineStr">
        <is>
          <t>FA</t>
        </is>
      </c>
      <c r="J94" s="1402" t="n">
        <v>0</v>
      </c>
      <c r="K94" s="1403">
        <f>+J94*H94</f>
        <v/>
      </c>
      <c r="L94" s="1231" t="n"/>
      <c r="M94" s="1231" t="inlineStr">
        <is>
          <t>Automatic</t>
        </is>
      </c>
      <c r="N94" s="1231" t="n"/>
      <c r="O94" s="1344" t="n"/>
      <c r="P94" s="1343" t="n"/>
      <c r="Q94" s="1708" t="n"/>
      <c r="R94" s="1231" t="n"/>
    </row>
    <row r="95" ht="24.75" customHeight="1" s="1134">
      <c r="A95" s="1232" t="n"/>
      <c r="B95" s="1397" t="inlineStr">
        <is>
          <t>crimping loose piece (&gt;3 wires)</t>
        </is>
      </c>
      <c r="C95" s="1406" t="n"/>
      <c r="D95" s="1399" t="n">
        <v>8</v>
      </c>
      <c r="E95" s="1399" t="n">
        <v>103</v>
      </c>
      <c r="F95" s="1399" t="n"/>
      <c r="G95" s="1399" t="n"/>
      <c r="H95" s="1400" t="n">
        <v>16.4</v>
      </c>
      <c r="I95" s="1401" t="inlineStr">
        <is>
          <t>FA</t>
        </is>
      </c>
      <c r="J95" s="1402" t="n">
        <v>0</v>
      </c>
      <c r="K95" s="1403">
        <f>+J95*H95</f>
        <v/>
      </c>
      <c r="L95" s="1231" t="n"/>
      <c r="M95" s="1231" t="inlineStr">
        <is>
          <t>Automatic</t>
        </is>
      </c>
      <c r="N95" s="1231" t="n"/>
      <c r="O95" s="1344" t="n"/>
      <c r="P95" s="1343" t="n"/>
      <c r="Q95" s="1708" t="n"/>
      <c r="R95" s="1231" t="n"/>
    </row>
    <row r="96" ht="69.75" customHeight="1" s="1134">
      <c r="A96" s="1232" t="n"/>
      <c r="B96" s="1397" t="inlineStr">
        <is>
          <t>Crimping additional control for tubular / special applications
USE ALSO FOR SPLICE SAVER GEN 1,5 CONTROL 
NOTE: only when requested by the Customer</t>
        </is>
      </c>
      <c r="C96" s="1397" t="inlineStr">
        <is>
          <t>Magnifier glass</t>
        </is>
      </c>
      <c r="D96" s="1399" t="n">
        <v>0</v>
      </c>
      <c r="E96" s="1399" t="n">
        <v>103</v>
      </c>
      <c r="F96" s="1399" t="n"/>
      <c r="G96" s="1399" t="n"/>
      <c r="H96" s="1400" t="n">
        <v>0.8</v>
      </c>
      <c r="I96" s="1401" t="inlineStr">
        <is>
          <t>FA</t>
        </is>
      </c>
      <c r="J96" s="1402" t="n">
        <v>0</v>
      </c>
      <c r="K96" s="1403">
        <f>+J96*H96</f>
        <v/>
      </c>
      <c r="L96" s="1502" t="n"/>
      <c r="M96" s="1502" t="inlineStr">
        <is>
          <t>Manual</t>
        </is>
      </c>
      <c r="N96" s="1231" t="n"/>
      <c r="O96" s="1344" t="n"/>
      <c r="P96" s="1343" t="n"/>
      <c r="Q96" s="1708" t="n"/>
      <c r="R96" s="1231" t="n"/>
    </row>
    <row r="97" ht="24.75" customHeight="1" s="1134">
      <c r="A97" s="1405" t="n"/>
      <c r="B97" s="1397" t="inlineStr">
        <is>
          <t>Crimp Ferrule (metal ring) on cable/ multiconductor cable</t>
        </is>
      </c>
      <c r="C97" s="1397" t="inlineStr">
        <is>
          <t>Terminal Press / per crimp</t>
        </is>
      </c>
      <c r="D97" s="1399" t="n">
        <v>0.22</v>
      </c>
      <c r="E97" s="1399" t="n">
        <v>103</v>
      </c>
      <c r="F97" s="1399" t="n"/>
      <c r="G97" s="1399" t="n"/>
      <c r="H97" s="1400" t="n">
        <v>30.7</v>
      </c>
      <c r="I97" s="1401" t="inlineStr">
        <is>
          <t>FA</t>
        </is>
      </c>
      <c r="J97" s="1402" t="n">
        <v>0</v>
      </c>
      <c r="K97" s="1403">
        <f>+J97*H97</f>
        <v/>
      </c>
      <c r="L97" s="1231" t="n"/>
      <c r="M97" s="1231" t="inlineStr">
        <is>
          <t>Automatic</t>
        </is>
      </c>
      <c r="N97" s="1231" t="n"/>
      <c r="O97" s="1344" t="n"/>
      <c r="P97" s="1343" t="n"/>
      <c r="Q97" s="1708" t="n"/>
      <c r="R97" s="1231" t="n"/>
    </row>
    <row r="98" ht="39" customHeight="1" s="1134">
      <c r="A98" s="1491" t="inlineStr">
        <is>
          <t>STAMP &amp; CRIMP TERMINAL</t>
        </is>
      </c>
      <c r="B98" s="1397" t="inlineStr">
        <is>
          <t>stamp &amp; crimp terminal (crimping time including removing of insulation)</t>
        </is>
      </c>
      <c r="C98" s="1397" t="inlineStr">
        <is>
          <t>stamp&amp; crimp terminal</t>
        </is>
      </c>
      <c r="D98" s="1399" t="n"/>
      <c r="E98" s="1399" t="n"/>
      <c r="F98" s="1399" t="n"/>
      <c r="G98" s="1399" t="n"/>
      <c r="H98" s="1400" t="n">
        <v>24.49</v>
      </c>
      <c r="I98" s="1401" t="inlineStr">
        <is>
          <t>FA</t>
        </is>
      </c>
      <c r="J98" s="1402" t="n">
        <v>0</v>
      </c>
      <c r="K98" s="1403">
        <f>+J98*H98</f>
        <v/>
      </c>
      <c r="L98" s="1231" t="n"/>
      <c r="M98" s="1231" t="inlineStr">
        <is>
          <t>Manual</t>
        </is>
      </c>
      <c r="N98" s="1231" t="n"/>
      <c r="O98" s="1344" t="n"/>
      <c r="P98" s="1343" t="n"/>
      <c r="Q98" s="1708" t="n"/>
      <c r="R98" s="1231" t="n"/>
    </row>
    <row r="99" ht="33.75" customHeight="1" s="1134">
      <c r="A99" s="1405" t="n"/>
      <c r="B99" s="1397" t="inlineStr">
        <is>
          <t>per wire</t>
        </is>
      </c>
      <c r="C99" s="1397" t="n"/>
      <c r="D99" s="1399" t="n"/>
      <c r="E99" s="1399" t="n"/>
      <c r="F99" s="1399" t="n"/>
      <c r="G99" s="1399" t="n"/>
      <c r="H99" s="1400" t="n">
        <v>2.68</v>
      </c>
      <c r="I99" s="1401" t="inlineStr">
        <is>
          <t>FA</t>
        </is>
      </c>
      <c r="J99" s="1402" t="n">
        <v>0</v>
      </c>
      <c r="K99" s="1403">
        <f>+J99*H99</f>
        <v/>
      </c>
      <c r="L99" s="1231" t="n"/>
      <c r="M99" s="1231" t="inlineStr">
        <is>
          <t>Manual</t>
        </is>
      </c>
      <c r="N99" s="1231" t="n"/>
      <c r="O99" s="1344" t="n"/>
      <c r="P99" s="1343" t="n"/>
      <c r="Q99" s="1708" t="n"/>
      <c r="R99" s="1231" t="n"/>
    </row>
    <row r="100" ht="38.25" customHeight="1" s="1134">
      <c r="A100" s="1421" t="inlineStr">
        <is>
          <t xml:space="preserve">TERMINATE MJE (MANCHON DE JONCTION ETANCHE ) </t>
        </is>
      </c>
      <c r="B100" s="1397" t="inlineStr">
        <is>
          <t xml:space="preserve"> crimping + shrinking on the crimp</t>
        </is>
      </c>
      <c r="C100" s="1397" t="inlineStr">
        <is>
          <t xml:space="preserve">time considered for application (1 application = 2 wires) </t>
        </is>
      </c>
      <c r="D100" s="1399" t="n">
        <v>0</v>
      </c>
      <c r="E100" s="1399" t="n">
        <v>103</v>
      </c>
      <c r="F100" s="1399" t="n"/>
      <c r="G100" s="1399" t="n"/>
      <c r="H100" s="1400" t="n">
        <v>20</v>
      </c>
      <c r="I100" s="1401" t="inlineStr">
        <is>
          <t>FA</t>
        </is>
      </c>
      <c r="J100" s="1402" t="n">
        <v>0</v>
      </c>
      <c r="K100" s="1403">
        <f>+J100*H100</f>
        <v/>
      </c>
      <c r="L100" s="1231" t="n"/>
      <c r="M100" s="1231" t="inlineStr">
        <is>
          <t>Manual</t>
        </is>
      </c>
      <c r="N100" s="1231" t="n"/>
      <c r="O100" s="1344" t="n"/>
      <c r="P100" s="1343" t="n"/>
      <c r="Q100" s="1708" t="n"/>
      <c r="R100" s="1231" t="n"/>
    </row>
    <row r="101" ht="27" customHeight="1" s="1134">
      <c r="A101" s="1396" t="inlineStr">
        <is>
          <t>BEND TERMINAL</t>
        </is>
      </c>
      <c r="B101" s="1397" t="inlineStr">
        <is>
          <t>terminal bending</t>
        </is>
      </c>
      <c r="C101" s="1398" t="inlineStr">
        <is>
          <t>Bent Term Press</t>
        </is>
      </c>
      <c r="D101" s="1399" t="n">
        <v>0.3</v>
      </c>
      <c r="E101" s="1399" t="n">
        <v>6</v>
      </c>
      <c r="F101" s="1399" t="n"/>
      <c r="G101" s="1399" t="n"/>
      <c r="H101" s="1400" t="n">
        <v>3.86</v>
      </c>
      <c r="I101" s="1401" t="inlineStr">
        <is>
          <t>FA</t>
        </is>
      </c>
      <c r="J101" s="1402" t="n">
        <v>0</v>
      </c>
      <c r="K101" s="1403">
        <f>+J101*H101</f>
        <v/>
      </c>
      <c r="L101" s="1231" t="n"/>
      <c r="M101" s="1231" t="inlineStr">
        <is>
          <t>Automatic</t>
        </is>
      </c>
      <c r="N101" s="1231" t="n"/>
      <c r="O101" s="1344" t="n"/>
      <c r="P101" s="1343" t="n"/>
      <c r="Q101" s="1708" t="n"/>
      <c r="R101" s="1231" t="n"/>
    </row>
    <row r="102" ht="27" customHeight="1" s="1134">
      <c r="A102" s="1405" t="n"/>
      <c r="B102" s="1406" t="n"/>
      <c r="C102" s="1406" t="n"/>
      <c r="D102" s="1399" t="n">
        <v>6</v>
      </c>
      <c r="E102" s="1399" t="n">
        <v>103</v>
      </c>
      <c r="F102" s="1399" t="n"/>
      <c r="G102" s="1399" t="n"/>
      <c r="H102" s="1400" t="n">
        <v>4.44</v>
      </c>
      <c r="I102" s="1401" t="inlineStr">
        <is>
          <t>FA</t>
        </is>
      </c>
      <c r="J102" s="1402" t="n">
        <v>0</v>
      </c>
      <c r="K102" s="1403">
        <f>+J102*H102</f>
        <v/>
      </c>
      <c r="L102" s="1231" t="n"/>
      <c r="M102" s="1231" t="inlineStr">
        <is>
          <t>Automatic</t>
        </is>
      </c>
      <c r="N102" s="1231" t="n"/>
      <c r="O102" s="1344" t="n"/>
      <c r="P102" s="1343" t="n"/>
      <c r="Q102" s="1708" t="n"/>
      <c r="R102" s="1231" t="n"/>
    </row>
    <row r="103" ht="27" customHeight="1" s="1134">
      <c r="A103" s="1505" t="inlineStr">
        <is>
          <t>BEND BATTERY CABLE</t>
        </is>
      </c>
      <c r="B103" s="1397" t="inlineStr">
        <is>
          <t>Cable should be bent to fit on the fuse block</t>
        </is>
      </c>
      <c r="C103" s="1506" t="n"/>
      <c r="D103" s="1399" t="n">
        <v>7</v>
      </c>
      <c r="E103" s="1399" t="n">
        <v>103</v>
      </c>
      <c r="F103" s="1399" t="n"/>
      <c r="G103" s="1399" t="n"/>
      <c r="H103" s="1400" t="n">
        <v>11.74</v>
      </c>
      <c r="I103" s="1401" t="inlineStr">
        <is>
          <t>FA</t>
        </is>
      </c>
      <c r="J103" s="1402" t="n">
        <v>0</v>
      </c>
      <c r="K103" s="1403">
        <f>+J103*H103</f>
        <v/>
      </c>
      <c r="L103" s="1231" t="n"/>
      <c r="M103" s="1231" t="inlineStr">
        <is>
          <t>Manual</t>
        </is>
      </c>
      <c r="N103" s="1231" t="n"/>
      <c r="O103" s="1344" t="n"/>
      <c r="P103" s="1343" t="n"/>
      <c r="Q103" s="1708" t="n"/>
      <c r="R103" s="1231" t="n"/>
    </row>
    <row r="104" ht="27" customHeight="1" s="1134">
      <c r="A104" s="1396" t="inlineStr">
        <is>
          <t>CUT TERMINAL</t>
        </is>
      </c>
      <c r="B104" s="1397" t="inlineStr">
        <is>
          <t>Terminal Cutting</t>
        </is>
      </c>
      <c r="C104" s="1397" t="inlineStr">
        <is>
          <t>Terminal Cutter</t>
        </is>
      </c>
      <c r="D104" s="1399" t="n"/>
      <c r="E104" s="1399" t="n"/>
      <c r="F104" s="1399" t="n"/>
      <c r="G104" s="1399" t="n"/>
      <c r="H104" s="1400" t="n">
        <v>0.91</v>
      </c>
      <c r="I104" s="1401" t="inlineStr">
        <is>
          <t>FA</t>
        </is>
      </c>
      <c r="J104" s="1402" t="n">
        <v>0</v>
      </c>
      <c r="K104" s="1403">
        <f>+J104*H104</f>
        <v/>
      </c>
      <c r="L104" s="1231" t="n"/>
      <c r="M104" s="1231" t="inlineStr">
        <is>
          <t>Manual</t>
        </is>
      </c>
      <c r="N104" s="1231" t="n"/>
      <c r="O104" s="1344" t="n"/>
      <c r="P104" s="1343" t="n"/>
      <c r="Q104" s="1708" t="n"/>
      <c r="R104" s="1231" t="n"/>
    </row>
    <row r="105" ht="50.25" customHeight="1" s="1134">
      <c r="A105" s="1421" t="inlineStr">
        <is>
          <t>Strip, apply Seal &amp; Crimp in multiconductor</t>
        </is>
      </c>
      <c r="B105" s="1397" t="inlineStr">
        <is>
          <t>Strip, apply seal and Crimping are all performed in same machine (stripper-sealer-crimper)</t>
        </is>
      </c>
      <c r="C105" s="1398" t="inlineStr">
        <is>
          <t>Stripper-sealer-crimper / per crimp</t>
        </is>
      </c>
      <c r="D105" s="1399" t="n">
        <v>0.22</v>
      </c>
      <c r="E105" s="1399" t="n">
        <v>6</v>
      </c>
      <c r="F105" s="1399" t="n"/>
      <c r="G105" s="1399" t="n"/>
      <c r="H105" s="1400" t="n">
        <v>4.49</v>
      </c>
      <c r="I105" s="1401" t="inlineStr">
        <is>
          <t>FA</t>
        </is>
      </c>
      <c r="J105" s="1402" t="n">
        <v>0</v>
      </c>
      <c r="K105" s="1403">
        <f>+J105*H105</f>
        <v/>
      </c>
      <c r="L105" s="1502" t="n"/>
      <c r="M105" s="1502" t="inlineStr">
        <is>
          <t>Manual</t>
        </is>
      </c>
      <c r="N105" s="1231" t="n"/>
      <c r="O105" s="1344" t="n"/>
      <c r="P105" s="1343" t="n"/>
      <c r="Q105" s="1708" t="n"/>
      <c r="R105" s="1231" t="n"/>
    </row>
    <row r="106" ht="51" customHeight="1" s="1134">
      <c r="A106" s="1421" t="inlineStr">
        <is>
          <t>Strip, apply Seal &amp; Crimp  single wires (including FLEX RAY, ETHERNET)</t>
        </is>
      </c>
      <c r="B106" s="1415" t="inlineStr">
        <is>
          <t xml:space="preserve">Strip, apply seal and Crimping are all performed in same machine (stripper-sealer-crimper).  It applies also for wires from Oxigen sensor </t>
        </is>
      </c>
      <c r="C106" s="1415" t="inlineStr">
        <is>
          <t>seal and term press
 BT752/ Artos SSC501</t>
        </is>
      </c>
      <c r="D106" s="1317" t="n">
        <v>0.22</v>
      </c>
      <c r="E106" s="1317" t="n">
        <v>6</v>
      </c>
      <c r="F106" s="1317" t="n"/>
      <c r="G106" s="1317" t="n"/>
      <c r="H106" s="1420" t="n">
        <v>3.6</v>
      </c>
      <c r="I106" s="1438" t="inlineStr">
        <is>
          <t>FA</t>
        </is>
      </c>
      <c r="J106" s="1439" t="n">
        <v>0</v>
      </c>
      <c r="K106" s="1440">
        <f>+J106*H106</f>
        <v/>
      </c>
      <c r="L106" s="1502" t="n"/>
      <c r="M106" s="1502" t="inlineStr">
        <is>
          <t>Manual</t>
        </is>
      </c>
      <c r="N106" s="1231" t="n"/>
      <c r="O106" s="1344" t="n"/>
      <c r="P106" s="1343" t="n"/>
      <c r="Q106" s="1708" t="n"/>
      <c r="R106" s="1231" t="n"/>
    </row>
    <row r="107" ht="18.75" customHeight="1" s="1134">
      <c r="A107" s="1396" t="n"/>
      <c r="B107" s="1397" t="n"/>
      <c r="C107" s="1397" t="n"/>
      <c r="D107" s="1399" t="n"/>
      <c r="E107" s="1399" t="n"/>
      <c r="F107" s="1399" t="n"/>
      <c r="G107" s="1399" t="n"/>
      <c r="H107" s="1486" t="n"/>
      <c r="I107" s="1401" t="n"/>
      <c r="J107" s="1402" t="n">
        <v>0</v>
      </c>
      <c r="K107" s="1440">
        <f>+J107*H107</f>
        <v/>
      </c>
      <c r="L107" s="1132" t="n"/>
      <c r="M107" s="1132" t="n"/>
      <c r="N107" s="1231" t="n"/>
      <c r="O107" s="1344" t="n"/>
      <c r="P107" s="1343" t="n"/>
      <c r="Q107" s="1708" t="n"/>
      <c r="R107" s="1231" t="n"/>
    </row>
    <row r="108" ht="21" customHeight="1" s="1134">
      <c r="A108" s="1396" t="n"/>
      <c r="B108" s="1397" t="n"/>
      <c r="C108" s="1397" t="n"/>
      <c r="D108" s="1399" t="n"/>
      <c r="E108" s="1399" t="n"/>
      <c r="F108" s="1399" t="n"/>
      <c r="G108" s="1399" t="n"/>
      <c r="H108" s="1486" t="n"/>
      <c r="I108" s="1401" t="n"/>
      <c r="J108" s="1402" t="n">
        <v>0</v>
      </c>
      <c r="K108" s="1440">
        <f>+J108*H108</f>
        <v/>
      </c>
      <c r="L108" s="1132" t="n"/>
      <c r="M108" s="1132" t="n"/>
      <c r="N108" s="1231" t="n"/>
      <c r="O108" s="1344" t="n"/>
      <c r="P108" s="1343" t="n"/>
      <c r="Q108" s="1708" t="n"/>
      <c r="R108" s="1231" t="n"/>
    </row>
    <row r="109" ht="20.25" customHeight="1" s="1134">
      <c r="A109" s="1507" t="n"/>
      <c r="B109" s="1508" t="n"/>
      <c r="C109" s="1508" t="n"/>
      <c r="D109" s="1490" t="n"/>
      <c r="E109" s="1490" t="n"/>
      <c r="F109" s="1490" t="n"/>
      <c r="G109" s="1490" t="n"/>
      <c r="H109" s="1509" t="n"/>
      <c r="I109" s="1468" t="n"/>
      <c r="J109" s="1469" t="n">
        <v>0</v>
      </c>
      <c r="K109" s="1477" t="n"/>
      <c r="L109" s="1132" t="n"/>
      <c r="M109" s="1132" t="n"/>
      <c r="N109" s="1231" t="n"/>
      <c r="O109" s="1344" t="n"/>
      <c r="P109" s="1343" t="n"/>
      <c r="Q109" s="1708" t="n"/>
      <c r="R109" s="1231" t="n"/>
    </row>
    <row r="110" ht="53.25" customFormat="1" customHeight="1" s="1391">
      <c r="A110" s="1216" t="inlineStr">
        <is>
          <t>PULL TO SEAT</t>
        </is>
      </c>
      <c r="B110" s="1217" t="inlineStr">
        <is>
          <t>COMMENTS</t>
        </is>
      </c>
      <c r="C110" s="1217" t="inlineStr">
        <is>
          <t>Machine Vendor</t>
        </is>
      </c>
      <c r="D110" s="1217" t="inlineStr">
        <is>
          <t>Min Gage</t>
        </is>
      </c>
      <c r="E110" s="1217" t="inlineStr">
        <is>
          <t>Max Gage</t>
        </is>
      </c>
      <c r="F110" s="1217" t="inlineStr">
        <is>
          <t>Min Length</t>
        </is>
      </c>
      <c r="G110" s="1217" t="inlineStr">
        <is>
          <t>Max Length</t>
        </is>
      </c>
      <c r="H110" s="1392" t="inlineStr">
        <is>
          <t>Global Sec/ Pc</t>
        </is>
      </c>
      <c r="I110" s="1479" t="inlineStr">
        <is>
          <t>Location
LP/FA</t>
        </is>
      </c>
      <c r="J110" s="1432" t="n">
        <v>0</v>
      </c>
      <c r="K110" s="1393" t="inlineStr">
        <is>
          <t>Total</t>
        </is>
      </c>
      <c r="N110" s="1231" t="n"/>
      <c r="O110" s="1344" t="n"/>
      <c r="P110" s="1343" t="n"/>
      <c r="Q110" s="1708" t="n"/>
      <c r="R110" s="1231" t="n"/>
    </row>
    <row r="111" ht="60" customHeight="1" s="1134">
      <c r="A111" s="1510" t="inlineStr">
        <is>
          <t>PULL TO SEAT</t>
        </is>
      </c>
      <c r="B111" s="1397" t="inlineStr">
        <is>
          <t>Pull-to-seat connectors - unsealed / per wire
To be used also for oxygen sensor:  Pass cable through black seal</t>
        </is>
      </c>
      <c r="C111" s="1397" t="inlineStr">
        <is>
          <t>Includes pass wire through connector cavity and seat terminal. For crimping operation use proper standard from "terminate" section</t>
        </is>
      </c>
      <c r="D111" s="1399" t="n">
        <v>0.22</v>
      </c>
      <c r="E111" s="1399" t="n">
        <v>5</v>
      </c>
      <c r="F111" s="1399" t="n">
        <v>0</v>
      </c>
      <c r="G111" s="1399" t="n">
        <v>99999</v>
      </c>
      <c r="H111" s="1400" t="n">
        <v>8.6</v>
      </c>
      <c r="I111" s="1401" t="inlineStr">
        <is>
          <t>FA</t>
        </is>
      </c>
      <c r="J111" s="1402" t="n">
        <v>0</v>
      </c>
      <c r="K111" s="1403">
        <f>+J111*H111</f>
        <v/>
      </c>
      <c r="M111" s="1132" t="inlineStr">
        <is>
          <t>Manual</t>
        </is>
      </c>
      <c r="N111" s="1231" t="n"/>
      <c r="O111" s="1344" t="n"/>
      <c r="P111" s="1343" t="n"/>
      <c r="Q111" s="1708" t="n"/>
      <c r="R111" s="1231" t="n"/>
    </row>
    <row r="112" ht="75.75" customHeight="1" s="1134">
      <c r="A112" s="1405" t="n"/>
      <c r="B112" s="1397" t="inlineStr">
        <is>
          <t xml:space="preserve">Pull-to-seat connectors - sealed / per wire
To be used also for oxygen sensor: Insert cable into the ceramic connector </t>
        </is>
      </c>
      <c r="C112" s="1406" t="n"/>
      <c r="D112" s="1399" t="n">
        <v>0.22</v>
      </c>
      <c r="E112" s="1399" t="n">
        <v>5</v>
      </c>
      <c r="F112" s="1399" t="n">
        <v>0</v>
      </c>
      <c r="G112" s="1399" t="n">
        <v>99999</v>
      </c>
      <c r="H112" s="1400" t="n">
        <v>13.5</v>
      </c>
      <c r="I112" s="1401" t="inlineStr">
        <is>
          <t>FA</t>
        </is>
      </c>
      <c r="J112" s="1402" t="n">
        <v>0</v>
      </c>
      <c r="K112" s="1403">
        <f>+J112*H112</f>
        <v/>
      </c>
      <c r="M112" s="1132" t="inlineStr">
        <is>
          <t>Manual</t>
        </is>
      </c>
      <c r="N112" s="1231" t="n"/>
      <c r="O112" s="1344" t="n"/>
      <c r="P112" s="1343" t="n"/>
      <c r="Q112" s="1708" t="n"/>
      <c r="R112" s="1231" t="n"/>
    </row>
    <row r="113" ht="53.25" customFormat="1" customHeight="1" s="1391">
      <c r="A113" s="1216" t="inlineStr">
        <is>
          <t>IDC</t>
        </is>
      </c>
      <c r="B113" s="1217" t="inlineStr">
        <is>
          <t>COMMENTS</t>
        </is>
      </c>
      <c r="C113" s="1217" t="inlineStr">
        <is>
          <t>Machine Vendor</t>
        </is>
      </c>
      <c r="D113" s="1217" t="inlineStr">
        <is>
          <t xml:space="preserve"> Special Component</t>
        </is>
      </c>
      <c r="E113" s="1217" t="n"/>
      <c r="F113" s="1217" t="n"/>
      <c r="G113" s="1217" t="n"/>
      <c r="H113" s="1392" t="inlineStr">
        <is>
          <t>Global Sec/ Pc</t>
        </is>
      </c>
      <c r="I113" s="1479" t="inlineStr">
        <is>
          <t>Location
LP/FA</t>
        </is>
      </c>
      <c r="J113" s="1432" t="n">
        <v>0</v>
      </c>
      <c r="K113" s="1393" t="inlineStr">
        <is>
          <t>Total</t>
        </is>
      </c>
      <c r="N113" s="1231" t="n"/>
      <c r="O113" s="1344" t="n"/>
      <c r="P113" s="1343" t="n"/>
      <c r="Q113" s="1708" t="n"/>
      <c r="R113" s="1231" t="n"/>
    </row>
    <row r="114" ht="22.5" customHeight="1" s="1134">
      <c r="A114" s="1396" t="inlineStr">
        <is>
          <t>IDC CRIMPING</t>
        </is>
      </c>
      <c r="B114" s="1499" t="inlineStr">
        <is>
          <t>STS / IDC Crimping per wire</t>
        </is>
      </c>
      <c r="C114" s="1499" t="inlineStr">
        <is>
          <t>IDC Crimper</t>
        </is>
      </c>
      <c r="D114" s="1399" t="n"/>
      <c r="E114" s="1399" t="n"/>
      <c r="F114" s="1399" t="n"/>
      <c r="G114" s="1399" t="n"/>
      <c r="H114" s="1400" t="n">
        <v>2.94</v>
      </c>
      <c r="I114" s="1401" t="inlineStr">
        <is>
          <t>FA</t>
        </is>
      </c>
      <c r="J114" s="1402" t="n">
        <v>0</v>
      </c>
      <c r="K114" s="1403">
        <f>+J114*H114</f>
        <v/>
      </c>
      <c r="L114" s="1231" t="n"/>
      <c r="M114" s="1231" t="inlineStr">
        <is>
          <t>Automatic</t>
        </is>
      </c>
      <c r="N114" s="1231" t="n"/>
      <c r="O114" s="1344" t="n"/>
      <c r="P114" s="1343" t="n"/>
      <c r="Q114" s="1708" t="n"/>
      <c r="R114" s="1231" t="n"/>
    </row>
    <row r="115" ht="22.5" customHeight="1" s="1134">
      <c r="A115" s="1405" t="n"/>
      <c r="B115" s="1511" t="inlineStr">
        <is>
          <t>STS / IDC Crimping per connector</t>
        </is>
      </c>
      <c r="C115" s="1499" t="inlineStr">
        <is>
          <t>STS / IDC Crimping per conn</t>
        </is>
      </c>
      <c r="D115" s="1399" t="n"/>
      <c r="E115" s="1399" t="n"/>
      <c r="F115" s="1399" t="n"/>
      <c r="G115" s="1399" t="n"/>
      <c r="H115" s="1400" t="n">
        <v>17.25</v>
      </c>
      <c r="I115" s="1401" t="inlineStr">
        <is>
          <t>FA</t>
        </is>
      </c>
      <c r="J115" s="1402" t="n">
        <v>0</v>
      </c>
      <c r="K115" s="1403">
        <f>+J115*H115</f>
        <v/>
      </c>
      <c r="L115" s="1231" t="n"/>
      <c r="M115" s="1231" t="inlineStr">
        <is>
          <t>Automatic</t>
        </is>
      </c>
      <c r="N115" s="1231" t="n"/>
      <c r="O115" s="1344" t="n"/>
      <c r="P115" s="1343" t="n"/>
      <c r="Q115" s="1708" t="n"/>
      <c r="R115" s="1231" t="n"/>
    </row>
    <row r="116" ht="22.5" customHeight="1" s="1134">
      <c r="A116" s="1498" t="inlineStr">
        <is>
          <t xml:space="preserve">SPLICE-IDC  </t>
        </is>
      </c>
      <c r="B116" s="1499" t="inlineStr">
        <is>
          <t>Splice-IDC</t>
        </is>
      </c>
      <c r="C116" s="1511" t="inlineStr">
        <is>
          <t>Splice-IDC Applicator</t>
        </is>
      </c>
      <c r="D116" s="1399" t="n">
        <v>12110145</v>
      </c>
      <c r="E116" s="1399" t="n"/>
      <c r="F116" s="1399" t="n"/>
      <c r="G116" s="1399" t="n"/>
      <c r="H116" s="1400" t="n">
        <v>18.11</v>
      </c>
      <c r="I116" s="1401" t="inlineStr">
        <is>
          <t>FA</t>
        </is>
      </c>
      <c r="J116" s="1402" t="n">
        <v>0</v>
      </c>
      <c r="K116" s="1403">
        <f>+J116*H116</f>
        <v/>
      </c>
      <c r="L116" s="1231" t="n"/>
      <c r="M116" s="1231" t="inlineStr">
        <is>
          <t>Automatic</t>
        </is>
      </c>
      <c r="N116" s="1231" t="n"/>
      <c r="O116" s="1344" t="n"/>
      <c r="P116" s="1343" t="n"/>
      <c r="Q116" s="1708" t="n"/>
      <c r="R116" s="1231" t="n"/>
    </row>
    <row r="117" ht="22.5" customHeight="1" s="1134">
      <c r="A117" s="1425" t="n"/>
      <c r="B117" s="1426" t="n"/>
      <c r="C117" s="1238" t="n"/>
      <c r="D117" s="1319" t="n"/>
      <c r="E117" s="1319" t="n"/>
      <c r="F117" s="1319" t="n"/>
      <c r="G117" s="1319" t="n"/>
      <c r="H117" s="1512" t="n"/>
      <c r="I117" s="1463" t="n"/>
      <c r="J117" s="1429" t="n">
        <v>0</v>
      </c>
      <c r="K117" s="1430" t="n"/>
      <c r="L117" s="1231" t="n"/>
      <c r="M117" s="1231" t="n"/>
      <c r="N117" s="1231" t="n"/>
      <c r="O117" s="1344" t="n"/>
      <c r="P117" s="1343" t="n"/>
      <c r="Q117" s="1708" t="n"/>
      <c r="R117" s="1231" t="n"/>
    </row>
    <row r="118" ht="53.25" customFormat="1" customHeight="1" s="1391">
      <c r="A118" s="1216" t="inlineStr">
        <is>
          <t>SLEEVE OVER TERM</t>
        </is>
      </c>
      <c r="B118" s="1217" t="inlineStr">
        <is>
          <t>COMMENTS</t>
        </is>
      </c>
      <c r="C118" s="1217" t="inlineStr">
        <is>
          <t>Machine Vendor</t>
        </is>
      </c>
      <c r="D118" s="1217" t="n"/>
      <c r="E118" s="1217" t="n"/>
      <c r="F118" s="1217" t="n"/>
      <c r="G118" s="1217" t="n"/>
      <c r="H118" s="1392" t="inlineStr">
        <is>
          <t>Global Sec/ Pc</t>
        </is>
      </c>
      <c r="I118" s="1479" t="inlineStr">
        <is>
          <t>Location
LP/FA</t>
        </is>
      </c>
      <c r="J118" s="1432" t="n">
        <v>0</v>
      </c>
      <c r="K118" s="1393" t="inlineStr">
        <is>
          <t>Total</t>
        </is>
      </c>
      <c r="N118" s="1231" t="n"/>
      <c r="O118" s="1344" t="n"/>
      <c r="P118" s="1343" t="n"/>
      <c r="Q118" s="1708" t="n"/>
      <c r="R118" s="1231" t="n"/>
    </row>
    <row r="119" ht="22.5" customHeight="1" s="1134">
      <c r="A119" s="1483" t="inlineStr">
        <is>
          <t>SLEEVE OVER TERM</t>
        </is>
      </c>
      <c r="B119" s="1397" t="inlineStr">
        <is>
          <t>Apply Boots &amp; sleeves over term</t>
        </is>
      </c>
      <c r="C119" s="1513" t="inlineStr">
        <is>
          <t>Grommet Spreader (2 bill)</t>
        </is>
      </c>
      <c r="D119" s="1399" t="n"/>
      <c r="E119" s="1399" t="n"/>
      <c r="F119" s="1399" t="n"/>
      <c r="G119" s="1399" t="n"/>
      <c r="H119" s="1400" t="n">
        <v>6</v>
      </c>
      <c r="I119" s="1401" t="inlineStr">
        <is>
          <t>FA</t>
        </is>
      </c>
      <c r="J119" s="1402" t="n">
        <v>0</v>
      </c>
      <c r="K119" s="1403">
        <f>+J119*H119</f>
        <v/>
      </c>
      <c r="L119" s="1231" t="n"/>
      <c r="M119" s="1231" t="inlineStr">
        <is>
          <t>Autmatic</t>
        </is>
      </c>
      <c r="N119" s="1231" t="n"/>
      <c r="O119" s="1344" t="n"/>
      <c r="P119" s="1343" t="n"/>
      <c r="Q119" s="1708" t="n"/>
      <c r="R119" s="1231" t="n"/>
    </row>
    <row r="120" ht="22.5" customHeight="1" s="1134">
      <c r="A120" s="1405" t="n"/>
      <c r="B120" s="1397" t="inlineStr">
        <is>
          <t xml:space="preserve"> Apply tube over the Ferrites that are covering part of a lead</t>
        </is>
      </c>
      <c r="C120" s="1513" t="inlineStr">
        <is>
          <t>sleeve over ferrites Station</t>
        </is>
      </c>
      <c r="D120" s="1399" t="n"/>
      <c r="E120" s="1399" t="n"/>
      <c r="F120" s="1399" t="n"/>
      <c r="G120" s="1399" t="n"/>
      <c r="H120" s="1400" t="n">
        <v>3.89</v>
      </c>
      <c r="I120" s="1401" t="inlineStr">
        <is>
          <t>FA</t>
        </is>
      </c>
      <c r="J120" s="1402" t="n">
        <v>0</v>
      </c>
      <c r="K120" s="1403">
        <f>+J120*H120</f>
        <v/>
      </c>
      <c r="L120" s="1231" t="n"/>
      <c r="M120" s="1231" t="inlineStr">
        <is>
          <t>Manual</t>
        </is>
      </c>
      <c r="N120" s="1231" t="n"/>
      <c r="O120" s="1344" t="n"/>
      <c r="P120" s="1343" t="n"/>
      <c r="Q120" s="1708" t="n"/>
      <c r="R120" s="1231" t="n"/>
    </row>
    <row r="121" ht="12.75" customHeight="1" s="1134">
      <c r="A121" s="1425" t="n"/>
      <c r="B121" s="1426" t="n"/>
      <c r="C121" s="1319" t="n"/>
      <c r="D121" s="1319" t="n"/>
      <c r="E121" s="1319" t="n"/>
      <c r="F121" s="1319" t="n"/>
      <c r="G121" s="1319" t="n"/>
      <c r="H121" s="1319" t="n"/>
      <c r="I121" s="1463" t="n"/>
      <c r="J121" s="1429" t="n">
        <v>0</v>
      </c>
      <c r="K121" s="1430" t="n"/>
      <c r="N121" s="1231" t="n"/>
      <c r="O121" s="1344" t="n"/>
      <c r="P121" s="1343" t="n"/>
      <c r="Q121" s="1708" t="n"/>
      <c r="R121" s="1231" t="n"/>
    </row>
    <row r="122" ht="53.25" customFormat="1" customHeight="1" s="1391">
      <c r="A122" s="1216" t="inlineStr">
        <is>
          <t>SONIC GROUND TERMINAL</t>
        </is>
      </c>
      <c r="B122" s="1217" t="inlineStr">
        <is>
          <t>COMMENTS</t>
        </is>
      </c>
      <c r="C122" s="1217" t="inlineStr">
        <is>
          <t>Machine Vendor</t>
        </is>
      </c>
      <c r="D122" s="1217" t="n"/>
      <c r="E122" s="1217" t="n"/>
      <c r="F122" s="1217" t="n"/>
      <c r="G122" s="1217" t="n"/>
      <c r="H122" s="1392" t="inlineStr">
        <is>
          <t>Global Sec/ Pc</t>
        </is>
      </c>
      <c r="I122" s="1479" t="inlineStr">
        <is>
          <t>Location
LP/FA</t>
        </is>
      </c>
      <c r="J122" s="1432" t="n">
        <v>0</v>
      </c>
      <c r="K122" s="1393" t="inlineStr">
        <is>
          <t>Total</t>
        </is>
      </c>
      <c r="N122" s="1231" t="n"/>
      <c r="O122" s="1344" t="n"/>
      <c r="P122" s="1343" t="n"/>
      <c r="Q122" s="1708" t="n"/>
      <c r="R122" s="1231" t="n"/>
    </row>
    <row r="123" ht="22.5" customHeight="1" s="1134">
      <c r="A123" s="1396" t="inlineStr">
        <is>
          <t>SONIC RING PREP</t>
        </is>
      </c>
      <c r="B123" s="1397" t="inlineStr">
        <is>
          <t>preparation of ground terminal with ultrasonic welding</t>
        </is>
      </c>
      <c r="C123" s="1398" t="inlineStr">
        <is>
          <t>Sonic Ring Preparation</t>
        </is>
      </c>
      <c r="D123" s="1399" t="inlineStr">
        <is>
          <t>per  wire</t>
        </is>
      </c>
      <c r="E123" s="1399" t="n"/>
      <c r="F123" s="1399" t="n"/>
      <c r="G123" s="1399" t="n"/>
      <c r="H123" s="1400" t="n">
        <v>5.0533</v>
      </c>
      <c r="I123" s="1401" t="inlineStr">
        <is>
          <t>FA</t>
        </is>
      </c>
      <c r="J123" s="1402" t="n">
        <v>0</v>
      </c>
      <c r="K123" s="1403">
        <f>+J123*H123</f>
        <v/>
      </c>
      <c r="M123" s="1132" t="inlineStr">
        <is>
          <t>Automatic</t>
        </is>
      </c>
      <c r="N123" s="1231" t="n"/>
      <c r="O123" s="1344" t="n"/>
      <c r="P123" s="1343" t="n"/>
      <c r="Q123" s="1708" t="n"/>
      <c r="R123" s="1231" t="n"/>
    </row>
    <row r="124" ht="22.5" customFormat="1" customHeight="1" s="1132">
      <c r="A124" s="1498" t="inlineStr">
        <is>
          <t>SONIC TERM WELDER</t>
        </is>
      </c>
      <c r="B124" s="1397" t="inlineStr">
        <is>
          <t>ground terminal is ultrasonic welded</t>
        </is>
      </c>
      <c r="C124" s="1397" t="inlineStr">
        <is>
          <t>sonic term welder</t>
        </is>
      </c>
      <c r="D124" s="1399" t="inlineStr">
        <is>
          <t>process time</t>
        </is>
      </c>
      <c r="E124" s="1399" t="n"/>
      <c r="F124" s="1399" t="n"/>
      <c r="G124" s="1399" t="n"/>
      <c r="H124" s="1400" t="n">
        <v>11.24</v>
      </c>
      <c r="I124" s="1401" t="inlineStr">
        <is>
          <t>FA</t>
        </is>
      </c>
      <c r="J124" s="1402" t="n">
        <v>0</v>
      </c>
      <c r="K124" s="1403">
        <f>+J124*H124</f>
        <v/>
      </c>
      <c r="M124" s="1132" t="inlineStr">
        <is>
          <t>Automatic</t>
        </is>
      </c>
      <c r="N124" s="1231" t="n"/>
      <c r="O124" s="1344" t="n"/>
      <c r="P124" s="1343" t="n"/>
      <c r="Q124" s="1708" t="n"/>
      <c r="R124" s="1231" t="n"/>
    </row>
    <row r="125" ht="21.75" customFormat="1" customHeight="1" s="1132">
      <c r="A125" s="1500" t="n"/>
      <c r="B125" s="1415" t="n"/>
      <c r="C125" s="1415" t="n"/>
      <c r="D125" s="1317" t="n"/>
      <c r="E125" s="1317" t="n"/>
      <c r="F125" s="1317" t="n"/>
      <c r="G125" s="1317" t="n"/>
      <c r="H125" s="1424" t="n"/>
      <c r="I125" s="1438" t="n"/>
      <c r="J125" s="1439" t="n">
        <v>0</v>
      </c>
      <c r="K125" s="1440" t="n"/>
      <c r="N125" s="1231" t="n"/>
      <c r="O125" s="1344" t="n"/>
      <c r="P125" s="1343" t="n"/>
      <c r="Q125" s="1708" t="n"/>
      <c r="R125" s="1231" t="n"/>
    </row>
    <row r="126" ht="12.75" customHeight="1" s="1134">
      <c r="A126" s="1425" t="n"/>
      <c r="B126" s="1426" t="n"/>
      <c r="C126" s="1319" t="n"/>
      <c r="D126" s="1319" t="n"/>
      <c r="E126" s="1319" t="n"/>
      <c r="F126" s="1319" t="n"/>
      <c r="G126" s="1319" t="n"/>
      <c r="H126" s="1319" t="n"/>
      <c r="I126" s="1463" t="n"/>
      <c r="J126" s="1429" t="n">
        <v>0</v>
      </c>
      <c r="K126" s="1430" t="n"/>
      <c r="N126" s="1231" t="n"/>
      <c r="O126" s="1344" t="n"/>
      <c r="P126" s="1343" t="n"/>
      <c r="Q126" s="1708" t="n"/>
      <c r="R126" s="1231" t="n"/>
    </row>
    <row r="127" ht="53.25" customFormat="1" customHeight="1" s="1391">
      <c r="A127" s="1216" t="inlineStr">
        <is>
          <t>MULTICONDUCTOR</t>
        </is>
      </c>
      <c r="B127" s="1217" t="inlineStr">
        <is>
          <t>COMMENTS</t>
        </is>
      </c>
      <c r="C127" s="1217" t="inlineStr">
        <is>
          <t>Machine Vendor</t>
        </is>
      </c>
      <c r="D127" s="1217" t="inlineStr">
        <is>
          <t>Min Length</t>
        </is>
      </c>
      <c r="E127" s="1217" t="inlineStr">
        <is>
          <t>Max Length</t>
        </is>
      </c>
      <c r="F127" s="1217" t="n"/>
      <c r="G127" s="1217" t="n"/>
      <c r="H127" s="1392" t="inlineStr">
        <is>
          <t>Global Sec/ Pc</t>
        </is>
      </c>
      <c r="I127" s="1479" t="inlineStr">
        <is>
          <t>Location
LP/FA</t>
        </is>
      </c>
      <c r="J127" s="1432" t="n">
        <v>0</v>
      </c>
      <c r="K127" s="1393" t="inlineStr">
        <is>
          <t>Total</t>
        </is>
      </c>
      <c r="N127" s="1231" t="n"/>
      <c r="O127" s="1344" t="n"/>
      <c r="P127" s="1343" t="n"/>
      <c r="Q127" s="1708" t="n"/>
      <c r="R127" s="1231" t="n"/>
    </row>
    <row r="128" ht="22.5" customHeight="1" s="1134">
      <c r="A128" s="1396" t="inlineStr">
        <is>
          <t>STRIP JACKET</t>
        </is>
      </c>
      <c r="B128" s="1397" t="inlineStr">
        <is>
          <t>multiconductor jacket</t>
        </is>
      </c>
      <c r="C128" s="1514" t="inlineStr">
        <is>
          <t>Jacket Stripper</t>
        </is>
      </c>
      <c r="D128" s="1399" t="n">
        <v>0</v>
      </c>
      <c r="E128" s="1399" t="n">
        <v>80</v>
      </c>
      <c r="F128" s="1399" t="n"/>
      <c r="G128" s="1399" t="n"/>
      <c r="H128" s="1400" t="n">
        <v>5.3</v>
      </c>
      <c r="I128" s="1401" t="inlineStr">
        <is>
          <t>FA</t>
        </is>
      </c>
      <c r="J128" s="1402" t="n">
        <v>0</v>
      </c>
      <c r="K128" s="1403">
        <f>+J128*H128</f>
        <v/>
      </c>
      <c r="L128" s="1231" t="n"/>
      <c r="M128" s="1231" t="inlineStr">
        <is>
          <t>Semi-automatic</t>
        </is>
      </c>
      <c r="N128" s="1231" t="n"/>
      <c r="O128" s="1344" t="n"/>
      <c r="P128" s="1343" t="n"/>
      <c r="Q128" s="1708" t="n"/>
      <c r="R128" s="1231" t="n"/>
    </row>
    <row r="129" ht="22.5" customHeight="1" s="1134">
      <c r="A129" s="1232" t="n"/>
      <c r="B129" s="1233" t="n"/>
      <c r="C129" s="1515" t="inlineStr">
        <is>
          <t>JacketStrip
Schleuniger 8400</t>
        </is>
      </c>
      <c r="D129" s="1399" t="n">
        <v>81</v>
      </c>
      <c r="E129" s="1399" t="n">
        <v>200</v>
      </c>
      <c r="F129" s="1399" t="n"/>
      <c r="G129" s="1399" t="n"/>
      <c r="H129" s="1400" t="n">
        <v>8.4</v>
      </c>
      <c r="I129" s="1401" t="inlineStr">
        <is>
          <t>FA</t>
        </is>
      </c>
      <c r="J129" s="1402" t="n">
        <v>0</v>
      </c>
      <c r="K129" s="1403">
        <f>+J129*H129</f>
        <v/>
      </c>
      <c r="L129" s="1231" t="n"/>
      <c r="M129" s="1231" t="inlineStr">
        <is>
          <t>Manual</t>
        </is>
      </c>
      <c r="N129" s="1231" t="n"/>
      <c r="O129" s="1344" t="n"/>
      <c r="P129" s="1343" t="n"/>
      <c r="Q129" s="1708" t="n"/>
      <c r="R129" s="1231" t="n"/>
    </row>
    <row r="130" ht="22.5" customHeight="1" s="1134">
      <c r="A130" s="1405" t="n"/>
      <c r="B130" s="1406" t="n"/>
      <c r="C130" s="1406" t="n"/>
      <c r="D130" s="1399" t="n">
        <v>201</v>
      </c>
      <c r="E130" s="1399" t="inlineStr">
        <is>
          <t>and more</t>
        </is>
      </c>
      <c r="F130" s="1399" t="n"/>
      <c r="G130" s="1399" t="n"/>
      <c r="H130" s="1400" t="n">
        <v>35.84</v>
      </c>
      <c r="I130" s="1401" t="inlineStr">
        <is>
          <t>FA</t>
        </is>
      </c>
      <c r="J130" s="1402" t="n">
        <v>0</v>
      </c>
      <c r="K130" s="1403">
        <f>+J130*H130</f>
        <v/>
      </c>
      <c r="L130" s="1231" t="n"/>
      <c r="M130" s="1231" t="inlineStr">
        <is>
          <t>Manual</t>
        </is>
      </c>
      <c r="N130" s="1231" t="n"/>
      <c r="O130" s="1344" t="n"/>
      <c r="P130" s="1343" t="n"/>
      <c r="Q130" s="1708" t="n"/>
      <c r="R130" s="1231" t="n"/>
    </row>
    <row r="131" ht="22.5" customHeight="1" s="1134">
      <c r="A131" s="1396" t="inlineStr">
        <is>
          <t>TAKE OFF INSULATION</t>
        </is>
      </c>
      <c r="B131" s="1397" t="inlineStr">
        <is>
          <t>Take off outer jacket of mulitconductor</t>
        </is>
      </c>
      <c r="C131" s="1398" t="inlineStr">
        <is>
          <t>hand work</t>
        </is>
      </c>
      <c r="D131" s="1516" t="n"/>
      <c r="E131" s="1516" t="n"/>
      <c r="F131" s="1516" t="n"/>
      <c r="G131" s="1516" t="n"/>
      <c r="H131" s="1400" t="n">
        <v>2.23</v>
      </c>
      <c r="I131" s="1401" t="inlineStr">
        <is>
          <t>FA</t>
        </is>
      </c>
      <c r="J131" s="1402" t="n">
        <v>0</v>
      </c>
      <c r="K131" s="1403">
        <f>+J131*H131</f>
        <v/>
      </c>
      <c r="L131" s="1231" t="n"/>
      <c r="M131" s="1231" t="inlineStr">
        <is>
          <t>Manual</t>
        </is>
      </c>
      <c r="N131" s="1231" t="n"/>
      <c r="O131" s="1344" t="n"/>
      <c r="P131" s="1343" t="n"/>
      <c r="Q131" s="1708" t="n"/>
      <c r="R131" s="1231" t="n"/>
    </row>
    <row r="132" ht="22.5" customHeight="1" s="1134">
      <c r="A132" s="1396" t="inlineStr">
        <is>
          <t>CUT INNER WIRES</t>
        </is>
      </c>
      <c r="B132" s="1397" t="inlineStr">
        <is>
          <t>Cut short leads from Coaxial Cable</t>
        </is>
      </c>
      <c r="C132" s="1397" t="inlineStr">
        <is>
          <t>cut inner wires station (scissors) / hand work</t>
        </is>
      </c>
      <c r="D132" s="1399" t="n"/>
      <c r="E132" s="1399" t="n"/>
      <c r="F132" s="1399" t="n"/>
      <c r="G132" s="1399" t="n"/>
      <c r="H132" s="1400" t="n">
        <v>4.46</v>
      </c>
      <c r="I132" s="1401" t="inlineStr">
        <is>
          <t>FA</t>
        </is>
      </c>
      <c r="J132" s="1402" t="n">
        <v>0</v>
      </c>
      <c r="K132" s="1403">
        <f>+J132*H132</f>
        <v/>
      </c>
      <c r="L132" s="1231" t="n"/>
      <c r="M132" s="1231" t="inlineStr">
        <is>
          <t>Manual</t>
        </is>
      </c>
      <c r="N132" s="1231" t="n"/>
      <c r="O132" s="1344" t="n"/>
      <c r="P132" s="1343" t="n"/>
      <c r="Q132" s="1708" t="n"/>
      <c r="R132" s="1231" t="n"/>
    </row>
    <row r="133" ht="22.5" customHeight="1" s="1134">
      <c r="A133" s="1396" t="inlineStr">
        <is>
          <t>STRIP INNER WIRES</t>
        </is>
      </c>
      <c r="B133" s="1397" t="inlineStr">
        <is>
          <t>strip multiconductor Inner wires</t>
        </is>
      </c>
      <c r="C133" s="1397" t="inlineStr">
        <is>
          <t>Wire Stripper / per stripe</t>
        </is>
      </c>
      <c r="D133" s="1399" t="n"/>
      <c r="E133" s="1399" t="n"/>
      <c r="F133" s="1399" t="n"/>
      <c r="G133" s="1399" t="n"/>
      <c r="H133" s="1400" t="n">
        <v>2.5</v>
      </c>
      <c r="I133" s="1401" t="inlineStr">
        <is>
          <t>FA</t>
        </is>
      </c>
      <c r="J133" s="1402" t="n">
        <v>0</v>
      </c>
      <c r="K133" s="1403">
        <f>+J133*H133</f>
        <v/>
      </c>
      <c r="L133" s="1231" t="n"/>
      <c r="M133" s="1231" t="inlineStr">
        <is>
          <t>Manual</t>
        </is>
      </c>
      <c r="N133" s="1231" t="n"/>
      <c r="O133" s="1344" t="n"/>
      <c r="P133" s="1343" t="n"/>
      <c r="Q133" s="1708" t="n"/>
      <c r="R133" s="1231" t="n"/>
    </row>
    <row r="134" ht="22.5" customHeight="1" s="1134">
      <c r="A134" s="1396" t="inlineStr">
        <is>
          <t>DEFOIL</t>
        </is>
      </c>
      <c r="B134" s="1397" t="inlineStr">
        <is>
          <t>Multiconductor with aluminum foil / cut aluminium foil around the inner wiress</t>
        </is>
      </c>
      <c r="C134" s="1397" t="inlineStr">
        <is>
          <t>Defoil station  (scissors)</t>
        </is>
      </c>
      <c r="D134" s="1399" t="n"/>
      <c r="E134" s="1399" t="n"/>
      <c r="F134" s="1399" t="n"/>
      <c r="G134" s="1399" t="n"/>
      <c r="H134" s="1400" t="n">
        <v>6.7</v>
      </c>
      <c r="I134" s="1401" t="inlineStr">
        <is>
          <t>FA</t>
        </is>
      </c>
      <c r="J134" s="1402" t="n">
        <v>0</v>
      </c>
      <c r="K134" s="1403">
        <f>+J134*H134</f>
        <v/>
      </c>
      <c r="L134" s="1231" t="n"/>
      <c r="M134" s="1231" t="inlineStr">
        <is>
          <t>Automatic</t>
        </is>
      </c>
      <c r="N134" s="1231" t="n"/>
      <c r="O134" s="1344" t="n"/>
      <c r="P134" s="1343" t="n"/>
      <c r="Q134" s="1708" t="n"/>
      <c r="R134" s="1231" t="n"/>
    </row>
    <row r="135" ht="25.5" customHeight="1" s="1134">
      <c r="A135" s="1396" t="inlineStr">
        <is>
          <t>CUT BRAIDED SHIELD &amp; DRAIN WIRE (if available)</t>
        </is>
      </c>
      <c r="B135" s="1397" t="inlineStr">
        <is>
          <t>cut multiconductor braided shield</t>
        </is>
      </c>
      <c r="C135" s="1397" t="inlineStr">
        <is>
          <t>cut braided shield station (scissors)</t>
        </is>
      </c>
      <c r="D135" s="1399" t="n"/>
      <c r="E135" s="1399" t="n"/>
      <c r="F135" s="1399" t="n"/>
      <c r="G135" s="1399" t="n"/>
      <c r="H135" s="1400" t="n">
        <v>18.56</v>
      </c>
      <c r="I135" s="1401" t="inlineStr">
        <is>
          <t>FA</t>
        </is>
      </c>
      <c r="J135" s="1402" t="n">
        <v>0</v>
      </c>
      <c r="K135" s="1403">
        <f>+J135*H135</f>
        <v/>
      </c>
      <c r="L135" s="1231" t="n"/>
      <c r="M135" s="1231" t="inlineStr">
        <is>
          <t>Automatic</t>
        </is>
      </c>
      <c r="N135" s="1231" t="n"/>
      <c r="O135" s="1344" t="n"/>
      <c r="P135" s="1343" t="n"/>
      <c r="Q135" s="1708" t="n"/>
      <c r="R135" s="1231" t="n"/>
    </row>
    <row r="136" ht="22.5" customHeight="1" s="1134">
      <c r="A136" s="1396" t="inlineStr">
        <is>
          <t>CUT &amp; TWIST SHIELD</t>
        </is>
      </c>
      <c r="B136" s="1397" t="inlineStr">
        <is>
          <t>Cut &amp; Twist Shield from Coaxial Cables</t>
        </is>
      </c>
      <c r="C136" s="1397" t="inlineStr">
        <is>
          <t>Cut &amp; Twist Shield station</t>
        </is>
      </c>
      <c r="D136" s="1399" t="n">
        <v>0</v>
      </c>
      <c r="E136" s="1399" t="n">
        <v>30</v>
      </c>
      <c r="F136" s="1399" t="n"/>
      <c r="G136" s="1399" t="n"/>
      <c r="H136" s="1400" t="n">
        <v>16.56</v>
      </c>
      <c r="I136" s="1401" t="inlineStr">
        <is>
          <t>FA</t>
        </is>
      </c>
      <c r="J136" s="1402" t="n">
        <v>0</v>
      </c>
      <c r="K136" s="1403">
        <f>+J136*H136</f>
        <v/>
      </c>
      <c r="L136" s="1231" t="n"/>
      <c r="M136" s="1231" t="inlineStr">
        <is>
          <t>Manual</t>
        </is>
      </c>
      <c r="N136" s="1231" t="n"/>
      <c r="O136" s="1344" t="n"/>
      <c r="P136" s="1343" t="n"/>
      <c r="Q136" s="1708" t="n"/>
      <c r="R136" s="1231" t="n"/>
    </row>
    <row r="137" ht="22.5" customHeight="1" s="1134">
      <c r="A137" s="1396" t="n"/>
      <c r="B137" s="1397" t="n"/>
      <c r="C137" s="1397" t="n"/>
      <c r="D137" s="1399" t="n">
        <v>31</v>
      </c>
      <c r="E137" s="1399" t="n">
        <v>60</v>
      </c>
      <c r="F137" s="1399" t="n"/>
      <c r="G137" s="1399" t="n"/>
      <c r="H137" s="1400" t="n">
        <v>17.46</v>
      </c>
      <c r="I137" s="1401" t="inlineStr">
        <is>
          <t>FA</t>
        </is>
      </c>
      <c r="J137" s="1402" t="n">
        <v>0</v>
      </c>
      <c r="K137" s="1403">
        <f>+J137*H137</f>
        <v/>
      </c>
      <c r="L137" s="1231" t="n"/>
      <c r="M137" s="1231" t="inlineStr">
        <is>
          <t>Manual</t>
        </is>
      </c>
      <c r="N137" s="1231" t="n"/>
      <c r="O137" s="1344" t="n"/>
      <c r="P137" s="1343" t="n"/>
      <c r="Q137" s="1708" t="n"/>
      <c r="R137" s="1231" t="n"/>
    </row>
    <row r="138" ht="22.5" customHeight="1" s="1134">
      <c r="A138" s="1396" t="n"/>
      <c r="B138" s="1397" t="n"/>
      <c r="C138" s="1397" t="n"/>
      <c r="D138" s="1399" t="n">
        <v>61</v>
      </c>
      <c r="E138" s="1399" t="n">
        <v>90</v>
      </c>
      <c r="F138" s="1399" t="n"/>
      <c r="G138" s="1399" t="n"/>
      <c r="H138" s="1400" t="n">
        <v>18.4</v>
      </c>
      <c r="I138" s="1401" t="inlineStr">
        <is>
          <t>FA</t>
        </is>
      </c>
      <c r="J138" s="1402" t="n">
        <v>0</v>
      </c>
      <c r="K138" s="1403">
        <f>+J138*H138</f>
        <v/>
      </c>
      <c r="L138" s="1231" t="n"/>
      <c r="M138" s="1231" t="inlineStr">
        <is>
          <t>Manual</t>
        </is>
      </c>
      <c r="N138" s="1231" t="n"/>
      <c r="O138" s="1344" t="n"/>
      <c r="P138" s="1343" t="n"/>
      <c r="Q138" s="1708" t="n"/>
      <c r="R138" s="1231" t="n"/>
    </row>
    <row r="139" ht="24.75" customFormat="1" customHeight="1" s="1132">
      <c r="A139" s="1396" t="inlineStr">
        <is>
          <t>APPLY FERRITE</t>
        </is>
      </c>
      <c r="B139" s="1397" t="inlineStr">
        <is>
          <t>apply ferrite</t>
        </is>
      </c>
      <c r="C139" s="1517" t="inlineStr">
        <is>
          <t>Ferrite Station</t>
        </is>
      </c>
      <c r="D139" s="1399" t="n"/>
      <c r="E139" s="1399" t="n"/>
      <c r="F139" s="1399" t="n"/>
      <c r="G139" s="1399" t="n"/>
      <c r="H139" s="1400" t="n">
        <v>8</v>
      </c>
      <c r="I139" s="1401" t="inlineStr">
        <is>
          <t>FA</t>
        </is>
      </c>
      <c r="J139" s="1402" t="n">
        <v>0</v>
      </c>
      <c r="K139" s="1403">
        <f>+J139*H139</f>
        <v/>
      </c>
      <c r="L139" s="1231" t="n"/>
      <c r="M139" s="1231" t="inlineStr">
        <is>
          <t>Automatic</t>
        </is>
      </c>
      <c r="N139" s="1231" t="n"/>
      <c r="O139" s="1344" t="n"/>
      <c r="P139" s="1343" t="n"/>
      <c r="Q139" s="1708" t="n"/>
      <c r="R139" s="1231" t="n"/>
      <c r="S139" s="1132" t="n"/>
    </row>
    <row r="140" ht="24.75" customFormat="1" customHeight="1" s="1132">
      <c r="A140" s="1396" t="inlineStr">
        <is>
          <t>FILLER REMOVAL</t>
        </is>
      </c>
      <c r="B140" s="1397" t="inlineStr">
        <is>
          <t>cut off filler inside multiconductor cable</t>
        </is>
      </c>
      <c r="C140" s="1397" t="inlineStr">
        <is>
          <t>hand work (scissors)</t>
        </is>
      </c>
      <c r="D140" s="1399" t="n"/>
      <c r="E140" s="1399" t="n"/>
      <c r="F140" s="1399" t="n"/>
      <c r="G140" s="1399" t="n"/>
      <c r="H140" s="1400" t="n">
        <v>2.5</v>
      </c>
      <c r="I140" s="1401" t="inlineStr">
        <is>
          <t>FA</t>
        </is>
      </c>
      <c r="J140" s="1402" t="n">
        <v>0</v>
      </c>
      <c r="K140" s="1403">
        <f>+J140*H140</f>
        <v/>
      </c>
      <c r="L140" s="1231" t="n"/>
      <c r="M140" s="1231" t="inlineStr">
        <is>
          <t>Manual</t>
        </is>
      </c>
      <c r="N140" s="1231" t="n"/>
      <c r="O140" s="1344" t="n"/>
      <c r="P140" s="1343" t="n"/>
      <c r="Q140" s="1708" t="n"/>
      <c r="R140" s="1231" t="n"/>
      <c r="S140" s="1132" t="n"/>
    </row>
    <row r="141" ht="24.75" customFormat="1" customHeight="1" s="1132">
      <c r="A141" s="1421" t="inlineStr">
        <is>
          <t>APPLY FERRULE (metal ring)</t>
        </is>
      </c>
      <c r="B141" s="1415" t="inlineStr">
        <is>
          <t>Put ferrule on the cable</t>
        </is>
      </c>
      <c r="C141" s="1415" t="inlineStr">
        <is>
          <t>hand work</t>
        </is>
      </c>
      <c r="D141" s="1490" t="n"/>
      <c r="E141" s="1490" t="n"/>
      <c r="F141" s="1490" t="n"/>
      <c r="G141" s="1490" t="n"/>
      <c r="H141" s="1476" t="n">
        <v>4.2</v>
      </c>
      <c r="I141" s="1401" t="inlineStr">
        <is>
          <t>FA</t>
        </is>
      </c>
      <c r="J141" s="1518" t="n">
        <v>0</v>
      </c>
      <c r="K141" s="1403">
        <f>+J141*H141</f>
        <v/>
      </c>
      <c r="L141" s="1231" t="n"/>
      <c r="M141" s="1231" t="inlineStr">
        <is>
          <t>Manual</t>
        </is>
      </c>
      <c r="N141" s="1231" t="n"/>
      <c r="O141" s="1344" t="n"/>
      <c r="P141" s="1343" t="n"/>
      <c r="Q141" s="1708" t="n"/>
      <c r="R141" s="1231" t="n"/>
      <c r="S141" s="1132" t="n"/>
    </row>
    <row r="142" ht="24.75" customFormat="1" customHeight="1" s="1132">
      <c r="A142" s="1396" t="n"/>
      <c r="B142" s="1397" t="n"/>
      <c r="C142" s="1397" t="n"/>
      <c r="D142" s="1397" t="n"/>
      <c r="E142" s="1399" t="n"/>
      <c r="F142" s="1399" t="n"/>
      <c r="G142" s="1399" t="n"/>
      <c r="H142" s="1486" t="n"/>
      <c r="I142" s="1401" t="n"/>
      <c r="J142" s="1402" t="n">
        <v>0</v>
      </c>
      <c r="K142" s="1403">
        <f>+J142*H142</f>
        <v/>
      </c>
      <c r="N142" s="1231" t="n"/>
      <c r="O142" s="1344" t="n"/>
      <c r="P142" s="1343" t="n"/>
      <c r="Q142" s="1344" t="n"/>
      <c r="R142" s="1132" t="n"/>
      <c r="S142" s="1132" t="n"/>
    </row>
    <row r="143" ht="24.75" customFormat="1" customHeight="1" s="1132">
      <c r="A143" s="1396" t="n"/>
      <c r="B143" s="1397" t="n"/>
      <c r="C143" s="1397" t="n"/>
      <c r="D143" s="1399" t="n"/>
      <c r="E143" s="1399" t="n"/>
      <c r="F143" s="1399" t="n"/>
      <c r="G143" s="1399" t="n"/>
      <c r="H143" s="1486" t="n"/>
      <c r="I143" s="1401" t="n"/>
      <c r="J143" s="1402" t="n">
        <v>0</v>
      </c>
      <c r="K143" s="1403">
        <f>+J143*H143</f>
        <v/>
      </c>
      <c r="N143" s="1231" t="n"/>
      <c r="O143" s="1344" t="n"/>
      <c r="P143" s="1343" t="n"/>
      <c r="Q143" s="1344" t="n"/>
      <c r="R143" s="1132" t="n"/>
      <c r="S143" s="1132" t="n"/>
    </row>
    <row r="144" ht="24.75" customFormat="1" customHeight="1" s="1132">
      <c r="A144" s="1396" t="n"/>
      <c r="B144" s="1397" t="n"/>
      <c r="C144" s="1397" t="n"/>
      <c r="D144" s="1399" t="n"/>
      <c r="E144" s="1399" t="n"/>
      <c r="F144" s="1399" t="n"/>
      <c r="G144" s="1399" t="n"/>
      <c r="H144" s="1486" t="n"/>
      <c r="I144" s="1401" t="n"/>
      <c r="J144" s="1402" t="n">
        <v>0</v>
      </c>
      <c r="K144" s="1403">
        <f>+J144*H144</f>
        <v/>
      </c>
      <c r="N144" s="1231" t="n"/>
      <c r="O144" s="1344" t="n"/>
      <c r="P144" s="1343" t="n"/>
      <c r="Q144" s="1344" t="n"/>
      <c r="R144" s="1132" t="n"/>
      <c r="S144" s="1132" t="n"/>
    </row>
    <row r="145" ht="24.75" customFormat="1" customHeight="1" s="1132">
      <c r="A145" s="1464" t="n"/>
      <c r="B145" s="1465" t="n"/>
      <c r="C145" s="1465" t="n"/>
      <c r="D145" s="1490" t="n"/>
      <c r="E145" s="1490" t="n"/>
      <c r="F145" s="1490" t="n"/>
      <c r="G145" s="1490" t="n"/>
      <c r="H145" s="1519" t="n"/>
      <c r="I145" s="1468" t="n"/>
      <c r="J145" s="1469" t="n">
        <v>0</v>
      </c>
      <c r="K145" s="1477" t="n"/>
      <c r="N145" s="1231" t="n"/>
      <c r="O145" s="1344" t="n"/>
      <c r="P145" s="1343" t="n"/>
      <c r="Q145" s="1344" t="n"/>
      <c r="R145" s="1132" t="n"/>
      <c r="S145" s="1132" t="n"/>
    </row>
    <row r="146" ht="53.25" customFormat="1" customHeight="1" s="1391">
      <c r="A146" s="1216" t="inlineStr">
        <is>
          <t>Operation</t>
        </is>
      </c>
      <c r="B146" s="1217" t="inlineStr">
        <is>
          <t>COMMENTS</t>
        </is>
      </c>
      <c r="C146" s="1217" t="inlineStr">
        <is>
          <t>Machine Vendor</t>
        </is>
      </c>
      <c r="D146" s="1217" t="inlineStr">
        <is>
          <t>Min Gage</t>
        </is>
      </c>
      <c r="E146" s="1217" t="inlineStr">
        <is>
          <t>Max Gage</t>
        </is>
      </c>
      <c r="F146" s="1217" t="n"/>
      <c r="G146" s="1217" t="n"/>
      <c r="H146" s="1392" t="inlineStr">
        <is>
          <t>Global Sec/ Pc</t>
        </is>
      </c>
      <c r="I146" s="1479" t="inlineStr">
        <is>
          <t>Location
LP/FA</t>
        </is>
      </c>
      <c r="J146" s="1432" t="n">
        <v>0</v>
      </c>
      <c r="K146" s="1393" t="inlineStr">
        <is>
          <t>Total</t>
        </is>
      </c>
      <c r="N146" s="1231" t="n"/>
      <c r="O146" s="1344" t="n"/>
      <c r="P146" s="1343" t="n"/>
      <c r="Q146" s="1344" t="n"/>
      <c r="R146" s="1132" t="n"/>
      <c r="S146" s="1132" t="n"/>
    </row>
    <row r="147" ht="22.5" customFormat="1" customHeight="1" s="1132">
      <c r="A147" s="1491" t="inlineStr">
        <is>
          <t>UCAB /ULTRASONIC WELDING</t>
        </is>
      </c>
      <c r="B147" s="1497" t="inlineStr">
        <is>
          <t>Per splice</t>
        </is>
      </c>
      <c r="C147" s="1520" t="n"/>
      <c r="D147" s="1399" t="n"/>
      <c r="E147" s="1399" t="n"/>
      <c r="F147" s="1399" t="n"/>
      <c r="G147" s="1399" t="n"/>
      <c r="H147" s="1521" t="n">
        <v>3.83</v>
      </c>
      <c r="I147" s="1401" t="inlineStr">
        <is>
          <t>FA</t>
        </is>
      </c>
      <c r="J147" s="1313" t="n">
        <v>0</v>
      </c>
      <c r="K147" s="1403">
        <f>+J147*H147</f>
        <v/>
      </c>
      <c r="M147" s="1132" t="inlineStr">
        <is>
          <t>Automatic</t>
        </is>
      </c>
      <c r="N147" s="1231" t="n"/>
      <c r="O147" s="1344" t="n"/>
      <c r="P147" s="1343" t="n"/>
      <c r="Q147" s="1344" t="n"/>
      <c r="R147" s="1132" t="n"/>
      <c r="S147" s="1132" t="n"/>
    </row>
    <row r="148" ht="22.5" customFormat="1" customHeight="1" s="1132">
      <c r="A148" s="1232" t="n"/>
      <c r="B148" s="1497" t="inlineStr">
        <is>
          <t>Per wire</t>
        </is>
      </c>
      <c r="C148" s="1503" t="n"/>
      <c r="D148" s="1522" t="n"/>
      <c r="E148" s="1522" t="n"/>
      <c r="F148" s="1522" t="n"/>
      <c r="G148" s="1522" t="n"/>
      <c r="H148" s="1523" t="n">
        <v>3.53</v>
      </c>
      <c r="I148" s="1524" t="inlineStr">
        <is>
          <t>FA</t>
        </is>
      </c>
      <c r="J148" s="1525" t="n">
        <v>0</v>
      </c>
      <c r="K148" s="1526">
        <f>+J148*H148</f>
        <v/>
      </c>
      <c r="M148" s="1132" t="inlineStr">
        <is>
          <t>Automatic</t>
        </is>
      </c>
      <c r="N148" s="1231" t="n"/>
      <c r="O148" s="1344" t="n"/>
      <c r="P148" s="1407" t="n"/>
      <c r="Q148" s="1344" t="n"/>
      <c r="R148" s="1132" t="n"/>
      <c r="S148" s="1132" t="n"/>
    </row>
    <row r="149" ht="133.5" customFormat="1" customHeight="1" s="1132">
      <c r="A149" s="1405" t="n"/>
      <c r="B149" s="1497" t="inlineStr">
        <is>
          <t>NOTE: when Region requires that Butt splices for 0.13mm  and other sensible splices to be bent (make the loop) then apply an extra time same as the one per wire to do the loop. (Spot tapes needs to be added to the harness to be paid as spot tape in other cathegory).</t>
        </is>
      </c>
      <c r="C149" s="1406" t="n"/>
      <c r="D149" s="1406" t="n"/>
      <c r="E149" s="1406" t="n"/>
      <c r="F149" s="1406" t="n"/>
      <c r="G149" s="1406" t="n"/>
      <c r="H149" s="1406" t="n"/>
      <c r="I149" s="1527" t="n"/>
      <c r="J149" s="1406" t="n"/>
      <c r="K149" s="1528" t="n"/>
      <c r="L149" s="1529" t="n"/>
      <c r="M149" s="1529" t="inlineStr">
        <is>
          <t>Automatic</t>
        </is>
      </c>
      <c r="N149" s="1231" t="n"/>
      <c r="O149" s="1344" t="n"/>
      <c r="P149" s="1343" t="n"/>
      <c r="Q149" s="1708" t="n"/>
      <c r="R149" s="1231" t="n"/>
      <c r="S149" s="1132" t="n"/>
      <c r="T149" s="1132" t="n"/>
      <c r="U149" s="1132" t="n"/>
      <c r="V149" s="1132" t="n"/>
      <c r="W149" s="1132" t="n"/>
      <c r="X149" s="1132" t="n"/>
      <c r="Y149" s="1132" t="n"/>
      <c r="Z149" s="1132" t="n"/>
      <c r="AA149" s="1132" t="n"/>
      <c r="AB149" s="1132" t="n"/>
      <c r="AC149" s="1132" t="n"/>
      <c r="AD149" s="1132" t="n"/>
      <c r="AE149" s="1132" t="n"/>
      <c r="AF149" s="1132" t="n"/>
      <c r="AG149" s="1132" t="n"/>
      <c r="AH149" s="1132" t="n"/>
      <c r="AI149" s="1132" t="n"/>
      <c r="AJ149" s="1132" t="n"/>
      <c r="AK149" s="1132" t="n"/>
      <c r="AL149" s="1132" t="n"/>
      <c r="AM149" s="1132" t="n"/>
      <c r="AN149" s="1132" t="n"/>
      <c r="AO149" s="1132" t="n"/>
      <c r="AP149" s="1132" t="n"/>
      <c r="AQ149" s="1132" t="n"/>
      <c r="AR149" s="1132" t="n"/>
      <c r="AS149" s="1132" t="n"/>
      <c r="AT149" s="1132" t="n"/>
      <c r="AU149" s="1132" t="n"/>
      <c r="AV149" s="1132" t="n"/>
      <c r="AW149" s="1132" t="n"/>
      <c r="AX149" s="1132" t="n"/>
      <c r="AY149" s="1132" t="n"/>
      <c r="AZ149" s="1132" t="n"/>
      <c r="BA149" s="1132" t="n"/>
      <c r="BB149" s="1132" t="n"/>
      <c r="BC149" s="1132" t="n"/>
      <c r="BD149" s="1132" t="n"/>
      <c r="BE149" s="1132" t="n"/>
      <c r="BF149" s="1132" t="n"/>
      <c r="BG149" s="1132" t="n"/>
      <c r="BH149" s="1132" t="n"/>
      <c r="BI149" s="1132" t="n"/>
      <c r="BJ149" s="1132" t="n"/>
      <c r="BK149" s="1132" t="n"/>
      <c r="BL149" s="1132" t="n"/>
      <c r="BM149" s="1132" t="n"/>
      <c r="BN149" s="1132" t="n"/>
      <c r="BO149" s="1132" t="n"/>
      <c r="BP149" s="1132" t="n"/>
      <c r="BQ149" s="1132" t="n"/>
      <c r="BR149" s="1132" t="n"/>
      <c r="BS149" s="1132" t="n"/>
      <c r="BT149" s="1132" t="n"/>
      <c r="BU149" s="1132" t="n"/>
      <c r="BV149" s="1132" t="n"/>
      <c r="BW149" s="1132" t="n"/>
      <c r="BX149" s="1132" t="n"/>
      <c r="BY149" s="1132" t="n"/>
      <c r="BZ149" s="1132" t="n"/>
      <c r="CA149" s="1132" t="n"/>
      <c r="CB149" s="1132" t="n"/>
      <c r="CC149" s="1132" t="n"/>
      <c r="CD149" s="1132" t="n"/>
      <c r="CE149" s="1132" t="n"/>
      <c r="CF149" s="1132" t="n"/>
      <c r="CG149" s="1132" t="n"/>
      <c r="CH149" s="1132" t="n"/>
      <c r="CI149" s="1132" t="n"/>
      <c r="CJ149" s="1132" t="n"/>
      <c r="CK149" s="1132" t="n"/>
      <c r="CL149" s="1132" t="n"/>
      <c r="CM149" s="1132" t="n"/>
      <c r="CN149" s="1132" t="n"/>
      <c r="CO149" s="1132" t="n"/>
      <c r="CP149" s="1132" t="n"/>
      <c r="CQ149" s="1132" t="n"/>
    </row>
    <row r="150" ht="32.25" customFormat="1" customHeight="1" s="1530">
      <c r="A150" s="1491" t="inlineStr">
        <is>
          <t>CAP COVER APPLICATION - EU</t>
        </is>
      </c>
      <c r="B150" s="1497" t="inlineStr">
        <is>
          <t>splice cap cover (glued) application</t>
        </is>
      </c>
      <c r="C150" s="1398" t="n"/>
      <c r="D150" s="1399" t="n"/>
      <c r="E150" s="1399" t="n"/>
      <c r="F150" s="1399" t="n"/>
      <c r="G150" s="1399" t="n"/>
      <c r="H150" s="1400" t="n">
        <v>6.3</v>
      </c>
      <c r="I150" s="1401" t="inlineStr">
        <is>
          <t>FA</t>
        </is>
      </c>
      <c r="J150" s="1402" t="n">
        <v>0</v>
      </c>
      <c r="K150" s="1403">
        <f>+J150*H150</f>
        <v/>
      </c>
      <c r="L150" s="1529" t="n"/>
      <c r="M150" s="1529" t="inlineStr">
        <is>
          <t>Automatic</t>
        </is>
      </c>
      <c r="N150" s="1231" t="n"/>
      <c r="O150" s="1344" t="n"/>
      <c r="P150" s="1343" t="n"/>
      <c r="Q150" s="1708" t="n"/>
      <c r="R150" s="1231" t="n"/>
      <c r="S150" s="1132" t="n"/>
      <c r="T150" s="1132" t="n"/>
      <c r="U150" s="1132" t="n"/>
      <c r="V150" s="1132" t="n"/>
      <c r="W150" s="1132" t="n"/>
      <c r="X150" s="1132" t="n"/>
      <c r="Y150" s="1132" t="n"/>
      <c r="Z150" s="1132" t="n"/>
      <c r="AA150" s="1132" t="n"/>
      <c r="AB150" s="1132" t="n"/>
      <c r="AC150" s="1132" t="n"/>
      <c r="AD150" s="1132" t="n"/>
      <c r="AE150" s="1132" t="n"/>
      <c r="AF150" s="1132" t="n"/>
      <c r="AG150" s="1132" t="n"/>
      <c r="AH150" s="1132" t="n"/>
      <c r="AI150" s="1132" t="n"/>
      <c r="AJ150" s="1132" t="n"/>
      <c r="AK150" s="1132" t="n"/>
      <c r="AL150" s="1132" t="n"/>
      <c r="AM150" s="1132" t="n"/>
      <c r="AN150" s="1132" t="n"/>
      <c r="AO150" s="1132" t="n"/>
      <c r="AP150" s="1132" t="n"/>
      <c r="AQ150" s="1132" t="n"/>
      <c r="AR150" s="1132" t="n"/>
      <c r="AS150" s="1132" t="n"/>
      <c r="AT150" s="1132" t="n"/>
      <c r="AU150" s="1132" t="n"/>
      <c r="AV150" s="1132" t="n"/>
      <c r="AW150" s="1132" t="n"/>
      <c r="AX150" s="1132" t="n"/>
      <c r="AY150" s="1132" t="n"/>
      <c r="AZ150" s="1132" t="n"/>
      <c r="BA150" s="1132" t="n"/>
      <c r="BB150" s="1132" t="n"/>
      <c r="BC150" s="1132" t="n"/>
      <c r="BD150" s="1132" t="n"/>
      <c r="BE150" s="1132" t="n"/>
      <c r="BF150" s="1132" t="n"/>
      <c r="BG150" s="1132" t="n"/>
      <c r="BH150" s="1132" t="n"/>
      <c r="BI150" s="1132" t="n"/>
      <c r="BJ150" s="1132" t="n"/>
      <c r="BK150" s="1132" t="n"/>
      <c r="BL150" s="1132" t="n"/>
      <c r="BM150" s="1132" t="n"/>
      <c r="BN150" s="1132" t="n"/>
      <c r="BO150" s="1132" t="n"/>
      <c r="BP150" s="1132" t="n"/>
      <c r="BQ150" s="1132" t="n"/>
      <c r="BR150" s="1132" t="n"/>
      <c r="BS150" s="1132" t="n"/>
      <c r="BT150" s="1132" t="n"/>
      <c r="BU150" s="1132" t="n"/>
      <c r="BV150" s="1132" t="n"/>
      <c r="BW150" s="1132" t="n"/>
      <c r="BX150" s="1132" t="n"/>
      <c r="BY150" s="1132" t="n"/>
      <c r="BZ150" s="1132" t="n"/>
      <c r="CA150" s="1132" t="n"/>
      <c r="CB150" s="1132" t="n"/>
      <c r="CC150" s="1132" t="n"/>
      <c r="CD150" s="1132" t="n"/>
      <c r="CE150" s="1132" t="n"/>
      <c r="CF150" s="1132" t="n"/>
      <c r="CG150" s="1132" t="n"/>
      <c r="CH150" s="1132" t="n"/>
      <c r="CI150" s="1132" t="n"/>
      <c r="CJ150" s="1132" t="n"/>
      <c r="CK150" s="1132" t="n"/>
      <c r="CL150" s="1132" t="n"/>
      <c r="CM150" s="1132" t="n"/>
      <c r="CN150" s="1132" t="n"/>
      <c r="CO150" s="1132" t="n"/>
      <c r="CP150" s="1132" t="n"/>
      <c r="CQ150" s="1132" t="n"/>
    </row>
    <row r="151" ht="18" customHeight="1" s="1134">
      <c r="A151" s="1491" t="inlineStr">
        <is>
          <t>HEAT SHRINK</t>
        </is>
      </c>
      <c r="B151" s="1497" t="inlineStr">
        <is>
          <t>heat shrinking for splices ( std based on tubes diameter)</t>
        </is>
      </c>
      <c r="C151" s="1503" t="inlineStr">
        <is>
          <t>Heat Shrink splice station</t>
        </is>
      </c>
      <c r="D151" s="1399" t="n">
        <v>0</v>
      </c>
      <c r="E151" s="1399" t="n">
        <v>6</v>
      </c>
      <c r="F151" s="1399" t="n">
        <v>0</v>
      </c>
      <c r="G151" s="1399" t="n">
        <v>99999</v>
      </c>
      <c r="H151" s="1400" t="n">
        <v>13.01</v>
      </c>
      <c r="I151" s="1401" t="inlineStr">
        <is>
          <t>FA</t>
        </is>
      </c>
      <c r="J151" s="1402" t="n">
        <v>0</v>
      </c>
      <c r="K151" s="1403">
        <f>+J151*H151</f>
        <v/>
      </c>
      <c r="L151" s="1531" t="n"/>
      <c r="M151" s="1531" t="inlineStr">
        <is>
          <t>Automatic</t>
        </is>
      </c>
      <c r="N151" s="1231" t="n"/>
      <c r="O151" s="1344" t="n"/>
      <c r="P151" s="1407" t="n"/>
      <c r="Q151" s="1344" t="n"/>
      <c r="R151" s="1231" t="n"/>
    </row>
    <row r="152" ht="18" customHeight="1" s="1134">
      <c r="A152" s="1232" t="n"/>
      <c r="B152" s="1233" t="n"/>
      <c r="C152" s="1233" t="n"/>
      <c r="D152" s="1399" t="n">
        <v>7</v>
      </c>
      <c r="E152" s="1399" t="n">
        <v>13</v>
      </c>
      <c r="F152" s="1399" t="n">
        <v>0</v>
      </c>
      <c r="G152" s="1399" t="n">
        <v>99999</v>
      </c>
      <c r="H152" s="1400" t="n">
        <v>14.72</v>
      </c>
      <c r="I152" s="1401" t="inlineStr">
        <is>
          <t>FA</t>
        </is>
      </c>
      <c r="J152" s="1402" t="n">
        <v>0</v>
      </c>
      <c r="K152" s="1403">
        <f>+J152*H152</f>
        <v/>
      </c>
      <c r="L152" s="1531" t="n"/>
      <c r="M152" s="1531" t="inlineStr">
        <is>
          <t>Automatic</t>
        </is>
      </c>
      <c r="N152" s="1231" t="n"/>
      <c r="O152" s="1344" t="n"/>
      <c r="P152" s="1407" t="n"/>
      <c r="Q152" s="1344" t="n"/>
      <c r="R152" s="1231" t="n"/>
    </row>
    <row r="153" ht="18" customHeight="1" s="1134">
      <c r="A153" s="1405" t="n"/>
      <c r="B153" s="1406" t="n"/>
      <c r="C153" s="1406" t="n"/>
      <c r="D153" s="1399" t="n">
        <v>14</v>
      </c>
      <c r="E153" s="1399" t="n">
        <v>103</v>
      </c>
      <c r="F153" s="1399" t="n">
        <v>0</v>
      </c>
      <c r="G153" s="1399" t="n">
        <v>99999</v>
      </c>
      <c r="H153" s="1400" t="n">
        <v>26.39</v>
      </c>
      <c r="I153" s="1401" t="inlineStr">
        <is>
          <t>FA</t>
        </is>
      </c>
      <c r="J153" s="1402" t="n">
        <v>0</v>
      </c>
      <c r="K153" s="1403">
        <f>+J153*H153</f>
        <v/>
      </c>
      <c r="L153" s="1531" t="n"/>
      <c r="M153" s="1531" t="inlineStr">
        <is>
          <t>Automatic</t>
        </is>
      </c>
      <c r="N153" s="1231" t="n"/>
      <c r="O153" s="1344" t="n"/>
      <c r="P153" s="1407" t="n"/>
      <c r="Q153" s="1344" t="n"/>
      <c r="R153" s="1231" t="n"/>
    </row>
    <row r="154" ht="18" customHeight="1" s="1134">
      <c r="A154" s="1491" t="inlineStr">
        <is>
          <t>Manual taping - SPLICES</t>
        </is>
      </c>
      <c r="B154" s="1497" t="inlineStr">
        <is>
          <t>Splice insulation-Tape 50 mm (tape dipenser to be used)</t>
        </is>
      </c>
      <c r="C154" s="1506" t="inlineStr">
        <is>
          <t>SINGLE SPLICE TAPE  (Single wrap)</t>
        </is>
      </c>
      <c r="D154" s="1532" t="n"/>
      <c r="E154" s="1399" t="n"/>
      <c r="F154" s="1399" t="n"/>
      <c r="G154" s="1399" t="n"/>
      <c r="H154" s="1400" t="n">
        <v>7.6</v>
      </c>
      <c r="I154" s="1401" t="inlineStr">
        <is>
          <t>FA</t>
        </is>
      </c>
      <c r="J154" s="1402" t="n">
        <v>0</v>
      </c>
      <c r="K154" s="1403">
        <f>+J154*H154</f>
        <v/>
      </c>
      <c r="L154" s="1531" t="n"/>
      <c r="M154" s="1531" t="inlineStr">
        <is>
          <t>Automatic</t>
        </is>
      </c>
      <c r="N154" s="1231" t="n"/>
      <c r="O154" s="1344" t="n"/>
      <c r="P154" s="1343" t="n"/>
      <c r="Q154" s="1708" t="n"/>
      <c r="R154" s="1231" t="n"/>
    </row>
    <row r="155" ht="45.75" customHeight="1" s="1134">
      <c r="A155" s="1405" t="n"/>
      <c r="B155" s="1406" t="n"/>
      <c r="C155" s="1506" t="inlineStr">
        <is>
          <t>DOUBLE SPLICE TAPE (Double wrap)
NOTE: only if double covering requested by Customer</t>
        </is>
      </c>
      <c r="D155" s="1532" t="n"/>
      <c r="E155" s="1399" t="n"/>
      <c r="F155" s="1399" t="n"/>
      <c r="G155" s="1399" t="n"/>
      <c r="H155" s="1400" t="n">
        <v>10.6</v>
      </c>
      <c r="I155" s="1401" t="inlineStr">
        <is>
          <t>FA</t>
        </is>
      </c>
      <c r="J155" s="1402" t="n">
        <v>0</v>
      </c>
      <c r="K155" s="1403">
        <f>+J155*H155</f>
        <v/>
      </c>
      <c r="L155" s="1531" t="n"/>
      <c r="M155" s="1531" t="inlineStr">
        <is>
          <t>Automatic</t>
        </is>
      </c>
      <c r="N155" s="1231" t="n"/>
      <c r="O155" s="1344" t="n"/>
      <c r="P155" s="1343" t="n"/>
      <c r="Q155" s="1708" t="n"/>
      <c r="R155" s="1231" t="n"/>
    </row>
    <row r="156" ht="54.75" customHeight="1" s="1134">
      <c r="A156" s="1533" t="inlineStr">
        <is>
          <t>Automatic taping of dual splices
NOTE: only when requested by the Customer</t>
        </is>
      </c>
      <c r="B156" s="1497" t="inlineStr">
        <is>
          <t>Splice insulation - Tape of 38 or 50 mm according to list of approved Mspecs</t>
        </is>
      </c>
      <c r="C156" s="1534" t="inlineStr">
        <is>
          <t>KTB 50 E +</t>
        </is>
      </c>
      <c r="D156" s="1506" t="n"/>
      <c r="E156" s="1437" t="n"/>
      <c r="F156" s="1437" t="n"/>
      <c r="G156" s="1437" t="n"/>
      <c r="H156" s="1400" t="n">
        <v>3.6</v>
      </c>
      <c r="I156" s="1401" t="inlineStr">
        <is>
          <t>FA</t>
        </is>
      </c>
      <c r="J156" s="1469" t="n">
        <v>0</v>
      </c>
      <c r="K156" s="1470">
        <f>+J156*H156</f>
        <v/>
      </c>
      <c r="L156" s="1132" t="n"/>
      <c r="M156" s="1132" t="inlineStr">
        <is>
          <t>Manual</t>
        </is>
      </c>
      <c r="N156" s="1231" t="n"/>
      <c r="O156" s="1344" t="n"/>
      <c r="P156" s="1343" t="n"/>
      <c r="Q156" s="1708" t="n"/>
      <c r="R156" s="1231" t="n"/>
    </row>
    <row r="157" ht="76.5" customHeight="1" s="1134">
      <c r="A157" s="1533" t="inlineStr">
        <is>
          <t>POKE THROUGH DETECTION TEST
(when requested by Customer)</t>
        </is>
      </c>
      <c r="B157" s="1535" t="inlineStr">
        <is>
          <t xml:space="preserve">Take splice off cooling board + Visual inspection of the splice
Introduce splice in machine and do poke through test
Clean the splice off water and mark with green if it passed
</t>
        </is>
      </c>
      <c r="C157" s="1534" t="inlineStr">
        <is>
          <t>Mecalbi STCS-BM3</t>
        </is>
      </c>
      <c r="D157" s="1536" t="n"/>
      <c r="E157" s="1437" t="n"/>
      <c r="F157" s="1437" t="n"/>
      <c r="G157" s="1437" t="n"/>
      <c r="H157" s="1400" t="n">
        <v>10</v>
      </c>
      <c r="I157" s="1401" t="inlineStr">
        <is>
          <t>FA</t>
        </is>
      </c>
      <c r="J157" s="1469" t="n">
        <v>0</v>
      </c>
      <c r="K157" s="1470">
        <f>+J157*H157</f>
        <v/>
      </c>
      <c r="L157" s="1531" t="n"/>
      <c r="M157" s="1531" t="inlineStr">
        <is>
          <t>Manual</t>
        </is>
      </c>
      <c r="N157" s="1231" t="n"/>
      <c r="O157" s="1344" t="n"/>
      <c r="P157" s="1343" t="n"/>
      <c r="Q157" s="1708" t="n"/>
      <c r="R157" s="1231" t="n"/>
    </row>
    <row r="158" ht="48" customHeight="1" s="1134">
      <c r="A158" s="1533" t="inlineStr">
        <is>
          <t>HEATSHRINK ON TWISTED PAIRS SPLICES</t>
        </is>
      </c>
      <c r="B158" s="1535" t="inlineStr">
        <is>
          <t xml:space="preserve">Per 2 splices, including cooling;
where all cables of the splice are twisted </t>
        </is>
      </c>
      <c r="C158" s="1534" t="inlineStr">
        <is>
          <t>Workman DSG Canusa (dual end splices)
Raychem IR1891 (butt splices)</t>
        </is>
      </c>
      <c r="D158" s="1537" t="n"/>
      <c r="E158" s="1437" t="n"/>
      <c r="F158" s="1437" t="n"/>
      <c r="G158" s="1437" t="n"/>
      <c r="H158" s="1400" t="n">
        <v>44</v>
      </c>
      <c r="I158" s="1401" t="inlineStr">
        <is>
          <t>FA</t>
        </is>
      </c>
      <c r="J158" s="1469" t="n">
        <v>0</v>
      </c>
      <c r="K158" s="1538">
        <f>+J158*H158+N158*O158</f>
        <v/>
      </c>
      <c r="L158" s="1531" t="n"/>
      <c r="M158" s="1531" t="inlineStr">
        <is>
          <t>Manual</t>
        </is>
      </c>
      <c r="N158" s="1539" t="n"/>
      <c r="O158" s="1539" t="n">
        <v>22</v>
      </c>
      <c r="P158" s="1343" t="n"/>
      <c r="Q158" s="1404" t="n"/>
      <c r="R158" s="1231" t="n"/>
    </row>
    <row r="159" ht="43.5" customHeight="1" s="1134">
      <c r="A159" s="1491" t="inlineStr">
        <is>
          <t>Automatic cooling of butt and dual splices</t>
        </is>
      </c>
      <c r="B159" s="1493" t="inlineStr">
        <is>
          <t xml:space="preserve">Cooling time to be used  based on PFMEA results (operation method doesn't allow to assure right handling after shrinking), red splice config. or splice shrinked on the line (in line splice).  
</t>
        </is>
      </c>
      <c r="C159" s="1540" t="inlineStr">
        <is>
          <t xml:space="preserve">STCS-RCM </t>
        </is>
      </c>
      <c r="D159" s="1541" t="inlineStr">
        <is>
          <t>Cooling process  time depending on shrinking time</t>
        </is>
      </c>
      <c r="E159" s="1542" t="inlineStr">
        <is>
          <t>shrinking time between 8 and 17 sec / pc</t>
        </is>
      </c>
      <c r="F159" s="1532" t="n"/>
      <c r="G159" s="1437" t="n"/>
      <c r="H159" s="1543" t="n">
        <v>20</v>
      </c>
      <c r="I159" s="1401" t="inlineStr">
        <is>
          <t>FA</t>
        </is>
      </c>
      <c r="J159" s="1469" t="n">
        <v>0</v>
      </c>
      <c r="K159" s="1470">
        <f>+J159*H159</f>
        <v/>
      </c>
      <c r="L159" s="1531" t="n"/>
      <c r="M159" s="1531" t="inlineStr">
        <is>
          <t>Manual</t>
        </is>
      </c>
      <c r="N159" s="1231" t="n"/>
      <c r="O159" s="1344" t="n"/>
      <c r="P159" s="1343" t="n"/>
      <c r="Q159" s="1708" t="n"/>
      <c r="R159" s="1231" t="n"/>
    </row>
    <row r="160" ht="37.5" customHeight="1" s="1134">
      <c r="A160" s="1405" t="n"/>
      <c r="B160" s="1406" t="n"/>
      <c r="C160" s="1544" t="n"/>
      <c r="D160" s="1545" t="n"/>
      <c r="E160" s="1542" t="inlineStr">
        <is>
          <t>shrinking time between18 and  27 sec / pc</t>
        </is>
      </c>
      <c r="F160" s="1532" t="n"/>
      <c r="G160" s="1437" t="n"/>
      <c r="H160" s="1543" t="n">
        <v>30</v>
      </c>
      <c r="I160" s="1401" t="inlineStr">
        <is>
          <t>FA</t>
        </is>
      </c>
      <c r="J160" s="1469" t="n">
        <v>0</v>
      </c>
      <c r="K160" s="1470">
        <f>+J160*H160</f>
        <v/>
      </c>
      <c r="L160" s="1531" t="n"/>
      <c r="M160" s="1531" t="inlineStr">
        <is>
          <t>Manual</t>
        </is>
      </c>
      <c r="N160" s="1231" t="n"/>
      <c r="O160" s="1344" t="n"/>
      <c r="P160" s="1343" t="n"/>
      <c r="Q160" s="1708" t="n"/>
      <c r="R160" s="1231" t="n"/>
    </row>
    <row r="161" ht="37.5" customHeight="1" s="1134">
      <c r="A161" s="1546" t="inlineStr">
        <is>
          <t>Manual Coiling for Splices
(NA Region)</t>
        </is>
      </c>
      <c r="B161" s="1547" t="inlineStr">
        <is>
          <t>For any type of splice. 
Onece per Splice</t>
        </is>
      </c>
      <c r="C161" s="1548" t="n"/>
      <c r="D161" s="1549" t="inlineStr">
        <is>
          <t>Get finished splice</t>
        </is>
      </c>
      <c r="E161" s="1549" t="inlineStr">
        <is>
          <t>Coiled splice configuration</t>
        </is>
      </c>
      <c r="F161" s="1550" t="n"/>
      <c r="G161" s="1550" t="n"/>
      <c r="H161" s="1551" t="n">
        <v>8.66</v>
      </c>
      <c r="I161" s="1468" t="inlineStr">
        <is>
          <t>FA</t>
        </is>
      </c>
      <c r="J161" s="1552" t="n">
        <v>0</v>
      </c>
      <c r="K161" s="1470">
        <f>+J161*H161</f>
        <v/>
      </c>
      <c r="L161" s="1529" t="n"/>
      <c r="M161" s="1714" t="n"/>
      <c r="N161" s="1231" t="n"/>
      <c r="O161" s="1344" t="n"/>
      <c r="P161" s="1343" t="n"/>
      <c r="Q161" s="1708" t="n"/>
      <c r="R161" s="1231" t="n"/>
    </row>
    <row r="162" ht="53.25" customFormat="1" customHeight="1" s="1391">
      <c r="A162" s="1216" t="inlineStr">
        <is>
          <t>Operation</t>
        </is>
      </c>
      <c r="B162" s="1217" t="inlineStr">
        <is>
          <t>COMMENTS</t>
        </is>
      </c>
      <c r="C162" s="1217" t="inlineStr">
        <is>
          <t>Machine Vendor</t>
        </is>
      </c>
      <c r="D162" s="1217" t="inlineStr">
        <is>
          <t>Min Gage</t>
        </is>
      </c>
      <c r="E162" s="1217" t="inlineStr">
        <is>
          <t>Max Gage</t>
        </is>
      </c>
      <c r="F162" s="1217" t="n"/>
      <c r="G162" s="1217" t="n"/>
      <c r="H162" s="1392" t="inlineStr">
        <is>
          <t>Global Sec/ Pc</t>
        </is>
      </c>
      <c r="I162" s="1479" t="inlineStr">
        <is>
          <t>Location
LP/FA</t>
        </is>
      </c>
      <c r="J162" s="1432" t="n">
        <v>0</v>
      </c>
      <c r="K162" s="1393" t="inlineStr">
        <is>
          <t>Total</t>
        </is>
      </c>
      <c r="N162" s="1231" t="n"/>
      <c r="O162" s="1344" t="n"/>
      <c r="P162" s="1343" t="n"/>
      <c r="Q162" s="1708" t="n"/>
      <c r="R162" s="1231" t="n"/>
      <c r="S162" s="1132" t="n"/>
    </row>
    <row r="163" ht="22.5" customHeight="1" s="1134">
      <c r="A163" s="1396" t="inlineStr">
        <is>
          <t>SOLDER IN TERMINAL</t>
        </is>
      </c>
      <c r="B163" s="1397" t="inlineStr">
        <is>
          <t>solder in barrel terminal</t>
        </is>
      </c>
      <c r="C163" s="1397" t="inlineStr">
        <is>
          <t>Induction solder</t>
        </is>
      </c>
      <c r="D163" s="1399" t="n">
        <v>0.35</v>
      </c>
      <c r="E163" s="1399" t="n">
        <v>1.5</v>
      </c>
      <c r="F163" s="1399" t="n"/>
      <c r="G163" s="1399" t="n"/>
      <c r="H163" s="1521" t="n">
        <v>5.52</v>
      </c>
      <c r="I163" s="1401" t="inlineStr">
        <is>
          <t>FA</t>
        </is>
      </c>
      <c r="J163" s="1402" t="n">
        <v>0</v>
      </c>
      <c r="K163" s="1403">
        <f>+J163*H163</f>
        <v/>
      </c>
      <c r="L163" s="1531" t="n"/>
      <c r="M163" s="1531" t="inlineStr">
        <is>
          <t>Manual</t>
        </is>
      </c>
      <c r="N163" s="1231" t="n"/>
      <c r="O163" s="1344" t="n"/>
      <c r="P163" s="1343" t="n"/>
      <c r="Q163" s="1708" t="n"/>
      <c r="R163" s="1231" t="n"/>
      <c r="S163" s="1391" t="n"/>
    </row>
    <row r="164" ht="22.5" customHeight="1" s="1134">
      <c r="A164" s="1232" t="n"/>
      <c r="B164" s="1397" t="inlineStr">
        <is>
          <t>solder in barrel terminal</t>
        </is>
      </c>
      <c r="C164" s="1397" t="n"/>
      <c r="D164" s="1399" t="n">
        <v>1.75</v>
      </c>
      <c r="E164" s="1399" t="n">
        <v>103</v>
      </c>
      <c r="F164" s="1399" t="n"/>
      <c r="G164" s="1399" t="n"/>
      <c r="H164" s="1521" t="n">
        <v>6.28</v>
      </c>
      <c r="I164" s="1401" t="inlineStr">
        <is>
          <t>FA</t>
        </is>
      </c>
      <c r="J164" s="1402" t="n">
        <v>0</v>
      </c>
      <c r="K164" s="1403">
        <f>+J164*H164</f>
        <v/>
      </c>
      <c r="L164" s="1531" t="n"/>
      <c r="M164" s="1531" t="inlineStr">
        <is>
          <t>Manual</t>
        </is>
      </c>
      <c r="N164" s="1231" t="n"/>
      <c r="O164" s="1344" t="n"/>
      <c r="P164" s="1343" t="n"/>
      <c r="Q164" s="1708" t="n"/>
      <c r="R164" s="1231" t="n"/>
    </row>
    <row r="165" ht="22.5" customHeight="1" s="1134">
      <c r="A165" s="1232" t="n"/>
      <c r="B165" s="1397" t="inlineStr">
        <is>
          <t>solder in barrel terminal (2 wires)</t>
        </is>
      </c>
      <c r="C165" s="1397" t="n"/>
      <c r="D165" s="1399" t="n">
        <v>0.7</v>
      </c>
      <c r="E165" s="1399" t="n">
        <v>2</v>
      </c>
      <c r="F165" s="1399" t="n"/>
      <c r="G165" s="1399" t="n"/>
      <c r="H165" s="1521" t="n">
        <v>12.24</v>
      </c>
      <c r="I165" s="1401" t="inlineStr">
        <is>
          <t>FA</t>
        </is>
      </c>
      <c r="J165" s="1402" t="n">
        <v>0</v>
      </c>
      <c r="K165" s="1403">
        <f>+J165*H165</f>
        <v/>
      </c>
      <c r="L165" s="1553" t="n"/>
      <c r="M165" s="1553" t="inlineStr">
        <is>
          <t>Manual</t>
        </is>
      </c>
      <c r="N165" s="1231" t="n"/>
      <c r="O165" s="1344" t="n"/>
      <c r="P165" s="1343" t="n"/>
      <c r="Q165" s="1708" t="n"/>
      <c r="R165" s="1231" t="n"/>
    </row>
    <row r="166" ht="37.5" customHeight="1" s="1134">
      <c r="A166" s="1232" t="n"/>
      <c r="B166" s="1397" t="inlineStr">
        <is>
          <t xml:space="preserve">solder in barrel terminals - small gauges </t>
        </is>
      </c>
      <c r="C166" s="1397" t="inlineStr">
        <is>
          <t>Induction solder (Barrel terminal to be filled in by solder - controled soldering)</t>
        </is>
      </c>
      <c r="D166" s="1399" t="n">
        <v>0.08</v>
      </c>
      <c r="E166" s="1399" t="n">
        <v>6</v>
      </c>
      <c r="F166" s="1399" t="n"/>
      <c r="G166" s="1399" t="n"/>
      <c r="H166" s="1521" t="n">
        <v>24.3</v>
      </c>
      <c r="I166" s="1401" t="inlineStr">
        <is>
          <t>FA</t>
        </is>
      </c>
      <c r="J166" s="1402" t="n">
        <v>0</v>
      </c>
      <c r="K166" s="1403">
        <f>+J166*H166</f>
        <v/>
      </c>
      <c r="M166" s="1132" t="inlineStr">
        <is>
          <t>Manual</t>
        </is>
      </c>
      <c r="N166" s="1231" t="n"/>
      <c r="O166" s="1344" t="n"/>
      <c r="P166" s="1343" t="n"/>
      <c r="Q166" s="1708" t="n"/>
      <c r="R166" s="1231" t="n"/>
    </row>
    <row r="167" ht="45.75" customHeight="1" s="1134">
      <c r="A167" s="1232" t="n"/>
      <c r="B167" s="1397" t="inlineStr">
        <is>
          <t>solder in battery /  barrel terminal</t>
        </is>
      </c>
      <c r="C167" s="1397" t="inlineStr">
        <is>
          <t>Induction solder for batt term (Barrel terminal to be filled in by solder - controled soldering)</t>
        </is>
      </c>
      <c r="D167" s="1399" t="n">
        <v>7</v>
      </c>
      <c r="E167" s="1399" t="n">
        <v>103</v>
      </c>
      <c r="F167" s="1399" t="n"/>
      <c r="G167" s="1399" t="n"/>
      <c r="H167" s="1521" t="n">
        <v>35</v>
      </c>
      <c r="I167" s="1401" t="inlineStr">
        <is>
          <t>FA</t>
        </is>
      </c>
      <c r="J167" s="1402" t="n">
        <v>0</v>
      </c>
      <c r="K167" s="1403">
        <f>+J167*H167</f>
        <v/>
      </c>
      <c r="M167" s="1132" t="inlineStr">
        <is>
          <t>Manual</t>
        </is>
      </c>
      <c r="N167" s="1231" t="n"/>
      <c r="O167" s="1344" t="n"/>
      <c r="P167" s="1343" t="n"/>
      <c r="Q167" s="1708" t="n"/>
      <c r="R167" s="1231" t="n"/>
    </row>
    <row r="168" ht="51.75" customHeight="1" s="1134">
      <c r="A168" s="1405" t="n"/>
      <c r="B168" s="1397" t="inlineStr">
        <is>
          <t>solder in battery terminal</t>
        </is>
      </c>
      <c r="C168" s="1397" t="inlineStr">
        <is>
          <t>Induction solder for batt term crimped (ATN-automatic controled soldering)</t>
        </is>
      </c>
      <c r="D168" s="1399" t="n">
        <v>7</v>
      </c>
      <c r="E168" s="1399" t="n">
        <v>103</v>
      </c>
      <c r="F168" s="1399" t="n"/>
      <c r="G168" s="1399" t="n"/>
      <c r="H168" s="1521" t="n">
        <v>17</v>
      </c>
      <c r="I168" s="1401" t="inlineStr">
        <is>
          <t>FA</t>
        </is>
      </c>
      <c r="J168" s="1402" t="n">
        <v>0</v>
      </c>
      <c r="K168" s="1403">
        <f>+J168*H168</f>
        <v/>
      </c>
      <c r="M168" s="1132" t="inlineStr">
        <is>
          <t>Manual</t>
        </is>
      </c>
      <c r="N168" s="1231" t="n"/>
      <c r="O168" s="1344" t="n"/>
      <c r="P168" s="1343" t="n"/>
      <c r="Q168" s="1708" t="n"/>
      <c r="R168" s="1231" t="n"/>
    </row>
    <row r="169" ht="22.5" customFormat="1" customHeight="1" s="1132">
      <c r="A169" s="1396" t="inlineStr">
        <is>
          <t>DIP SOLDER TERM</t>
        </is>
      </c>
      <c r="B169" s="1397" t="inlineStr">
        <is>
          <t>Dip solder process/ (Flux - tin)</t>
        </is>
      </c>
      <c r="C169" s="1398" t="inlineStr">
        <is>
          <t>Solder Pot</t>
        </is>
      </c>
      <c r="D169" s="1399" t="n">
        <v>0.13</v>
      </c>
      <c r="E169" s="1399" t="n">
        <v>103</v>
      </c>
      <c r="F169" s="1399" t="n"/>
      <c r="G169" s="1399" t="n"/>
      <c r="H169" s="1521" t="n">
        <v>7</v>
      </c>
      <c r="I169" s="1401" t="inlineStr">
        <is>
          <t>FA</t>
        </is>
      </c>
      <c r="J169" s="1402" t="n">
        <v>0</v>
      </c>
      <c r="K169" s="1403">
        <f>+J169*H169</f>
        <v/>
      </c>
      <c r="L169" s="1132" t="n"/>
      <c r="M169" s="1132" t="inlineStr">
        <is>
          <t>Manual</t>
        </is>
      </c>
      <c r="N169" s="1231" t="n"/>
      <c r="O169" s="1344" t="n"/>
      <c r="P169" s="1343" t="n"/>
      <c r="Q169" s="1708" t="n"/>
      <c r="R169" s="1231" t="n"/>
      <c r="S169" s="1132" t="n"/>
    </row>
    <row r="170" ht="22.5" customHeight="1" s="1134">
      <c r="A170" s="1396" t="inlineStr">
        <is>
          <t>DIP SOLDER SPLICE</t>
        </is>
      </c>
      <c r="B170" s="1397" t="inlineStr">
        <is>
          <t>splice soldering</t>
        </is>
      </c>
      <c r="C170" s="1398" t="inlineStr">
        <is>
          <t>Small solder pot</t>
        </is>
      </c>
      <c r="D170" s="1399" t="n"/>
      <c r="E170" s="1399" t="n"/>
      <c r="F170" s="1399" t="n"/>
      <c r="G170" s="1399" t="n"/>
      <c r="H170" s="1521" t="n">
        <v>3.41</v>
      </c>
      <c r="I170" s="1401" t="inlineStr">
        <is>
          <t>FA</t>
        </is>
      </c>
      <c r="J170" s="1402" t="n">
        <v>0</v>
      </c>
      <c r="K170" s="1403">
        <f>+J170*H170</f>
        <v/>
      </c>
      <c r="L170" s="1132" t="n"/>
      <c r="M170" s="1132" t="inlineStr">
        <is>
          <t>Manual</t>
        </is>
      </c>
      <c r="N170" s="1231" t="n"/>
      <c r="O170" s="1344" t="n"/>
      <c r="P170" s="1343" t="n"/>
      <c r="Q170" s="1708" t="n"/>
      <c r="R170" s="1231" t="n"/>
      <c r="S170" s="1132" t="n"/>
    </row>
    <row r="171" ht="22.5" customHeight="1" s="1134">
      <c r="A171" s="1396" t="inlineStr">
        <is>
          <t>DIP SOLDER STRIP</t>
        </is>
      </c>
      <c r="B171" s="1397" t="inlineStr">
        <is>
          <t>end wire soldering 
(wires before termination)</t>
        </is>
      </c>
      <c r="C171" s="1398" t="inlineStr">
        <is>
          <t>Solder Pot</t>
        </is>
      </c>
      <c r="D171" s="1399" t="n">
        <v>0.13</v>
      </c>
      <c r="E171" s="1399" t="n">
        <v>6</v>
      </c>
      <c r="F171" s="1399" t="n"/>
      <c r="G171" s="1399" t="n"/>
      <c r="H171" s="1521" t="n">
        <v>2.87</v>
      </c>
      <c r="I171" s="1401" t="inlineStr">
        <is>
          <t>FA</t>
        </is>
      </c>
      <c r="J171" s="1402" t="n">
        <v>0</v>
      </c>
      <c r="K171" s="1403">
        <f>+J171*H171</f>
        <v/>
      </c>
      <c r="L171" s="1231" t="n"/>
      <c r="M171" s="1231" t="inlineStr">
        <is>
          <t>Manual</t>
        </is>
      </c>
      <c r="N171" s="1231" t="n"/>
      <c r="O171" s="1344" t="n"/>
      <c r="P171" s="1343" t="n"/>
      <c r="Q171" s="1708" t="n"/>
      <c r="R171" s="1231" t="n"/>
    </row>
    <row r="172" ht="22.5" customHeight="1" s="1134">
      <c r="A172" s="1405" t="n"/>
      <c r="B172" s="1406" t="n"/>
      <c r="C172" s="1398" t="n"/>
      <c r="D172" s="1399" t="n">
        <v>7</v>
      </c>
      <c r="E172" s="1399" t="n">
        <v>103</v>
      </c>
      <c r="F172" s="1399" t="n"/>
      <c r="G172" s="1399" t="n"/>
      <c r="H172" s="1521" t="n">
        <v>3.99</v>
      </c>
      <c r="I172" s="1401" t="inlineStr">
        <is>
          <t>FA</t>
        </is>
      </c>
      <c r="J172" s="1402" t="n">
        <v>0</v>
      </c>
      <c r="K172" s="1403">
        <f>+J172*H172</f>
        <v/>
      </c>
      <c r="L172" s="1231" t="n"/>
      <c r="M172" s="1231" t="inlineStr">
        <is>
          <t>Manual</t>
        </is>
      </c>
      <c r="N172" s="1231" t="n"/>
      <c r="O172" s="1344" t="n"/>
      <c r="P172" s="1343" t="n"/>
      <c r="Q172" s="1708" t="n"/>
      <c r="R172" s="1231" t="n"/>
    </row>
    <row r="173" ht="22.5" customHeight="1" s="1134">
      <c r="A173" s="1396" t="inlineStr">
        <is>
          <t>VARIAC</t>
        </is>
      </c>
      <c r="B173" s="1397" t="inlineStr">
        <is>
          <t>variac in single wire</t>
        </is>
      </c>
      <c r="C173" s="1503" t="inlineStr">
        <is>
          <t>Variac Station</t>
        </is>
      </c>
      <c r="D173" s="1399" t="n">
        <v>0.13</v>
      </c>
      <c r="E173" s="1399" t="n">
        <v>7</v>
      </c>
      <c r="F173" s="1399" t="n"/>
      <c r="G173" s="1399" t="n"/>
      <c r="H173" s="1521" t="n">
        <v>5</v>
      </c>
      <c r="I173" s="1401" t="inlineStr">
        <is>
          <t>FA</t>
        </is>
      </c>
      <c r="J173" s="1402" t="n">
        <v>0</v>
      </c>
      <c r="K173" s="1403">
        <f>+J173*H173</f>
        <v/>
      </c>
      <c r="L173" s="1231" t="n"/>
      <c r="M173" s="1231" t="inlineStr">
        <is>
          <t>Manual</t>
        </is>
      </c>
      <c r="N173" s="1231" t="n"/>
      <c r="O173" s="1344" t="n"/>
      <c r="P173" s="1343" t="n"/>
      <c r="Q173" s="1708" t="n"/>
      <c r="R173" s="1231" t="n"/>
    </row>
    <row r="174" ht="22.5" customHeight="1" s="1134">
      <c r="A174" s="1232" t="n"/>
      <c r="B174" s="1397" t="inlineStr">
        <is>
          <t>variac in double wires (2 wires)</t>
        </is>
      </c>
      <c r="C174" s="1233" t="n"/>
      <c r="D174" s="1399" t="n">
        <v>0.13</v>
      </c>
      <c r="E174" s="1399" t="n">
        <v>7</v>
      </c>
      <c r="F174" s="1399" t="n"/>
      <c r="G174" s="1399" t="n"/>
      <c r="H174" s="1521" t="n">
        <v>5.5</v>
      </c>
      <c r="I174" s="1401" t="inlineStr">
        <is>
          <t>FA</t>
        </is>
      </c>
      <c r="J174" s="1402" t="n">
        <v>0</v>
      </c>
      <c r="K174" s="1403">
        <f>+J174*H174</f>
        <v/>
      </c>
      <c r="L174" s="1231" t="n"/>
      <c r="M174" s="1231" t="inlineStr">
        <is>
          <t>Manual</t>
        </is>
      </c>
      <c r="N174" s="1231" t="n"/>
      <c r="O174" s="1344" t="n"/>
      <c r="P174" s="1343" t="n"/>
      <c r="Q174" s="1708" t="n"/>
      <c r="R174" s="1231" t="n"/>
    </row>
    <row r="175" ht="22.5" customHeight="1" s="1134">
      <c r="A175" s="1232" t="n"/>
      <c r="B175" s="1397" t="inlineStr">
        <is>
          <t>variac in tripple wires (3 Wires)</t>
        </is>
      </c>
      <c r="C175" s="1233" t="n"/>
      <c r="D175" s="1399" t="n">
        <v>0.13</v>
      </c>
      <c r="E175" s="1399" t="n">
        <v>7</v>
      </c>
      <c r="F175" s="1399" t="n"/>
      <c r="G175" s="1399" t="n"/>
      <c r="H175" s="1521" t="n">
        <v>6.2</v>
      </c>
      <c r="I175" s="1401" t="inlineStr">
        <is>
          <t>FA</t>
        </is>
      </c>
      <c r="J175" s="1402" t="n">
        <v>0</v>
      </c>
      <c r="K175" s="1403">
        <f>+J175*H175</f>
        <v/>
      </c>
      <c r="L175" s="1231" t="n"/>
      <c r="M175" s="1231" t="inlineStr">
        <is>
          <t>Manual</t>
        </is>
      </c>
      <c r="N175" s="1231" t="n"/>
      <c r="O175" s="1344" t="n"/>
      <c r="P175" s="1343" t="n"/>
      <c r="Q175" s="1708" t="n"/>
      <c r="R175" s="1231" t="n"/>
    </row>
    <row r="176" ht="22.5" customHeight="1" s="1134">
      <c r="A176" s="1232" t="n"/>
      <c r="B176" s="1493" t="inlineStr">
        <is>
          <t>variac in  wires – heavy gages</t>
        </is>
      </c>
      <c r="C176" s="1233" t="n"/>
      <c r="D176" s="1399" t="n">
        <v>8</v>
      </c>
      <c r="E176" s="1399" t="n">
        <v>15</v>
      </c>
      <c r="F176" s="1399" t="n"/>
      <c r="G176" s="1399" t="n"/>
      <c r="H176" s="1521" t="n">
        <v>8.75</v>
      </c>
      <c r="I176" s="1401" t="inlineStr">
        <is>
          <t>FA</t>
        </is>
      </c>
      <c r="J176" s="1402" t="n">
        <v>0</v>
      </c>
      <c r="K176" s="1403">
        <f>+J176*H176</f>
        <v/>
      </c>
      <c r="L176" s="1231" t="n"/>
      <c r="M176" s="1231" t="inlineStr">
        <is>
          <t>Manual</t>
        </is>
      </c>
      <c r="N176" s="1231" t="n"/>
      <c r="O176" s="1344" t="n"/>
      <c r="P176" s="1343" t="n"/>
      <c r="Q176" s="1708" t="n"/>
      <c r="R176" s="1231" t="n"/>
    </row>
    <row r="177" ht="22.5" customHeight="1" s="1134">
      <c r="A177" s="1232" t="n"/>
      <c r="B177" s="1233" t="n"/>
      <c r="C177" s="1233" t="n"/>
      <c r="D177" s="1399" t="n">
        <v>16</v>
      </c>
      <c r="E177" s="1399" t="n">
        <v>30</v>
      </c>
      <c r="F177" s="1399" t="n"/>
      <c r="G177" s="1399" t="n"/>
      <c r="H177" s="1521" t="n">
        <v>11.5</v>
      </c>
      <c r="I177" s="1401" t="inlineStr">
        <is>
          <t>FA</t>
        </is>
      </c>
      <c r="J177" s="1402" t="n">
        <v>0</v>
      </c>
      <c r="K177" s="1403">
        <f>+J177*H177</f>
        <v/>
      </c>
      <c r="L177" s="1231" t="n"/>
      <c r="M177" s="1231" t="inlineStr">
        <is>
          <t>Manual</t>
        </is>
      </c>
      <c r="N177" s="1231" t="n"/>
      <c r="O177" s="1344" t="n"/>
      <c r="P177" s="1343" t="n"/>
      <c r="Q177" s="1708" t="n"/>
      <c r="R177" s="1231" t="n"/>
    </row>
    <row r="178" ht="22.5" customHeight="1" s="1134">
      <c r="A178" s="1232" t="n"/>
      <c r="B178" s="1233" t="n"/>
      <c r="C178" s="1233" t="n"/>
      <c r="D178" s="1399" t="n">
        <v>31</v>
      </c>
      <c r="E178" s="1399" t="n">
        <v>50</v>
      </c>
      <c r="F178" s="1399" t="n"/>
      <c r="G178" s="1399" t="n"/>
      <c r="H178" s="1521" t="n">
        <v>14</v>
      </c>
      <c r="I178" s="1401" t="inlineStr">
        <is>
          <t>FA</t>
        </is>
      </c>
      <c r="J178" s="1402" t="n">
        <v>0</v>
      </c>
      <c r="K178" s="1403">
        <f>+J178*H178</f>
        <v/>
      </c>
      <c r="L178" s="1231" t="n"/>
      <c r="M178" s="1231" t="inlineStr">
        <is>
          <t>Manual</t>
        </is>
      </c>
      <c r="N178" s="1231" t="n"/>
      <c r="O178" s="1344" t="n"/>
      <c r="P178" s="1343" t="n"/>
      <c r="Q178" s="1708" t="n"/>
      <c r="R178" s="1231" t="n"/>
    </row>
    <row r="179" ht="22.5" customHeight="1" s="1134">
      <c r="A179" s="1405" t="n"/>
      <c r="B179" s="1406" t="n"/>
      <c r="C179" s="1406" t="n"/>
      <c r="D179" s="1399" t="n">
        <v>51</v>
      </c>
      <c r="E179" s="1399" t="n">
        <v>103</v>
      </c>
      <c r="F179" s="1399" t="n"/>
      <c r="G179" s="1399" t="n"/>
      <c r="H179" s="1521" t="n">
        <v>21</v>
      </c>
      <c r="I179" s="1401" t="inlineStr">
        <is>
          <t>FA</t>
        </is>
      </c>
      <c r="J179" s="1402" t="n">
        <v>0</v>
      </c>
      <c r="K179" s="1403">
        <f>+J179*H179</f>
        <v/>
      </c>
      <c r="L179" s="1231" t="n"/>
      <c r="M179" s="1231" t="inlineStr">
        <is>
          <t>Manual</t>
        </is>
      </c>
      <c r="N179" s="1231" t="n"/>
      <c r="O179" s="1344" t="n"/>
      <c r="P179" s="1343" t="n"/>
      <c r="Q179" s="1708" t="n"/>
      <c r="R179" s="1231" t="n"/>
    </row>
    <row r="180" ht="22.5" customHeight="1" s="1134">
      <c r="A180" s="1396" t="inlineStr">
        <is>
          <t>SONIC RING VARIAC</t>
        </is>
      </c>
      <c r="B180" s="1397" t="inlineStr">
        <is>
          <t>variac for ground terminal with ultrasonic welding (due to quality problems)</t>
        </is>
      </c>
      <c r="C180" s="1398" t="inlineStr">
        <is>
          <t>Variac Station</t>
        </is>
      </c>
      <c r="D180" s="1399" t="n"/>
      <c r="E180" s="1399" t="n"/>
      <c r="F180" s="1399" t="n"/>
      <c r="G180" s="1399" t="n"/>
      <c r="H180" s="1521" t="n">
        <v>6.2</v>
      </c>
      <c r="I180" s="1401" t="inlineStr">
        <is>
          <t>FA</t>
        </is>
      </c>
      <c r="J180" s="1402" t="n">
        <v>0</v>
      </c>
      <c r="K180" s="1403">
        <f>+J180*H180</f>
        <v/>
      </c>
      <c r="L180" s="1231" t="n"/>
      <c r="M180" s="1231" t="inlineStr">
        <is>
          <t>Manual</t>
        </is>
      </c>
      <c r="N180" s="1231" t="n"/>
      <c r="O180" s="1344" t="n"/>
      <c r="P180" s="1343" t="n"/>
      <c r="Q180" s="1708" t="n"/>
      <c r="R180" s="1231" t="n"/>
    </row>
    <row r="181" ht="22.5" customHeight="1" s="1134">
      <c r="A181" s="1396" t="inlineStr">
        <is>
          <t>REFLOW</t>
        </is>
      </c>
      <c r="B181" s="1397" t="inlineStr">
        <is>
          <t>reflow in single wires</t>
        </is>
      </c>
      <c r="C181" s="1398" t="inlineStr">
        <is>
          <t>Reflow Station</t>
        </is>
      </c>
      <c r="D181" s="1399" t="n">
        <v>0.13</v>
      </c>
      <c r="E181" s="1399" t="n">
        <v>103</v>
      </c>
      <c r="F181" s="1399" t="n"/>
      <c r="G181" s="1399" t="n"/>
      <c r="H181" s="1521" t="n">
        <v>3.3</v>
      </c>
      <c r="I181" s="1401" t="inlineStr">
        <is>
          <t>FA</t>
        </is>
      </c>
      <c r="J181" s="1402" t="n">
        <v>0</v>
      </c>
      <c r="K181" s="1403">
        <f>+J181*H181</f>
        <v/>
      </c>
      <c r="L181" s="1231" t="n"/>
      <c r="M181" s="1231" t="inlineStr">
        <is>
          <t>Manual</t>
        </is>
      </c>
      <c r="N181" s="1231" t="n"/>
      <c r="O181" s="1344" t="n"/>
      <c r="P181" s="1343" t="n"/>
      <c r="Q181" s="1708" t="n"/>
      <c r="R181" s="1231" t="n"/>
    </row>
    <row r="182" ht="22.5" customHeight="1" s="1134">
      <c r="A182" s="1405" t="n"/>
      <c r="B182" s="1397" t="inlineStr">
        <is>
          <t>reflow in &gt;1 wires</t>
        </is>
      </c>
      <c r="C182" s="1398" t="n"/>
      <c r="D182" s="1399" t="n">
        <v>0.13</v>
      </c>
      <c r="E182" s="1399" t="n">
        <v>103</v>
      </c>
      <c r="F182" s="1399" t="n"/>
      <c r="G182" s="1399" t="n"/>
      <c r="H182" s="1521" t="n">
        <v>4.9</v>
      </c>
      <c r="I182" s="1401" t="inlineStr">
        <is>
          <t>FA</t>
        </is>
      </c>
      <c r="J182" s="1402" t="n">
        <v>0</v>
      </c>
      <c r="K182" s="1403">
        <f>+J182*H182</f>
        <v/>
      </c>
      <c r="L182" s="1231" t="n"/>
      <c r="M182" s="1231" t="inlineStr">
        <is>
          <t>Manual</t>
        </is>
      </c>
      <c r="N182" s="1231" t="n"/>
      <c r="O182" s="1344" t="n"/>
      <c r="P182" s="1343" t="n"/>
      <c r="Q182" s="1708" t="n"/>
      <c r="R182" s="1231" t="n"/>
    </row>
    <row r="183" ht="22.5" customHeight="1" s="1134">
      <c r="A183" s="1554" t="inlineStr">
        <is>
          <t>SOLD WIRES</t>
        </is>
      </c>
      <c r="B183" s="1555" t="inlineStr">
        <is>
          <t>Sold wires to a microphone connector</t>
        </is>
      </c>
      <c r="C183" s="1422" t="n"/>
      <c r="D183" s="1317" t="n"/>
      <c r="E183" s="1317" t="n"/>
      <c r="F183" s="1317" t="n"/>
      <c r="G183" s="1317" t="n"/>
      <c r="H183" s="1556" t="n">
        <v>111</v>
      </c>
      <c r="I183" s="1401" t="inlineStr">
        <is>
          <t>FA</t>
        </is>
      </c>
      <c r="J183" s="1402" t="n">
        <v>0</v>
      </c>
      <c r="K183" s="1440">
        <f>+J183*H183</f>
        <v/>
      </c>
      <c r="M183" s="1132" t="inlineStr">
        <is>
          <t>Manual</t>
        </is>
      </c>
      <c r="N183" s="1231" t="n"/>
      <c r="O183" s="1344" t="n"/>
      <c r="P183" s="1343" t="n"/>
      <c r="Q183" s="1708" t="n"/>
      <c r="R183" s="1231" t="n"/>
    </row>
    <row r="184" ht="22.5" customHeight="1" s="1134">
      <c r="A184" s="1554" t="n"/>
      <c r="B184" s="1555" t="n"/>
      <c r="C184" s="1422" t="n"/>
      <c r="D184" s="1317" t="n"/>
      <c r="E184" s="1317" t="n"/>
      <c r="F184" s="1317" t="n"/>
      <c r="G184" s="1317" t="n"/>
      <c r="H184" s="1556" t="n"/>
      <c r="I184" s="1401" t="n"/>
      <c r="J184" s="1402" t="n">
        <v>0</v>
      </c>
      <c r="K184" s="1440" t="n"/>
      <c r="N184" s="1231" t="n"/>
      <c r="O184" s="1344" t="n"/>
      <c r="P184" s="1343" t="n"/>
      <c r="Q184" s="1708" t="n"/>
      <c r="R184" s="1231" t="n"/>
    </row>
    <row r="185" ht="22.5" customHeight="1" s="1134">
      <c r="A185" s="1554" t="n"/>
      <c r="B185" s="1555" t="n"/>
      <c r="C185" s="1422" t="n"/>
      <c r="D185" s="1317" t="n"/>
      <c r="E185" s="1317" t="n"/>
      <c r="F185" s="1317" t="n"/>
      <c r="G185" s="1317" t="n"/>
      <c r="H185" s="1557" t="n"/>
      <c r="I185" s="1401" t="n"/>
      <c r="J185" s="1402" t="n">
        <v>0</v>
      </c>
      <c r="K185" s="1440" t="n"/>
      <c r="N185" s="1231" t="n"/>
      <c r="O185" s="1344" t="n"/>
      <c r="P185" s="1343" t="n"/>
      <c r="Q185" s="1708" t="n"/>
      <c r="R185" s="1231" t="n"/>
    </row>
    <row r="186" ht="22.5" customHeight="1" s="1134">
      <c r="A186" s="1558" t="n"/>
      <c r="B186" s="1449" t="n"/>
      <c r="C186" s="1559" t="n"/>
      <c r="D186" s="1319" t="n"/>
      <c r="E186" s="1319" t="n"/>
      <c r="F186" s="1319" t="n"/>
      <c r="G186" s="1319" t="n"/>
      <c r="H186" s="1319" t="n"/>
      <c r="I186" s="1560" t="n"/>
      <c r="J186" s="1402" t="n">
        <v>0</v>
      </c>
      <c r="K186" s="1430" t="n"/>
      <c r="N186" s="1231" t="n"/>
      <c r="O186" s="1344" t="n"/>
      <c r="P186" s="1343" t="n"/>
      <c r="Q186" s="1708" t="n"/>
      <c r="R186" s="1231" t="n"/>
    </row>
    <row r="187" ht="53.25" customFormat="1" customHeight="1" s="1391">
      <c r="A187" s="1216" t="inlineStr">
        <is>
          <t>MOLDING</t>
        </is>
      </c>
      <c r="B187" s="1217" t="inlineStr">
        <is>
          <t>COMMENTS</t>
        </is>
      </c>
      <c r="C187" s="1217" t="inlineStr">
        <is>
          <t>Machine Vendor</t>
        </is>
      </c>
      <c r="D187" s="1217" t="inlineStr">
        <is>
          <t>Comment</t>
        </is>
      </c>
      <c r="E187" s="1217" t="n"/>
      <c r="F187" s="1217" t="n"/>
      <c r="G187" s="1217" t="n"/>
      <c r="H187" s="1392" t="inlineStr">
        <is>
          <t>Global Sec/ Pc</t>
        </is>
      </c>
      <c r="I187" s="1479" t="inlineStr">
        <is>
          <t>Location
LP/FA</t>
        </is>
      </c>
      <c r="J187" s="1432" t="n">
        <v>0</v>
      </c>
      <c r="K187" s="1393" t="inlineStr">
        <is>
          <t>Total</t>
        </is>
      </c>
      <c r="N187" s="1231" t="n"/>
      <c r="O187" s="1344" t="n"/>
      <c r="P187" s="1343" t="n"/>
      <c r="Q187" s="1708" t="n"/>
      <c r="R187" s="1231" t="n"/>
      <c r="S187" s="1132" t="n"/>
    </row>
    <row r="188" ht="24.75" customHeight="1" s="1134">
      <c r="A188" s="1396" t="inlineStr">
        <is>
          <t xml:space="preserve">  PUR FOAMED  GROMMET</t>
        </is>
      </c>
      <c r="B188" s="1493" t="inlineStr">
        <is>
          <t xml:space="preserve">Get &amp; Apply release agent -per Grommet </t>
        </is>
      </c>
      <c r="C188" s="1561" t="inlineStr">
        <is>
          <t>PUR Molding machine             CANNON A-10</t>
        </is>
      </c>
      <c r="D188" s="1562" t="n"/>
      <c r="E188" s="1399" t="n"/>
      <c r="F188" s="1399" t="n"/>
      <c r="G188" s="1399" t="n"/>
      <c r="H188" s="1556" t="n">
        <v>12.822</v>
      </c>
      <c r="I188" s="1563" t="inlineStr">
        <is>
          <t>FA</t>
        </is>
      </c>
      <c r="J188" s="1564" t="n">
        <v>0</v>
      </c>
      <c r="K188" s="1565">
        <f>+J188*H188</f>
        <v/>
      </c>
      <c r="L188" s="1566" t="n"/>
      <c r="M188" s="1566" t="inlineStr">
        <is>
          <t>Automatic</t>
        </is>
      </c>
      <c r="N188" s="1231" t="n"/>
      <c r="O188" s="1344" t="n"/>
      <c r="P188" s="1407" t="n"/>
      <c r="Q188" s="1344" t="n"/>
      <c r="R188" s="1231" t="n"/>
      <c r="S188" s="1391" t="n"/>
    </row>
    <row r="189" ht="24.75" customHeight="1" s="1134">
      <c r="A189" s="1232" t="n"/>
      <c r="B189" s="1493" t="inlineStr">
        <is>
          <t xml:space="preserve">Dry the mould by air gun - per Grommet </t>
        </is>
      </c>
      <c r="C189" s="1233" t="n"/>
      <c r="D189" s="1562" t="n"/>
      <c r="E189" s="1399" t="n"/>
      <c r="F189" s="1399" t="n"/>
      <c r="G189" s="1399" t="n"/>
      <c r="H189" s="1556" t="n">
        <v>8</v>
      </c>
      <c r="I189" s="1563" t="inlineStr">
        <is>
          <t>FA</t>
        </is>
      </c>
      <c r="J189" s="1564" t="n">
        <v>0</v>
      </c>
      <c r="K189" s="1565">
        <f>+J189*H189</f>
        <v/>
      </c>
      <c r="L189" s="1326" t="n"/>
      <c r="M189" s="1326" t="n"/>
      <c r="N189" s="1231" t="n"/>
      <c r="O189" s="1344" t="n"/>
      <c r="P189" s="1343" t="n"/>
      <c r="Q189" s="1708" t="n"/>
      <c r="R189" s="1231" t="n"/>
      <c r="S189" s="1391" t="n"/>
    </row>
    <row r="190" ht="45.75" customHeight="1" s="1134">
      <c r="A190" s="1232" t="n"/>
      <c r="B190" s="1493" t="inlineStr">
        <is>
          <t>Get the harness from input buffer - per harness</t>
        </is>
      </c>
      <c r="C190" s="1233" t="n"/>
      <c r="D190" s="1493" t="inlineStr">
        <is>
          <t>Get the harness from transportation (rail/hook) system and put into the trolley</t>
        </is>
      </c>
      <c r="E190" s="1399" t="n"/>
      <c r="F190" s="1399" t="n"/>
      <c r="G190" s="1399" t="n"/>
      <c r="H190" s="1556" t="n">
        <v>13</v>
      </c>
      <c r="I190" s="1563" t="inlineStr">
        <is>
          <t>FA</t>
        </is>
      </c>
      <c r="J190" s="1564" t="n">
        <v>0</v>
      </c>
      <c r="K190" s="1565">
        <f>+J190*H190</f>
        <v/>
      </c>
      <c r="L190" s="1326" t="n"/>
      <c r="M190" s="1326" t="n"/>
      <c r="N190" s="1231" t="n"/>
      <c r="O190" s="1344" t="n"/>
      <c r="P190" s="1343" t="n"/>
      <c r="Q190" s="1708" t="n"/>
      <c r="R190" s="1231" t="n"/>
      <c r="S190" s="1391" t="n"/>
    </row>
    <row r="191" ht="24.75" customHeight="1" s="1134">
      <c r="A191" s="1232" t="n"/>
      <c r="B191" s="1493" t="inlineStr">
        <is>
          <t>Move the trolley into PUR area - per harness</t>
        </is>
      </c>
      <c r="C191" s="1233" t="n"/>
      <c r="D191" s="1562" t="n"/>
      <c r="E191" s="1399" t="n"/>
      <c r="F191" s="1399" t="n"/>
      <c r="G191" s="1399" t="n"/>
      <c r="H191" s="1556" t="n">
        <v>6</v>
      </c>
      <c r="I191" s="1563" t="inlineStr">
        <is>
          <t>FA</t>
        </is>
      </c>
      <c r="J191" s="1564" t="n">
        <v>0</v>
      </c>
      <c r="K191" s="1565">
        <f>+J191*H191</f>
        <v/>
      </c>
      <c r="L191" s="1326" t="n"/>
      <c r="M191" s="1326" t="n"/>
      <c r="N191" s="1231" t="n"/>
      <c r="O191" s="1344" t="n"/>
      <c r="P191" s="1343" t="n"/>
      <c r="Q191" s="1708" t="n"/>
      <c r="R191" s="1231" t="n"/>
      <c r="S191" s="1391" t="n"/>
    </row>
    <row r="192" ht="24.75" customHeight="1" s="1134">
      <c r="A192" s="1232" t="n"/>
      <c r="B192" s="1493" t="inlineStr">
        <is>
          <t>Make sealing spot taping and measure with gauge - per grommet</t>
        </is>
      </c>
      <c r="C192" s="1233" t="n"/>
      <c r="D192" s="1493" t="inlineStr">
        <is>
          <t>Two spot tapes under one grommet</t>
        </is>
      </c>
      <c r="E192" s="1399" t="n"/>
      <c r="F192" s="1399" t="n"/>
      <c r="G192" s="1399" t="n"/>
      <c r="H192" s="1556" t="n">
        <v>26</v>
      </c>
      <c r="I192" s="1563" t="inlineStr">
        <is>
          <t>FA</t>
        </is>
      </c>
      <c r="J192" s="1564" t="n">
        <v>0</v>
      </c>
      <c r="K192" s="1565">
        <f>+J192*H192</f>
        <v/>
      </c>
      <c r="L192" s="1326" t="n"/>
      <c r="M192" s="1326" t="n"/>
      <c r="N192" s="1231" t="n"/>
      <c r="O192" s="1344" t="n"/>
      <c r="P192" s="1343" t="n"/>
      <c r="Q192" s="1708" t="n"/>
      <c r="R192" s="1231" t="n"/>
      <c r="S192" s="1391" t="n"/>
    </row>
    <row r="193" ht="24.75" customHeight="1" s="1134">
      <c r="A193" s="1232" t="n"/>
      <c r="B193" s="1493" t="inlineStr">
        <is>
          <t>Scan the barcode - per harness</t>
        </is>
      </c>
      <c r="C193" s="1233" t="n"/>
      <c r="D193" s="1562" t="n"/>
      <c r="E193" s="1399" t="n"/>
      <c r="F193" s="1399" t="n"/>
      <c r="G193" s="1399" t="n"/>
      <c r="H193" s="1556" t="n">
        <v>3</v>
      </c>
      <c r="I193" s="1563" t="inlineStr">
        <is>
          <t>FA</t>
        </is>
      </c>
      <c r="J193" s="1564" t="n">
        <v>0</v>
      </c>
      <c r="K193" s="1565">
        <f>+J193*H193</f>
        <v/>
      </c>
      <c r="L193" s="1326" t="n"/>
      <c r="M193" s="1326" t="n"/>
      <c r="N193" s="1231" t="n"/>
      <c r="O193" s="1344" t="n"/>
      <c r="P193" s="1343" t="n"/>
      <c r="Q193" s="1708" t="n"/>
      <c r="R193" s="1231" t="n"/>
      <c r="S193" s="1391" t="n"/>
    </row>
    <row r="194" ht="24.75" customHeight="1" s="1134">
      <c r="A194" s="1232" t="n"/>
      <c r="B194" s="1493" t="inlineStr">
        <is>
          <t xml:space="preserve">Get harness &amp; position in mould - Per Grommet </t>
        </is>
      </c>
      <c r="C194" s="1233" t="n"/>
      <c r="D194" s="1562" t="n"/>
      <c r="E194" s="1399" t="n"/>
      <c r="F194" s="1399" t="n"/>
      <c r="G194" s="1399" t="n"/>
      <c r="H194" s="1556" t="n">
        <v>18.69</v>
      </c>
      <c r="I194" s="1563" t="inlineStr">
        <is>
          <t>FA</t>
        </is>
      </c>
      <c r="J194" s="1564" t="n">
        <v>0</v>
      </c>
      <c r="K194" s="1565">
        <f>+J194*H194</f>
        <v/>
      </c>
      <c r="L194" s="1326" t="n"/>
      <c r="M194" s="1326" t="n"/>
      <c r="N194" s="1231" t="n"/>
      <c r="O194" s="1344" t="n"/>
      <c r="P194" s="1343" t="n"/>
      <c r="Q194" s="1708" t="n"/>
      <c r="R194" s="1231" t="n"/>
    </row>
    <row r="195" ht="49.5" customHeight="1" s="1134">
      <c r="A195" s="1232" t="n"/>
      <c r="B195" s="1493" t="inlineStr">
        <is>
          <t>Place defined elements into holders and sockets - per grommet</t>
        </is>
      </c>
      <c r="C195" s="1233" t="n"/>
      <c r="D195" s="1493" t="inlineStr">
        <is>
          <t>Error proofing system for harness and branch orientation accordingly to the 3D routing of the harness</t>
        </is>
      </c>
      <c r="E195" s="1399" t="n"/>
      <c r="F195" s="1399" t="n"/>
      <c r="G195" s="1399" t="n"/>
      <c r="H195" s="1556" t="n">
        <v>6</v>
      </c>
      <c r="I195" s="1563" t="inlineStr">
        <is>
          <t>FA</t>
        </is>
      </c>
      <c r="J195" s="1564" t="n">
        <v>0</v>
      </c>
      <c r="K195" s="1565">
        <f>+J195*H195</f>
        <v/>
      </c>
      <c r="L195" s="1326" t="n"/>
      <c r="M195" s="1326" t="n"/>
      <c r="N195" s="1231" t="n"/>
      <c r="O195" s="1344" t="n"/>
      <c r="P195" s="1343" t="n"/>
      <c r="Q195" s="1708" t="n"/>
      <c r="R195" s="1231" t="n"/>
    </row>
    <row r="196" ht="45.75" customHeight="1" s="1134">
      <c r="A196" s="1232" t="n"/>
      <c r="B196" s="1567" t="inlineStr">
        <is>
          <t>Machine time per injection-  Get machine heads &amp; make injection - per harness</t>
        </is>
      </c>
      <c r="C196" s="1233" t="n"/>
      <c r="D196" s="1493" t="inlineStr">
        <is>
          <t>Mean value of the currently running projects; +7 s per each additional grommet on one harness</t>
        </is>
      </c>
      <c r="E196" s="1399" t="n"/>
      <c r="F196" s="1399" t="n"/>
      <c r="G196" s="1399" t="n"/>
      <c r="H196" s="1556" t="n">
        <v>21.379</v>
      </c>
      <c r="I196" s="1563" t="inlineStr">
        <is>
          <t>FA</t>
        </is>
      </c>
      <c r="J196" s="1564" t="n">
        <v>0</v>
      </c>
      <c r="K196" s="1565">
        <f>+J196*H196</f>
        <v/>
      </c>
      <c r="L196" s="1326" t="n"/>
      <c r="M196" s="1326" t="n"/>
      <c r="N196" s="1231" t="n"/>
      <c r="O196" s="1344" t="n"/>
      <c r="P196" s="1343" t="n"/>
      <c r="Q196" s="1708" t="n"/>
      <c r="R196" s="1231" t="n"/>
    </row>
    <row r="197" ht="45.75" customHeight="1" s="1134">
      <c r="A197" s="1232" t="n"/>
      <c r="B197" s="1567" t="inlineStr">
        <is>
          <t>Machine time per injection - mould preparation for each additional grommet (in case there is more than one grommet on the harness)</t>
        </is>
      </c>
      <c r="C197" s="1233" t="n"/>
      <c r="D197" s="1493" t="inlineStr">
        <is>
          <t>7 s per each additional grommet on this harness</t>
        </is>
      </c>
      <c r="E197" s="1399" t="n"/>
      <c r="F197" s="1399" t="n"/>
      <c r="G197" s="1399" t="n"/>
      <c r="H197" s="1556" t="n">
        <v>7</v>
      </c>
      <c r="I197" s="1563" t="inlineStr">
        <is>
          <t>FA</t>
        </is>
      </c>
      <c r="J197" s="1564" t="n">
        <v>0</v>
      </c>
      <c r="K197" s="1565">
        <f>+J197*H197</f>
        <v/>
      </c>
      <c r="L197" s="1326" t="n"/>
      <c r="M197" s="1326" t="n"/>
      <c r="N197" s="1231" t="n"/>
      <c r="O197" s="1344" t="n"/>
      <c r="P197" s="1343" t="n"/>
      <c r="Q197" s="1708" t="n"/>
      <c r="R197" s="1231" t="n"/>
    </row>
    <row r="198" ht="24.75" customHeight="1" s="1134">
      <c r="A198" s="1232" t="n"/>
      <c r="B198" s="1567" t="inlineStr">
        <is>
          <t>Reacting time  - per grommet</t>
        </is>
      </c>
      <c r="C198" s="1406" t="n"/>
      <c r="D198" s="1493" t="inlineStr">
        <is>
          <t>Reacting time is constant per grommet</t>
        </is>
      </c>
      <c r="E198" s="1399" t="n"/>
      <c r="F198" s="1399" t="n"/>
      <c r="G198" s="1399" t="n"/>
      <c r="H198" s="1556" t="n">
        <v>180</v>
      </c>
      <c r="I198" s="1563" t="inlineStr">
        <is>
          <t>FA</t>
        </is>
      </c>
      <c r="J198" s="1564" t="n">
        <v>0</v>
      </c>
      <c r="K198" s="1565">
        <f>+J198*H198</f>
        <v/>
      </c>
      <c r="L198" s="1326" t="n"/>
      <c r="M198" s="1326" t="n"/>
      <c r="N198" s="1231" t="n"/>
      <c r="O198" s="1344" t="n"/>
      <c r="P198" s="1343" t="n"/>
      <c r="Q198" s="1708" t="n"/>
      <c r="R198" s="1231" t="n"/>
    </row>
    <row r="199" ht="24.75" customHeight="1" s="1134">
      <c r="A199" s="1232" t="n"/>
      <c r="B199" s="1567" t="inlineStr">
        <is>
          <t>Remove the Harness from mould - per grommet</t>
        </is>
      </c>
      <c r="C199" s="1561" t="n"/>
      <c r="D199" s="1493" t="n"/>
      <c r="E199" s="1399" t="n"/>
      <c r="F199" s="1399" t="n"/>
      <c r="G199" s="1399" t="n"/>
      <c r="H199" s="1556" t="n">
        <v>14.574</v>
      </c>
      <c r="I199" s="1563" t="inlineStr">
        <is>
          <t>FA</t>
        </is>
      </c>
      <c r="J199" s="1564" t="n">
        <v>0</v>
      </c>
      <c r="K199" s="1565">
        <f>+J199*H199</f>
        <v/>
      </c>
      <c r="L199" s="1326" t="n"/>
      <c r="M199" s="1326" t="n"/>
      <c r="N199" s="1231" t="n"/>
      <c r="O199" s="1344" t="n"/>
      <c r="P199" s="1343" t="n"/>
      <c r="Q199" s="1708" t="n"/>
      <c r="R199" s="1231" t="n"/>
    </row>
    <row r="200" ht="69" customHeight="1" s="1134">
      <c r="A200" s="1232" t="n"/>
      <c r="B200" s="1567" t="inlineStr">
        <is>
          <t>Move the trolley near the cooling area/apply PUR grommet cover if available - per harness</t>
        </is>
      </c>
      <c r="C200" s="1561" t="n"/>
      <c r="D200" s="1493" t="inlineStr">
        <is>
          <t>Move the trolley near the cooling area, take the harness from the trolley, 
put it on the cooling trolley, scan the barcode of cooling trolley and harness manifest</t>
        </is>
      </c>
      <c r="E200" s="1399" t="n"/>
      <c r="F200" s="1399" t="n"/>
      <c r="G200" s="1399" t="n"/>
      <c r="H200" s="1556" t="n">
        <v>13</v>
      </c>
      <c r="I200" s="1563" t="inlineStr">
        <is>
          <t>FA</t>
        </is>
      </c>
      <c r="J200" s="1564" t="n">
        <v>0</v>
      </c>
      <c r="K200" s="1565">
        <f>+J200*H200</f>
        <v/>
      </c>
      <c r="L200" s="1326" t="n"/>
      <c r="M200" s="1326" t="n"/>
      <c r="N200" s="1231" t="n"/>
      <c r="O200" s="1344" t="n"/>
      <c r="P200" s="1343" t="n"/>
      <c r="Q200" s="1708" t="n"/>
      <c r="R200" s="1231" t="n"/>
    </row>
    <row r="201" ht="24.75" customHeight="1" s="1134">
      <c r="A201" s="1232" t="n"/>
      <c r="B201" s="1567" t="inlineStr">
        <is>
          <t>Scan the barcode - per harness</t>
        </is>
      </c>
      <c r="C201" s="1561" t="n"/>
      <c r="D201" s="1493" t="n"/>
      <c r="E201" s="1399" t="n"/>
      <c r="F201" s="1399" t="n"/>
      <c r="G201" s="1399" t="n"/>
      <c r="H201" s="1556" t="n">
        <v>3</v>
      </c>
      <c r="I201" s="1563" t="inlineStr">
        <is>
          <t>FA</t>
        </is>
      </c>
      <c r="J201" s="1564" t="n">
        <v>0</v>
      </c>
      <c r="K201" s="1565">
        <f>+J201*H201</f>
        <v/>
      </c>
      <c r="L201" s="1326" t="n"/>
      <c r="M201" s="1326" t="n"/>
      <c r="N201" s="1231" t="n"/>
      <c r="O201" s="1344" t="n"/>
      <c r="P201" s="1343" t="n"/>
      <c r="Q201" s="1708" t="n"/>
      <c r="R201" s="1231" t="n"/>
    </row>
    <row r="202" ht="24.75" customHeight="1" s="1134">
      <c r="A202" s="1405" t="n"/>
      <c r="B202" s="1567" t="inlineStr">
        <is>
          <t>Operate time   -  Remove gate &amp; Channel Burrs - per grommet</t>
        </is>
      </c>
      <c r="C202" s="1568" t="inlineStr">
        <is>
          <t>In buggy or conveyor hook</t>
        </is>
      </c>
      <c r="D202" s="1399" t="n"/>
      <c r="E202" s="1399" t="n"/>
      <c r="F202" s="1399" t="n"/>
      <c r="G202" s="1399" t="n"/>
      <c r="H202" s="1556" t="n">
        <v>21.528</v>
      </c>
      <c r="I202" s="1563" t="inlineStr">
        <is>
          <t>FA</t>
        </is>
      </c>
      <c r="J202" s="1564" t="n">
        <v>0</v>
      </c>
      <c r="K202" s="1565">
        <f>+J202*H202</f>
        <v/>
      </c>
      <c r="L202" s="1326" t="n"/>
      <c r="M202" s="1326" t="n"/>
      <c r="N202" s="1231" t="n"/>
      <c r="O202" s="1344" t="n"/>
      <c r="P202" s="1343" t="n"/>
      <c r="Q202" s="1708" t="n"/>
      <c r="R202" s="1231" t="n"/>
    </row>
    <row r="203" ht="22.5" customHeight="1" s="1134">
      <c r="A203" s="1396" t="inlineStr">
        <is>
          <t>MOLD OVER TERMINAL</t>
        </is>
      </c>
      <c r="B203" s="1397" t="inlineStr">
        <is>
          <t>mold over terminal</t>
        </is>
      </c>
      <c r="C203" s="1398" t="inlineStr">
        <is>
          <t>Molding Machine</t>
        </is>
      </c>
      <c r="D203" s="1399" t="inlineStr">
        <is>
          <t>process time</t>
        </is>
      </c>
      <c r="E203" s="1399" t="n"/>
      <c r="F203" s="1399" t="n"/>
      <c r="G203" s="1399" t="n"/>
      <c r="H203" s="1400" t="n">
        <v>38.75</v>
      </c>
      <c r="I203" s="1563" t="inlineStr">
        <is>
          <t>FA</t>
        </is>
      </c>
      <c r="J203" s="1402" t="n">
        <v>0</v>
      </c>
      <c r="K203" s="1228">
        <f>+J203*H203</f>
        <v/>
      </c>
      <c r="L203" s="1231" t="n"/>
      <c r="M203" s="1231" t="inlineStr">
        <is>
          <t>Automatic</t>
        </is>
      </c>
      <c r="N203" s="1231" t="n"/>
      <c r="O203" s="1344" t="n"/>
      <c r="P203" s="1343" t="n"/>
      <c r="Q203" s="1708" t="n"/>
      <c r="R203" s="1231" t="n"/>
    </row>
    <row r="204" ht="22.5" customHeight="1" s="1134">
      <c r="A204" s="1405" t="n"/>
      <c r="B204" s="1406" t="n"/>
      <c r="C204" s="1406" t="n"/>
      <c r="D204" s="1399" t="inlineStr">
        <is>
          <t>per wire</t>
        </is>
      </c>
      <c r="E204" s="1399" t="n"/>
      <c r="F204" s="1399" t="n"/>
      <c r="G204" s="1399" t="n"/>
      <c r="H204" s="1400" t="n">
        <v>3.08</v>
      </c>
      <c r="I204" s="1563" t="inlineStr">
        <is>
          <t>FA</t>
        </is>
      </c>
      <c r="J204" s="1402" t="n">
        <v>0</v>
      </c>
      <c r="K204" s="1228">
        <f>+J204*H204</f>
        <v/>
      </c>
      <c r="L204" s="1231" t="n"/>
      <c r="M204" s="1231" t="inlineStr">
        <is>
          <t>Automatic</t>
        </is>
      </c>
      <c r="N204" s="1231" t="n"/>
      <c r="O204" s="1344" t="n"/>
      <c r="P204" s="1343" t="n"/>
      <c r="Q204" s="1708" t="n"/>
      <c r="R204" s="1231" t="n"/>
    </row>
    <row r="205" ht="22.5" customHeight="1" s="1134">
      <c r="A205" s="1396" t="inlineStr">
        <is>
          <t xml:space="preserve">MOLD-ON </t>
        </is>
      </c>
      <c r="B205" s="1397" t="inlineStr">
        <is>
          <t>mold-on grommet (over branch)  pvc</t>
        </is>
      </c>
      <c r="C205" s="1398" t="inlineStr">
        <is>
          <t>Molding Machine</t>
        </is>
      </c>
      <c r="D205" s="1399" t="n"/>
      <c r="E205" s="1399" t="n"/>
      <c r="F205" s="1399" t="n"/>
      <c r="G205" s="1399" t="n"/>
      <c r="H205" s="1400" t="n">
        <v>85</v>
      </c>
      <c r="I205" s="1563" t="inlineStr">
        <is>
          <t>FA</t>
        </is>
      </c>
      <c r="J205" s="1402" t="n">
        <v>0</v>
      </c>
      <c r="K205" s="1228">
        <f>+J205*H205</f>
        <v/>
      </c>
      <c r="L205" s="1231" t="n"/>
      <c r="M205" s="1231" t="inlineStr">
        <is>
          <t>Automatic</t>
        </is>
      </c>
      <c r="N205" s="1231" t="n"/>
      <c r="O205" s="1344" t="n"/>
      <c r="P205" s="1343" t="n"/>
      <c r="Q205" s="1708" t="n"/>
      <c r="R205" s="1231" t="n"/>
    </row>
    <row r="206" ht="46.5" customHeight="1" s="1134">
      <c r="A206" s="1396" t="inlineStr">
        <is>
          <t>HARDSHELL-GROM</t>
        </is>
      </c>
      <c r="B206" s="1397" t="inlineStr">
        <is>
          <t>build grommet over leads (hardshell grommet or hot melt) -- (2 parts of a connector cover a branch then glue is applied inside the parts)</t>
        </is>
      </c>
      <c r="C206" s="1397" t="inlineStr">
        <is>
          <t>IHG Machine</t>
        </is>
      </c>
      <c r="D206" s="1399" t="n"/>
      <c r="E206" s="1399" t="n"/>
      <c r="F206" s="1399" t="n"/>
      <c r="G206" s="1399" t="n"/>
      <c r="H206" s="1400" t="n">
        <v>52.2</v>
      </c>
      <c r="I206" s="1563" t="inlineStr">
        <is>
          <t>FA</t>
        </is>
      </c>
      <c r="J206" s="1402" t="n">
        <v>0</v>
      </c>
      <c r="K206" s="1403">
        <f>+J206*H206</f>
        <v/>
      </c>
      <c r="L206" s="1231" t="n"/>
      <c r="M206" s="1231" t="inlineStr">
        <is>
          <t>Automatic</t>
        </is>
      </c>
      <c r="N206" s="1231" t="n"/>
      <c r="O206" s="1344" t="n"/>
      <c r="P206" s="1343" t="n"/>
      <c r="Q206" s="1708" t="n"/>
      <c r="R206" s="1231" t="n"/>
    </row>
    <row r="207" ht="31.5" customHeight="1" s="1134">
      <c r="A207" s="1396" t="inlineStr">
        <is>
          <t>HARDSHELL-GROM TEST</t>
        </is>
      </c>
      <c r="B207" s="1415" t="inlineStr">
        <is>
          <t>build grommet over leads (hardshell grommet)</t>
        </is>
      </c>
      <c r="C207" s="1415" t="inlineStr">
        <is>
          <t>IHG Vaccum Tester</t>
        </is>
      </c>
      <c r="D207" s="1317" t="n"/>
      <c r="E207" s="1399" t="n"/>
      <c r="F207" s="1399" t="n"/>
      <c r="G207" s="1399" t="n"/>
      <c r="H207" s="1420" t="n">
        <v>87</v>
      </c>
      <c r="I207" s="1563" t="inlineStr">
        <is>
          <t>FA</t>
        </is>
      </c>
      <c r="J207" s="1402" t="n">
        <v>0</v>
      </c>
      <c r="K207" s="1403">
        <f>+J207*H207</f>
        <v/>
      </c>
      <c r="L207" s="1231" t="n"/>
      <c r="M207" s="1231" t="inlineStr">
        <is>
          <t>Automatic</t>
        </is>
      </c>
      <c r="N207" s="1231" t="n"/>
      <c r="O207" s="1344" t="n"/>
      <c r="P207" s="1343" t="n"/>
      <c r="Q207" s="1708" t="n"/>
      <c r="R207" s="1231" t="n"/>
    </row>
    <row r="208" ht="31.5" customHeight="1" s="1134">
      <c r="A208" s="1396" t="inlineStr">
        <is>
          <t xml:space="preserve">TPE Grommet Injection 
</t>
        </is>
      </c>
      <c r="B208" s="1569" t="inlineStr">
        <is>
          <t>Place the insert part one in the mould (15,30 sec)</t>
        </is>
      </c>
      <c r="C208" s="1493" t="n"/>
      <c r="D208" s="1399" t="n"/>
      <c r="E208" s="1317" t="n"/>
      <c r="F208" s="1317" t="n"/>
      <c r="G208" s="1570" t="n"/>
      <c r="H208" s="1571" t="n">
        <v>319.58</v>
      </c>
      <c r="I208" s="1563" t="inlineStr">
        <is>
          <t>FA</t>
        </is>
      </c>
      <c r="J208" s="1564" t="n">
        <v>0</v>
      </c>
      <c r="K208" s="1572">
        <f>+J208*H208</f>
        <v/>
      </c>
      <c r="L208" s="1566" t="n"/>
      <c r="M208" s="1566" t="inlineStr">
        <is>
          <t>Manual</t>
        </is>
      </c>
      <c r="N208" s="1231" t="n"/>
      <c r="O208" s="1344" t="n"/>
      <c r="P208" s="1343" t="n"/>
      <c r="Q208" s="1708" t="n"/>
      <c r="R208" s="1231" t="n"/>
    </row>
    <row r="209" ht="23.25" customHeight="1" s="1134">
      <c r="A209" s="1232" t="n"/>
      <c r="B209" s="1569" t="inlineStr">
        <is>
          <t>Get harness &amp; position in mould (28,60 sec)</t>
        </is>
      </c>
      <c r="C209" s="1493" t="n"/>
      <c r="D209" s="1399" t="n"/>
      <c r="E209" s="1317" t="n"/>
      <c r="F209" s="1317" t="n"/>
      <c r="G209" s="1570" t="n"/>
      <c r="H209" s="1233" t="n"/>
      <c r="I209" s="1573" t="n"/>
      <c r="J209" s="1573" t="n"/>
      <c r="K209" s="1574" t="n"/>
      <c r="L209" s="1326" t="n"/>
      <c r="M209" s="1326" t="n"/>
      <c r="N209" s="1231" t="n"/>
      <c r="O209" s="1344" t="n"/>
      <c r="P209" s="1343" t="n"/>
      <c r="Q209" s="1708" t="n"/>
      <c r="R209" s="1231" t="n"/>
    </row>
    <row r="210" ht="21" customHeight="1" s="1134">
      <c r="A210" s="1232" t="n"/>
      <c r="B210" s="1569" t="inlineStr">
        <is>
          <t>Place the insert part two in the mould (7,91 sec)</t>
        </is>
      </c>
      <c r="C210" s="1493" t="n"/>
      <c r="D210" s="1399" t="n"/>
      <c r="E210" s="1317" t="n"/>
      <c r="F210" s="1317" t="n"/>
      <c r="G210" s="1570" t="n"/>
      <c r="H210" s="1233" t="n"/>
      <c r="I210" s="1573" t="n"/>
      <c r="J210" s="1573" t="n"/>
      <c r="K210" s="1574" t="n"/>
      <c r="L210" s="1326" t="n"/>
      <c r="M210" s="1326" t="n"/>
      <c r="N210" s="1231" t="n"/>
      <c r="O210" s="1344" t="n"/>
      <c r="P210" s="1343" t="n"/>
      <c r="Q210" s="1708" t="n"/>
      <c r="R210" s="1231" t="n"/>
    </row>
    <row r="211" ht="24.75" customHeight="1" s="1134">
      <c r="A211" s="1232" t="n"/>
      <c r="B211" s="1569" t="inlineStr">
        <is>
          <t>Start the injection machine for over-molding (9,06 sec)</t>
        </is>
      </c>
      <c r="C211" s="1493" t="inlineStr">
        <is>
          <t>Injection Machine</t>
        </is>
      </c>
      <c r="D211" s="1399" t="n"/>
      <c r="E211" s="1317" t="n"/>
      <c r="F211" s="1317" t="n"/>
      <c r="G211" s="1570" t="n"/>
      <c r="H211" s="1233" t="n"/>
      <c r="I211" s="1573" t="n"/>
      <c r="J211" s="1573" t="n"/>
      <c r="K211" s="1574" t="n"/>
      <c r="L211" s="1326" t="n"/>
      <c r="M211" s="1326" t="n"/>
      <c r="N211" s="1231" t="n"/>
      <c r="O211" s="1344" t="n"/>
      <c r="P211" s="1343" t="n"/>
      <c r="Q211" s="1708" t="n"/>
      <c r="R211" s="1231" t="n"/>
    </row>
    <row r="212" ht="21.75" customHeight="1" s="1134">
      <c r="A212" s="1232" t="n"/>
      <c r="B212" s="1569" t="inlineStr">
        <is>
          <t>Injection and cooling in the mould (243,46 sec)</t>
        </is>
      </c>
      <c r="C212" s="1406" t="n"/>
      <c r="D212" s="1399" t="n"/>
      <c r="E212" s="1317" t="n"/>
      <c r="F212" s="1317" t="n"/>
      <c r="G212" s="1570" t="n"/>
      <c r="H212" s="1233" t="n"/>
      <c r="I212" s="1573" t="n"/>
      <c r="J212" s="1573" t="n"/>
      <c r="K212" s="1574" t="n"/>
      <c r="L212" s="1326" t="n"/>
      <c r="M212" s="1326" t="n"/>
      <c r="N212" s="1231" t="n"/>
      <c r="O212" s="1344" t="n"/>
      <c r="P212" s="1343" t="n"/>
      <c r="Q212" s="1708" t="n"/>
      <c r="R212" s="1231" t="n"/>
    </row>
    <row r="213" ht="30" customHeight="1" s="1134">
      <c r="A213" s="1405" t="n"/>
      <c r="B213" s="1569" t="inlineStr">
        <is>
          <t>Remove the Harness from mould (15,26 sec)</t>
        </is>
      </c>
      <c r="C213" s="1493" t="n"/>
      <c r="D213" s="1399" t="n"/>
      <c r="E213" s="1399" t="n"/>
      <c r="F213" s="1399" t="n"/>
      <c r="G213" s="1575" t="n"/>
      <c r="H213" s="1406" t="n"/>
      <c r="I213" s="1527" t="n"/>
      <c r="J213" s="1527" t="n"/>
      <c r="K213" s="1528" t="n"/>
      <c r="L213" s="1326" t="n"/>
      <c r="M213" s="1326" t="n"/>
      <c r="N213" s="1231" t="n"/>
      <c r="O213" s="1344" t="n"/>
      <c r="P213" s="1343" t="n"/>
      <c r="Q213" s="1708" t="n"/>
      <c r="R213" s="1231" t="n"/>
    </row>
    <row r="214" ht="20.25" customHeight="1" s="1134">
      <c r="A214" s="1396" t="n"/>
      <c r="B214" s="1493" t="n"/>
      <c r="C214" s="1493" t="n"/>
      <c r="D214" s="1399" t="n"/>
      <c r="E214" s="1399" t="n"/>
      <c r="F214" s="1399" t="n"/>
      <c r="G214" s="1399" t="n"/>
      <c r="H214" s="1579" t="n"/>
      <c r="I214" s="1563" t="n"/>
      <c r="J214" s="1564" t="n">
        <v>0</v>
      </c>
      <c r="K214" s="1580" t="n"/>
      <c r="N214" s="1231" t="n"/>
      <c r="O214" s="1344" t="n"/>
      <c r="P214" s="1343" t="n"/>
      <c r="Q214" s="1708" t="n"/>
      <c r="R214" s="1231" t="n"/>
    </row>
    <row r="215" ht="15" customHeight="1" s="1134">
      <c r="A215" s="1396" t="n"/>
      <c r="B215" s="1493" t="n"/>
      <c r="C215" s="1493" t="n"/>
      <c r="D215" s="1399" t="n"/>
      <c r="E215" s="1399" t="n"/>
      <c r="F215" s="1399" t="n"/>
      <c r="G215" s="1399" t="n"/>
      <c r="H215" s="1579" t="n"/>
      <c r="I215" s="1563" t="n"/>
      <c r="J215" s="1564" t="n">
        <v>0</v>
      </c>
      <c r="K215" s="1580" t="n"/>
      <c r="N215" s="1231" t="n"/>
      <c r="O215" s="1344" t="n"/>
      <c r="P215" s="1343" t="n"/>
      <c r="Q215" s="1708" t="n"/>
      <c r="R215" s="1231" t="n"/>
    </row>
    <row r="216" ht="13.5" customHeight="1" s="1134">
      <c r="A216" s="1507" t="n"/>
      <c r="B216" s="1581" t="n"/>
      <c r="C216" s="1582" t="n"/>
      <c r="D216" s="1490" t="n"/>
      <c r="E216" s="1490" t="n"/>
      <c r="F216" s="1490" t="n"/>
      <c r="G216" s="1583" t="n"/>
      <c r="H216" s="1584" t="n"/>
      <c r="I216" s="1585" t="n"/>
      <c r="J216" s="1586" t="n">
        <v>0</v>
      </c>
      <c r="K216" s="1587" t="n"/>
      <c r="N216" s="1231" t="n"/>
      <c r="O216" s="1344" t="n"/>
      <c r="P216" s="1343" t="n"/>
      <c r="Q216" s="1708" t="n"/>
      <c r="R216" s="1231" t="n"/>
    </row>
    <row r="217" ht="23.85" customHeight="1" s="1134">
      <c r="A217" s="1588" t="inlineStr">
        <is>
          <t>Alu cables</t>
        </is>
      </c>
      <c r="B217" s="1431" t="inlineStr">
        <is>
          <t>Comments</t>
        </is>
      </c>
      <c r="C217" s="1431" t="inlineStr">
        <is>
          <t>Machine Vendor</t>
        </is>
      </c>
      <c r="D217" s="1431" t="inlineStr">
        <is>
          <t>Min gauge</t>
        </is>
      </c>
      <c r="E217" s="1431" t="inlineStr">
        <is>
          <t>Max gauge</t>
        </is>
      </c>
      <c r="F217" s="1589" t="n"/>
      <c r="G217" s="1590" t="n"/>
      <c r="H217" s="1591" t="inlineStr">
        <is>
          <t>Global Sec/ Pc</t>
        </is>
      </c>
      <c r="I217" s="1592" t="inlineStr">
        <is>
          <t>Location
LP/FA</t>
        </is>
      </c>
      <c r="J217" s="1593" t="n">
        <v>0</v>
      </c>
      <c r="K217" s="1393" t="inlineStr">
        <is>
          <t>Total</t>
        </is>
      </c>
      <c r="N217" s="1231" t="n"/>
    </row>
    <row r="218" ht="31.5" customHeight="1" s="1134">
      <c r="A218" s="1594" t="inlineStr">
        <is>
          <t>Aluminum cable hot melt overmould</t>
        </is>
      </c>
      <c r="B218" s="1511" t="inlineStr">
        <is>
          <t xml:space="preserve">Time by cable side overmolded. Time includes mold  and lubricating of molds </t>
        </is>
      </c>
      <c r="C218" s="1399" t="inlineStr">
        <is>
          <t>Mold Man 8200</t>
        </is>
      </c>
      <c r="D218" s="1399" t="n">
        <v>0.13</v>
      </c>
      <c r="E218" s="1522" t="n">
        <v>6</v>
      </c>
      <c r="F218" s="1595" t="n"/>
      <c r="G218" s="1532" t="n"/>
      <c r="H218" s="1494" t="n">
        <v>9</v>
      </c>
      <c r="I218" s="1438" t="inlineStr">
        <is>
          <t>FA</t>
        </is>
      </c>
      <c r="J218" s="1402" t="n">
        <v>0</v>
      </c>
      <c r="K218" s="1596">
        <f>+J218*H218</f>
        <v/>
      </c>
      <c r="L218" s="1132" t="n"/>
      <c r="M218" s="1132" t="inlineStr">
        <is>
          <t>Automatic</t>
        </is>
      </c>
      <c r="N218" s="1231" t="n"/>
      <c r="O218" s="1344" t="n"/>
      <c r="P218" s="1343" t="n"/>
      <c r="Q218" s="1708" t="n"/>
      <c r="R218" s="1231" t="n"/>
    </row>
    <row r="219" ht="23.85" customHeight="1" s="1134">
      <c r="A219" s="1597" t="inlineStr">
        <is>
          <t>Aluminum Hot Melt Overmold Inspection</t>
        </is>
      </c>
      <c r="B219" s="1499" t="inlineStr">
        <is>
          <t>Time by cable side overmolded</t>
        </is>
      </c>
      <c r="C219" s="1399" t="n"/>
      <c r="D219" s="1399" t="n">
        <v>0.13</v>
      </c>
      <c r="E219" s="1522" t="n">
        <v>6</v>
      </c>
      <c r="F219" s="1595" t="n"/>
      <c r="G219" s="1532" t="n"/>
      <c r="H219" s="1494" t="n">
        <v>9.5</v>
      </c>
      <c r="I219" s="1401" t="inlineStr">
        <is>
          <t>FA</t>
        </is>
      </c>
      <c r="J219" s="1402" t="n">
        <v>0</v>
      </c>
      <c r="K219" s="1403">
        <f>+J219*H219</f>
        <v/>
      </c>
      <c r="M219" s="1132" t="inlineStr">
        <is>
          <t>Automatic</t>
        </is>
      </c>
      <c r="N219" s="1231" t="n"/>
      <c r="O219" s="1344" t="n"/>
      <c r="P219" s="1343" t="n"/>
      <c r="Q219" s="1708" t="n"/>
      <c r="R219" s="1231" t="n"/>
    </row>
    <row r="220" ht="12.75" customHeight="1" s="1134">
      <c r="A220" s="1598" t="n"/>
      <c r="B220" s="1499" t="n"/>
      <c r="C220" s="1399" t="n"/>
      <c r="D220" s="1399" t="n"/>
      <c r="E220" s="1522" t="n"/>
      <c r="F220" s="1522" t="n"/>
      <c r="G220" s="1522" t="n"/>
      <c r="H220" s="1495" t="n"/>
      <c r="I220" s="1401" t="n"/>
      <c r="J220" s="1402" t="n">
        <v>0</v>
      </c>
      <c r="K220" s="1403" t="n"/>
      <c r="N220" s="1231" t="n"/>
      <c r="O220" s="1344" t="n"/>
      <c r="P220" s="1343" t="n"/>
      <c r="Q220" s="1708" t="n"/>
      <c r="R220" s="1231" t="n"/>
    </row>
    <row r="221" ht="12.75" customHeight="1" s="1134">
      <c r="A221" s="1598" t="n"/>
      <c r="B221" s="1499" t="n"/>
      <c r="C221" s="1399" t="n"/>
      <c r="D221" s="1399" t="n"/>
      <c r="E221" s="1522" t="n"/>
      <c r="F221" s="1522" t="n"/>
      <c r="G221" s="1522" t="n"/>
      <c r="H221" s="1495" t="n"/>
      <c r="I221" s="1401" t="n"/>
      <c r="J221" s="1402" t="n">
        <v>0</v>
      </c>
      <c r="K221" s="1403" t="n"/>
      <c r="N221" s="1231" t="n"/>
      <c r="O221" s="1344" t="n"/>
      <c r="P221" s="1343" t="n"/>
      <c r="Q221" s="1708" t="n"/>
      <c r="R221" s="1231" t="n"/>
    </row>
    <row r="222" ht="12.75" customHeight="1" s="1134">
      <c r="A222" s="1598" t="n"/>
      <c r="B222" s="1499" t="n"/>
      <c r="C222" s="1399" t="n"/>
      <c r="D222" s="1399" t="n"/>
      <c r="E222" s="1522" t="n"/>
      <c r="F222" s="1522" t="n"/>
      <c r="G222" s="1522" t="n"/>
      <c r="H222" s="1495" t="n"/>
      <c r="I222" s="1401" t="n"/>
      <c r="J222" s="1402" t="n">
        <v>0</v>
      </c>
      <c r="K222" s="1403" t="n"/>
      <c r="N222" s="1231" t="n"/>
      <c r="O222" s="1344" t="n"/>
      <c r="P222" s="1343" t="n"/>
      <c r="Q222" s="1708" t="n"/>
      <c r="R222" s="1231" t="n"/>
    </row>
    <row r="223" ht="12.75" customHeight="1" s="1134">
      <c r="A223" s="1414" t="n"/>
      <c r="B223" s="1599" t="n"/>
      <c r="C223" s="1490" t="n"/>
      <c r="D223" s="1490" t="n"/>
      <c r="E223" s="1600" t="n"/>
      <c r="F223" s="1600" t="n"/>
      <c r="G223" s="1600" t="n"/>
      <c r="H223" s="1601" t="n"/>
      <c r="I223" s="1602" t="n"/>
      <c r="J223" s="1518" t="n">
        <v>0</v>
      </c>
      <c r="K223" s="1477" t="n"/>
      <c r="N223" s="1231" t="n"/>
      <c r="O223" s="1344" t="n"/>
      <c r="P223" s="1343" t="n"/>
      <c r="Q223" s="1708" t="n"/>
      <c r="R223" s="1231" t="n"/>
    </row>
    <row r="224" ht="53.25" customFormat="1" customHeight="1" s="1391">
      <c r="A224" s="1216" t="inlineStr">
        <is>
          <t>LABELS</t>
        </is>
      </c>
      <c r="B224" s="1217" t="inlineStr">
        <is>
          <t>COMMENTS</t>
        </is>
      </c>
      <c r="C224" s="1217" t="inlineStr">
        <is>
          <t>Machine Vendor</t>
        </is>
      </c>
      <c r="D224" s="1217" t="inlineStr">
        <is>
          <t xml:space="preserve"> Special Component</t>
        </is>
      </c>
      <c r="E224" s="1217" t="n"/>
      <c r="F224" s="1217" t="n"/>
      <c r="G224" s="1217" t="n"/>
      <c r="H224" s="1392" t="inlineStr">
        <is>
          <t>Global Sec/ Pc</t>
        </is>
      </c>
      <c r="I224" s="1479" t="inlineStr">
        <is>
          <t>Location
LP/FA</t>
        </is>
      </c>
      <c r="J224" s="1432" t="n">
        <v>0</v>
      </c>
      <c r="K224" s="1393" t="inlineStr">
        <is>
          <t>Total</t>
        </is>
      </c>
      <c r="N224" s="1231" t="n"/>
      <c r="O224" s="1344" t="n"/>
      <c r="P224" s="1343" t="n"/>
      <c r="Q224" s="1708" t="n"/>
      <c r="R224" s="1231" t="n"/>
      <c r="S224" s="1132" t="n"/>
    </row>
    <row r="225" ht="22.5" customHeight="1" s="1134">
      <c r="A225" s="1498" t="inlineStr">
        <is>
          <t>MARKER TAPE</t>
        </is>
      </c>
      <c r="B225" s="1397" t="inlineStr">
        <is>
          <t>Wiring Harness Identification (Last four digits of the harness)</t>
        </is>
      </c>
      <c r="C225" s="1499" t="inlineStr">
        <is>
          <t>Marking tape Printer</t>
        </is>
      </c>
      <c r="D225" s="1399" t="n"/>
      <c r="E225" s="1399" t="n"/>
      <c r="F225" s="1399" t="n"/>
      <c r="G225" s="1399" t="n"/>
      <c r="H225" s="1400" t="n">
        <v>7</v>
      </c>
      <c r="I225" s="1401" t="inlineStr">
        <is>
          <t>FA</t>
        </is>
      </c>
      <c r="J225" s="1402" t="n">
        <v>0</v>
      </c>
      <c r="K225" s="1403">
        <f>+J225*H225</f>
        <v/>
      </c>
      <c r="L225" s="1132" t="n"/>
      <c r="M225" s="1132" t="inlineStr">
        <is>
          <t>Automatic</t>
        </is>
      </c>
      <c r="N225" s="1231" t="n"/>
      <c r="O225" s="1344" t="n"/>
      <c r="P225" s="1343" t="n"/>
      <c r="Q225" s="1708" t="n"/>
      <c r="R225" s="1231" t="n"/>
      <c r="S225" s="1391" t="n"/>
    </row>
    <row r="226" ht="22.5" customHeight="1" s="1134">
      <c r="A226" s="1498" t="inlineStr">
        <is>
          <t>SCANNING</t>
        </is>
      </c>
      <c r="B226" s="1397" t="inlineStr">
        <is>
          <t>label used to scan a harness p/n -- Scanner</t>
        </is>
      </c>
      <c r="C226" s="1499" t="inlineStr">
        <is>
          <t>Label Scanner</t>
        </is>
      </c>
      <c r="D226" s="1399" t="inlineStr">
        <is>
          <t>M4907001</t>
        </is>
      </c>
      <c r="E226" s="1399" t="n"/>
      <c r="F226" s="1399" t="n"/>
      <c r="G226" s="1399" t="n"/>
      <c r="H226" s="1400" t="n">
        <v>6</v>
      </c>
      <c r="I226" s="1401" t="inlineStr">
        <is>
          <t>FA</t>
        </is>
      </c>
      <c r="J226" s="1402" t="n">
        <v>0</v>
      </c>
      <c r="K226" s="1403">
        <f>+J226*H226</f>
        <v/>
      </c>
      <c r="M226" s="1132" t="inlineStr">
        <is>
          <t>Manual</t>
        </is>
      </c>
      <c r="N226" s="1231" t="n"/>
      <c r="O226" s="1344" t="n"/>
      <c r="P226" s="1343" t="n"/>
      <c r="Q226" s="1708" t="n"/>
      <c r="R226" s="1231" t="n"/>
    </row>
    <row r="227" ht="22.5" customHeight="1" s="1134">
      <c r="A227" s="1425" t="n"/>
      <c r="B227" s="1426" t="n"/>
      <c r="C227" s="1319" t="n"/>
      <c r="D227" s="1319" t="n"/>
      <c r="E227" s="1319" t="n"/>
      <c r="F227" s="1319" t="n"/>
      <c r="G227" s="1319" t="n"/>
      <c r="H227" s="1319" t="n"/>
      <c r="I227" s="1560" t="n"/>
      <c r="J227" s="1402" t="n">
        <v>0</v>
      </c>
      <c r="K227" s="1430" t="n"/>
      <c r="N227" s="1231" t="n"/>
      <c r="O227" s="1344" t="n"/>
      <c r="P227" s="1343" t="n"/>
      <c r="Q227" s="1708" t="n"/>
      <c r="R227" s="1231" t="n"/>
    </row>
    <row r="228" ht="53.25" customFormat="1" customHeight="1" s="1391">
      <c r="A228" s="1216" t="inlineStr">
        <is>
          <t>SUB-ASSEMBLY</t>
        </is>
      </c>
      <c r="B228" s="1217" t="inlineStr">
        <is>
          <t>COMMENTS</t>
        </is>
      </c>
      <c r="C228" s="1217" t="inlineStr">
        <is>
          <t>Machine Vendor</t>
        </is>
      </c>
      <c r="D228" s="1217" t="n"/>
      <c r="E228" s="1217" t="n"/>
      <c r="F228" s="1217" t="n"/>
      <c r="G228" s="1217" t="n"/>
      <c r="H228" s="1392" t="inlineStr">
        <is>
          <t>Global Sec/ Pc</t>
        </is>
      </c>
      <c r="I228" s="1479" t="inlineStr">
        <is>
          <t>Location
LP/FA</t>
        </is>
      </c>
      <c r="J228" s="1432" t="n">
        <v>0</v>
      </c>
      <c r="K228" s="1393" t="inlineStr">
        <is>
          <t>Total</t>
        </is>
      </c>
      <c r="N228" s="1231" t="n"/>
      <c r="O228" s="1344" t="n"/>
      <c r="P228" s="1343" t="n"/>
      <c r="Q228" s="1708" t="n"/>
      <c r="R228" s="1231" t="n"/>
      <c r="S228" s="1132" t="n"/>
    </row>
    <row r="229" ht="22.5" customHeight="1" s="1134">
      <c r="A229" s="1498" t="inlineStr">
        <is>
          <t>CUT SUBASSY WIRES</t>
        </is>
      </c>
      <c r="B229" s="1397" t="inlineStr">
        <is>
          <t>cut and strip purchase componets (valve, sensor, switch, etc.)</t>
        </is>
      </c>
      <c r="C229" s="1499" t="inlineStr">
        <is>
          <t>subassy wires cutter</t>
        </is>
      </c>
      <c r="D229" s="1399" t="n"/>
      <c r="E229" s="1399" t="n"/>
      <c r="F229" s="1399" t="n"/>
      <c r="G229" s="1399" t="n"/>
      <c r="H229" s="1400" t="n">
        <v>10</v>
      </c>
      <c r="I229" s="1401" t="inlineStr">
        <is>
          <t>FA</t>
        </is>
      </c>
      <c r="J229" s="1402" t="n">
        <v>0</v>
      </c>
      <c r="K229" s="1403">
        <f>+J229*H229</f>
        <v/>
      </c>
      <c r="M229" s="1132" t="inlineStr">
        <is>
          <t>Automatic</t>
        </is>
      </c>
      <c r="N229" s="1231" t="n"/>
      <c r="O229" s="1344" t="n"/>
      <c r="P229" s="1343" t="n"/>
      <c r="Q229" s="1708" t="n"/>
      <c r="R229" s="1231" t="n"/>
      <c r="S229" s="1391" t="n"/>
    </row>
    <row r="230" ht="22.5" customHeight="1" s="1134">
      <c r="A230" s="1498" t="inlineStr">
        <is>
          <t>STRIP SUBASSY WIRES</t>
        </is>
      </c>
      <c r="B230" s="1397" t="inlineStr">
        <is>
          <t>strip subassembly wires</t>
        </is>
      </c>
      <c r="C230" s="1499" t="inlineStr">
        <is>
          <t>Wire Stripper / per strip</t>
        </is>
      </c>
      <c r="D230" s="1399" t="n"/>
      <c r="E230" s="1399" t="n"/>
      <c r="F230" s="1399" t="n"/>
      <c r="G230" s="1399" t="n"/>
      <c r="H230" s="1400" t="n">
        <v>2.5</v>
      </c>
      <c r="I230" s="1401" t="inlineStr">
        <is>
          <t>FA</t>
        </is>
      </c>
      <c r="J230" s="1402" t="n">
        <v>0</v>
      </c>
      <c r="K230" s="1403">
        <f>+J230*H230</f>
        <v/>
      </c>
      <c r="M230" s="1132" t="inlineStr">
        <is>
          <t>Manual</t>
        </is>
      </c>
      <c r="N230" s="1231" t="n"/>
      <c r="O230" s="1344" t="n"/>
      <c r="P230" s="1343" t="n"/>
      <c r="Q230" s="1708" t="n"/>
      <c r="R230" s="1231" t="n"/>
    </row>
    <row r="231" ht="22.5" customHeight="1" s="1134">
      <c r="A231" s="1500" t="n"/>
      <c r="B231" s="1415" t="n"/>
      <c r="C231" s="1485" t="n"/>
      <c r="D231" s="1317" t="n"/>
      <c r="E231" s="1317" t="n"/>
      <c r="F231" s="1317" t="n"/>
      <c r="G231" s="1317" t="n"/>
      <c r="H231" s="1420" t="n"/>
      <c r="I231" s="1438" t="n"/>
      <c r="J231" s="1439" t="n">
        <v>0</v>
      </c>
      <c r="K231" s="1440" t="n"/>
      <c r="N231" s="1231" t="n"/>
      <c r="O231" s="1344" t="n"/>
      <c r="P231" s="1343" t="n"/>
      <c r="Q231" s="1708" t="n"/>
      <c r="R231" s="1231" t="n"/>
    </row>
    <row r="232" ht="22.5" customHeight="1" s="1134">
      <c r="A232" s="1425" t="n"/>
      <c r="B232" s="1426" t="n"/>
      <c r="C232" s="1319" t="n"/>
      <c r="D232" s="1319" t="n"/>
      <c r="E232" s="1319" t="n"/>
      <c r="F232" s="1319" t="n"/>
      <c r="G232" s="1319" t="n"/>
      <c r="H232" s="1319" t="n"/>
      <c r="I232" s="1463" t="n"/>
      <c r="J232" s="1429" t="n">
        <v>0</v>
      </c>
      <c r="K232" s="1430" t="n"/>
      <c r="N232" s="1231" t="n"/>
      <c r="O232" s="1344" t="n"/>
      <c r="P232" s="1343" t="n"/>
      <c r="Q232" s="1708" t="n"/>
      <c r="R232" s="1231" t="n"/>
    </row>
    <row r="233" ht="53.25" customFormat="1" customHeight="1" s="1391">
      <c r="A233" s="1216" t="inlineStr">
        <is>
          <t>SUB-ASSEMBLY</t>
        </is>
      </c>
      <c r="B233" s="1217" t="inlineStr">
        <is>
          <t>COMMENTS</t>
        </is>
      </c>
      <c r="C233" s="1217" t="inlineStr">
        <is>
          <t>Machine Vendor</t>
        </is>
      </c>
      <c r="D233" s="1217" t="inlineStr">
        <is>
          <t>Min Length [mm]</t>
        </is>
      </c>
      <c r="E233" s="1217" t="inlineStr">
        <is>
          <t>Max Length [mm]</t>
        </is>
      </c>
      <c r="F233" s="1217" t="n"/>
      <c r="G233" s="1217" t="n"/>
      <c r="H233" s="1392" t="inlineStr">
        <is>
          <t>Global Sec/ Pc</t>
        </is>
      </c>
      <c r="I233" s="1479" t="inlineStr">
        <is>
          <t>Location
LP/FA</t>
        </is>
      </c>
      <c r="J233" s="1432" t="n">
        <v>0</v>
      </c>
      <c r="K233" s="1393" t="inlineStr">
        <is>
          <t>Total</t>
        </is>
      </c>
      <c r="N233" s="1231" t="n"/>
      <c r="O233" s="1344" t="n"/>
      <c r="P233" s="1343" t="n"/>
      <c r="Q233" s="1708" t="n"/>
      <c r="R233" s="1231" t="n"/>
      <c r="S233" s="1132" t="n"/>
    </row>
    <row r="234" ht="30" customHeight="1" s="1134">
      <c r="A234" s="1533" t="inlineStr">
        <is>
          <t>Connector marking (numbers or solid line)</t>
        </is>
      </c>
      <c r="B234" s="1499" t="inlineStr">
        <is>
          <t>marking text and solid reference line</t>
        </is>
      </c>
      <c r="C234" s="1603" t="inlineStr">
        <is>
          <t>Laser printer</t>
        </is>
      </c>
      <c r="D234" s="1490" t="n"/>
      <c r="E234" s="1490" t="n"/>
      <c r="F234" s="1490" t="n"/>
      <c r="G234" s="1490" t="n"/>
      <c r="H234" s="1400">
        <f>7.22/100*60</f>
        <v/>
      </c>
      <c r="I234" s="1401" t="inlineStr">
        <is>
          <t>FA</t>
        </is>
      </c>
      <c r="J234" s="1402" t="n">
        <v>0</v>
      </c>
      <c r="K234" s="1403">
        <f>+J234*H234</f>
        <v/>
      </c>
      <c r="L234" s="1231" t="n"/>
      <c r="M234" s="1231" t="inlineStr">
        <is>
          <t>Manual</t>
        </is>
      </c>
      <c r="N234" s="1231" t="n"/>
      <c r="O234" s="1344" t="n"/>
      <c r="P234" s="1343" t="n"/>
      <c r="Q234" s="1708" t="n"/>
      <c r="R234" s="1231" t="n"/>
    </row>
    <row r="235" ht="30" customHeight="1" s="1134">
      <c r="A235" s="1487" t="inlineStr">
        <is>
          <t xml:space="preserve">Marking text on outsourcing harness / subassembly </t>
        </is>
      </c>
      <c r="B235" s="1604" t="inlineStr">
        <is>
          <t>Marking text on outsourcing harness every 25mm which has two circuits (black and white) .Two circuits marking are done in one cycle. ( Black with white ink, white with black ink.)</t>
        </is>
      </c>
      <c r="C235" s="1603" t="inlineStr">
        <is>
          <t>LeiBinger Inkjet-2</t>
        </is>
      </c>
      <c r="D235" s="1490" t="n">
        <v>70</v>
      </c>
      <c r="E235" s="1490" t="n">
        <v>500</v>
      </c>
      <c r="F235" s="1490" t="n"/>
      <c r="G235" s="1490" t="n"/>
      <c r="H235" s="1400" t="n">
        <v>42.4</v>
      </c>
      <c r="I235" s="1401" t="inlineStr">
        <is>
          <t>FA</t>
        </is>
      </c>
      <c r="J235" s="1402" t="n">
        <v>0</v>
      </c>
      <c r="K235" s="1403">
        <f>+J235*H235</f>
        <v/>
      </c>
      <c r="L235" s="1231" t="n"/>
      <c r="M235" s="1231" t="inlineStr">
        <is>
          <t>Manual</t>
        </is>
      </c>
      <c r="N235" s="1231" t="n"/>
      <c r="O235" s="1344" t="n"/>
      <c r="P235" s="1343" t="n"/>
      <c r="Q235" s="1708" t="n"/>
      <c r="R235" s="1231" t="n"/>
      <c r="S235" s="1391" t="n"/>
    </row>
    <row r="236" ht="30" customHeight="1" s="1134">
      <c r="A236" s="1232" t="n"/>
      <c r="B236" s="1233" t="n"/>
      <c r="C236" s="1233" t="n"/>
      <c r="D236" s="1490" t="n">
        <v>501</v>
      </c>
      <c r="E236" s="1490" t="n">
        <v>1000</v>
      </c>
      <c r="F236" s="1490" t="n"/>
      <c r="G236" s="1490" t="n"/>
      <c r="H236" s="1400" t="n">
        <v>47.8</v>
      </c>
      <c r="I236" s="1401" t="inlineStr">
        <is>
          <t>FA</t>
        </is>
      </c>
      <c r="J236" s="1402" t="n">
        <v>0</v>
      </c>
      <c r="K236" s="1403">
        <f>+J236*H236</f>
        <v/>
      </c>
      <c r="L236" s="1231" t="n"/>
      <c r="M236" s="1231" t="inlineStr">
        <is>
          <t>Manual</t>
        </is>
      </c>
      <c r="N236" s="1231" t="n"/>
      <c r="O236" s="1344" t="n"/>
      <c r="P236" s="1343" t="n"/>
      <c r="Q236" s="1708" t="n"/>
      <c r="R236" s="1231" t="n"/>
    </row>
    <row r="237" ht="30" customHeight="1" s="1134">
      <c r="A237" s="1232" t="n"/>
      <c r="B237" s="1233" t="n"/>
      <c r="C237" s="1233" t="n"/>
      <c r="D237" s="1490" t="n">
        <v>1001</v>
      </c>
      <c r="E237" s="1490" t="n">
        <v>1500</v>
      </c>
      <c r="F237" s="1490" t="n"/>
      <c r="G237" s="1490" t="n"/>
      <c r="H237" s="1400" t="n">
        <v>55.4</v>
      </c>
      <c r="I237" s="1401" t="inlineStr">
        <is>
          <t>FA</t>
        </is>
      </c>
      <c r="J237" s="1402" t="n">
        <v>0</v>
      </c>
      <c r="K237" s="1403">
        <f>+J237*H237</f>
        <v/>
      </c>
      <c r="L237" s="1231" t="n"/>
      <c r="M237" s="1231" t="inlineStr">
        <is>
          <t>Manual</t>
        </is>
      </c>
      <c r="N237" s="1231" t="n"/>
      <c r="O237" s="1344" t="n"/>
      <c r="P237" s="1343" t="n"/>
      <c r="Q237" s="1708" t="n"/>
      <c r="R237" s="1231" t="n"/>
    </row>
    <row r="238" ht="30" customHeight="1" s="1134">
      <c r="A238" s="1232" t="n"/>
      <c r="B238" s="1233" t="n"/>
      <c r="C238" s="1233" t="n"/>
      <c r="D238" s="1490" t="n">
        <v>1501</v>
      </c>
      <c r="E238" s="1490" t="n">
        <v>2000</v>
      </c>
      <c r="F238" s="1490" t="n"/>
      <c r="G238" s="1490" t="n"/>
      <c r="H238" s="1420" t="n">
        <v>70</v>
      </c>
      <c r="I238" s="1401" t="inlineStr">
        <is>
          <t>FA</t>
        </is>
      </c>
      <c r="J238" s="1439" t="n">
        <v>0</v>
      </c>
      <c r="K238" s="1440">
        <f>+J238*H238</f>
        <v/>
      </c>
      <c r="L238" s="1231" t="n"/>
      <c r="M238" s="1231" t="inlineStr">
        <is>
          <t>Manual</t>
        </is>
      </c>
      <c r="N238" s="1231" t="n"/>
      <c r="O238" s="1344" t="n"/>
      <c r="P238" s="1343" t="n"/>
      <c r="Q238" s="1708" t="n"/>
      <c r="R238" s="1231" t="n"/>
    </row>
    <row r="239" ht="48" customHeight="1" s="1134">
      <c r="A239" s="1491" t="inlineStr">
        <is>
          <t>Manual marking of wires / connector (with marker) WHEN REQUESTED BY CUSTOMER</t>
        </is>
      </c>
      <c r="B239" s="1605" t="inlineStr">
        <is>
          <t>To mark on wires / connector when automatic marking is not allowed. 
Time per ONE side of the wire</t>
        </is>
      </c>
      <c r="C239" s="1492" t="inlineStr">
        <is>
          <t>Hand work (marker)</t>
        </is>
      </c>
      <c r="D239" s="1399" t="n"/>
      <c r="E239" s="1399" t="n"/>
      <c r="F239" s="1399" t="n"/>
      <c r="G239" s="1399" t="n"/>
      <c r="H239" s="1420" t="n">
        <v>0.4</v>
      </c>
      <c r="I239" s="1401" t="inlineStr">
        <is>
          <t>FA</t>
        </is>
      </c>
      <c r="J239" s="1402" t="n">
        <v>0</v>
      </c>
      <c r="K239" s="1403">
        <f>+J239*H239</f>
        <v/>
      </c>
      <c r="L239" s="1502" t="n"/>
      <c r="M239" s="1502" t="inlineStr">
        <is>
          <t>Manual</t>
        </is>
      </c>
      <c r="N239" s="1231" t="n"/>
      <c r="O239" s="1344" t="n"/>
      <c r="P239" s="1343" t="n"/>
      <c r="Q239" s="1708" t="n"/>
      <c r="R239" s="1231" t="n"/>
      <c r="S239" s="1391" t="n"/>
    </row>
    <row r="240" ht="23.25" customHeight="1" s="1134">
      <c r="A240" s="1491" t="n"/>
      <c r="B240" s="1605" t="n"/>
      <c r="C240" s="1492" t="n"/>
      <c r="D240" s="1399" t="n"/>
      <c r="E240" s="1399" t="n"/>
      <c r="F240" s="1399" t="n"/>
      <c r="G240" s="1399" t="n"/>
      <c r="H240" s="1486" t="n"/>
      <c r="I240" s="1401" t="n"/>
      <c r="J240" s="1402" t="n">
        <v>0</v>
      </c>
      <c r="K240" s="1403" t="n"/>
      <c r="L240" s="1231" t="n"/>
      <c r="M240" s="1231" t="n"/>
      <c r="N240" s="1231" t="n"/>
      <c r="O240" s="1344" t="n"/>
      <c r="P240" s="1343" t="n"/>
      <c r="Q240" s="1708" t="n"/>
      <c r="R240" s="1231" t="n"/>
    </row>
    <row r="241" ht="17.25" customHeight="1" s="1134">
      <c r="A241" s="1491" t="n"/>
      <c r="B241" s="1605" t="n"/>
      <c r="C241" s="1492" t="n"/>
      <c r="D241" s="1399" t="n"/>
      <c r="E241" s="1399" t="n"/>
      <c r="F241" s="1399" t="n"/>
      <c r="G241" s="1399" t="n"/>
      <c r="H241" s="1486" t="n"/>
      <c r="I241" s="1401" t="n"/>
      <c r="J241" s="1402" t="n">
        <v>0</v>
      </c>
      <c r="K241" s="1403" t="n"/>
      <c r="N241" s="1231" t="n"/>
      <c r="O241" s="1344" t="n"/>
      <c r="P241" s="1343" t="n"/>
      <c r="Q241" s="1708" t="n"/>
      <c r="R241" s="1231" t="n"/>
    </row>
    <row r="242" ht="22.5" customHeight="1" s="1134">
      <c r="A242" s="1606" t="n"/>
      <c r="B242" s="1599" t="n"/>
      <c r="C242" s="1490" t="n"/>
      <c r="D242" s="1490" t="n"/>
      <c r="E242" s="1490" t="n"/>
      <c r="F242" s="1490" t="n"/>
      <c r="G242" s="1490" t="n"/>
      <c r="H242" s="1490" t="n"/>
      <c r="I242" s="1607" t="n"/>
      <c r="J242" s="1518" t="n">
        <v>0</v>
      </c>
      <c r="K242" s="1477" t="n"/>
      <c r="N242" s="1231" t="n"/>
      <c r="O242" s="1344" t="n"/>
      <c r="P242" s="1343" t="n"/>
      <c r="Q242" s="1708" t="n"/>
      <c r="R242" s="1231" t="n"/>
    </row>
    <row r="243" ht="53.25" customFormat="1" customHeight="1" s="1391">
      <c r="A243" s="1216" t="inlineStr">
        <is>
          <t>MISCELLAN.</t>
        </is>
      </c>
      <c r="B243" s="1217" t="inlineStr">
        <is>
          <t>COMMENTS</t>
        </is>
      </c>
      <c r="C243" s="1217" t="inlineStr">
        <is>
          <t>Machine Vendor</t>
        </is>
      </c>
      <c r="D243" s="1217" t="inlineStr">
        <is>
          <t>DPN</t>
        </is>
      </c>
      <c r="E243" s="1217" t="n"/>
      <c r="F243" s="1217" t="n"/>
      <c r="G243" s="1217" t="n"/>
      <c r="H243" s="1392" t="inlineStr">
        <is>
          <t>Global Sec/ Pc</t>
        </is>
      </c>
      <c r="I243" s="1479" t="inlineStr">
        <is>
          <t>Location
LP/FA</t>
        </is>
      </c>
      <c r="J243" s="1432" t="n">
        <v>0</v>
      </c>
      <c r="K243" s="1393" t="inlineStr">
        <is>
          <t>Total</t>
        </is>
      </c>
      <c r="N243" s="1231" t="n"/>
      <c r="O243" s="1344" t="n"/>
      <c r="P243" s="1343" t="n"/>
      <c r="Q243" s="1708" t="n"/>
      <c r="R243" s="1231" t="n"/>
      <c r="S243" s="1132" t="n"/>
    </row>
    <row r="244" ht="22.5" customHeight="1" s="1134">
      <c r="A244" s="1498" t="inlineStr">
        <is>
          <t>LOCTITE</t>
        </is>
      </c>
      <c r="B244" s="1397" t="inlineStr">
        <is>
          <t>loctite</t>
        </is>
      </c>
      <c r="C244" s="1398" t="inlineStr">
        <is>
          <t>Loctite station</t>
        </is>
      </c>
      <c r="D244" s="1399" t="n"/>
      <c r="E244" s="1399" t="n"/>
      <c r="F244" s="1399" t="n"/>
      <c r="G244" s="1399" t="n"/>
      <c r="H244" s="1400" t="n">
        <v>4.62</v>
      </c>
      <c r="I244" s="1401" t="inlineStr">
        <is>
          <t>FA</t>
        </is>
      </c>
      <c r="J244" s="1402" t="n">
        <v>0</v>
      </c>
      <c r="K244" s="1403">
        <f>+J244*H244</f>
        <v/>
      </c>
      <c r="M244" s="1132" t="inlineStr">
        <is>
          <t>Manual</t>
        </is>
      </c>
      <c r="N244" s="1231" t="n"/>
      <c r="O244" s="1344" t="n"/>
      <c r="P244" s="1343" t="n"/>
      <c r="Q244" s="1708" t="n"/>
      <c r="R244" s="1231" t="n"/>
    </row>
    <row r="245" ht="22.5" customHeight="1" s="1134">
      <c r="A245" s="1498" t="inlineStr">
        <is>
          <t>GREASE</t>
        </is>
      </c>
      <c r="B245" s="1397" t="inlineStr">
        <is>
          <t>apply grease to conn (equip type depends on vol)</t>
        </is>
      </c>
      <c r="C245" s="1397" t="inlineStr">
        <is>
          <t>Greaser</t>
        </is>
      </c>
      <c r="D245" s="1399" t="n"/>
      <c r="E245" s="1399" t="n"/>
      <c r="F245" s="1399" t="n"/>
      <c r="G245" s="1399" t="n"/>
      <c r="H245" s="1400" t="n">
        <v>8.859999999999999</v>
      </c>
      <c r="I245" s="1401" t="inlineStr">
        <is>
          <t>FA</t>
        </is>
      </c>
      <c r="J245" s="1402" t="n">
        <v>0</v>
      </c>
      <c r="K245" s="1403">
        <f>+J245*H245</f>
        <v/>
      </c>
      <c r="M245" s="1132" t="inlineStr">
        <is>
          <t>Automatic</t>
        </is>
      </c>
      <c r="N245" s="1231" t="n"/>
      <c r="O245" s="1344" t="n"/>
      <c r="P245" s="1343" t="n"/>
      <c r="Q245" s="1708" t="n"/>
      <c r="R245" s="1231" t="n"/>
    </row>
    <row r="246" ht="55.5" customHeight="1" s="1134">
      <c r="A246" s="1396" t="inlineStr">
        <is>
          <t>GREASE APPLICATION
Nyogel Lubricant Application inside and on the connector edge - NA</t>
        </is>
      </c>
      <c r="B246" s="1397" t="inlineStr">
        <is>
          <t>Apply grease into cavities and edge of connector / per connector
(Reach the harness from the hook - Leave the harness on the hook)</t>
        </is>
      </c>
      <c r="C246" s="1397" t="inlineStr">
        <is>
          <t>Alprema</t>
        </is>
      </c>
      <c r="D246" s="1399" t="n"/>
      <c r="E246" s="1399" t="n"/>
      <c r="F246" s="1399" t="n"/>
      <c r="G246" s="1399" t="n"/>
      <c r="H246" s="1400" t="n">
        <v>52</v>
      </c>
      <c r="I246" s="1401" t="inlineStr">
        <is>
          <t>FA</t>
        </is>
      </c>
      <c r="J246" s="1402" t="n">
        <v>0</v>
      </c>
      <c r="K246" s="1403">
        <f>+J246*H246</f>
        <v/>
      </c>
      <c r="N246" s="1231" t="n"/>
      <c r="O246" s="1344" t="n"/>
      <c r="P246" s="1343" t="n"/>
      <c r="Q246" s="1708" t="n"/>
      <c r="R246" s="1231" t="n"/>
    </row>
    <row r="247" ht="22.5" customHeight="1" s="1134">
      <c r="A247" s="1498" t="inlineStr">
        <is>
          <t>PVC TUBE WELDING</t>
        </is>
      </c>
      <c r="B247" s="1397" t="inlineStr">
        <is>
          <t>PVC tube welding</t>
        </is>
      </c>
      <c r="C247" s="1397" t="inlineStr">
        <is>
          <t>PVC Tube welder</t>
        </is>
      </c>
      <c r="D247" s="1399" t="n"/>
      <c r="E247" s="1399" t="n"/>
      <c r="F247" s="1399" t="n"/>
      <c r="G247" s="1399" t="n"/>
      <c r="H247" s="1400" t="n">
        <v>10.8</v>
      </c>
      <c r="I247" s="1401" t="inlineStr">
        <is>
          <t>FA</t>
        </is>
      </c>
      <c r="J247" s="1402" t="n">
        <v>0</v>
      </c>
      <c r="K247" s="1403">
        <f>+J247*H247</f>
        <v/>
      </c>
      <c r="M247" s="1132" t="inlineStr">
        <is>
          <t>Manual</t>
        </is>
      </c>
      <c r="N247" s="1231" t="n"/>
      <c r="O247" s="1344" t="n"/>
      <c r="P247" s="1343" t="n"/>
      <c r="Q247" s="1708" t="n"/>
      <c r="R247" s="1231" t="n"/>
    </row>
    <row r="248" ht="22.5" customHeight="1" s="1134">
      <c r="A248" s="1498" t="inlineStr">
        <is>
          <t>CUT FUEL TUBE</t>
        </is>
      </c>
      <c r="B248" s="1397" t="inlineStr">
        <is>
          <t>Fuel Tube Cutting</t>
        </is>
      </c>
      <c r="C248" s="1397" t="inlineStr">
        <is>
          <t>Fuel tube cutter</t>
        </is>
      </c>
      <c r="D248" s="1399" t="n"/>
      <c r="E248" s="1399" t="n"/>
      <c r="F248" s="1399" t="n"/>
      <c r="G248" s="1399" t="n"/>
      <c r="H248" s="1400" t="n">
        <v>4.49</v>
      </c>
      <c r="I248" s="1401" t="inlineStr">
        <is>
          <t>FA</t>
        </is>
      </c>
      <c r="J248" s="1402" t="n">
        <v>0</v>
      </c>
      <c r="K248" s="1403">
        <f>+J248*H248</f>
        <v/>
      </c>
      <c r="L248" s="1132" t="n"/>
      <c r="M248" s="1132" t="inlineStr">
        <is>
          <t>Manual</t>
        </is>
      </c>
      <c r="N248" s="1231" t="n"/>
      <c r="O248" s="1344" t="n"/>
      <c r="P248" s="1343" t="n"/>
      <c r="Q248" s="1708" t="n"/>
      <c r="R248" s="1231" t="n"/>
    </row>
    <row r="249" ht="22.5" customHeight="1" s="1134">
      <c r="A249" s="1498" t="inlineStr">
        <is>
          <t>CUT BRANCH</t>
        </is>
      </c>
      <c r="B249" s="1397" t="inlineStr">
        <is>
          <t>Cut Branch with Guilhotine</t>
        </is>
      </c>
      <c r="C249" s="1397" t="inlineStr">
        <is>
          <t>Branch Cutter</t>
        </is>
      </c>
      <c r="D249" s="1399" t="n"/>
      <c r="E249" s="1399" t="n"/>
      <c r="F249" s="1399" t="n"/>
      <c r="G249" s="1399" t="n"/>
      <c r="H249" s="1400" t="n">
        <v>4.56</v>
      </c>
      <c r="I249" s="1401" t="inlineStr">
        <is>
          <t>FA</t>
        </is>
      </c>
      <c r="J249" s="1402" t="n">
        <v>0</v>
      </c>
      <c r="K249" s="1403">
        <f>+J249*H249</f>
        <v/>
      </c>
      <c r="M249" s="1132" t="inlineStr">
        <is>
          <t>Manual</t>
        </is>
      </c>
      <c r="N249" s="1231" t="n"/>
      <c r="O249" s="1344" t="n"/>
      <c r="P249" s="1343" t="n"/>
      <c r="Q249" s="1708" t="n"/>
      <c r="R249" s="1231" t="n"/>
    </row>
    <row r="250" ht="22.5" customHeight="1" s="1134">
      <c r="A250" s="1498" t="inlineStr">
        <is>
          <t>CUT TUBE W/HEAT</t>
        </is>
      </c>
      <c r="B250" s="1397" t="inlineStr">
        <is>
          <t>hot cut for tube</t>
        </is>
      </c>
      <c r="C250" s="1397" t="inlineStr">
        <is>
          <t>Tube Heat Cutter</t>
        </is>
      </c>
      <c r="D250" s="1399" t="n"/>
      <c r="E250" s="1399" t="n"/>
      <c r="F250" s="1399" t="n"/>
      <c r="G250" s="1399" t="n"/>
      <c r="H250" s="1400" t="n">
        <v>4.91</v>
      </c>
      <c r="I250" s="1401" t="inlineStr">
        <is>
          <t>FA</t>
        </is>
      </c>
      <c r="J250" s="1402" t="n">
        <v>0</v>
      </c>
      <c r="K250" s="1403">
        <f>+J250*H250</f>
        <v/>
      </c>
      <c r="M250" s="1132" t="inlineStr">
        <is>
          <t>Manual</t>
        </is>
      </c>
      <c r="N250" s="1231" t="n"/>
      <c r="O250" s="1344" t="n"/>
      <c r="P250" s="1343" t="n"/>
      <c r="Q250" s="1708" t="n"/>
      <c r="R250" s="1231" t="n"/>
    </row>
    <row r="251" ht="22.5" customHeight="1" s="1134">
      <c r="A251" s="1498" t="inlineStr">
        <is>
          <t xml:space="preserve">CONN PUSH TEST </t>
        </is>
      </c>
      <c r="B251" s="1397" t="inlineStr">
        <is>
          <t>push test to term loaded  in a special conn</t>
        </is>
      </c>
      <c r="C251" s="1397" t="inlineStr">
        <is>
          <t>Push Tester</t>
        </is>
      </c>
      <c r="D251" s="1399" t="n">
        <v>12160492</v>
      </c>
      <c r="E251" s="1399" t="n"/>
      <c r="F251" s="1399" t="n"/>
      <c r="G251" s="1399" t="n"/>
      <c r="H251" s="1400" t="n">
        <v>23.05</v>
      </c>
      <c r="I251" s="1401" t="inlineStr">
        <is>
          <t>FA</t>
        </is>
      </c>
      <c r="J251" s="1402" t="n">
        <v>0</v>
      </c>
      <c r="K251" s="1403">
        <f>+J251*H251</f>
        <v/>
      </c>
      <c r="M251" s="1132" t="inlineStr">
        <is>
          <t>Manual</t>
        </is>
      </c>
      <c r="N251" s="1231" t="n"/>
      <c r="O251" s="1344" t="n"/>
      <c r="P251" s="1343" t="n"/>
      <c r="Q251" s="1708" t="n"/>
      <c r="R251" s="1231" t="n"/>
    </row>
    <row r="252" ht="22.5" customHeight="1" s="1134">
      <c r="A252" s="1498" t="inlineStr">
        <is>
          <t>SPLICESAVER</t>
        </is>
      </c>
      <c r="B252" s="1397" t="inlineStr">
        <is>
          <t>apply splice saver to connector</t>
        </is>
      </c>
      <c r="C252" s="1397" t="inlineStr">
        <is>
          <t>Splice Saver Press and Die</t>
        </is>
      </c>
      <c r="D252" s="1399" t="n"/>
      <c r="E252" s="1399" t="n"/>
      <c r="F252" s="1399" t="n"/>
      <c r="G252" s="1399" t="n"/>
      <c r="H252" s="1400" t="n">
        <v>7.5</v>
      </c>
      <c r="I252" s="1401" t="inlineStr">
        <is>
          <t>FA</t>
        </is>
      </c>
      <c r="J252" s="1402" t="n">
        <v>0</v>
      </c>
      <c r="K252" s="1403">
        <f>+J252*H252</f>
        <v/>
      </c>
      <c r="M252" s="1132" t="inlineStr">
        <is>
          <t>Automatic</t>
        </is>
      </c>
      <c r="N252" s="1231" t="n"/>
      <c r="O252" s="1344" t="n"/>
      <c r="P252" s="1343" t="n"/>
      <c r="Q252" s="1708" t="n"/>
      <c r="R252" s="1231" t="n"/>
    </row>
    <row r="253" ht="22.5" customHeight="1" s="1134">
      <c r="A253" s="1498" t="inlineStr">
        <is>
          <t>CENTRAL STRIP</t>
        </is>
      </c>
      <c r="B253" s="1397" t="inlineStr">
        <is>
          <t>Central Strip in Coaxial Cable</t>
        </is>
      </c>
      <c r="C253" s="1397" t="inlineStr">
        <is>
          <t>Center strip Stripper</t>
        </is>
      </c>
      <c r="D253" s="1399" t="n"/>
      <c r="E253" s="1399" t="n"/>
      <c r="F253" s="1399" t="n"/>
      <c r="G253" s="1399" t="n"/>
      <c r="H253" s="1400" t="n">
        <v>24.34</v>
      </c>
      <c r="I253" s="1401" t="inlineStr">
        <is>
          <t>FA</t>
        </is>
      </c>
      <c r="J253" s="1402" t="n">
        <v>0</v>
      </c>
      <c r="K253" s="1403">
        <f>+J253*H253</f>
        <v/>
      </c>
      <c r="L253" s="1132" t="n"/>
      <c r="M253" s="1132" t="inlineStr">
        <is>
          <t>Manual</t>
        </is>
      </c>
      <c r="N253" s="1231" t="n"/>
      <c r="O253" s="1344" t="n"/>
      <c r="P253" s="1343" t="n"/>
      <c r="Q253" s="1708" t="n"/>
      <c r="R253" s="1231" t="n"/>
    </row>
    <row r="254" ht="22.5" customHeight="1" s="1134">
      <c r="A254" s="1498" t="inlineStr">
        <is>
          <t>CENTRAL STRIP</t>
        </is>
      </c>
      <c r="B254" s="1397" t="inlineStr">
        <is>
          <t>Central Strip in normal cable</t>
        </is>
      </c>
      <c r="C254" s="1397" t="inlineStr">
        <is>
          <t>Center strip Stripper</t>
        </is>
      </c>
      <c r="D254" s="1399" t="n"/>
      <c r="E254" s="1399" t="n"/>
      <c r="F254" s="1399" t="n"/>
      <c r="G254" s="1399" t="n"/>
      <c r="H254" s="1400" t="n">
        <v>3.76</v>
      </c>
      <c r="I254" s="1401" t="inlineStr">
        <is>
          <t>FA</t>
        </is>
      </c>
      <c r="J254" s="1402" t="n">
        <v>0</v>
      </c>
      <c r="K254" s="1403">
        <f>+J254*H254</f>
        <v/>
      </c>
      <c r="L254" s="1132" t="n"/>
      <c r="M254" s="1132" t="inlineStr">
        <is>
          <t>Automatic</t>
        </is>
      </c>
      <c r="N254" s="1231" t="n"/>
      <c r="O254" s="1344" t="n"/>
      <c r="P254" s="1343" t="n"/>
      <c r="Q254" s="1708" t="n"/>
      <c r="R254" s="1231" t="n"/>
      <c r="S254" s="1391" t="n"/>
    </row>
    <row r="255" ht="177" customHeight="1" s="1134">
      <c r="A255" s="1396" t="inlineStr">
        <is>
          <t>SPOT TAPING OVER TWISTED PAIR
&amp; unjacked FLEX RAY / ETHERNET / CAN / CAN-FD</t>
        </is>
      </c>
      <c r="B255" s="1415" t="inlineStr">
        <is>
          <t>To avoid untwisting on twist ends
When required and be added on BOM. 
For twisted pairs with total cross section =&lt; 1,5mm².
EU detailed configuration:
- For high speed data and high sensitive/fragile wires (CAN, CAN-FD, Flexray, Ethernet wires) – Twisting POS
- For splice process of below configuration: (1 wire is longer than the other and also customer spec. due to splice configuration) – USW POS
- For 0,13 mm wire splices and sensitive splices identified in the POS (with 19 mm tap width) – USW POS
- For heat shrink process – Sealing POS</t>
        </is>
      </c>
      <c r="C255" s="1415" t="inlineStr">
        <is>
          <t>Kabatec E9 Benchtop (machine can proceed twisted pairs with cross section up to 2 x 1,5mm²).
Recommended tape: M5209107 textil (100m length) and M4060 PVC (both 9 mm width) 
For NA: M4037101 (19 mm width)</t>
        </is>
      </c>
      <c r="D255" s="1317" t="n"/>
      <c r="E255" s="1317" t="n"/>
      <c r="F255" s="1317" t="n"/>
      <c r="G255" s="1317" t="n"/>
      <c r="H255" s="1608" t="n">
        <v>3.7</v>
      </c>
      <c r="I255" s="1401" t="inlineStr">
        <is>
          <t>FA</t>
        </is>
      </c>
      <c r="J255" s="1439" t="n">
        <v>0</v>
      </c>
      <c r="K255" s="1440">
        <f>+J255*H255</f>
        <v/>
      </c>
      <c r="L255" s="1132" t="n"/>
      <c r="M255" s="1132" t="inlineStr">
        <is>
          <t>Manual</t>
        </is>
      </c>
      <c r="N255" s="1231" t="n"/>
      <c r="O255" s="1344" t="n"/>
      <c r="P255" s="1343" t="n"/>
      <c r="Q255" s="1708" t="n"/>
      <c r="R255" s="1231" t="n"/>
    </row>
    <row r="256" ht="22.5" customHeight="1" s="1134">
      <c r="A256" s="1500" t="n"/>
      <c r="B256" s="1415" t="n"/>
      <c r="C256" s="1415" t="n"/>
      <c r="D256" s="1317" t="n"/>
      <c r="E256" s="1317" t="n"/>
      <c r="F256" s="1317" t="n"/>
      <c r="G256" s="1317" t="n"/>
      <c r="H256" s="1424" t="n"/>
      <c r="I256" s="1438" t="n"/>
      <c r="J256" s="1439" t="n">
        <v>0</v>
      </c>
      <c r="K256" s="1440" t="n"/>
      <c r="L256" s="1132" t="n"/>
      <c r="M256" s="1132" t="n"/>
      <c r="N256" s="1231" t="n"/>
      <c r="O256" s="1344" t="n"/>
      <c r="P256" s="1343" t="n"/>
      <c r="Q256" s="1708" t="n"/>
      <c r="R256" s="1231" t="n"/>
    </row>
    <row r="257" ht="22.5" customHeight="1" s="1134">
      <c r="A257" s="1500" t="n"/>
      <c r="B257" s="1415" t="n"/>
      <c r="C257" s="1415" t="n"/>
      <c r="D257" s="1317" t="n"/>
      <c r="E257" s="1317" t="n"/>
      <c r="F257" s="1317" t="n"/>
      <c r="G257" s="1317" t="n"/>
      <c r="H257" s="1424" t="n"/>
      <c r="I257" s="1438" t="n"/>
      <c r="J257" s="1439" t="n">
        <v>0</v>
      </c>
      <c r="K257" s="1440" t="n"/>
      <c r="L257" s="1132" t="n"/>
      <c r="M257" s="1132" t="n"/>
      <c r="N257" s="1231" t="n"/>
      <c r="O257" s="1344" t="n"/>
      <c r="P257" s="1343" t="n"/>
      <c r="Q257" s="1708" t="n"/>
      <c r="R257" s="1231" t="n"/>
    </row>
    <row r="258" ht="9.75" customHeight="1" s="1134">
      <c r="A258" s="1500" t="n"/>
      <c r="B258" s="1415" t="n"/>
      <c r="C258" s="1415" t="n"/>
      <c r="D258" s="1317" t="n"/>
      <c r="E258" s="1317" t="n"/>
      <c r="F258" s="1317" t="n"/>
      <c r="G258" s="1317" t="n"/>
      <c r="H258" s="1424" t="n"/>
      <c r="I258" s="1438" t="n"/>
      <c r="J258" s="1439" t="n">
        <v>0</v>
      </c>
      <c r="K258" s="1440" t="n"/>
      <c r="L258" s="1132" t="n"/>
      <c r="M258" s="1132" t="n"/>
      <c r="N258" s="1231" t="n"/>
      <c r="O258" s="1344" t="n"/>
      <c r="P258" s="1343" t="n"/>
      <c r="Q258" s="1708" t="n"/>
      <c r="R258" s="1231" t="n"/>
    </row>
    <row r="259" ht="53.25" customFormat="1" customHeight="1" s="1391">
      <c r="A259" s="1216" t="inlineStr">
        <is>
          <t>SHRINKING SLEEVES OVER CONVOLUTED CONDUITS</t>
        </is>
      </c>
      <c r="B259" s="1217" t="inlineStr">
        <is>
          <t>Comments</t>
        </is>
      </c>
      <c r="C259" s="1217" t="inlineStr">
        <is>
          <t>Clock start</t>
        </is>
      </c>
      <c r="D259" s="1217" t="inlineStr">
        <is>
          <t>Clock stop</t>
        </is>
      </c>
      <c r="E259" s="1217" t="inlineStr">
        <is>
          <t>Comments</t>
        </is>
      </c>
      <c r="F259" s="1609" t="n"/>
      <c r="G259" s="1610" t="n"/>
      <c r="H259" s="1392" t="inlineStr">
        <is>
          <t>Global Sec/ Pc</t>
        </is>
      </c>
      <c r="I259" s="1479" t="inlineStr">
        <is>
          <t>Location
LP/FA</t>
        </is>
      </c>
      <c r="J259" s="1432" t="n">
        <v>0</v>
      </c>
      <c r="K259" s="1393" t="inlineStr">
        <is>
          <t>Total</t>
        </is>
      </c>
      <c r="L259" s="1391" t="n"/>
      <c r="M259" s="1391" t="n"/>
      <c r="N259" s="1231" t="n"/>
      <c r="O259" s="1344" t="n"/>
      <c r="P259" s="1343" t="n"/>
      <c r="Q259" s="1708" t="n"/>
      <c r="R259" s="1231" t="n"/>
      <c r="S259" s="1132" t="n"/>
    </row>
    <row r="260" ht="22.5" customHeight="1" s="1134">
      <c r="A260" s="1421" t="inlineStr">
        <is>
          <t>Shrinking sleeves over convoluted conduits</t>
        </is>
      </c>
      <c r="B260" s="1489" t="inlineStr">
        <is>
          <t>Aligment of the conduits</t>
        </is>
      </c>
      <c r="C260" s="1489" t="inlineStr">
        <is>
          <t>Reach for harness</t>
        </is>
      </c>
      <c r="D260" s="1489" t="inlineStr">
        <is>
          <t>Release the harness</t>
        </is>
      </c>
      <c r="E260" s="1611" t="n"/>
      <c r="F260" s="1612" t="n"/>
      <c r="G260" s="1581" t="n"/>
      <c r="H260" s="1613">
        <f>2/100*60</f>
        <v/>
      </c>
      <c r="I260" s="1438" t="inlineStr">
        <is>
          <t>FA</t>
        </is>
      </c>
      <c r="J260" s="1439" t="n">
        <v>0</v>
      </c>
      <c r="K260" s="1403">
        <f>+J260*H260</f>
        <v/>
      </c>
      <c r="M260" s="1132" t="inlineStr">
        <is>
          <t>Manual</t>
        </is>
      </c>
      <c r="N260" s="1231" t="n"/>
      <c r="O260" s="1344" t="n"/>
      <c r="P260" s="1343" t="n"/>
      <c r="Q260" s="1708" t="n"/>
      <c r="R260" s="1231" t="n"/>
    </row>
    <row r="261" ht="22.5" customHeight="1" s="1134">
      <c r="A261" s="1232" t="n"/>
      <c r="B261" s="1489" t="inlineStr">
        <is>
          <t>Apply the cable tie</t>
        </is>
      </c>
      <c r="C261" s="1489" t="inlineStr">
        <is>
          <t>Reach for harness</t>
        </is>
      </c>
      <c r="D261" s="1489" t="inlineStr">
        <is>
          <t>Release the harness</t>
        </is>
      </c>
      <c r="E261" s="1611" t="n"/>
      <c r="F261" s="1612" t="n"/>
      <c r="G261" s="1581" t="n"/>
      <c r="H261" s="1613">
        <f>10.97/100*60</f>
        <v/>
      </c>
      <c r="I261" s="1438" t="inlineStr">
        <is>
          <t>FA</t>
        </is>
      </c>
      <c r="J261" s="1439" t="n">
        <v>0</v>
      </c>
      <c r="K261" s="1403">
        <f>+J261*H261</f>
        <v/>
      </c>
      <c r="M261" s="1132" t="inlineStr">
        <is>
          <t>Manual</t>
        </is>
      </c>
      <c r="N261" s="1231" t="n"/>
      <c r="O261" s="1344" t="n"/>
      <c r="P261" s="1343" t="n"/>
      <c r="Q261" s="1708" t="n"/>
      <c r="R261" s="1231" t="n"/>
    </row>
    <row r="262" ht="22.5" customHeight="1" s="1134">
      <c r="A262" s="1614" t="inlineStr">
        <is>
          <t>Sleeve positioning &amp; shrinking time
(Sum of conduits cross section [mm²])</t>
        </is>
      </c>
      <c r="B262" s="1489" t="inlineStr">
        <is>
          <t>160 - 300</t>
        </is>
      </c>
      <c r="C262" s="1489" t="n"/>
      <c r="D262" s="1489" t="n"/>
      <c r="E262" s="1582" t="inlineStr">
        <is>
          <t>Leister Hot Gun used for time study</t>
        </is>
      </c>
      <c r="G262" s="1297" t="n"/>
      <c r="H262" s="1613">
        <f>16.6/100*60</f>
        <v/>
      </c>
      <c r="I262" s="1438" t="inlineStr">
        <is>
          <t>FA</t>
        </is>
      </c>
      <c r="J262" s="1439" t="n">
        <v>0</v>
      </c>
      <c r="K262" s="1403">
        <f>+J262*H262</f>
        <v/>
      </c>
      <c r="L262" s="1231" t="n"/>
      <c r="M262" s="1231" t="inlineStr">
        <is>
          <t>Manual</t>
        </is>
      </c>
      <c r="N262" s="1231" t="n"/>
      <c r="O262" s="1344" t="n"/>
      <c r="P262" s="1343" t="n"/>
      <c r="Q262" s="1708" t="n"/>
      <c r="R262" s="1231" t="n"/>
    </row>
    <row r="263" ht="22.5" customHeight="1" s="1134">
      <c r="A263" s="1297" t="n"/>
      <c r="B263" s="1489" t="inlineStr">
        <is>
          <t>301 - 550</t>
        </is>
      </c>
      <c r="C263" s="1489" t="n"/>
      <c r="D263" s="1489" t="n"/>
      <c r="E263" s="1615" t="n"/>
      <c r="G263" s="1297" t="n"/>
      <c r="H263" s="1613">
        <f>35.25/100*60</f>
        <v/>
      </c>
      <c r="I263" s="1438" t="inlineStr">
        <is>
          <t>FA</t>
        </is>
      </c>
      <c r="J263" s="1439" t="n">
        <v>0</v>
      </c>
      <c r="K263" s="1403">
        <f>+J263*H263</f>
        <v/>
      </c>
      <c r="L263" s="1231" t="n"/>
      <c r="M263" s="1231" t="inlineStr">
        <is>
          <t>Manual</t>
        </is>
      </c>
      <c r="N263" s="1231" t="n"/>
      <c r="O263" s="1344" t="n"/>
      <c r="P263" s="1343" t="n"/>
      <c r="Q263" s="1708" t="n"/>
      <c r="R263" s="1231" t="n"/>
    </row>
    <row r="264" ht="22.5" customHeight="1" s="1134">
      <c r="A264" s="1297" t="n"/>
      <c r="B264" s="1489" t="inlineStr">
        <is>
          <t>551 - 820</t>
        </is>
      </c>
      <c r="C264" s="1489" t="n"/>
      <c r="D264" s="1489" t="n"/>
      <c r="E264" s="1582" t="inlineStr">
        <is>
          <t>Heating position 4 of Leister
Sleeve was shrinked 30mm ahead from the Leister</t>
        </is>
      </c>
      <c r="G264" s="1297" t="n"/>
      <c r="H264" s="1613">
        <f>37.56/100*60</f>
        <v/>
      </c>
      <c r="I264" s="1438" t="inlineStr">
        <is>
          <t>FA</t>
        </is>
      </c>
      <c r="J264" s="1439" t="n">
        <v>0</v>
      </c>
      <c r="K264" s="1403">
        <f>+J264*H264</f>
        <v/>
      </c>
      <c r="L264" s="1231" t="n"/>
      <c r="M264" s="1231" t="inlineStr">
        <is>
          <t>Manual</t>
        </is>
      </c>
      <c r="N264" s="1231" t="n"/>
      <c r="O264" s="1344" t="n"/>
      <c r="P264" s="1343" t="n"/>
      <c r="Q264" s="1708" t="n"/>
      <c r="R264" s="1231" t="n"/>
    </row>
    <row r="265" ht="22.5" customHeight="1" s="1134">
      <c r="A265" s="1297" t="n"/>
      <c r="B265" s="1489" t="inlineStr">
        <is>
          <t>821 - 1300</t>
        </is>
      </c>
      <c r="C265" s="1489" t="n"/>
      <c r="D265" s="1489" t="n"/>
      <c r="E265" s="1615" t="n"/>
      <c r="G265" s="1297" t="n"/>
      <c r="H265" s="1613">
        <f>54.84/100*60</f>
        <v/>
      </c>
      <c r="I265" s="1438" t="inlineStr">
        <is>
          <t>FA</t>
        </is>
      </c>
      <c r="J265" s="1439" t="n">
        <v>0</v>
      </c>
      <c r="K265" s="1403">
        <f>+J265*H265</f>
        <v/>
      </c>
      <c r="L265" s="1231" t="n"/>
      <c r="M265" s="1231" t="inlineStr">
        <is>
          <t>Manual</t>
        </is>
      </c>
      <c r="N265" s="1231" t="n"/>
      <c r="O265" s="1344" t="n"/>
      <c r="P265" s="1343" t="n"/>
      <c r="Q265" s="1708" t="n"/>
      <c r="R265" s="1231" t="n"/>
    </row>
    <row r="266" ht="22.5" customHeight="1" s="1134">
      <c r="A266" s="1297" t="n"/>
      <c r="B266" s="1489" t="inlineStr">
        <is>
          <t>1301 - 2400</t>
        </is>
      </c>
      <c r="C266" s="1489" t="n"/>
      <c r="D266" s="1489" t="n"/>
      <c r="E266" s="1615" t="n"/>
      <c r="G266" s="1297" t="n"/>
      <c r="H266" s="1613">
        <f>89.39/100*60</f>
        <v/>
      </c>
      <c r="I266" s="1438" t="inlineStr">
        <is>
          <t>FA</t>
        </is>
      </c>
      <c r="J266" s="1439" t="n">
        <v>0</v>
      </c>
      <c r="K266" s="1403">
        <f>+J266*H266</f>
        <v/>
      </c>
      <c r="L266" s="1231" t="n"/>
      <c r="M266" s="1231" t="inlineStr">
        <is>
          <t>Manual</t>
        </is>
      </c>
      <c r="N266" s="1231" t="n"/>
      <c r="O266" s="1344" t="n"/>
      <c r="P266" s="1343" t="n"/>
      <c r="Q266" s="1708" t="n"/>
      <c r="R266" s="1231" t="n"/>
    </row>
    <row r="267" ht="22.5" customHeight="1" s="1134">
      <c r="A267" s="1414" t="n"/>
      <c r="B267" s="1489" t="n"/>
      <c r="C267" s="1489" t="n"/>
      <c r="D267" s="1489" t="n"/>
      <c r="E267" s="1611" t="n"/>
      <c r="F267" s="1612" t="n"/>
      <c r="G267" s="1581" t="n"/>
      <c r="H267" s="1616" t="n"/>
      <c r="I267" s="1438" t="n"/>
      <c r="J267" s="1439" t="n">
        <v>0</v>
      </c>
      <c r="K267" s="1440" t="n"/>
      <c r="N267" s="1231" t="n"/>
      <c r="O267" s="1344" t="n"/>
      <c r="P267" s="1343" t="n"/>
      <c r="Q267" s="1708" t="n"/>
      <c r="R267" s="1231" t="n"/>
    </row>
    <row r="268" ht="12.75" customHeight="1" s="1134">
      <c r="A268" s="1598" t="n"/>
      <c r="B268" s="1489" t="n"/>
      <c r="C268" s="1489" t="n"/>
      <c r="D268" s="1489" t="n"/>
      <c r="E268" s="1611" t="n"/>
      <c r="F268" s="1612" t="n"/>
      <c r="G268" s="1581" t="n"/>
      <c r="H268" s="1616" t="n"/>
      <c r="I268" s="1438" t="n"/>
      <c r="J268" s="1439" t="n">
        <v>0</v>
      </c>
      <c r="K268" s="1440" t="n"/>
      <c r="N268" s="1231" t="n"/>
      <c r="O268" s="1344" t="n"/>
      <c r="P268" s="1343" t="n"/>
      <c r="Q268" s="1708" t="n"/>
      <c r="R268" s="1231" t="n"/>
    </row>
    <row r="269" ht="23.85" customHeight="1" s="1134">
      <c r="A269" s="1588" t="inlineStr">
        <is>
          <t>Oxygen sensor</t>
        </is>
      </c>
      <c r="B269" s="1431" t="inlineStr">
        <is>
          <t>Comments</t>
        </is>
      </c>
      <c r="C269" s="1431" t="inlineStr">
        <is>
          <t>Clock start</t>
        </is>
      </c>
      <c r="D269" s="1431" t="inlineStr">
        <is>
          <t>Clock stop</t>
        </is>
      </c>
      <c r="E269" s="1431" t="inlineStr">
        <is>
          <t>Comments</t>
        </is>
      </c>
      <c r="F269" s="1589" t="n"/>
      <c r="G269" s="1590" t="n"/>
      <c r="H269" s="1591" t="inlineStr">
        <is>
          <t>Global Sec/ Pc</t>
        </is>
      </c>
      <c r="I269" s="1592" t="inlineStr">
        <is>
          <t>Location
LP/FA</t>
        </is>
      </c>
      <c r="J269" s="1593" t="n">
        <v>0</v>
      </c>
      <c r="K269" s="1393" t="inlineStr">
        <is>
          <t>Total</t>
        </is>
      </c>
      <c r="N269" s="1231" t="n"/>
      <c r="O269" s="1344" t="n"/>
      <c r="P269" s="1343" t="n"/>
      <c r="Q269" s="1708" t="n"/>
      <c r="R269" s="1231" t="n"/>
      <c r="S269" s="1391" t="n"/>
    </row>
    <row r="270" ht="28.5" customHeight="1" s="1134">
      <c r="A270" s="1541" t="inlineStr">
        <is>
          <t>Assembly and press metallic tube of Oxygen Sensor</t>
        </is>
      </c>
      <c r="B270" s="1489" t="inlineStr">
        <is>
          <t>Assembly  2 shields and 1 tube (time for 3 pieces).</t>
        </is>
      </c>
      <c r="C270" s="1489" t="inlineStr">
        <is>
          <t>Reach for base part (1st shield)</t>
        </is>
      </c>
      <c r="D270" s="1489" t="inlineStr">
        <is>
          <t>Release assembled part and place on rack</t>
        </is>
      </c>
      <c r="E270" s="1617" t="n"/>
      <c r="F270" s="1618" t="n"/>
      <c r="G270" s="1545" t="n"/>
      <c r="H270" s="1619" t="n">
        <v>5</v>
      </c>
      <c r="I270" s="1438" t="inlineStr">
        <is>
          <t>FA</t>
        </is>
      </c>
      <c r="J270" s="1439" t="n">
        <v>0</v>
      </c>
      <c r="K270" s="1403">
        <f>+J270*H270</f>
        <v/>
      </c>
      <c r="M270" s="1132" t="inlineStr">
        <is>
          <t>Manual</t>
        </is>
      </c>
      <c r="N270" s="1231" t="n"/>
      <c r="O270" s="1344" t="n"/>
      <c r="P270" s="1343" t="n"/>
      <c r="Q270" s="1708" t="n"/>
      <c r="R270" s="1231" t="n"/>
    </row>
    <row r="271" ht="33.75" customHeight="1" s="1134">
      <c r="A271" s="1545" t="n"/>
      <c r="B271" s="1489" t="inlineStr">
        <is>
          <t>Press the assembled part</t>
        </is>
      </c>
      <c r="C271" s="1489" t="inlineStr">
        <is>
          <t>Reach assembled part</t>
        </is>
      </c>
      <c r="D271" s="1489" t="inlineStr">
        <is>
          <t>Removed assembled part from the press and place on the rack</t>
        </is>
      </c>
      <c r="E271" s="1611" t="n"/>
      <c r="F271" s="1612" t="n"/>
      <c r="G271" s="1581" t="n"/>
      <c r="H271" s="1620" t="n">
        <v>7</v>
      </c>
      <c r="I271" s="1438" t="inlineStr">
        <is>
          <t>FA</t>
        </is>
      </c>
      <c r="J271" s="1439" t="n">
        <v>0</v>
      </c>
      <c r="K271" s="1403">
        <f>+J271*H271</f>
        <v/>
      </c>
      <c r="M271" s="1132" t="inlineStr">
        <is>
          <t>Manual</t>
        </is>
      </c>
      <c r="N271" s="1231" t="n"/>
      <c r="O271" s="1344" t="n"/>
      <c r="P271" s="1343" t="n"/>
      <c r="Q271" s="1708" t="n"/>
      <c r="R271" s="1231" t="n"/>
    </row>
    <row r="272" ht="12.75" customHeight="1" s="1134">
      <c r="A272" s="1425" t="n"/>
      <c r="B272" s="1426" t="n"/>
      <c r="C272" s="1319" t="n"/>
      <c r="D272" s="1319" t="n"/>
      <c r="E272" s="1319" t="n"/>
      <c r="F272" s="1319" t="n"/>
      <c r="G272" s="1319" t="n"/>
      <c r="H272" s="1428" t="n"/>
      <c r="I272" s="1463" t="n"/>
      <c r="J272" s="1429" t="n">
        <v>0</v>
      </c>
      <c r="K272" s="1430" t="n"/>
      <c r="N272" s="1231" t="n"/>
      <c r="O272" s="1344" t="n"/>
      <c r="P272" s="1343" t="n"/>
      <c r="Q272" s="1708" t="n"/>
      <c r="R272" s="1231" t="n"/>
    </row>
    <row r="273" ht="23.85" customHeight="1" s="1134">
      <c r="A273" s="1588" t="inlineStr">
        <is>
          <t>Automatic taping for twisted wires</t>
        </is>
      </c>
      <c r="B273" s="1431" t="inlineStr">
        <is>
          <t>Comments</t>
        </is>
      </c>
      <c r="C273" s="1431" t="inlineStr">
        <is>
          <t>Machine Vendor</t>
        </is>
      </c>
      <c r="D273" s="1217" t="inlineStr">
        <is>
          <t>Comments</t>
        </is>
      </c>
      <c r="E273" s="1609" t="n"/>
      <c r="F273" s="1609" t="n"/>
      <c r="G273" s="1610" t="n"/>
      <c r="H273" s="1591" t="inlineStr">
        <is>
          <t>Global Sec/ Pc</t>
        </is>
      </c>
      <c r="I273" s="1592" t="inlineStr">
        <is>
          <t>Location
LP/FA</t>
        </is>
      </c>
      <c r="J273" s="1593" t="n">
        <v>0</v>
      </c>
      <c r="K273" s="1393" t="inlineStr">
        <is>
          <t>Total</t>
        </is>
      </c>
      <c r="N273" s="1231" t="n"/>
      <c r="O273" s="1344" t="n"/>
      <c r="P273" s="1343" t="n"/>
      <c r="Q273" s="1708" t="n"/>
      <c r="R273" s="1231" t="n"/>
    </row>
    <row r="274" ht="50.25" customHeight="1" s="1134">
      <c r="A274" s="1621" t="inlineStr">
        <is>
          <t>Automatic taping for Twisted wires</t>
        </is>
      </c>
      <c r="B274" s="1489" t="inlineStr">
        <is>
          <t>Manual work (Load/unload wires to machine plus manual taping at the start and end of the process). Does not include Spot tapes</t>
        </is>
      </c>
      <c r="C274" s="1489" t="n"/>
      <c r="D274" s="1489" t="inlineStr">
        <is>
          <t>Release taped wires on rack</t>
        </is>
      </c>
      <c r="E274" s="1493" t="n"/>
      <c r="F274" s="1595" t="n"/>
      <c r="G274" s="1532" t="n"/>
      <c r="H274" s="1620" t="n">
        <v>22</v>
      </c>
      <c r="I274" s="1401" t="inlineStr">
        <is>
          <t>FA</t>
        </is>
      </c>
      <c r="J274" s="1402" t="n">
        <v>0</v>
      </c>
      <c r="K274" s="1403">
        <f>+J274*H274</f>
        <v/>
      </c>
      <c r="L274" s="1231" t="n"/>
      <c r="M274" s="1231" t="inlineStr">
        <is>
          <t>Manual</t>
        </is>
      </c>
      <c r="N274" s="1231" t="n"/>
      <c r="O274" s="1344" t="n"/>
      <c r="P274" s="1343" t="n"/>
      <c r="Q274" s="1708" t="n"/>
      <c r="R274" s="1231" t="n"/>
    </row>
    <row r="275" ht="35.25" customHeight="1" s="1134">
      <c r="A275" s="1622" t="n"/>
      <c r="B275" s="1489" t="inlineStr">
        <is>
          <t>Machine Taping time (Secs. /Tape length)</t>
        </is>
      </c>
      <c r="C275" s="1489" t="inlineStr">
        <is>
          <t>Dual Taper</t>
        </is>
      </c>
      <c r="D275" s="1489" t="inlineStr">
        <is>
          <t>Machine stops taping at pre-set dimension</t>
        </is>
      </c>
      <c r="E275" s="1493" t="inlineStr">
        <is>
          <t>time per mm</t>
        </is>
      </c>
      <c r="F275" s="1595" t="n"/>
      <c r="G275" s="1532" t="n"/>
      <c r="H275" s="1620" t="n">
        <v>0.01</v>
      </c>
      <c r="I275" s="1401" t="inlineStr">
        <is>
          <t>FA</t>
        </is>
      </c>
      <c r="J275" s="1402" t="n">
        <v>0</v>
      </c>
      <c r="K275" s="1403">
        <f>+J275*H275</f>
        <v/>
      </c>
      <c r="L275" s="1231" t="n"/>
      <c r="M275" s="1231" t="inlineStr">
        <is>
          <t>Manual</t>
        </is>
      </c>
      <c r="N275" s="1231" t="n"/>
      <c r="O275" s="1344" t="n"/>
      <c r="P275" s="1343" t="n"/>
      <c r="Q275" s="1708" t="n"/>
      <c r="R275" s="1231" t="n"/>
    </row>
    <row r="276" ht="48" customHeight="1" s="1134">
      <c r="A276" s="1623" t="inlineStr">
        <is>
          <t>Automatic taping for Twisted wires with DRAIN wire loaded in spiral</t>
        </is>
      </c>
      <c r="B276" s="1489" t="inlineStr">
        <is>
          <t>Manual work (Load wires (twist + drain) to machine/ hand work/ unload wires to rack. Does not include Spot tapes</t>
        </is>
      </c>
      <c r="C276" s="1489" t="n"/>
      <c r="D276" s="1489" t="n"/>
      <c r="E276" s="1493" t="n"/>
      <c r="F276" s="1595" t="n"/>
      <c r="G276" s="1532" t="n"/>
      <c r="H276" s="1620" t="n">
        <v>48</v>
      </c>
      <c r="I276" s="1401" t="inlineStr">
        <is>
          <t>FA</t>
        </is>
      </c>
      <c r="J276" s="1402" t="n">
        <v>0</v>
      </c>
      <c r="K276" s="1403">
        <f>+J276*H276</f>
        <v/>
      </c>
      <c r="L276" s="1231" t="n"/>
      <c r="M276" s="1231" t="inlineStr">
        <is>
          <t>Manual</t>
        </is>
      </c>
      <c r="N276" s="1231" t="n"/>
      <c r="O276" s="1344" t="n"/>
      <c r="P276" s="1343" t="n"/>
      <c r="Q276" s="1708" t="n"/>
      <c r="R276" s="1231" t="n"/>
    </row>
    <row r="277" ht="19.4" customHeight="1" s="1134">
      <c r="A277" s="1233" t="n"/>
      <c r="B277" s="1489" t="inlineStr">
        <is>
          <t>Machine Taping time (Secs. /Tape length)</t>
        </is>
      </c>
      <c r="C277" s="1489" t="inlineStr">
        <is>
          <t>Dual Taper</t>
        </is>
      </c>
      <c r="D277" s="1489" t="inlineStr">
        <is>
          <t>Machine stops taping at pre-set dimension</t>
        </is>
      </c>
      <c r="E277" s="1489" t="inlineStr">
        <is>
          <t>time per mm</t>
        </is>
      </c>
      <c r="F277" s="1624" t="n"/>
      <c r="G277" s="1625" t="n"/>
      <c r="H277" s="1620" t="n">
        <v>0.01</v>
      </c>
      <c r="I277" s="1401" t="inlineStr">
        <is>
          <t>FA</t>
        </is>
      </c>
      <c r="J277" s="1439" t="n">
        <v>0</v>
      </c>
      <c r="K277" s="1440">
        <f>+J277*H277</f>
        <v/>
      </c>
      <c r="L277" s="1231" t="n"/>
      <c r="M277" s="1231" t="inlineStr">
        <is>
          <t>Manual</t>
        </is>
      </c>
      <c r="N277" s="1231" t="n"/>
      <c r="O277" s="1344" t="n"/>
      <c r="P277" s="1343" t="n"/>
      <c r="Q277" s="1708" t="n"/>
      <c r="R277" s="1231" t="n"/>
    </row>
    <row r="278" ht="82.5" customHeight="1" s="1134">
      <c r="A278" s="1626" t="inlineStr">
        <is>
          <t>Hi pot test for taped twisted wires with drain wire</t>
        </is>
      </c>
      <c r="B278" s="1567" t="n"/>
      <c r="C278" s="1567" t="inlineStr">
        <is>
          <t>Reach group of taped wires from rack</t>
        </is>
      </c>
      <c r="D278" s="1567" t="inlineStr">
        <is>
          <t>Release group of taped wires on rack</t>
        </is>
      </c>
      <c r="E278" s="1567" t="inlineStr">
        <is>
          <t>time per group</t>
        </is>
      </c>
      <c r="F278" s="1595" t="n"/>
      <c r="G278" s="1532" t="n"/>
      <c r="H278" s="1620" t="n">
        <v>25</v>
      </c>
      <c r="I278" s="1401" t="inlineStr">
        <is>
          <t>FA</t>
        </is>
      </c>
      <c r="J278" s="1402" t="n">
        <v>0</v>
      </c>
      <c r="K278" s="1403">
        <f>+J278*H278</f>
        <v/>
      </c>
      <c r="L278" s="1231" t="n"/>
      <c r="M278" s="1231" t="n"/>
      <c r="N278" s="1231" t="n"/>
      <c r="O278" s="1344" t="n"/>
      <c r="P278" s="1343" t="n"/>
      <c r="Q278" s="1708" t="n"/>
      <c r="R278" s="1231" t="n"/>
    </row>
    <row r="279" ht="12.75" customHeight="1" s="1134">
      <c r="A279" s="1367" t="n"/>
      <c r="B279" s="1582" t="n"/>
      <c r="C279" s="1582" t="n"/>
      <c r="D279" s="1582" t="n"/>
      <c r="E279" s="1611" t="n"/>
      <c r="F279" s="1612" t="n"/>
      <c r="G279" s="1581" t="n"/>
      <c r="H279" s="1627" t="n"/>
      <c r="I279" s="1602" t="n"/>
      <c r="J279" s="1518" t="n">
        <v>0</v>
      </c>
      <c r="K279" s="1477" t="n"/>
      <c r="N279" s="1231" t="n"/>
      <c r="O279" s="1344" t="n"/>
      <c r="P279" s="1343" t="n"/>
      <c r="Q279" s="1708" t="n"/>
      <c r="R279" s="1231" t="n"/>
    </row>
    <row r="280" ht="23.85" customHeight="1" s="1134">
      <c r="A280" s="1588" t="inlineStr">
        <is>
          <t xml:space="preserve">Drain Wire Cutting </t>
        </is>
      </c>
      <c r="B280" s="1431" t="inlineStr">
        <is>
          <t>Comments</t>
        </is>
      </c>
      <c r="C280" s="1431" t="inlineStr">
        <is>
          <t>Machine Vendor</t>
        </is>
      </c>
      <c r="D280" s="1591" t="inlineStr">
        <is>
          <t>Min wire size [mm²]</t>
        </is>
      </c>
      <c r="E280" s="1591" t="inlineStr">
        <is>
          <t>Max wire size [mm²]</t>
        </is>
      </c>
      <c r="F280" s="1591" t="inlineStr">
        <is>
          <t>Min Lth [mm]</t>
        </is>
      </c>
      <c r="G280" s="1591" t="inlineStr">
        <is>
          <t>Max Lth [mm]</t>
        </is>
      </c>
      <c r="H280" s="1591" t="inlineStr">
        <is>
          <t>Global Sec/ Pc</t>
        </is>
      </c>
      <c r="I280" s="1592" t="inlineStr">
        <is>
          <t>Location
LP/FA</t>
        </is>
      </c>
      <c r="J280" s="1593" t="n">
        <v>0</v>
      </c>
      <c r="K280" s="1393" t="inlineStr">
        <is>
          <t>Total</t>
        </is>
      </c>
      <c r="N280" s="1231" t="n"/>
      <c r="O280" s="1344" t="n"/>
      <c r="P280" s="1343" t="n"/>
      <c r="Q280" s="1708" t="n"/>
      <c r="R280" s="1231" t="n"/>
    </row>
    <row r="281" ht="23.85" customHeight="1" s="1134">
      <c r="A281" s="1367" t="inlineStr">
        <is>
          <t>Manual Drain Wire Cutting  (In Dual Taper Station)</t>
        </is>
      </c>
      <c r="B281" s="1367" t="inlineStr">
        <is>
          <t>Manual Cutting With Scissors in dual taper station</t>
        </is>
      </c>
      <c r="C281" s="1367" t="inlineStr">
        <is>
          <t>Scissors</t>
        </is>
      </c>
      <c r="D281" s="1367" t="n">
        <v>0.3</v>
      </c>
      <c r="E281" s="1367" t="n">
        <v>5</v>
      </c>
      <c r="F281" s="1367" t="n">
        <v>50</v>
      </c>
      <c r="G281" s="1367" t="n">
        <v>10000</v>
      </c>
      <c r="H281" s="1628" t="n">
        <v>3.23</v>
      </c>
      <c r="I281" s="1602" t="inlineStr">
        <is>
          <t>FA</t>
        </is>
      </c>
      <c r="J281" s="1518" t="n">
        <v>0</v>
      </c>
      <c r="K281" s="1403">
        <f>+J281*H281</f>
        <v/>
      </c>
      <c r="M281" s="1132" t="inlineStr">
        <is>
          <t>Manual</t>
        </is>
      </c>
      <c r="N281" s="1231" t="n"/>
      <c r="O281" s="1344" t="n"/>
      <c r="P281" s="1343" t="n"/>
      <c r="Q281" s="1708" t="n"/>
      <c r="R281" s="1231" t="n"/>
    </row>
    <row r="282" ht="12.75" customHeight="1" s="1134">
      <c r="A282" s="1629" t="n"/>
      <c r="B282" s="1630" t="n"/>
      <c r="C282" s="1631" t="n"/>
      <c r="D282" s="1631" t="n"/>
      <c r="E282" s="1631" t="n"/>
      <c r="F282" s="1631" t="n"/>
      <c r="G282" s="1631" t="n"/>
      <c r="H282" s="1632" t="n"/>
      <c r="I282" s="1633" t="n"/>
      <c r="J282" s="1634" t="n">
        <v>0</v>
      </c>
      <c r="K282" s="1635" t="n"/>
      <c r="N282" s="1231" t="n"/>
      <c r="O282" s="1344" t="n"/>
      <c r="P282" s="1343" t="n"/>
      <c r="Q282" s="1708" t="n"/>
      <c r="R282" s="1231" t="n"/>
    </row>
    <row r="283" ht="23.85" customHeight="1" s="1134">
      <c r="A283" s="1216" t="inlineStr">
        <is>
          <t xml:space="preserve">Coiling </t>
        </is>
      </c>
      <c r="B283" s="1217" t="inlineStr">
        <is>
          <t>Ranges of length</t>
        </is>
      </c>
      <c r="C283" s="1636" t="inlineStr">
        <is>
          <t xml:space="preserve">Standard Description </t>
        </is>
      </c>
      <c r="D283" s="1637" t="inlineStr">
        <is>
          <t>Clock start</t>
        </is>
      </c>
      <c r="E283" s="1637" t="inlineStr">
        <is>
          <t>Clock stop</t>
        </is>
      </c>
      <c r="F283" s="1638" t="n"/>
      <c r="G283" s="1392" t="n"/>
      <c r="H283" s="1392" t="inlineStr">
        <is>
          <t>Global Sec/ Pc</t>
        </is>
      </c>
      <c r="I283" s="1479" t="inlineStr">
        <is>
          <t>Location
LP/FA</t>
        </is>
      </c>
      <c r="J283" s="1432" t="n">
        <v>0</v>
      </c>
      <c r="K283" s="1393" t="inlineStr">
        <is>
          <t>Total</t>
        </is>
      </c>
      <c r="N283" s="1231" t="n"/>
      <c r="O283" s="1344" t="n"/>
      <c r="P283" s="1343" t="n"/>
      <c r="Q283" s="1708" t="n"/>
      <c r="R283" s="1231" t="n"/>
    </row>
    <row r="284" ht="12" customHeight="1" s="1134">
      <c r="A284" s="1639" t="inlineStr">
        <is>
          <t xml:space="preserve">Manual coiling
Cross section =&lt; 4mm² 
(Regions to decide the location LP or FA)
</t>
        </is>
      </c>
      <c r="B284" s="1640" t="inlineStr">
        <is>
          <t xml:space="preserve">7501 - 8000 </t>
        </is>
      </c>
      <c r="C284" s="1641" t="inlineStr">
        <is>
          <t>Get wire from the tray</t>
        </is>
      </c>
      <c r="D284" s="1642" t="inlineStr">
        <is>
          <t>Coiled wire closed with re-usable material</t>
        </is>
      </c>
      <c r="E284" s="1642" t="inlineStr">
        <is>
          <t xml:space="preserve">Coiling station to be used. Wires to be placed in horizontal trays. To close the coiled wire re-usable / recyclable material to be used. </t>
        </is>
      </c>
      <c r="F284" s="1643" t="n"/>
      <c r="G284" s="1643" t="n"/>
      <c r="H284" s="1644" t="n">
        <v>14.36</v>
      </c>
      <c r="I284" s="1602" t="inlineStr">
        <is>
          <t>FA</t>
        </is>
      </c>
      <c r="J284" s="1645" t="n">
        <v>0</v>
      </c>
      <c r="K284" s="1470">
        <f>+J284*H284</f>
        <v/>
      </c>
      <c r="N284" s="1231" t="n"/>
      <c r="O284" s="1132" t="n"/>
      <c r="P284" s="1407" t="n"/>
      <c r="Q284" s="1344" t="n"/>
      <c r="R284" s="1231" t="n"/>
    </row>
    <row r="285" ht="12" customHeight="1" s="1134">
      <c r="A285" s="1326" t="n"/>
      <c r="B285" s="1640" t="inlineStr">
        <is>
          <t>8001 - 9000</t>
        </is>
      </c>
      <c r="F285" s="1643" t="n"/>
      <c r="G285" s="1643" t="n"/>
      <c r="H285" s="1620" t="n">
        <v>15.31</v>
      </c>
      <c r="I285" s="1602" t="inlineStr">
        <is>
          <t>FA</t>
        </is>
      </c>
      <c r="J285" s="1645" t="n">
        <v>0</v>
      </c>
      <c r="K285" s="1403">
        <f>+J285*H285</f>
        <v/>
      </c>
      <c r="N285" s="1231" t="n"/>
      <c r="O285" s="1344" t="n"/>
      <c r="P285" s="1343" t="n"/>
      <c r="Q285" s="1708" t="n"/>
      <c r="R285" s="1231" t="n"/>
    </row>
    <row r="286" ht="12" customHeight="1" s="1134">
      <c r="A286" s="1326" t="n"/>
      <c r="B286" s="1640" t="inlineStr">
        <is>
          <t>9001 - 10 000</t>
        </is>
      </c>
      <c r="F286" s="1643" t="n"/>
      <c r="G286" s="1643" t="n"/>
      <c r="H286" s="1620" t="n">
        <v>17.2</v>
      </c>
      <c r="I286" s="1602" t="inlineStr">
        <is>
          <t>FA</t>
        </is>
      </c>
      <c r="J286" s="1645" t="n">
        <v>0</v>
      </c>
      <c r="K286" s="1403">
        <f>+J286*H286</f>
        <v/>
      </c>
      <c r="N286" s="1231" t="n"/>
      <c r="O286" s="1344" t="n"/>
      <c r="P286" s="1343" t="n"/>
      <c r="Q286" s="1708" t="n"/>
      <c r="R286" s="1231" t="n"/>
    </row>
    <row r="287" ht="12" customHeight="1" s="1134">
      <c r="A287" s="1326" t="n"/>
      <c r="B287" s="1640" t="inlineStr">
        <is>
          <t>10 001 - 11 000</t>
        </is>
      </c>
      <c r="F287" s="1643" t="n"/>
      <c r="G287" s="1643" t="n"/>
      <c r="H287" s="1620" t="n">
        <v>18.7</v>
      </c>
      <c r="I287" s="1602" t="inlineStr">
        <is>
          <t>FA</t>
        </is>
      </c>
      <c r="J287" s="1645" t="n">
        <v>0</v>
      </c>
      <c r="K287" s="1403">
        <f>+J287*H287</f>
        <v/>
      </c>
      <c r="N287" s="1231" t="n"/>
      <c r="O287" s="1344" t="n"/>
      <c r="P287" s="1343" t="n"/>
      <c r="Q287" s="1708" t="n"/>
      <c r="R287" s="1231" t="n"/>
    </row>
    <row r="288" ht="12" customHeight="1" s="1134">
      <c r="A288" s="1326" t="n"/>
      <c r="B288" s="1640" t="inlineStr">
        <is>
          <t>11 001 - 12 000</t>
        </is>
      </c>
      <c r="F288" s="1643" t="n"/>
      <c r="G288" s="1643" t="n"/>
      <c r="H288" s="1620" t="n">
        <v>20.4</v>
      </c>
      <c r="I288" s="1602" t="inlineStr">
        <is>
          <t>FA</t>
        </is>
      </c>
      <c r="J288" s="1645" t="n">
        <v>0</v>
      </c>
      <c r="K288" s="1403">
        <f>+J288*H288</f>
        <v/>
      </c>
      <c r="N288" s="1231" t="n"/>
      <c r="O288" s="1344" t="n"/>
      <c r="P288" s="1343" t="n"/>
      <c r="Q288" s="1708" t="n"/>
      <c r="R288" s="1231" t="n"/>
    </row>
    <row r="289" ht="12" customHeight="1" s="1134">
      <c r="A289" s="1326" t="n"/>
      <c r="B289" s="1640" t="inlineStr">
        <is>
          <t>12 001 - 13 000</t>
        </is>
      </c>
      <c r="F289" s="1643" t="n"/>
      <c r="G289" s="1643" t="n"/>
      <c r="H289" s="1620" t="n">
        <v>22.1</v>
      </c>
      <c r="I289" s="1602" t="inlineStr">
        <is>
          <t>FA</t>
        </is>
      </c>
      <c r="J289" s="1645" t="n">
        <v>0</v>
      </c>
      <c r="K289" s="1403">
        <f>+J289*H289</f>
        <v/>
      </c>
      <c r="N289" s="1231" t="n"/>
      <c r="O289" s="1344" t="n"/>
      <c r="P289" s="1343" t="n"/>
      <c r="Q289" s="1708" t="n"/>
      <c r="R289" s="1231" t="n"/>
    </row>
    <row r="290" ht="12" customHeight="1" s="1134">
      <c r="A290" s="1326" t="n"/>
      <c r="B290" s="1640" t="inlineStr">
        <is>
          <t>13 001 - 14 000</t>
        </is>
      </c>
      <c r="F290" s="1643" t="n"/>
      <c r="G290" s="1643" t="n"/>
      <c r="H290" s="1620" t="n">
        <v>23.8</v>
      </c>
      <c r="I290" s="1602" t="inlineStr">
        <is>
          <t>FA</t>
        </is>
      </c>
      <c r="J290" s="1645" t="n">
        <v>0</v>
      </c>
      <c r="K290" s="1403">
        <f>+J290*H290</f>
        <v/>
      </c>
      <c r="N290" s="1231" t="n"/>
      <c r="O290" s="1344" t="n"/>
      <c r="P290" s="1343" t="n"/>
      <c r="Q290" s="1708" t="n"/>
      <c r="R290" s="1231" t="n"/>
    </row>
    <row r="291" ht="12" customHeight="1" s="1134">
      <c r="A291" s="1326" t="n"/>
      <c r="B291" s="1640" t="inlineStr">
        <is>
          <t>14 001 - 15 000</t>
        </is>
      </c>
      <c r="F291" s="1643" t="n"/>
      <c r="G291" s="1643" t="n"/>
      <c r="H291" s="1620" t="n">
        <v>25.5</v>
      </c>
      <c r="I291" s="1602" t="inlineStr">
        <is>
          <t>FA</t>
        </is>
      </c>
      <c r="J291" s="1645" t="n">
        <v>0</v>
      </c>
      <c r="K291" s="1403">
        <f>+J291*H291</f>
        <v/>
      </c>
      <c r="N291" s="1231" t="n"/>
      <c r="O291" s="1344" t="n"/>
      <c r="P291" s="1343" t="n"/>
      <c r="Q291" s="1708" t="n"/>
      <c r="R291" s="1231" t="n"/>
    </row>
    <row r="292" ht="12" customHeight="1" s="1134">
      <c r="A292" s="1326" t="n"/>
      <c r="B292" s="1640" t="inlineStr">
        <is>
          <t>15 001 - 16 000</t>
        </is>
      </c>
      <c r="F292" s="1643" t="n"/>
      <c r="G292" s="1643" t="n"/>
      <c r="H292" s="1620" t="n">
        <v>27.2</v>
      </c>
      <c r="I292" s="1602" t="inlineStr">
        <is>
          <t>FA</t>
        </is>
      </c>
      <c r="J292" s="1645" t="n">
        <v>0</v>
      </c>
      <c r="K292" s="1403">
        <f>+J292*H292</f>
        <v/>
      </c>
      <c r="N292" s="1231" t="n"/>
      <c r="O292" s="1344" t="n"/>
      <c r="P292" s="1343" t="n"/>
      <c r="Q292" s="1708" t="n"/>
      <c r="R292" s="1231" t="n"/>
    </row>
    <row r="293" ht="12" customHeight="1" s="1134">
      <c r="A293" s="1326" t="n"/>
      <c r="B293" s="1640" t="inlineStr">
        <is>
          <t>16 001 - 17 000</t>
        </is>
      </c>
      <c r="F293" s="1643" t="n"/>
      <c r="G293" s="1643" t="n"/>
      <c r="H293" s="1620" t="n">
        <v>28.9</v>
      </c>
      <c r="I293" s="1602" t="inlineStr">
        <is>
          <t>FA</t>
        </is>
      </c>
      <c r="J293" s="1645" t="n">
        <v>0</v>
      </c>
      <c r="K293" s="1403">
        <f>+J293*H293</f>
        <v/>
      </c>
      <c r="N293" s="1231" t="n"/>
      <c r="O293" s="1344" t="n"/>
      <c r="P293" s="1343" t="n"/>
      <c r="Q293" s="1708" t="n"/>
      <c r="R293" s="1231" t="n"/>
    </row>
    <row r="294" ht="12" customHeight="1" s="1134">
      <c r="A294" s="1326" t="n"/>
      <c r="B294" s="1640" t="inlineStr">
        <is>
          <t>17 001 - 18 000</t>
        </is>
      </c>
      <c r="F294" s="1643" t="n"/>
      <c r="G294" s="1643" t="n"/>
      <c r="H294" s="1620" t="n">
        <v>30.6</v>
      </c>
      <c r="I294" s="1602" t="inlineStr">
        <is>
          <t>FA</t>
        </is>
      </c>
      <c r="J294" s="1645" t="n">
        <v>0</v>
      </c>
      <c r="K294" s="1403">
        <f>+J294*H294</f>
        <v/>
      </c>
      <c r="N294" s="1231" t="n"/>
      <c r="O294" s="1344" t="n"/>
      <c r="P294" s="1343" t="n"/>
      <c r="Q294" s="1708" t="n"/>
      <c r="R294" s="1231" t="n"/>
    </row>
    <row r="295" ht="12" customHeight="1" s="1134">
      <c r="A295" s="1326" t="n"/>
      <c r="B295" s="1640" t="inlineStr">
        <is>
          <t>18 001 - 19 000</t>
        </is>
      </c>
      <c r="F295" s="1643" t="n"/>
      <c r="G295" s="1643" t="n"/>
      <c r="H295" s="1620" t="n">
        <v>32.3</v>
      </c>
      <c r="I295" s="1602" t="inlineStr">
        <is>
          <t>FA</t>
        </is>
      </c>
      <c r="J295" s="1645" t="n">
        <v>0</v>
      </c>
      <c r="K295" s="1403">
        <f>+J295*H295</f>
        <v/>
      </c>
      <c r="N295" s="1231" t="n"/>
      <c r="O295" s="1344" t="n"/>
      <c r="P295" s="1343" t="n"/>
      <c r="Q295" s="1708" t="n"/>
      <c r="R295" s="1231" t="n"/>
    </row>
    <row r="296" ht="12" customHeight="1" s="1134">
      <c r="A296" s="1326" t="n"/>
      <c r="B296" s="1640" t="n"/>
      <c r="F296" s="1643" t="n"/>
      <c r="G296" s="1643" t="n"/>
      <c r="H296" s="1620" t="n"/>
      <c r="I296" s="1602" t="n"/>
      <c r="J296" s="1645" t="n">
        <v>0</v>
      </c>
      <c r="K296" s="1403">
        <f>+J296*H296</f>
        <v/>
      </c>
      <c r="N296" s="1231" t="n"/>
      <c r="O296" s="1344" t="n"/>
      <c r="P296" s="1343" t="n"/>
      <c r="Q296" s="1708" t="n"/>
      <c r="R296" s="1231" t="n"/>
    </row>
    <row r="297" ht="12" customHeight="1" s="1134">
      <c r="A297" s="1326" t="n"/>
      <c r="B297" s="1640" t="n"/>
      <c r="F297" s="1643" t="n"/>
      <c r="G297" s="1643" t="n"/>
      <c r="H297" s="1620" t="n"/>
      <c r="I297" s="1602" t="n"/>
      <c r="J297" s="1645" t="n">
        <v>0</v>
      </c>
      <c r="K297" s="1403">
        <f>+J297*H297</f>
        <v/>
      </c>
      <c r="N297" s="1231" t="n"/>
      <c r="O297" s="1344" t="n"/>
      <c r="P297" s="1343" t="n"/>
      <c r="Q297" s="1708" t="n"/>
      <c r="R297" s="1231" t="n"/>
    </row>
    <row r="298" ht="12" customHeight="1" s="1134">
      <c r="A298" s="1326" t="n"/>
      <c r="B298" s="1640" t="n"/>
      <c r="F298" s="1643" t="n"/>
      <c r="G298" s="1643" t="n"/>
      <c r="H298" s="1620" t="n"/>
      <c r="I298" s="1602" t="n"/>
      <c r="J298" s="1645" t="n">
        <v>0</v>
      </c>
      <c r="K298" s="1403">
        <f>+J298*H298</f>
        <v/>
      </c>
      <c r="N298" s="1231" t="n"/>
      <c r="O298" s="1344" t="n"/>
      <c r="P298" s="1343" t="n"/>
      <c r="Q298" s="1708" t="n"/>
      <c r="R298" s="1231" t="n"/>
    </row>
    <row r="299" ht="12.75" customHeight="1" s="1134">
      <c r="A299" s="1329" t="n"/>
      <c r="B299" s="1642" t="n"/>
      <c r="C299" s="1390" t="n"/>
      <c r="D299" s="1390" t="n"/>
      <c r="E299" s="1390" t="n"/>
      <c r="F299" s="1646" t="n"/>
      <c r="G299" s="1646" t="n"/>
      <c r="H299" s="1647" t="n"/>
      <c r="I299" s="1648" t="n"/>
      <c r="J299" s="1649" t="n">
        <v>0</v>
      </c>
      <c r="K299" s="1430">
        <f>+J299*H299</f>
        <v/>
      </c>
      <c r="N299" s="1231" t="n"/>
      <c r="O299" s="1344" t="n"/>
      <c r="P299" s="1343" t="n"/>
      <c r="Q299" s="1708" t="n"/>
      <c r="R299" s="1231" t="n"/>
    </row>
    <row r="300" ht="12.75" customHeight="1" s="1134">
      <c r="A300" s="1639" t="inlineStr">
        <is>
          <t>Manual coiling
Cross section &gt; 4mm² &lt; 11mm² 
To be used also for twisted wires, doubles, multiconductors, coaxial cables and antennas needs when total (sum of gages) cross section &gt; than 3 mm² and length is more than 4 m
(Regions to decide the location LP or FA)</t>
        </is>
      </c>
      <c r="B300" s="1640" t="inlineStr">
        <is>
          <t>4001 - 5000</t>
        </is>
      </c>
      <c r="C300" s="1641" t="inlineStr">
        <is>
          <t>Get wire from the tray</t>
        </is>
      </c>
      <c r="D300" s="1642" t="inlineStr">
        <is>
          <t>Coiled wire closed with re-usable material</t>
        </is>
      </c>
      <c r="E300" s="1642" t="inlineStr">
        <is>
          <t xml:space="preserve">Coiling station to be used. Wires to be placed in horizontal trays. To close the coiled wire re-usable / recyclable material to be used. </t>
        </is>
      </c>
      <c r="F300" s="1650" t="n"/>
      <c r="G300" s="1650" t="n"/>
      <c r="H300" s="1620" t="n">
        <v>10.5</v>
      </c>
      <c r="I300" s="1602" t="inlineStr">
        <is>
          <t>FA</t>
        </is>
      </c>
      <c r="J300" s="1645" t="n">
        <v>0</v>
      </c>
      <c r="K300" s="1403">
        <f>+J300*H300</f>
        <v/>
      </c>
      <c r="N300" s="1231" t="n"/>
      <c r="O300" s="1132" t="n"/>
      <c r="P300" s="1407" t="n"/>
      <c r="Q300" s="1344" t="n"/>
      <c r="R300" s="1231" t="n"/>
    </row>
    <row r="301" ht="12.75" customHeight="1" s="1134">
      <c r="A301" s="1326" t="n"/>
      <c r="B301" s="1640" t="inlineStr">
        <is>
          <t>5001 - 6000</t>
        </is>
      </c>
      <c r="F301" s="1643" t="n"/>
      <c r="G301" s="1643" t="n"/>
      <c r="H301" s="1620" t="n">
        <v>12.6</v>
      </c>
      <c r="I301" s="1602" t="inlineStr">
        <is>
          <t>FA</t>
        </is>
      </c>
      <c r="J301" s="1645" t="n">
        <v>0</v>
      </c>
      <c r="K301" s="1403">
        <f>+J301*H301</f>
        <v/>
      </c>
      <c r="N301" s="1231" t="n"/>
      <c r="O301" s="1344" t="n"/>
      <c r="P301" s="1343" t="n"/>
      <c r="Q301" s="1708" t="n"/>
      <c r="R301" s="1231" t="n"/>
    </row>
    <row r="302" ht="12.75" customHeight="1" s="1134">
      <c r="A302" s="1326" t="n"/>
      <c r="B302" s="1640" t="inlineStr">
        <is>
          <t>6001 - 7000</t>
        </is>
      </c>
      <c r="F302" s="1643" t="n"/>
      <c r="G302" s="1643" t="n"/>
      <c r="H302" s="1620" t="n">
        <v>14.7</v>
      </c>
      <c r="I302" s="1602" t="inlineStr">
        <is>
          <t>FA</t>
        </is>
      </c>
      <c r="J302" s="1645" t="n">
        <v>0</v>
      </c>
      <c r="K302" s="1403">
        <f>+J302*H302</f>
        <v/>
      </c>
      <c r="N302" s="1231" t="n"/>
      <c r="O302" s="1344" t="n"/>
      <c r="P302" s="1343" t="n"/>
      <c r="Q302" s="1708" t="n"/>
      <c r="R302" s="1231" t="n"/>
    </row>
    <row r="303" ht="12.75" customHeight="1" s="1134">
      <c r="A303" s="1326" t="n"/>
      <c r="B303" s="1640" t="inlineStr">
        <is>
          <t>7001 - 8000</t>
        </is>
      </c>
      <c r="F303" s="1643" t="n"/>
      <c r="G303" s="1643" t="n"/>
      <c r="H303" s="1620" t="n">
        <v>15.2</v>
      </c>
      <c r="I303" s="1602" t="inlineStr">
        <is>
          <t>FA</t>
        </is>
      </c>
      <c r="J303" s="1645" t="n">
        <v>0</v>
      </c>
      <c r="K303" s="1403">
        <f>+J303*H303</f>
        <v/>
      </c>
      <c r="N303" s="1231" t="n"/>
      <c r="O303" s="1344" t="n"/>
      <c r="P303" s="1343" t="n"/>
      <c r="Q303" s="1708" t="n"/>
      <c r="R303" s="1231" t="n"/>
    </row>
    <row r="304" ht="12.75" customHeight="1" s="1134">
      <c r="A304" s="1326" t="n"/>
      <c r="B304" s="1640" t="inlineStr">
        <is>
          <t>8001 - 9000</t>
        </is>
      </c>
      <c r="F304" s="1643" t="n"/>
      <c r="G304" s="1643" t="n"/>
      <c r="H304" s="1620" t="n">
        <v>17.1</v>
      </c>
      <c r="I304" s="1602" t="inlineStr">
        <is>
          <t>FA</t>
        </is>
      </c>
      <c r="J304" s="1645" t="n">
        <v>0</v>
      </c>
      <c r="K304" s="1403">
        <f>+J304*H304</f>
        <v/>
      </c>
      <c r="N304" s="1231" t="n"/>
      <c r="O304" s="1344" t="n"/>
      <c r="P304" s="1343" t="n"/>
      <c r="Q304" s="1708" t="n"/>
      <c r="R304" s="1231" t="n"/>
    </row>
    <row r="305" ht="12.75" customHeight="1" s="1134">
      <c r="A305" s="1326" t="n"/>
      <c r="B305" s="1640" t="inlineStr">
        <is>
          <t>9001 - 10 000</t>
        </is>
      </c>
      <c r="F305" s="1643" t="n"/>
      <c r="G305" s="1643" t="n"/>
      <c r="H305" s="1620" t="n">
        <v>19</v>
      </c>
      <c r="I305" s="1602" t="inlineStr">
        <is>
          <t>FA</t>
        </is>
      </c>
      <c r="J305" s="1645" t="n">
        <v>0</v>
      </c>
      <c r="K305" s="1403">
        <f>+J305*H305</f>
        <v/>
      </c>
      <c r="N305" s="1231" t="n"/>
      <c r="O305" s="1344" t="n"/>
      <c r="P305" s="1343" t="n"/>
      <c r="Q305" s="1708" t="n"/>
      <c r="R305" s="1231" t="n"/>
    </row>
    <row r="306" ht="12.75" customHeight="1" s="1134">
      <c r="A306" s="1326" t="n"/>
      <c r="B306" s="1640" t="inlineStr">
        <is>
          <t>10 001 - 11 000</t>
        </is>
      </c>
      <c r="F306" s="1643" t="n"/>
      <c r="G306" s="1643" t="n"/>
      <c r="H306" s="1620" t="n">
        <v>20.9</v>
      </c>
      <c r="I306" s="1602" t="inlineStr">
        <is>
          <t>FA</t>
        </is>
      </c>
      <c r="J306" s="1645" t="n">
        <v>0</v>
      </c>
      <c r="K306" s="1403">
        <f>+J306*H306</f>
        <v/>
      </c>
      <c r="N306" s="1231" t="n"/>
      <c r="O306" s="1344" t="n"/>
      <c r="P306" s="1343" t="n"/>
      <c r="Q306" s="1708" t="n"/>
      <c r="R306" s="1231" t="n"/>
    </row>
    <row r="307" ht="12.75" customHeight="1" s="1134">
      <c r="A307" s="1326" t="n"/>
      <c r="B307" s="1640" t="inlineStr">
        <is>
          <t>11 001 - 11 000</t>
        </is>
      </c>
      <c r="F307" s="1643" t="n"/>
      <c r="G307" s="1643" t="n"/>
      <c r="H307" s="1620" t="n">
        <v>22.8</v>
      </c>
      <c r="I307" s="1602" t="inlineStr">
        <is>
          <t>FA</t>
        </is>
      </c>
      <c r="J307" s="1645" t="n">
        <v>0</v>
      </c>
      <c r="K307" s="1403">
        <f>+J307*H307</f>
        <v/>
      </c>
      <c r="N307" s="1231" t="n"/>
      <c r="O307" s="1344" t="n"/>
      <c r="P307" s="1343" t="n"/>
      <c r="Q307" s="1708" t="n"/>
      <c r="R307" s="1231" t="n"/>
    </row>
    <row r="308" ht="12.75" customHeight="1" s="1134">
      <c r="A308" s="1326" t="n"/>
      <c r="B308" s="1640" t="inlineStr">
        <is>
          <t>12 001 - 13 000</t>
        </is>
      </c>
      <c r="F308" s="1643" t="n"/>
      <c r="G308" s="1643" t="n"/>
      <c r="H308" s="1620" t="n">
        <v>24.7</v>
      </c>
      <c r="I308" s="1602" t="inlineStr">
        <is>
          <t>FA</t>
        </is>
      </c>
      <c r="J308" s="1645" t="n">
        <v>0</v>
      </c>
      <c r="K308" s="1403">
        <f>+J308*H308</f>
        <v/>
      </c>
      <c r="N308" s="1231" t="n"/>
      <c r="O308" s="1344" t="n"/>
      <c r="P308" s="1343" t="n"/>
      <c r="Q308" s="1708" t="n"/>
      <c r="R308" s="1231" t="n"/>
    </row>
    <row r="309" ht="12.75" customHeight="1" s="1134">
      <c r="A309" s="1326" t="n"/>
      <c r="B309" s="1640" t="inlineStr">
        <is>
          <t>13 001 - 14 000</t>
        </is>
      </c>
      <c r="F309" s="1643" t="n"/>
      <c r="G309" s="1643" t="n"/>
      <c r="H309" s="1620" t="n">
        <v>26.6</v>
      </c>
      <c r="I309" s="1602" t="inlineStr">
        <is>
          <t>FA</t>
        </is>
      </c>
      <c r="J309" s="1645" t="n">
        <v>0</v>
      </c>
      <c r="K309" s="1403">
        <f>+J309*H309</f>
        <v/>
      </c>
      <c r="N309" s="1231" t="n"/>
      <c r="O309" s="1344" t="n"/>
      <c r="P309" s="1343" t="n"/>
      <c r="Q309" s="1708" t="n"/>
      <c r="R309" s="1231" t="n"/>
    </row>
    <row r="310" ht="12.75" customHeight="1" s="1134">
      <c r="A310" s="1326" t="n"/>
      <c r="B310" s="1640" t="inlineStr">
        <is>
          <t>14 001 - 15 000</t>
        </is>
      </c>
      <c r="F310" s="1643" t="n"/>
      <c r="G310" s="1643" t="n"/>
      <c r="H310" s="1620" t="n">
        <v>28.5</v>
      </c>
      <c r="I310" s="1602" t="inlineStr">
        <is>
          <t>FA</t>
        </is>
      </c>
      <c r="J310" s="1645" t="n">
        <v>0</v>
      </c>
      <c r="K310" s="1403">
        <f>+J310*H310</f>
        <v/>
      </c>
      <c r="N310" s="1231" t="n"/>
      <c r="O310" s="1344" t="n"/>
      <c r="P310" s="1343" t="n"/>
      <c r="Q310" s="1708" t="n"/>
      <c r="R310" s="1231" t="n"/>
    </row>
    <row r="311" ht="12.75" customHeight="1" s="1134">
      <c r="A311" s="1326" t="n"/>
      <c r="B311" s="1640" t="inlineStr">
        <is>
          <t>15 001 - 16 000</t>
        </is>
      </c>
      <c r="F311" s="1643" t="n"/>
      <c r="G311" s="1643" t="n"/>
      <c r="H311" s="1620" t="n">
        <v>30.4</v>
      </c>
      <c r="I311" s="1602" t="inlineStr">
        <is>
          <t>FA</t>
        </is>
      </c>
      <c r="J311" s="1645" t="n">
        <v>0</v>
      </c>
      <c r="K311" s="1403">
        <f>+J311*H311</f>
        <v/>
      </c>
      <c r="N311" s="1231" t="n"/>
      <c r="O311" s="1344" t="n"/>
      <c r="P311" s="1343" t="n"/>
      <c r="Q311" s="1708" t="n"/>
      <c r="R311" s="1231" t="n"/>
    </row>
    <row r="312" ht="12.75" customHeight="1" s="1134">
      <c r="A312" s="1326" t="n"/>
      <c r="B312" s="1640" t="inlineStr">
        <is>
          <t>16 001 - 17 000</t>
        </is>
      </c>
      <c r="F312" s="1643" t="n"/>
      <c r="G312" s="1643" t="n"/>
      <c r="H312" s="1620" t="n">
        <v>32.3</v>
      </c>
      <c r="I312" s="1602" t="inlineStr">
        <is>
          <t>FA</t>
        </is>
      </c>
      <c r="J312" s="1645" t="n">
        <v>0</v>
      </c>
      <c r="K312" s="1403">
        <f>+J312*H312</f>
        <v/>
      </c>
      <c r="N312" s="1231" t="n"/>
      <c r="O312" s="1344" t="n"/>
      <c r="P312" s="1343" t="n"/>
      <c r="Q312" s="1708" t="n"/>
      <c r="R312" s="1231" t="n"/>
    </row>
    <row r="313" ht="12.75" customHeight="1" s="1134">
      <c r="A313" s="1326" t="n"/>
      <c r="B313" s="1640" t="inlineStr">
        <is>
          <t>17 001 - 18 000</t>
        </is>
      </c>
      <c r="F313" s="1643" t="n"/>
      <c r="G313" s="1643" t="n"/>
      <c r="H313" s="1620" t="n">
        <v>34.2</v>
      </c>
      <c r="I313" s="1602" t="inlineStr">
        <is>
          <t>FA</t>
        </is>
      </c>
      <c r="J313" s="1645" t="n">
        <v>0</v>
      </c>
      <c r="K313" s="1403">
        <f>+J313*H313</f>
        <v/>
      </c>
      <c r="N313" s="1231" t="n"/>
      <c r="O313" s="1344" t="n"/>
      <c r="P313" s="1343" t="n"/>
      <c r="Q313" s="1708" t="n"/>
      <c r="R313" s="1231" t="n"/>
    </row>
    <row r="314" ht="12.75" customHeight="1" s="1134">
      <c r="A314" s="1326" t="n"/>
      <c r="B314" s="1640" t="inlineStr">
        <is>
          <t>18 001 - 19 000</t>
        </is>
      </c>
      <c r="F314" s="1643" t="n"/>
      <c r="G314" s="1643" t="n"/>
      <c r="H314" s="1620" t="n">
        <v>36.1</v>
      </c>
      <c r="I314" s="1602" t="inlineStr">
        <is>
          <t>FA</t>
        </is>
      </c>
      <c r="J314" s="1645" t="n">
        <v>0</v>
      </c>
      <c r="K314" s="1403">
        <f>+J314*H314</f>
        <v/>
      </c>
      <c r="N314" s="1231" t="n"/>
      <c r="O314" s="1344" t="n"/>
      <c r="P314" s="1343" t="n"/>
      <c r="Q314" s="1708" t="n"/>
      <c r="R314" s="1231" t="n"/>
    </row>
    <row r="315" ht="12.75" customHeight="1" s="1134">
      <c r="A315" s="1329" t="n"/>
      <c r="B315" s="1642" t="n"/>
      <c r="C315" s="1390" t="n"/>
      <c r="D315" s="1390" t="n"/>
      <c r="E315" s="1390" t="n"/>
      <c r="F315" s="1646" t="n"/>
      <c r="G315" s="1646" t="n"/>
      <c r="H315" s="1647" t="n"/>
      <c r="I315" s="1648" t="n"/>
      <c r="J315" s="1651" t="n">
        <v>0</v>
      </c>
      <c r="K315" s="1430">
        <f>+J315*H315</f>
        <v/>
      </c>
      <c r="N315" s="1231" t="n"/>
      <c r="O315" s="1344" t="n"/>
      <c r="P315" s="1343" t="n"/>
      <c r="Q315" s="1708" t="n"/>
    </row>
    <row r="316" ht="12.75" customHeight="1" s="1134">
      <c r="A316" s="1652" t="n"/>
      <c r="B316" s="1653" t="n"/>
      <c r="C316" s="1132" t="n"/>
      <c r="D316" s="1132" t="n"/>
      <c r="E316" s="1132" t="n"/>
      <c r="F316" s="1132" t="n"/>
      <c r="G316" s="1132" t="n"/>
      <c r="H316" s="1132" t="n"/>
      <c r="I316" s="1132" t="n"/>
      <c r="J316" s="1645" t="n">
        <v>0</v>
      </c>
      <c r="K316" s="1132" t="n"/>
      <c r="N316" s="1231" t="n"/>
      <c r="O316" s="1344" t="n"/>
      <c r="P316" s="1343" t="n"/>
      <c r="Q316" s="1708" t="n"/>
    </row>
    <row r="317" ht="12.75" customHeight="1" s="1134">
      <c r="A317" s="1652" t="n"/>
      <c r="B317" s="1653" t="n"/>
      <c r="C317" s="1132" t="n"/>
      <c r="D317" s="1132" t="n"/>
      <c r="E317" s="1132" t="n"/>
      <c r="F317" s="1132" t="n"/>
      <c r="G317" s="1132" t="n"/>
      <c r="H317" s="1132" t="n"/>
      <c r="I317" s="1132" t="n"/>
      <c r="J317" s="1645" t="n">
        <v>0</v>
      </c>
      <c r="K317" s="1132" t="n"/>
      <c r="N317" s="1231" t="n"/>
      <c r="O317" s="1344" t="n"/>
      <c r="P317" s="1343" t="n"/>
      <c r="Q317" s="1708" t="n"/>
    </row>
    <row r="318" ht="12.75" customHeight="1" s="1134">
      <c r="A318" s="1652" t="n"/>
      <c r="B318" s="1653" t="n"/>
      <c r="C318" s="1132" t="n"/>
      <c r="D318" s="1132" t="n"/>
      <c r="E318" s="1132" t="n"/>
      <c r="F318" s="1132" t="n"/>
      <c r="G318" s="1132" t="n"/>
      <c r="H318" s="1132" t="n"/>
      <c r="I318" s="1132" t="n"/>
      <c r="J318" s="1645" t="n">
        <v>0</v>
      </c>
      <c r="K318" s="1132" t="n"/>
      <c r="N318" s="1231" t="n"/>
      <c r="O318" s="1344" t="n"/>
      <c r="P318" s="1343" t="n"/>
      <c r="Q318" s="1708" t="n"/>
    </row>
    <row r="319" ht="12.75" customHeight="1" s="1134">
      <c r="A319" s="1652" t="n"/>
      <c r="B319" s="1653" t="n"/>
      <c r="C319" s="1132" t="n"/>
      <c r="D319" s="1132" t="n"/>
      <c r="E319" s="1132" t="n"/>
      <c r="F319" s="1132" t="n"/>
      <c r="G319" s="1132" t="n"/>
      <c r="H319" s="1132" t="n"/>
      <c r="I319" s="1132" t="n"/>
      <c r="J319" s="1645" t="n">
        <v>0</v>
      </c>
      <c r="K319" s="1132" t="n"/>
      <c r="N319" s="1231" t="n"/>
      <c r="O319" s="1344" t="n"/>
      <c r="P319" s="1343" t="n"/>
      <c r="Q319" s="1708" t="n"/>
    </row>
    <row r="320" ht="12.75" customHeight="1" s="1134">
      <c r="A320" s="1652" t="n"/>
      <c r="B320" s="1653" t="n"/>
      <c r="C320" s="1132" t="n"/>
      <c r="D320" s="1132" t="n"/>
      <c r="E320" s="1132" t="n"/>
      <c r="F320" s="1132" t="n"/>
      <c r="G320" s="1132" t="n"/>
      <c r="H320" s="1132" t="n"/>
      <c r="I320" s="1132" t="n"/>
      <c r="J320" s="1645" t="n">
        <v>0</v>
      </c>
      <c r="K320" s="1132" t="n"/>
      <c r="N320" s="1231" t="n"/>
      <c r="O320" s="1344" t="n"/>
      <c r="P320" s="1343" t="n"/>
      <c r="Q320" s="1708" t="n"/>
    </row>
    <row r="321" ht="12.75" customHeight="1" s="1134">
      <c r="A321" s="1652" t="n"/>
      <c r="B321" s="1653" t="n"/>
      <c r="C321" s="1132" t="n"/>
      <c r="D321" s="1132" t="n"/>
      <c r="E321" s="1132" t="n"/>
      <c r="F321" s="1132" t="n"/>
      <c r="G321" s="1132" t="n"/>
      <c r="H321" s="1132" t="n"/>
      <c r="I321" s="1132" t="n"/>
      <c r="J321" s="1645" t="n">
        <v>0</v>
      </c>
      <c r="K321" s="1132" t="n"/>
      <c r="N321" s="1231" t="n"/>
      <c r="O321" s="1344" t="n"/>
      <c r="P321" s="1343" t="n"/>
      <c r="Q321" s="1708" t="n"/>
    </row>
    <row r="322" ht="12.75" customHeight="1" s="1134">
      <c r="A322" s="1652" t="n"/>
      <c r="B322" s="1653" t="n"/>
      <c r="C322" s="1132" t="n"/>
      <c r="D322" s="1132" t="n"/>
      <c r="E322" s="1132" t="n"/>
      <c r="F322" s="1132" t="n"/>
      <c r="G322" s="1132" t="n"/>
      <c r="H322" s="1132" t="n"/>
      <c r="I322" s="1132" t="n"/>
      <c r="J322" s="1645" t="n">
        <v>0</v>
      </c>
      <c r="K322" s="1132" t="n"/>
      <c r="N322" s="1231" t="n"/>
      <c r="O322" s="1344" t="n"/>
      <c r="P322" s="1343" t="n"/>
      <c r="Q322" s="1708" t="n"/>
    </row>
    <row r="323" ht="12.75" customHeight="1" s="1134">
      <c r="A323" s="1652" t="n"/>
      <c r="B323" s="1653" t="n"/>
      <c r="C323" s="1132" t="n"/>
      <c r="D323" s="1132" t="n"/>
      <c r="E323" s="1132" t="n"/>
      <c r="F323" s="1132" t="n"/>
      <c r="G323" s="1132" t="n"/>
      <c r="H323" s="1132" t="n"/>
      <c r="I323" s="1132" t="n"/>
      <c r="J323" s="1645" t="n">
        <v>0</v>
      </c>
      <c r="K323" s="1132" t="n"/>
      <c r="N323" s="1231" t="n"/>
      <c r="O323" s="1344" t="n"/>
      <c r="P323" s="1343" t="n"/>
      <c r="Q323" s="1708" t="n"/>
    </row>
    <row r="324" ht="12.75" customHeight="1" s="1134">
      <c r="A324" s="1652" t="n"/>
      <c r="B324" s="1653" t="n"/>
      <c r="C324" s="1132" t="n"/>
      <c r="D324" s="1132" t="n"/>
      <c r="E324" s="1132" t="n"/>
      <c r="F324" s="1132" t="n"/>
      <c r="G324" s="1132" t="n"/>
      <c r="H324" s="1132" t="n"/>
      <c r="I324" s="1132" t="n"/>
      <c r="J324" s="1645" t="n">
        <v>0</v>
      </c>
      <c r="K324" s="1132" t="n"/>
      <c r="N324" s="1231" t="n"/>
      <c r="O324" s="1344" t="n"/>
      <c r="P324" s="1343" t="n"/>
      <c r="Q324" s="1708" t="n"/>
    </row>
    <row r="325" ht="12.75" customHeight="1" s="1134">
      <c r="A325" s="1652" t="n"/>
      <c r="B325" s="1653" t="n"/>
      <c r="C325" s="1132" t="n"/>
      <c r="D325" s="1132" t="n"/>
      <c r="E325" s="1132" t="n"/>
      <c r="F325" s="1132" t="n"/>
      <c r="G325" s="1132" t="n"/>
      <c r="H325" s="1132" t="n"/>
      <c r="I325" s="1132" t="n"/>
      <c r="J325" s="1645" t="n">
        <v>0</v>
      </c>
      <c r="K325" s="1132" t="n"/>
      <c r="N325" s="1231" t="n"/>
      <c r="O325" s="1344" t="n"/>
      <c r="P325" s="1343" t="n"/>
      <c r="Q325" s="1708" t="n"/>
    </row>
    <row r="326" ht="12.75" customHeight="1" s="1134">
      <c r="A326" s="1652" t="n"/>
      <c r="B326" s="1653" t="n"/>
      <c r="C326" s="1132" t="n"/>
      <c r="D326" s="1132" t="n"/>
      <c r="E326" s="1132" t="n"/>
      <c r="F326" s="1132" t="n"/>
      <c r="G326" s="1132" t="n"/>
      <c r="H326" s="1132" t="n"/>
      <c r="I326" s="1132" t="n"/>
      <c r="J326" s="1645" t="n">
        <v>0</v>
      </c>
      <c r="K326" s="1132" t="n"/>
      <c r="N326" s="1231" t="n"/>
      <c r="O326" s="1344" t="n"/>
      <c r="P326" s="1343" t="n"/>
      <c r="Q326" s="1708" t="n"/>
    </row>
    <row r="327" ht="12.75" customHeight="1" s="1134">
      <c r="A327" s="1652" t="n"/>
      <c r="B327" s="1653" t="n"/>
      <c r="C327" s="1132" t="n"/>
      <c r="D327" s="1132" t="n"/>
      <c r="E327" s="1132" t="n"/>
      <c r="F327" s="1132" t="n"/>
      <c r="G327" s="1132" t="n"/>
      <c r="H327" s="1132" t="n"/>
      <c r="I327" s="1132" t="n"/>
      <c r="J327" s="1645" t="n">
        <v>0</v>
      </c>
      <c r="K327" s="1132" t="n"/>
      <c r="N327" s="1231" t="n"/>
      <c r="O327" s="1344" t="n"/>
      <c r="P327" s="1343" t="n"/>
      <c r="Q327" s="1708" t="n"/>
    </row>
    <row r="328" ht="12.75" customHeight="1" s="1134">
      <c r="A328" s="1652" t="n"/>
      <c r="B328" s="1653" t="n"/>
      <c r="C328" s="1132" t="n"/>
      <c r="D328" s="1132" t="n"/>
      <c r="E328" s="1132" t="n"/>
      <c r="F328" s="1132" t="n"/>
      <c r="G328" s="1132" t="n"/>
      <c r="H328" s="1132" t="n"/>
      <c r="I328" s="1132" t="n"/>
      <c r="J328" s="1645" t="n">
        <v>0</v>
      </c>
      <c r="K328" s="1132" t="n"/>
      <c r="N328" s="1231" t="n"/>
      <c r="O328" s="1344" t="n"/>
      <c r="P328" s="1343" t="n"/>
      <c r="Q328" s="1708" t="n"/>
    </row>
    <row r="329" ht="12.75" customHeight="1" s="1134">
      <c r="A329" s="1652" t="n"/>
      <c r="B329" s="1653" t="n"/>
      <c r="C329" s="1132" t="n"/>
      <c r="D329" s="1132" t="n"/>
      <c r="E329" s="1132" t="n"/>
      <c r="F329" s="1132" t="n"/>
      <c r="G329" s="1132" t="n"/>
      <c r="H329" s="1132" t="n"/>
      <c r="I329" s="1132" t="n"/>
      <c r="J329" s="1645" t="n">
        <v>0</v>
      </c>
      <c r="K329" s="1132" t="n"/>
      <c r="N329" s="1231" t="n"/>
      <c r="O329" s="1344" t="n"/>
      <c r="P329" s="1343" t="n"/>
      <c r="Q329" s="1708" t="n"/>
    </row>
    <row r="330" ht="12.75" customHeight="1" s="1134">
      <c r="A330" s="1652" t="n"/>
      <c r="B330" s="1653" t="n"/>
      <c r="C330" s="1132" t="n"/>
      <c r="D330" s="1132" t="n"/>
      <c r="E330" s="1132" t="n"/>
      <c r="F330" s="1132" t="n"/>
      <c r="G330" s="1132" t="n"/>
      <c r="H330" s="1132" t="n"/>
      <c r="I330" s="1132" t="n"/>
      <c r="J330" s="1645" t="n">
        <v>0</v>
      </c>
      <c r="K330" s="1132" t="n"/>
      <c r="N330" s="1231" t="n"/>
      <c r="O330" s="1344" t="n"/>
      <c r="P330" s="1343" t="n"/>
      <c r="Q330" s="1708" t="n"/>
    </row>
    <row r="331" ht="12.75" customHeight="1" s="1134">
      <c r="A331" s="1652" t="n"/>
      <c r="B331" s="1653" t="n"/>
      <c r="C331" s="1132" t="n"/>
      <c r="D331" s="1132" t="n"/>
      <c r="E331" s="1132" t="n"/>
      <c r="F331" s="1132" t="n"/>
      <c r="G331" s="1132" t="n"/>
      <c r="H331" s="1132" t="n"/>
      <c r="I331" s="1132" t="n"/>
      <c r="J331" s="1645" t="n">
        <v>0</v>
      </c>
      <c r="K331" s="1132" t="n"/>
      <c r="N331" s="1231" t="n"/>
      <c r="O331" s="1344" t="n"/>
      <c r="P331" s="1343" t="n"/>
      <c r="Q331" s="1708" t="n"/>
    </row>
    <row r="332" ht="12.75" customHeight="1" s="1134">
      <c r="A332" s="1652" t="n"/>
      <c r="B332" s="1653" t="n"/>
      <c r="C332" s="1132" t="n"/>
      <c r="D332" s="1132" t="n"/>
      <c r="E332" s="1132" t="n"/>
      <c r="F332" s="1132" t="n"/>
      <c r="G332" s="1132" t="n"/>
      <c r="H332" s="1132" t="n"/>
      <c r="I332" s="1132" t="n"/>
      <c r="J332" s="1645" t="n">
        <v>0</v>
      </c>
      <c r="K332" s="1132" t="n"/>
      <c r="N332" s="1231" t="n"/>
      <c r="O332" s="1344" t="n"/>
      <c r="P332" s="1343" t="n"/>
      <c r="Q332" s="1708" t="n"/>
    </row>
    <row r="333" ht="12.75" customHeight="1" s="1134">
      <c r="A333" s="1652" t="n"/>
      <c r="B333" s="1653" t="n"/>
      <c r="C333" s="1132" t="n"/>
      <c r="D333" s="1132" t="n"/>
      <c r="E333" s="1132" t="n"/>
      <c r="F333" s="1132" t="n"/>
      <c r="G333" s="1132" t="n"/>
      <c r="H333" s="1132" t="n"/>
      <c r="I333" s="1132" t="n"/>
      <c r="J333" s="1645" t="n">
        <v>0</v>
      </c>
      <c r="K333" s="1132" t="n"/>
      <c r="N333" s="1231" t="n"/>
      <c r="O333" s="1344" t="n"/>
      <c r="P333" s="1343" t="n"/>
      <c r="Q333" s="1708" t="n"/>
    </row>
    <row r="334" ht="12.75" customHeight="1" s="1134">
      <c r="A334" s="1652" t="n"/>
      <c r="B334" s="1653" t="n"/>
      <c r="C334" s="1132" t="n"/>
      <c r="D334" s="1132" t="n"/>
      <c r="E334" s="1132" t="n"/>
      <c r="F334" s="1132" t="n"/>
      <c r="G334" s="1132" t="n"/>
      <c r="H334" s="1132" t="n"/>
      <c r="I334" s="1132" t="n"/>
      <c r="J334" s="1645" t="n">
        <v>0</v>
      </c>
      <c r="K334" s="1132" t="n"/>
      <c r="N334" s="1231" t="n"/>
      <c r="O334" s="1344" t="n"/>
      <c r="P334" s="1343" t="n"/>
      <c r="Q334" s="1708" t="n"/>
    </row>
    <row r="335" ht="12.75" customHeight="1" s="1134">
      <c r="A335" s="1652" t="n"/>
      <c r="B335" s="1653" t="n"/>
      <c r="C335" s="1132" t="n"/>
      <c r="D335" s="1132" t="n"/>
      <c r="E335" s="1132" t="n"/>
      <c r="F335" s="1132" t="n"/>
      <c r="G335" s="1132" t="n"/>
      <c r="H335" s="1132" t="n"/>
      <c r="I335" s="1132" t="n"/>
      <c r="J335" s="1645" t="n">
        <v>0</v>
      </c>
      <c r="K335" s="1132" t="n"/>
      <c r="N335" s="1231" t="n"/>
      <c r="O335" s="1344" t="n"/>
      <c r="P335" s="1343" t="n"/>
      <c r="Q335" s="1708" t="n"/>
    </row>
    <row r="336" ht="12.75" customHeight="1" s="1134">
      <c r="A336" s="1132" t="n"/>
      <c r="B336" s="1214" t="n"/>
      <c r="C336" s="1132" t="n"/>
      <c r="D336" s="1132" t="n"/>
      <c r="E336" s="1132" t="n"/>
      <c r="F336" s="1132" t="n"/>
      <c r="G336" s="1132" t="n"/>
      <c r="H336" s="1132" t="n"/>
      <c r="I336" s="1132" t="n"/>
      <c r="J336" s="1645" t="n">
        <v>0</v>
      </c>
      <c r="K336" s="1132" t="n"/>
      <c r="N336" s="1231" t="n"/>
      <c r="O336" s="1344" t="n"/>
      <c r="P336" s="1343" t="n"/>
      <c r="Q336" s="1708" t="n"/>
    </row>
    <row r="337" ht="12.75" customHeight="1" s="1134">
      <c r="F337" s="1705" t="inlineStr">
        <is>
          <t>TOTAL - LEAD PREP</t>
        </is>
      </c>
      <c r="G337" s="1589" t="n"/>
      <c r="H337" s="1589" t="n"/>
      <c r="I337" s="1653" t="n"/>
      <c r="J337" s="1706" t="n">
        <v>0</v>
      </c>
      <c r="N337" s="1231" t="n"/>
      <c r="O337" s="1344" t="n"/>
      <c r="P337" s="1343" t="n"/>
      <c r="Q337" s="1708" t="n"/>
    </row>
    <row r="338" ht="30" customHeight="1" s="1134">
      <c r="A338" s="1382" t="n"/>
      <c r="I338" s="1653" t="n"/>
      <c r="J338" s="1706" t="n">
        <v>0</v>
      </c>
      <c r="K338" s="1707">
        <f>SUMIF(I3:I336,"LP",K3:K336)</f>
        <v/>
      </c>
      <c r="N338" s="1231" t="n"/>
      <c r="O338" s="1344" t="n"/>
      <c r="P338" s="1343" t="n"/>
      <c r="Q338" s="1708" t="n"/>
    </row>
    <row r="339" ht="13.5" customHeight="1" s="1134">
      <c r="J339" s="1706" t="n">
        <v>0</v>
      </c>
      <c r="N339" s="1231" t="n"/>
      <c r="O339" s="1344" t="n"/>
      <c r="P339" s="1343" t="n"/>
      <c r="Q339" s="1708" t="n"/>
    </row>
    <row r="340" ht="33" customHeight="1" s="1134">
      <c r="F340" s="1709" t="inlineStr">
        <is>
          <t>TOTAL FINAL ASSEMBLY</t>
        </is>
      </c>
      <c r="I340" s="1653" t="n"/>
      <c r="J340" s="1706" t="n">
        <v>0</v>
      </c>
      <c r="K340" s="1707">
        <f>SUMIF(I3:I336,"FA",K3:K336)</f>
        <v/>
      </c>
    </row>
    <row r="341" ht="21.75" customHeight="1" s="1134">
      <c r="I341" s="1653" t="n"/>
      <c r="J341" s="1706" t="n">
        <v>0</v>
      </c>
    </row>
    <row r="342" ht="12.75" customHeight="1" s="1134">
      <c r="B342" s="1132" t="n"/>
      <c r="J342" s="1706" t="n">
        <v>0</v>
      </c>
    </row>
    <row r="343" ht="12.75" customHeight="1" s="1134">
      <c r="B343" s="1132" t="n"/>
      <c r="J343" s="1706" t="n">
        <v>0</v>
      </c>
    </row>
    <row r="344" ht="12.75" customHeight="1" s="1134">
      <c r="B344" s="1132" t="n"/>
      <c r="J344" s="1706" t="n">
        <v>0</v>
      </c>
    </row>
    <row r="345" ht="12.75" customHeight="1" s="1134">
      <c r="B345" s="1132" t="n"/>
      <c r="J345" s="1706" t="n">
        <v>0</v>
      </c>
    </row>
    <row r="346" ht="12.75" customHeight="1" s="1134">
      <c r="B346" s="1132" t="n"/>
      <c r="J346" s="1706" t="n">
        <v>0</v>
      </c>
    </row>
    <row r="347" ht="12.75" customHeight="1" s="1134">
      <c r="B347" s="1132" t="n"/>
      <c r="J347" s="1706" t="n">
        <v>0</v>
      </c>
    </row>
  </sheetData>
  <mergeCells count="113">
    <mergeCell ref="E274:G274"/>
    <mergeCell ref="C92:C95"/>
    <mergeCell ref="B101:B102"/>
    <mergeCell ref="A43:A45"/>
    <mergeCell ref="C188:C198"/>
    <mergeCell ref="C211:C212"/>
    <mergeCell ref="K208:K213"/>
    <mergeCell ref="M208:M213"/>
    <mergeCell ref="A75:A97"/>
    <mergeCell ref="A235:A238"/>
    <mergeCell ref="A203:A204"/>
    <mergeCell ref="C82:C85"/>
    <mergeCell ref="A300:A315"/>
    <mergeCell ref="A270:A271"/>
    <mergeCell ref="A284:A299"/>
    <mergeCell ref="E278:G278"/>
    <mergeCell ref="C284:C299"/>
    <mergeCell ref="L188:L202"/>
    <mergeCell ref="A111:A112"/>
    <mergeCell ref="C111:C112"/>
    <mergeCell ref="B159:B160"/>
    <mergeCell ref="A151:A153"/>
    <mergeCell ref="B128:B130"/>
    <mergeCell ref="A119:A120"/>
    <mergeCell ref="B17:B18"/>
    <mergeCell ref="B33:B35"/>
    <mergeCell ref="A262:A266"/>
    <mergeCell ref="A154:A155"/>
    <mergeCell ref="C148:C149"/>
    <mergeCell ref="E148:E149"/>
    <mergeCell ref="G148:G149"/>
    <mergeCell ref="C129:C130"/>
    <mergeCell ref="A208:A213"/>
    <mergeCell ref="A21:A22"/>
    <mergeCell ref="C203:C204"/>
    <mergeCell ref="B75:B77"/>
    <mergeCell ref="A17:A18"/>
    <mergeCell ref="I148:I149"/>
    <mergeCell ref="E217:G217"/>
    <mergeCell ref="C17:C18"/>
    <mergeCell ref="K148:K149"/>
    <mergeCell ref="E277:G277"/>
    <mergeCell ref="A50:A61"/>
    <mergeCell ref="C50:C61"/>
    <mergeCell ref="A181:A182"/>
    <mergeCell ref="A274:A275"/>
    <mergeCell ref="A19:A20"/>
    <mergeCell ref="B151:B153"/>
    <mergeCell ref="C19:C20"/>
    <mergeCell ref="A171:A172"/>
    <mergeCell ref="A276:A277"/>
    <mergeCell ref="C3:C4"/>
    <mergeCell ref="D159:D160"/>
    <mergeCell ref="E269:G269"/>
    <mergeCell ref="B29:B31"/>
    <mergeCell ref="C155:D155"/>
    <mergeCell ref="E259:G259"/>
    <mergeCell ref="C101:C102"/>
    <mergeCell ref="I208:I213"/>
    <mergeCell ref="E160:F160"/>
    <mergeCell ref="H148:H149"/>
    <mergeCell ref="E276:G276"/>
    <mergeCell ref="J148:J149"/>
    <mergeCell ref="C173:C179"/>
    <mergeCell ref="E270:G270"/>
    <mergeCell ref="A1:K1"/>
    <mergeCell ref="L208:L213"/>
    <mergeCell ref="E262:G263"/>
    <mergeCell ref="B82:B85"/>
    <mergeCell ref="B176:B179"/>
    <mergeCell ref="A36:A38"/>
    <mergeCell ref="E218:G218"/>
    <mergeCell ref="B171:B172"/>
    <mergeCell ref="A128:A130"/>
    <mergeCell ref="C29:C31"/>
    <mergeCell ref="A159:A160"/>
    <mergeCell ref="E219:G219"/>
    <mergeCell ref="B203:B204"/>
    <mergeCell ref="A98:A99"/>
    <mergeCell ref="C154:D154"/>
    <mergeCell ref="F337:H338"/>
    <mergeCell ref="D273:G273"/>
    <mergeCell ref="D284:D299"/>
    <mergeCell ref="C235:C238"/>
    <mergeCell ref="A147:A149"/>
    <mergeCell ref="M188:M202"/>
    <mergeCell ref="C300:C315"/>
    <mergeCell ref="E300:E315"/>
    <mergeCell ref="B235:B238"/>
    <mergeCell ref="E275:G275"/>
    <mergeCell ref="E284:E299"/>
    <mergeCell ref="A3:A4"/>
    <mergeCell ref="A29:A35"/>
    <mergeCell ref="B50:B61"/>
    <mergeCell ref="C33:C35"/>
    <mergeCell ref="B19:B20"/>
    <mergeCell ref="A101:A102"/>
    <mergeCell ref="C151:C153"/>
    <mergeCell ref="A163:A168"/>
    <mergeCell ref="A188:A202"/>
    <mergeCell ref="C159:C160"/>
    <mergeCell ref="B154:B155"/>
    <mergeCell ref="D148:D149"/>
    <mergeCell ref="F148:F149"/>
    <mergeCell ref="A173:A179"/>
    <mergeCell ref="H208:H213"/>
    <mergeCell ref="J208:J213"/>
    <mergeCell ref="F340:H341"/>
    <mergeCell ref="D300:D315"/>
    <mergeCell ref="E264:G266"/>
    <mergeCell ref="E159:F159"/>
    <mergeCell ref="A260:A261"/>
    <mergeCell ref="A114:A115"/>
  </mergeCells>
  <conditionalFormatting sqref="I300:I315">
    <cfRule type="expression" rank="0" priority="2" equalAverage="0" aboveAverage="0" dxfId="19" text="" percent="0" bottom="0">
      <formula>AND($J300&gt;0,$I300=0)</formula>
    </cfRule>
  </conditionalFormatting>
  <conditionalFormatting sqref="I284:I299">
    <cfRule type="expression" rank="0" priority="3" equalAverage="0" aboveAverage="0" dxfId="19" text="" percent="0" bottom="0">
      <formula>AND($J284&gt;0,$I284=0)</formula>
    </cfRule>
  </conditionalFormatting>
  <conditionalFormatting sqref="I24">
    <cfRule type="expression" rank="0" priority="4" equalAverage="0" aboveAverage="0" dxfId="19" text="" percent="0" bottom="0">
      <formula>AND($J24&gt;0,$I24=0)</formula>
    </cfRule>
  </conditionalFormatting>
  <conditionalFormatting sqref="I281">
    <cfRule type="expression" rank="0" priority="5" equalAverage="0" aboveAverage="0" dxfId="19" text="" percent="0" bottom="0">
      <formula>AND($J281&gt;0,$I281=0)</formula>
    </cfRule>
  </conditionalFormatting>
  <conditionalFormatting sqref="I218:I223">
    <cfRule type="expression" rank="0" priority="6" equalAverage="0" aboveAverage="0" dxfId="19" text="" percent="0" bottom="0">
      <formula>AND($J218&gt;0,$I218=0)</formula>
    </cfRule>
  </conditionalFormatting>
  <conditionalFormatting sqref="I3:I14 I17:I23 I25:I38 I40:I47 I50:I65 I68:I72 I75:I109 I111:I112 I114:I116 I119:I120 I123:I125 I128:I145 I147 I150:I161 I163:I186 I188:I216 I225:I227 I229:I231 I234:I241 I244:I258 I260:I268 I270:I271 I274:I279">
    <cfRule type="expression" rank="0" priority="7" equalAverage="0" aboveAverage="0" dxfId="19" text="" percent="0" bottom="0">
      <formula>AND($J3&gt;0,$I3=0)</formula>
    </cfRule>
  </conditionalFormatting>
  <conditionalFormatting sqref="I148">
    <cfRule type="expression" rank="0" priority="8" equalAverage="0" aboveAverage="0" dxfId="19" text="" percent="0" bottom="0">
      <formula>AND($J149&gt;0,$I148=0)</formula>
    </cfRule>
  </conditionalFormatting>
  <dataValidations count="1">
    <dataValidation sqref="I3:I14 I17:I38 I40:I47 I50:I65 I68:I72 I75:I109 I111:I112 I114:I116 I119:I120 I123:I125 I128:I145 I147:I148 I150:I161 I163:I186 I188:I216 I218:I223 I225:I227 I229:I231 I234:I241 I244:I258 I260:I268 I270:I271 I274:I279 I281 I284:I315" showDropDown="0" showInputMessage="1" showErrorMessage="1" allowBlank="1" type="list" errorStyle="stop" operator="between">
      <formula1>$L$3:$L$4</formula1>
      <formula2>0</formula2>
    </dataValidation>
  </dataValidations>
  <printOptions horizontalCentered="0" verticalCentered="0" headings="0" gridLines="0" gridLinesSet="1"/>
  <pageMargins left="0.490277777777778" right="0.6402777777777779" top="0.55" bottom="0.540277777777778" header="0.511811023622047" footer="0.511811023622047"/>
  <pageSetup orientation="portrait" paperSize="9" scale="56" fitToHeight="1" fitToWidth="1" pageOrder="downThenOver" blackAndWhite="0" draft="0" horizontalDpi="300" verticalDpi="300" copies="1"/>
  <rowBreaks count="3" manualBreakCount="3">
    <brk id="73" min="0" max="16383" man="1"/>
    <brk id="117" min="0" max="16383" man="1"/>
    <brk id="186" min="0" max="16383" man="1"/>
  </rowBreaks>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Q121"/>
  <sheetViews>
    <sheetView showFormulas="0" showGridLines="1" showRowColHeaders="1" showZeros="1" rightToLeft="0" tabSelected="0" showOutlineSymbols="1" defaultGridColor="1" view="normal" topLeftCell="A61" colorId="64" zoomScale="85" zoomScaleNormal="85" zoomScalePageLayoutView="100" workbookViewId="0">
      <selection pane="topLeft" activeCell="K11" activeCellId="0" sqref="K11"/>
    </sheetView>
  </sheetViews>
  <sheetFormatPr baseColWidth="8" defaultColWidth="9.3359375" defaultRowHeight="15" customHeight="0" zeroHeight="0" outlineLevelRow="0"/>
  <cols>
    <col width="42.44" customWidth="1" style="1653" min="1" max="1"/>
    <col width="28.33" customWidth="1" style="1653" min="2" max="2"/>
    <col width="22.67" customWidth="1" style="1653" min="3" max="3"/>
    <col width="20.66" customWidth="1" style="1653" min="4" max="4"/>
    <col width="16.11" customWidth="1" style="1653" min="5" max="5"/>
    <col width="12.88" customWidth="1" style="1653" min="6" max="6"/>
    <col width="13.34" customWidth="1" style="1653" min="7" max="7"/>
    <col width="12.67" customWidth="1" style="1388" min="8" max="8"/>
    <col width="10.56" customWidth="1" style="1382" min="9" max="9"/>
    <col width="9.33" customWidth="1" style="1382" min="10" max="12"/>
    <col width="15.33" customWidth="1" style="1382" min="13" max="13"/>
    <col width="19.33" customWidth="1" style="1708" min="14" max="14"/>
    <col width="28.67" customWidth="1" style="1382" min="15" max="15"/>
    <col width="9.33" customWidth="1" style="1382" min="16" max="16"/>
    <col width="13.34" customWidth="1" style="1715" min="17" max="17"/>
    <col width="9.33" customWidth="1" style="1382" min="18" max="16384"/>
  </cols>
  <sheetData>
    <row r="1" ht="23.25" customFormat="1" customHeight="1" s="1652">
      <c r="A1" s="1716" t="inlineStr">
        <is>
          <t>HIGH VOLTAGE HARNESS - COAXIAL &amp; MULITICORE CABLES</t>
        </is>
      </c>
      <c r="B1" s="1390" t="n"/>
      <c r="C1" s="1390" t="n"/>
      <c r="D1" s="1390" t="n"/>
      <c r="E1" s="1390" t="n"/>
      <c r="F1" s="1390" t="n"/>
      <c r="G1" s="1390" t="n"/>
      <c r="H1" s="1390" t="n"/>
      <c r="I1" s="1390" t="n"/>
      <c r="J1" s="1390" t="n"/>
      <c r="K1" s="1390" t="n"/>
      <c r="M1" s="1652" t="n"/>
      <c r="N1" s="1708" t="n"/>
      <c r="O1" s="1652" t="n"/>
      <c r="Q1" s="1717" t="n"/>
    </row>
    <row r="2" ht="38.25" customFormat="1" customHeight="1" s="1652">
      <c r="A2" s="1718" t="inlineStr">
        <is>
          <t xml:space="preserve">NOTE FOR EU FLOW 3:
Standard times by connector Supplier are available under the link:
</t>
        </is>
      </c>
      <c r="B2" s="1719" t="n"/>
      <c r="C2" s="1719" t="n"/>
      <c r="D2" s="1719" t="n"/>
      <c r="E2" s="1720" t="inlineStr">
        <is>
          <t>http://p04.na.delphiauto.net/04/102/cme/IndEng/GCSD/Shared%20Documents/Forms/AllItems.aspx?RootFolder=%2F04%2F102%2Fcme%2FIndEng%2FGCSD%2FShared%20Documents%2FGCSD%20Catalogue%2FHV%20catalogue%20by%20connector&amp;InitialTabId=Ribbon%2EDocument&amp;VisibilityContext=WSSTabPersistence</t>
        </is>
      </c>
      <c r="F2" s="1719" t="n"/>
      <c r="G2" s="1719" t="n"/>
      <c r="H2" s="1716" t="n"/>
      <c r="I2" s="1716" t="n"/>
      <c r="J2" s="1716" t="n"/>
      <c r="K2" s="1716" t="n"/>
      <c r="M2" s="1652" t="n"/>
      <c r="N2" s="1708" t="n"/>
      <c r="O2" s="1652" t="n"/>
      <c r="Q2" s="1717" t="n"/>
    </row>
    <row r="3" ht="15" customFormat="1" customHeight="1" s="1652">
      <c r="A3" s="1721" t="inlineStr">
        <is>
          <t>CUTTING</t>
        </is>
      </c>
      <c r="B3" s="1719" t="n"/>
      <c r="C3" s="1719" t="n"/>
      <c r="D3" s="1719" t="n"/>
      <c r="E3" s="1719" t="n"/>
      <c r="F3" s="1719" t="n"/>
      <c r="G3" s="1719" t="n"/>
      <c r="H3" s="1719" t="n"/>
      <c r="I3" s="1719" t="n"/>
      <c r="J3" s="1719" t="n"/>
      <c r="K3" s="1183" t="n"/>
      <c r="M3" s="1652" t="n"/>
      <c r="N3" s="1708" t="n"/>
      <c r="O3" s="1652" t="n"/>
      <c r="Q3" s="1717" t="n"/>
    </row>
    <row r="4" ht="31.5" customHeight="1" s="1134">
      <c r="A4" s="1216" t="inlineStr">
        <is>
          <t>BUILD CATEGORY</t>
        </is>
      </c>
      <c r="B4" s="1217" t="inlineStr">
        <is>
          <t>ACTIVITY DESCRIPTION</t>
        </is>
      </c>
      <c r="C4" s="1217" t="inlineStr">
        <is>
          <t xml:space="preserve">Standard Description </t>
        </is>
      </c>
      <c r="D4" s="1217" t="inlineStr">
        <is>
          <t>Clock start</t>
        </is>
      </c>
      <c r="E4" s="1636" t="inlineStr">
        <is>
          <t>Clock stop</t>
        </is>
      </c>
      <c r="F4" s="1636" t="n"/>
      <c r="G4" s="1636" t="n"/>
      <c r="H4" s="1392" t="inlineStr">
        <is>
          <t>GLOBAL SEC/PC</t>
        </is>
      </c>
      <c r="I4" s="1722" t="inlineStr">
        <is>
          <t>UNIT</t>
        </is>
      </c>
      <c r="J4" s="1723" t="inlineStr">
        <is>
          <t>Qty</t>
        </is>
      </c>
      <c r="K4" s="1724" t="inlineStr">
        <is>
          <t>Total Time</t>
        </is>
      </c>
      <c r="M4" s="1652" t="n"/>
    </row>
    <row r="5" ht="48.5" customHeight="1" s="1134">
      <c r="A5" s="1725" t="inlineStr">
        <is>
          <t>for cables cutting use standards for heavy gage (cutting sheet, Schleuniger MS 9600 standards)</t>
        </is>
      </c>
      <c r="B5" s="1726" t="n"/>
      <c r="C5" s="1727" t="n"/>
      <c r="D5" s="1727" t="n"/>
      <c r="E5" s="1728" t="n"/>
      <c r="F5" s="1729" t="n"/>
      <c r="G5" s="1729" t="n"/>
      <c r="H5" s="1726" t="n"/>
      <c r="I5" s="1726" t="n"/>
      <c r="J5" s="1726" t="n"/>
      <c r="K5" s="1730" t="n"/>
      <c r="M5" s="1652" t="n"/>
    </row>
    <row r="6" ht="79.84999999999999" customHeight="1" s="1134">
      <c r="A6" s="1725" t="inlineStr">
        <is>
          <t>for tubes cutting use standards from cutting sheet (PVC Tube/ Sleeve Cutting or convoluted tube cutting - depending on tube type)</t>
        </is>
      </c>
      <c r="B6" s="1726" t="n"/>
      <c r="C6" s="1727" t="n"/>
      <c r="D6" s="1727" t="n"/>
      <c r="E6" s="1728" t="n"/>
      <c r="F6" s="1729" t="n"/>
      <c r="G6" s="1729" t="n"/>
      <c r="H6" s="1726" t="n"/>
      <c r="I6" s="1726" t="n"/>
      <c r="J6" s="1726" t="n"/>
      <c r="K6" s="1228" t="n"/>
      <c r="M6" s="1652" t="n"/>
    </row>
    <row r="7" ht="17.35" customHeight="1" s="1134">
      <c r="A7" s="1731" t="n"/>
      <c r="B7" s="1732" t="n"/>
      <c r="C7" s="1733" t="n"/>
      <c r="D7" s="1733" t="n"/>
      <c r="E7" s="1734" t="n"/>
      <c r="F7" s="1735" t="n"/>
      <c r="G7" s="1735" t="n"/>
      <c r="H7" s="1732" t="n"/>
      <c r="I7" s="1732" t="n"/>
      <c r="J7" s="1732" t="n"/>
      <c r="K7" s="1248" t="n"/>
      <c r="M7" s="1652" t="n"/>
    </row>
    <row r="8" ht="15" customHeight="1" s="1134">
      <c r="A8" s="1736" t="inlineStr">
        <is>
          <t>LEAD PREP</t>
        </is>
      </c>
      <c r="B8" s="1589" t="n"/>
      <c r="C8" s="1589" t="n"/>
      <c r="D8" s="1589" t="n"/>
      <c r="E8" s="1589" t="n"/>
      <c r="F8" s="1589" t="n"/>
      <c r="G8" s="1589" t="n"/>
      <c r="H8" s="1589" t="n"/>
      <c r="I8" s="1589" t="n"/>
      <c r="J8" s="1589" t="n"/>
      <c r="K8" s="1140" t="n"/>
      <c r="M8" s="1652" t="n"/>
    </row>
    <row r="9" ht="11.25" customHeight="1" s="1134">
      <c r="A9" s="1737" t="n"/>
      <c r="B9" s="1618" t="n"/>
      <c r="C9" s="1618" t="n"/>
      <c r="D9" s="1618" t="n"/>
      <c r="E9" s="1618" t="n"/>
      <c r="F9" s="1618" t="n"/>
      <c r="G9" s="1618" t="n"/>
      <c r="H9" s="1618" t="n"/>
      <c r="I9" s="1618" t="n"/>
      <c r="J9" s="1618" t="n"/>
      <c r="K9" s="1738" t="n"/>
      <c r="M9" s="1652" t="n"/>
    </row>
    <row r="10" ht="26.85" customHeight="1" s="1134">
      <c r="A10" s="1216" t="inlineStr">
        <is>
          <t>OPERATION</t>
        </is>
      </c>
      <c r="B10" s="1217" t="inlineStr">
        <is>
          <t>ACTIVITY DESCRIPTION</t>
        </is>
      </c>
      <c r="C10" s="1217" t="inlineStr">
        <is>
          <t>Machine Vendor</t>
        </is>
      </c>
      <c r="D10" s="1217" t="inlineStr">
        <is>
          <t>Clock start</t>
        </is>
      </c>
      <c r="E10" s="1636" t="inlineStr">
        <is>
          <t>Clock stop</t>
        </is>
      </c>
      <c r="F10" s="1217" t="inlineStr">
        <is>
          <t>Min Length</t>
        </is>
      </c>
      <c r="G10" s="1217" t="inlineStr">
        <is>
          <t>Max Length</t>
        </is>
      </c>
      <c r="H10" s="1392" t="inlineStr">
        <is>
          <t>GLOBAL SEC/PC</t>
        </is>
      </c>
      <c r="I10" s="1722" t="inlineStr">
        <is>
          <t>UNIT</t>
        </is>
      </c>
      <c r="J10" s="1723" t="inlineStr">
        <is>
          <t>Qty</t>
        </is>
      </c>
      <c r="K10" s="1724" t="inlineStr">
        <is>
          <t>Total Time</t>
        </is>
      </c>
      <c r="M10" s="1652" t="n"/>
    </row>
    <row r="11" ht="97.5" customHeight="1" s="1134">
      <c r="A11" s="1739" t="inlineStr">
        <is>
          <t>Apply loose piece materials over wire</t>
        </is>
      </c>
      <c r="B11" s="1234" t="inlineStr">
        <is>
          <t>Pick up and apply loose materials (covers / housings / spacers / metal rings /shrinking tubes /metalic shields / protections / ferrule) over cable or inner housing and fix with tie / stopper</t>
        </is>
      </c>
      <c r="C11" s="1234" t="inlineStr">
        <is>
          <t xml:space="preserve">manual work </t>
        </is>
      </c>
      <c r="D11" s="1234" t="inlineStr">
        <is>
          <t xml:space="preserve">pick up the piece </t>
        </is>
      </c>
      <c r="E11" s="1234" t="inlineStr">
        <is>
          <t>put cable away</t>
        </is>
      </c>
      <c r="F11" s="1234" t="n"/>
      <c r="G11" s="1234" t="n"/>
      <c r="H11" s="1740" t="n">
        <v>4.53</v>
      </c>
      <c r="I11" s="1741" t="inlineStr">
        <is>
          <t>pc</t>
        </is>
      </c>
      <c r="J11" s="1252" t="n"/>
      <c r="K11" s="1742" t="n">
        <v>4.53</v>
      </c>
      <c r="L11" s="1382" t="inlineStr">
        <is>
          <t>Manual</t>
        </is>
      </c>
      <c r="M11" s="1652" t="n"/>
      <c r="P11" s="1388" t="n"/>
    </row>
    <row r="12" ht="28.5" customHeight="1" s="1134">
      <c r="A12" s="1739" t="inlineStr">
        <is>
          <t>Apply sealing elements over wire</t>
        </is>
      </c>
      <c r="B12" s="1234" t="inlineStr">
        <is>
          <t xml:space="preserve">seal + collet / grommet over cable </t>
        </is>
      </c>
      <c r="C12" s="1234" t="inlineStr">
        <is>
          <t xml:space="preserve">hand tool  </t>
        </is>
      </c>
      <c r="D12" s="1234" t="inlineStr">
        <is>
          <t xml:space="preserve">pick up the piece </t>
        </is>
      </c>
      <c r="E12" s="1234" t="inlineStr">
        <is>
          <t>put cable away</t>
        </is>
      </c>
      <c r="F12" s="1234" t="n"/>
      <c r="G12" s="1234" t="n"/>
      <c r="H12" s="1740" t="n">
        <v>10</v>
      </c>
      <c r="I12" s="1741" t="inlineStr">
        <is>
          <t>pc</t>
        </is>
      </c>
      <c r="J12" s="1252" t="n"/>
      <c r="K12" s="1742" t="n">
        <v>10</v>
      </c>
      <c r="L12" s="1382" t="inlineStr">
        <is>
          <t>Manual</t>
        </is>
      </c>
      <c r="M12" s="1652" t="n"/>
      <c r="P12" s="1388" t="n"/>
    </row>
    <row r="13" ht="30" customHeight="1" s="1134">
      <c r="A13" s="1297" t="n"/>
      <c r="B13" s="1234" t="inlineStr">
        <is>
          <t>apply and close segger</t>
        </is>
      </c>
      <c r="C13" s="1234" t="inlineStr">
        <is>
          <t xml:space="preserve">hand tool </t>
        </is>
      </c>
      <c r="D13" s="1234" t="inlineStr">
        <is>
          <t xml:space="preserve">pick up the piece </t>
        </is>
      </c>
      <c r="E13" s="1234" t="inlineStr">
        <is>
          <t>put cable away</t>
        </is>
      </c>
      <c r="F13" s="1234" t="n"/>
      <c r="G13" s="1234" t="n"/>
      <c r="H13" s="1740" t="n">
        <v>17.4</v>
      </c>
      <c r="I13" s="1741" t="inlineStr">
        <is>
          <t>pc</t>
        </is>
      </c>
      <c r="J13" s="1252" t="n"/>
      <c r="K13" s="1742" t="n">
        <v>17.4</v>
      </c>
      <c r="L13" s="1382" t="inlineStr">
        <is>
          <t>Manual</t>
        </is>
      </c>
      <c r="M13" s="1652" t="n"/>
      <c r="P13" s="1388" t="n"/>
    </row>
    <row r="14" ht="30" customHeight="1" s="1134">
      <c r="A14" s="1545" t="n"/>
      <c r="B14" s="1234" t="inlineStr">
        <is>
          <t>gripper / 2 piece cover to the seal</t>
        </is>
      </c>
      <c r="C14" s="1234" t="inlineStr">
        <is>
          <t>manual work</t>
        </is>
      </c>
      <c r="D14" s="1234" t="inlineStr">
        <is>
          <t xml:space="preserve">pick up the piece </t>
        </is>
      </c>
      <c r="E14" s="1234" t="inlineStr">
        <is>
          <t>put cable away</t>
        </is>
      </c>
      <c r="F14" s="1234" t="n"/>
      <c r="G14" s="1234" t="n"/>
      <c r="H14" s="1740" t="n">
        <v>17.4</v>
      </c>
      <c r="I14" s="1741" t="inlineStr">
        <is>
          <t>pc</t>
        </is>
      </c>
      <c r="J14" s="1252" t="n"/>
      <c r="K14" s="1742" t="n">
        <v>17.4</v>
      </c>
      <c r="L14" s="1382" t="inlineStr">
        <is>
          <t>Manual</t>
        </is>
      </c>
      <c r="M14" s="1652" t="n"/>
      <c r="P14" s="1388" t="n"/>
    </row>
    <row r="15" ht="30" customHeight="1" s="1134">
      <c r="A15" s="1739" t="inlineStr">
        <is>
          <t>Apply block seal</t>
        </is>
      </c>
      <c r="B15" s="1234" t="inlineStr">
        <is>
          <t>Pass throug wires into block seal</t>
        </is>
      </c>
      <c r="C15" s="1234" t="inlineStr">
        <is>
          <t>manual</t>
        </is>
      </c>
      <c r="D15" s="1234" t="inlineStr">
        <is>
          <t xml:space="preserve">pick up the cable </t>
        </is>
      </c>
      <c r="E15" s="1234" t="inlineStr">
        <is>
          <t>put cable away</t>
        </is>
      </c>
      <c r="F15" s="1234" t="inlineStr">
        <is>
          <t>0.5 mm²</t>
        </is>
      </c>
      <c r="G15" s="1234" t="inlineStr">
        <is>
          <t>0.5 mm²</t>
        </is>
      </c>
      <c r="H15" s="1740" t="n">
        <v>23</v>
      </c>
      <c r="I15" s="1741" t="inlineStr">
        <is>
          <t>pc</t>
        </is>
      </c>
      <c r="J15" s="1252" t="n"/>
      <c r="K15" s="1742" t="n">
        <v>23</v>
      </c>
      <c r="L15" s="1382" t="inlineStr">
        <is>
          <t>Manual</t>
        </is>
      </c>
      <c r="M15" s="1652" t="n"/>
      <c r="P15" s="1388" t="n"/>
    </row>
    <row r="16" ht="44.25" customFormat="1" customHeight="1" s="1382">
      <c r="A16" s="1545" t="n"/>
      <c r="B16" s="1406" t="n"/>
      <c r="C16" s="1406" t="n"/>
      <c r="D16" s="1406" t="n"/>
      <c r="E16" s="1406" t="n"/>
      <c r="F16" s="1234" t="inlineStr">
        <is>
          <t>2.5 mm²</t>
        </is>
      </c>
      <c r="G16" s="1234" t="inlineStr">
        <is>
          <t>2.5 mm²</t>
        </is>
      </c>
      <c r="H16" s="1740" t="n">
        <v>7</v>
      </c>
      <c r="I16" s="1741" t="inlineStr">
        <is>
          <t>pc</t>
        </is>
      </c>
      <c r="J16" s="1252" t="n"/>
      <c r="K16" s="1742" t="n">
        <v>7</v>
      </c>
      <c r="L16" s="1382" t="inlineStr">
        <is>
          <t>Manual</t>
        </is>
      </c>
      <c r="M16" s="1652" t="n"/>
      <c r="N16" s="1708" t="n"/>
      <c r="P16" s="1388" t="n"/>
      <c r="Q16" s="1715" t="n"/>
    </row>
    <row r="17" ht="44.25" customFormat="1" customHeight="1" s="1382">
      <c r="A17" s="1739" t="inlineStr">
        <is>
          <t>Take out outer jacket manually</t>
        </is>
      </c>
      <c r="B17" s="1234" t="inlineStr">
        <is>
          <t>Take out outer jacket of stripped cable.</t>
        </is>
      </c>
      <c r="C17" s="1234" t="inlineStr">
        <is>
          <t>manual work</t>
        </is>
      </c>
      <c r="D17" s="1234" t="inlineStr">
        <is>
          <t>pick up cable</t>
        </is>
      </c>
      <c r="E17" s="1234" t="inlineStr">
        <is>
          <t>put cable away</t>
        </is>
      </c>
      <c r="F17" s="1234" t="n">
        <v>150</v>
      </c>
      <c r="G17" s="1234" t="n">
        <v>200</v>
      </c>
      <c r="H17" s="1740" t="n">
        <v>26</v>
      </c>
      <c r="I17" s="1741" t="inlineStr">
        <is>
          <t>pc</t>
        </is>
      </c>
      <c r="J17" s="1252" t="n"/>
      <c r="K17" s="1742" t="n">
        <v>26</v>
      </c>
      <c r="L17" s="1382" t="inlineStr">
        <is>
          <t>Manual</t>
        </is>
      </c>
      <c r="M17" s="1652" t="n"/>
      <c r="N17" s="1708" t="n"/>
      <c r="P17" s="1388" t="n"/>
      <c r="Q17" s="1715" t="n"/>
    </row>
    <row r="18" ht="44.25" customHeight="1" s="1134">
      <c r="A18" s="1739" t="inlineStr">
        <is>
          <t>Outer jacket stripping for coaxial cable</t>
        </is>
      </c>
      <c r="B18" s="1234" t="inlineStr">
        <is>
          <t>Outer jacket stripping</t>
        </is>
      </c>
      <c r="C18" s="1234" t="inlineStr">
        <is>
          <t>Schleuniger CS5500</t>
        </is>
      </c>
      <c r="D18" s="1234" t="inlineStr">
        <is>
          <t>place the cable in the machine head</t>
        </is>
      </c>
      <c r="E18" s="1234" t="inlineStr">
        <is>
          <t>put cable away</t>
        </is>
      </c>
      <c r="F18" s="1234" t="n">
        <v>0</v>
      </c>
      <c r="G18" s="1234" t="n">
        <v>80</v>
      </c>
      <c r="H18" s="1740" t="n">
        <v>15.3</v>
      </c>
      <c r="I18" s="1741" t="inlineStr">
        <is>
          <t>pc</t>
        </is>
      </c>
      <c r="J18" s="1252" t="n"/>
      <c r="K18" s="1742" t="n">
        <v>15.3</v>
      </c>
      <c r="L18" s="1382" t="inlineStr">
        <is>
          <t>Manual</t>
        </is>
      </c>
      <c r="M18" s="1652" t="n"/>
      <c r="P18" s="1388" t="n"/>
    </row>
    <row r="19" ht="43.5" customHeight="1" s="1134">
      <c r="A19" s="1739" t="inlineStr">
        <is>
          <t xml:space="preserve">Outer jacket stripping for multicore cable 
</t>
        </is>
      </c>
      <c r="B19" s="1234" t="inlineStr">
        <is>
          <t>Cut &amp; stripping outer jacket - aluminium foil - filler - braided shield  in one step</t>
        </is>
      </c>
      <c r="C19" s="1234" t="inlineStr">
        <is>
          <t>Schleuniger CS5500</t>
        </is>
      </c>
      <c r="D19" s="1234" t="inlineStr">
        <is>
          <t>place the cable in the machine head</t>
        </is>
      </c>
      <c r="E19" s="1234" t="inlineStr">
        <is>
          <t>put cable away</t>
        </is>
      </c>
      <c r="F19" s="1234" t="n">
        <v>0</v>
      </c>
      <c r="G19" s="1234" t="n">
        <v>80</v>
      </c>
      <c r="H19" s="1740" t="n">
        <v>19.7</v>
      </c>
      <c r="I19" s="1741" t="inlineStr">
        <is>
          <t>pc</t>
        </is>
      </c>
      <c r="J19" s="1252" t="n"/>
      <c r="K19" s="1742" t="n">
        <v>19.7</v>
      </c>
      <c r="L19" s="1382" t="inlineStr">
        <is>
          <t>Manual</t>
        </is>
      </c>
      <c r="M19" s="1652" t="n"/>
      <c r="P19" s="1388" t="n"/>
    </row>
    <row r="20" ht="53.25" customHeight="1" s="1134">
      <c r="A20" s="1739" t="inlineStr">
        <is>
          <t>Defoil and cut aluminium foil  / cotton strip (for all shilded)</t>
        </is>
      </c>
      <c r="B20" s="1234" t="inlineStr">
        <is>
          <t xml:space="preserve">Cut foil with hand tool  open the foil and remove </t>
        </is>
      </c>
      <c r="C20" s="1234" t="inlineStr">
        <is>
          <t>hand tool / scissors</t>
        </is>
      </c>
      <c r="D20" s="1234" t="inlineStr">
        <is>
          <t xml:space="preserve">remove the outer insulation </t>
        </is>
      </c>
      <c r="E20" s="1234" t="inlineStr">
        <is>
          <t>foil removed</t>
        </is>
      </c>
      <c r="F20" s="1234" t="n"/>
      <c r="G20" s="1234" t="n"/>
      <c r="H20" s="1740" t="n">
        <v>7</v>
      </c>
      <c r="I20" s="1741" t="inlineStr">
        <is>
          <t>pc</t>
        </is>
      </c>
      <c r="J20" s="1252" t="n"/>
      <c r="K20" s="1742" t="n">
        <v>7</v>
      </c>
      <c r="L20" s="1382" t="inlineStr">
        <is>
          <t>Manual</t>
        </is>
      </c>
      <c r="M20" s="1652" t="n"/>
      <c r="P20" s="1388" t="n"/>
    </row>
    <row r="21" ht="53.25" customHeight="1" s="1134">
      <c r="A21" s="1739" t="inlineStr">
        <is>
          <t>Cut the braided shield</t>
        </is>
      </c>
      <c r="B21" s="1234" t="inlineStr">
        <is>
          <t>Cut the braided shield</t>
        </is>
      </c>
      <c r="C21" s="1234" t="inlineStr">
        <is>
          <t xml:space="preserve">Rittmeyer. Beri Co.Cut Shield cuting device </t>
        </is>
      </c>
      <c r="D21" s="1234" t="inlineStr">
        <is>
          <t>place the cable in the tool</t>
        </is>
      </c>
      <c r="E21" s="1234" t="inlineStr">
        <is>
          <t>put cable away</t>
        </is>
      </c>
      <c r="F21" s="1234" t="n">
        <v>0</v>
      </c>
      <c r="G21" s="1234" t="n">
        <v>150</v>
      </c>
      <c r="H21" s="1740" t="n">
        <v>11.2</v>
      </c>
      <c r="I21" s="1741" t="inlineStr">
        <is>
          <t>pc</t>
        </is>
      </c>
      <c r="J21" s="1252" t="n"/>
      <c r="K21" s="1742" t="n">
        <v>11.2</v>
      </c>
      <c r="L21" s="1382" t="inlineStr">
        <is>
          <t>Manual</t>
        </is>
      </c>
      <c r="M21" s="1652" t="n"/>
      <c r="P21" s="1388" t="n"/>
    </row>
    <row r="22" ht="27.75" customHeight="1" s="1134">
      <c r="A22" s="1297" t="n"/>
      <c r="B22" s="1233" t="n"/>
      <c r="C22" s="1233" t="n"/>
      <c r="D22" s="1233" t="n"/>
      <c r="E22" s="1233" t="n"/>
      <c r="F22" s="1234" t="n">
        <v>151</v>
      </c>
      <c r="G22" s="1234" t="n">
        <v>300</v>
      </c>
      <c r="H22" s="1740" t="n">
        <v>21</v>
      </c>
      <c r="I22" s="1741" t="inlineStr">
        <is>
          <t>pc</t>
        </is>
      </c>
      <c r="J22" s="1252" t="n"/>
      <c r="K22" s="1742" t="n">
        <v>21</v>
      </c>
      <c r="L22" s="1382" t="inlineStr">
        <is>
          <t>Manual</t>
        </is>
      </c>
      <c r="M22" s="1652" t="n"/>
      <c r="P22" s="1388" t="n"/>
    </row>
    <row r="23" ht="27.75" customHeight="1" s="1134">
      <c r="A23" s="1545" t="n"/>
      <c r="B23" s="1406" t="n"/>
      <c r="C23" s="1406" t="n"/>
      <c r="D23" s="1406" t="n"/>
      <c r="E23" s="1406" t="n"/>
      <c r="F23" s="1234" t="n">
        <v>301</v>
      </c>
      <c r="G23" s="1234" t="n">
        <v>500</v>
      </c>
      <c r="H23" s="1740" t="n">
        <v>34</v>
      </c>
      <c r="I23" s="1741" t="inlineStr">
        <is>
          <t>pc</t>
        </is>
      </c>
      <c r="J23" s="1252" t="n"/>
      <c r="K23" s="1742" t="n">
        <v>34</v>
      </c>
      <c r="L23" s="1382" t="inlineStr">
        <is>
          <t>Manual</t>
        </is>
      </c>
      <c r="M23" s="1652" t="n"/>
      <c r="P23" s="1388" t="n"/>
    </row>
    <row r="24" ht="57" customHeight="1" s="1134">
      <c r="A24" s="1739" t="inlineStr">
        <is>
          <t>Shield and jacket processing on Coroplast 25 mm² cable</t>
        </is>
      </c>
      <c r="B24" s="1234" t="inlineStr">
        <is>
          <t>Cable placement in machine’s grippers, shield opening, shield cutting, shield folding, inner jacket stripping, cable release.</t>
        </is>
      </c>
      <c r="C24" s="1234" t="inlineStr">
        <is>
          <t>Komax Lambda 240 SP</t>
        </is>
      </c>
      <c r="D24" s="1234" t="inlineStr">
        <is>
          <t xml:space="preserve">pick up the cable </t>
        </is>
      </c>
      <c r="E24" s="1234" t="inlineStr">
        <is>
          <t>put cable away</t>
        </is>
      </c>
      <c r="F24" s="1234" t="n">
        <v>8</v>
      </c>
      <c r="G24" s="1234" t="n">
        <v>100</v>
      </c>
      <c r="H24" s="1740" t="n">
        <v>22.4</v>
      </c>
      <c r="I24" s="1741" t="inlineStr">
        <is>
          <t>pc</t>
        </is>
      </c>
      <c r="J24" s="1252" t="n"/>
      <c r="K24" s="1742" t="n">
        <v>22.4</v>
      </c>
      <c r="M24" s="1652" t="n"/>
      <c r="P24" s="1388" t="n"/>
    </row>
    <row r="25" ht="126" customHeight="1" s="1134">
      <c r="A25" s="1743" t="inlineStr">
        <is>
          <t>Fold back and fix braided shield with tape</t>
        </is>
      </c>
      <c r="B25" s="1744" t="inlineStr">
        <is>
          <t>time include to pick up wire, fold back braided shield using the tool, assembly wire to holder, get tape and make spot on shield according to layout, cut tape and remove the wire
NOTE:  
Mspec M4827009 
5mm width</t>
        </is>
      </c>
      <c r="C25" s="1744" t="inlineStr">
        <is>
          <t xml:space="preserve">positioning tool </t>
        </is>
      </c>
      <c r="D25" s="1744" t="inlineStr">
        <is>
          <t>pick up the cable</t>
        </is>
      </c>
      <c r="E25" s="1744" t="inlineStr">
        <is>
          <t>put cable away</t>
        </is>
      </c>
      <c r="F25" s="1744" t="n"/>
      <c r="G25" s="1744" t="n"/>
      <c r="H25" s="1745" t="n">
        <v>48</v>
      </c>
      <c r="I25" s="1741" t="inlineStr">
        <is>
          <t>pc</t>
        </is>
      </c>
      <c r="J25" s="1252" t="n"/>
      <c r="K25" s="1742" t="n">
        <v>48</v>
      </c>
      <c r="M25" s="1652" t="n"/>
      <c r="P25" s="1388" t="n"/>
    </row>
    <row r="26" ht="27.75" customFormat="1" customHeight="1" s="1382">
      <c r="A26" s="1739" t="inlineStr">
        <is>
          <t>Inner jacket stripping for coaxial cable</t>
        </is>
      </c>
      <c r="B26" s="1234" t="inlineStr">
        <is>
          <t>Inner jacket stripping</t>
        </is>
      </c>
      <c r="C26" s="1234" t="inlineStr">
        <is>
          <t>Schleuniger CS5500</t>
        </is>
      </c>
      <c r="D26" s="1234" t="inlineStr">
        <is>
          <t>place the cable in the machine head</t>
        </is>
      </c>
      <c r="E26" s="1234" t="inlineStr">
        <is>
          <t>put cable away</t>
        </is>
      </c>
      <c r="F26" s="1234" t="n">
        <v>0</v>
      </c>
      <c r="G26" s="1234" t="n">
        <v>80</v>
      </c>
      <c r="H26" s="1740" t="n">
        <v>12.4</v>
      </c>
      <c r="I26" s="1741" t="inlineStr">
        <is>
          <t>pc</t>
        </is>
      </c>
      <c r="J26" s="1252" t="n"/>
      <c r="K26" s="1742" t="n">
        <v>12.4</v>
      </c>
      <c r="L26" s="1382" t="inlineStr">
        <is>
          <t>Manual</t>
        </is>
      </c>
      <c r="M26" s="1652" t="n"/>
      <c r="N26" s="1708" t="n"/>
      <c r="P26" s="1388" t="n"/>
      <c r="Q26" s="1715" t="n"/>
    </row>
    <row r="27" ht="27.75" customHeight="1" s="1134">
      <c r="A27" s="1746" t="inlineStr">
        <is>
          <t>Inner jacket stripping for coaxial cable</t>
        </is>
      </c>
      <c r="B27" s="1234" t="inlineStr">
        <is>
          <t>Inner jacket full stripping</t>
        </is>
      </c>
      <c r="C27" s="1506" t="inlineStr">
        <is>
          <t>Schleuniger CS6580</t>
        </is>
      </c>
      <c r="D27" s="1234" t="inlineStr">
        <is>
          <t>place the cable in the machine head</t>
        </is>
      </c>
      <c r="E27" s="1234" t="inlineStr">
        <is>
          <t>put cable away</t>
        </is>
      </c>
      <c r="F27" s="1234" t="n">
        <v>0</v>
      </c>
      <c r="G27" s="1234" t="n">
        <v>10</v>
      </c>
      <c r="H27" s="1740" t="n">
        <v>8.199999999999999</v>
      </c>
      <c r="I27" s="1741" t="n"/>
      <c r="J27" s="1252" t="n"/>
      <c r="K27" s="1742" t="n">
        <v>8.199999999999999</v>
      </c>
      <c r="M27" s="1652" t="n"/>
      <c r="P27" s="1388" t="n"/>
    </row>
    <row r="28" ht="27.75" customHeight="1" s="1134">
      <c r="A28" s="1545" t="n"/>
      <c r="B28" s="1234" t="inlineStr">
        <is>
          <t>Inner jacket partial stripping</t>
        </is>
      </c>
      <c r="C28" s="1406" t="n"/>
      <c r="D28" s="1234" t="inlineStr">
        <is>
          <t>place the cable in the machine head</t>
        </is>
      </c>
      <c r="E28" s="1234" t="inlineStr">
        <is>
          <t>put cable away</t>
        </is>
      </c>
      <c r="F28" s="1234" t="n">
        <v>0</v>
      </c>
      <c r="G28" s="1234" t="n">
        <v>20</v>
      </c>
      <c r="H28" s="1740" t="n">
        <v>7.7</v>
      </c>
      <c r="I28" s="1741" t="n"/>
      <c r="J28" s="1252" t="n"/>
      <c r="K28" s="1742" t="n">
        <v>7.7</v>
      </c>
      <c r="M28" s="1652" t="n"/>
      <c r="P28" s="1388" t="n"/>
    </row>
    <row r="29" ht="27.75" customHeight="1" s="1134">
      <c r="A29" s="1739" t="inlineStr">
        <is>
          <t>Stripping the filler of multicore cable</t>
        </is>
      </c>
      <c r="B29" s="1234" t="inlineStr">
        <is>
          <t>Stripping the filler of multicore cable</t>
        </is>
      </c>
      <c r="C29" s="1234" t="inlineStr">
        <is>
          <t>manual work</t>
        </is>
      </c>
      <c r="D29" s="1234" t="inlineStr">
        <is>
          <t>pick up the cable</t>
        </is>
      </c>
      <c r="E29" s="1234" t="inlineStr">
        <is>
          <t>put cable away</t>
        </is>
      </c>
      <c r="F29" s="1234" t="n">
        <v>80</v>
      </c>
      <c r="G29" s="1234" t="n">
        <v>200</v>
      </c>
      <c r="H29" s="1740" t="n">
        <v>25</v>
      </c>
      <c r="I29" s="1741" t="inlineStr">
        <is>
          <t>pc</t>
        </is>
      </c>
      <c r="J29" s="1252" t="n"/>
      <c r="K29" s="1742" t="n">
        <v>25</v>
      </c>
      <c r="L29" s="1382" t="inlineStr">
        <is>
          <t>Manual</t>
        </is>
      </c>
      <c r="M29" s="1652" t="n"/>
      <c r="P29" s="1388" t="n"/>
    </row>
    <row r="30" ht="23.85" customHeight="1" s="1134">
      <c r="A30" s="1739" t="inlineStr">
        <is>
          <t>Inner wire stripping for multicore cable</t>
        </is>
      </c>
      <c r="B30" s="1234" t="inlineStr">
        <is>
          <t>Inner wire stripping for multicore cable</t>
        </is>
      </c>
      <c r="C30" s="1234" t="inlineStr">
        <is>
          <t>Unistrip 2600</t>
        </is>
      </c>
      <c r="D30" s="1234" t="inlineStr">
        <is>
          <t xml:space="preserve">pick up the cable </t>
        </is>
      </c>
      <c r="E30" s="1234" t="inlineStr">
        <is>
          <t xml:space="preserve">Cable released </t>
        </is>
      </c>
      <c r="F30" s="1234" t="inlineStr">
        <is>
          <t>0.5 mm²</t>
        </is>
      </c>
      <c r="G30" s="1234" t="inlineStr">
        <is>
          <t>6 mm²</t>
        </is>
      </c>
      <c r="H30" s="1740" t="n">
        <v>8.9</v>
      </c>
      <c r="I30" s="1741" t="inlineStr">
        <is>
          <t>pc</t>
        </is>
      </c>
      <c r="J30" s="1252" t="n"/>
      <c r="K30" s="1742" t="n">
        <v>8.9</v>
      </c>
      <c r="L30" s="1382" t="inlineStr">
        <is>
          <t>Manual</t>
        </is>
      </c>
      <c r="M30" s="1652" t="n"/>
      <c r="P30" s="1388" t="n"/>
    </row>
    <row r="31" ht="27.75" customHeight="1" s="1134">
      <c r="A31" s="1739" t="inlineStr">
        <is>
          <t xml:space="preserve">Comb out braided shield </t>
        </is>
      </c>
      <c r="B31" s="1234" t="inlineStr">
        <is>
          <t>Comb out braided shield</t>
        </is>
      </c>
      <c r="C31" s="1234" t="inlineStr">
        <is>
          <t>Boewe 1005</t>
        </is>
      </c>
      <c r="D31" s="1234" t="inlineStr">
        <is>
          <t xml:space="preserve"> place the cable in the tool</t>
        </is>
      </c>
      <c r="E31" s="1234" t="inlineStr">
        <is>
          <t>put cable away</t>
        </is>
      </c>
      <c r="F31" s="1234" t="n">
        <v>0</v>
      </c>
      <c r="G31" s="1234" t="n">
        <v>30</v>
      </c>
      <c r="H31" s="1740" t="n">
        <v>38.2</v>
      </c>
      <c r="I31" s="1741" t="inlineStr">
        <is>
          <t>pc</t>
        </is>
      </c>
      <c r="J31" s="1252" t="n"/>
      <c r="K31" s="1742" t="n">
        <v>38.2</v>
      </c>
      <c r="L31" s="1382" t="inlineStr">
        <is>
          <t>Manual</t>
        </is>
      </c>
      <c r="M31" s="1652" t="n"/>
      <c r="P31" s="1388" t="n"/>
    </row>
    <row r="32" ht="27.75" customHeight="1" s="1134">
      <c r="A32" s="1739" t="inlineStr">
        <is>
          <t>Clean dust after combing</t>
        </is>
      </c>
      <c r="B32" s="1234" t="inlineStr">
        <is>
          <t>Cleaning cable (to remove the dust and dirt)</t>
        </is>
      </c>
      <c r="C32" s="1234" t="inlineStr">
        <is>
          <t>manual work</t>
        </is>
      </c>
      <c r="D32" s="1234" t="inlineStr">
        <is>
          <t>pick up the cable</t>
        </is>
      </c>
      <c r="E32" s="1234" t="inlineStr">
        <is>
          <t>put cable away</t>
        </is>
      </c>
      <c r="F32" s="1234" t="n"/>
      <c r="G32" s="1234" t="n"/>
      <c r="H32" s="1740" t="n">
        <v>8</v>
      </c>
      <c r="I32" s="1741" t="inlineStr">
        <is>
          <t>pc</t>
        </is>
      </c>
      <c r="J32" s="1252" t="n"/>
      <c r="K32" s="1742" t="n">
        <v>8</v>
      </c>
      <c r="L32" s="1382" t="inlineStr">
        <is>
          <t>Manual</t>
        </is>
      </c>
      <c r="M32" s="1652" t="n"/>
      <c r="P32" s="1388" t="n"/>
    </row>
    <row r="33" ht="27.75" customHeight="1" s="1134">
      <c r="A33" s="1739" t="inlineStr">
        <is>
          <t>Twisting shield</t>
        </is>
      </c>
      <c r="B33" s="1234" t="inlineStr">
        <is>
          <t>Twisting shield</t>
        </is>
      </c>
      <c r="C33" s="1234" t="inlineStr">
        <is>
          <t>Boewe 1003</t>
        </is>
      </c>
      <c r="D33" s="1234" t="inlineStr">
        <is>
          <t xml:space="preserve"> place the cable in the tool</t>
        </is>
      </c>
      <c r="E33" s="1234" t="inlineStr">
        <is>
          <t>put cable away</t>
        </is>
      </c>
      <c r="F33" s="1234" t="n">
        <v>0</v>
      </c>
      <c r="G33" s="1234" t="n">
        <v>30</v>
      </c>
      <c r="H33" s="1740" t="n">
        <v>13</v>
      </c>
      <c r="I33" s="1741" t="inlineStr">
        <is>
          <t>pc</t>
        </is>
      </c>
      <c r="J33" s="1252" t="n"/>
      <c r="K33" s="1742" t="n">
        <v>13</v>
      </c>
      <c r="L33" s="1382" t="inlineStr">
        <is>
          <t>Manual</t>
        </is>
      </c>
      <c r="M33" s="1652" t="n"/>
      <c r="P33" s="1388" t="n"/>
    </row>
    <row r="34" ht="27.75" customHeight="1" s="1134">
      <c r="A34" s="1739" t="inlineStr">
        <is>
          <t>Cut the twisted shield</t>
        </is>
      </c>
      <c r="B34" s="1234" t="inlineStr">
        <is>
          <t>Cut the twisted shield</t>
        </is>
      </c>
      <c r="C34" s="1234" t="inlineStr">
        <is>
          <t>manual</t>
        </is>
      </c>
      <c r="D34" s="1234" t="inlineStr">
        <is>
          <t xml:space="preserve">pick up the cable </t>
        </is>
      </c>
      <c r="E34" s="1234" t="inlineStr">
        <is>
          <t>put cable away</t>
        </is>
      </c>
      <c r="F34" s="1234" t="n"/>
      <c r="G34" s="1234" t="n"/>
      <c r="H34" s="1740" t="n">
        <v>28</v>
      </c>
      <c r="I34" s="1741" t="inlineStr">
        <is>
          <t>pc</t>
        </is>
      </c>
      <c r="J34" s="1252" t="n"/>
      <c r="K34" s="1742" t="n">
        <v>28</v>
      </c>
      <c r="L34" s="1382" t="inlineStr">
        <is>
          <t>Manual</t>
        </is>
      </c>
      <c r="M34" s="1652" t="n"/>
      <c r="P34" s="1388" t="n"/>
    </row>
    <row r="35" ht="27.75" customHeight="1" s="1134">
      <c r="A35" s="1739" t="inlineStr">
        <is>
          <t>Comb out braided shield of inner twisted wire (multicore)</t>
        </is>
      </c>
      <c r="B35" s="1234" t="inlineStr">
        <is>
          <t xml:space="preserve">Comb out braided shield of inner twisted wire </t>
        </is>
      </c>
      <c r="C35" s="1234" t="inlineStr">
        <is>
          <t>manual work</t>
        </is>
      </c>
      <c r="D35" s="1234" t="inlineStr">
        <is>
          <t xml:space="preserve">pick up the cable </t>
        </is>
      </c>
      <c r="E35" s="1234" t="inlineStr">
        <is>
          <t xml:space="preserve">Cable released </t>
        </is>
      </c>
      <c r="F35" s="1234" t="n"/>
      <c r="G35" s="1234" t="n"/>
      <c r="H35" s="1740" t="n">
        <v>28</v>
      </c>
      <c r="I35" s="1741" t="inlineStr">
        <is>
          <t>pc</t>
        </is>
      </c>
      <c r="J35" s="1252" t="n"/>
      <c r="K35" s="1742" t="n">
        <v>28</v>
      </c>
      <c r="L35" s="1382" t="inlineStr">
        <is>
          <t>Manual</t>
        </is>
      </c>
      <c r="M35" s="1652" t="n"/>
      <c r="P35" s="1388" t="n"/>
    </row>
    <row r="36" ht="113.25" customHeight="1" s="1134">
      <c r="A36" s="1739" t="inlineStr">
        <is>
          <t>Open the shield</t>
        </is>
      </c>
      <c r="B36" s="1747" t="inlineStr">
        <is>
          <t>Coaxial wires: Open the shield with hand tool , pick up the inner ferrul and place under the braided shield. 
Multicore wires: pick up inner ferrule and place over wire , open the shield and fold back over inner ferrule by hand</t>
        </is>
      </c>
      <c r="C36" s="1234" t="inlineStr">
        <is>
          <t>hand tool</t>
        </is>
      </c>
      <c r="D36" s="1234" t="inlineStr">
        <is>
          <t xml:space="preserve">pick up the cable </t>
        </is>
      </c>
      <c r="E36" s="1234" t="inlineStr">
        <is>
          <t>shield opened</t>
        </is>
      </c>
      <c r="F36" s="1234" t="n"/>
      <c r="G36" s="1234" t="n"/>
      <c r="H36" s="1740" t="n">
        <v>10</v>
      </c>
      <c r="I36" s="1741" t="inlineStr">
        <is>
          <t>pc</t>
        </is>
      </c>
      <c r="J36" s="1252" t="n"/>
      <c r="K36" s="1742" t="n">
        <v>10</v>
      </c>
      <c r="L36" s="1382" t="inlineStr">
        <is>
          <t>Manual</t>
        </is>
      </c>
      <c r="M36" s="1652" t="n"/>
      <c r="P36" s="1388" t="n"/>
    </row>
    <row r="37" ht="54" customHeight="1" s="1134">
      <c r="A37" s="1739" t="inlineStr">
        <is>
          <t>Apply outer ferrul over inner ferrule</t>
        </is>
      </c>
      <c r="B37" s="1234" t="inlineStr">
        <is>
          <t>Pick up the outer ferrul, apply to the cable  and move outer ferrule over the inner ferrul / terminal group</t>
        </is>
      </c>
      <c r="C37" s="1234" t="inlineStr">
        <is>
          <t>hand tool</t>
        </is>
      </c>
      <c r="D37" s="1234" t="inlineStr">
        <is>
          <t>pick up the ferrul</t>
        </is>
      </c>
      <c r="E37" s="1234" t="inlineStr">
        <is>
          <t>ready for crimping</t>
        </is>
      </c>
      <c r="F37" s="1234" t="n"/>
      <c r="G37" s="1234" t="n"/>
      <c r="H37" s="1740" t="n">
        <v>10</v>
      </c>
      <c r="I37" s="1741" t="inlineStr">
        <is>
          <t>pc</t>
        </is>
      </c>
      <c r="J37" s="1252" t="n"/>
      <c r="K37" s="1742" t="n">
        <v>10</v>
      </c>
      <c r="L37" s="1382" t="inlineStr">
        <is>
          <t>Manual</t>
        </is>
      </c>
      <c r="M37" s="1652" t="n"/>
      <c r="P37" s="1388" t="n"/>
    </row>
    <row r="38" ht="27.75" customHeight="1" s="1134">
      <c r="A38" s="1739" t="inlineStr">
        <is>
          <t>Apply loose piece terminal to wire</t>
        </is>
      </c>
      <c r="B38" s="1234" t="inlineStr">
        <is>
          <t>Pick up and apply loose piece terminal (ring) to wire to cover all strands</t>
        </is>
      </c>
      <c r="C38" s="1234" t="inlineStr">
        <is>
          <t xml:space="preserve">manual work  </t>
        </is>
      </c>
      <c r="D38" s="1234" t="inlineStr">
        <is>
          <t>pick up the loose piece</t>
        </is>
      </c>
      <c r="E38" s="1234" t="inlineStr">
        <is>
          <t>put cable away</t>
        </is>
      </c>
      <c r="F38" s="1234" t="n"/>
      <c r="G38" s="1234" t="n"/>
      <c r="H38" s="1740" t="n">
        <v>7.14</v>
      </c>
      <c r="I38" s="1741" t="inlineStr">
        <is>
          <t>pc</t>
        </is>
      </c>
      <c r="J38" s="1252" t="n"/>
      <c r="K38" s="1742" t="n">
        <v>7.14</v>
      </c>
      <c r="L38" s="1382" t="inlineStr">
        <is>
          <t>Manual</t>
        </is>
      </c>
      <c r="M38" s="1652" t="n"/>
      <c r="P38" s="1388" t="n"/>
    </row>
    <row r="39" ht="52.5" customHeight="1" s="1134">
      <c r="A39" s="1739" t="inlineStr">
        <is>
          <t>Apply loose piece terminal to wire in alubox</t>
        </is>
      </c>
      <c r="B39" s="1234" t="inlineStr">
        <is>
          <t>Pick up and apply loose piece terminal (ring) to wire in alubox to cover all strands</t>
        </is>
      </c>
      <c r="C39" s="1234" t="inlineStr">
        <is>
          <t>manual work</t>
        </is>
      </c>
      <c r="D39" s="1234" t="inlineStr">
        <is>
          <t>pick up the loose piece</t>
        </is>
      </c>
      <c r="E39" s="1234" t="inlineStr">
        <is>
          <t>put cable away</t>
        </is>
      </c>
      <c r="F39" s="1234" t="n"/>
      <c r="G39" s="1234" t="n"/>
      <c r="H39" s="1740" t="n">
        <v>19.11</v>
      </c>
      <c r="I39" s="1741" t="inlineStr">
        <is>
          <t>pc</t>
        </is>
      </c>
      <c r="J39" s="1252" t="n"/>
      <c r="K39" s="1742" t="n">
        <v>19.11</v>
      </c>
      <c r="L39" s="1382" t="inlineStr">
        <is>
          <t>Manual</t>
        </is>
      </c>
      <c r="M39" s="1652" t="n"/>
      <c r="P39" s="1388" t="n"/>
    </row>
    <row r="40" ht="40.5" customHeight="1" s="1134">
      <c r="A40" s="1739" t="inlineStr">
        <is>
          <t>Place the alubox in support</t>
        </is>
      </c>
      <c r="B40" s="1234" t="inlineStr">
        <is>
          <t>Pick up teh support and place the alubox</t>
        </is>
      </c>
      <c r="C40" s="1234" t="inlineStr">
        <is>
          <t>manual work</t>
        </is>
      </c>
      <c r="D40" s="1234" t="inlineStr">
        <is>
          <t>pick up the support</t>
        </is>
      </c>
      <c r="E40" s="1234" t="inlineStr">
        <is>
          <t>alubox in the support</t>
        </is>
      </c>
      <c r="F40" s="1234" t="n"/>
      <c r="G40" s="1234" t="n"/>
      <c r="H40" s="1740" t="n">
        <v>16</v>
      </c>
      <c r="I40" s="1741" t="inlineStr">
        <is>
          <t>pc</t>
        </is>
      </c>
      <c r="J40" s="1252" t="n"/>
      <c r="K40" s="1742" t="n">
        <v>16</v>
      </c>
      <c r="L40" s="1382" t="inlineStr">
        <is>
          <t>Manual</t>
        </is>
      </c>
      <c r="M40" s="1652" t="n"/>
      <c r="P40" s="1388" t="n"/>
    </row>
    <row r="41" ht="40.5" customHeight="1" s="1134">
      <c r="A41" s="1739" t="inlineStr">
        <is>
          <t xml:space="preserve">Place the support in the press </t>
        </is>
      </c>
      <c r="B41" s="1234" t="inlineStr">
        <is>
          <t>Pick up and place the support in the press (for alubox, connector, housing  to guarantee the accesories orientation)</t>
        </is>
      </c>
      <c r="C41" s="1234" t="inlineStr">
        <is>
          <t>test holder</t>
        </is>
      </c>
      <c r="D41" s="1234" t="inlineStr">
        <is>
          <t>pick up the alubox</t>
        </is>
      </c>
      <c r="E41" s="1234" t="inlineStr">
        <is>
          <t>ready for crimping</t>
        </is>
      </c>
      <c r="F41" s="1234" t="n"/>
      <c r="G41" s="1234" t="n"/>
      <c r="H41" s="1740" t="n">
        <v>7.04</v>
      </c>
      <c r="I41" s="1741" t="inlineStr">
        <is>
          <t>pc</t>
        </is>
      </c>
      <c r="J41" s="1252" t="n"/>
      <c r="K41" s="1742" t="n">
        <v>7.04</v>
      </c>
      <c r="L41" s="1382" t="inlineStr">
        <is>
          <t>Manual</t>
        </is>
      </c>
      <c r="M41" s="1652" t="n"/>
      <c r="P41" s="1388" t="n"/>
    </row>
    <row r="42" ht="40.5" customHeight="1" s="1134">
      <c r="A42" s="1739" t="inlineStr">
        <is>
          <t>Routing for terminal orientation</t>
        </is>
      </c>
      <c r="B42" s="1234" t="inlineStr">
        <is>
          <t>Routing of cable in order to obtain correct orientation for crimping</t>
        </is>
      </c>
      <c r="C42" s="1234" t="inlineStr">
        <is>
          <t>manual work</t>
        </is>
      </c>
      <c r="D42" s="1234" t="inlineStr">
        <is>
          <t xml:space="preserve">pick up the cable </t>
        </is>
      </c>
      <c r="E42" s="1234" t="inlineStr">
        <is>
          <t>ready for crimping</t>
        </is>
      </c>
      <c r="F42" s="1234" t="n"/>
      <c r="G42" s="1234" t="n"/>
      <c r="H42" s="1740" t="n">
        <v>8.9</v>
      </c>
      <c r="I42" s="1741" t="inlineStr">
        <is>
          <t>pc</t>
        </is>
      </c>
      <c r="J42" s="1252" t="n"/>
      <c r="K42" s="1742" t="n">
        <v>8.9</v>
      </c>
      <c r="L42" s="1382" t="inlineStr">
        <is>
          <t>Manual</t>
        </is>
      </c>
      <c r="M42" s="1652" t="n"/>
      <c r="P42" s="1388" t="n"/>
    </row>
    <row r="43" ht="40.5" customHeight="1" s="1134">
      <c r="A43" s="1739" t="inlineStr">
        <is>
          <t>Inner wire crimping for multicore cable</t>
        </is>
      </c>
      <c r="B43" s="1234" t="inlineStr">
        <is>
          <t>Inner wire crimping for multicore cable</t>
        </is>
      </c>
      <c r="C43" s="1234" t="inlineStr">
        <is>
          <t>Mecal  P7 / Mecal P107 99</t>
        </is>
      </c>
      <c r="D43" s="1234" t="inlineStr">
        <is>
          <t xml:space="preserve">pick up the cable </t>
        </is>
      </c>
      <c r="E43" s="1234" t="inlineStr">
        <is>
          <t xml:space="preserve">Cable released </t>
        </is>
      </c>
      <c r="F43" s="1234" t="inlineStr">
        <is>
          <t>0.5 mm²</t>
        </is>
      </c>
      <c r="G43" s="1234" t="inlineStr">
        <is>
          <t>6 mm²</t>
        </is>
      </c>
      <c r="H43" s="1740" t="n">
        <v>10.4</v>
      </c>
      <c r="I43" s="1741" t="inlineStr">
        <is>
          <t>pc</t>
        </is>
      </c>
      <c r="J43" s="1252" t="n"/>
      <c r="K43" s="1742" t="n">
        <v>10.4</v>
      </c>
      <c r="L43" s="1382" t="inlineStr">
        <is>
          <t>Manual</t>
        </is>
      </c>
      <c r="M43" s="1652" t="n"/>
      <c r="P43" s="1388" t="n"/>
    </row>
    <row r="44" ht="35.05" customHeight="1" s="1134">
      <c r="A44" s="1739" t="inlineStr">
        <is>
          <t xml:space="preserve">Inner multicore wire Stripping with Thermal Stripper
</t>
        </is>
      </c>
      <c r="B44" s="1234" t="inlineStr">
        <is>
          <t xml:space="preserve">Inner multicore wire Stripping with Thermal Stripper
</t>
        </is>
      </c>
      <c r="C44" s="1234" t="inlineStr">
        <is>
          <t>Thermal Stripper</t>
        </is>
      </c>
      <c r="D44" s="1234" t="inlineStr">
        <is>
          <t xml:space="preserve">pick up the cable </t>
        </is>
      </c>
      <c r="E44" s="1234" t="inlineStr">
        <is>
          <t xml:space="preserve">Cable released </t>
        </is>
      </c>
      <c r="F44" s="1234" t="n"/>
      <c r="G44" s="1234" t="n"/>
      <c r="H44" s="1740" t="n">
        <v>32</v>
      </c>
      <c r="I44" s="1741" t="inlineStr">
        <is>
          <t>pc</t>
        </is>
      </c>
      <c r="J44" s="1252" t="n"/>
      <c r="K44" s="1742" t="n">
        <v>32</v>
      </c>
      <c r="L44" s="1382" t="inlineStr">
        <is>
          <t>Manual</t>
        </is>
      </c>
      <c r="M44" s="1652" t="n"/>
      <c r="P44" s="1388" t="n"/>
    </row>
    <row r="45" ht="40.5" customHeight="1" s="1134">
      <c r="A45" s="1739" t="inlineStr">
        <is>
          <t>Cut wire to requested length for crimping operation</t>
        </is>
      </c>
      <c r="B45" s="1234" t="inlineStr">
        <is>
          <t>Cut the wires with hand tool</t>
        </is>
      </c>
      <c r="C45" s="1234" t="inlineStr">
        <is>
          <t>hand tool</t>
        </is>
      </c>
      <c r="D45" s="1234" t="inlineStr">
        <is>
          <t xml:space="preserve">pick up the cable </t>
        </is>
      </c>
      <c r="E45" s="1234" t="inlineStr">
        <is>
          <t>put cable away</t>
        </is>
      </c>
      <c r="F45" s="1234" t="n"/>
      <c r="G45" s="1234" t="n"/>
      <c r="H45" s="1740" t="n">
        <v>9</v>
      </c>
      <c r="I45" s="1741" t="inlineStr">
        <is>
          <t>pc</t>
        </is>
      </c>
      <c r="J45" s="1252" t="n"/>
      <c r="K45" s="1742" t="n">
        <v>9</v>
      </c>
      <c r="L45" s="1382" t="inlineStr">
        <is>
          <t>Manual</t>
        </is>
      </c>
      <c r="M45" s="1652" t="n"/>
      <c r="P45" s="1388" t="n"/>
    </row>
    <row r="46" ht="35.05" customHeight="1" s="1134">
      <c r="A46" s="1739" t="inlineStr">
        <is>
          <t>Caulking</t>
        </is>
      </c>
      <c r="B46" s="1234" t="inlineStr">
        <is>
          <t xml:space="preserve">Caulking for multicore wires per inner wire (to be applied to each inner wire seperately) </t>
        </is>
      </c>
      <c r="C46" s="1234" t="inlineStr">
        <is>
          <t>Caulking &amp; soldering</t>
        </is>
      </c>
      <c r="D46" s="1234" t="inlineStr">
        <is>
          <t xml:space="preserve"> place the cable in the tool</t>
        </is>
      </c>
      <c r="E46" s="1234" t="inlineStr">
        <is>
          <t>put cable away</t>
        </is>
      </c>
      <c r="F46" s="1234" t="n"/>
      <c r="G46" s="1234" t="n"/>
      <c r="H46" s="1740" t="n">
        <v>41</v>
      </c>
      <c r="I46" s="1741" t="inlineStr">
        <is>
          <t>pc</t>
        </is>
      </c>
      <c r="J46" s="1252" t="n"/>
      <c r="K46" s="1742" t="n">
        <v>41</v>
      </c>
      <c r="L46" s="1382" t="inlineStr">
        <is>
          <t>Manual</t>
        </is>
      </c>
      <c r="M46" s="1652" t="n"/>
      <c r="P46" s="1388" t="n"/>
    </row>
    <row r="47" ht="23.85" customHeight="1" s="1134">
      <c r="A47" s="1739" t="inlineStr">
        <is>
          <t>Soldering</t>
        </is>
      </c>
      <c r="B47" s="1234" t="inlineStr">
        <is>
          <t xml:space="preserve">Soldering multicore wire (one per multicore wire) </t>
        </is>
      </c>
      <c r="C47" s="1234" t="inlineStr">
        <is>
          <t>Caulking &amp; soldering</t>
        </is>
      </c>
      <c r="D47" s="1234" t="inlineStr">
        <is>
          <t xml:space="preserve"> place the cable in the tool</t>
        </is>
      </c>
      <c r="E47" s="1234" t="inlineStr">
        <is>
          <t>put cable away</t>
        </is>
      </c>
      <c r="F47" s="1234" t="n"/>
      <c r="G47" s="1234" t="n"/>
      <c r="H47" s="1740" t="n">
        <v>87</v>
      </c>
      <c r="I47" s="1741" t="inlineStr">
        <is>
          <t>pc</t>
        </is>
      </c>
      <c r="J47" s="1252" t="n"/>
      <c r="K47" s="1742" t="n">
        <v>87</v>
      </c>
      <c r="L47" s="1382" t="inlineStr">
        <is>
          <t>Manual</t>
        </is>
      </c>
      <c r="M47" s="1652" t="n"/>
      <c r="P47" s="1388" t="n"/>
    </row>
    <row r="48" ht="23.85" customHeight="1" s="1134">
      <c r="A48" s="1739" t="inlineStr">
        <is>
          <t xml:space="preserve">Loose piece core crimping for coaxiel / crimping in alubox on core </t>
        </is>
      </c>
      <c r="B48" s="1234" t="inlineStr">
        <is>
          <t xml:space="preserve">Place the cable in the press head, crimping, release of the cable </t>
        </is>
      </c>
      <c r="C48" s="1234" t="inlineStr">
        <is>
          <t>Hanke 971-D press</t>
        </is>
      </c>
      <c r="D48" s="1234" t="inlineStr">
        <is>
          <t>Place the cable in the head</t>
        </is>
      </c>
      <c r="E48" s="1234" t="inlineStr">
        <is>
          <t xml:space="preserve">Cable released </t>
        </is>
      </c>
      <c r="F48" s="1234" t="n"/>
      <c r="G48" s="1234" t="n"/>
      <c r="H48" s="1740" t="n">
        <v>7</v>
      </c>
      <c r="I48" s="1741" t="inlineStr">
        <is>
          <t>pc</t>
        </is>
      </c>
      <c r="J48" s="1252" t="n"/>
      <c r="K48" s="1742" t="n">
        <v>7</v>
      </c>
      <c r="L48" s="1382" t="inlineStr">
        <is>
          <t>Manual</t>
        </is>
      </c>
      <c r="M48" s="1652" t="n"/>
      <c r="P48" s="1388" t="n"/>
    </row>
    <row r="49" ht="57.45" customHeight="1" s="1134">
      <c r="A49" s="1739" t="inlineStr">
        <is>
          <t>Shield/Ferrule crimping for coaxial and multicore</t>
        </is>
      </c>
      <c r="B49" s="1234" t="inlineStr">
        <is>
          <t>Place the cable in the press head, crimping on the shield, release of the cable</t>
        </is>
      </c>
      <c r="C49" s="1234" t="inlineStr">
        <is>
          <t xml:space="preserve">Tyco press - hydraulic Crimp Machine AT-66 / Schleuniger CT65 (NA Region)
</t>
        </is>
      </c>
      <c r="D49" s="1234" t="inlineStr">
        <is>
          <t>Place the cable in the head</t>
        </is>
      </c>
      <c r="E49" s="1234" t="inlineStr">
        <is>
          <t xml:space="preserve">Cable released </t>
        </is>
      </c>
      <c r="F49" s="1234" t="n"/>
      <c r="G49" s="1234" t="n"/>
      <c r="H49" s="1740" t="n">
        <v>15</v>
      </c>
      <c r="I49" s="1741" t="inlineStr">
        <is>
          <t>pc</t>
        </is>
      </c>
      <c r="J49" s="1252" t="n"/>
      <c r="K49" s="1742" t="n">
        <v>15</v>
      </c>
      <c r="L49" s="1382" t="inlineStr">
        <is>
          <t>Manual</t>
        </is>
      </c>
      <c r="M49" s="1652" t="n"/>
      <c r="P49" s="1388" t="n"/>
    </row>
    <row r="50" ht="46.25" customHeight="1" s="1134">
      <c r="A50" s="1297" t="n"/>
      <c r="B50" s="1747" t="inlineStr">
        <is>
          <t xml:space="preserve">Only for kostal coax connector; Place the cable in the press head, crimping on the shield, release of the cable for </t>
        </is>
      </c>
      <c r="C50" s="1234" t="inlineStr">
        <is>
          <t>Pressing Device</t>
        </is>
      </c>
      <c r="D50" s="1234" t="inlineStr">
        <is>
          <t>Place the cable in the head</t>
        </is>
      </c>
      <c r="E50" s="1234" t="inlineStr">
        <is>
          <t xml:space="preserve">Cable released </t>
        </is>
      </c>
      <c r="F50" s="1234" t="n"/>
      <c r="G50" s="1234" t="n"/>
      <c r="H50" s="1740" t="n">
        <v>15</v>
      </c>
      <c r="I50" s="1741" t="inlineStr">
        <is>
          <t>pc</t>
        </is>
      </c>
      <c r="J50" s="1252" t="n"/>
      <c r="K50" s="1742" t="n">
        <v>15</v>
      </c>
      <c r="L50" s="1382" t="inlineStr">
        <is>
          <t>Manual</t>
        </is>
      </c>
      <c r="M50" s="1652" t="n"/>
      <c r="P50" s="1388" t="n"/>
    </row>
    <row r="51" ht="46.25" customHeight="1" s="1134">
      <c r="A51" s="1545" t="n"/>
      <c r="B51" s="1747" t="inlineStr">
        <is>
          <t>Only for hirschman connector; Place the cable in the press head, crimping on the shield, release of the cable</t>
        </is>
      </c>
      <c r="C51" s="1234" t="inlineStr">
        <is>
          <t>VKM Press</t>
        </is>
      </c>
      <c r="D51" s="1234" t="inlineStr">
        <is>
          <t>Place the cable in the head</t>
        </is>
      </c>
      <c r="E51" s="1234" t="inlineStr">
        <is>
          <t xml:space="preserve">Cable released </t>
        </is>
      </c>
      <c r="F51" s="1234" t="n"/>
      <c r="G51" s="1234" t="n"/>
      <c r="H51" s="1740" t="n">
        <v>15</v>
      </c>
      <c r="I51" s="1741" t="inlineStr">
        <is>
          <t>pc</t>
        </is>
      </c>
      <c r="J51" s="1252" t="n"/>
      <c r="K51" s="1742" t="n">
        <v>15</v>
      </c>
      <c r="L51" s="1382" t="inlineStr">
        <is>
          <t>Manual</t>
        </is>
      </c>
      <c r="M51" s="1652" t="n"/>
      <c r="P51" s="1388" t="n"/>
    </row>
    <row r="52" ht="84.75" customHeight="1" s="1134">
      <c r="A52" s="1748" t="inlineStr">
        <is>
          <t>Terminal welding</t>
        </is>
      </c>
      <c r="B52" s="1234" t="inlineStr">
        <is>
          <t>Pick up the loose piece ring terminal, place it in the module, close the die; 
Pick up and place the wire in proper position, perform welding and cooling, release the cable</t>
        </is>
      </c>
      <c r="C52" s="1234" t="inlineStr">
        <is>
          <t xml:space="preserve">Schunk </t>
        </is>
      </c>
      <c r="D52" s="1234" t="inlineStr">
        <is>
          <t>Place the cable in the head</t>
        </is>
      </c>
      <c r="E52" s="1234" t="inlineStr">
        <is>
          <t xml:space="preserve">Cable released </t>
        </is>
      </c>
      <c r="F52" s="1234" t="n"/>
      <c r="G52" s="1234" t="n"/>
      <c r="H52" s="1740" t="n">
        <v>44.44</v>
      </c>
      <c r="I52" s="1741" t="inlineStr">
        <is>
          <t>pc</t>
        </is>
      </c>
      <c r="J52" s="1252" t="n"/>
      <c r="K52" s="1742" t="n">
        <v>44.44</v>
      </c>
      <c r="L52" s="1382" t="inlineStr">
        <is>
          <t>Manual</t>
        </is>
      </c>
      <c r="M52" s="1652" t="n"/>
      <c r="P52" s="1388" t="n"/>
    </row>
    <row r="53" ht="46.25" customHeight="1" s="1134">
      <c r="A53" s="1749" t="inlineStr">
        <is>
          <t xml:space="preserve">Brazing </t>
        </is>
      </c>
      <c r="B53" s="1750" t="inlineStr">
        <is>
          <t>Manual work to load terminals and wires correctly to the machine (get and loading harness; get and loading terminal)</t>
        </is>
      </c>
      <c r="C53" s="1750" t="inlineStr">
        <is>
          <t xml:space="preserve">Manual work </t>
        </is>
      </c>
      <c r="D53" s="1744" t="inlineStr">
        <is>
          <t>Pick up the harness</t>
        </is>
      </c>
      <c r="E53" s="1744" t="inlineStr">
        <is>
          <t xml:space="preserve">Remove the harness from the machine </t>
        </is>
      </c>
      <c r="F53" s="1744" t="n"/>
      <c r="G53" s="1744" t="n"/>
      <c r="H53" s="1745" t="n">
        <v>47</v>
      </c>
      <c r="I53" s="1741" t="inlineStr">
        <is>
          <t>pc</t>
        </is>
      </c>
      <c r="J53" s="1252" t="n"/>
      <c r="K53" s="1742" t="n">
        <v>47</v>
      </c>
      <c r="M53" s="1652" t="n"/>
      <c r="N53" s="1344" t="n"/>
      <c r="P53" s="1388" t="n"/>
    </row>
    <row r="54" ht="68.65000000000001" customHeight="1" s="1134">
      <c r="A54" s="1405" t="n"/>
      <c r="B54" s="1750" t="inlineStr">
        <is>
          <t>Activate the machine cycle, machine cycle to perform brazing and keep hands on the buttons (for terminals of 8mm up to 14mm)</t>
        </is>
      </c>
      <c r="C54" s="1750" t="inlineStr">
        <is>
          <t xml:space="preserve">Technax </t>
        </is>
      </c>
      <c r="D54" s="1744" t="inlineStr">
        <is>
          <t xml:space="preserve">Operator puts hands on machine buttons (operator keeps hands on machine buttons during entire machine cycle time) </t>
        </is>
      </c>
      <c r="E54" s="1744" t="inlineStr">
        <is>
          <t xml:space="preserve">Terminal released out of the electrode </t>
        </is>
      </c>
      <c r="F54" s="1744" t="n"/>
      <c r="G54" s="1744" t="n"/>
      <c r="H54" s="1745" t="n">
        <v>13</v>
      </c>
      <c r="I54" s="1741" t="inlineStr">
        <is>
          <t>pc</t>
        </is>
      </c>
      <c r="J54" s="1252" t="n"/>
      <c r="K54" s="1742" t="n">
        <v>13</v>
      </c>
      <c r="M54" s="1652" t="n"/>
      <c r="N54" s="1344" t="n"/>
      <c r="P54" s="1388" t="n"/>
    </row>
    <row r="55" ht="82.5" customHeight="1" s="1134">
      <c r="A55" s="1748" t="inlineStr">
        <is>
          <t>Shrinking</t>
        </is>
      </c>
      <c r="B55" s="1751" t="inlineStr">
        <is>
          <t>For ring terminal ; Load  8 cables to table, place the table into the oven, heating time, take out table, take out cables from oven. Time per cable.  (including cooling)</t>
        </is>
      </c>
      <c r="C55" s="1752" t="inlineStr">
        <is>
          <t>DSG Canusa – Shuttle Shrumpf Deray RKS 240- 60</t>
        </is>
      </c>
      <c r="D55" s="1753" t="inlineStr">
        <is>
          <t>Load cables</t>
        </is>
      </c>
      <c r="E55" s="1753" t="inlineStr">
        <is>
          <t>Take out cables</t>
        </is>
      </c>
      <c r="F55" s="1754" t="n"/>
      <c r="G55" s="1754" t="n"/>
      <c r="H55" s="1740" t="n">
        <v>18.75</v>
      </c>
      <c r="I55" s="1741" t="inlineStr">
        <is>
          <t>pc</t>
        </is>
      </c>
      <c r="J55" s="1252" t="n"/>
      <c r="K55" s="1742" t="n">
        <v>18.75</v>
      </c>
      <c r="L55" s="1382" t="inlineStr">
        <is>
          <t>Manual</t>
        </is>
      </c>
      <c r="M55" s="1652" t="n"/>
      <c r="P55" s="1388" t="n"/>
    </row>
    <row r="56" ht="100.5" customHeight="1" s="1134">
      <c r="A56" s="1232" t="n"/>
      <c r="B56" s="1755" t="inlineStr">
        <is>
          <t>For Connector or busbar terminals; Load 4 cables to table, place the table into the oven, heating time, take out table, take out cables from oven. Time per cable. 
(including cooling)</t>
        </is>
      </c>
      <c r="C56" s="1756" t="inlineStr">
        <is>
          <t>DSG Canusa – Shuttle Shrumpf Deray RKS 240- 60</t>
        </is>
      </c>
      <c r="D56" s="1753" t="inlineStr">
        <is>
          <t>Load cables</t>
        </is>
      </c>
      <c r="E56" s="1753" t="inlineStr">
        <is>
          <t>Take out cables</t>
        </is>
      </c>
      <c r="F56" s="1754" t="n"/>
      <c r="G56" s="1754" t="n"/>
      <c r="H56" s="1740" t="n">
        <v>37.5</v>
      </c>
      <c r="I56" s="1741" t="inlineStr">
        <is>
          <t>pc</t>
        </is>
      </c>
      <c r="J56" s="1252" t="n"/>
      <c r="K56" s="1742" t="n">
        <v>37.5</v>
      </c>
      <c r="L56" s="1382" t="inlineStr">
        <is>
          <t>Manual</t>
        </is>
      </c>
      <c r="M56" s="1652" t="n"/>
      <c r="P56" s="1388" t="n"/>
    </row>
    <row r="57" ht="123" customHeight="1" s="1134">
      <c r="A57" s="1232" t="n"/>
      <c r="B57" s="1747" t="inlineStr">
        <is>
          <t xml:space="preserve">For ONE piece shrink:  place the table into the oven, heating time, take out table, take out cables from oven. Time per cable. 
(including cooling)
Shrink Tube: (M3552005 120mm）
 AP Region only </t>
        </is>
      </c>
      <c r="C57" s="1234" t="inlineStr">
        <is>
          <t>DSG Canusa - Workman TP (Desktop HS machine)</t>
        </is>
      </c>
      <c r="D57" s="1561" t="inlineStr">
        <is>
          <t>Load cables</t>
        </is>
      </c>
      <c r="E57" s="1561" t="inlineStr">
        <is>
          <t>Take out cables</t>
        </is>
      </c>
      <c r="F57" s="1234" t="n"/>
      <c r="G57" s="1234" t="n"/>
      <c r="H57" s="1740" t="n">
        <v>102</v>
      </c>
      <c r="I57" s="1741" t="inlineStr">
        <is>
          <t>pc</t>
        </is>
      </c>
      <c r="J57" s="1252" t="n"/>
      <c r="K57" s="1742" t="n">
        <v>102</v>
      </c>
      <c r="L57" s="1382" t="inlineStr">
        <is>
          <t>Manual</t>
        </is>
      </c>
      <c r="M57" s="1652" t="n"/>
      <c r="P57" s="1388" t="n"/>
    </row>
    <row r="58" ht="120.75" customHeight="1" s="1134">
      <c r="A58" s="1232" t="n"/>
      <c r="B58" s="1747" t="inlineStr">
        <is>
          <t xml:space="preserve">For ONE piece shrink: place the table into the oven, heating time, take out table, take out cables from oven. Time per cable. 
(including cooling)
Shrink Tube: (33285302 67mm）
 AP Region only </t>
        </is>
      </c>
      <c r="C58" s="1234" t="inlineStr">
        <is>
          <t>DSG Canusa - Workman TP (Desktop HS machine)</t>
        </is>
      </c>
      <c r="D58" s="1561" t="inlineStr">
        <is>
          <t>Load cables</t>
        </is>
      </c>
      <c r="E58" s="1561" t="inlineStr">
        <is>
          <t>Take out cables</t>
        </is>
      </c>
      <c r="F58" s="1234" t="n"/>
      <c r="G58" s="1234" t="n"/>
      <c r="H58" s="1740" t="n">
        <v>127</v>
      </c>
      <c r="I58" s="1741" t="inlineStr">
        <is>
          <t>pc</t>
        </is>
      </c>
      <c r="J58" s="1252" t="n"/>
      <c r="K58" s="1742" t="n">
        <v>127</v>
      </c>
      <c r="L58" s="1382" t="inlineStr">
        <is>
          <t>Manual</t>
        </is>
      </c>
      <c r="M58" s="1652" t="n"/>
      <c r="P58" s="1388" t="n"/>
    </row>
    <row r="59" ht="49.5" customHeight="1" s="1134">
      <c r="A59" s="1405" t="n"/>
      <c r="B59" s="1506" t="inlineStr">
        <is>
          <t>Shrinking over the crushshield with positioning required (including cooling)</t>
        </is>
      </c>
      <c r="C59" s="1757" t="inlineStr">
        <is>
          <t xml:space="preserve">CV_OBHAT-1600W SYSTEM
S/N: 12D053
</t>
        </is>
      </c>
      <c r="D59" s="1561" t="inlineStr">
        <is>
          <t>Adjust tube position</t>
        </is>
      </c>
      <c r="E59" s="1561" t="inlineStr">
        <is>
          <t>Release after cooling is completed</t>
        </is>
      </c>
      <c r="F59" s="1493" t="n"/>
      <c r="G59" s="1493" t="n"/>
      <c r="H59" s="1740" t="n">
        <v>45</v>
      </c>
      <c r="I59" s="1741" t="inlineStr">
        <is>
          <t>pc</t>
        </is>
      </c>
      <c r="J59" s="1252" t="n"/>
      <c r="K59" s="1742" t="n">
        <v>45</v>
      </c>
      <c r="L59" s="1382" t="inlineStr">
        <is>
          <t>Manual</t>
        </is>
      </c>
      <c r="M59" s="1652" t="n"/>
      <c r="P59" s="1388" t="n"/>
    </row>
    <row r="60" ht="54.75" customHeight="1" s="1134">
      <c r="A60" s="1758" t="inlineStr">
        <is>
          <t>Aluminum tube bending with Robot</t>
        </is>
      </c>
      <c r="B60" s="1759" t="inlineStr">
        <is>
          <t>Load the tube to a transfer station by operator; Robot take it and place it on support;  release after bending</t>
        </is>
      </c>
      <c r="C60" s="1652" t="inlineStr">
        <is>
          <t>manual work</t>
        </is>
      </c>
      <c r="D60" s="1367" t="inlineStr">
        <is>
          <t xml:space="preserve">pick up the piece </t>
        </is>
      </c>
      <c r="E60" s="1760" t="inlineStr">
        <is>
          <t>put tube away</t>
        </is>
      </c>
      <c r="F60" s="1493" t="n"/>
      <c r="G60" s="1493" t="n"/>
      <c r="H60" s="1740" t="n">
        <v>32</v>
      </c>
      <c r="I60" s="1741" t="inlineStr">
        <is>
          <t>pc</t>
        </is>
      </c>
      <c r="J60" s="1252" t="n"/>
      <c r="K60" s="1742" t="n">
        <v>32</v>
      </c>
      <c r="L60" s="1382" t="inlineStr">
        <is>
          <t>Manual</t>
        </is>
      </c>
      <c r="M60" s="1652" t="n"/>
      <c r="P60" s="1388" t="n"/>
    </row>
    <row r="61" ht="47.25" customHeight="1" s="1134">
      <c r="A61" s="1232" t="n"/>
      <c r="B61" s="1757" t="inlineStr">
        <is>
          <t>Bending to the tube performed by the robot (time per each bend)</t>
        </is>
      </c>
      <c r="C61" s="1761" t="inlineStr">
        <is>
          <t xml:space="preserve">Miic America T-WIN20 Bending Robot </t>
        </is>
      </c>
      <c r="D61" s="1561" t="inlineStr">
        <is>
          <t>start the bending</t>
        </is>
      </c>
      <c r="E61" s="1760" t="inlineStr">
        <is>
          <t>bending is completed</t>
        </is>
      </c>
      <c r="F61" s="1493" t="n"/>
      <c r="G61" s="1493" t="n"/>
      <c r="H61" s="1740" t="n">
        <v>4.3</v>
      </c>
      <c r="I61" s="1741" t="inlineStr">
        <is>
          <t>pc</t>
        </is>
      </c>
      <c r="J61" s="1252" t="n"/>
      <c r="K61" s="1742" t="n">
        <v>4.3</v>
      </c>
      <c r="L61" s="1382" t="inlineStr">
        <is>
          <t>Manual</t>
        </is>
      </c>
      <c r="M61" s="1652" t="n"/>
      <c r="P61" s="1388" t="n"/>
    </row>
    <row r="62" ht="47.25" customHeight="1" s="1134">
      <c r="A62" s="1762" t="inlineStr">
        <is>
          <t>NA REGION STANDARDS</t>
        </is>
      </c>
      <c r="B62" s="1664" t="n"/>
      <c r="C62" s="1763" t="n"/>
      <c r="D62" s="1537" t="n"/>
      <c r="E62" s="1760" t="n"/>
      <c r="F62" s="1617" t="n"/>
      <c r="G62" s="1617" t="n"/>
      <c r="H62" s="1764" t="n"/>
      <c r="I62" s="1765" t="n"/>
      <c r="J62" s="1766" t="n"/>
      <c r="K62" s="1248" t="n"/>
      <c r="M62" s="1652" t="n"/>
      <c r="P62" s="1388" t="n"/>
    </row>
    <row r="63" ht="47.25" customHeight="1" s="1134">
      <c r="A63" s="1739" t="inlineStr">
        <is>
          <t>Open and bend ends of a braided strap cable</t>
        </is>
      </c>
      <c r="B63" s="1234" t="inlineStr">
        <is>
          <t>Pick up braided strap cable, open it and bend its end inwards</t>
        </is>
      </c>
      <c r="C63" s="1234" t="inlineStr">
        <is>
          <t xml:space="preserve">manual work </t>
        </is>
      </c>
      <c r="D63" s="1234" t="inlineStr">
        <is>
          <t xml:space="preserve">pick up the piece </t>
        </is>
      </c>
      <c r="E63" s="1234" t="inlineStr">
        <is>
          <t>put cable away</t>
        </is>
      </c>
      <c r="F63" s="1234" t="n"/>
      <c r="G63" s="1234" t="n"/>
      <c r="H63" s="1740" t="n">
        <v>27.5</v>
      </c>
      <c r="I63" s="1739" t="inlineStr">
        <is>
          <t>per each end of cable</t>
        </is>
      </c>
      <c r="J63" s="1766" t="n"/>
      <c r="K63" s="1248" t="n"/>
      <c r="M63" s="1652" t="n"/>
      <c r="P63" s="1388" t="n"/>
    </row>
    <row r="64" ht="47.25" customHeight="1" s="1134">
      <c r="A64" s="1739" t="inlineStr">
        <is>
          <t>Assemble cover and a braided strap cable, joined with metallic tie</t>
        </is>
      </c>
      <c r="B64" s="1234" t="inlineStr">
        <is>
          <t>Pick up and join parts (Cover, braided strap cable, metalic wire tie)</t>
        </is>
      </c>
      <c r="C64" s="1234" t="inlineStr">
        <is>
          <t xml:space="preserve">manual work </t>
        </is>
      </c>
      <c r="D64" s="1234" t="inlineStr">
        <is>
          <t xml:space="preserve">pick up the piece </t>
        </is>
      </c>
      <c r="E64" s="1234" t="inlineStr">
        <is>
          <t>put assembly away</t>
        </is>
      </c>
      <c r="F64" s="1234" t="n"/>
      <c r="G64" s="1234" t="n"/>
      <c r="H64" s="1740" t="n">
        <v>53</v>
      </c>
      <c r="I64" s="1739" t="inlineStr">
        <is>
          <t>per each end</t>
        </is>
      </c>
      <c r="J64" s="1766" t="n"/>
      <c r="K64" s="1248" t="n"/>
      <c r="M64" s="1652" t="n"/>
      <c r="P64" s="1388" t="n"/>
    </row>
    <row r="65" ht="47.25" customHeight="1" s="1134">
      <c r="A65" s="1739" t="inlineStr">
        <is>
          <t>Resistance test on cover and braided strap cable assembly</t>
        </is>
      </c>
      <c r="B65" s="1234" t="inlineStr">
        <is>
          <t>Apply resistance test</t>
        </is>
      </c>
      <c r="C65" s="1234" t="inlineStr">
        <is>
          <t>Resistance test device</t>
        </is>
      </c>
      <c r="D65" s="1234" t="inlineStr">
        <is>
          <t xml:space="preserve">pick up the piece </t>
        </is>
      </c>
      <c r="E65" s="1234" t="inlineStr">
        <is>
          <t>take tester device away</t>
        </is>
      </c>
      <c r="F65" s="1234" t="n"/>
      <c r="G65" s="1234" t="n"/>
      <c r="H65" s="1740" t="n">
        <v>12</v>
      </c>
      <c r="I65" s="1739" t="inlineStr">
        <is>
          <t>per each end</t>
        </is>
      </c>
      <c r="J65" s="1766" t="n"/>
      <c r="K65" s="1248" t="n"/>
      <c r="M65" s="1652" t="n"/>
      <c r="P65" s="1388" t="n"/>
    </row>
    <row r="66" ht="47.25" customHeight="1" s="1134">
      <c r="A66" s="1739" t="inlineStr">
        <is>
          <t>Pass cables through braided strap cable</t>
        </is>
      </c>
      <c r="B66" s="1234" t="inlineStr">
        <is>
          <t>Pick up battery cables and pass them through braided strap cable (aligned) with help of special tool</t>
        </is>
      </c>
      <c r="C66" s="1234" t="inlineStr">
        <is>
          <t xml:space="preserve">manual work </t>
        </is>
      </c>
      <c r="D66" s="1234" t="inlineStr">
        <is>
          <t xml:space="preserve">pick up the piece </t>
        </is>
      </c>
      <c r="E66" s="1234" t="inlineStr">
        <is>
          <t>put assembly away</t>
        </is>
      </c>
      <c r="F66" s="1234" t="n"/>
      <c r="G66" s="1234" t="n"/>
      <c r="H66" s="1740" t="n">
        <v>40</v>
      </c>
      <c r="I66" s="1739" t="inlineStr">
        <is>
          <t>per process</t>
        </is>
      </c>
      <c r="J66" s="1766" t="n"/>
      <c r="K66" s="1248" t="n"/>
      <c r="M66" s="1652" t="n"/>
      <c r="P66" s="1388" t="n"/>
    </row>
    <row r="67" ht="47.25" customHeight="1" s="1134">
      <c r="A67" s="1739" t="inlineStr">
        <is>
          <t>Apply seal gasket on connector</t>
        </is>
      </c>
      <c r="B67" s="1234" t="inlineStr">
        <is>
          <t>Pick up and join loose materials (seal gasket, conn). Two conn, two ends were analized</t>
        </is>
      </c>
      <c r="C67" s="1234" t="inlineStr">
        <is>
          <t xml:space="preserve">manual work </t>
        </is>
      </c>
      <c r="D67" s="1234" t="inlineStr">
        <is>
          <t xml:space="preserve">pick up the piece </t>
        </is>
      </c>
      <c r="E67" s="1234" t="inlineStr">
        <is>
          <t>put piece away</t>
        </is>
      </c>
      <c r="F67" s="1234" t="n"/>
      <c r="G67" s="1234" t="n"/>
      <c r="H67" s="1740" t="n">
        <v>8.5</v>
      </c>
      <c r="I67" s="1739" t="inlineStr">
        <is>
          <t>per each end (per each conn)</t>
        </is>
      </c>
      <c r="J67" s="1766" t="n"/>
      <c r="K67" s="1248" t="n"/>
      <c r="M67" s="1652" t="n"/>
      <c r="P67" s="1388" t="n"/>
    </row>
    <row r="68" ht="47.25" customHeight="1" s="1134">
      <c r="A68" s="1739" t="inlineStr">
        <is>
          <t>Assemble USW terminals and connector cover to main connector (2 conn, 3 term by each end)</t>
        </is>
      </c>
      <c r="B68" s="1234" t="inlineStr">
        <is>
          <t>Pick up assembly (battery cables inside the strap cable with cover attached) and join it to connector</t>
        </is>
      </c>
      <c r="C68" s="1234" t="inlineStr">
        <is>
          <t xml:space="preserve">manual work </t>
        </is>
      </c>
      <c r="D68" s="1234" t="inlineStr">
        <is>
          <t xml:space="preserve">pick up the piece </t>
        </is>
      </c>
      <c r="E68" s="1234" t="inlineStr">
        <is>
          <t>put assembly away</t>
        </is>
      </c>
      <c r="F68" s="1234" t="n"/>
      <c r="G68" s="1234" t="n"/>
      <c r="H68" s="1740" t="n">
        <v>51.5</v>
      </c>
      <c r="I68" s="1739" t="inlineStr">
        <is>
          <t>per each end (per each conn)</t>
        </is>
      </c>
      <c r="J68" s="1766" t="n"/>
      <c r="K68" s="1248" t="n"/>
      <c r="M68" s="1652" t="n"/>
      <c r="P68" s="1388" t="n"/>
    </row>
    <row r="69" ht="47.25" customHeight="1" s="1134">
      <c r="A69" s="1739" t="inlineStr">
        <is>
          <t>Leak test for connectors</t>
        </is>
      </c>
      <c r="B69" s="1234" t="inlineStr">
        <is>
          <t>Apply leak test to connectors (2 at a time)</t>
        </is>
      </c>
      <c r="C69" s="1234" t="inlineStr">
        <is>
          <t>Leak test station</t>
        </is>
      </c>
      <c r="D69" s="1234" t="inlineStr">
        <is>
          <t xml:space="preserve">pick up the piece </t>
        </is>
      </c>
      <c r="E69" s="1234" t="inlineStr">
        <is>
          <t>put assembly away</t>
        </is>
      </c>
      <c r="F69" s="1234" t="n"/>
      <c r="G69" s="1234" t="n"/>
      <c r="H69" s="1740" t="n">
        <v>32</v>
      </c>
      <c r="I69" s="1739" t="inlineStr">
        <is>
          <t>per process</t>
        </is>
      </c>
      <c r="J69" s="1766" t="n"/>
      <c r="K69" s="1248" t="n"/>
      <c r="M69" s="1652" t="n"/>
      <c r="P69" s="1388" t="n"/>
    </row>
    <row r="70" ht="47.25" customHeight="1" s="1134">
      <c r="A70" s="1739" t="inlineStr">
        <is>
          <t>Apply and secure O-Rings into connector</t>
        </is>
      </c>
      <c r="B70" s="1234" t="inlineStr">
        <is>
          <t>Pick up assembly of battery cables with connectors and place it on the station, pick up O-Rings and apply them on each connector</t>
        </is>
      </c>
      <c r="C70" s="1234" t="inlineStr">
        <is>
          <t xml:space="preserve">manual work </t>
        </is>
      </c>
      <c r="D70" s="1234" t="inlineStr">
        <is>
          <t xml:space="preserve">pick up the piece </t>
        </is>
      </c>
      <c r="E70" s="1234" t="inlineStr">
        <is>
          <t>put assembly away</t>
        </is>
      </c>
      <c r="F70" s="1234" t="n"/>
      <c r="G70" s="1234" t="n"/>
      <c r="H70" s="1740">
        <f>24.5/3</f>
        <v/>
      </c>
      <c r="I70" s="1739" t="inlineStr">
        <is>
          <t xml:space="preserve">per piece </t>
        </is>
      </c>
      <c r="J70" s="1766" t="n"/>
      <c r="K70" s="1248" t="n"/>
      <c r="M70" s="1652" t="n"/>
      <c r="P70" s="1388" t="n"/>
    </row>
    <row r="71" ht="47.25" customHeight="1" s="1134">
      <c r="A71" s="1739" t="inlineStr">
        <is>
          <t>Hi Voltage Test</t>
        </is>
      </c>
      <c r="B71" s="1234" t="inlineStr">
        <is>
          <t>Take harness and place it into Hi pot station, place each connector on propper holder and do the hi voltage test</t>
        </is>
      </c>
      <c r="C71" s="1234" t="inlineStr">
        <is>
          <t>Hi-pot station</t>
        </is>
      </c>
      <c r="D71" s="1234" t="inlineStr">
        <is>
          <t xml:space="preserve">pick up the piece </t>
        </is>
      </c>
      <c r="E71" s="1234" t="inlineStr">
        <is>
          <t>put harness away</t>
        </is>
      </c>
      <c r="F71" s="1234" t="n"/>
      <c r="G71" s="1234" t="n"/>
      <c r="H71" s="1740" t="n">
        <v>20</v>
      </c>
      <c r="I71" s="1739" t="inlineStr">
        <is>
          <t>20 sec per each conn on harness</t>
        </is>
      </c>
      <c r="J71" s="1766" t="n"/>
      <c r="K71" s="1248" t="n"/>
      <c r="M71" s="1652" t="n"/>
      <c r="P71" s="1388" t="n"/>
    </row>
    <row r="72" ht="47.25" customHeight="1" s="1134">
      <c r="A72" s="1739" t="inlineStr">
        <is>
          <t>Take off inner insulation from coax cable</t>
        </is>
      </c>
      <c r="B72" s="1234" t="inlineStr">
        <is>
          <t>Take off outer jacket of mulitconductor, coax cable, same as Lead Prep</t>
        </is>
      </c>
      <c r="C72" s="1234" t="inlineStr">
        <is>
          <t>hand work</t>
        </is>
      </c>
      <c r="D72" s="1234" t="n"/>
      <c r="E72" s="1234" t="n"/>
      <c r="F72" s="1234" t="n"/>
      <c r="G72" s="1234" t="n"/>
      <c r="H72" s="1740" t="n">
        <v>3</v>
      </c>
      <c r="I72" s="1739" t="inlineStr">
        <is>
          <t>Cab End</t>
        </is>
      </c>
      <c r="J72" s="1766" t="n"/>
      <c r="K72" s="1248" t="n"/>
      <c r="M72" s="1652" t="n"/>
      <c r="P72" s="1388" t="n"/>
    </row>
    <row r="73" ht="47.25" customHeight="1" s="1134">
      <c r="A73" s="1739" t="inlineStr">
        <is>
          <t>Sonic Splice with coax cables</t>
        </is>
      </c>
      <c r="B73" s="1234" t="inlineStr">
        <is>
          <t>Pick up and place the wires in proper position, perform welding, release the cables. (4 cables on this analysis)</t>
        </is>
      </c>
      <c r="C73" s="1234" t="inlineStr">
        <is>
          <t>Telsonic</t>
        </is>
      </c>
      <c r="D73" s="1234" t="inlineStr">
        <is>
          <t>Place the cables in the head</t>
        </is>
      </c>
      <c r="E73" s="1234" t="inlineStr">
        <is>
          <t xml:space="preserve">Cables released </t>
        </is>
      </c>
      <c r="F73" s="1234" t="n"/>
      <c r="G73" s="1234" t="n"/>
      <c r="H73" s="1740" t="n">
        <v>63</v>
      </c>
      <c r="I73" s="1739" t="inlineStr">
        <is>
          <t>pc</t>
        </is>
      </c>
      <c r="J73" s="1766" t="n"/>
      <c r="K73" s="1248" t="n"/>
      <c r="M73" s="1652" t="n"/>
      <c r="P73" s="1388" t="n"/>
    </row>
    <row r="74" ht="47.25" customHeight="1" s="1134">
      <c r="A74" s="1739" t="inlineStr">
        <is>
          <t>Shrinking</t>
        </is>
      </c>
      <c r="B74" s="1234" t="inlineStr">
        <is>
          <t>Shrinking over the splice with positioning required (including cooling)</t>
        </is>
      </c>
      <c r="C74" s="1234" t="inlineStr">
        <is>
          <t>Mecalbi Station</t>
        </is>
      </c>
      <c r="D74" s="1234" t="inlineStr">
        <is>
          <t>Adjust tube position with vision system</t>
        </is>
      </c>
      <c r="E74" s="1234" t="inlineStr">
        <is>
          <t>Release after cooling is completed</t>
        </is>
      </c>
      <c r="F74" s="1234" t="n"/>
      <c r="G74" s="1234" t="n"/>
      <c r="H74" s="1740" t="n">
        <v>73.27</v>
      </c>
      <c r="I74" s="1739" t="inlineStr">
        <is>
          <t>pc</t>
        </is>
      </c>
      <c r="J74" s="1766" t="n"/>
      <c r="K74" s="1248" t="n"/>
      <c r="M74" s="1652" t="n"/>
      <c r="P74" s="1388" t="n"/>
    </row>
    <row r="75" ht="47.25" customHeight="1" s="1134">
      <c r="A75" s="1739" t="inlineStr">
        <is>
          <t>Apply O'Rings over barrel terminal</t>
        </is>
      </c>
      <c r="B75" s="1234" t="inlineStr">
        <is>
          <t>Pick up O-Rings and apply them around the barrel terminal</t>
        </is>
      </c>
      <c r="C75" s="1234" t="inlineStr">
        <is>
          <t xml:space="preserve">manual work </t>
        </is>
      </c>
      <c r="D75" s="1234" t="inlineStr">
        <is>
          <t xml:space="preserve">pick up the piece </t>
        </is>
      </c>
      <c r="E75" s="1234" t="inlineStr">
        <is>
          <t>Leave assembly  away</t>
        </is>
      </c>
      <c r="F75" s="1234" t="n"/>
      <c r="G75" s="1234" t="n"/>
      <c r="H75" s="1740" t="n">
        <v>10.5</v>
      </c>
      <c r="I75" s="1739" t="inlineStr">
        <is>
          <t>pc</t>
        </is>
      </c>
      <c r="J75" s="1766" t="n"/>
      <c r="K75" s="1248" t="n"/>
      <c r="M75" s="1652" t="n"/>
      <c r="P75" s="1388" t="n"/>
    </row>
    <row r="76" ht="47.25" customHeight="1" s="1134">
      <c r="A76" s="1739" t="inlineStr">
        <is>
          <t>single crimping for barrel terminals</t>
        </is>
      </c>
      <c r="B76" s="1234" t="inlineStr">
        <is>
          <t>Barrel Press / per crimp</t>
        </is>
      </c>
      <c r="C76" s="1234" t="inlineStr">
        <is>
          <t>Pico Press</t>
        </is>
      </c>
      <c r="D76" s="1234" t="n"/>
      <c r="E76" s="1234" t="n"/>
      <c r="F76" s="1234" t="n"/>
      <c r="G76" s="1234" t="n"/>
      <c r="H76" s="1740" t="n">
        <v>9.890000000000001</v>
      </c>
      <c r="I76" s="1739" t="n"/>
      <c r="J76" s="1766" t="n"/>
      <c r="K76" s="1248" t="n"/>
      <c r="M76" s="1652" t="n"/>
      <c r="P76" s="1388" t="n"/>
    </row>
    <row r="77" ht="47.25" customHeight="1" s="1134">
      <c r="A77" s="1739" t="inlineStr">
        <is>
          <t>single crimping for loose terminal on coax cable including orientation</t>
        </is>
      </c>
      <c r="B77" s="1234" t="inlineStr">
        <is>
          <t>single crimping on coax cable for loose terminal going after a ferrule</t>
        </is>
      </c>
      <c r="C77" s="1234" t="inlineStr">
        <is>
          <t>Schleuniger CT65</t>
        </is>
      </c>
      <c r="D77" s="1234" t="n"/>
      <c r="E77" s="1234" t="n"/>
      <c r="F77" s="1234" t="n"/>
      <c r="G77" s="1234" t="n"/>
      <c r="H77" s="1740" t="n">
        <v>37</v>
      </c>
      <c r="I77" s="1739" t="n"/>
      <c r="J77" s="1766" t="n"/>
      <c r="K77" s="1248" t="n"/>
      <c r="M77" s="1652" t="n"/>
      <c r="P77" s="1388" t="n"/>
    </row>
    <row r="78" ht="15" customHeight="1" s="1134">
      <c r="A78" s="1721" t="inlineStr">
        <is>
          <t>FINAL ASSEMBLY</t>
        </is>
      </c>
      <c r="B78" s="1589" t="n"/>
      <c r="C78" s="1589" t="n"/>
      <c r="D78" s="1589" t="n"/>
      <c r="E78" s="1589" t="n"/>
      <c r="F78" s="1589" t="n"/>
      <c r="G78" s="1589" t="n"/>
      <c r="H78" s="1589" t="n"/>
      <c r="I78" s="1589" t="n"/>
      <c r="J78" s="1589" t="n"/>
      <c r="K78" s="1140" t="n"/>
      <c r="M78" s="1652" t="n"/>
      <c r="P78" s="1388" t="n"/>
    </row>
    <row r="79" ht="15" customHeight="1" s="1134">
      <c r="A79" s="1329" t="n"/>
      <c r="B79" s="1390" t="n"/>
      <c r="C79" s="1390" t="n"/>
      <c r="D79" s="1390" t="n"/>
      <c r="E79" s="1390" t="n"/>
      <c r="F79" s="1390" t="n"/>
      <c r="G79" s="1390" t="n"/>
      <c r="H79" s="1390" t="n"/>
      <c r="I79" s="1390" t="n"/>
      <c r="J79" s="1390" t="n"/>
      <c r="K79" s="1213" t="n"/>
      <c r="M79" s="1652" t="n"/>
      <c r="P79" s="1388" t="n"/>
    </row>
    <row r="80" ht="78.75" customHeight="1" s="1134">
      <c r="A80" s="1767" t="inlineStr">
        <is>
          <t>NOTE:</t>
        </is>
      </c>
      <c r="B80" s="1768" t="inlineStr">
        <is>
          <t>use standard times from FA sheets for the following operations: routing on boards, plugging (Plug unsealed terminals to seal connectors (deep cavity &gt; 30 mm), taping &amp; covering operations, Apply secondary locks and covers to connectors (Loose piece secondary Locks/Covers/Combs / Inserts / hexagonal lock), testing (means first low voltage and then High Voltage)</t>
        </is>
      </c>
      <c r="C80" s="1589" t="n"/>
      <c r="D80" s="1589" t="n"/>
      <c r="E80" s="1589" t="n"/>
      <c r="F80" s="1589" t="n"/>
      <c r="G80" s="1589" t="n"/>
      <c r="H80" s="1589" t="n"/>
      <c r="I80" s="1589" t="n"/>
      <c r="J80" s="1589" t="n"/>
      <c r="K80" s="1140" t="n"/>
      <c r="M80" s="1652" t="n"/>
      <c r="P80" s="1388" t="n"/>
    </row>
    <row r="81" ht="25.5" customHeight="1" s="1134">
      <c r="A81" s="1769" t="inlineStr">
        <is>
          <t>BUILD CATEGORY</t>
        </is>
      </c>
      <c r="B81" s="1770" t="inlineStr">
        <is>
          <t xml:space="preserve">Description </t>
        </is>
      </c>
      <c r="C81" s="1771" t="inlineStr">
        <is>
          <t xml:space="preserve">Standard Description </t>
        </is>
      </c>
      <c r="D81" s="1771" t="inlineStr">
        <is>
          <t>Clock start</t>
        </is>
      </c>
      <c r="E81" s="1770" t="inlineStr">
        <is>
          <t>Clock stop</t>
        </is>
      </c>
      <c r="F81" s="1770" t="n"/>
      <c r="G81" s="1770" t="n"/>
      <c r="H81" s="1772" t="inlineStr">
        <is>
          <t>GLOBAL SEC/PC</t>
        </is>
      </c>
      <c r="I81" s="1773" t="inlineStr">
        <is>
          <t>UNIT</t>
        </is>
      </c>
      <c r="J81" s="1774" t="inlineStr">
        <is>
          <t>Qty</t>
        </is>
      </c>
      <c r="K81" s="1775" t="inlineStr">
        <is>
          <t>Total Time</t>
        </is>
      </c>
      <c r="M81" s="1652" t="n"/>
      <c r="P81" s="1388" t="n"/>
    </row>
    <row r="82" ht="45.75" customHeight="1" s="1134">
      <c r="A82" s="1748" t="inlineStr">
        <is>
          <t>Feed cables / cable positioning</t>
        </is>
      </c>
      <c r="B82" s="1506" t="inlineStr">
        <is>
          <t>Feed cables throught cavities in alubox
Positioning of cables in the tool</t>
        </is>
      </c>
      <c r="C82" s="1561" t="inlineStr">
        <is>
          <t>per cavity in alubox</t>
        </is>
      </c>
      <c r="D82" s="1561" t="inlineStr">
        <is>
          <t xml:space="preserve">pick up the cable </t>
        </is>
      </c>
      <c r="E82" s="1561" t="inlineStr">
        <is>
          <t>cable in place</t>
        </is>
      </c>
      <c r="F82" s="1493" t="n"/>
      <c r="G82" s="1493" t="n"/>
      <c r="H82" s="1740" t="n">
        <v>5.68</v>
      </c>
      <c r="I82" s="1741" t="inlineStr">
        <is>
          <t>pc</t>
        </is>
      </c>
      <c r="J82" s="1252" t="n"/>
      <c r="K82" s="1742" t="n">
        <v>5.68</v>
      </c>
      <c r="L82" s="1231" t="inlineStr">
        <is>
          <t>Manual</t>
        </is>
      </c>
      <c r="M82" s="1652" t="n"/>
      <c r="P82" s="1388" t="n"/>
    </row>
    <row r="83" ht="52.5" customHeight="1" s="1134">
      <c r="A83" s="1748" t="inlineStr">
        <is>
          <t>Press the seal with covers inside alubox cavity</t>
        </is>
      </c>
      <c r="B83" s="1506" t="inlineStr">
        <is>
          <t>Close the covers to hold cables in position for pressing operation . Press the seal with covers inside alubox cavity</t>
        </is>
      </c>
      <c r="C83" s="1561" t="inlineStr">
        <is>
          <t xml:space="preserve">per connector </t>
        </is>
      </c>
      <c r="D83" s="1561" t="inlineStr">
        <is>
          <t>last cable on position</t>
        </is>
      </c>
      <c r="E83" s="1561" t="inlineStr">
        <is>
          <t>connector released</t>
        </is>
      </c>
      <c r="F83" s="1493" t="n"/>
      <c r="G83" s="1493" t="n"/>
      <c r="H83" s="1740" t="n">
        <v>15.24</v>
      </c>
      <c r="I83" s="1741" t="inlineStr">
        <is>
          <t>pc</t>
        </is>
      </c>
      <c r="J83" s="1252" t="n"/>
      <c r="K83" s="1742" t="n">
        <v>15.24</v>
      </c>
      <c r="L83" s="1231" t="inlineStr">
        <is>
          <t>Manual</t>
        </is>
      </c>
      <c r="M83" s="1652" t="n"/>
      <c r="P83" s="1388" t="n"/>
      <c r="Q83" s="1776" t="n"/>
    </row>
    <row r="84" ht="52.5" customHeight="1" s="1134">
      <c r="A84" s="1749" t="inlineStr">
        <is>
          <t>Connector subassembly (ongoing)</t>
        </is>
      </c>
      <c r="B84" s="1777" t="n"/>
      <c r="C84" s="1778" t="n"/>
      <c r="D84" s="1778" t="n"/>
      <c r="E84" s="1778" t="n"/>
      <c r="F84" s="1779" t="n"/>
      <c r="G84" s="1779" t="n"/>
      <c r="H84" s="1745" t="n"/>
      <c r="I84" s="1741" t="n"/>
      <c r="J84" s="1252" t="n"/>
      <c r="K84" s="1228" t="n"/>
      <c r="L84" s="1231" t="n"/>
      <c r="M84" s="1652" t="n"/>
      <c r="Q84" s="1776" t="n"/>
    </row>
    <row r="85" ht="41.25" customHeight="1" s="1134">
      <c r="A85" s="1780" t="inlineStr">
        <is>
          <t>Insert seal into connector cavity</t>
        </is>
      </c>
      <c r="B85" s="1781" t="inlineStr">
        <is>
          <t>Insert connector seal and collet together  into connector cavity or over terminal</t>
        </is>
      </c>
      <c r="C85" s="1561" t="inlineStr">
        <is>
          <t>hand tool</t>
        </is>
      </c>
      <c r="D85" s="1561" t="inlineStr">
        <is>
          <t>move seal to the proper position</t>
        </is>
      </c>
      <c r="E85" s="1561" t="inlineStr">
        <is>
          <t>seal properly seated in the cavity</t>
        </is>
      </c>
      <c r="F85" s="1493" t="n"/>
      <c r="G85" s="1493" t="n"/>
      <c r="H85" s="1740" t="n">
        <v>8</v>
      </c>
      <c r="I85" s="1741" t="inlineStr">
        <is>
          <t>pc</t>
        </is>
      </c>
      <c r="J85" s="1252" t="n"/>
      <c r="K85" s="1742" t="n">
        <v>8</v>
      </c>
      <c r="L85" s="1231" t="inlineStr">
        <is>
          <t>Manual</t>
        </is>
      </c>
      <c r="M85" s="1652" t="n"/>
      <c r="P85" s="1388" t="n"/>
    </row>
    <row r="86" ht="41.25" customHeight="1" s="1134">
      <c r="A86" s="1782" t="inlineStr">
        <is>
          <t>Close end-cap (ongoing)</t>
        </is>
      </c>
      <c r="B86" s="1783" t="n"/>
      <c r="C86" s="1778" t="n"/>
      <c r="D86" s="1778" t="n"/>
      <c r="E86" s="1778" t="n"/>
      <c r="F86" s="1779" t="n"/>
      <c r="G86" s="1779" t="n"/>
      <c r="H86" s="1745" t="n"/>
      <c r="I86" s="1741" t="inlineStr">
        <is>
          <t>pc</t>
        </is>
      </c>
      <c r="J86" s="1252" t="n"/>
      <c r="K86" s="1228" t="n"/>
      <c r="L86" s="1231" t="n"/>
      <c r="M86" s="1652" t="n"/>
    </row>
    <row r="87" ht="41.25" customHeight="1" s="1134">
      <c r="A87" s="1780" t="n"/>
      <c r="B87" s="1781" t="n"/>
      <c r="C87" s="1561" t="n"/>
      <c r="D87" s="1561" t="n"/>
      <c r="E87" s="1561" t="n"/>
      <c r="F87" s="1493" t="n"/>
      <c r="G87" s="1493" t="n"/>
      <c r="H87" s="1740" t="n"/>
      <c r="I87" s="1741" t="n"/>
      <c r="J87" s="1252" t="n"/>
      <c r="K87" s="1228" t="n"/>
      <c r="L87" s="1231" t="n"/>
      <c r="M87" s="1652" t="n"/>
    </row>
    <row r="88" ht="60" customHeight="1" s="1134">
      <c r="A88" s="1784" t="inlineStr">
        <is>
          <t>Clean the cavity for silicon application</t>
        </is>
      </c>
      <c r="B88" s="1506" t="inlineStr">
        <is>
          <t>Cleaning the cavity and cable with special liquid (to remove the grease and dirt before silicon application)</t>
        </is>
      </c>
      <c r="C88" s="1561" t="inlineStr">
        <is>
          <t>manual work</t>
        </is>
      </c>
      <c r="D88" s="1561" t="inlineStr">
        <is>
          <t>pick up the stick</t>
        </is>
      </c>
      <c r="E88" s="1561" t="inlineStr">
        <is>
          <t>cavity cleaned</t>
        </is>
      </c>
      <c r="F88" s="1493" t="n"/>
      <c r="G88" s="1493" t="n"/>
      <c r="H88" s="1740" t="n">
        <v>79.13</v>
      </c>
      <c r="I88" s="1741" t="inlineStr">
        <is>
          <t>cavity</t>
        </is>
      </c>
      <c r="J88" s="1252" t="n"/>
      <c r="K88" s="1742" t="n">
        <v>79.13</v>
      </c>
      <c r="L88" s="1231" t="inlineStr">
        <is>
          <t>Manual</t>
        </is>
      </c>
      <c r="M88" s="1652" t="n"/>
      <c r="P88" s="1388" t="n"/>
    </row>
    <row r="89" ht="44.25" customHeight="1" s="1134">
      <c r="A89" s="1784" t="inlineStr">
        <is>
          <t>Application of silicon to the cavity</t>
        </is>
      </c>
      <c r="B89" s="1506" t="inlineStr">
        <is>
          <t xml:space="preserve">Apply the silicon to the cavity </t>
        </is>
      </c>
      <c r="C89" s="1561" t="inlineStr">
        <is>
          <t>manual work</t>
        </is>
      </c>
      <c r="D89" s="1561" t="inlineStr">
        <is>
          <t>pick up the silicon</t>
        </is>
      </c>
      <c r="E89" s="1561" t="inlineStr">
        <is>
          <t>silicon applied</t>
        </is>
      </c>
      <c r="F89" s="1493" t="n"/>
      <c r="G89" s="1493" t="n"/>
      <c r="H89" s="1740" t="n">
        <v>76</v>
      </c>
      <c r="I89" s="1741" t="inlineStr">
        <is>
          <t>cavity</t>
        </is>
      </c>
      <c r="J89" s="1252" t="n"/>
      <c r="K89" s="1742" t="n">
        <v>76</v>
      </c>
      <c r="L89" s="1231" t="inlineStr">
        <is>
          <t>Manual</t>
        </is>
      </c>
      <c r="M89" s="1652" t="n"/>
      <c r="P89" s="1388" t="n"/>
    </row>
    <row r="90" ht="42" customHeight="1" s="1134">
      <c r="A90" s="1748" t="inlineStr">
        <is>
          <t>Take out connector from bag</t>
        </is>
      </c>
      <c r="B90" s="1561" t="inlineStr">
        <is>
          <t>Take out connector from protection bag.</t>
        </is>
      </c>
      <c r="C90" s="1561" t="inlineStr">
        <is>
          <t>manual work</t>
        </is>
      </c>
      <c r="D90" s="1493" t="inlineStr">
        <is>
          <t>pick up the connector</t>
        </is>
      </c>
      <c r="E90" s="1493" t="inlineStr">
        <is>
          <t>take out connector</t>
        </is>
      </c>
      <c r="F90" s="1493" t="n"/>
      <c r="G90" s="1493" t="n"/>
      <c r="H90" s="1740" t="n">
        <v>17</v>
      </c>
      <c r="I90" s="1741" t="inlineStr">
        <is>
          <t>pc</t>
        </is>
      </c>
      <c r="J90" s="1252" t="n"/>
      <c r="K90" s="1742" t="n">
        <v>17</v>
      </c>
      <c r="L90" s="1231" t="inlineStr">
        <is>
          <t>Manual</t>
        </is>
      </c>
      <c r="M90" s="1652" t="n"/>
      <c r="P90" s="1388" t="n"/>
    </row>
    <row r="91" ht="27.75" customHeight="1" s="1134">
      <c r="A91" s="1748" t="inlineStr">
        <is>
          <t>Spiral tube application with orientation</t>
        </is>
      </c>
      <c r="B91" s="1785" t="inlineStr">
        <is>
          <t>Apply spiral tube &amp; make the orientation</t>
        </is>
      </c>
      <c r="C91" s="1537" t="inlineStr">
        <is>
          <t>manual work</t>
        </is>
      </c>
      <c r="D91" s="1561" t="inlineStr">
        <is>
          <t xml:space="preserve">pick up the cable </t>
        </is>
      </c>
      <c r="E91" s="1537" t="inlineStr">
        <is>
          <t>put cable away</t>
        </is>
      </c>
      <c r="F91" s="1561" t="n"/>
      <c r="G91" s="1561" t="n"/>
      <c r="H91" s="1740" t="n">
        <v>0.15</v>
      </c>
      <c r="I91" s="1741" t="inlineStr">
        <is>
          <t>mm</t>
        </is>
      </c>
      <c r="J91" s="1252" t="n"/>
      <c r="K91" s="1742" t="n">
        <v>0.15</v>
      </c>
      <c r="L91" s="1231" t="inlineStr">
        <is>
          <t>Manual</t>
        </is>
      </c>
      <c r="M91" s="1652" t="n"/>
      <c r="P91" s="1388" t="n"/>
    </row>
    <row r="92" ht="42" customHeight="1" s="1134">
      <c r="A92" s="1748" t="inlineStr">
        <is>
          <t>Manual Taping</t>
        </is>
      </c>
      <c r="B92" s="1785" t="inlineStr">
        <is>
          <t>Overlap taping with velour tape(velour tape made with an acrylic adhesive).</t>
        </is>
      </c>
      <c r="C92" s="1537" t="inlineStr">
        <is>
          <t>manual work</t>
        </is>
      </c>
      <c r="D92" s="1561" t="inlineStr">
        <is>
          <t xml:space="preserve">pick up the cable </t>
        </is>
      </c>
      <c r="E92" s="1537" t="inlineStr">
        <is>
          <t>put cable away</t>
        </is>
      </c>
      <c r="F92" s="1493" t="n"/>
      <c r="G92" s="1493" t="n"/>
      <c r="H92" s="1740" t="n">
        <v>0.26</v>
      </c>
      <c r="I92" s="1741" t="inlineStr">
        <is>
          <t>mm</t>
        </is>
      </c>
      <c r="J92" s="1252" t="n"/>
      <c r="K92" s="1742" t="n">
        <v>0.26</v>
      </c>
      <c r="L92" s="1231" t="inlineStr">
        <is>
          <t>Manual</t>
        </is>
      </c>
      <c r="M92" s="1652" t="n"/>
      <c r="P92" s="1388" t="n"/>
    </row>
    <row r="93" ht="42" customHeight="1" s="1134">
      <c r="A93" s="1786" t="inlineStr">
        <is>
          <t>Y-splice assembly (ongoing)</t>
        </is>
      </c>
      <c r="B93" s="1787" t="n"/>
      <c r="C93" s="1788" t="n"/>
      <c r="D93" s="1789" t="n"/>
      <c r="E93" s="1788" t="n"/>
      <c r="F93" s="1779" t="n"/>
      <c r="G93" s="1779" t="n"/>
      <c r="H93" s="1745" t="n"/>
      <c r="I93" s="1741" t="inlineStr">
        <is>
          <t>pc</t>
        </is>
      </c>
      <c r="J93" s="1252" t="n"/>
      <c r="K93" s="1228" t="n"/>
      <c r="L93" s="1231" t="n"/>
      <c r="M93" s="1652" t="n"/>
      <c r="P93" s="1388" t="n"/>
    </row>
    <row r="94" ht="39" customHeight="1" s="1134">
      <c r="A94" s="1758" t="inlineStr">
        <is>
          <t>Place the connector to ROB holder</t>
        </is>
      </c>
      <c r="B94" s="1790" t="inlineStr">
        <is>
          <t>Route and place the connector to ROB holder with plastic cover</t>
        </is>
      </c>
      <c r="C94" s="1623" t="inlineStr">
        <is>
          <t>manual work</t>
        </is>
      </c>
      <c r="D94" s="1623" t="inlineStr">
        <is>
          <t>start routing</t>
        </is>
      </c>
      <c r="E94" s="1623" t="inlineStr">
        <is>
          <t>connector secured in the holder</t>
        </is>
      </c>
      <c r="F94" s="1493" t="n"/>
      <c r="G94" s="1493" t="n"/>
      <c r="H94" s="1740" t="n">
        <v>4</v>
      </c>
      <c r="I94" s="1741" t="inlineStr">
        <is>
          <t>pc</t>
        </is>
      </c>
      <c r="J94" s="1252" t="n"/>
      <c r="K94" s="1742" t="n">
        <v>4</v>
      </c>
      <c r="L94" s="1231" t="inlineStr">
        <is>
          <t>Manual</t>
        </is>
      </c>
      <c r="M94" s="1652" t="n"/>
      <c r="P94" s="1388" t="n"/>
    </row>
    <row r="95" ht="39" customHeight="1" s="1134">
      <c r="A95" s="1791" t="inlineStr">
        <is>
          <t>High Voltage test (EU)</t>
        </is>
      </c>
      <c r="B95" s="1561" t="inlineStr">
        <is>
          <t xml:space="preserve">Detections phase - detection of all required elements in the connector </t>
        </is>
      </c>
      <c r="C95" s="1561" t="inlineStr">
        <is>
          <t>per HV connector</t>
        </is>
      </c>
      <c r="D95" s="1561" t="inlineStr">
        <is>
          <t xml:space="preserve">connector placed into holder </t>
        </is>
      </c>
      <c r="E95" s="1561" t="inlineStr">
        <is>
          <t>end of detecions test</t>
        </is>
      </c>
      <c r="F95" s="1493" t="n"/>
      <c r="G95" s="1493" t="n"/>
      <c r="H95" s="1740" t="n">
        <v>5</v>
      </c>
      <c r="I95" s="1690" t="inlineStr">
        <is>
          <t>pc</t>
        </is>
      </c>
      <c r="J95" s="1252" t="n"/>
      <c r="K95" s="1742" t="n">
        <v>5</v>
      </c>
      <c r="L95" s="1231" t="n"/>
      <c r="M95" s="1652" t="n"/>
      <c r="P95" s="1388" t="n"/>
    </row>
    <row r="96" ht="39" customHeight="1" s="1134">
      <c r="A96" s="1233" t="n"/>
      <c r="B96" s="1561" t="inlineStr">
        <is>
          <t>Resistance measurement (core and shield / screen)</t>
        </is>
      </c>
      <c r="C96" s="1561" t="inlineStr">
        <is>
          <t>per wire</t>
        </is>
      </c>
      <c r="D96" s="1561" t="inlineStr">
        <is>
          <t>detections test passed</t>
        </is>
      </c>
      <c r="E96" s="1561" t="inlineStr">
        <is>
          <t xml:space="preserve">end of resistance measurement </t>
        </is>
      </c>
      <c r="F96" s="1493" t="n"/>
      <c r="G96" s="1493" t="n"/>
      <c r="H96" s="1740" t="n">
        <v>0.5</v>
      </c>
      <c r="I96" s="1690" t="inlineStr">
        <is>
          <t>pc</t>
        </is>
      </c>
      <c r="J96" s="1252" t="n"/>
      <c r="K96" s="1742" t="n">
        <v>0.5</v>
      </c>
      <c r="L96" s="1231" t="n"/>
      <c r="M96" s="1652" t="n"/>
      <c r="P96" s="1388" t="n"/>
    </row>
    <row r="97" ht="72.75" customHeight="1" s="1134">
      <c r="A97" s="1233" t="n"/>
      <c r="B97" s="1561" t="inlineStr">
        <is>
          <t>Low voltage short circuits test</t>
        </is>
      </c>
      <c r="C97" s="1561" t="inlineStr">
        <is>
          <t>Per each wire in the harness. 
On each wire LV should be applied, rest of the wires grounded.</t>
        </is>
      </c>
      <c r="D97" s="1561" t="inlineStr">
        <is>
          <t>resistance measurement passed</t>
        </is>
      </c>
      <c r="E97" s="1561" t="inlineStr">
        <is>
          <t>end of low voltage test</t>
        </is>
      </c>
      <c r="F97" s="1493" t="n"/>
      <c r="G97" s="1493" t="n"/>
      <c r="H97" s="1740" t="n">
        <v>0.5</v>
      </c>
      <c r="I97" s="1690" t="inlineStr">
        <is>
          <t>pc</t>
        </is>
      </c>
      <c r="J97" s="1252" t="n"/>
      <c r="K97" s="1742" t="n">
        <v>0.5</v>
      </c>
      <c r="L97" s="1231" t="n"/>
      <c r="M97" s="1652" t="n"/>
      <c r="P97" s="1388" t="n"/>
    </row>
    <row r="98" ht="102" customHeight="1" s="1134">
      <c r="A98" s="1233" t="n"/>
      <c r="B98" s="1561" t="inlineStr">
        <is>
          <t xml:space="preserve">Dielectrical Breakdown (AC) - at least 2 groups per harness </t>
        </is>
      </c>
      <c r="C98" s="1561" t="inlineStr">
        <is>
          <t>Per High Power Wire (number of wires where HV can be applied)
On each high power wire apply High Potential, rest of the wires + shieldings on low potential.</t>
        </is>
      </c>
      <c r="D98" s="1561" t="inlineStr">
        <is>
          <t>low volatge test passed</t>
        </is>
      </c>
      <c r="E98" s="1561" t="inlineStr">
        <is>
          <t>end of AC test</t>
        </is>
      </c>
      <c r="F98" s="1493" t="n"/>
      <c r="G98" s="1493" t="n"/>
      <c r="H98" s="1740" t="n">
        <v>8</v>
      </c>
      <c r="I98" s="1741" t="inlineStr">
        <is>
          <t>pc</t>
        </is>
      </c>
      <c r="J98" s="1252" t="n"/>
      <c r="K98" s="1742" t="n">
        <v>8</v>
      </c>
      <c r="L98" s="1231" t="n"/>
      <c r="M98" s="1652" t="n"/>
      <c r="P98" s="1388" t="n"/>
    </row>
    <row r="99" ht="79.5" customHeight="1" s="1134">
      <c r="A99" s="1406" t="n"/>
      <c r="B99" s="1561" t="inlineStr">
        <is>
          <t>Insulation Resistance (DC) -  at least 2 groups per harness</t>
        </is>
      </c>
      <c r="C99" s="1561" t="inlineStr">
        <is>
          <t>Per High Power Wire (number of wires where HV can be applied)
On each high power wire apply High Potential, rest of the wires + shieldings on low potential.</t>
        </is>
      </c>
      <c r="D99" s="1561" t="inlineStr">
        <is>
          <t>end of AC test</t>
        </is>
      </c>
      <c r="E99" s="1561" t="inlineStr">
        <is>
          <t>information on the screen test was passed</t>
        </is>
      </c>
      <c r="F99" s="1493" t="n"/>
      <c r="G99" s="1493" t="n"/>
      <c r="H99" s="1740" t="n">
        <v>8</v>
      </c>
      <c r="I99" s="1741" t="inlineStr">
        <is>
          <t>pc</t>
        </is>
      </c>
      <c r="J99" s="1252" t="n"/>
      <c r="K99" s="1742" t="n">
        <v>8</v>
      </c>
      <c r="L99" s="1231" t="n"/>
      <c r="M99" s="1652" t="n"/>
      <c r="P99" s="1388" t="n"/>
    </row>
    <row r="100" ht="45" customHeight="1" s="1134">
      <c r="A100" s="1792" t="inlineStr">
        <is>
          <t>High Voltage test (AP)</t>
        </is>
      </c>
      <c r="B100" s="1778" t="inlineStr">
        <is>
          <t>Hi-pot and Insulation Resistance test harness</t>
        </is>
      </c>
      <c r="C100" s="1778" t="inlineStr">
        <is>
          <t>sum Hi pot testing conn. group
group=C(n,2)
 n=Qty. of shielding layer and terminal of connector</t>
        </is>
      </c>
      <c r="D100" s="1778" t="inlineStr">
        <is>
          <t>Press "test start" switch</t>
        </is>
      </c>
      <c r="E100" s="1778" t="inlineStr">
        <is>
          <t>Print the label</t>
        </is>
      </c>
      <c r="F100" s="1617" t="n"/>
      <c r="G100" s="1617" t="n"/>
      <c r="H100" s="1793" t="n">
        <v>20</v>
      </c>
      <c r="I100" s="1690" t="inlineStr">
        <is>
          <t>Group</t>
        </is>
      </c>
      <c r="J100" s="1252" t="n"/>
      <c r="K100" s="1228" t="n"/>
      <c r="L100" s="1231" t="n"/>
      <c r="M100" s="1652" t="n"/>
      <c r="P100" s="1388" t="n"/>
    </row>
    <row r="101" ht="31.5" customHeight="1" s="1134">
      <c r="A101" s="1233" t="n"/>
      <c r="B101" s="1778" t="inlineStr">
        <is>
          <t xml:space="preserve">Leakage test harness(To be used also for oxygen sensor:  Leak Test)
</t>
        </is>
      </c>
      <c r="C101" s="1778" t="inlineStr">
        <is>
          <t>Per group
if the leakage testing connectors have connectivity each other, only consider 1 group.</t>
        </is>
      </c>
      <c r="D101" s="1778" t="inlineStr">
        <is>
          <t>Press "test start" switch</t>
        </is>
      </c>
      <c r="E101" s="1778" t="inlineStr">
        <is>
          <t>Print the label</t>
        </is>
      </c>
      <c r="F101" s="1617" t="n"/>
      <c r="G101" s="1617" t="n"/>
      <c r="H101" s="1793" t="n">
        <v>33</v>
      </c>
      <c r="I101" s="1690" t="inlineStr">
        <is>
          <t>Group</t>
        </is>
      </c>
      <c r="J101" s="1252" t="n"/>
      <c r="K101" s="1228" t="n"/>
      <c r="L101" s="1231" t="n"/>
      <c r="M101" s="1652" t="n"/>
      <c r="P101" s="1388" t="n"/>
    </row>
    <row r="102" ht="49.5" customHeight="1" s="1134">
      <c r="A102" s="1233" t="n"/>
      <c r="B102" s="1778" t="inlineStr">
        <is>
          <t>Resistance measurement (core and shield / screen)
&gt;=0.5mΩ</t>
        </is>
      </c>
      <c r="C102" s="1778" t="inlineStr">
        <is>
          <t>per wire (WEE Tester)</t>
        </is>
      </c>
      <c r="D102" s="1778" t="inlineStr">
        <is>
          <t>detections test passed</t>
        </is>
      </c>
      <c r="E102" s="1778" t="inlineStr">
        <is>
          <t xml:space="preserve">end of resistance measurement </t>
        </is>
      </c>
      <c r="F102" s="1617" t="n"/>
      <c r="G102" s="1617" t="n"/>
      <c r="H102" s="1793" t="n">
        <v>0.5</v>
      </c>
      <c r="I102" s="1690" t="inlineStr">
        <is>
          <t>pc</t>
        </is>
      </c>
      <c r="J102" s="1252" t="n"/>
      <c r="K102" s="1228" t="n"/>
      <c r="L102" s="1231" t="inlineStr">
        <is>
          <t xml:space="preserve">moved from FA MISC and revised </t>
        </is>
      </c>
      <c r="M102" s="1652" t="n"/>
      <c r="P102" s="1388" t="n"/>
    </row>
    <row r="103" ht="43.5" customHeight="1" s="1134">
      <c r="A103" s="1233" t="n"/>
      <c r="B103" s="1778" t="inlineStr">
        <is>
          <t>Resistance measurement (core and shield / screen)
＜0.5mΩ</t>
        </is>
      </c>
      <c r="C103" s="1778" t="inlineStr">
        <is>
          <t>per wire (separate resistance tester)</t>
        </is>
      </c>
      <c r="D103" s="1778" t="inlineStr">
        <is>
          <t>detections test passed</t>
        </is>
      </c>
      <c r="E103" s="1778" t="inlineStr">
        <is>
          <t xml:space="preserve">end of resistance measurement </t>
        </is>
      </c>
      <c r="F103" s="1617" t="n"/>
      <c r="G103" s="1617" t="n"/>
      <c r="H103" s="1793" t="n">
        <v>5</v>
      </c>
      <c r="I103" s="1690" t="inlineStr">
        <is>
          <t>pc</t>
        </is>
      </c>
      <c r="J103" s="1252" t="n"/>
      <c r="K103" s="1228" t="n"/>
      <c r="L103" s="1231" t="n"/>
      <c r="M103" s="1652" t="n"/>
      <c r="P103" s="1388" t="n"/>
    </row>
    <row r="104" ht="34.5" customHeight="1" s="1134">
      <c r="A104" s="1406" t="n"/>
      <c r="B104" s="1778" t="inlineStr">
        <is>
          <t xml:space="preserve"> Capacitance Test
＜9nF</t>
        </is>
      </c>
      <c r="C104" s="1778" t="inlineStr">
        <is>
          <t>Per  Capacitance (separate capacitance tester)</t>
        </is>
      </c>
      <c r="D104" s="1778" t="inlineStr">
        <is>
          <t>detections test passed</t>
        </is>
      </c>
      <c r="E104" s="1778" t="inlineStr">
        <is>
          <t xml:space="preserve">end of  Capacitance  measurement </t>
        </is>
      </c>
      <c r="F104" s="1617" t="n"/>
      <c r="G104" s="1617" t="n"/>
      <c r="H104" s="1793" t="n">
        <v>5</v>
      </c>
      <c r="I104" s="1690" t="inlineStr">
        <is>
          <t>pc</t>
        </is>
      </c>
      <c r="J104" s="1252" t="n"/>
      <c r="K104" s="1228" t="n"/>
      <c r="L104" s="1231" t="n"/>
      <c r="M104" s="1652" t="n"/>
      <c r="P104" s="1388" t="n"/>
    </row>
    <row r="105" ht="27" customHeight="1" s="1134">
      <c r="A105" s="1794" t="inlineStr">
        <is>
          <t>Remove the connector from the ROB holder</t>
        </is>
      </c>
      <c r="B105" s="1785" t="inlineStr">
        <is>
          <t>Remove the connector from the ROB holder</t>
        </is>
      </c>
      <c r="C105" s="1537" t="inlineStr">
        <is>
          <t>manual work</t>
        </is>
      </c>
      <c r="D105" s="1537" t="inlineStr">
        <is>
          <t>open the cover of the holder</t>
        </is>
      </c>
      <c r="E105" s="1537" t="inlineStr">
        <is>
          <t>connector out of the holder</t>
        </is>
      </c>
      <c r="F105" s="1617" t="n"/>
      <c r="G105" s="1617" t="n"/>
      <c r="H105" s="1740" t="n">
        <v>4</v>
      </c>
      <c r="I105" s="1765" t="inlineStr">
        <is>
          <t>pc</t>
        </is>
      </c>
      <c r="J105" s="1252" t="n"/>
      <c r="K105" s="1742" t="n">
        <v>4</v>
      </c>
      <c r="L105" s="1231" t="inlineStr">
        <is>
          <t>Manual</t>
        </is>
      </c>
      <c r="M105" s="1652" t="n"/>
      <c r="P105" s="1388" t="n"/>
    </row>
    <row r="106" ht="27" customHeight="1" s="1134">
      <c r="A106" s="1749" t="inlineStr">
        <is>
          <t>test próżniowy na unshielded (ongoing)</t>
        </is>
      </c>
      <c r="B106" s="1506" t="n"/>
      <c r="C106" s="1561" t="n"/>
      <c r="D106" s="1561" t="n"/>
      <c r="E106" s="1561" t="n"/>
      <c r="F106" s="1493" t="n"/>
      <c r="G106" s="1493" t="n"/>
      <c r="H106" s="1740" t="n"/>
      <c r="I106" s="1741" t="n"/>
      <c r="J106" s="1252" t="n"/>
      <c r="K106" s="1228" t="n"/>
      <c r="M106" s="1652" t="n"/>
      <c r="P106" s="1388" t="n"/>
    </row>
    <row r="107" ht="27" customHeight="1" s="1134">
      <c r="A107" s="1748" t="n"/>
      <c r="B107" s="1506" t="n"/>
      <c r="C107" s="1561" t="n"/>
      <c r="D107" s="1561" t="n"/>
      <c r="E107" s="1561" t="n"/>
      <c r="F107" s="1493" t="n"/>
      <c r="G107" s="1493" t="n"/>
      <c r="H107" s="1740" t="n"/>
      <c r="I107" s="1741" t="n"/>
      <c r="J107" s="1252" t="n"/>
      <c r="K107" s="1228" t="n"/>
      <c r="M107" s="1652" t="n"/>
      <c r="P107" s="1388" t="n"/>
    </row>
    <row r="108" ht="27" customHeight="1" s="1134">
      <c r="A108" s="1748" t="n"/>
      <c r="B108" s="1561" t="n"/>
      <c r="C108" s="1561" t="n"/>
      <c r="D108" s="1493" t="n"/>
      <c r="E108" s="1493" t="n"/>
      <c r="F108" s="1493" t="n"/>
      <c r="G108" s="1493" t="n"/>
      <c r="H108" s="1740" t="n"/>
      <c r="I108" s="1741" t="n"/>
      <c r="J108" s="1252" t="n"/>
      <c r="K108" s="1742" t="n">
        <v>0</v>
      </c>
      <c r="M108" s="1652" t="n"/>
      <c r="P108" s="1388" t="n"/>
    </row>
    <row r="109" ht="31.5" customHeight="1" s="1134">
      <c r="A109" s="1748" t="n"/>
      <c r="B109" s="1561" t="n"/>
      <c r="C109" s="1561" t="n"/>
      <c r="D109" s="1493" t="n"/>
      <c r="E109" s="1493" t="n"/>
      <c r="F109" s="1795" t="n"/>
      <c r="G109" s="1795" t="n"/>
      <c r="H109" s="1796" t="n"/>
      <c r="I109" s="1797" t="n"/>
      <c r="J109" s="1253" t="n"/>
      <c r="K109" s="1742" t="n">
        <v>0</v>
      </c>
      <c r="M109" s="1652" t="n"/>
      <c r="P109" s="1388" t="n"/>
    </row>
    <row r="110" ht="15" customHeight="1" s="1134">
      <c r="A110" s="1798" t="n"/>
      <c r="B110" s="1799" t="n"/>
      <c r="C110" s="1800" t="n"/>
      <c r="D110" s="1800" t="n"/>
      <c r="E110" s="1801" t="n"/>
      <c r="F110" s="1802" t="n"/>
      <c r="G110" s="1802" t="n"/>
      <c r="H110" s="1803" t="inlineStr">
        <is>
          <t>TOTAL LP =</t>
        </is>
      </c>
      <c r="K110" s="1804">
        <f>SUM(K11:K61)</f>
        <v/>
      </c>
      <c r="P110" s="1388" t="n"/>
    </row>
    <row r="111" ht="15" customHeight="1" s="1134">
      <c r="A111" s="1382" t="n"/>
      <c r="B111" s="1382" t="n"/>
      <c r="C111" s="1805" t="n"/>
      <c r="D111" s="1805" t="n"/>
      <c r="E111" s="1805" t="n"/>
      <c r="F111" s="1382" t="n"/>
      <c r="G111" s="1382" t="n"/>
      <c r="H111" s="1803" t="inlineStr">
        <is>
          <t>TOTAL FA =</t>
        </is>
      </c>
      <c r="K111" s="1804">
        <f>SUM(K82:K109)</f>
        <v/>
      </c>
      <c r="P111" s="1388" t="n"/>
    </row>
    <row r="112" ht="15" customHeight="1" s="1134">
      <c r="A112" s="1382" t="n"/>
      <c r="B112" s="1382" t="n"/>
      <c r="C112" s="1805" t="n"/>
      <c r="D112" s="1805" t="n"/>
      <c r="E112" s="1805" t="n"/>
      <c r="F112" s="1382" t="n"/>
      <c r="G112" s="1382" t="n"/>
      <c r="H112" s="1388" t="n"/>
      <c r="P112" s="1388" t="n"/>
    </row>
    <row r="113" ht="15" customHeight="1" s="1134">
      <c r="A113" s="1382" t="n"/>
      <c r="B113" s="1382" t="n"/>
      <c r="C113" s="1805" t="n"/>
      <c r="D113" s="1805" t="n"/>
      <c r="E113" s="1805" t="n"/>
      <c r="F113" s="1382" t="n"/>
      <c r="G113" s="1382" t="n"/>
      <c r="H113" s="1388" t="n"/>
      <c r="P113" s="1388" t="n"/>
    </row>
    <row r="114" ht="15" customHeight="1" s="1134">
      <c r="A114" s="1382" t="n"/>
      <c r="B114" s="1382" t="n"/>
      <c r="C114" s="1805" t="n"/>
      <c r="D114" s="1805" t="n"/>
      <c r="E114" s="1805" t="n"/>
      <c r="F114" s="1382" t="n"/>
      <c r="G114" s="1382" t="n"/>
      <c r="H114" s="1388" t="n"/>
    </row>
    <row r="115" ht="15" customHeight="1" s="1134">
      <c r="A115" s="1382" t="n"/>
      <c r="B115" s="1382" t="n"/>
      <c r="C115" s="1805" t="n"/>
      <c r="D115" s="1805" t="n"/>
      <c r="E115" s="1805" t="n"/>
      <c r="F115" s="1382" t="n"/>
      <c r="G115" s="1382" t="n"/>
      <c r="H115" s="1388" t="n"/>
    </row>
    <row r="116" ht="15" customHeight="1" s="1134">
      <c r="A116" s="1382" t="n"/>
      <c r="B116" s="1382" t="n"/>
      <c r="C116" s="1805" t="n"/>
      <c r="D116" s="1805" t="n"/>
      <c r="E116" s="1805" t="n"/>
      <c r="F116" s="1382" t="n"/>
      <c r="G116" s="1382" t="n"/>
      <c r="H116" s="1388" t="n"/>
    </row>
    <row r="117" ht="15" customHeight="1" s="1134">
      <c r="A117" s="1382" t="n"/>
      <c r="B117" s="1382" t="n"/>
      <c r="C117" s="1805" t="n"/>
      <c r="D117" s="1805" t="n"/>
      <c r="E117" s="1805" t="n"/>
      <c r="F117" s="1382" t="n"/>
      <c r="G117" s="1382" t="n"/>
      <c r="H117" s="1388" t="n"/>
    </row>
    <row r="118" ht="15" customHeight="1" s="1134">
      <c r="A118" s="1382" t="n"/>
      <c r="B118" s="1382" t="n"/>
      <c r="C118" s="1805" t="n"/>
      <c r="D118" s="1805" t="n"/>
      <c r="E118" s="1805" t="n"/>
      <c r="F118" s="1382" t="n"/>
      <c r="G118" s="1382" t="n"/>
      <c r="H118" s="1388" t="n"/>
    </row>
    <row r="119" ht="15" customHeight="1" s="1134">
      <c r="A119" s="1382" t="n"/>
      <c r="B119" s="1382" t="n"/>
      <c r="C119" s="1805" t="n"/>
      <c r="D119" s="1805" t="n"/>
      <c r="E119" s="1805" t="n"/>
      <c r="F119" s="1382" t="n"/>
      <c r="G119" s="1382" t="n"/>
      <c r="H119" s="1388" t="n"/>
    </row>
    <row r="120" ht="15" customHeight="1" s="1134">
      <c r="A120" s="1382" t="n"/>
      <c r="B120" s="1382" t="n"/>
      <c r="C120" s="1805" t="n"/>
      <c r="D120" s="1805" t="n"/>
      <c r="E120" s="1805" t="n"/>
      <c r="F120" s="1382" t="n"/>
      <c r="G120" s="1382" t="n"/>
      <c r="H120" s="1388" t="n"/>
    </row>
    <row r="121" ht="15" customHeight="1" s="1134">
      <c r="A121" s="1382" t="n"/>
      <c r="B121" s="1382" t="n"/>
      <c r="C121" s="1805" t="n"/>
      <c r="D121" s="1805" t="n"/>
      <c r="E121" s="1805" t="n"/>
      <c r="F121" s="1382" t="n"/>
      <c r="G121" s="1382" t="n"/>
      <c r="H121" s="1388" t="n"/>
    </row>
  </sheetData>
  <mergeCells count="26">
    <mergeCell ref="A21:A23"/>
    <mergeCell ref="A12:A14"/>
    <mergeCell ref="C21:C23"/>
    <mergeCell ref="A60:A61"/>
    <mergeCell ref="A95:A99"/>
    <mergeCell ref="A1:K1"/>
    <mergeCell ref="B80:K80"/>
    <mergeCell ref="A8:K9"/>
    <mergeCell ref="E2:G2"/>
    <mergeCell ref="A27:A28"/>
    <mergeCell ref="A100:A104"/>
    <mergeCell ref="E21:E23"/>
    <mergeCell ref="E15:E16"/>
    <mergeCell ref="A49:A51"/>
    <mergeCell ref="B15:B16"/>
    <mergeCell ref="D15:D16"/>
    <mergeCell ref="A3:K3"/>
    <mergeCell ref="B21:B23"/>
    <mergeCell ref="C27:C28"/>
    <mergeCell ref="D21:D23"/>
    <mergeCell ref="A53:A54"/>
    <mergeCell ref="A78:K79"/>
    <mergeCell ref="A15:A16"/>
    <mergeCell ref="C15:C16"/>
    <mergeCell ref="A2:D2"/>
    <mergeCell ref="A55:A59"/>
  </mergeCells>
  <printOptions horizontalCentered="1" verticalCentered="1" headings="0" gridLines="0" gridLinesSet="1"/>
  <pageMargins left="0.379861111111111" right="0.540277777777778" top="0.340277777777778" bottom="0.420138888888889"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F112"/>
  <sheetViews>
    <sheetView showFormulas="0" showGridLines="1" showRowColHeaders="1" showZeros="1" rightToLeft="0" tabSelected="0" showOutlineSymbols="1" defaultGridColor="1" view="normal" topLeftCell="A1" colorId="64" zoomScale="85" zoomScaleNormal="85" zoomScalePageLayoutView="100" workbookViewId="0">
      <pane xSplit="0" ySplit="3" topLeftCell="A108" activePane="bottomLeft" state="frozen"/>
      <selection pane="topLeft" activeCell="A1" activeCellId="0" sqref="A1"/>
      <selection pane="bottomLeft" activeCell="V5" activeCellId="0" sqref="V5"/>
    </sheetView>
  </sheetViews>
  <sheetFormatPr baseColWidth="8" defaultColWidth="9.3359375" defaultRowHeight="12.75" customHeight="0" zeroHeight="0" outlineLevelRow="0"/>
  <cols>
    <col width="6.33" customWidth="1" style="1806" min="1" max="2"/>
    <col width="3.34" customWidth="1" style="1806" min="3" max="3"/>
    <col width="4" customWidth="1" style="1806" min="4" max="4"/>
    <col width="7" customWidth="1" style="1653" min="5" max="5"/>
    <col width="8.56" customWidth="1" style="1653" min="6" max="6"/>
    <col width="4" customWidth="1" style="1653" min="7" max="7"/>
    <col width="0.5600000000000001" customWidth="1" style="1653" min="8" max="8"/>
    <col width="6.33" customWidth="1" style="1653" min="9" max="11"/>
    <col width="7.67" customWidth="1" style="1653" min="12" max="12"/>
    <col width="5.44" customWidth="1" style="1653" min="13" max="13"/>
    <col width="16.89" customWidth="1" style="1653" min="14" max="14"/>
    <col width="2.56" customWidth="1" style="1653" min="15" max="15"/>
    <col width="12.67" customWidth="1" style="1653" min="16" max="16"/>
    <col width="12.33" customWidth="1" style="1215" min="17" max="17"/>
    <col width="13.67" customWidth="1" style="1132" min="18" max="18"/>
    <col width="5.44" customWidth="1" style="1132" min="19" max="19"/>
    <col width="10.44" customWidth="1" style="1132" min="20" max="20"/>
    <col width="7.67" customWidth="1" style="1132" min="21" max="21"/>
    <col width="23" customWidth="1" style="1132" min="22" max="22"/>
    <col width="14.44" customWidth="1" style="1344" min="23" max="23"/>
    <col width="9.67" customWidth="1" style="1132" min="24" max="24"/>
    <col width="27" customWidth="1" style="1132" min="25" max="25"/>
    <col width="44.33" customWidth="1" style="1132" min="26" max="26"/>
  </cols>
  <sheetData>
    <row r="1" ht="10.5" customHeight="1" s="1134"/>
    <row r="2" ht="14.25" customFormat="1" customHeight="1" s="1652">
      <c r="A2" s="1807" t="inlineStr">
        <is>
          <t>FA - CONNECTORS AND WIRES</t>
        </is>
      </c>
      <c r="B2" s="1390" t="n"/>
      <c r="C2" s="1390" t="n"/>
      <c r="D2" s="1390" t="n"/>
      <c r="E2" s="1390" t="n"/>
      <c r="F2" s="1390" t="n"/>
      <c r="G2" s="1390" t="n"/>
      <c r="H2" s="1390" t="n"/>
      <c r="I2" s="1390" t="n"/>
      <c r="J2" s="1390" t="n"/>
      <c r="K2" s="1390" t="n"/>
      <c r="L2" s="1390" t="n"/>
      <c r="M2" s="1390" t="n"/>
      <c r="N2" s="1390" t="n"/>
      <c r="O2" s="1390" t="n"/>
      <c r="P2" s="1390" t="n"/>
      <c r="Q2" s="1390" t="n"/>
      <c r="R2" s="1390" t="n"/>
      <c r="S2" s="1390" t="n"/>
      <c r="T2" s="1390" t="n"/>
      <c r="V2" s="1652" t="n"/>
      <c r="W2" s="1708" t="n"/>
      <c r="X2" s="1652" t="n"/>
      <c r="Y2" s="1652" t="n"/>
      <c r="Z2" s="1652" t="n"/>
    </row>
    <row r="3" ht="27" customFormat="1" customHeight="1" s="1806">
      <c r="A3" s="1216" t="inlineStr">
        <is>
          <t>BUILD CATEGORY</t>
        </is>
      </c>
      <c r="B3" s="1609" t="n"/>
      <c r="C3" s="1609" t="n"/>
      <c r="D3" s="1610" t="n"/>
      <c r="E3" s="1217" t="inlineStr">
        <is>
          <t>ACTIVITY DESCRIPTION</t>
        </is>
      </c>
      <c r="F3" s="1609" t="n"/>
      <c r="G3" s="1609" t="n"/>
      <c r="H3" s="1610" t="n"/>
      <c r="I3" s="1217" t="inlineStr">
        <is>
          <t xml:space="preserve">Standard Description </t>
        </is>
      </c>
      <c r="J3" s="1609" t="n"/>
      <c r="K3" s="1609" t="n"/>
      <c r="L3" s="1610" t="n"/>
      <c r="M3" s="1808" t="inlineStr">
        <is>
          <t>Clock start</t>
        </is>
      </c>
      <c r="N3" s="1610" t="n"/>
      <c r="O3" s="1808" t="inlineStr">
        <is>
          <t>Clock stop</t>
        </is>
      </c>
      <c r="P3" s="1610" t="n"/>
      <c r="Q3" s="1392" t="inlineStr">
        <is>
          <t>GLOBAL SEC/PC</t>
        </is>
      </c>
      <c r="R3" s="1809" t="inlineStr">
        <is>
          <t>UNIT</t>
        </is>
      </c>
      <c r="S3" s="1808" t="inlineStr">
        <is>
          <t>Qty</t>
        </is>
      </c>
      <c r="T3" s="1810" t="inlineStr">
        <is>
          <t>Total Time</t>
        </is>
      </c>
      <c r="V3" s="1806" t="n"/>
      <c r="W3" s="1344" t="n"/>
      <c r="X3" s="1806" t="n"/>
      <c r="Y3" s="1806" t="n"/>
      <c r="Z3" s="1806" t="n"/>
    </row>
    <row r="4" ht="39.75" customHeight="1" s="1134">
      <c r="A4" s="1669" t="inlineStr">
        <is>
          <t>Build connectors to board</t>
        </is>
      </c>
      <c r="B4" s="1624" t="n"/>
      <c r="C4" s="1624" t="n"/>
      <c r="D4" s="1625" t="n"/>
      <c r="E4" s="1672" t="inlineStr">
        <is>
          <t>Assemble connectors</t>
        </is>
      </c>
      <c r="F4" s="1624" t="n"/>
      <c r="G4" s="1624" t="n"/>
      <c r="H4" s="1625" t="n"/>
      <c r="I4" s="1561" t="inlineStr">
        <is>
          <t>1-6 way to V-pin</t>
        </is>
      </c>
      <c r="J4" s="1595" t="n"/>
      <c r="K4" s="1595" t="n"/>
      <c r="L4" s="1532" t="n"/>
      <c r="M4" s="1561" t="inlineStr">
        <is>
          <t>Reach for connector</t>
        </is>
      </c>
      <c r="N4" s="1532" t="n"/>
      <c r="O4" s="1561" t="inlineStr">
        <is>
          <t>Release connector after placing to V-pin</t>
        </is>
      </c>
      <c r="P4" s="1532" t="n"/>
      <c r="Q4" s="1740" t="n">
        <v>1.7</v>
      </c>
      <c r="R4" s="1690" t="inlineStr">
        <is>
          <t>pc</t>
        </is>
      </c>
      <c r="S4" s="1402" t="n">
        <v>1</v>
      </c>
      <c r="T4" s="1403">
        <f>+S4*Q4</f>
        <v/>
      </c>
      <c r="U4" s="1811" t="inlineStr">
        <is>
          <t>Semi-automatic</t>
        </is>
      </c>
      <c r="V4" s="1132" t="n"/>
      <c r="X4" s="1407" t="n"/>
      <c r="Y4" s="1344" t="n"/>
      <c r="Z4" s="1132" t="n"/>
      <c r="AA4" s="1132" t="n"/>
      <c r="AB4" s="1132" t="n"/>
      <c r="AC4" s="1132" t="n"/>
      <c r="AD4" s="1132" t="n"/>
      <c r="AE4" s="1132" t="n"/>
      <c r="AF4" s="1132" t="n"/>
    </row>
    <row r="5" ht="101.25" customHeight="1" s="1134">
      <c r="A5" s="1326" t="n"/>
      <c r="D5" s="1297" t="n"/>
      <c r="E5" s="1615" t="n"/>
      <c r="H5" s="1297" t="n"/>
      <c r="I5" s="1561" t="inlineStr">
        <is>
          <t xml:space="preserve">&gt;6, &lt;40 way to connector holder
NOTE: to be used also for connector with less than 6 ways when CRA or PFMEA recommendation / Customer request </t>
        </is>
      </c>
      <c r="J5" s="1595" t="n"/>
      <c r="K5" s="1595" t="n"/>
      <c r="L5" s="1532" t="n"/>
      <c r="M5" s="1561" t="inlineStr">
        <is>
          <t>Reach for connector</t>
        </is>
      </c>
      <c r="N5" s="1532" t="n"/>
      <c r="O5" s="1561" t="inlineStr">
        <is>
          <t>Release connector after placing to connector holder</t>
        </is>
      </c>
      <c r="P5" s="1532" t="n"/>
      <c r="Q5" s="1740" t="n">
        <v>4</v>
      </c>
      <c r="R5" s="1690" t="inlineStr">
        <is>
          <t>pc</t>
        </is>
      </c>
      <c r="S5" s="1402" t="n">
        <v>1</v>
      </c>
      <c r="T5" s="1403">
        <f>+S5*Q5</f>
        <v/>
      </c>
      <c r="U5" s="1811" t="inlineStr">
        <is>
          <t>Semi-automatic</t>
        </is>
      </c>
      <c r="V5" s="1132" t="n"/>
      <c r="X5" s="1407" t="n"/>
      <c r="Y5" s="1344" t="n"/>
      <c r="Z5" s="1132" t="n"/>
      <c r="AA5" s="1132" t="n"/>
      <c r="AB5" s="1132" t="n"/>
      <c r="AC5" s="1132" t="n"/>
      <c r="AD5" s="1132" t="n"/>
      <c r="AE5" s="1132" t="n"/>
      <c r="AF5" s="1132" t="n"/>
    </row>
    <row r="6" ht="70.5" customHeight="1" s="1134">
      <c r="A6" s="1329" t="n"/>
      <c r="B6" s="1390" t="n"/>
      <c r="C6" s="1390" t="n"/>
      <c r="D6" s="1301" t="n"/>
      <c r="E6" s="1812" t="n"/>
      <c r="F6" s="1390" t="n"/>
      <c r="G6" s="1390" t="n"/>
      <c r="H6" s="1301" t="n"/>
      <c r="I6" s="1672" t="inlineStr">
        <is>
          <t>&gt;= 40 way to connector holder / cable channel to the holder</t>
        </is>
      </c>
      <c r="J6" s="1813" t="n"/>
      <c r="K6" s="1813" t="n"/>
      <c r="L6" s="1670" t="n"/>
      <c r="M6" s="1672" t="inlineStr">
        <is>
          <t>Reach for connector</t>
        </is>
      </c>
      <c r="N6" s="1670" t="n"/>
      <c r="O6" s="1672" t="inlineStr">
        <is>
          <t>Release connector after placing to connector holder</t>
        </is>
      </c>
      <c r="P6" s="1670" t="n"/>
      <c r="Q6" s="1796" t="n">
        <v>5.4</v>
      </c>
      <c r="R6" s="1694" t="inlineStr">
        <is>
          <t>pc</t>
        </is>
      </c>
      <c r="S6" s="1429" t="n">
        <v>1</v>
      </c>
      <c r="T6" s="1430">
        <f>+S6*Q6</f>
        <v/>
      </c>
      <c r="U6" s="1811" t="inlineStr">
        <is>
          <t>Semi-automatic</t>
        </is>
      </c>
      <c r="V6" s="1132" t="n"/>
      <c r="X6" s="1407" t="n"/>
      <c r="Y6" s="1344" t="n"/>
      <c r="Z6" s="1132" t="n"/>
      <c r="AA6" s="1132" t="n"/>
      <c r="AB6" s="1132" t="n"/>
      <c r="AC6" s="1132" t="n"/>
      <c r="AD6" s="1132" t="n"/>
      <c r="AE6" s="1132" t="n"/>
      <c r="AF6" s="1132" t="n"/>
    </row>
    <row r="7" ht="19.5" customHeight="1" s="1134">
      <c r="A7" s="1814" t="n"/>
      <c r="B7" s="1609" t="n"/>
      <c r="C7" s="1609" t="n"/>
      <c r="D7" s="1610" t="n"/>
      <c r="E7" s="1698" t="n"/>
      <c r="F7" s="1609" t="n"/>
      <c r="G7" s="1609" t="n"/>
      <c r="H7" s="1610" t="n"/>
      <c r="I7" s="1698" t="n"/>
      <c r="J7" s="1609" t="n"/>
      <c r="K7" s="1609" t="n"/>
      <c r="L7" s="1610" t="n"/>
      <c r="M7" s="1698" t="n"/>
      <c r="N7" s="1698" t="n"/>
      <c r="O7" s="1698" t="n"/>
      <c r="P7" s="1610" t="n"/>
      <c r="Q7" s="1815" t="n"/>
      <c r="R7" s="1685" t="n"/>
      <c r="S7" s="1816" t="n"/>
      <c r="T7" s="1448" t="n"/>
      <c r="U7" s="1132" t="n"/>
      <c r="V7" s="1132" t="n"/>
      <c r="X7" s="1132" t="n"/>
      <c r="Y7" s="1215" t="n"/>
      <c r="Z7" s="1132" t="n"/>
      <c r="AA7" s="1132" t="n"/>
      <c r="AB7" s="1132" t="n"/>
      <c r="AC7" s="1132" t="n"/>
      <c r="AD7" s="1132" t="n"/>
      <c r="AE7" s="1132" t="n"/>
      <c r="AF7" s="1132" t="n"/>
    </row>
    <row r="8" ht="24" customHeight="1" s="1134">
      <c r="A8" s="1817" t="n"/>
      <c r="B8" s="1595" t="n"/>
      <c r="C8" s="1595" t="n"/>
      <c r="D8" s="1532" t="n"/>
      <c r="E8" s="1561" t="n"/>
      <c r="F8" s="1595" t="n"/>
      <c r="G8" s="1595" t="n"/>
      <c r="H8" s="1532" t="n"/>
      <c r="I8" s="1561" t="n"/>
      <c r="J8" s="1595" t="n"/>
      <c r="K8" s="1595" t="n"/>
      <c r="L8" s="1532" t="n"/>
      <c r="M8" s="1561" t="n"/>
      <c r="N8" s="1561" t="n"/>
      <c r="O8" s="1561" t="n"/>
      <c r="P8" s="1532" t="n"/>
      <c r="Q8" s="1740" t="n"/>
      <c r="R8" s="1690" t="n"/>
      <c r="S8" s="1818" t="n"/>
      <c r="T8" s="1403" t="n"/>
      <c r="U8" s="1132" t="n"/>
      <c r="V8" s="1132" t="n"/>
      <c r="X8" s="1132" t="n"/>
      <c r="Y8" s="1215" t="n"/>
      <c r="Z8" s="1132" t="n"/>
      <c r="AA8" s="1132" t="n"/>
      <c r="AB8" s="1132" t="n"/>
      <c r="AC8" s="1132" t="n"/>
      <c r="AD8" s="1132" t="n"/>
      <c r="AE8" s="1132" t="n"/>
      <c r="AF8" s="1132" t="n"/>
    </row>
    <row r="9" ht="24" customHeight="1" s="1134">
      <c r="A9" s="1669" t="n"/>
      <c r="B9" s="1813" t="n"/>
      <c r="C9" s="1813" t="n"/>
      <c r="D9" s="1670" t="n"/>
      <c r="E9" s="1672" t="n"/>
      <c r="F9" s="1813" t="n"/>
      <c r="G9" s="1813" t="n"/>
      <c r="H9" s="1670" t="n"/>
      <c r="I9" s="1672" t="n"/>
      <c r="J9" s="1813" t="n"/>
      <c r="K9" s="1813" t="n"/>
      <c r="L9" s="1670" t="n"/>
      <c r="M9" s="1672" t="n"/>
      <c r="N9" s="1672" t="n"/>
      <c r="O9" s="1672" t="n"/>
      <c r="P9" s="1670" t="n"/>
      <c r="Q9" s="1796" t="n"/>
      <c r="R9" s="1694" t="n"/>
      <c r="S9" s="1819" t="n"/>
      <c r="T9" s="1430" t="n"/>
      <c r="V9" s="1132" t="n"/>
      <c r="X9" s="1132" t="n"/>
      <c r="Y9" s="1215" t="n"/>
    </row>
    <row r="10" hidden="1" ht="21.75" customHeight="1" s="1134">
      <c r="A10" s="1820" t="inlineStr">
        <is>
          <t xml:space="preserve">Manual coiling
Cross section =&lt; 4mm² </t>
        </is>
      </c>
      <c r="B10" s="1589" t="n"/>
      <c r="C10" s="1589" t="n"/>
      <c r="D10" s="1590" t="n"/>
      <c r="E10" s="1821" t="inlineStr">
        <is>
          <t xml:space="preserve">7501 - 8000 </t>
        </is>
      </c>
      <c r="F10" s="1618" t="n"/>
      <c r="G10" s="1618" t="n"/>
      <c r="H10" s="1545" t="n"/>
      <c r="I10" s="1822" t="inlineStr">
        <is>
          <t>Get wire from the tray</t>
        </is>
      </c>
      <c r="J10" s="1589" t="n"/>
      <c r="K10" s="1589" t="n"/>
      <c r="L10" s="1590" t="n"/>
      <c r="M10" s="1823" t="n"/>
      <c r="N10" s="1824" t="inlineStr">
        <is>
          <t>Coiled wire closed with re-usable material</t>
        </is>
      </c>
      <c r="O10" s="1822" t="inlineStr">
        <is>
          <t xml:space="preserve">Coiling station to be used. Wires to be placed in horizontal trays. To close the coiled wire re-usable / recyclable material to be used. </t>
        </is>
      </c>
      <c r="P10" s="1590" t="n"/>
      <c r="Q10" s="1825" t="n">
        <v>14.36</v>
      </c>
      <c r="R10" s="1826" t="inlineStr">
        <is>
          <t>pc</t>
        </is>
      </c>
      <c r="S10" s="1827" t="n">
        <v>1</v>
      </c>
      <c r="T10" s="1828">
        <f>+S10*Q10</f>
        <v/>
      </c>
      <c r="U10" s="1132" t="inlineStr">
        <is>
          <t>Automatic</t>
        </is>
      </c>
      <c r="V10" s="1132" t="n"/>
      <c r="X10" s="1132" t="n"/>
      <c r="Y10" s="1215" t="n"/>
      <c r="Z10" s="1231" t="n"/>
    </row>
    <row r="11" hidden="1" ht="21.75" customHeight="1" s="1134">
      <c r="A11" s="1326" t="n"/>
      <c r="D11" s="1297" t="n"/>
      <c r="E11" s="1829" t="inlineStr">
        <is>
          <t>8001 - 9000</t>
        </is>
      </c>
      <c r="F11" s="1595" t="n"/>
      <c r="G11" s="1595" t="n"/>
      <c r="H11" s="1532" t="n"/>
      <c r="I11" s="1615" t="n"/>
      <c r="L11" s="1297" t="n"/>
      <c r="M11" s="1823" t="n"/>
      <c r="N11" s="1297" t="n"/>
      <c r="O11" s="1615" t="n"/>
      <c r="P11" s="1297" t="n"/>
      <c r="Q11" s="1830" t="n">
        <v>15.31</v>
      </c>
      <c r="R11" s="1831" t="inlineStr">
        <is>
          <t>pc</t>
        </is>
      </c>
      <c r="S11" s="1832" t="n">
        <v>1</v>
      </c>
      <c r="T11" s="1833">
        <f>+S11*Q11</f>
        <v/>
      </c>
      <c r="U11" s="1132" t="inlineStr">
        <is>
          <t>Automatic</t>
        </is>
      </c>
      <c r="V11" s="1132" t="n"/>
      <c r="X11" s="1132" t="n"/>
      <c r="Y11" s="1215" t="n"/>
      <c r="Z11" s="1231" t="n"/>
    </row>
    <row r="12" hidden="1" ht="21.75" customHeight="1" s="1134">
      <c r="A12" s="1326" t="n"/>
      <c r="D12" s="1297" t="n"/>
      <c r="E12" s="1829" t="inlineStr">
        <is>
          <t>9001 - 10 000</t>
        </is>
      </c>
      <c r="F12" s="1595" t="n"/>
      <c r="G12" s="1595" t="n"/>
      <c r="H12" s="1532" t="n"/>
      <c r="I12" s="1615" t="n"/>
      <c r="L12" s="1297" t="n"/>
      <c r="M12" s="1823" t="n"/>
      <c r="N12" s="1297" t="n"/>
      <c r="O12" s="1615" t="n"/>
      <c r="P12" s="1297" t="n"/>
      <c r="Q12" s="1830" t="n">
        <v>17.2</v>
      </c>
      <c r="R12" s="1831" t="inlineStr">
        <is>
          <t>pc</t>
        </is>
      </c>
      <c r="S12" s="1832" t="n">
        <v>1</v>
      </c>
      <c r="T12" s="1833">
        <f>+S12*Q12</f>
        <v/>
      </c>
      <c r="U12" s="1132" t="inlineStr">
        <is>
          <t>Automatic</t>
        </is>
      </c>
      <c r="V12" s="1132" t="n"/>
      <c r="X12" s="1132" t="n"/>
      <c r="Y12" s="1215" t="n"/>
      <c r="Z12" s="1231" t="n"/>
    </row>
    <row r="13" hidden="1" ht="21.75" customHeight="1" s="1134">
      <c r="A13" s="1326" t="n"/>
      <c r="D13" s="1297" t="n"/>
      <c r="E13" s="1829" t="inlineStr">
        <is>
          <t>10 001 - 11 000</t>
        </is>
      </c>
      <c r="F13" s="1595" t="n"/>
      <c r="G13" s="1595" t="n"/>
      <c r="H13" s="1532" t="n"/>
      <c r="I13" s="1615" t="n"/>
      <c r="L13" s="1297" t="n"/>
      <c r="M13" s="1823" t="n"/>
      <c r="N13" s="1297" t="n"/>
      <c r="O13" s="1615" t="n"/>
      <c r="P13" s="1297" t="n"/>
      <c r="Q13" s="1830" t="n">
        <v>18.7</v>
      </c>
      <c r="R13" s="1831" t="inlineStr">
        <is>
          <t>pc</t>
        </is>
      </c>
      <c r="S13" s="1832" t="n">
        <v>1</v>
      </c>
      <c r="T13" s="1833">
        <f>+S13*Q13</f>
        <v/>
      </c>
      <c r="U13" s="1132" t="inlineStr">
        <is>
          <t>Automatic</t>
        </is>
      </c>
      <c r="V13" s="1132" t="n"/>
      <c r="X13" s="1132" t="n"/>
      <c r="Y13" s="1215" t="n"/>
      <c r="Z13" s="1231" t="n"/>
    </row>
    <row r="14" hidden="1" ht="21.75" customHeight="1" s="1134">
      <c r="A14" s="1326" t="n"/>
      <c r="D14" s="1297" t="n"/>
      <c r="E14" s="1829" t="inlineStr">
        <is>
          <t>11 001 - 12 000</t>
        </is>
      </c>
      <c r="F14" s="1595" t="n"/>
      <c r="G14" s="1595" t="n"/>
      <c r="H14" s="1532" t="n"/>
      <c r="I14" s="1615" t="n"/>
      <c r="L14" s="1297" t="n"/>
      <c r="M14" s="1823" t="n"/>
      <c r="N14" s="1297" t="n"/>
      <c r="O14" s="1615" t="n"/>
      <c r="P14" s="1297" t="n"/>
      <c r="Q14" s="1830" t="n">
        <v>20.4</v>
      </c>
      <c r="R14" s="1831" t="inlineStr">
        <is>
          <t>pc</t>
        </is>
      </c>
      <c r="S14" s="1832" t="n">
        <v>1</v>
      </c>
      <c r="T14" s="1833">
        <f>+S14*Q14</f>
        <v/>
      </c>
      <c r="U14" s="1132" t="inlineStr">
        <is>
          <t>Automatic</t>
        </is>
      </c>
      <c r="V14" s="1132" t="n"/>
      <c r="X14" s="1132" t="n"/>
      <c r="Y14" s="1215" t="n"/>
      <c r="Z14" s="1231" t="n"/>
    </row>
    <row r="15" hidden="1" ht="21.75" customHeight="1" s="1134">
      <c r="A15" s="1326" t="n"/>
      <c r="D15" s="1297" t="n"/>
      <c r="E15" s="1829" t="inlineStr">
        <is>
          <t>12 001 - 13 000</t>
        </is>
      </c>
      <c r="F15" s="1595" t="n"/>
      <c r="G15" s="1595" t="n"/>
      <c r="H15" s="1532" t="n"/>
      <c r="I15" s="1615" t="n"/>
      <c r="L15" s="1297" t="n"/>
      <c r="M15" s="1823" t="n"/>
      <c r="N15" s="1297" t="n"/>
      <c r="O15" s="1615" t="n"/>
      <c r="P15" s="1297" t="n"/>
      <c r="Q15" s="1830" t="n">
        <v>22.1</v>
      </c>
      <c r="R15" s="1831" t="inlineStr">
        <is>
          <t>pc</t>
        </is>
      </c>
      <c r="S15" s="1832" t="n">
        <v>1</v>
      </c>
      <c r="T15" s="1833">
        <f>+S15*Q15</f>
        <v/>
      </c>
      <c r="U15" s="1132" t="inlineStr">
        <is>
          <t>Automatic</t>
        </is>
      </c>
      <c r="V15" s="1132" t="n"/>
      <c r="X15" s="1132" t="n"/>
      <c r="Y15" s="1215" t="n"/>
      <c r="Z15" s="1231" t="n"/>
    </row>
    <row r="16" hidden="1" ht="21.75" customHeight="1" s="1134">
      <c r="A16" s="1326" t="n"/>
      <c r="D16" s="1297" t="n"/>
      <c r="E16" s="1829" t="inlineStr">
        <is>
          <t>13 001 - 14 000</t>
        </is>
      </c>
      <c r="F16" s="1595" t="n"/>
      <c r="G16" s="1595" t="n"/>
      <c r="H16" s="1532" t="n"/>
      <c r="I16" s="1615" t="n"/>
      <c r="L16" s="1297" t="n"/>
      <c r="M16" s="1823" t="n"/>
      <c r="N16" s="1297" t="n"/>
      <c r="O16" s="1615" t="n"/>
      <c r="P16" s="1297" t="n"/>
      <c r="Q16" s="1830" t="n">
        <v>23.8</v>
      </c>
      <c r="R16" s="1831" t="inlineStr">
        <is>
          <t>pc</t>
        </is>
      </c>
      <c r="S16" s="1832" t="n">
        <v>1</v>
      </c>
      <c r="T16" s="1833">
        <f>+S16*Q16</f>
        <v/>
      </c>
      <c r="U16" s="1132" t="inlineStr">
        <is>
          <t>Automatic</t>
        </is>
      </c>
      <c r="V16" s="1132" t="n"/>
      <c r="X16" s="1132" t="n"/>
      <c r="Y16" s="1215" t="n"/>
      <c r="Z16" s="1231" t="n"/>
    </row>
    <row r="17" hidden="1" ht="21.75" customHeight="1" s="1134">
      <c r="A17" s="1326" t="n"/>
      <c r="D17" s="1297" t="n"/>
      <c r="E17" s="1834" t="inlineStr">
        <is>
          <t>14 001 - 15 000</t>
        </is>
      </c>
      <c r="F17" s="1624" t="n"/>
      <c r="G17" s="1624" t="n"/>
      <c r="H17" s="1625" t="n"/>
      <c r="I17" s="1615" t="n"/>
      <c r="L17" s="1297" t="n"/>
      <c r="M17" s="1823" t="n"/>
      <c r="N17" s="1297" t="n"/>
      <c r="O17" s="1615" t="n"/>
      <c r="P17" s="1297" t="n"/>
      <c r="Q17" s="1830" t="n">
        <v>25.5</v>
      </c>
      <c r="R17" s="1835" t="inlineStr">
        <is>
          <t>pc</t>
        </is>
      </c>
      <c r="S17" s="1836" t="n">
        <v>1</v>
      </c>
      <c r="T17" s="1837">
        <f>+S17*Q17</f>
        <v/>
      </c>
      <c r="U17" s="1132" t="inlineStr">
        <is>
          <t>Automatic</t>
        </is>
      </c>
      <c r="V17" s="1132" t="n"/>
      <c r="X17" s="1132" t="n"/>
      <c r="Y17" s="1215" t="n"/>
      <c r="Z17" s="1231" t="n"/>
    </row>
    <row r="18" hidden="1" ht="21.75" customHeight="1" s="1134">
      <c r="A18" s="1326" t="n"/>
      <c r="D18" s="1297" t="n"/>
      <c r="E18" s="1834" t="inlineStr">
        <is>
          <t>15 001 - 16 000</t>
        </is>
      </c>
      <c r="F18" s="1624" t="n"/>
      <c r="G18" s="1624" t="n"/>
      <c r="H18" s="1625" t="n"/>
      <c r="I18" s="1615" t="n"/>
      <c r="L18" s="1297" t="n"/>
      <c r="M18" s="1823" t="n"/>
      <c r="N18" s="1297" t="n"/>
      <c r="O18" s="1615" t="n"/>
      <c r="P18" s="1297" t="n"/>
      <c r="Q18" s="1830" t="n">
        <v>27.2</v>
      </c>
      <c r="R18" s="1835" t="inlineStr">
        <is>
          <t>pc</t>
        </is>
      </c>
      <c r="S18" s="1836" t="n">
        <v>1</v>
      </c>
      <c r="T18" s="1837">
        <f>+S18*Q18</f>
        <v/>
      </c>
      <c r="U18" s="1132" t="inlineStr">
        <is>
          <t>Automatic</t>
        </is>
      </c>
      <c r="V18" s="1132" t="n"/>
      <c r="X18" s="1132" t="n"/>
      <c r="Y18" s="1215" t="n"/>
      <c r="Z18" s="1231" t="n"/>
    </row>
    <row r="19" hidden="1" ht="21.75" customHeight="1" s="1134">
      <c r="A19" s="1326" t="n"/>
      <c r="D19" s="1297" t="n"/>
      <c r="E19" s="1829" t="inlineStr">
        <is>
          <t>16 001 - 17 000</t>
        </is>
      </c>
      <c r="F19" s="1595" t="n"/>
      <c r="G19" s="1595" t="n"/>
      <c r="H19" s="1532" t="n"/>
      <c r="I19" s="1615" t="n"/>
      <c r="L19" s="1297" t="n"/>
      <c r="M19" s="1823" t="n"/>
      <c r="N19" s="1297" t="n"/>
      <c r="O19" s="1615" t="n"/>
      <c r="P19" s="1297" t="n"/>
      <c r="Q19" s="1830" t="n">
        <v>28.9</v>
      </c>
      <c r="R19" s="1831" t="inlineStr">
        <is>
          <t>pc</t>
        </is>
      </c>
      <c r="S19" s="1832" t="n">
        <v>1</v>
      </c>
      <c r="T19" s="1833">
        <f>+S19*Q19</f>
        <v/>
      </c>
      <c r="U19" s="1132" t="inlineStr">
        <is>
          <t>Automatic</t>
        </is>
      </c>
      <c r="V19" s="1132" t="n"/>
      <c r="X19" s="1132" t="n"/>
      <c r="Y19" s="1215" t="n"/>
      <c r="Z19" s="1231" t="n"/>
    </row>
    <row r="20" hidden="1" ht="21.75" customHeight="1" s="1134">
      <c r="A20" s="1326" t="n"/>
      <c r="D20" s="1297" t="n"/>
      <c r="E20" s="1829" t="inlineStr">
        <is>
          <t>17 001 - 18 000</t>
        </is>
      </c>
      <c r="F20" s="1595" t="n"/>
      <c r="G20" s="1595" t="n"/>
      <c r="H20" s="1532" t="n"/>
      <c r="I20" s="1615" t="n"/>
      <c r="L20" s="1297" t="n"/>
      <c r="M20" s="1823" t="n"/>
      <c r="N20" s="1297" t="n"/>
      <c r="O20" s="1615" t="n"/>
      <c r="P20" s="1297" t="n"/>
      <c r="Q20" s="1830" t="n">
        <v>30.6</v>
      </c>
      <c r="R20" s="1838" t="inlineStr">
        <is>
          <t>pc</t>
        </is>
      </c>
      <c r="S20" s="1839" t="n">
        <v>1</v>
      </c>
      <c r="T20" s="1840">
        <f>+S20*Q20</f>
        <v/>
      </c>
      <c r="U20" s="1132" t="inlineStr">
        <is>
          <t>Automatic</t>
        </is>
      </c>
      <c r="V20" s="1132" t="n"/>
      <c r="X20" s="1132" t="n"/>
      <c r="Y20" s="1215" t="n"/>
      <c r="Z20" s="1231" t="n"/>
    </row>
    <row r="21" hidden="1" ht="21.75" customHeight="1" s="1134">
      <c r="A21" s="1326" t="n"/>
      <c r="D21" s="1297" t="n"/>
      <c r="E21" s="1834" t="inlineStr">
        <is>
          <t>18 001 - 19 000</t>
        </is>
      </c>
      <c r="F21" s="1624" t="n"/>
      <c r="G21" s="1624" t="n"/>
      <c r="H21" s="1625" t="n"/>
      <c r="I21" s="1615" t="n"/>
      <c r="L21" s="1297" t="n"/>
      <c r="M21" s="1823" t="n"/>
      <c r="N21" s="1297" t="n"/>
      <c r="O21" s="1615" t="n"/>
      <c r="P21" s="1297" t="n"/>
      <c r="Q21" s="1830" t="n">
        <v>32.3</v>
      </c>
      <c r="R21" s="1838" t="inlineStr">
        <is>
          <t>pc</t>
        </is>
      </c>
      <c r="S21" s="1839" t="n">
        <v>1</v>
      </c>
      <c r="T21" s="1840">
        <f>+S21*Q21</f>
        <v/>
      </c>
      <c r="U21" s="1132" t="inlineStr">
        <is>
          <t>Automatic</t>
        </is>
      </c>
      <c r="V21" s="1132" t="n"/>
      <c r="X21" s="1132" t="n"/>
      <c r="Y21" s="1215" t="n"/>
      <c r="Z21" s="1231" t="n"/>
    </row>
    <row r="22" hidden="1" ht="21.75" customHeight="1" s="1134">
      <c r="A22" s="1326" t="n"/>
      <c r="D22" s="1297" t="n"/>
      <c r="E22" s="1829" t="n"/>
      <c r="F22" s="1595" t="n"/>
      <c r="G22" s="1595" t="n"/>
      <c r="H22" s="1532" t="n"/>
      <c r="I22" s="1615" t="n"/>
      <c r="L22" s="1297" t="n"/>
      <c r="M22" s="1823" t="n"/>
      <c r="N22" s="1297" t="n"/>
      <c r="O22" s="1615" t="n"/>
      <c r="P22" s="1297" t="n"/>
      <c r="Q22" s="1841" t="n"/>
      <c r="R22" s="1831" t="n"/>
      <c r="S22" s="1842" t="n"/>
      <c r="T22" s="1833">
        <f>+S22*Q22</f>
        <v/>
      </c>
      <c r="U22" s="1843" t="n"/>
      <c r="V22" s="1132" t="n"/>
      <c r="X22" s="1132" t="n"/>
      <c r="Y22" s="1215" t="n"/>
      <c r="Z22" s="1231" t="n"/>
    </row>
    <row r="23" hidden="1" ht="21.75" customHeight="1" s="1134">
      <c r="A23" s="1326" t="n"/>
      <c r="D23" s="1297" t="n"/>
      <c r="E23" s="1829" t="n"/>
      <c r="F23" s="1595" t="n"/>
      <c r="G23" s="1595" t="n"/>
      <c r="H23" s="1532" t="n"/>
      <c r="I23" s="1615" t="n"/>
      <c r="L23" s="1297" t="n"/>
      <c r="M23" s="1823" t="n"/>
      <c r="N23" s="1297" t="n"/>
      <c r="O23" s="1615" t="n"/>
      <c r="P23" s="1297" t="n"/>
      <c r="Q23" s="1841" t="n"/>
      <c r="R23" s="1831" t="n"/>
      <c r="S23" s="1842" t="n"/>
      <c r="T23" s="1833">
        <f>+S23*Q23</f>
        <v/>
      </c>
      <c r="U23" s="1843" t="n"/>
      <c r="V23" s="1132" t="n"/>
      <c r="X23" s="1132" t="n"/>
      <c r="Y23" s="1215" t="n"/>
      <c r="Z23" s="1231" t="n"/>
    </row>
    <row r="24" hidden="1" ht="21.75" customHeight="1" s="1134">
      <c r="A24" s="1326" t="n"/>
      <c r="D24" s="1297" t="n"/>
      <c r="E24" s="1829" t="n"/>
      <c r="F24" s="1595" t="n"/>
      <c r="G24" s="1595" t="n"/>
      <c r="H24" s="1532" t="n"/>
      <c r="I24" s="1615" t="n"/>
      <c r="L24" s="1297" t="n"/>
      <c r="M24" s="1823" t="n"/>
      <c r="N24" s="1297" t="n"/>
      <c r="O24" s="1615" t="n"/>
      <c r="P24" s="1297" t="n"/>
      <c r="Q24" s="1841" t="n"/>
      <c r="R24" s="1831" t="n"/>
      <c r="S24" s="1842" t="n"/>
      <c r="T24" s="1833">
        <f>+S24*Q24</f>
        <v/>
      </c>
      <c r="U24" s="1843" t="n"/>
      <c r="V24" s="1132" t="n"/>
      <c r="X24" s="1132" t="n"/>
      <c r="Y24" s="1215" t="n"/>
      <c r="Z24" s="1231" t="n"/>
    </row>
    <row r="25" hidden="1" ht="21.75" customHeight="1" s="1134">
      <c r="A25" s="1329" t="n"/>
      <c r="B25" s="1390" t="n"/>
      <c r="C25" s="1390" t="n"/>
      <c r="D25" s="1301" t="n"/>
      <c r="E25" s="1844" t="n"/>
      <c r="F25" s="1390" t="n"/>
      <c r="G25" s="1390" t="n"/>
      <c r="H25" s="1301" t="n"/>
      <c r="I25" s="1812" t="n"/>
      <c r="J25" s="1390" t="n"/>
      <c r="K25" s="1390" t="n"/>
      <c r="L25" s="1301" t="n"/>
      <c r="M25" s="1823" t="n"/>
      <c r="N25" s="1301" t="n"/>
      <c r="O25" s="1812" t="n"/>
      <c r="P25" s="1301" t="n"/>
      <c r="Q25" s="1845" t="n"/>
      <c r="R25" s="1838" t="n"/>
      <c r="S25" s="1846" t="n"/>
      <c r="T25" s="1840" t="n"/>
      <c r="U25" s="1843" t="n"/>
      <c r="V25" s="1132" t="n"/>
      <c r="X25" s="1132" t="n"/>
      <c r="Y25" s="1215" t="n"/>
      <c r="Z25" s="1231" t="n"/>
    </row>
    <row r="26" hidden="1" ht="21.75" customHeight="1" s="1134">
      <c r="A26" s="1820" t="inlineStr">
        <is>
          <t>Manual coiling
Cross section &gt; 4mm² &lt; 11mm² 
To be used also for twisted wires, doubles, multiconductors, coaxial cables and antennas needs when total (sum of gages) cross section &gt; than 3 mm² and length is more than 4 mt</t>
        </is>
      </c>
      <c r="B26" s="1589" t="n"/>
      <c r="C26" s="1589" t="n"/>
      <c r="D26" s="1590" t="n"/>
      <c r="E26" s="1847" t="inlineStr">
        <is>
          <t>4001 - 5000</t>
        </is>
      </c>
      <c r="F26" s="1609" t="n"/>
      <c r="G26" s="1609" t="n"/>
      <c r="H26" s="1610" t="n"/>
      <c r="I26" s="1822" t="inlineStr">
        <is>
          <t>Get wire from the tray</t>
        </is>
      </c>
      <c r="J26" s="1589" t="n"/>
      <c r="K26" s="1589" t="n"/>
      <c r="L26" s="1590" t="n"/>
      <c r="M26" s="1823" t="n"/>
      <c r="N26" s="1824" t="inlineStr">
        <is>
          <t>Coiled wire closed with re-usable material</t>
        </is>
      </c>
      <c r="O26" s="1822" t="inlineStr">
        <is>
          <t xml:space="preserve">Coiling station to be used. Wires to be placed in horizontal trays. To close the coiled wire re-usable / recyclable material to be used. </t>
        </is>
      </c>
      <c r="P26" s="1590" t="n"/>
      <c r="Q26" s="1848" t="n">
        <v>10.5</v>
      </c>
      <c r="R26" s="1849" t="inlineStr">
        <is>
          <t>pc</t>
        </is>
      </c>
      <c r="S26" s="1850" t="n"/>
      <c r="T26" s="1851">
        <f>+S26*Q26</f>
        <v/>
      </c>
      <c r="U26" s="1132" t="inlineStr">
        <is>
          <t>Automatic</t>
        </is>
      </c>
      <c r="V26" s="1132" t="n"/>
      <c r="X26" s="1132" t="n"/>
      <c r="Y26" s="1215" t="n"/>
      <c r="Z26" s="1231" t="n"/>
    </row>
    <row r="27" hidden="1" ht="21.75" customHeight="1" s="1134">
      <c r="A27" s="1326" t="n"/>
      <c r="D27" s="1297" t="n"/>
      <c r="E27" s="1829" t="inlineStr">
        <is>
          <t>5001 - 6000</t>
        </is>
      </c>
      <c r="F27" s="1595" t="n"/>
      <c r="G27" s="1595" t="n"/>
      <c r="H27" s="1532" t="n"/>
      <c r="I27" s="1615" t="n"/>
      <c r="L27" s="1297" t="n"/>
      <c r="M27" s="1823" t="n"/>
      <c r="N27" s="1297" t="n"/>
      <c r="O27" s="1615" t="n"/>
      <c r="P27" s="1297" t="n"/>
      <c r="Q27" s="1830" t="n">
        <v>12.6</v>
      </c>
      <c r="R27" s="1831" t="inlineStr">
        <is>
          <t>pc</t>
        </is>
      </c>
      <c r="S27" s="1832" t="n">
        <v>1</v>
      </c>
      <c r="T27" s="1833">
        <f>+S27*Q27</f>
        <v/>
      </c>
      <c r="U27" s="1132" t="inlineStr">
        <is>
          <t>Automatic</t>
        </is>
      </c>
      <c r="V27" s="1132" t="n"/>
      <c r="X27" s="1132" t="n"/>
      <c r="Y27" s="1215" t="n"/>
      <c r="Z27" s="1231" t="n"/>
    </row>
    <row r="28" hidden="1" ht="21.75" customHeight="1" s="1134">
      <c r="A28" s="1326" t="n"/>
      <c r="D28" s="1297" t="n"/>
      <c r="E28" s="1829" t="inlineStr">
        <is>
          <t>6001 - 7000</t>
        </is>
      </c>
      <c r="F28" s="1595" t="n"/>
      <c r="G28" s="1595" t="n"/>
      <c r="H28" s="1532" t="n"/>
      <c r="I28" s="1615" t="n"/>
      <c r="L28" s="1297" t="n"/>
      <c r="M28" s="1823" t="n"/>
      <c r="N28" s="1297" t="n"/>
      <c r="O28" s="1615" t="n"/>
      <c r="P28" s="1297" t="n"/>
      <c r="Q28" s="1830" t="n">
        <v>14.7</v>
      </c>
      <c r="R28" s="1831" t="inlineStr">
        <is>
          <t>pc</t>
        </is>
      </c>
      <c r="S28" s="1832" t="n">
        <v>1</v>
      </c>
      <c r="T28" s="1833">
        <f>+S28*Q28</f>
        <v/>
      </c>
      <c r="U28" s="1132" t="inlineStr">
        <is>
          <t>Automatic</t>
        </is>
      </c>
      <c r="V28" s="1132" t="n"/>
      <c r="X28" s="1132" t="n"/>
      <c r="Y28" s="1215" t="n"/>
      <c r="Z28" s="1231" t="n"/>
    </row>
    <row r="29" hidden="1" ht="21.75" customHeight="1" s="1134">
      <c r="A29" s="1326" t="n"/>
      <c r="D29" s="1297" t="n"/>
      <c r="E29" s="1829" t="inlineStr">
        <is>
          <t>7001 - 8000</t>
        </is>
      </c>
      <c r="F29" s="1595" t="n"/>
      <c r="G29" s="1595" t="n"/>
      <c r="H29" s="1532" t="n"/>
      <c r="I29" s="1615" t="n"/>
      <c r="L29" s="1297" t="n"/>
      <c r="M29" s="1823" t="n"/>
      <c r="N29" s="1297" t="n"/>
      <c r="O29" s="1615" t="n"/>
      <c r="P29" s="1297" t="n"/>
      <c r="Q29" s="1830" t="n">
        <v>15.2</v>
      </c>
      <c r="R29" s="1831" t="inlineStr">
        <is>
          <t>pc</t>
        </is>
      </c>
      <c r="S29" s="1832" t="n">
        <v>1</v>
      </c>
      <c r="T29" s="1833">
        <f>+S29*Q29</f>
        <v/>
      </c>
      <c r="U29" s="1132" t="inlineStr">
        <is>
          <t>Automatic</t>
        </is>
      </c>
      <c r="V29" s="1132" t="n"/>
      <c r="X29" s="1132" t="n"/>
      <c r="Y29" s="1215" t="n"/>
      <c r="Z29" s="1231" t="n"/>
    </row>
    <row r="30" hidden="1" ht="21.75" customHeight="1" s="1134">
      <c r="A30" s="1326" t="n"/>
      <c r="D30" s="1297" t="n"/>
      <c r="E30" s="1829" t="inlineStr">
        <is>
          <t>8001 - 9000</t>
        </is>
      </c>
      <c r="F30" s="1595" t="n"/>
      <c r="G30" s="1595" t="n"/>
      <c r="H30" s="1532" t="n"/>
      <c r="I30" s="1615" t="n"/>
      <c r="L30" s="1297" t="n"/>
      <c r="M30" s="1823" t="n"/>
      <c r="N30" s="1297" t="n"/>
      <c r="O30" s="1615" t="n"/>
      <c r="P30" s="1297" t="n"/>
      <c r="Q30" s="1830" t="n">
        <v>17.1</v>
      </c>
      <c r="R30" s="1831" t="inlineStr">
        <is>
          <t>pc</t>
        </is>
      </c>
      <c r="S30" s="1832" t="n">
        <v>1</v>
      </c>
      <c r="T30" s="1833">
        <f>+S30*Q30</f>
        <v/>
      </c>
      <c r="U30" s="1132" t="inlineStr">
        <is>
          <t>Automatic</t>
        </is>
      </c>
      <c r="V30" s="1132" t="n"/>
      <c r="X30" s="1132" t="n"/>
      <c r="Y30" s="1215" t="n"/>
      <c r="Z30" s="1231" t="n"/>
    </row>
    <row r="31" hidden="1" ht="21.75" customHeight="1" s="1134">
      <c r="A31" s="1326" t="n"/>
      <c r="D31" s="1297" t="n"/>
      <c r="E31" s="1829" t="inlineStr">
        <is>
          <t>9001 - 10 000</t>
        </is>
      </c>
      <c r="F31" s="1595" t="n"/>
      <c r="G31" s="1595" t="n"/>
      <c r="H31" s="1532" t="n"/>
      <c r="I31" s="1615" t="n"/>
      <c r="L31" s="1297" t="n"/>
      <c r="M31" s="1823" t="n"/>
      <c r="N31" s="1297" t="n"/>
      <c r="O31" s="1615" t="n"/>
      <c r="P31" s="1297" t="n"/>
      <c r="Q31" s="1830" t="n">
        <v>19</v>
      </c>
      <c r="R31" s="1831" t="inlineStr">
        <is>
          <t>pc</t>
        </is>
      </c>
      <c r="S31" s="1832" t="n">
        <v>1</v>
      </c>
      <c r="T31" s="1833">
        <f>+S31*Q31</f>
        <v/>
      </c>
      <c r="U31" s="1132" t="inlineStr">
        <is>
          <t>Automatic</t>
        </is>
      </c>
      <c r="V31" s="1132" t="n"/>
      <c r="X31" s="1132" t="n"/>
      <c r="Y31" s="1215" t="n"/>
      <c r="Z31" s="1231" t="n"/>
    </row>
    <row r="32" hidden="1" ht="21.75" customHeight="1" s="1134">
      <c r="A32" s="1326" t="n"/>
      <c r="D32" s="1297" t="n"/>
      <c r="E32" s="1829" t="inlineStr">
        <is>
          <t>10 001 - 11 000</t>
        </is>
      </c>
      <c r="F32" s="1595" t="n"/>
      <c r="G32" s="1595" t="n"/>
      <c r="H32" s="1532" t="n"/>
      <c r="I32" s="1615" t="n"/>
      <c r="L32" s="1297" t="n"/>
      <c r="M32" s="1823" t="n"/>
      <c r="N32" s="1297" t="n"/>
      <c r="O32" s="1615" t="n"/>
      <c r="P32" s="1297" t="n"/>
      <c r="Q32" s="1830" t="n">
        <v>20.9</v>
      </c>
      <c r="R32" s="1831" t="inlineStr">
        <is>
          <t>pc</t>
        </is>
      </c>
      <c r="S32" s="1832" t="n">
        <v>1</v>
      </c>
      <c r="T32" s="1833">
        <f>+S32*Q32</f>
        <v/>
      </c>
      <c r="U32" s="1132" t="inlineStr">
        <is>
          <t>Automatic</t>
        </is>
      </c>
      <c r="V32" s="1132" t="n"/>
      <c r="X32" s="1132" t="n"/>
      <c r="Y32" s="1215" t="n"/>
      <c r="Z32" s="1231" t="n"/>
    </row>
    <row r="33" hidden="1" ht="21.75" customHeight="1" s="1134">
      <c r="A33" s="1326" t="n"/>
      <c r="D33" s="1297" t="n"/>
      <c r="E33" s="1829" t="inlineStr">
        <is>
          <t>11 001 - 11 000</t>
        </is>
      </c>
      <c r="F33" s="1595" t="n"/>
      <c r="G33" s="1595" t="n"/>
      <c r="H33" s="1532" t="n"/>
      <c r="I33" s="1615" t="n"/>
      <c r="L33" s="1297" t="n"/>
      <c r="M33" s="1823" t="n"/>
      <c r="N33" s="1297" t="n"/>
      <c r="O33" s="1615" t="n"/>
      <c r="P33" s="1297" t="n"/>
      <c r="Q33" s="1830" t="n">
        <v>22.8</v>
      </c>
      <c r="R33" s="1831" t="inlineStr">
        <is>
          <t>pc</t>
        </is>
      </c>
      <c r="S33" s="1832" t="n">
        <v>1</v>
      </c>
      <c r="T33" s="1833">
        <f>+S33*Q33</f>
        <v/>
      </c>
      <c r="U33" s="1132" t="inlineStr">
        <is>
          <t>Automatic</t>
        </is>
      </c>
      <c r="V33" s="1132" t="n"/>
      <c r="X33" s="1132" t="n"/>
      <c r="Y33" s="1215" t="n"/>
      <c r="Z33" s="1231" t="n"/>
    </row>
    <row r="34" hidden="1" ht="21.75" customHeight="1" s="1134">
      <c r="A34" s="1326" t="n"/>
      <c r="D34" s="1297" t="n"/>
      <c r="E34" s="1829" t="inlineStr">
        <is>
          <t>12 001 - 13 000</t>
        </is>
      </c>
      <c r="F34" s="1595" t="n"/>
      <c r="G34" s="1595" t="n"/>
      <c r="H34" s="1532" t="n"/>
      <c r="I34" s="1615" t="n"/>
      <c r="L34" s="1297" t="n"/>
      <c r="M34" s="1823" t="n"/>
      <c r="N34" s="1297" t="n"/>
      <c r="O34" s="1615" t="n"/>
      <c r="P34" s="1297" t="n"/>
      <c r="Q34" s="1830" t="n">
        <v>24.7</v>
      </c>
      <c r="R34" s="1831" t="inlineStr">
        <is>
          <t>pc</t>
        </is>
      </c>
      <c r="S34" s="1832" t="n">
        <v>1</v>
      </c>
      <c r="T34" s="1833">
        <f>+S34*Q34</f>
        <v/>
      </c>
      <c r="U34" s="1132" t="inlineStr">
        <is>
          <t>Automatic</t>
        </is>
      </c>
      <c r="V34" s="1132" t="n"/>
      <c r="X34" s="1132" t="n"/>
      <c r="Y34" s="1215" t="n"/>
      <c r="Z34" s="1231" t="n"/>
    </row>
    <row r="35" hidden="1" ht="21.75" customHeight="1" s="1134">
      <c r="A35" s="1326" t="n"/>
      <c r="D35" s="1297" t="n"/>
      <c r="E35" s="1829" t="inlineStr">
        <is>
          <t>13 001 - 14 000</t>
        </is>
      </c>
      <c r="F35" s="1595" t="n"/>
      <c r="G35" s="1595" t="n"/>
      <c r="H35" s="1532" t="n"/>
      <c r="I35" s="1615" t="n"/>
      <c r="L35" s="1297" t="n"/>
      <c r="M35" s="1823" t="n"/>
      <c r="N35" s="1297" t="n"/>
      <c r="O35" s="1615" t="n"/>
      <c r="P35" s="1297" t="n"/>
      <c r="Q35" s="1830" t="n">
        <v>26.6</v>
      </c>
      <c r="R35" s="1831" t="inlineStr">
        <is>
          <t>pc</t>
        </is>
      </c>
      <c r="S35" s="1832" t="n">
        <v>1</v>
      </c>
      <c r="T35" s="1833">
        <f>+S35*Q35</f>
        <v/>
      </c>
      <c r="U35" s="1132" t="inlineStr">
        <is>
          <t>Automatic</t>
        </is>
      </c>
      <c r="V35" s="1132" t="n"/>
      <c r="X35" s="1132" t="n"/>
      <c r="Y35" s="1215" t="n"/>
      <c r="Z35" s="1231" t="n"/>
    </row>
    <row r="36" hidden="1" ht="21.75" customHeight="1" s="1134">
      <c r="A36" s="1326" t="n"/>
      <c r="D36" s="1297" t="n"/>
      <c r="E36" s="1829" t="inlineStr">
        <is>
          <t>14 001 - 15 000</t>
        </is>
      </c>
      <c r="F36" s="1595" t="n"/>
      <c r="G36" s="1595" t="n"/>
      <c r="H36" s="1532" t="n"/>
      <c r="I36" s="1615" t="n"/>
      <c r="L36" s="1297" t="n"/>
      <c r="M36" s="1823" t="n"/>
      <c r="N36" s="1297" t="n"/>
      <c r="O36" s="1615" t="n"/>
      <c r="P36" s="1297" t="n"/>
      <c r="Q36" s="1830" t="n">
        <v>28.5</v>
      </c>
      <c r="R36" s="1831" t="inlineStr">
        <is>
          <t>pc</t>
        </is>
      </c>
      <c r="S36" s="1832" t="n">
        <v>1</v>
      </c>
      <c r="T36" s="1833">
        <f>+S36*Q36</f>
        <v/>
      </c>
      <c r="U36" s="1132" t="inlineStr">
        <is>
          <t>Automatic</t>
        </is>
      </c>
      <c r="V36" s="1132" t="n"/>
      <c r="X36" s="1132" t="n"/>
      <c r="Y36" s="1215" t="n"/>
      <c r="Z36" s="1231" t="n"/>
    </row>
    <row r="37" hidden="1" ht="21.75" customHeight="1" s="1134">
      <c r="A37" s="1326" t="n"/>
      <c r="D37" s="1297" t="n"/>
      <c r="E37" s="1829" t="inlineStr">
        <is>
          <t>15 001 - 16 000</t>
        </is>
      </c>
      <c r="F37" s="1595" t="n"/>
      <c r="G37" s="1595" t="n"/>
      <c r="H37" s="1532" t="n"/>
      <c r="I37" s="1615" t="n"/>
      <c r="L37" s="1297" t="n"/>
      <c r="M37" s="1823" t="n"/>
      <c r="N37" s="1297" t="n"/>
      <c r="O37" s="1615" t="n"/>
      <c r="P37" s="1297" t="n"/>
      <c r="Q37" s="1830" t="n">
        <v>30.4</v>
      </c>
      <c r="R37" s="1831" t="inlineStr">
        <is>
          <t>pc</t>
        </is>
      </c>
      <c r="S37" s="1832" t="n">
        <v>1</v>
      </c>
      <c r="T37" s="1833">
        <f>+S37*Q37</f>
        <v/>
      </c>
      <c r="U37" s="1132" t="inlineStr">
        <is>
          <t>Automatic</t>
        </is>
      </c>
      <c r="V37" s="1132" t="n"/>
      <c r="X37" s="1132" t="n"/>
      <c r="Y37" s="1215" t="n"/>
      <c r="Z37" s="1231" t="n"/>
    </row>
    <row r="38" hidden="1" ht="21.75" customHeight="1" s="1134">
      <c r="A38" s="1326" t="n"/>
      <c r="D38" s="1297" t="n"/>
      <c r="E38" s="1829" t="inlineStr">
        <is>
          <t>16 001 - 17 000</t>
        </is>
      </c>
      <c r="F38" s="1595" t="n"/>
      <c r="G38" s="1595" t="n"/>
      <c r="H38" s="1532" t="n"/>
      <c r="I38" s="1615" t="n"/>
      <c r="L38" s="1297" t="n"/>
      <c r="M38" s="1823" t="n"/>
      <c r="N38" s="1297" t="n"/>
      <c r="O38" s="1615" t="n"/>
      <c r="P38" s="1297" t="n"/>
      <c r="Q38" s="1830" t="n">
        <v>32.3</v>
      </c>
      <c r="R38" s="1831" t="inlineStr">
        <is>
          <t>pc</t>
        </is>
      </c>
      <c r="S38" s="1832" t="n">
        <v>1</v>
      </c>
      <c r="T38" s="1833">
        <f>+S38*Q38</f>
        <v/>
      </c>
      <c r="U38" s="1132" t="inlineStr">
        <is>
          <t>Automatic</t>
        </is>
      </c>
      <c r="V38" s="1132" t="n"/>
      <c r="X38" s="1132" t="n"/>
      <c r="Y38" s="1215" t="n"/>
      <c r="Z38" s="1231" t="n"/>
    </row>
    <row r="39" hidden="1" ht="21.75" customHeight="1" s="1134">
      <c r="A39" s="1326" t="n"/>
      <c r="D39" s="1297" t="n"/>
      <c r="E39" s="1829" t="inlineStr">
        <is>
          <t>17 001 - 18 000</t>
        </is>
      </c>
      <c r="F39" s="1595" t="n"/>
      <c r="G39" s="1595" t="n"/>
      <c r="H39" s="1532" t="n"/>
      <c r="I39" s="1615" t="n"/>
      <c r="L39" s="1297" t="n"/>
      <c r="M39" s="1823" t="n"/>
      <c r="N39" s="1297" t="n"/>
      <c r="O39" s="1615" t="n"/>
      <c r="P39" s="1297" t="n"/>
      <c r="Q39" s="1830" t="n">
        <v>34.2</v>
      </c>
      <c r="R39" s="1831" t="inlineStr">
        <is>
          <t>pc</t>
        </is>
      </c>
      <c r="S39" s="1836" t="n">
        <v>1</v>
      </c>
      <c r="T39" s="1837">
        <f>+S39*Q39</f>
        <v/>
      </c>
      <c r="U39" s="1132" t="inlineStr">
        <is>
          <t>Automatic</t>
        </is>
      </c>
      <c r="V39" s="1132" t="n"/>
      <c r="X39" s="1132" t="n"/>
      <c r="Y39" s="1215" t="n"/>
      <c r="Z39" s="1231" t="n"/>
    </row>
    <row r="40" hidden="1" ht="21.75" customHeight="1" s="1134">
      <c r="A40" s="1326" t="n"/>
      <c r="D40" s="1297" t="n"/>
      <c r="E40" s="1829" t="inlineStr">
        <is>
          <t>18 001 - 19 000</t>
        </is>
      </c>
      <c r="F40" s="1595" t="n"/>
      <c r="G40" s="1595" t="n"/>
      <c r="H40" s="1532" t="n"/>
      <c r="I40" s="1615" t="n"/>
      <c r="L40" s="1297" t="n"/>
      <c r="M40" s="1823" t="n"/>
      <c r="N40" s="1297" t="n"/>
      <c r="O40" s="1615" t="n"/>
      <c r="P40" s="1297" t="n"/>
      <c r="Q40" s="1830" t="n">
        <v>36.1</v>
      </c>
      <c r="R40" s="1835" t="inlineStr">
        <is>
          <t>pc</t>
        </is>
      </c>
      <c r="S40" s="1836" t="n">
        <v>1</v>
      </c>
      <c r="T40" s="1837">
        <f>+S40*Q40</f>
        <v/>
      </c>
      <c r="U40" s="1132" t="inlineStr">
        <is>
          <t>Automatic</t>
        </is>
      </c>
      <c r="V40" s="1132" t="n"/>
      <c r="X40" s="1132" t="n"/>
      <c r="Y40" s="1215" t="n"/>
      <c r="Z40" s="1231" t="n"/>
    </row>
    <row r="41" hidden="1" ht="21.75" customHeight="1" s="1134">
      <c r="A41" s="1326" t="n"/>
      <c r="D41" s="1297" t="n"/>
      <c r="E41" s="1829" t="n"/>
      <c r="F41" s="1595" t="n"/>
      <c r="G41" s="1595" t="n"/>
      <c r="H41" s="1532" t="n"/>
      <c r="I41" s="1615" t="n"/>
      <c r="L41" s="1297" t="n"/>
      <c r="M41" s="1823" t="n"/>
      <c r="N41" s="1297" t="n"/>
      <c r="O41" s="1615" t="n"/>
      <c r="P41" s="1297" t="n"/>
      <c r="Q41" s="1841" t="n"/>
      <c r="R41" s="1831" t="n"/>
      <c r="S41" s="1842" t="n"/>
      <c r="T41" s="1833">
        <f>+S41*Q41</f>
        <v/>
      </c>
      <c r="U41" s="1852" t="n"/>
      <c r="V41" s="1132" t="n"/>
      <c r="X41" s="1132" t="n"/>
      <c r="Y41" s="1215" t="n"/>
      <c r="Z41" s="1231" t="n"/>
    </row>
    <row r="42" hidden="1" ht="21.75" customHeight="1" s="1134">
      <c r="A42" s="1326" t="n"/>
      <c r="D42" s="1297" t="n"/>
      <c r="E42" s="1829" t="n"/>
      <c r="F42" s="1595" t="n"/>
      <c r="G42" s="1595" t="n"/>
      <c r="H42" s="1532" t="n"/>
      <c r="I42" s="1615" t="n"/>
      <c r="L42" s="1297" t="n"/>
      <c r="M42" s="1823" t="n"/>
      <c r="N42" s="1297" t="n"/>
      <c r="O42" s="1615" t="n"/>
      <c r="P42" s="1297" t="n"/>
      <c r="Q42" s="1841" t="n"/>
      <c r="R42" s="1831" t="n"/>
      <c r="S42" s="1842" t="n"/>
      <c r="T42" s="1833">
        <f>+S42*Q42</f>
        <v/>
      </c>
      <c r="U42" s="1852" t="n"/>
      <c r="V42" s="1132" t="n"/>
      <c r="X42" s="1132" t="n"/>
      <c r="Y42" s="1215" t="n"/>
      <c r="Z42" s="1231" t="n"/>
    </row>
    <row r="43" hidden="1" ht="21.75" customHeight="1" s="1134">
      <c r="A43" s="1326" t="n"/>
      <c r="D43" s="1297" t="n"/>
      <c r="E43" s="1829" t="n"/>
      <c r="F43" s="1595" t="n"/>
      <c r="G43" s="1595" t="n"/>
      <c r="H43" s="1532" t="n"/>
      <c r="I43" s="1615" t="n"/>
      <c r="L43" s="1297" t="n"/>
      <c r="M43" s="1823" t="n"/>
      <c r="N43" s="1297" t="n"/>
      <c r="O43" s="1615" t="n"/>
      <c r="P43" s="1297" t="n"/>
      <c r="Q43" s="1841" t="n"/>
      <c r="R43" s="1831" t="n"/>
      <c r="S43" s="1842" t="n"/>
      <c r="T43" s="1833">
        <f>+S43*Q43</f>
        <v/>
      </c>
      <c r="U43" s="1852" t="n"/>
      <c r="V43" s="1132" t="n"/>
      <c r="X43" s="1132" t="n"/>
      <c r="Y43" s="1215" t="n"/>
      <c r="Z43" s="1231" t="n"/>
    </row>
    <row r="44" hidden="1" ht="21.75" customHeight="1" s="1134">
      <c r="A44" s="1329" t="n"/>
      <c r="B44" s="1390" t="n"/>
      <c r="C44" s="1390" t="n"/>
      <c r="D44" s="1301" t="n"/>
      <c r="E44" s="1829" t="n"/>
      <c r="F44" s="1595" t="n"/>
      <c r="G44" s="1595" t="n"/>
      <c r="H44" s="1532" t="n"/>
      <c r="I44" s="1812" t="n"/>
      <c r="J44" s="1390" t="n"/>
      <c r="K44" s="1390" t="n"/>
      <c r="L44" s="1301" t="n"/>
      <c r="M44" s="1823" t="n"/>
      <c r="N44" s="1301" t="n"/>
      <c r="O44" s="1812" t="n"/>
      <c r="P44" s="1301" t="n"/>
      <c r="Q44" s="1845" t="n"/>
      <c r="R44" s="1853" t="n"/>
      <c r="S44" s="1854" t="n"/>
      <c r="T44" s="1855" t="n"/>
      <c r="U44" s="1852" t="n"/>
      <c r="V44" s="1132" t="n"/>
      <c r="X44" s="1132" t="n"/>
      <c r="Y44" s="1215" t="n"/>
      <c r="Z44" s="1231" t="n"/>
    </row>
    <row r="45" ht="53.25" customHeight="1" s="1134">
      <c r="A45" s="1856" t="inlineStr">
        <is>
          <t>Get coiled wire</t>
        </is>
      </c>
      <c r="B45" s="1719" t="n"/>
      <c r="C45" s="1719" t="n"/>
      <c r="D45" s="1655" t="n"/>
      <c r="E45" s="1857" t="inlineStr">
        <is>
          <t>Get coiled wire (antenna, twist, double, multiconductor, coaxial etc) for plugging</t>
        </is>
      </c>
      <c r="F45" s="1719" t="n"/>
      <c r="G45" s="1719" t="n"/>
      <c r="H45" s="1655" t="n"/>
      <c r="I45" s="1323" t="inlineStr">
        <is>
          <t>Pick up the coiled wire, remove the ball fix, ready for plug</t>
        </is>
      </c>
      <c r="J45" s="1719" t="n"/>
      <c r="K45" s="1719" t="n"/>
      <c r="L45" s="1655" t="n"/>
      <c r="M45" s="1653" t="n"/>
      <c r="N45" s="1858" t="inlineStr">
        <is>
          <t>Pick up the coiled wire</t>
        </is>
      </c>
      <c r="O45" s="1323" t="inlineStr">
        <is>
          <t>Wire ready for plugging</t>
        </is>
      </c>
      <c r="P45" s="1655" t="n"/>
      <c r="Q45" s="1859" t="n">
        <v>4.33</v>
      </c>
      <c r="R45" s="1860" t="inlineStr">
        <is>
          <t>pc</t>
        </is>
      </c>
      <c r="S45" s="1634" t="n">
        <v>1</v>
      </c>
      <c r="T45" s="1635">
        <f>+S45*Q45</f>
        <v/>
      </c>
      <c r="U45" s="1132" t="inlineStr">
        <is>
          <t>Automatic</t>
        </is>
      </c>
      <c r="V45" s="1132" t="n"/>
      <c r="X45" s="1132" t="n"/>
      <c r="Y45" s="1215" t="n"/>
      <c r="Z45" s="1231" t="n"/>
    </row>
    <row r="46" ht="15.75" customFormat="1" customHeight="1" s="1132">
      <c r="V46" s="1132" t="n"/>
      <c r="W46" s="1344" t="n"/>
      <c r="X46" s="1132" t="n"/>
      <c r="Y46" s="1215" t="n"/>
      <c r="Z46" s="1231" t="n"/>
    </row>
    <row r="47" ht="39.75" customHeight="1" s="1134">
      <c r="A47" s="1861" t="inlineStr">
        <is>
          <t>Get and Route wires ( get and remove wires from rack operation to be used only for uncoiled wires)</t>
        </is>
      </c>
      <c r="B47" s="1589" t="n"/>
      <c r="C47" s="1589" t="n"/>
      <c r="D47" s="1590" t="n"/>
      <c r="E47" s="1698" t="inlineStr">
        <is>
          <t>Get and remove wires from rack</t>
        </is>
      </c>
      <c r="F47" s="1609" t="n"/>
      <c r="G47" s="1609" t="n"/>
      <c r="H47" s="1610" t="n"/>
      <c r="I47" s="1698" t="inlineStr">
        <is>
          <t>up to 1000 mm</t>
        </is>
      </c>
      <c r="J47" s="1609" t="n"/>
      <c r="K47" s="1609" t="n"/>
      <c r="L47" s="1610" t="n"/>
      <c r="M47" s="1698" t="inlineStr">
        <is>
          <t>Reach for wire</t>
        </is>
      </c>
      <c r="N47" s="1610" t="n"/>
      <c r="O47" s="1698" t="inlineStr">
        <is>
          <t>Wire in hand ready for first plug</t>
        </is>
      </c>
      <c r="P47" s="1610" t="n"/>
      <c r="Q47" s="1862" t="n">
        <v>1.625</v>
      </c>
      <c r="R47" s="1685" t="inlineStr">
        <is>
          <t>pc</t>
        </is>
      </c>
      <c r="S47" s="1447" t="n">
        <v>1</v>
      </c>
      <c r="T47" s="1448">
        <f>+S47*Q47</f>
        <v/>
      </c>
      <c r="U47" s="1132" t="inlineStr">
        <is>
          <t>Semi-auto</t>
        </is>
      </c>
      <c r="V47" s="1132" t="n"/>
      <c r="X47" s="1132" t="n"/>
      <c r="Y47" s="1215" t="n"/>
      <c r="Z47" s="1231" t="n"/>
    </row>
    <row r="48" ht="46.5" customHeight="1" s="1134">
      <c r="A48" s="1326" t="n"/>
      <c r="D48" s="1297" t="n"/>
      <c r="E48" s="1561" t="inlineStr">
        <is>
          <t xml:space="preserve">Route wires on board </t>
        </is>
      </c>
      <c r="F48" s="1595" t="n"/>
      <c r="G48" s="1595" t="n"/>
      <c r="H48" s="1532" t="n"/>
      <c r="I48" s="1561" t="inlineStr">
        <is>
          <t>up to 1000 mm</t>
        </is>
      </c>
      <c r="J48" s="1595" t="n"/>
      <c r="K48" s="1595" t="n"/>
      <c r="L48" s="1532" t="n"/>
      <c r="M48" s="1561" t="inlineStr">
        <is>
          <t>Wire in hand after first plug</t>
        </is>
      </c>
      <c r="N48" s="1532" t="n"/>
      <c r="O48" s="1561" t="inlineStr">
        <is>
          <t>Wire in hand ready for second plug</t>
        </is>
      </c>
      <c r="P48" s="1532" t="n"/>
      <c r="Q48" s="1740" t="n">
        <v>1.46</v>
      </c>
      <c r="R48" s="1741" t="inlineStr">
        <is>
          <t xml:space="preserve">pc </t>
        </is>
      </c>
      <c r="S48" s="1402" t="n">
        <v>1</v>
      </c>
      <c r="T48" s="1403">
        <f>+S48*Q48</f>
        <v/>
      </c>
      <c r="U48" s="1132" t="inlineStr">
        <is>
          <t>Semi-auto</t>
        </is>
      </c>
      <c r="V48" s="1132" t="n"/>
      <c r="X48" s="1132" t="n"/>
      <c r="Y48" s="1215" t="n"/>
      <c r="Z48" s="1231" t="n"/>
    </row>
    <row r="49" ht="39.75" customHeight="1" s="1134">
      <c r="A49" s="1326" t="n"/>
      <c r="D49" s="1297" t="n"/>
      <c r="E49" s="1561" t="inlineStr">
        <is>
          <t>Get and remove wires from rack</t>
        </is>
      </c>
      <c r="F49" s="1595" t="n"/>
      <c r="G49" s="1595" t="n"/>
      <c r="H49" s="1532" t="n"/>
      <c r="I49" s="1561" t="inlineStr">
        <is>
          <t>1001-2000 mm</t>
        </is>
      </c>
      <c r="J49" s="1595" t="n"/>
      <c r="K49" s="1595" t="n"/>
      <c r="L49" s="1532" t="n"/>
      <c r="M49" s="1561" t="inlineStr">
        <is>
          <t>Reach for wire</t>
        </is>
      </c>
      <c r="N49" s="1532" t="n"/>
      <c r="O49" s="1561" t="inlineStr">
        <is>
          <t>Wire in hand ready for first plug</t>
        </is>
      </c>
      <c r="P49" s="1532" t="n"/>
      <c r="Q49" s="1863" t="n">
        <v>2.485</v>
      </c>
      <c r="R49" s="1690" t="inlineStr">
        <is>
          <t>pc</t>
        </is>
      </c>
      <c r="S49" s="1402" t="n">
        <v>1</v>
      </c>
      <c r="T49" s="1403">
        <f>+S49*Q49</f>
        <v/>
      </c>
      <c r="U49" s="1132" t="inlineStr">
        <is>
          <t>Semi-auto</t>
        </is>
      </c>
      <c r="V49" s="1132" t="n"/>
      <c r="X49" s="1132" t="n"/>
      <c r="Y49" s="1215" t="n"/>
      <c r="Z49" s="1231" t="n"/>
    </row>
    <row r="50" ht="144" customHeight="1" s="1134">
      <c r="A50" s="1326" t="n"/>
      <c r="D50" s="1297" t="n"/>
      <c r="E50" s="1561" t="inlineStr">
        <is>
          <t>Route wires on board / to be used also for routing of automated kits (Kx Zeta kits)  or group of leads
NOTE:  for automated kit the lenght is not considered, the only citerium is the number of connectors</t>
        </is>
      </c>
      <c r="F50" s="1595" t="n"/>
      <c r="G50" s="1595" t="n"/>
      <c r="H50" s="1532" t="n"/>
      <c r="I50" s="1561" t="inlineStr">
        <is>
          <t>1001-2000 mm</t>
        </is>
      </c>
      <c r="J50" s="1595" t="n"/>
      <c r="K50" s="1595" t="n"/>
      <c r="L50" s="1532" t="n"/>
      <c r="M50" s="1561" t="inlineStr">
        <is>
          <t>Wire in hand after first plug</t>
        </is>
      </c>
      <c r="N50" s="1532" t="n"/>
      <c r="O50" s="1561" t="inlineStr">
        <is>
          <t>Wire in hand ready for second plug</t>
        </is>
      </c>
      <c r="P50" s="1532" t="n"/>
      <c r="Q50" s="1740" t="n">
        <v>2.435</v>
      </c>
      <c r="R50" s="1741" t="inlineStr">
        <is>
          <t>pc / per # of connector in automated (Zeta) kit</t>
        </is>
      </c>
      <c r="S50" s="1402" t="n">
        <v>1</v>
      </c>
      <c r="T50" s="1403">
        <f>+S50*Q50</f>
        <v/>
      </c>
      <c r="U50" s="1132" t="inlineStr">
        <is>
          <t>Semi-auto</t>
        </is>
      </c>
      <c r="V50" s="1132" t="n"/>
      <c r="X50" s="1132" t="n"/>
      <c r="Y50" s="1215" t="n"/>
      <c r="Z50" s="1231" t="n"/>
    </row>
    <row r="51" ht="39.75" customHeight="1" s="1134">
      <c r="A51" s="1326" t="n"/>
      <c r="D51" s="1297" t="n"/>
      <c r="E51" s="1561" t="inlineStr">
        <is>
          <t>Get and remove wires from rack</t>
        </is>
      </c>
      <c r="F51" s="1595" t="n"/>
      <c r="G51" s="1595" t="n"/>
      <c r="H51" s="1532" t="n"/>
      <c r="I51" s="1561" t="inlineStr">
        <is>
          <t>2001-3000 mm</t>
        </is>
      </c>
      <c r="J51" s="1595" t="n"/>
      <c r="K51" s="1595" t="n"/>
      <c r="L51" s="1532" t="n"/>
      <c r="M51" s="1561" t="inlineStr">
        <is>
          <t>Reach for wire</t>
        </is>
      </c>
      <c r="N51" s="1532" t="n"/>
      <c r="O51" s="1561" t="inlineStr">
        <is>
          <t>Wire in hand ready for first plug</t>
        </is>
      </c>
      <c r="P51" s="1532" t="n"/>
      <c r="Q51" s="1863" t="n">
        <v>3.75</v>
      </c>
      <c r="R51" s="1690" t="inlineStr">
        <is>
          <t>pc</t>
        </is>
      </c>
      <c r="S51" s="1402" t="n">
        <v>1</v>
      </c>
      <c r="T51" s="1403">
        <f>+S51*Q51</f>
        <v/>
      </c>
      <c r="U51" s="1132" t="inlineStr">
        <is>
          <t>Semi-auto</t>
        </is>
      </c>
      <c r="V51" s="1132" t="n"/>
      <c r="X51" s="1132" t="n"/>
      <c r="Y51" s="1215" t="n"/>
      <c r="Z51" s="1231" t="n"/>
    </row>
    <row r="52" ht="39.75" customHeight="1" s="1134">
      <c r="A52" s="1326" t="n"/>
      <c r="D52" s="1297" t="n"/>
      <c r="E52" s="1561" t="inlineStr">
        <is>
          <t>Route wires on board</t>
        </is>
      </c>
      <c r="F52" s="1595" t="n"/>
      <c r="G52" s="1595" t="n"/>
      <c r="H52" s="1532" t="n"/>
      <c r="I52" s="1561" t="inlineStr">
        <is>
          <t>2001-3000 mm</t>
        </is>
      </c>
      <c r="J52" s="1595" t="n"/>
      <c r="K52" s="1595" t="n"/>
      <c r="L52" s="1532" t="n"/>
      <c r="M52" s="1561" t="inlineStr">
        <is>
          <t>Wire in hand after first plug</t>
        </is>
      </c>
      <c r="N52" s="1532" t="n"/>
      <c r="O52" s="1561" t="inlineStr">
        <is>
          <t>Wire in hand ready for second plug</t>
        </is>
      </c>
      <c r="P52" s="1532" t="n"/>
      <c r="Q52" s="1740" t="n">
        <v>3.215</v>
      </c>
      <c r="R52" s="1690" t="inlineStr">
        <is>
          <t>pc</t>
        </is>
      </c>
      <c r="S52" s="1402" t="n">
        <v>1</v>
      </c>
      <c r="T52" s="1403">
        <f>+S52*Q52</f>
        <v/>
      </c>
      <c r="U52" s="1132" t="inlineStr">
        <is>
          <t>Semi-auto</t>
        </is>
      </c>
      <c r="V52" s="1132" t="n"/>
      <c r="X52" s="1132" t="n"/>
      <c r="Y52" s="1215" t="n"/>
      <c r="Z52" s="1231" t="n"/>
    </row>
    <row r="53" ht="39.75" customHeight="1" s="1134">
      <c r="A53" s="1326" t="n"/>
      <c r="D53" s="1297" t="n"/>
      <c r="E53" s="1561" t="inlineStr">
        <is>
          <t>Get and remove wires from rack</t>
        </is>
      </c>
      <c r="F53" s="1595" t="n"/>
      <c r="G53" s="1595" t="n"/>
      <c r="H53" s="1532" t="n"/>
      <c r="I53" s="1561" t="inlineStr">
        <is>
          <t>3001-4000 mm</t>
        </is>
      </c>
      <c r="J53" s="1595" t="n"/>
      <c r="K53" s="1595" t="n"/>
      <c r="L53" s="1532" t="n"/>
      <c r="M53" s="1561" t="inlineStr">
        <is>
          <t>Reach for wire</t>
        </is>
      </c>
      <c r="N53" s="1532" t="n"/>
      <c r="O53" s="1561" t="inlineStr">
        <is>
          <t>Wire in hand ready for first plug</t>
        </is>
      </c>
      <c r="P53" s="1532" t="n"/>
      <c r="Q53" s="1863" t="n">
        <v>5.958</v>
      </c>
      <c r="R53" s="1690" t="inlineStr">
        <is>
          <t>pc</t>
        </is>
      </c>
      <c r="S53" s="1402" t="n">
        <v>1</v>
      </c>
      <c r="T53" s="1403">
        <f>+S53*Q53</f>
        <v/>
      </c>
      <c r="U53" s="1132" t="inlineStr">
        <is>
          <t>Semi-auto</t>
        </is>
      </c>
      <c r="V53" s="1132" t="n"/>
      <c r="X53" s="1132" t="n"/>
      <c r="Y53" s="1215" t="n"/>
      <c r="Z53" s="1231" t="n"/>
    </row>
    <row r="54" ht="39.75" customHeight="1" s="1134">
      <c r="A54" s="1326" t="n"/>
      <c r="D54" s="1297" t="n"/>
      <c r="E54" s="1561" t="inlineStr">
        <is>
          <t>Route wires on board</t>
        </is>
      </c>
      <c r="F54" s="1595" t="n"/>
      <c r="G54" s="1595" t="n"/>
      <c r="H54" s="1532" t="n"/>
      <c r="I54" s="1561" t="inlineStr">
        <is>
          <t>3001-4000 mm</t>
        </is>
      </c>
      <c r="J54" s="1595" t="n"/>
      <c r="K54" s="1595" t="n"/>
      <c r="L54" s="1532" t="n"/>
      <c r="M54" s="1561" t="inlineStr">
        <is>
          <t>Wire in hand after first plug</t>
        </is>
      </c>
      <c r="N54" s="1532" t="n"/>
      <c r="O54" s="1561" t="inlineStr">
        <is>
          <t>Wire in hand ready for second plug</t>
        </is>
      </c>
      <c r="P54" s="1532" t="n"/>
      <c r="Q54" s="1740" t="n">
        <v>7.141</v>
      </c>
      <c r="R54" s="1690" t="inlineStr">
        <is>
          <t>pc</t>
        </is>
      </c>
      <c r="S54" s="1402" t="n">
        <v>1</v>
      </c>
      <c r="T54" s="1403">
        <f>+S54*Q54</f>
        <v/>
      </c>
      <c r="U54" s="1132" t="inlineStr">
        <is>
          <t>Semi-auto</t>
        </is>
      </c>
      <c r="V54" s="1132" t="n"/>
      <c r="X54" s="1132" t="n"/>
      <c r="Y54" s="1215" t="n"/>
      <c r="Z54" s="1231" t="n"/>
    </row>
    <row r="55" ht="39.75" customHeight="1" s="1134">
      <c r="A55" s="1326" t="n"/>
      <c r="D55" s="1297" t="n"/>
      <c r="E55" s="1561" t="inlineStr">
        <is>
          <t>Get and remove wires from rack</t>
        </is>
      </c>
      <c r="F55" s="1595" t="n"/>
      <c r="G55" s="1595" t="n"/>
      <c r="H55" s="1532" t="n"/>
      <c r="I55" s="1561" t="inlineStr">
        <is>
          <t>4001-5000 mm</t>
        </is>
      </c>
      <c r="J55" s="1595" t="n"/>
      <c r="K55" s="1595" t="n"/>
      <c r="L55" s="1532" t="n"/>
      <c r="M55" s="1561" t="inlineStr">
        <is>
          <t>Reach for wire</t>
        </is>
      </c>
      <c r="N55" s="1532" t="n"/>
      <c r="O55" s="1561" t="inlineStr">
        <is>
          <t>Wire in hand ready for first plug</t>
        </is>
      </c>
      <c r="P55" s="1532" t="n"/>
      <c r="Q55" s="1863" t="n">
        <v>7.4765</v>
      </c>
      <c r="R55" s="1690" t="inlineStr">
        <is>
          <t>pc</t>
        </is>
      </c>
      <c r="S55" s="1402" t="n">
        <v>1</v>
      </c>
      <c r="T55" s="1403">
        <f>+S55*Q55</f>
        <v/>
      </c>
      <c r="U55" s="1132" t="inlineStr">
        <is>
          <t>Semi-auto</t>
        </is>
      </c>
      <c r="V55" s="1132" t="n"/>
      <c r="X55" s="1132" t="n"/>
      <c r="Y55" s="1215" t="n"/>
      <c r="Z55" s="1231" t="n"/>
    </row>
    <row r="56" ht="39.75" customHeight="1" s="1134">
      <c r="A56" s="1326" t="n"/>
      <c r="D56" s="1297" t="n"/>
      <c r="E56" s="1561" t="inlineStr">
        <is>
          <t>Route wires on board</t>
        </is>
      </c>
      <c r="F56" s="1595" t="n"/>
      <c r="G56" s="1595" t="n"/>
      <c r="H56" s="1532" t="n"/>
      <c r="I56" s="1561" t="inlineStr">
        <is>
          <t>4001-5000 mm</t>
        </is>
      </c>
      <c r="J56" s="1595" t="n"/>
      <c r="K56" s="1595" t="n"/>
      <c r="L56" s="1532" t="n"/>
      <c r="M56" s="1561" t="inlineStr">
        <is>
          <t>Wire in hand after first plug</t>
        </is>
      </c>
      <c r="N56" s="1532" t="n"/>
      <c r="O56" s="1561" t="inlineStr">
        <is>
          <t>Wire in hand ready for second plug</t>
        </is>
      </c>
      <c r="P56" s="1532" t="n"/>
      <c r="Q56" s="1740" t="n">
        <v>9.499499999999999</v>
      </c>
      <c r="R56" s="1690" t="inlineStr">
        <is>
          <t>pc</t>
        </is>
      </c>
      <c r="S56" s="1402" t="n">
        <v>1</v>
      </c>
      <c r="T56" s="1403">
        <f>+S56*Q56</f>
        <v/>
      </c>
      <c r="U56" s="1132" t="inlineStr">
        <is>
          <t>Automatic</t>
        </is>
      </c>
      <c r="V56" s="1132" t="n"/>
      <c r="X56" s="1132" t="n"/>
      <c r="Y56" s="1215" t="n"/>
      <c r="Z56" s="1231" t="n"/>
    </row>
    <row r="57" ht="39.75" customHeight="1" s="1134">
      <c r="A57" s="1326" t="n"/>
      <c r="D57" s="1297" t="n"/>
      <c r="E57" s="1561" t="inlineStr">
        <is>
          <t>Get and remove wires from rack</t>
        </is>
      </c>
      <c r="F57" s="1595" t="n"/>
      <c r="G57" s="1595" t="n"/>
      <c r="H57" s="1532" t="n"/>
      <c r="I57" s="1561" t="inlineStr">
        <is>
          <t>5001-6000 mm</t>
        </is>
      </c>
      <c r="J57" s="1595" t="n"/>
      <c r="K57" s="1595" t="n"/>
      <c r="L57" s="1532" t="n"/>
      <c r="M57" s="1561" t="inlineStr">
        <is>
          <t>Reach for wire</t>
        </is>
      </c>
      <c r="N57" s="1532" t="n"/>
      <c r="O57" s="1561" t="inlineStr">
        <is>
          <t>Wire in hand ready for first plug</t>
        </is>
      </c>
      <c r="P57" s="1532" t="n"/>
      <c r="Q57" s="1863" t="n">
        <v>8.692</v>
      </c>
      <c r="R57" s="1690" t="inlineStr">
        <is>
          <t>pc</t>
        </is>
      </c>
      <c r="S57" s="1402" t="n">
        <v>1</v>
      </c>
      <c r="T57" s="1403">
        <f>+S57*Q57</f>
        <v/>
      </c>
      <c r="U57" s="1132" t="inlineStr">
        <is>
          <t>Semi-auto</t>
        </is>
      </c>
      <c r="V57" s="1132" t="n"/>
      <c r="X57" s="1132" t="n"/>
      <c r="Y57" s="1215" t="n"/>
      <c r="Z57" s="1231" t="n"/>
    </row>
    <row r="58" ht="90" customHeight="1" s="1134">
      <c r="A58" s="1326" t="n"/>
      <c r="D58" s="1297" t="n"/>
      <c r="E58" s="1561" t="inlineStr">
        <is>
          <t>Route wires on board
NOTE for NA Region:
(NA: use also for subh, pigtails with unknown estimated length, rounded to 12 sec)</t>
        </is>
      </c>
      <c r="F58" s="1595" t="n"/>
      <c r="G58" s="1595" t="n"/>
      <c r="H58" s="1532" t="n"/>
      <c r="I58" s="1561" t="inlineStr">
        <is>
          <t>5001-6000 mm</t>
        </is>
      </c>
      <c r="J58" s="1595" t="n"/>
      <c r="K58" s="1595" t="n"/>
      <c r="L58" s="1532" t="n"/>
      <c r="M58" s="1561" t="inlineStr">
        <is>
          <t>Wire in hand after first plug</t>
        </is>
      </c>
      <c r="N58" s="1532" t="n"/>
      <c r="O58" s="1561" t="inlineStr">
        <is>
          <t>Wire in hand ready for second plug</t>
        </is>
      </c>
      <c r="P58" s="1532" t="n"/>
      <c r="Q58" s="1740" t="n">
        <v>11.9245</v>
      </c>
      <c r="R58" s="1690" t="inlineStr">
        <is>
          <t>pc</t>
        </is>
      </c>
      <c r="S58" s="1402" t="n">
        <v>1</v>
      </c>
      <c r="T58" s="1403">
        <f>+S58*Q58</f>
        <v/>
      </c>
      <c r="U58" s="1132" t="inlineStr">
        <is>
          <t>Automatic</t>
        </is>
      </c>
      <c r="V58" s="1132" t="n"/>
      <c r="X58" s="1132" t="n"/>
      <c r="Y58" s="1215" t="n"/>
      <c r="Z58" s="1231" t="n"/>
    </row>
    <row r="59" ht="39.75" customHeight="1" s="1134">
      <c r="A59" s="1326" t="n"/>
      <c r="D59" s="1297" t="n"/>
      <c r="E59" s="1561" t="inlineStr">
        <is>
          <t>Get and remove wires from rack</t>
        </is>
      </c>
      <c r="F59" s="1595" t="n"/>
      <c r="G59" s="1595" t="n"/>
      <c r="H59" s="1532" t="n"/>
      <c r="I59" s="1561" t="inlineStr">
        <is>
          <t>6001-7000 mm</t>
        </is>
      </c>
      <c r="J59" s="1595" t="n"/>
      <c r="K59" s="1595" t="n"/>
      <c r="L59" s="1532" t="n"/>
      <c r="M59" s="1561" t="inlineStr">
        <is>
          <t>Reach for wire</t>
        </is>
      </c>
      <c r="N59" s="1532" t="n"/>
      <c r="O59" s="1561" t="inlineStr">
        <is>
          <t>Wire in hand ready for first plug</t>
        </is>
      </c>
      <c r="P59" s="1532" t="n"/>
      <c r="Q59" s="1863" t="n">
        <v>8.789999999999999</v>
      </c>
      <c r="R59" s="1690" t="inlineStr">
        <is>
          <t>pc</t>
        </is>
      </c>
      <c r="S59" s="1402" t="n">
        <v>1</v>
      </c>
      <c r="T59" s="1403">
        <f>+S59*Q59</f>
        <v/>
      </c>
      <c r="U59" s="1132" t="inlineStr">
        <is>
          <t>Semi-auto</t>
        </is>
      </c>
      <c r="V59" s="1132" t="n"/>
      <c r="X59" s="1132" t="n"/>
      <c r="Y59" s="1215" t="n"/>
      <c r="Z59" s="1231" t="n"/>
    </row>
    <row r="60" ht="39.75" customHeight="1" s="1134">
      <c r="A60" s="1326" t="n"/>
      <c r="D60" s="1297" t="n"/>
      <c r="E60" s="1561" t="inlineStr">
        <is>
          <t>Route wires on board</t>
        </is>
      </c>
      <c r="F60" s="1595" t="n"/>
      <c r="G60" s="1595" t="n"/>
      <c r="H60" s="1532" t="n"/>
      <c r="I60" s="1561" t="inlineStr">
        <is>
          <t>6001-7000 mm</t>
        </is>
      </c>
      <c r="J60" s="1595" t="n"/>
      <c r="K60" s="1595" t="n"/>
      <c r="L60" s="1532" t="n"/>
      <c r="M60" s="1561" t="inlineStr">
        <is>
          <t>Wire in hand after first plug</t>
        </is>
      </c>
      <c r="N60" s="1532" t="n"/>
      <c r="O60" s="1561" t="inlineStr">
        <is>
          <t>Wire in hand ready for second plug</t>
        </is>
      </c>
      <c r="P60" s="1532" t="n"/>
      <c r="Q60" s="1740" t="n">
        <v>14.59</v>
      </c>
      <c r="R60" s="1690" t="inlineStr">
        <is>
          <t>pc</t>
        </is>
      </c>
      <c r="S60" s="1402" t="n">
        <v>1</v>
      </c>
      <c r="T60" s="1403">
        <f>+S60*Q60</f>
        <v/>
      </c>
      <c r="U60" s="1132" t="inlineStr">
        <is>
          <t>Automatic</t>
        </is>
      </c>
      <c r="V60" s="1132" t="n"/>
      <c r="X60" s="1132" t="n"/>
      <c r="Y60" s="1215" t="n"/>
      <c r="Z60" s="1231" t="n"/>
    </row>
    <row r="61" ht="39.75" customHeight="1" s="1134">
      <c r="A61" s="1326" t="n"/>
      <c r="D61" s="1297" t="n"/>
      <c r="E61" s="1561" t="inlineStr">
        <is>
          <t>Get and remove wires from rack</t>
        </is>
      </c>
      <c r="F61" s="1595" t="n"/>
      <c r="G61" s="1595" t="n"/>
      <c r="H61" s="1532" t="n"/>
      <c r="I61" s="1561" t="inlineStr">
        <is>
          <t>7001-8000 mm</t>
        </is>
      </c>
      <c r="J61" s="1595" t="n"/>
      <c r="K61" s="1595" t="n"/>
      <c r="L61" s="1532" t="n"/>
      <c r="M61" s="1561" t="inlineStr">
        <is>
          <t>Reach for wire</t>
        </is>
      </c>
      <c r="N61" s="1532" t="n"/>
      <c r="O61" s="1561" t="inlineStr">
        <is>
          <t>Wire in hand ready for first plug</t>
        </is>
      </c>
      <c r="P61" s="1532" t="n"/>
      <c r="Q61" s="1863" t="n">
        <v>10.13</v>
      </c>
      <c r="R61" s="1690" t="inlineStr">
        <is>
          <t>pc</t>
        </is>
      </c>
      <c r="S61" s="1402" t="n">
        <v>1</v>
      </c>
      <c r="T61" s="1403">
        <f>+S61*Q61</f>
        <v/>
      </c>
      <c r="U61" s="1132" t="inlineStr">
        <is>
          <t>Semi-auto</t>
        </is>
      </c>
      <c r="V61" s="1132" t="n"/>
      <c r="X61" s="1132" t="n"/>
      <c r="Y61" s="1215" t="n"/>
      <c r="Z61" s="1231" t="n"/>
    </row>
    <row r="62" ht="39.75" customHeight="1" s="1134">
      <c r="A62" s="1326" t="n"/>
      <c r="D62" s="1297" t="n"/>
      <c r="E62" s="1561" t="inlineStr">
        <is>
          <t>Route wires on board</t>
        </is>
      </c>
      <c r="F62" s="1595" t="n"/>
      <c r="G62" s="1595" t="n"/>
      <c r="H62" s="1532" t="n"/>
      <c r="I62" s="1561" t="inlineStr">
        <is>
          <t>7001-8000 mm</t>
        </is>
      </c>
      <c r="J62" s="1595" t="n"/>
      <c r="K62" s="1595" t="n"/>
      <c r="L62" s="1532" t="n"/>
      <c r="M62" s="1561" t="inlineStr">
        <is>
          <t>Wire in hand after first plug</t>
        </is>
      </c>
      <c r="N62" s="1532" t="n"/>
      <c r="O62" s="1561" t="inlineStr">
        <is>
          <t>Wire in hand ready for second plug</t>
        </is>
      </c>
      <c r="P62" s="1532" t="n"/>
      <c r="Q62" s="1740" t="n">
        <v>17.835</v>
      </c>
      <c r="R62" s="1690" t="inlineStr">
        <is>
          <t>pc</t>
        </is>
      </c>
      <c r="S62" s="1402" t="n">
        <v>1</v>
      </c>
      <c r="T62" s="1403">
        <f>+S62*Q62</f>
        <v/>
      </c>
      <c r="U62" s="1132" t="inlineStr">
        <is>
          <t>Automatic</t>
        </is>
      </c>
      <c r="V62" s="1132" t="n"/>
      <c r="X62" s="1132" t="n"/>
      <c r="Y62" s="1215" t="n"/>
      <c r="Z62" s="1231" t="n"/>
    </row>
    <row r="63" ht="39.75" customHeight="1" s="1134">
      <c r="A63" s="1326" t="n"/>
      <c r="D63" s="1297" t="n"/>
      <c r="E63" s="1864" t="inlineStr">
        <is>
          <t>Get and remove wires from rack</t>
        </is>
      </c>
      <c r="F63" s="1595" t="n"/>
      <c r="G63" s="1595" t="n"/>
      <c r="H63" s="1532" t="n"/>
      <c r="I63" s="1864" t="inlineStr">
        <is>
          <t>8001-9000 mm</t>
        </is>
      </c>
      <c r="J63" s="1595" t="n"/>
      <c r="K63" s="1595" t="n"/>
      <c r="L63" s="1532" t="n"/>
      <c r="M63" s="1864" t="inlineStr">
        <is>
          <t>Reach for wire</t>
        </is>
      </c>
      <c r="N63" s="1532" t="n"/>
      <c r="O63" s="1864" t="inlineStr">
        <is>
          <t>Wire in hand ready for first plug</t>
        </is>
      </c>
      <c r="P63" s="1532" t="n"/>
      <c r="Q63" s="1863" t="n">
        <v>13.221</v>
      </c>
      <c r="R63" s="1690" t="inlineStr">
        <is>
          <t>pc</t>
        </is>
      </c>
      <c r="S63" s="1402" t="n">
        <v>1</v>
      </c>
      <c r="T63" s="1403">
        <f>+S63*Q63</f>
        <v/>
      </c>
      <c r="U63" s="1132" t="inlineStr">
        <is>
          <t>Semi-auto</t>
        </is>
      </c>
      <c r="V63" s="1132" t="n"/>
      <c r="X63" s="1132" t="n"/>
      <c r="Y63" s="1215" t="n"/>
      <c r="Z63" s="1231" t="n"/>
    </row>
    <row r="64" ht="39.75" customHeight="1" s="1134">
      <c r="A64" s="1326" t="n"/>
      <c r="D64" s="1297" t="n"/>
      <c r="E64" s="1561" t="inlineStr">
        <is>
          <t>Route wires on board</t>
        </is>
      </c>
      <c r="F64" s="1595" t="n"/>
      <c r="G64" s="1595" t="n"/>
      <c r="H64" s="1532" t="n"/>
      <c r="I64" s="1561" t="inlineStr">
        <is>
          <t>8001-9000 mm</t>
        </is>
      </c>
      <c r="J64" s="1595" t="n"/>
      <c r="K64" s="1595" t="n"/>
      <c r="L64" s="1532" t="n"/>
      <c r="M64" s="1561" t="inlineStr">
        <is>
          <t>Wire in hand after first plug</t>
        </is>
      </c>
      <c r="N64" s="1532" t="n"/>
      <c r="O64" s="1561" t="inlineStr">
        <is>
          <t>Wire in hand ready for second plug</t>
        </is>
      </c>
      <c r="P64" s="1532" t="n"/>
      <c r="Q64" s="1740" t="n">
        <v>22.261</v>
      </c>
      <c r="R64" s="1690" t="inlineStr">
        <is>
          <t>pc</t>
        </is>
      </c>
      <c r="S64" s="1402" t="n">
        <v>1</v>
      </c>
      <c r="T64" s="1403">
        <f>+S64*Q64</f>
        <v/>
      </c>
      <c r="U64" s="1132" t="inlineStr">
        <is>
          <t>Automatic</t>
        </is>
      </c>
      <c r="V64" s="1132" t="n"/>
      <c r="X64" s="1132" t="n"/>
      <c r="Y64" s="1215" t="n"/>
      <c r="Z64" s="1231" t="n"/>
    </row>
    <row r="65" ht="39.75" customHeight="1" s="1134">
      <c r="A65" s="1326" t="n"/>
      <c r="D65" s="1297" t="n"/>
      <c r="E65" s="1864" t="inlineStr">
        <is>
          <t>Get and remove wires from rack</t>
        </is>
      </c>
      <c r="F65" s="1595" t="n"/>
      <c r="G65" s="1595" t="n"/>
      <c r="H65" s="1532" t="n"/>
      <c r="I65" s="1864" t="inlineStr">
        <is>
          <t>9001-10000 mm</t>
        </is>
      </c>
      <c r="J65" s="1595" t="n"/>
      <c r="K65" s="1595" t="n"/>
      <c r="L65" s="1532" t="n"/>
      <c r="M65" s="1864" t="inlineStr">
        <is>
          <t>Reach for wire</t>
        </is>
      </c>
      <c r="N65" s="1532" t="n"/>
      <c r="O65" s="1864" t="inlineStr">
        <is>
          <t>Wire in hand ready for first plug</t>
        </is>
      </c>
      <c r="P65" s="1532" t="n"/>
      <c r="Q65" s="1863" t="n">
        <v>14.322</v>
      </c>
      <c r="R65" s="1690" t="inlineStr">
        <is>
          <t>pc</t>
        </is>
      </c>
      <c r="S65" s="1402" t="n">
        <v>1</v>
      </c>
      <c r="T65" s="1403">
        <f>+S65*Q65</f>
        <v/>
      </c>
      <c r="U65" s="1132" t="inlineStr">
        <is>
          <t>Semi-auto</t>
        </is>
      </c>
      <c r="V65" s="1132" t="n"/>
      <c r="X65" s="1132" t="n"/>
      <c r="Y65" s="1215" t="n"/>
      <c r="Z65" s="1231" t="n"/>
    </row>
    <row r="66" ht="39.75" customHeight="1" s="1134">
      <c r="A66" s="1326" t="n"/>
      <c r="D66" s="1297" t="n"/>
      <c r="E66" s="1561" t="inlineStr">
        <is>
          <t>Route wires on board</t>
        </is>
      </c>
      <c r="F66" s="1595" t="n"/>
      <c r="G66" s="1595" t="n"/>
      <c r="H66" s="1532" t="n"/>
      <c r="I66" s="1561" t="inlineStr">
        <is>
          <t>9001-10000 mm</t>
        </is>
      </c>
      <c r="J66" s="1595" t="n"/>
      <c r="K66" s="1595" t="n"/>
      <c r="L66" s="1532" t="n"/>
      <c r="M66" s="1561" t="inlineStr">
        <is>
          <t>Wire in hand after first plug</t>
        </is>
      </c>
      <c r="N66" s="1532" t="n"/>
      <c r="O66" s="1561" t="inlineStr">
        <is>
          <t>Wire in hand ready for second plug</t>
        </is>
      </c>
      <c r="P66" s="1532" t="n"/>
      <c r="Q66" s="1740" t="n">
        <v>25.958</v>
      </c>
      <c r="R66" s="1690" t="inlineStr">
        <is>
          <t>pc</t>
        </is>
      </c>
      <c r="S66" s="1402" t="n">
        <v>1</v>
      </c>
      <c r="T66" s="1403">
        <f>+S66*Q66</f>
        <v/>
      </c>
      <c r="U66" s="1132" t="inlineStr">
        <is>
          <t>Automatic</t>
        </is>
      </c>
      <c r="V66" s="1132" t="n"/>
      <c r="X66" s="1132" t="n"/>
      <c r="Y66" s="1215" t="n"/>
      <c r="Z66" s="1231" t="n"/>
    </row>
    <row r="67" ht="39.75" customHeight="1" s="1134">
      <c r="A67" s="1326" t="n"/>
      <c r="D67" s="1297" t="n"/>
      <c r="E67" s="1864" t="inlineStr">
        <is>
          <t>Get and remove wires from rack</t>
        </is>
      </c>
      <c r="F67" s="1595" t="n"/>
      <c r="G67" s="1595" t="n"/>
      <c r="H67" s="1532" t="n"/>
      <c r="I67" s="1864" t="inlineStr">
        <is>
          <t>10001-11000 mm</t>
        </is>
      </c>
      <c r="J67" s="1595" t="n"/>
      <c r="K67" s="1595" t="n"/>
      <c r="L67" s="1532" t="n"/>
      <c r="M67" s="1864" t="inlineStr">
        <is>
          <t>Reach for wire</t>
        </is>
      </c>
      <c r="N67" s="1532" t="n"/>
      <c r="O67" s="1864" t="inlineStr">
        <is>
          <t>Wire in hand ready for first plug</t>
        </is>
      </c>
      <c r="P67" s="1532" t="n"/>
      <c r="Q67" s="1863" t="n">
        <v>15.215</v>
      </c>
      <c r="R67" s="1690" t="inlineStr">
        <is>
          <t>pc</t>
        </is>
      </c>
      <c r="S67" s="1402" t="n">
        <v>1</v>
      </c>
      <c r="T67" s="1403">
        <f>+S67*Q67</f>
        <v/>
      </c>
      <c r="U67" s="1132" t="inlineStr">
        <is>
          <t>Semi-auto</t>
        </is>
      </c>
      <c r="V67" s="1132" t="n"/>
      <c r="X67" s="1132" t="n"/>
      <c r="Y67" s="1215" t="n"/>
      <c r="Z67" s="1231" t="n"/>
    </row>
    <row r="68" ht="39.75" customHeight="1" s="1134">
      <c r="A68" s="1326" t="n"/>
      <c r="D68" s="1297" t="n"/>
      <c r="E68" s="1561" t="inlineStr">
        <is>
          <t>Route wires on board</t>
        </is>
      </c>
      <c r="F68" s="1595" t="n"/>
      <c r="G68" s="1595" t="n"/>
      <c r="H68" s="1532" t="n"/>
      <c r="I68" s="1561" t="inlineStr">
        <is>
          <t>10001-11000 mm</t>
        </is>
      </c>
      <c r="J68" s="1595" t="n"/>
      <c r="K68" s="1595" t="n"/>
      <c r="L68" s="1532" t="n"/>
      <c r="M68" s="1561" t="inlineStr">
        <is>
          <t>Wire in hand after first plug</t>
        </is>
      </c>
      <c r="N68" s="1532" t="n"/>
      <c r="O68" s="1561" t="inlineStr">
        <is>
          <t>Wire in hand ready for second plug</t>
        </is>
      </c>
      <c r="P68" s="1532" t="n"/>
      <c r="Q68" s="1740" t="n">
        <v>29.805</v>
      </c>
      <c r="R68" s="1690" t="inlineStr">
        <is>
          <t>pc</t>
        </is>
      </c>
      <c r="S68" s="1402" t="n">
        <v>1</v>
      </c>
      <c r="T68" s="1403">
        <f>+S68*Q68</f>
        <v/>
      </c>
      <c r="U68" s="1132" t="inlineStr">
        <is>
          <t>Automatic</t>
        </is>
      </c>
      <c r="V68" s="1132" t="n"/>
      <c r="X68" s="1132" t="n"/>
      <c r="Y68" s="1215" t="n"/>
      <c r="Z68" s="1231" t="n"/>
    </row>
    <row r="69" ht="39.75" customHeight="1" s="1134">
      <c r="A69" s="1326" t="n"/>
      <c r="D69" s="1297" t="n"/>
      <c r="E69" s="1864" t="inlineStr">
        <is>
          <t>Get and remove wires from rack</t>
        </is>
      </c>
      <c r="F69" s="1595" t="n"/>
      <c r="G69" s="1595" t="n"/>
      <c r="H69" s="1532" t="n"/>
      <c r="I69" s="1864" t="inlineStr">
        <is>
          <t>11001-13000 mm</t>
        </is>
      </c>
      <c r="J69" s="1595" t="n"/>
      <c r="K69" s="1595" t="n"/>
      <c r="L69" s="1532" t="n"/>
      <c r="M69" s="1864" t="inlineStr">
        <is>
          <t>Reach for wire</t>
        </is>
      </c>
      <c r="N69" s="1532" t="n"/>
      <c r="O69" s="1864" t="inlineStr">
        <is>
          <t>Wire in hand ready for first plug</t>
        </is>
      </c>
      <c r="P69" s="1532" t="n"/>
      <c r="Q69" s="1863" t="n">
        <v>16.213</v>
      </c>
      <c r="R69" s="1690" t="inlineStr">
        <is>
          <t>pc</t>
        </is>
      </c>
      <c r="S69" s="1402" t="n">
        <v>1</v>
      </c>
      <c r="T69" s="1403">
        <f>+S69*Q69</f>
        <v/>
      </c>
      <c r="U69" s="1132" t="inlineStr">
        <is>
          <t>Semi-auto</t>
        </is>
      </c>
      <c r="V69" s="1132" t="n"/>
      <c r="X69" s="1132" t="n"/>
      <c r="Y69" s="1215" t="n"/>
      <c r="Z69" s="1231" t="n"/>
    </row>
    <row r="70" ht="39.75" customHeight="1" s="1134">
      <c r="A70" s="1326" t="n"/>
      <c r="D70" s="1297" t="n"/>
      <c r="E70" s="1561" t="inlineStr">
        <is>
          <t>Route wires on board</t>
        </is>
      </c>
      <c r="F70" s="1595" t="n"/>
      <c r="G70" s="1595" t="n"/>
      <c r="H70" s="1532" t="n"/>
      <c r="I70" s="1561" t="inlineStr">
        <is>
          <t>11001-13000 mm</t>
        </is>
      </c>
      <c r="J70" s="1595" t="n"/>
      <c r="K70" s="1595" t="n"/>
      <c r="L70" s="1532" t="n"/>
      <c r="M70" s="1561" t="inlineStr">
        <is>
          <t>Wire in hand after first plug</t>
        </is>
      </c>
      <c r="N70" s="1532" t="n"/>
      <c r="O70" s="1561" t="inlineStr">
        <is>
          <t>Wire in hand ready for second plug</t>
        </is>
      </c>
      <c r="P70" s="1532" t="n"/>
      <c r="Q70" s="1740" t="n">
        <v>37.845</v>
      </c>
      <c r="R70" s="1690" t="inlineStr">
        <is>
          <t>pc</t>
        </is>
      </c>
      <c r="S70" s="1402" t="n">
        <v>1</v>
      </c>
      <c r="T70" s="1403">
        <f>+S70*Q70</f>
        <v/>
      </c>
      <c r="U70" s="1132" t="inlineStr">
        <is>
          <t>Automatic</t>
        </is>
      </c>
      <c r="V70" s="1132" t="n"/>
      <c r="X70" s="1132" t="n"/>
      <c r="Y70" s="1215" t="n"/>
      <c r="Z70" s="1231" t="n"/>
    </row>
    <row r="71" ht="55.5" customHeight="1" s="1134">
      <c r="A71" s="1326" t="n"/>
      <c r="D71" s="1297" t="n"/>
      <c r="E71" s="1864" t="inlineStr">
        <is>
          <t>Get and remove wires from rack</t>
        </is>
      </c>
      <c r="F71" s="1595" t="n"/>
      <c r="G71" s="1595" t="n"/>
      <c r="H71" s="1532" t="n"/>
      <c r="I71" s="1864" t="inlineStr">
        <is>
          <t>13001-15000 mm</t>
        </is>
      </c>
      <c r="J71" s="1595" t="n"/>
      <c r="K71" s="1595" t="n"/>
      <c r="L71" s="1532" t="n"/>
      <c r="M71" s="1864" t="inlineStr">
        <is>
          <t>Reach for wire</t>
        </is>
      </c>
      <c r="N71" s="1532" t="n"/>
      <c r="O71" s="1864" t="inlineStr">
        <is>
          <t>Wire in hand ready for first plug</t>
        </is>
      </c>
      <c r="P71" s="1532" t="n"/>
      <c r="Q71" s="1863" t="n">
        <v>17.217</v>
      </c>
      <c r="R71" s="1690" t="inlineStr">
        <is>
          <t>pc</t>
        </is>
      </c>
      <c r="S71" s="1402" t="n">
        <v>1</v>
      </c>
      <c r="T71" s="1403">
        <f>+S71*Q71</f>
        <v/>
      </c>
      <c r="U71" s="1215" t="inlineStr">
        <is>
          <t>Semi-auto</t>
        </is>
      </c>
      <c r="V71" s="1132" t="n"/>
      <c r="X71" s="1132" t="n"/>
      <c r="Y71" s="1215" t="n"/>
      <c r="Z71" s="1231" t="n"/>
    </row>
    <row r="72" ht="55.5" customHeight="1" s="1134">
      <c r="A72" s="1326" t="n"/>
      <c r="D72" s="1297" t="n"/>
      <c r="E72" s="1864" t="inlineStr">
        <is>
          <t>Route wires on board</t>
        </is>
      </c>
      <c r="F72" s="1595" t="n"/>
      <c r="G72" s="1595" t="n"/>
      <c r="H72" s="1532" t="n"/>
      <c r="I72" s="1864" t="inlineStr">
        <is>
          <t>13001-15000 mm</t>
        </is>
      </c>
      <c r="J72" s="1595" t="n"/>
      <c r="K72" s="1595" t="n"/>
      <c r="L72" s="1532" t="n"/>
      <c r="M72" s="1864" t="inlineStr">
        <is>
          <t>Wire in hand after first plug</t>
        </is>
      </c>
      <c r="N72" s="1532" t="n"/>
      <c r="O72" s="1864" t="inlineStr">
        <is>
          <t>Wire in hand ready for second plug</t>
        </is>
      </c>
      <c r="P72" s="1532" t="n"/>
      <c r="Q72" s="1863" t="n">
        <v>46.143</v>
      </c>
      <c r="R72" s="1690" t="inlineStr">
        <is>
          <t>pc</t>
        </is>
      </c>
      <c r="S72" s="1439" t="n">
        <v>1</v>
      </c>
      <c r="T72" s="1403">
        <f>+S72*Q72</f>
        <v/>
      </c>
      <c r="U72" s="1215" t="inlineStr">
        <is>
          <t>Automatic</t>
        </is>
      </c>
      <c r="V72" s="1132" t="n"/>
      <c r="X72" s="1132" t="n"/>
      <c r="Y72" s="1215" t="n"/>
      <c r="Z72" s="1231" t="n"/>
    </row>
    <row r="73" ht="55.5" customHeight="1" s="1134">
      <c r="A73" s="1326" t="n"/>
      <c r="D73" s="1297" t="n"/>
      <c r="E73" s="1540" t="inlineStr">
        <is>
          <t>Route wires on board</t>
        </is>
      </c>
      <c r="F73" s="1595" t="n"/>
      <c r="G73" s="1595" t="n"/>
      <c r="H73" s="1865" t="n"/>
      <c r="I73" s="1561" t="inlineStr">
        <is>
          <t>15001-17000 mm</t>
        </is>
      </c>
      <c r="J73" s="1595" t="n"/>
      <c r="K73" s="1595" t="n"/>
      <c r="L73" s="1532" t="n"/>
      <c r="M73" s="1561" t="inlineStr">
        <is>
          <t>Wire in hand after first plug</t>
        </is>
      </c>
      <c r="N73" s="1532" t="n"/>
      <c r="O73" s="1561" t="inlineStr">
        <is>
          <t>Wire in hand ready for second plug</t>
        </is>
      </c>
      <c r="P73" s="1532" t="n"/>
      <c r="Q73" s="1866" t="n">
        <v>52.5263</v>
      </c>
      <c r="R73" s="1867" t="inlineStr">
        <is>
          <t>pc</t>
        </is>
      </c>
      <c r="S73" s="1439" t="n">
        <v>1</v>
      </c>
      <c r="T73" s="1403">
        <f>+S73*Q73</f>
        <v/>
      </c>
      <c r="U73" s="1132" t="inlineStr">
        <is>
          <t>Automatic</t>
        </is>
      </c>
      <c r="V73" s="1132" t="n"/>
      <c r="X73" s="1132" t="n"/>
      <c r="Y73" s="1215" t="n"/>
      <c r="Z73" s="1231" t="n"/>
    </row>
    <row r="74" ht="39.75" customHeight="1" s="1134">
      <c r="A74" s="1326" t="n"/>
      <c r="D74" s="1297" t="n"/>
      <c r="E74" s="1623" t="inlineStr">
        <is>
          <t>Route wires on board</t>
        </is>
      </c>
      <c r="F74" s="1624" t="n"/>
      <c r="G74" s="1624" t="n"/>
      <c r="H74" s="1625" t="n"/>
      <c r="I74" s="1623" t="inlineStr">
        <is>
          <t>17001-19000 mm</t>
        </is>
      </c>
      <c r="J74" s="1624" t="n"/>
      <c r="K74" s="1624" t="n"/>
      <c r="L74" s="1625" t="n"/>
      <c r="M74" s="1623" t="inlineStr">
        <is>
          <t>Wire in hand after first plug</t>
        </is>
      </c>
      <c r="N74" s="1625" t="n"/>
      <c r="O74" s="1623" t="inlineStr">
        <is>
          <t>Wire in hand ready for second plug</t>
        </is>
      </c>
      <c r="P74" s="1625" t="n"/>
      <c r="Q74" s="1868" t="n">
        <v>59.865</v>
      </c>
      <c r="R74" s="1867" t="inlineStr">
        <is>
          <t>pc</t>
        </is>
      </c>
      <c r="S74" s="1439" t="n">
        <v>1</v>
      </c>
      <c r="T74" s="1440">
        <f>+S74*Q74</f>
        <v/>
      </c>
      <c r="U74" s="1132" t="inlineStr">
        <is>
          <t>Automatic</t>
        </is>
      </c>
      <c r="V74" s="1132" t="n"/>
      <c r="X74" s="1132" t="n"/>
      <c r="Y74" s="1215" t="n"/>
      <c r="Z74" s="1231" t="n"/>
    </row>
    <row r="75" ht="12.75" customHeight="1" s="1134">
      <c r="A75" s="1814" t="n"/>
      <c r="B75" s="1609" t="n"/>
      <c r="C75" s="1609" t="n"/>
      <c r="D75" s="1610" t="n"/>
      <c r="E75" s="1698" t="n"/>
      <c r="F75" s="1609" t="n"/>
      <c r="G75" s="1609" t="n"/>
      <c r="H75" s="1610" t="n"/>
      <c r="I75" s="1698" t="n"/>
      <c r="J75" s="1609" t="n"/>
      <c r="K75" s="1609" t="n"/>
      <c r="L75" s="1610" t="n"/>
      <c r="M75" s="1698" t="n"/>
      <c r="N75" s="1698" t="n"/>
      <c r="O75" s="1698" t="n"/>
      <c r="P75" s="1610" t="n"/>
      <c r="Q75" s="1815" t="n"/>
      <c r="R75" s="1685" t="n"/>
      <c r="S75" s="1816" t="n"/>
      <c r="T75" s="1448" t="n"/>
      <c r="V75" s="1132" t="n"/>
      <c r="X75" s="1132" t="n"/>
      <c r="Y75" s="1215" t="n"/>
      <c r="Z75" s="1231" t="n"/>
    </row>
    <row r="76" ht="12" customHeight="1" s="1134">
      <c r="A76" s="1817" t="n"/>
      <c r="B76" s="1595" t="n"/>
      <c r="C76" s="1595" t="n"/>
      <c r="D76" s="1532" t="n"/>
      <c r="E76" s="1561" t="n"/>
      <c r="F76" s="1595" t="n"/>
      <c r="G76" s="1595" t="n"/>
      <c r="H76" s="1532" t="n"/>
      <c r="I76" s="1561" t="n"/>
      <c r="J76" s="1595" t="n"/>
      <c r="K76" s="1595" t="n"/>
      <c r="L76" s="1532" t="n"/>
      <c r="M76" s="1561" t="n"/>
      <c r="N76" s="1561" t="n"/>
      <c r="O76" s="1561" t="n"/>
      <c r="P76" s="1532" t="n"/>
      <c r="Q76" s="1740" t="n"/>
      <c r="R76" s="1690" t="n"/>
      <c r="S76" s="1818" t="n"/>
      <c r="T76" s="1403" t="n"/>
      <c r="V76" s="1132" t="n"/>
      <c r="X76" s="1132" t="n"/>
      <c r="Y76" s="1215" t="n"/>
      <c r="Z76" s="1231" t="n"/>
    </row>
    <row r="77" ht="15" customHeight="1" s="1134">
      <c r="A77" s="1817" t="n"/>
      <c r="B77" s="1595" t="n"/>
      <c r="C77" s="1595" t="n"/>
      <c r="D77" s="1532" t="n"/>
      <c r="E77" s="1561" t="n"/>
      <c r="F77" s="1595" t="n"/>
      <c r="G77" s="1595" t="n"/>
      <c r="H77" s="1532" t="n"/>
      <c r="I77" s="1561" t="n"/>
      <c r="J77" s="1595" t="n"/>
      <c r="K77" s="1595" t="n"/>
      <c r="L77" s="1532" t="n"/>
      <c r="M77" s="1561" t="n"/>
      <c r="N77" s="1561" t="n"/>
      <c r="O77" s="1561" t="n"/>
      <c r="P77" s="1532" t="n"/>
      <c r="Q77" s="1740" t="n"/>
      <c r="R77" s="1690" t="n"/>
      <c r="S77" s="1818" t="n"/>
      <c r="T77" s="1403" t="n"/>
      <c r="V77" s="1132" t="n"/>
      <c r="X77" s="1132" t="n"/>
      <c r="Y77" s="1215" t="n"/>
      <c r="Z77" s="1231" t="n"/>
    </row>
    <row r="78" ht="12.75" customHeight="1" s="1134">
      <c r="A78" s="1817" t="n"/>
      <c r="B78" s="1595" t="n"/>
      <c r="C78" s="1595" t="n"/>
      <c r="D78" s="1532" t="n"/>
      <c r="E78" s="1537" t="n"/>
      <c r="F78" s="1618" t="n"/>
      <c r="G78" s="1618" t="n"/>
      <c r="H78" s="1545" t="n"/>
      <c r="I78" s="1537" t="n"/>
      <c r="J78" s="1618" t="n"/>
      <c r="K78" s="1618" t="n"/>
      <c r="L78" s="1545" t="n"/>
      <c r="M78" s="1630" t="n"/>
      <c r="N78" s="1630" t="n"/>
      <c r="O78" s="1537" t="n"/>
      <c r="P78" s="1545" t="n"/>
      <c r="Q78" s="1859" t="n"/>
      <c r="R78" s="1860" t="n"/>
      <c r="S78" s="1869" t="n"/>
      <c r="T78" s="1635" t="n"/>
      <c r="V78" s="1132" t="n"/>
      <c r="X78" s="1132" t="n"/>
      <c r="Y78" s="1215" t="n"/>
      <c r="Z78" s="1231" t="n"/>
    </row>
    <row r="79" ht="94.5" customHeight="1" s="1134">
      <c r="A79" s="1861" t="inlineStr">
        <is>
          <t>Plugging</t>
        </is>
      </c>
      <c r="B79" s="1589" t="n"/>
      <c r="C79" s="1589" t="n"/>
      <c r="D79" s="1590" t="n"/>
      <c r="E79" s="1870" t="inlineStr">
        <is>
          <t xml:space="preserve">LED navigation to plug one color wires / special wires (including multiconductors) to connector
</t>
        </is>
      </c>
      <c r="F79" s="1609" t="n"/>
      <c r="G79" s="1609" t="n"/>
      <c r="H79" s="1610" t="n"/>
      <c r="I79" s="1870" t="inlineStr">
        <is>
          <t xml:space="preserve">Wires of one or two colours in one harness where any marking on insulation is not allowed
To be used also for connectors with safety functions, ABS, airbags, ESP, Nano  </t>
        </is>
      </c>
      <c r="J79" s="1609" t="n"/>
      <c r="K79" s="1609" t="n"/>
      <c r="L79" s="1610" t="n"/>
      <c r="M79" s="1698" t="inlineStr">
        <is>
          <t>Aglin the terminal with the plate</t>
        </is>
      </c>
      <c r="N79" s="1610" t="n"/>
      <c r="O79" s="1698" t="inlineStr">
        <is>
          <t>Terminal ready for the plugging operation</t>
        </is>
      </c>
      <c r="P79" s="1610" t="n"/>
      <c r="Q79" s="1764" t="n">
        <v>0.8</v>
      </c>
      <c r="R79" s="1685" t="inlineStr">
        <is>
          <t>pc</t>
        </is>
      </c>
      <c r="S79" s="1447" t="n">
        <v>1</v>
      </c>
      <c r="T79" s="1448">
        <f>+S79*Q79</f>
        <v/>
      </c>
      <c r="U79" s="1435" t="inlineStr">
        <is>
          <t>Manual</t>
        </is>
      </c>
      <c r="V79" s="1132" t="n"/>
      <c r="X79" s="1132" t="n"/>
      <c r="Y79" s="1215" t="n"/>
      <c r="Z79" s="1231" t="n"/>
    </row>
    <row r="80" ht="36.75" customHeight="1" s="1134">
      <c r="A80" s="1326" t="n"/>
      <c r="D80" s="1297" t="n"/>
      <c r="E80" s="1537" t="inlineStr">
        <is>
          <t>Plug unsealed terminals to connectors</t>
        </is>
      </c>
      <c r="F80" s="1618" t="n"/>
      <c r="G80" s="1618" t="n"/>
      <c r="H80" s="1545" t="n"/>
      <c r="I80" s="1871" t="inlineStr">
        <is>
          <t>Unsealed terminals / unsealed connector (for busbar count each terminal)</t>
        </is>
      </c>
      <c r="J80" s="1618" t="n"/>
      <c r="K80" s="1618" t="n"/>
      <c r="L80" s="1545" t="n"/>
      <c r="M80" s="1537" t="inlineStr">
        <is>
          <t>Align terminal with connector cavity</t>
        </is>
      </c>
      <c r="N80" s="1545" t="n"/>
      <c r="O80" s="1537" t="inlineStr">
        <is>
          <t>Release plugged wire</t>
        </is>
      </c>
      <c r="P80" s="1545" t="n"/>
      <c r="Q80" s="1764" t="n">
        <v>2.5</v>
      </c>
      <c r="R80" s="1665" t="inlineStr">
        <is>
          <t>pc</t>
        </is>
      </c>
      <c r="S80" s="1469" t="n">
        <v>1</v>
      </c>
      <c r="T80" s="1470">
        <f>+S80*Q80</f>
        <v/>
      </c>
      <c r="U80" s="1231" t="inlineStr">
        <is>
          <t>Automatic</t>
        </is>
      </c>
      <c r="V80" s="1132" t="n"/>
      <c r="X80" s="1132" t="n"/>
      <c r="Y80" s="1215" t="n"/>
      <c r="Z80" s="1231" t="n"/>
    </row>
    <row r="81" ht="31.5" customHeight="1" s="1134">
      <c r="A81" s="1326" t="n"/>
      <c r="D81" s="1297" t="n"/>
      <c r="E81" s="1561" t="inlineStr">
        <is>
          <t>Plug seal terminals to connectors (to be used for 0,13 sealed)</t>
        </is>
      </c>
      <c r="F81" s="1595" t="n"/>
      <c r="G81" s="1595" t="n"/>
      <c r="H81" s="1532" t="n"/>
      <c r="I81" s="1561" t="inlineStr">
        <is>
          <t>sealed terminals to UNSEALED connector</t>
        </is>
      </c>
      <c r="J81" s="1595" t="n"/>
      <c r="K81" s="1595" t="n"/>
      <c r="L81" s="1532" t="n"/>
      <c r="M81" s="1561" t="inlineStr">
        <is>
          <t>Align terminal with connector cavity</t>
        </is>
      </c>
      <c r="N81" s="1532" t="n"/>
      <c r="O81" s="1561" t="inlineStr">
        <is>
          <t>Release plugged wire</t>
        </is>
      </c>
      <c r="P81" s="1532" t="n"/>
      <c r="Q81" s="1740" t="n">
        <v>4</v>
      </c>
      <c r="R81" s="1690" t="inlineStr">
        <is>
          <t>pc</t>
        </is>
      </c>
      <c r="S81" s="1402" t="n">
        <v>1</v>
      </c>
      <c r="T81" s="1403">
        <f>+S81*Q81</f>
        <v/>
      </c>
      <c r="U81" s="1231" t="inlineStr">
        <is>
          <t>Automatic</t>
        </is>
      </c>
      <c r="V81" s="1132" t="n"/>
      <c r="X81" s="1132" t="n"/>
      <c r="Y81" s="1215" t="n"/>
      <c r="Z81" s="1231" t="n"/>
    </row>
    <row r="82" ht="32.25" customHeight="1" s="1134">
      <c r="A82" s="1326" t="n"/>
      <c r="D82" s="1297" t="n"/>
      <c r="E82" s="1561" t="inlineStr">
        <is>
          <t xml:space="preserve">Plugging of  unsealed 0,13mm² PVC &amp; PPE </t>
        </is>
      </c>
      <c r="F82" s="1595" t="n"/>
      <c r="G82" s="1595" t="n"/>
      <c r="H82" s="1532" t="n"/>
      <c r="I82" s="1561" t="inlineStr">
        <is>
          <t xml:space="preserve">0,13mm² PVC &amp; PPE plugging time </t>
        </is>
      </c>
      <c r="J82" s="1595" t="n"/>
      <c r="K82" s="1595" t="n"/>
      <c r="L82" s="1532" t="n"/>
      <c r="M82" s="1561" t="inlineStr">
        <is>
          <t xml:space="preserve">Reach for wire  </t>
        </is>
      </c>
      <c r="N82" s="1532" t="n"/>
      <c r="O82" s="1561" t="inlineStr">
        <is>
          <t>Release wire</t>
        </is>
      </c>
      <c r="P82" s="1532" t="n"/>
      <c r="Q82" s="1740" t="n">
        <v>3.125</v>
      </c>
      <c r="R82" s="1690" t="inlineStr">
        <is>
          <t>pc</t>
        </is>
      </c>
      <c r="S82" s="1402" t="n">
        <v>1</v>
      </c>
      <c r="T82" s="1403">
        <f>+S82*Q82</f>
        <v/>
      </c>
      <c r="U82" s="1231" t="inlineStr">
        <is>
          <t>Automatic</t>
        </is>
      </c>
      <c r="V82" s="1132" t="n"/>
      <c r="X82" s="1132" t="n"/>
      <c r="Y82" s="1215" t="n"/>
      <c r="Z82" s="1231" t="n"/>
    </row>
    <row r="83" ht="36.75" customHeight="1" s="1134">
      <c r="A83" s="1326" t="n"/>
      <c r="D83" s="1297" t="n"/>
      <c r="E83" s="1561" t="inlineStr">
        <is>
          <t>Plug unsealed terminals to seal connectors</t>
        </is>
      </c>
      <c r="F83" s="1595" t="n"/>
      <c r="G83" s="1595" t="n"/>
      <c r="H83" s="1532" t="n"/>
      <c r="I83" s="1561" t="inlineStr">
        <is>
          <t>Unsealed terminals to seal connector</t>
        </is>
      </c>
      <c r="J83" s="1595" t="n"/>
      <c r="K83" s="1595" t="n"/>
      <c r="L83" s="1532" t="n"/>
      <c r="M83" s="1561" t="inlineStr">
        <is>
          <t>Align terminal with connector cavity</t>
        </is>
      </c>
      <c r="N83" s="1532" t="n"/>
      <c r="O83" s="1561" t="inlineStr">
        <is>
          <t>Release plugged wire</t>
        </is>
      </c>
      <c r="P83" s="1532" t="n"/>
      <c r="Q83" s="1740" t="n">
        <v>4.2</v>
      </c>
      <c r="R83" s="1690" t="inlineStr">
        <is>
          <t>pc</t>
        </is>
      </c>
      <c r="S83" s="1402" t="n">
        <v>1</v>
      </c>
      <c r="T83" s="1403">
        <f>+S83*Q83</f>
        <v/>
      </c>
      <c r="U83" s="1231" t="inlineStr">
        <is>
          <t>Automatic</t>
        </is>
      </c>
      <c r="V83" s="1132" t="n"/>
      <c r="X83" s="1132" t="n"/>
      <c r="Y83" s="1215" t="n"/>
      <c r="Z83" s="1231" t="n"/>
    </row>
    <row r="84" ht="35.05" customHeight="1" s="1134">
      <c r="A84" s="1326" t="n"/>
      <c r="D84" s="1297" t="n"/>
      <c r="E84" s="1561" t="inlineStr">
        <is>
          <t>Plug unsealed terminals to seal connectors (deep cavity &gt; 30 mm)</t>
        </is>
      </c>
      <c r="F84" s="1624" t="n"/>
      <c r="G84" s="1624" t="n"/>
      <c r="H84" s="1625" t="n"/>
      <c r="I84" s="1561" t="inlineStr">
        <is>
          <t>Unsealed terminals to seal connectors with deep cavities &gt; 30mm</t>
        </is>
      </c>
      <c r="J84" s="1595" t="n"/>
      <c r="K84" s="1595" t="n"/>
      <c r="L84" s="1532" t="n"/>
      <c r="M84" s="1561" t="inlineStr">
        <is>
          <t>Align terminal with connector cavity</t>
        </is>
      </c>
      <c r="N84" s="1625" t="n"/>
      <c r="O84" s="1561" t="inlineStr">
        <is>
          <t>Released plugged wire</t>
        </is>
      </c>
      <c r="P84" s="1625" t="n"/>
      <c r="Q84" s="1740" t="n">
        <v>6.5</v>
      </c>
      <c r="R84" s="1690" t="inlineStr">
        <is>
          <t>pc</t>
        </is>
      </c>
      <c r="S84" s="1402" t="n">
        <v>1</v>
      </c>
      <c r="T84" s="1403">
        <f>+S84*Q84</f>
        <v/>
      </c>
      <c r="U84" s="1231" t="inlineStr">
        <is>
          <t>Automatic</t>
        </is>
      </c>
      <c r="V84" s="1132" t="n"/>
      <c r="X84" s="1132" t="n"/>
      <c r="Y84" s="1215" t="n"/>
      <c r="Z84" s="1231" t="n"/>
    </row>
    <row r="85" ht="163.5" customHeight="1" s="1134">
      <c r="A85" s="1326" t="n"/>
      <c r="D85" s="1297" t="n"/>
      <c r="E85" s="1544" t="n"/>
      <c r="F85" s="1618" t="n"/>
      <c r="G85" s="1618" t="n"/>
      <c r="H85" s="1545" t="n"/>
      <c r="I85" s="1506" t="inlineStr">
        <is>
          <t>To be used also for terminals that require help tool usage /or double plugging method
NOTE FOR HV PROD: 
to be used also for HV plugging
terminals of muliticore wire with short open ends.
Plug contact housing to outer housing in multicore wires.</t>
        </is>
      </c>
      <c r="J85" s="1595" t="n"/>
      <c r="K85" s="1595" t="n"/>
      <c r="L85" s="1532" t="n"/>
      <c r="M85" s="1544" t="n"/>
      <c r="N85" s="1545" t="n"/>
      <c r="O85" s="1544" t="n"/>
      <c r="P85" s="1545" t="n"/>
      <c r="Q85" s="1406" t="n"/>
      <c r="R85" s="1690" t="inlineStr">
        <is>
          <t>pc</t>
        </is>
      </c>
      <c r="S85" s="1818" t="n"/>
      <c r="T85" s="1403">
        <f>+S85*Q85</f>
        <v/>
      </c>
      <c r="U85" s="1382" t="inlineStr">
        <is>
          <t>Manual</t>
        </is>
      </c>
      <c r="V85" s="1132" t="n"/>
      <c r="X85" s="1132" t="n"/>
      <c r="Y85" s="1215" t="n"/>
      <c r="Z85" s="1231" t="n"/>
    </row>
    <row r="86" ht="42" customHeight="1" s="1134">
      <c r="A86" s="1326" t="n"/>
      <c r="D86" s="1297" t="n"/>
      <c r="E86" s="1561" t="inlineStr">
        <is>
          <t>Plug silicon wires sealed / unsealed to connectors</t>
        </is>
      </c>
      <c r="F86" s="1595" t="n"/>
      <c r="G86" s="1595" t="n"/>
      <c r="H86" s="1532" t="n"/>
      <c r="I86" s="1561" t="inlineStr">
        <is>
          <t>Sealed / unsealed terminals to connector</t>
        </is>
      </c>
      <c r="J86" s="1595" t="n"/>
      <c r="K86" s="1595" t="n"/>
      <c r="L86" s="1532" t="n"/>
      <c r="M86" s="1561" t="inlineStr">
        <is>
          <t>Align terminal with connector cavity</t>
        </is>
      </c>
      <c r="N86" s="1532" t="n"/>
      <c r="O86" s="1561" t="inlineStr">
        <is>
          <t>Release plugged wire</t>
        </is>
      </c>
      <c r="P86" s="1532" t="n"/>
      <c r="Q86" s="1740" t="n">
        <v>4.49</v>
      </c>
      <c r="R86" s="1690" t="inlineStr">
        <is>
          <t>pc</t>
        </is>
      </c>
      <c r="S86" s="1402" t="n">
        <v>1</v>
      </c>
      <c r="T86" s="1403">
        <f>+S86*Q86</f>
        <v/>
      </c>
      <c r="U86" s="1231" t="inlineStr">
        <is>
          <t>Automatic</t>
        </is>
      </c>
      <c r="V86" s="1132" t="n"/>
      <c r="X86" s="1132" t="n"/>
      <c r="Y86" s="1215" t="n"/>
      <c r="Z86" s="1231" t="n"/>
    </row>
    <row r="87" ht="39.75" customHeight="1" s="1134">
      <c r="A87" s="1326" t="n"/>
      <c r="D87" s="1297" t="n"/>
      <c r="E87" s="1561" t="inlineStr">
        <is>
          <t>Plug leads with sonic splice ends</t>
        </is>
      </c>
      <c r="F87" s="1595" t="n"/>
      <c r="G87" s="1595" t="n"/>
      <c r="H87" s="1532" t="n"/>
      <c r="I87" s="1561" t="inlineStr">
        <is>
          <t>To V-pin</t>
        </is>
      </c>
      <c r="J87" s="1595" t="n"/>
      <c r="K87" s="1595" t="n"/>
      <c r="L87" s="1532" t="n"/>
      <c r="M87" s="1561" t="inlineStr">
        <is>
          <t>Align wire end with V-pin</t>
        </is>
      </c>
      <c r="N87" s="1532" t="n"/>
      <c r="O87" s="1561" t="inlineStr">
        <is>
          <t>Release wire</t>
        </is>
      </c>
      <c r="P87" s="1532" t="n"/>
      <c r="Q87" s="1740" t="n">
        <v>1.4</v>
      </c>
      <c r="R87" s="1690" t="inlineStr">
        <is>
          <t>pc</t>
        </is>
      </c>
      <c r="S87" s="1402" t="n">
        <v>1</v>
      </c>
      <c r="T87" s="1403">
        <f>+S87*Q87</f>
        <v/>
      </c>
      <c r="U87" s="1231" t="inlineStr">
        <is>
          <t>Automatic</t>
        </is>
      </c>
      <c r="V87" s="1132" t="n"/>
      <c r="X87" s="1407" t="n"/>
      <c r="Y87" s="1344" t="n"/>
      <c r="Z87" s="1345" t="n"/>
    </row>
    <row r="88" ht="39.75" customHeight="1" s="1134">
      <c r="A88" s="1326" t="n"/>
      <c r="D88" s="1297" t="n"/>
      <c r="E88" s="1561" t="inlineStr">
        <is>
          <t>Plug blunt ends/loose term</t>
        </is>
      </c>
      <c r="F88" s="1595" t="n"/>
      <c r="G88" s="1595" t="n"/>
      <c r="H88" s="1532" t="n"/>
      <c r="I88" s="1561" t="inlineStr">
        <is>
          <t>Plug leads with no terminals to V-pin</t>
        </is>
      </c>
      <c r="J88" s="1595" t="n"/>
      <c r="K88" s="1595" t="n"/>
      <c r="L88" s="1532" t="n"/>
      <c r="M88" s="1561" t="inlineStr">
        <is>
          <t>Align wire end with V-pin</t>
        </is>
      </c>
      <c r="N88" s="1532" t="n"/>
      <c r="O88" s="1561" t="inlineStr">
        <is>
          <t>Release wire</t>
        </is>
      </c>
      <c r="P88" s="1532" t="n"/>
      <c r="Q88" s="1740" t="n">
        <v>2.3</v>
      </c>
      <c r="R88" s="1690" t="inlineStr">
        <is>
          <t>pc</t>
        </is>
      </c>
      <c r="S88" s="1402" t="n">
        <v>1</v>
      </c>
      <c r="T88" s="1403">
        <f>+S88*Q88</f>
        <v/>
      </c>
      <c r="U88" s="1231" t="inlineStr">
        <is>
          <t>Automatic</t>
        </is>
      </c>
      <c r="V88" s="1132" t="n"/>
      <c r="X88" s="1132" t="n"/>
      <c r="Y88" s="1215" t="n"/>
      <c r="Z88" s="1231" t="n"/>
    </row>
    <row r="89" ht="48.75" customHeight="1" s="1134">
      <c r="A89" s="1326" t="n"/>
      <c r="D89" s="1297" t="n"/>
      <c r="E89" s="1561" t="inlineStr">
        <is>
          <t>Plug battery terminal</t>
        </is>
      </c>
      <c r="F89" s="1595" t="n"/>
      <c r="G89" s="1595" t="n"/>
      <c r="H89" s="1532" t="n"/>
      <c r="I89" s="1561" t="inlineStr">
        <is>
          <t>Plug battery terminal to the holder</t>
        </is>
      </c>
      <c r="J89" s="1595" t="n"/>
      <c r="K89" s="1595" t="n"/>
      <c r="L89" s="1532" t="n"/>
      <c r="M89" s="1561" t="inlineStr">
        <is>
          <t>Align terminal with holder</t>
        </is>
      </c>
      <c r="N89" s="1532" t="n"/>
      <c r="O89" s="1561" t="inlineStr">
        <is>
          <t>Release plugged wire</t>
        </is>
      </c>
      <c r="P89" s="1532" t="n"/>
      <c r="Q89" s="1740" t="n">
        <v>4</v>
      </c>
      <c r="R89" s="1690" t="inlineStr">
        <is>
          <t>pc</t>
        </is>
      </c>
      <c r="S89" s="1402" t="n">
        <v>1</v>
      </c>
      <c r="T89" s="1403">
        <f>+S89*Q89</f>
        <v/>
      </c>
      <c r="U89" s="1382" t="inlineStr">
        <is>
          <t>Semi-automatic</t>
        </is>
      </c>
      <c r="V89" s="1132" t="n"/>
      <c r="X89" s="1407" t="n"/>
      <c r="Y89" s="1344" t="n"/>
      <c r="Z89" s="1231" t="n"/>
    </row>
    <row r="90" ht="39.75" customHeight="1" s="1134">
      <c r="A90" s="1326" t="n"/>
      <c r="D90" s="1297" t="n"/>
      <c r="E90" s="1561" t="inlineStr">
        <is>
          <t>Plug ring terminals</t>
        </is>
      </c>
      <c r="F90" s="1595" t="n"/>
      <c r="G90" s="1595" t="n"/>
      <c r="H90" s="1532" t="n"/>
      <c r="I90" s="1561" t="inlineStr">
        <is>
          <t>Plug ring terminal to pin</t>
        </is>
      </c>
      <c r="J90" s="1595" t="n"/>
      <c r="K90" s="1595" t="n"/>
      <c r="L90" s="1532" t="n"/>
      <c r="M90" s="1561" t="inlineStr">
        <is>
          <t>Align terminal with pin</t>
        </is>
      </c>
      <c r="N90" s="1532" t="n"/>
      <c r="O90" s="1561" t="inlineStr">
        <is>
          <t>Release plugged wire</t>
        </is>
      </c>
      <c r="P90" s="1532" t="n"/>
      <c r="Q90" s="1740" t="n">
        <v>1.74</v>
      </c>
      <c r="R90" s="1690" t="inlineStr">
        <is>
          <t>pc</t>
        </is>
      </c>
      <c r="S90" s="1402" t="n">
        <v>1</v>
      </c>
      <c r="T90" s="1403">
        <f>+S90*Q90</f>
        <v/>
      </c>
      <c r="U90" s="1132" t="inlineStr">
        <is>
          <t>Semi-automatic</t>
        </is>
      </c>
      <c r="V90" s="1132" t="n"/>
      <c r="X90" s="1407" t="n"/>
      <c r="Y90" s="1344" t="n"/>
      <c r="Z90" s="1231" t="n"/>
    </row>
    <row r="91" ht="39.75" customHeight="1" s="1134">
      <c r="A91" s="1326" t="n"/>
      <c r="D91" s="1297" t="n"/>
      <c r="E91" s="1561" t="inlineStr">
        <is>
          <t>Plug terminals to jelly seal connectors</t>
        </is>
      </c>
      <c r="F91" s="1595" t="n"/>
      <c r="G91" s="1595" t="n"/>
      <c r="H91" s="1532" t="n"/>
      <c r="I91" s="1561" t="inlineStr">
        <is>
          <t>Plug terminals to jelly seal connectors</t>
        </is>
      </c>
      <c r="J91" s="1595" t="n"/>
      <c r="K91" s="1595" t="n"/>
      <c r="L91" s="1532" t="n"/>
      <c r="M91" s="1561" t="inlineStr">
        <is>
          <t>Align terminal with connector cavity</t>
        </is>
      </c>
      <c r="N91" s="1532" t="n"/>
      <c r="O91" s="1561" t="inlineStr">
        <is>
          <t>Release plugged wire</t>
        </is>
      </c>
      <c r="P91" s="1532" t="n"/>
      <c r="Q91" s="1740" t="n">
        <v>5.5</v>
      </c>
      <c r="R91" s="1690" t="inlineStr">
        <is>
          <t>pc</t>
        </is>
      </c>
      <c r="S91" s="1402" t="n">
        <v>1</v>
      </c>
      <c r="T91" s="1403">
        <f>+S91*Q91</f>
        <v/>
      </c>
      <c r="U91" s="1132" t="inlineStr">
        <is>
          <t>Automatic</t>
        </is>
      </c>
      <c r="V91" s="1132" t="n"/>
      <c r="X91" s="1132" t="n"/>
      <c r="Y91" s="1215" t="n"/>
      <c r="Z91" s="1231" t="n"/>
    </row>
    <row r="92" hidden="1" ht="39.75" customHeight="1" s="1134">
      <c r="A92" s="1326" t="n"/>
      <c r="D92" s="1297" t="n"/>
      <c r="E92" s="1872" t="inlineStr">
        <is>
          <t>Plug cavity plugs</t>
        </is>
      </c>
      <c r="F92" s="1595" t="n"/>
      <c r="G92" s="1595" t="n"/>
      <c r="H92" s="1532" t="n"/>
      <c r="I92" s="1872" t="inlineStr">
        <is>
          <t>Insert cavity plugs in connectors</t>
        </is>
      </c>
      <c r="J92" s="1595" t="n"/>
      <c r="K92" s="1595" t="n"/>
      <c r="L92" s="1532" t="n"/>
      <c r="M92" s="1872" t="inlineStr">
        <is>
          <t>Reach for cavity plugs</t>
        </is>
      </c>
      <c r="N92" s="1532" t="n"/>
      <c r="O92" s="1872" t="inlineStr">
        <is>
          <t>Release inserted cavity plugs</t>
        </is>
      </c>
      <c r="P92" s="1532" t="n"/>
      <c r="Q92" s="1873" t="n">
        <v>4</v>
      </c>
      <c r="R92" s="1874" t="inlineStr">
        <is>
          <t>pc</t>
        </is>
      </c>
      <c r="S92" s="1402" t="n">
        <v>1</v>
      </c>
      <c r="T92" s="1403">
        <f>+S92*Q92</f>
        <v/>
      </c>
      <c r="U92" s="1132" t="inlineStr">
        <is>
          <t>moved to LP to have possibility to choose between LP and FA location</t>
        </is>
      </c>
      <c r="V92" s="1132" t="n"/>
      <c r="X92" s="1132" t="n"/>
      <c r="Y92" s="1215" t="n"/>
      <c r="Z92" s="1231" t="n"/>
    </row>
    <row r="93" ht="39.75" customHeight="1" s="1134">
      <c r="A93" s="1326" t="n"/>
      <c r="D93" s="1297" t="n"/>
      <c r="E93" s="1561" t="inlineStr">
        <is>
          <t>Plug connector seal / gasket / seal o-ring</t>
        </is>
      </c>
      <c r="F93" s="1595" t="n"/>
      <c r="G93" s="1595" t="n"/>
      <c r="H93" s="1532" t="n"/>
      <c r="I93" s="1561" t="inlineStr">
        <is>
          <t xml:space="preserve">Insert seal in connector </t>
        </is>
      </c>
      <c r="J93" s="1595" t="n"/>
      <c r="K93" s="1595" t="n"/>
      <c r="L93" s="1532" t="n"/>
      <c r="M93" s="1561" t="inlineStr">
        <is>
          <t>Reach for seal</t>
        </is>
      </c>
      <c r="N93" s="1532" t="n"/>
      <c r="O93" s="1561" t="inlineStr">
        <is>
          <t>Relese inserted seal</t>
        </is>
      </c>
      <c r="P93" s="1532" t="n"/>
      <c r="Q93" s="1740" t="n">
        <v>6</v>
      </c>
      <c r="R93" s="1690" t="inlineStr">
        <is>
          <t>pc</t>
        </is>
      </c>
      <c r="S93" s="1402" t="n">
        <v>1</v>
      </c>
      <c r="T93" s="1403">
        <f>+S93*Q93</f>
        <v/>
      </c>
      <c r="U93" s="1132" t="inlineStr">
        <is>
          <t>Manual</t>
        </is>
      </c>
      <c r="V93" s="1132" t="n"/>
      <c r="X93" s="1132" t="n"/>
      <c r="Y93" s="1215" t="n"/>
      <c r="Z93" s="1231" t="n"/>
    </row>
    <row r="94" ht="39.75" customHeight="1" s="1134">
      <c r="A94" s="1326" t="n"/>
      <c r="D94" s="1297" t="n"/>
      <c r="E94" s="1623" t="inlineStr">
        <is>
          <t>Plug connector seal / gasket</t>
        </is>
      </c>
      <c r="F94" s="1624" t="n"/>
      <c r="G94" s="1624" t="n"/>
      <c r="H94" s="1625" t="n"/>
      <c r="I94" s="1623" t="inlineStr">
        <is>
          <t>Insert seal in clip</t>
        </is>
      </c>
      <c r="J94" s="1624" t="n"/>
      <c r="K94" s="1624" t="n"/>
      <c r="L94" s="1625" t="n"/>
      <c r="M94" s="1689" t="n"/>
      <c r="N94" s="1623" t="inlineStr">
        <is>
          <t>Reach for seal</t>
        </is>
      </c>
      <c r="O94" s="1623" t="inlineStr">
        <is>
          <t>Release inserted seal</t>
        </is>
      </c>
      <c r="P94" s="1625" t="n"/>
      <c r="Q94" s="1868" t="n">
        <v>3.53</v>
      </c>
      <c r="R94" s="1875" t="inlineStr">
        <is>
          <t>pc</t>
        </is>
      </c>
      <c r="S94" s="1518" t="n">
        <v>1</v>
      </c>
      <c r="T94" s="1440">
        <f>+S94*Q94</f>
        <v/>
      </c>
      <c r="U94" s="1132" t="inlineStr">
        <is>
          <t>Automatic</t>
        </is>
      </c>
      <c r="V94" s="1132" t="n"/>
      <c r="X94" s="1132" t="n"/>
      <c r="Y94" s="1215" t="n"/>
      <c r="Z94" s="1231" t="n"/>
    </row>
    <row r="95" ht="105.75" customHeight="1" s="1134">
      <c r="A95" s="1326" t="n"/>
      <c r="D95" s="1297" t="n"/>
      <c r="E95" s="1561" t="inlineStr">
        <is>
          <t>Seal over connector</t>
        </is>
      </c>
      <c r="F95" s="1595" t="n"/>
      <c r="G95" s="1595" t="n"/>
      <c r="H95" s="1532" t="n"/>
      <c r="I95" s="1561" t="inlineStr">
        <is>
          <t>Apply seal over connector (Seal Inserter for Conn seal)
To be used also for oxygen sensor:  Insert seal into the connector using tool</t>
        </is>
      </c>
      <c r="J95" s="1595" t="n"/>
      <c r="K95" s="1595" t="n"/>
      <c r="L95" s="1532" t="n"/>
      <c r="M95" s="1561" t="n"/>
      <c r="N95" s="1561" t="inlineStr">
        <is>
          <t>Reach for seal</t>
        </is>
      </c>
      <c r="O95" s="1561" t="inlineStr">
        <is>
          <t>Release connector with  seal</t>
        </is>
      </c>
      <c r="P95" s="1532" t="n"/>
      <c r="Q95" s="1740" t="n">
        <v>9.75</v>
      </c>
      <c r="R95" s="1690" t="inlineStr">
        <is>
          <t>pc</t>
        </is>
      </c>
      <c r="S95" s="1402" t="n">
        <v>1</v>
      </c>
      <c r="T95" s="1403">
        <f>+S95*Q95</f>
        <v/>
      </c>
      <c r="U95" s="1132" t="inlineStr">
        <is>
          <t>Automatic</t>
        </is>
      </c>
      <c r="V95" s="1132" t="n"/>
      <c r="X95" s="1132" t="n"/>
      <c r="Y95" s="1215" t="n"/>
      <c r="Z95" s="1231" t="n"/>
    </row>
    <row r="96" ht="39.75" customHeight="1" s="1134">
      <c r="A96" s="1326" t="n"/>
      <c r="D96" s="1297" t="n"/>
      <c r="E96" s="1367" t="inlineStr">
        <is>
          <t>In-line connectors (connect male and female connector)</t>
        </is>
      </c>
      <c r="H96" s="1297" t="n"/>
      <c r="I96" s="1367" t="inlineStr">
        <is>
          <t>plug one connector to another one</t>
        </is>
      </c>
      <c r="L96" s="1297" t="n"/>
      <c r="M96" s="1367" t="inlineStr">
        <is>
          <t>Reach for the connector</t>
        </is>
      </c>
      <c r="N96" s="1297" t="n"/>
      <c r="O96" s="1367" t="inlineStr">
        <is>
          <t xml:space="preserve">Release connected connectors </t>
        </is>
      </c>
      <c r="P96" s="1297" t="n"/>
      <c r="Q96" s="1876" t="n">
        <v>6</v>
      </c>
      <c r="R96" s="1875" t="inlineStr">
        <is>
          <t>pc</t>
        </is>
      </c>
      <c r="S96" s="1518" t="n">
        <v>1</v>
      </c>
      <c r="T96" s="1477">
        <f>+S96*Q96</f>
        <v/>
      </c>
      <c r="U96" s="1132" t="inlineStr">
        <is>
          <t>Automatic</t>
        </is>
      </c>
      <c r="V96" s="1132" t="n"/>
      <c r="X96" s="1132" t="n"/>
      <c r="Y96" s="1215" t="n"/>
      <c r="Z96" s="1231" t="n"/>
    </row>
    <row r="97" ht="39.75" customHeight="1" s="1134">
      <c r="A97" s="1697" t="inlineStr">
        <is>
          <t xml:space="preserve">
DCT250 Clean process for material (components) and wires </t>
        </is>
      </c>
      <c r="B97" s="1589" t="n"/>
      <c r="C97" s="1589" t="n"/>
      <c r="D97" s="1590" t="n"/>
      <c r="E97" s="1698" t="inlineStr">
        <is>
          <t xml:space="preserve">
Wire</t>
        </is>
      </c>
      <c r="F97" s="1589" t="n"/>
      <c r="G97" s="1589" t="n"/>
      <c r="H97" s="1590" t="n"/>
      <c r="I97" s="1698" t="inlineStr">
        <is>
          <t>CC KB bundle=300
(600pcs/time)</t>
        </is>
      </c>
      <c r="J97" s="1609" t="n"/>
      <c r="K97" s="1609" t="n"/>
      <c r="L97" s="1610" t="n"/>
      <c r="M97" s="1698" t="inlineStr">
        <is>
          <t xml:space="preserve">
Turn on the cleaning equipment</t>
        </is>
      </c>
      <c r="N97" s="1610" t="n"/>
      <c r="O97" s="1698" t="inlineStr">
        <is>
          <t xml:space="preserve">
Turn off the cleaning equipment</t>
        </is>
      </c>
      <c r="P97" s="1610" t="n"/>
      <c r="Q97" s="1877" t="n">
        <v>0.1117</v>
      </c>
      <c r="R97" s="1685" t="inlineStr">
        <is>
          <t>pc</t>
        </is>
      </c>
      <c r="S97" s="1878" t="n">
        <v>1</v>
      </c>
      <c r="T97" s="1448">
        <f>+S97*$Q97</f>
        <v/>
      </c>
      <c r="U97" s="1879" t="n"/>
      <c r="V97" s="1132" t="n"/>
      <c r="X97" s="1132" t="n"/>
      <c r="Y97" s="1215" t="n"/>
      <c r="Z97" s="1231" t="n"/>
    </row>
    <row r="98" ht="39.75" customHeight="1" s="1134">
      <c r="A98" s="1326" t="n"/>
      <c r="D98" s="1297" t="n"/>
      <c r="E98" s="1615" t="n"/>
      <c r="H98" s="1297" t="n"/>
      <c r="I98" s="1561" t="inlineStr">
        <is>
          <t>CC KB bundle=100
(200pcs/time)</t>
        </is>
      </c>
      <c r="J98" s="1595" t="n"/>
      <c r="K98" s="1595" t="n"/>
      <c r="L98" s="1532" t="n"/>
      <c r="M98" s="1561" t="inlineStr">
        <is>
          <t xml:space="preserve">
Turn on the cleaning equipment</t>
        </is>
      </c>
      <c r="N98" s="1532" t="n"/>
      <c r="O98" s="1561" t="inlineStr">
        <is>
          <t xml:space="preserve">
Turn off the cleaning equipment</t>
        </is>
      </c>
      <c r="P98" s="1532" t="n"/>
      <c r="Q98" s="1880" t="n">
        <v>0.335</v>
      </c>
      <c r="R98" s="1690" t="inlineStr">
        <is>
          <t>pc</t>
        </is>
      </c>
      <c r="S98" s="1881" t="n">
        <v>1</v>
      </c>
      <c r="T98" s="1470">
        <f>+S98*$Q98</f>
        <v/>
      </c>
      <c r="U98" s="1879" t="n"/>
      <c r="V98" s="1132" t="n"/>
      <c r="X98" s="1132" t="n"/>
      <c r="Y98" s="1215" t="n"/>
      <c r="Z98" s="1231" t="n"/>
    </row>
    <row r="99" ht="39.75" customHeight="1" s="1134">
      <c r="A99" s="1326" t="n"/>
      <c r="D99" s="1297" t="n"/>
      <c r="E99" s="1615" t="n"/>
      <c r="H99" s="1297" t="n"/>
      <c r="I99" s="1561" t="inlineStr">
        <is>
          <t>LP KB bundle=100
(100pcs/time)</t>
        </is>
      </c>
      <c r="J99" s="1595" t="n"/>
      <c r="K99" s="1595" t="n"/>
      <c r="L99" s="1532" t="n"/>
      <c r="M99" s="1561" t="inlineStr">
        <is>
          <t xml:space="preserve">
Turn on the cleaning equipment</t>
        </is>
      </c>
      <c r="N99" s="1532" t="n"/>
      <c r="O99" s="1561" t="inlineStr">
        <is>
          <t xml:space="preserve">
Turn off the cleaning equipment</t>
        </is>
      </c>
      <c r="P99" s="1532" t="n"/>
      <c r="Q99" s="1880" t="n">
        <v>0.5</v>
      </c>
      <c r="R99" s="1690" t="inlineStr">
        <is>
          <t>pc</t>
        </is>
      </c>
      <c r="S99" s="1881" t="n">
        <v>1</v>
      </c>
      <c r="T99" s="1470">
        <f>+S99*$Q99</f>
        <v/>
      </c>
      <c r="U99" s="1882" t="n"/>
      <c r="V99" s="1132" t="n"/>
      <c r="X99" s="1132" t="n"/>
      <c r="Y99" s="1215" t="n"/>
      <c r="Z99" s="1231" t="n"/>
    </row>
    <row r="100" ht="39.75" customHeight="1" s="1134">
      <c r="A100" s="1326" t="n"/>
      <c r="D100" s="1297" t="n"/>
      <c r="E100" s="1544" t="n"/>
      <c r="F100" s="1618" t="n"/>
      <c r="G100" s="1618" t="n"/>
      <c r="H100" s="1545" t="n"/>
      <c r="I100" s="1561" t="inlineStr">
        <is>
          <t>LP KB bundle=50
(50pcs/time)</t>
        </is>
      </c>
      <c r="J100" s="1595" t="n"/>
      <c r="K100" s="1595" t="n"/>
      <c r="L100" s="1532" t="n"/>
      <c r="M100" s="1561" t="inlineStr">
        <is>
          <t xml:space="preserve">
Turn on the cleaning equipment</t>
        </is>
      </c>
      <c r="N100" s="1532" t="n"/>
      <c r="O100" s="1561" t="inlineStr">
        <is>
          <t xml:space="preserve">
Turn off the cleaning equipment</t>
        </is>
      </c>
      <c r="P100" s="1532" t="n"/>
      <c r="Q100" s="1880" t="n">
        <v>1</v>
      </c>
      <c r="R100" s="1690" t="inlineStr">
        <is>
          <t>pc</t>
        </is>
      </c>
      <c r="S100" s="1881" t="n">
        <v>1</v>
      </c>
      <c r="T100" s="1470">
        <f>+S100*$Q100</f>
        <v/>
      </c>
      <c r="U100" s="1879" t="n"/>
      <c r="V100" s="1132" t="n"/>
      <c r="X100" s="1132" t="n"/>
      <c r="Y100" s="1215" t="n"/>
      <c r="Z100" s="1231" t="n"/>
    </row>
    <row r="101" ht="39.75" customHeight="1" s="1134">
      <c r="A101" s="1326" t="n"/>
      <c r="D101" s="1297" t="n"/>
      <c r="E101" s="1672" t="inlineStr">
        <is>
          <t xml:space="preserve">
Material (components)</t>
        </is>
      </c>
      <c r="F101" s="1624" t="n"/>
      <c r="G101" s="1624" t="n"/>
      <c r="H101" s="1625" t="n"/>
      <c r="I101" s="1561" t="inlineStr">
        <is>
          <t>1-16 way connector
(300pcs/time)</t>
        </is>
      </c>
      <c r="J101" s="1595" t="n"/>
      <c r="K101" s="1595" t="n"/>
      <c r="L101" s="1532" t="n"/>
      <c r="M101" s="1561" t="inlineStr">
        <is>
          <t xml:space="preserve">
Turn on the cleaning equipment</t>
        </is>
      </c>
      <c r="N101" s="1532" t="n"/>
      <c r="O101" s="1561" t="inlineStr">
        <is>
          <t xml:space="preserve">
Turn off the cleaning equipment</t>
        </is>
      </c>
      <c r="P101" s="1532" t="n"/>
      <c r="Q101" s="1880" t="n">
        <v>0.1983</v>
      </c>
      <c r="R101" s="1690" t="inlineStr">
        <is>
          <t>pc</t>
        </is>
      </c>
      <c r="S101" s="1881" t="n">
        <v>1</v>
      </c>
      <c r="T101" s="1470">
        <f>+S101*$Q101</f>
        <v/>
      </c>
      <c r="U101" s="1879" t="n"/>
      <c r="V101" s="1132" t="n"/>
      <c r="X101" s="1132" t="n"/>
      <c r="Y101" s="1215" t="n"/>
      <c r="Z101" s="1231" t="n"/>
    </row>
    <row r="102" ht="39.75" customHeight="1" s="1134">
      <c r="A102" s="1326" t="n"/>
      <c r="D102" s="1297" t="n"/>
      <c r="E102" s="1615" t="n"/>
      <c r="H102" s="1297" t="n"/>
      <c r="I102" s="1561" t="inlineStr">
        <is>
          <t>1-16 way connector 
(200pcs/time)</t>
        </is>
      </c>
      <c r="J102" s="1595" t="n"/>
      <c r="K102" s="1595" t="n"/>
      <c r="L102" s="1532" t="n"/>
      <c r="M102" s="1561" t="inlineStr">
        <is>
          <t xml:space="preserve">
Turn on the cleaning equipment</t>
        </is>
      </c>
      <c r="N102" s="1532" t="n"/>
      <c r="O102" s="1561" t="inlineStr">
        <is>
          <t xml:space="preserve">
Turn off the cleaning equipment</t>
        </is>
      </c>
      <c r="P102" s="1532" t="n"/>
      <c r="Q102" s="1880" t="n">
        <v>0.2975</v>
      </c>
      <c r="R102" s="1690" t="inlineStr">
        <is>
          <t>pc</t>
        </is>
      </c>
      <c r="S102" s="1881" t="n">
        <v>1</v>
      </c>
      <c r="T102" s="1470">
        <f>+S102*$Q102</f>
        <v/>
      </c>
      <c r="U102" s="1879" t="n"/>
      <c r="V102" s="1132" t="n"/>
      <c r="X102" s="1132" t="n"/>
      <c r="Y102" s="1215" t="n"/>
      <c r="Z102" s="1231" t="n"/>
    </row>
    <row r="103" ht="46.5" customHeight="1" s="1134">
      <c r="A103" s="1326" t="n"/>
      <c r="D103" s="1297" t="n"/>
      <c r="E103" s="1615" t="n"/>
      <c r="H103" s="1297" t="n"/>
      <c r="I103" s="1561" t="inlineStr">
        <is>
          <t>&gt; 16 way connector 
(100pcs/time)</t>
        </is>
      </c>
      <c r="J103" s="1595" t="n"/>
      <c r="K103" s="1595" t="n"/>
      <c r="L103" s="1532" t="n"/>
      <c r="M103" s="1561" t="inlineStr">
        <is>
          <t xml:space="preserve">
Turn on the cleaning equipment</t>
        </is>
      </c>
      <c r="N103" s="1532" t="n"/>
      <c r="O103" s="1561" t="inlineStr">
        <is>
          <t xml:space="preserve">
Turn off the cleaning equipment</t>
        </is>
      </c>
      <c r="P103" s="1532" t="n"/>
      <c r="Q103" s="1880" t="n">
        <v>0.595</v>
      </c>
      <c r="R103" s="1690" t="inlineStr">
        <is>
          <t>pc</t>
        </is>
      </c>
      <c r="S103" s="1881" t="n">
        <v>1</v>
      </c>
      <c r="T103" s="1470">
        <f>+S103*$Q103</f>
        <v/>
      </c>
      <c r="U103" s="1879" t="n"/>
      <c r="V103" s="1132" t="n"/>
      <c r="X103" s="1132" t="n"/>
      <c r="Y103" s="1215" t="n"/>
    </row>
    <row r="104" ht="57" customHeight="1" s="1134">
      <c r="A104" s="1329" t="n"/>
      <c r="B104" s="1390" t="n"/>
      <c r="C104" s="1390" t="n"/>
      <c r="D104" s="1301" t="n"/>
      <c r="E104" s="1812" t="n"/>
      <c r="F104" s="1390" t="n"/>
      <c r="G104" s="1390" t="n"/>
      <c r="H104" s="1301" t="n"/>
      <c r="I104" s="1883" t="inlineStr">
        <is>
          <t>Special Connector
(25pcs/time)</t>
        </is>
      </c>
      <c r="J104" s="1813" t="n"/>
      <c r="K104" s="1813" t="n"/>
      <c r="L104" s="1670" t="n"/>
      <c r="M104" s="1672" t="inlineStr">
        <is>
          <t xml:space="preserve">
Turn on the cleaning equipment</t>
        </is>
      </c>
      <c r="N104" s="1670" t="n"/>
      <c r="O104" s="1672" t="inlineStr">
        <is>
          <t xml:space="preserve">
Turn off the cleaning equipment</t>
        </is>
      </c>
      <c r="P104" s="1670" t="n"/>
      <c r="Q104" s="1884" t="n">
        <v>2.38</v>
      </c>
      <c r="R104" s="1694" t="inlineStr">
        <is>
          <t>pc</t>
        </is>
      </c>
      <c r="S104" s="1885" t="n">
        <v>1</v>
      </c>
      <c r="T104" s="1635">
        <f>+S104*$Q104</f>
        <v/>
      </c>
      <c r="U104" s="1879" t="n"/>
      <c r="V104" s="1132" t="n"/>
      <c r="X104" s="1132" t="n"/>
      <c r="Y104" s="1215" t="n"/>
    </row>
    <row r="105" ht="69.75" customHeight="1" s="1134">
      <c r="A105" s="1697" t="inlineStr">
        <is>
          <t>Assisted Plugging 
(SOGS - Smart Operator Guidance System - Machine)
EU</t>
        </is>
      </c>
      <c r="B105" s="1589" t="n"/>
      <c r="C105" s="1589" t="n"/>
      <c r="D105" s="1590" t="n"/>
      <c r="E105" s="1698" t="inlineStr">
        <is>
          <t>Process Initialization: scan the manifest, place connector into holder, automatic connector verification, robot initialization</t>
        </is>
      </c>
      <c r="F105" s="1609" t="n"/>
      <c r="G105" s="1609" t="n"/>
      <c r="H105" s="1610" t="n"/>
      <c r="I105" s="1698" t="inlineStr">
        <is>
          <t>Executed only 1 time per connector</t>
        </is>
      </c>
      <c r="J105" s="1609" t="n"/>
      <c r="K105" s="1609" t="n"/>
      <c r="L105" s="1610" t="n"/>
      <c r="M105" s="1698" t="n"/>
      <c r="N105" s="1698" t="inlineStr">
        <is>
          <t>Operator picks up kit of wires from connection tool</t>
        </is>
      </c>
      <c r="O105" s="1698" t="inlineStr">
        <is>
          <t>Robot moves into position to start first plugging</t>
        </is>
      </c>
      <c r="P105" s="1610" t="n"/>
      <c r="Q105" s="1877" t="n">
        <v>27</v>
      </c>
      <c r="R105" s="1685" t="inlineStr">
        <is>
          <t>pc</t>
        </is>
      </c>
      <c r="S105" s="1447" t="n">
        <v>1</v>
      </c>
      <c r="T105" s="1448">
        <f>+S105*$Q105</f>
        <v/>
      </c>
      <c r="U105" s="1344" t="n"/>
      <c r="V105" s="1132" t="n"/>
      <c r="X105" s="1132" t="n"/>
      <c r="Y105" s="1215" t="n"/>
    </row>
    <row r="106" ht="42" customHeight="1" s="1134">
      <c r="A106" s="1326" t="n"/>
      <c r="D106" s="1297" t="n"/>
      <c r="E106" s="1561" t="inlineStr">
        <is>
          <t>Plugging Cavity Plugs (0,5 and 1.2 cavities)</t>
        </is>
      </c>
      <c r="F106" s="1624" t="n"/>
      <c r="G106" s="1624" t="n"/>
      <c r="H106" s="1625" t="n"/>
      <c r="I106" s="1626" t="inlineStr">
        <is>
          <t xml:space="preserve">Cavity Plug in a 0.5 cavity (with robot's assistance) </t>
        </is>
      </c>
      <c r="J106" s="1595" t="n"/>
      <c r="K106" s="1595" t="n"/>
      <c r="L106" s="1532" t="n"/>
      <c r="M106" s="1561" t="n"/>
      <c r="N106" s="1561" t="inlineStr">
        <is>
          <t>Operator picks up cavity plug to be plugged</t>
        </is>
      </c>
      <c r="O106" s="1561" t="inlineStr">
        <is>
          <t>Robots moves to next cavity</t>
        </is>
      </c>
      <c r="P106" s="1532" t="n"/>
      <c r="Q106" s="1886" t="n">
        <v>4.2</v>
      </c>
      <c r="R106" s="1690" t="inlineStr">
        <is>
          <t>pc</t>
        </is>
      </c>
      <c r="S106" s="1402" t="n">
        <v>1</v>
      </c>
      <c r="T106" s="1403">
        <f>+S106*$Q106</f>
        <v/>
      </c>
      <c r="U106" s="1344" t="n"/>
      <c r="V106" s="1132" t="n"/>
      <c r="X106" s="1132" t="n"/>
      <c r="Y106" s="1887" t="n"/>
    </row>
    <row r="107" ht="54.75" customHeight="1" s="1134">
      <c r="A107" s="1326" t="n"/>
      <c r="D107" s="1297" t="n"/>
      <c r="E107" s="1544" t="n"/>
      <c r="F107" s="1618" t="n"/>
      <c r="G107" s="1618" t="n"/>
      <c r="H107" s="1545" t="n"/>
      <c r="I107" s="1626" t="inlineStr">
        <is>
          <t>Cavity Plug in a 1.2 cavity (without robot's assistance - vision verification is needed)</t>
        </is>
      </c>
      <c r="J107" s="1595" t="n"/>
      <c r="K107" s="1595" t="n"/>
      <c r="L107" s="1532" t="n"/>
      <c r="M107" s="1561" t="n"/>
      <c r="N107" s="1561" t="inlineStr">
        <is>
          <t>Operator picks up cavity plug to be plugged</t>
        </is>
      </c>
      <c r="O107" s="1561" t="inlineStr">
        <is>
          <t>Vision system validates the plugging</t>
        </is>
      </c>
      <c r="P107" s="1532" t="n"/>
      <c r="Q107" s="1880" t="n">
        <v>3.3</v>
      </c>
      <c r="R107" s="1690" t="inlineStr">
        <is>
          <t>pc</t>
        </is>
      </c>
      <c r="S107" s="1402" t="n">
        <v>1</v>
      </c>
      <c r="T107" s="1403">
        <f>+S107*$Q107</f>
        <v/>
      </c>
      <c r="U107" s="1344" t="n"/>
      <c r="V107" s="1132" t="n"/>
      <c r="X107" s="1132" t="n"/>
      <c r="Y107" s="1887" t="n"/>
    </row>
    <row r="108" ht="54.75" customHeight="1" s="1134">
      <c r="A108" s="1326" t="n"/>
      <c r="D108" s="1297" t="n"/>
      <c r="E108" s="1561" t="inlineStr">
        <is>
          <t>Plugging Wires 
(0,5 Nano terminals; 
1.2 &amp; 2.8 terminals)</t>
        </is>
      </c>
      <c r="F108" s="1624" t="n"/>
      <c r="G108" s="1624" t="n"/>
      <c r="H108" s="1625" t="n"/>
      <c r="I108" s="1626" t="inlineStr">
        <is>
          <t>Twisted or Jacked wire in 0.5 cavities (with robot's assistance)</t>
        </is>
      </c>
      <c r="J108" s="1595" t="n"/>
      <c r="K108" s="1595" t="n"/>
      <c r="L108" s="1532" t="n"/>
      <c r="M108" s="1561" t="n"/>
      <c r="N108" s="1561" t="inlineStr">
        <is>
          <t>Operator picks up wire to be plugged</t>
        </is>
      </c>
      <c r="O108" s="1561" t="inlineStr">
        <is>
          <t>Robots moves to next cavity</t>
        </is>
      </c>
      <c r="P108" s="1532" t="n"/>
      <c r="Q108" s="1880" t="n">
        <v>15.3</v>
      </c>
      <c r="R108" s="1690" t="inlineStr">
        <is>
          <t>pc</t>
        </is>
      </c>
      <c r="S108" s="1402" t="n">
        <v>1</v>
      </c>
      <c r="T108" s="1403">
        <f>+S108*$Q108</f>
        <v/>
      </c>
      <c r="U108" s="1344" t="n"/>
      <c r="V108" s="1132" t="n"/>
      <c r="X108" s="1132" t="n"/>
      <c r="Y108" s="1215" t="n"/>
    </row>
    <row r="109" ht="39" customHeight="1" s="1134">
      <c r="A109" s="1326" t="n"/>
      <c r="D109" s="1297" t="n"/>
      <c r="E109" s="1615" t="n"/>
      <c r="H109" s="1297" t="n"/>
      <c r="I109" s="1626" t="inlineStr">
        <is>
          <t xml:space="preserve">Single wire in a 0.5 cavity (with robot's assistance) </t>
        </is>
      </c>
      <c r="J109" s="1595" t="n"/>
      <c r="K109" s="1595" t="n"/>
      <c r="L109" s="1532" t="n"/>
      <c r="M109" s="1561" t="n"/>
      <c r="N109" s="1561" t="inlineStr">
        <is>
          <t>Operator picks up wire to be plugged</t>
        </is>
      </c>
      <c r="O109" s="1561" t="inlineStr">
        <is>
          <t>Robots moves to next cavity</t>
        </is>
      </c>
      <c r="P109" s="1532" t="n"/>
      <c r="Q109" s="1880" t="n">
        <v>10.9</v>
      </c>
      <c r="R109" s="1690" t="inlineStr">
        <is>
          <t>pc</t>
        </is>
      </c>
      <c r="S109" s="1402" t="n">
        <v>1</v>
      </c>
      <c r="T109" s="1403">
        <f>+S109*$Q109</f>
        <v/>
      </c>
      <c r="U109" s="1344" t="n"/>
      <c r="V109" s="1132" t="n"/>
      <c r="X109" s="1132" t="n"/>
      <c r="Y109" s="1215" t="n"/>
    </row>
    <row r="110" ht="49.5" customHeight="1" s="1134">
      <c r="A110" s="1326" t="n"/>
      <c r="D110" s="1297" t="n"/>
      <c r="E110" s="1544" t="n"/>
      <c r="F110" s="1618" t="n"/>
      <c r="G110" s="1618" t="n"/>
      <c r="H110" s="1545" t="n"/>
      <c r="I110" s="1626" t="inlineStr">
        <is>
          <t>Single wire in a 1.2 cavity (without robot's assistance)</t>
        </is>
      </c>
      <c r="J110" s="1595" t="n"/>
      <c r="K110" s="1595" t="n"/>
      <c r="L110" s="1532" t="n"/>
      <c r="M110" s="1561" t="n"/>
      <c r="N110" s="1561" t="inlineStr">
        <is>
          <t>Operator picks up the wire to be plugged</t>
        </is>
      </c>
      <c r="O110" s="1561" t="inlineStr">
        <is>
          <t>Operator plugs the wire in the respective cavity</t>
        </is>
      </c>
      <c r="P110" s="1532" t="n"/>
      <c r="Q110" s="1880" t="n">
        <v>6</v>
      </c>
      <c r="R110" s="1690" t="inlineStr">
        <is>
          <t>pc</t>
        </is>
      </c>
      <c r="S110" s="1402" t="n">
        <v>1</v>
      </c>
      <c r="T110" s="1403">
        <f>+S110*$Q110</f>
        <v/>
      </c>
      <c r="U110" s="1502" t="n"/>
      <c r="V110" s="1132" t="n"/>
      <c r="X110" s="1132" t="n"/>
      <c r="Y110" s="1215" t="n"/>
    </row>
    <row r="111" ht="67.5" customHeight="1" s="1134">
      <c r="A111" s="1329" t="n"/>
      <c r="B111" s="1390" t="n"/>
      <c r="C111" s="1390" t="n"/>
      <c r="D111" s="1301" t="n"/>
      <c r="E111" s="1672" t="inlineStr">
        <is>
          <t xml:space="preserve">Process Conclusion: 
printing the label, scan the label, place the label on connector, take the kit out of the machine and place on connection tool
</t>
        </is>
      </c>
      <c r="F111" s="1813" t="n"/>
      <c r="G111" s="1813" t="n"/>
      <c r="H111" s="1670" t="n"/>
      <c r="I111" s="1883" t="inlineStr">
        <is>
          <t>Executed only 1 time per connector</t>
        </is>
      </c>
      <c r="J111" s="1813" t="n"/>
      <c r="K111" s="1813" t="n"/>
      <c r="L111" s="1670" t="n"/>
      <c r="M111" s="1672" t="n"/>
      <c r="N111" s="1672" t="inlineStr">
        <is>
          <t>Operator scans printed label</t>
        </is>
      </c>
      <c r="O111" s="1672" t="inlineStr">
        <is>
          <t>Operator stores the produced connector in pagoda</t>
        </is>
      </c>
      <c r="P111" s="1670" t="n"/>
      <c r="Q111" s="1884" t="n">
        <v>22</v>
      </c>
      <c r="R111" s="1694" t="inlineStr">
        <is>
          <t>pc</t>
        </is>
      </c>
      <c r="S111" s="1429" t="n">
        <v>1</v>
      </c>
      <c r="T111" s="1430">
        <f>+S111*$Q111</f>
        <v/>
      </c>
      <c r="U111" s="1502" t="n"/>
      <c r="V111" s="1132" t="n"/>
      <c r="X111" s="1132" t="n"/>
      <c r="Y111" s="1215" t="n"/>
    </row>
    <row r="112" ht="12.75" customHeight="1" s="1134">
      <c r="A112" s="1888" t="n"/>
      <c r="B112" s="1889" t="n"/>
      <c r="C112" s="1889" t="n"/>
      <c r="D112" s="1890" t="n"/>
      <c r="E112" s="1132" t="n"/>
      <c r="F112" s="1132" t="n"/>
      <c r="G112" s="1132" t="n"/>
      <c r="H112" s="1132" t="n"/>
      <c r="I112" s="1132" t="n"/>
      <c r="J112" s="1132" t="n"/>
      <c r="K112" s="1132" t="n"/>
      <c r="L112" s="1132" t="n"/>
      <c r="M112" s="1132" t="n"/>
      <c r="N112" s="1132" t="n"/>
      <c r="O112" s="1132" t="n"/>
      <c r="P112" s="1891" t="n"/>
      <c r="Q112" s="1803" t="inlineStr">
        <is>
          <t>TOTAL =</t>
        </is>
      </c>
      <c r="T112" s="1892">
        <f>SUM(T4:T111)</f>
        <v/>
      </c>
    </row>
  </sheetData>
  <mergeCells count="320">
    <mergeCell ref="I4:L4"/>
    <mergeCell ref="M79:N79"/>
    <mergeCell ref="M70:N70"/>
    <mergeCell ref="M60:N60"/>
    <mergeCell ref="O88:P88"/>
    <mergeCell ref="E62:H62"/>
    <mergeCell ref="O63:P63"/>
    <mergeCell ref="M99:N99"/>
    <mergeCell ref="O99:P99"/>
    <mergeCell ref="E24:H24"/>
    <mergeCell ref="M74:N74"/>
    <mergeCell ref="O74:P74"/>
    <mergeCell ref="E64:H64"/>
    <mergeCell ref="O55:P55"/>
    <mergeCell ref="E88:H88"/>
    <mergeCell ref="E51:H51"/>
    <mergeCell ref="E82:H82"/>
    <mergeCell ref="E65:H65"/>
    <mergeCell ref="M50:N50"/>
    <mergeCell ref="A105:D111"/>
    <mergeCell ref="I52:L52"/>
    <mergeCell ref="M92:N92"/>
    <mergeCell ref="I110:L110"/>
    <mergeCell ref="O45:P45"/>
    <mergeCell ref="E75:H75"/>
    <mergeCell ref="N26:N44"/>
    <mergeCell ref="E12:H12"/>
    <mergeCell ref="E14:H14"/>
    <mergeCell ref="I70:L70"/>
    <mergeCell ref="O51:P51"/>
    <mergeCell ref="I57:L57"/>
    <mergeCell ref="I7:L7"/>
    <mergeCell ref="O71:P71"/>
    <mergeCell ref="O58:P58"/>
    <mergeCell ref="M101:N101"/>
    <mergeCell ref="I96:L96"/>
    <mergeCell ref="I71:L71"/>
    <mergeCell ref="O76:P76"/>
    <mergeCell ref="O73:P73"/>
    <mergeCell ref="E90:H90"/>
    <mergeCell ref="I98:L98"/>
    <mergeCell ref="A76:D76"/>
    <mergeCell ref="O77:P77"/>
    <mergeCell ref="E25:H25"/>
    <mergeCell ref="I60:L60"/>
    <mergeCell ref="I45:L45"/>
    <mergeCell ref="A45:D45"/>
    <mergeCell ref="O59:P59"/>
    <mergeCell ref="M89:N89"/>
    <mergeCell ref="E20:H20"/>
    <mergeCell ref="O95:P95"/>
    <mergeCell ref="O89:P89"/>
    <mergeCell ref="I47:L47"/>
    <mergeCell ref="E4:H6"/>
    <mergeCell ref="O61:P61"/>
    <mergeCell ref="E13:H13"/>
    <mergeCell ref="M97:N97"/>
    <mergeCell ref="O48:P48"/>
    <mergeCell ref="E78:H78"/>
    <mergeCell ref="O90:P90"/>
    <mergeCell ref="E15:H15"/>
    <mergeCell ref="E86:H86"/>
    <mergeCell ref="E80:H80"/>
    <mergeCell ref="I8:L8"/>
    <mergeCell ref="I79:L79"/>
    <mergeCell ref="I73:L73"/>
    <mergeCell ref="E81:H81"/>
    <mergeCell ref="E33:H33"/>
    <mergeCell ref="E35:H35"/>
    <mergeCell ref="M3:N3"/>
    <mergeCell ref="E28:H28"/>
    <mergeCell ref="E106:H107"/>
    <mergeCell ref="M57:N57"/>
    <mergeCell ref="I3:L3"/>
    <mergeCell ref="O67:P67"/>
    <mergeCell ref="A3:D3"/>
    <mergeCell ref="M103:N103"/>
    <mergeCell ref="E30:H30"/>
    <mergeCell ref="E59:H59"/>
    <mergeCell ref="I55:L55"/>
    <mergeCell ref="I92:L92"/>
    <mergeCell ref="I67:L67"/>
    <mergeCell ref="I5:L5"/>
    <mergeCell ref="M96:N96"/>
    <mergeCell ref="O96:P96"/>
    <mergeCell ref="I48:L48"/>
    <mergeCell ref="E61:H61"/>
    <mergeCell ref="O6:P6"/>
    <mergeCell ref="M98:N98"/>
    <mergeCell ref="O98:P98"/>
    <mergeCell ref="I81:L81"/>
    <mergeCell ref="O93:P93"/>
    <mergeCell ref="A2:T2"/>
    <mergeCell ref="I76:L76"/>
    <mergeCell ref="O82:P82"/>
    <mergeCell ref="M47:N47"/>
    <mergeCell ref="E34:H34"/>
    <mergeCell ref="E105:H105"/>
    <mergeCell ref="E49:H49"/>
    <mergeCell ref="O111:P111"/>
    <mergeCell ref="E36:H36"/>
    <mergeCell ref="I94:L94"/>
    <mergeCell ref="A9:D9"/>
    <mergeCell ref="O108:P108"/>
    <mergeCell ref="M73:N73"/>
    <mergeCell ref="I6:L6"/>
    <mergeCell ref="I77:L77"/>
    <mergeCell ref="I108:L108"/>
    <mergeCell ref="I95:L95"/>
    <mergeCell ref="I89:L89"/>
    <mergeCell ref="I72:L72"/>
    <mergeCell ref="E101:H104"/>
    <mergeCell ref="A79:D96"/>
    <mergeCell ref="M66:N66"/>
    <mergeCell ref="M63:N63"/>
    <mergeCell ref="M53:N53"/>
    <mergeCell ref="M84:N85"/>
    <mergeCell ref="O84:P85"/>
    <mergeCell ref="O101:P101"/>
    <mergeCell ref="E26:H26"/>
    <mergeCell ref="M68:N68"/>
    <mergeCell ref="I88:L88"/>
    <mergeCell ref="I82:L82"/>
    <mergeCell ref="M55:N55"/>
    <mergeCell ref="O10:P25"/>
    <mergeCell ref="M67:N67"/>
    <mergeCell ref="M5:N5"/>
    <mergeCell ref="O83:P83"/>
    <mergeCell ref="M48:N48"/>
    <mergeCell ref="I10:L25"/>
    <mergeCell ref="M69:N69"/>
    <mergeCell ref="E50:H50"/>
    <mergeCell ref="E52:H52"/>
    <mergeCell ref="E39:H39"/>
    <mergeCell ref="M81:N81"/>
    <mergeCell ref="O109:P109"/>
    <mergeCell ref="O47:P47"/>
    <mergeCell ref="I103:L103"/>
    <mergeCell ref="I97:L97"/>
    <mergeCell ref="I111:L111"/>
    <mergeCell ref="E70:H70"/>
    <mergeCell ref="E57:H57"/>
    <mergeCell ref="E7:H7"/>
    <mergeCell ref="I63:L63"/>
    <mergeCell ref="I50:L50"/>
    <mergeCell ref="A4:D6"/>
    <mergeCell ref="E58:H58"/>
    <mergeCell ref="A10:D25"/>
    <mergeCell ref="O69:P69"/>
    <mergeCell ref="E83:H83"/>
    <mergeCell ref="M6:N6"/>
    <mergeCell ref="I91:L91"/>
    <mergeCell ref="I85:L85"/>
    <mergeCell ref="O64:P64"/>
    <mergeCell ref="A26:D44"/>
    <mergeCell ref="E60:H60"/>
    <mergeCell ref="I93:L93"/>
    <mergeCell ref="M72:N72"/>
    <mergeCell ref="O72:P72"/>
    <mergeCell ref="E108:H110"/>
    <mergeCell ref="M87:N87"/>
    <mergeCell ref="M59:N59"/>
    <mergeCell ref="I109:L109"/>
    <mergeCell ref="M88:N88"/>
    <mergeCell ref="M82:N82"/>
    <mergeCell ref="M54:N54"/>
    <mergeCell ref="O54:P54"/>
    <mergeCell ref="M90:N90"/>
    <mergeCell ref="E71:H71"/>
    <mergeCell ref="I104:L104"/>
    <mergeCell ref="E8:H8"/>
    <mergeCell ref="E79:H79"/>
    <mergeCell ref="I106:L106"/>
    <mergeCell ref="O110:P110"/>
    <mergeCell ref="E10:H10"/>
    <mergeCell ref="O60:P60"/>
    <mergeCell ref="I66:L66"/>
    <mergeCell ref="I53:L53"/>
    <mergeCell ref="E74:H74"/>
    <mergeCell ref="I68:L68"/>
    <mergeCell ref="O26:P44"/>
    <mergeCell ref="E84:H85"/>
    <mergeCell ref="E3:H3"/>
    <mergeCell ref="O65:P65"/>
    <mergeCell ref="E21:H21"/>
    <mergeCell ref="E67:H67"/>
    <mergeCell ref="E48:H48"/>
    <mergeCell ref="E23:H23"/>
    <mergeCell ref="I61:L61"/>
    <mergeCell ref="I54:L54"/>
    <mergeCell ref="O62:P62"/>
    <mergeCell ref="O56:P56"/>
    <mergeCell ref="E87:H87"/>
    <mergeCell ref="M91:N91"/>
    <mergeCell ref="I56:L56"/>
    <mergeCell ref="O91:P91"/>
    <mergeCell ref="E73:G73"/>
    <mergeCell ref="O57:P57"/>
    <mergeCell ref="M93:N93"/>
    <mergeCell ref="I107:L107"/>
    <mergeCell ref="O86:P86"/>
    <mergeCell ref="E16:H16"/>
    <mergeCell ref="E76:H76"/>
    <mergeCell ref="O9:P9"/>
    <mergeCell ref="I59:L59"/>
    <mergeCell ref="E18:H18"/>
    <mergeCell ref="I9:L9"/>
    <mergeCell ref="I69:L69"/>
    <mergeCell ref="O4:P4"/>
    <mergeCell ref="I26:L44"/>
    <mergeCell ref="O75:P75"/>
    <mergeCell ref="E92:H92"/>
    <mergeCell ref="A78:D78"/>
    <mergeCell ref="M104:N104"/>
    <mergeCell ref="O104:P104"/>
    <mergeCell ref="E29:H29"/>
    <mergeCell ref="E94:H94"/>
    <mergeCell ref="O79:P79"/>
    <mergeCell ref="O70:P70"/>
    <mergeCell ref="E31:H31"/>
    <mergeCell ref="O81:P81"/>
    <mergeCell ref="I87:L87"/>
    <mergeCell ref="I62:L62"/>
    <mergeCell ref="E95:H95"/>
    <mergeCell ref="E89:H89"/>
    <mergeCell ref="I64:L64"/>
    <mergeCell ref="I51:L51"/>
    <mergeCell ref="E72:H72"/>
    <mergeCell ref="I65:L65"/>
    <mergeCell ref="E42:H42"/>
    <mergeCell ref="E17:H17"/>
    <mergeCell ref="E44:H44"/>
    <mergeCell ref="O94:P94"/>
    <mergeCell ref="E19:H19"/>
    <mergeCell ref="M61:N61"/>
    <mergeCell ref="I75:L75"/>
    <mergeCell ref="A75:D75"/>
    <mergeCell ref="O106:P106"/>
    <mergeCell ref="M56:N56"/>
    <mergeCell ref="O7:P7"/>
    <mergeCell ref="O78:P78"/>
    <mergeCell ref="O105:P105"/>
    <mergeCell ref="O53:P53"/>
    <mergeCell ref="I78:L78"/>
    <mergeCell ref="O107:P107"/>
    <mergeCell ref="E32:H32"/>
    <mergeCell ref="E37:H37"/>
    <mergeCell ref="E47:H47"/>
    <mergeCell ref="E96:H96"/>
    <mergeCell ref="I90:L90"/>
    <mergeCell ref="E111:H111"/>
    <mergeCell ref="A7:D7"/>
    <mergeCell ref="E63:H63"/>
    <mergeCell ref="O8:P8"/>
    <mergeCell ref="M100:N100"/>
    <mergeCell ref="O100:P100"/>
    <mergeCell ref="I58:L58"/>
    <mergeCell ref="M62:N62"/>
    <mergeCell ref="A97:D104"/>
    <mergeCell ref="O66:P66"/>
    <mergeCell ref="M102:N102"/>
    <mergeCell ref="E97:H100"/>
    <mergeCell ref="O102:P102"/>
    <mergeCell ref="E27:H27"/>
    <mergeCell ref="I83:L83"/>
    <mergeCell ref="O3:P3"/>
    <mergeCell ref="E45:H45"/>
    <mergeCell ref="O68:P68"/>
    <mergeCell ref="E91:H91"/>
    <mergeCell ref="O97:P97"/>
    <mergeCell ref="E22:H22"/>
    <mergeCell ref="M64:N64"/>
    <mergeCell ref="E93:H93"/>
    <mergeCell ref="I84:L84"/>
    <mergeCell ref="M51:N51"/>
    <mergeCell ref="I86:L86"/>
    <mergeCell ref="I80:L80"/>
    <mergeCell ref="M65:N65"/>
    <mergeCell ref="E38:H38"/>
    <mergeCell ref="E40:H40"/>
    <mergeCell ref="A8:D8"/>
    <mergeCell ref="M83:N83"/>
    <mergeCell ref="M52:N52"/>
    <mergeCell ref="M49:N49"/>
    <mergeCell ref="N10:N25"/>
    <mergeCell ref="O92:P92"/>
    <mergeCell ref="E66:H66"/>
    <mergeCell ref="I99:L99"/>
    <mergeCell ref="E53:H53"/>
    <mergeCell ref="I74:L74"/>
    <mergeCell ref="O5:P5"/>
    <mergeCell ref="A77:D77"/>
    <mergeCell ref="Q84:Q85"/>
    <mergeCell ref="O103:P103"/>
    <mergeCell ref="E68:H68"/>
    <mergeCell ref="E55:H55"/>
    <mergeCell ref="A47:D74"/>
    <mergeCell ref="M71:N71"/>
    <mergeCell ref="M58:N58"/>
    <mergeCell ref="O87:P87"/>
    <mergeCell ref="E54:H54"/>
    <mergeCell ref="E41:H41"/>
    <mergeCell ref="E56:H56"/>
    <mergeCell ref="O49:P49"/>
    <mergeCell ref="E43:H43"/>
    <mergeCell ref="I105:L105"/>
    <mergeCell ref="I49:L49"/>
    <mergeCell ref="I101:L101"/>
    <mergeCell ref="O50:P50"/>
    <mergeCell ref="M86:N86"/>
    <mergeCell ref="M80:N80"/>
    <mergeCell ref="I100:L100"/>
    <mergeCell ref="O80:P80"/>
    <mergeCell ref="O52:P52"/>
    <mergeCell ref="E9:H9"/>
    <mergeCell ref="E69:H69"/>
    <mergeCell ref="I102:L102"/>
    <mergeCell ref="E77:H77"/>
    <mergeCell ref="E11:H11"/>
    <mergeCell ref="M4:N4"/>
  </mergeCells>
  <printOptions horizontalCentered="0" verticalCentered="0" headings="0" gridLines="0" gridLinesSet="1"/>
  <pageMargins left="0.75" right="0.75" top="0.690277777777778" bottom="0.670138888888889" header="0.511811023622047" footer="0.511811023622047"/>
  <pageSetup orientation="portrait" paperSize="9" scale="69" fitToHeight="1" fitToWidth="1" pageOrder="downThenOver" blackAndWhite="0" draft="0" horizontalDpi="300" verticalDpi="300" copies="1"/>
  <rowBreaks count="1" manualBreakCount="1">
    <brk id="46" min="0" max="16383" man="1"/>
  </rowBreaks>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AY103"/>
  <sheetViews>
    <sheetView showFormulas="0" showGridLines="1" showRowColHeaders="1" showZeros="1" rightToLeft="0" tabSelected="0" showOutlineSymbols="1" defaultGridColor="1" view="normal" topLeftCell="A64" colorId="64" zoomScale="80" zoomScaleNormal="80" zoomScalePageLayoutView="100" workbookViewId="0">
      <selection pane="topLeft" activeCell="L73" activeCellId="0" sqref="L73"/>
    </sheetView>
  </sheetViews>
  <sheetFormatPr baseColWidth="8" defaultColWidth="9.3359375" defaultRowHeight="15" customHeight="0" zeroHeight="0" outlineLevelRow="0"/>
  <cols>
    <col width="14" customWidth="1" style="1893" min="1" max="1"/>
    <col width="10.56" customWidth="1" style="1894" min="2" max="2"/>
    <col width="44" customWidth="1" style="1893" min="3" max="3"/>
    <col width="38.56" customWidth="1" style="1895" min="4" max="4"/>
    <col width="12.44" customWidth="1" style="1895" min="5" max="5"/>
    <col width="13" customWidth="1" style="1895" min="6" max="6"/>
    <col width="13.56" customWidth="1" style="1896" min="7" max="7"/>
    <col width="9" customWidth="1" style="1893" min="8" max="8"/>
    <col width="7.33" customWidth="1" style="1893" min="9" max="9"/>
    <col width="13.56" customWidth="1" style="1893" min="10" max="10"/>
    <col width="9.33" customWidth="1" style="1893" min="11" max="11"/>
    <col width="14.11" customWidth="1" style="1893" min="12" max="12"/>
    <col width="17.67" customWidth="1" style="1895" min="13" max="13"/>
    <col width="16.33" customWidth="1" style="1893" min="14" max="14"/>
    <col width="18.44" customWidth="1" style="1893" min="15" max="15"/>
    <col width="65.11" customWidth="1" style="1893" min="16" max="16"/>
    <col width="9.33" customWidth="1" style="1893" min="17" max="17"/>
    <col width="9.33" customWidth="1" style="1893" min="18" max="16384"/>
  </cols>
  <sheetData>
    <row r="1" ht="17.35" customFormat="1" customHeight="1" s="1652">
      <c r="A1" s="1897" t="inlineStr">
        <is>
          <t>FA - TAPING</t>
        </is>
      </c>
      <c r="L1" s="1652" t="n"/>
      <c r="M1" s="1708" t="n"/>
      <c r="N1" s="1652" t="n"/>
      <c r="O1" s="1652" t="n"/>
      <c r="P1" s="1652" t="n"/>
      <c r="Q1" s="1652" t="n"/>
    </row>
    <row r="2" ht="23.85" customHeight="1" s="1134">
      <c r="A2" s="1216" t="inlineStr">
        <is>
          <t>BUILD CATEGORY</t>
        </is>
      </c>
      <c r="B2" s="1610" t="n"/>
      <c r="C2" s="1217" t="inlineStr">
        <is>
          <t>ACTIVITY DESCRIPTION</t>
        </is>
      </c>
      <c r="D2" s="1217" t="inlineStr">
        <is>
          <t xml:space="preserve">Standard Description </t>
        </is>
      </c>
      <c r="E2" s="1722" t="inlineStr">
        <is>
          <t>CLOCK START</t>
        </is>
      </c>
      <c r="F2" s="1722" t="inlineStr">
        <is>
          <t>CLOCK STOP</t>
        </is>
      </c>
      <c r="G2" s="1217" t="inlineStr">
        <is>
          <t>GLOBAL SEC/PC</t>
        </is>
      </c>
      <c r="H2" s="1809" t="inlineStr">
        <is>
          <t>UNIT</t>
        </is>
      </c>
      <c r="I2" s="1808" t="inlineStr">
        <is>
          <t>Qty</t>
        </is>
      </c>
      <c r="J2" s="1810" t="inlineStr">
        <is>
          <t>Total Time</t>
        </is>
      </c>
    </row>
    <row r="3" ht="37.5" customFormat="1" customHeight="1" s="1898">
      <c r="A3" s="1669" t="inlineStr">
        <is>
          <t>Automatic taping</t>
        </is>
      </c>
      <c r="B3" s="1625" t="n"/>
      <c r="C3" s="1561" t="inlineStr">
        <is>
          <t>Load/unload wires/harness to machine</t>
        </is>
      </c>
      <c r="D3" s="1506" t="inlineStr">
        <is>
          <t>Does not include any taping - only start of tape on wires</t>
        </is>
      </c>
      <c r="E3" s="1506" t="inlineStr">
        <is>
          <t>Reach for wires</t>
        </is>
      </c>
      <c r="F3" s="1506" t="inlineStr">
        <is>
          <t>Release taped wires on rack</t>
        </is>
      </c>
      <c r="G3" s="1899" t="n">
        <v>8.5</v>
      </c>
      <c r="H3" s="1690" t="inlineStr">
        <is>
          <t>pc</t>
        </is>
      </c>
      <c r="I3" s="1900" t="n">
        <v>1</v>
      </c>
      <c r="J3" s="1901">
        <f>+I3*G3</f>
        <v/>
      </c>
      <c r="K3" s="1898" t="inlineStr">
        <is>
          <t>Manual</t>
        </is>
      </c>
      <c r="L3" s="1898" t="n"/>
      <c r="M3" s="1902" t="n"/>
      <c r="N3" s="1898" t="n"/>
      <c r="O3" s="1903" t="n"/>
      <c r="P3" s="1898" t="n"/>
      <c r="Q3" s="1898" t="n"/>
    </row>
    <row r="4" ht="35.05" customFormat="1" customHeight="1" s="1898">
      <c r="A4" s="1329" t="n"/>
      <c r="B4" s="1301" t="n"/>
      <c r="C4" s="1630" t="inlineStr">
        <is>
          <t>Machine Taping time (Secs. /mm)</t>
        </is>
      </c>
      <c r="D4" s="1904" t="inlineStr">
        <is>
          <t>Ondal or similar</t>
        </is>
      </c>
      <c r="E4" s="1904" t="inlineStr">
        <is>
          <t>Machine starts taping</t>
        </is>
      </c>
      <c r="F4" s="1904" t="inlineStr">
        <is>
          <t>Machine stops taping at pre-set dimension</t>
        </is>
      </c>
      <c r="G4" s="1905" t="n">
        <v>0.008999999999999999</v>
      </c>
      <c r="H4" s="1860" t="inlineStr">
        <is>
          <t>mm</t>
        </is>
      </c>
      <c r="I4" s="1906" t="n">
        <v>1</v>
      </c>
      <c r="J4" s="1907">
        <f>+I4*G4</f>
        <v/>
      </c>
      <c r="K4" s="1898" t="inlineStr">
        <is>
          <t>Manual</t>
        </is>
      </c>
      <c r="L4" s="1898" t="n"/>
      <c r="M4" s="1902" t="n"/>
      <c r="N4" s="1898" t="n"/>
      <c r="O4" s="1903" t="n"/>
      <c r="P4" s="1898" t="n"/>
      <c r="Q4" s="1898" t="n"/>
    </row>
    <row r="5" ht="15" customFormat="1" customHeight="1" s="1898">
      <c r="A5" s="1908" t="n"/>
      <c r="B5" s="1908" t="n"/>
      <c r="C5" s="1908" t="n"/>
      <c r="D5" s="1909" t="n"/>
      <c r="E5" s="1909" t="n"/>
      <c r="F5" s="1909" t="n"/>
      <c r="G5" s="1910" t="n"/>
      <c r="H5" s="1702" t="n"/>
      <c r="I5" s="1911" t="n"/>
      <c r="J5" s="1702" t="n"/>
      <c r="L5" s="1898" t="n"/>
      <c r="M5" s="1902" t="n"/>
      <c r="N5" s="1898" t="n"/>
      <c r="O5" s="1903" t="n"/>
      <c r="P5" s="1898" t="n"/>
      <c r="Q5" s="1898" t="n"/>
    </row>
    <row r="6" ht="15" customFormat="1" customHeight="1" s="1898">
      <c r="A6" s="1912" t="inlineStr">
        <is>
          <t>Manual taping</t>
        </is>
      </c>
      <c r="B6" s="1590" t="n"/>
      <c r="C6" s="1698" t="inlineStr">
        <is>
          <t>Apply spot tape-PVC/Textile/Cloth</t>
        </is>
      </c>
      <c r="D6" s="1913" t="inlineStr">
        <is>
          <t xml:space="preserve">Single spot tape. </t>
        </is>
      </c>
      <c r="E6" s="1914" t="inlineStr">
        <is>
          <t>Reach for tape</t>
        </is>
      </c>
      <c r="F6" s="1914" t="inlineStr">
        <is>
          <t>Release taped branch</t>
        </is>
      </c>
      <c r="G6" s="1915" t="n">
        <v>4.2</v>
      </c>
      <c r="H6" s="1685" t="inlineStr">
        <is>
          <t>pc</t>
        </is>
      </c>
      <c r="I6" s="1916" t="n">
        <v>1</v>
      </c>
      <c r="J6" s="1917">
        <f>+I6*G6</f>
        <v/>
      </c>
      <c r="K6" s="1898" t="inlineStr">
        <is>
          <t>Manual</t>
        </is>
      </c>
      <c r="L6" s="1898" t="n"/>
      <c r="M6" s="1902" t="n"/>
      <c r="N6" s="1898" t="n"/>
      <c r="O6" s="1903" t="n"/>
      <c r="P6" s="1902" t="n"/>
      <c r="Q6" s="1898" t="n"/>
    </row>
    <row r="7" ht="15" customFormat="1" customHeight="1" s="1898">
      <c r="A7" s="1326" t="n"/>
      <c r="B7" s="1297" t="n"/>
      <c r="C7" s="1233" t="n"/>
      <c r="D7" s="1597" t="inlineStr">
        <is>
          <t>Close conduit with tape</t>
        </is>
      </c>
      <c r="E7" s="1233" t="n"/>
      <c r="F7" s="1233" t="n"/>
      <c r="G7" s="1918" t="n">
        <v>6.2</v>
      </c>
      <c r="H7" s="1690" t="inlineStr">
        <is>
          <t>pc</t>
        </is>
      </c>
      <c r="I7" s="1900" t="n">
        <v>1</v>
      </c>
      <c r="J7" s="1919">
        <f>+I7*G7</f>
        <v/>
      </c>
      <c r="K7" s="1898" t="inlineStr">
        <is>
          <t>Manual</t>
        </is>
      </c>
      <c r="L7" s="1898" t="n"/>
      <c r="M7" s="1902" t="n"/>
      <c r="N7" s="1898" t="n"/>
      <c r="O7" s="1903" t="n"/>
      <c r="P7" s="1902" t="n"/>
      <c r="Q7" s="1898" t="n"/>
    </row>
    <row r="8" ht="15" customFormat="1" customHeight="1" s="1898">
      <c r="A8" s="1326" t="n"/>
      <c r="B8" s="1297" t="n"/>
      <c r="C8" s="1406" t="n"/>
      <c r="D8" s="1597" t="inlineStr">
        <is>
          <t>Tape under and tape on clip (L)</t>
        </is>
      </c>
      <c r="E8" s="1406" t="n"/>
      <c r="F8" s="1406" t="n"/>
      <c r="G8" s="1918" t="n">
        <v>6.2</v>
      </c>
      <c r="H8" s="1690" t="inlineStr">
        <is>
          <t>pc</t>
        </is>
      </c>
      <c r="I8" s="1900" t="n">
        <v>1</v>
      </c>
      <c r="J8" s="1901">
        <f>+I8*G8</f>
        <v/>
      </c>
      <c r="K8" s="1898" t="inlineStr">
        <is>
          <t>Manual</t>
        </is>
      </c>
      <c r="L8" s="1898" t="n"/>
      <c r="M8" s="1902" t="n"/>
      <c r="N8" s="1898" t="n"/>
      <c r="O8" s="1903" t="n"/>
      <c r="P8" s="1898" t="n"/>
      <c r="Q8" s="1898" t="n"/>
    </row>
    <row r="9" ht="35.05" customFormat="1" customHeight="1" s="1898">
      <c r="A9" s="1326" t="n"/>
      <c r="B9" s="1297" t="n"/>
      <c r="C9" s="1689" t="inlineStr">
        <is>
          <t>Tape on body clip / clamp</t>
        </is>
      </c>
      <c r="D9" s="1597" t="inlineStr">
        <is>
          <t xml:space="preserve">Locate &amp; hold clip / clamp over branch </t>
        </is>
      </c>
      <c r="E9" s="1561" t="inlineStr">
        <is>
          <t>Get clip / clamp</t>
        </is>
      </c>
      <c r="F9" s="1561" t="inlineStr">
        <is>
          <t>Release clip / clamp on branch</t>
        </is>
      </c>
      <c r="G9" s="1920" t="n">
        <v>3</v>
      </c>
      <c r="H9" s="1690" t="inlineStr">
        <is>
          <t>pc</t>
        </is>
      </c>
      <c r="I9" s="1900" t="n">
        <v>1</v>
      </c>
      <c r="J9" s="1901">
        <f>+I9*G9</f>
        <v/>
      </c>
      <c r="K9" s="1898" t="inlineStr">
        <is>
          <t>Automatic</t>
        </is>
      </c>
      <c r="L9" s="1898" t="n"/>
      <c r="M9" s="1902" t="n"/>
      <c r="N9" s="1898" t="n"/>
      <c r="O9" s="1903" t="n"/>
      <c r="P9" s="1898" t="n"/>
      <c r="Q9" s="1898" t="n"/>
    </row>
    <row r="10" ht="23.85" customFormat="1" customHeight="1" s="1898">
      <c r="A10" s="1326" t="n"/>
      <c r="B10" s="1297" t="n"/>
      <c r="C10" s="1672" t="inlineStr">
        <is>
          <t>Apply double spot tape-PVC/Textile/Cloth</t>
        </is>
      </c>
      <c r="D10" s="1597" t="inlineStr">
        <is>
          <t>Double spot tape. 
To be used also for tape on body clip / diaper.</t>
        </is>
      </c>
      <c r="E10" s="1559" t="inlineStr">
        <is>
          <t>Reach for tape</t>
        </is>
      </c>
      <c r="F10" s="1559" t="inlineStr">
        <is>
          <t>Release taped branch</t>
        </is>
      </c>
      <c r="G10" s="1918" t="n">
        <v>7.2</v>
      </c>
      <c r="H10" s="1690" t="inlineStr">
        <is>
          <t>pc</t>
        </is>
      </c>
      <c r="I10" s="1900" t="n">
        <v>1</v>
      </c>
      <c r="J10" s="1901">
        <f>+I10*G10</f>
        <v/>
      </c>
      <c r="K10" s="1898" t="inlineStr">
        <is>
          <t>Manual</t>
        </is>
      </c>
      <c r="L10" s="1898" t="n"/>
      <c r="M10" s="1902" t="n"/>
      <c r="N10" s="1898" t="n"/>
      <c r="O10" s="1903" t="n"/>
      <c r="P10" s="1898" t="n"/>
      <c r="Q10" s="1898" t="n"/>
    </row>
    <row r="11" ht="23.85" customFormat="1" customHeight="1" s="1898">
      <c r="A11" s="1326" t="n"/>
      <c r="B11" s="1297" t="n"/>
      <c r="C11" s="1233" t="n"/>
      <c r="D11" s="1597" t="inlineStr">
        <is>
          <t xml:space="preserve">Secure grommets to branch with tape.
</t>
        </is>
      </c>
      <c r="E11" s="1233" t="n"/>
      <c r="F11" s="1233" t="n"/>
      <c r="G11" s="1918" t="n">
        <v>7.2</v>
      </c>
      <c r="H11" s="1690" t="n"/>
      <c r="I11" s="1900" t="n">
        <v>1</v>
      </c>
      <c r="J11" s="1901">
        <f>+I11*G11</f>
        <v/>
      </c>
      <c r="K11" s="1898" t="inlineStr">
        <is>
          <t>Manual</t>
        </is>
      </c>
      <c r="L11" s="1898" t="n"/>
      <c r="M11" s="1902" t="n"/>
      <c r="N11" s="1898" t="n"/>
      <c r="O11" s="1903" t="n"/>
      <c r="P11" s="1898" t="n"/>
      <c r="Q11" s="1898" t="n"/>
    </row>
    <row r="12" ht="23.85" customFormat="1" customHeight="1" s="1898">
      <c r="A12" s="1326" t="n"/>
      <c r="B12" s="1297" t="n"/>
      <c r="C12" s="1233" t="n"/>
      <c r="D12" s="1597" t="inlineStr">
        <is>
          <t xml:space="preserve">
Tape cable channel closed operation </t>
        </is>
      </c>
      <c r="E12" s="1233" t="n"/>
      <c r="F12" s="1233" t="n"/>
      <c r="G12" s="1918" t="n">
        <v>7.2</v>
      </c>
      <c r="H12" s="1690" t="inlineStr">
        <is>
          <t>pc</t>
        </is>
      </c>
      <c r="I12" s="1900" t="n">
        <v>1</v>
      </c>
      <c r="J12" s="1901">
        <f>+I12*G12</f>
        <v/>
      </c>
      <c r="K12" s="1898" t="inlineStr">
        <is>
          <t>Manual</t>
        </is>
      </c>
      <c r="L12" s="1898" t="n"/>
      <c r="M12" s="1902" t="n"/>
      <c r="N12" s="1407" t="n"/>
      <c r="O12" s="1344" t="n"/>
      <c r="P12" s="1898" t="n"/>
      <c r="Q12" s="1898" t="n"/>
    </row>
    <row r="13" ht="35.05" customFormat="1" customHeight="1" s="1898">
      <c r="A13" s="1326" t="n"/>
      <c r="B13" s="1297" t="n"/>
      <c r="C13" s="1233" t="n"/>
      <c r="D13" s="1597" t="inlineStr">
        <is>
          <t xml:space="preserve">Tape under conduit end and close conduit with tape. To secure covering.
Time to be used also to fix coflex tube </t>
        </is>
      </c>
      <c r="E13" s="1233" t="n"/>
      <c r="F13" s="1233" t="n"/>
      <c r="G13" s="1918" t="n">
        <v>8.800000000000001</v>
      </c>
      <c r="H13" s="1690" t="inlineStr">
        <is>
          <t>pc</t>
        </is>
      </c>
      <c r="I13" s="1900" t="n">
        <v>1</v>
      </c>
      <c r="J13" s="1901">
        <f>+I13*G13</f>
        <v/>
      </c>
      <c r="K13" s="1898" t="inlineStr">
        <is>
          <t>Manual</t>
        </is>
      </c>
      <c r="L13" s="1898" t="n"/>
      <c r="M13" s="1902" t="n"/>
      <c r="N13" s="1407" t="n"/>
      <c r="O13" s="1344" t="n"/>
      <c r="P13" s="1898" t="n"/>
      <c r="Q13" s="1898" t="n"/>
    </row>
    <row r="14" ht="15" customFormat="1" customHeight="1" s="1898">
      <c r="A14" s="1329" t="n"/>
      <c r="B14" s="1301" t="n"/>
      <c r="C14" s="1237" t="n"/>
      <c r="D14" s="1921" t="inlineStr">
        <is>
          <t xml:space="preserve">Tape under and double tape on clip </t>
        </is>
      </c>
      <c r="E14" s="1237" t="n"/>
      <c r="F14" s="1237" t="n"/>
      <c r="G14" s="1922" t="n">
        <v>8.800000000000001</v>
      </c>
      <c r="H14" s="1694" t="inlineStr">
        <is>
          <t>pc</t>
        </is>
      </c>
      <c r="I14" s="1674" t="n">
        <v>1</v>
      </c>
      <c r="J14" s="1675">
        <f>+I14*G14</f>
        <v/>
      </c>
      <c r="K14" s="1898" t="inlineStr">
        <is>
          <t>Manual</t>
        </is>
      </c>
      <c r="L14" s="1898" t="n"/>
      <c r="M14" s="1902" t="n"/>
      <c r="N14" s="1898" t="n"/>
      <c r="O14" s="1903" t="n"/>
      <c r="P14" s="1898" t="n"/>
      <c r="Q14" s="1898" t="n"/>
    </row>
    <row r="15" ht="49.5" customFormat="1" customHeight="1" s="1898">
      <c r="A15" s="1908" t="n"/>
      <c r="B15" s="1908" t="n"/>
      <c r="C15" s="1923" t="inlineStr">
        <is>
          <t>Note: For automatic calculation on GSD; If branch length available in GSD multiply it by  SEC/PC otherwise, as approach multiply SEC/PC by  tape length/1.5 for spiral tapes and tape length/2 for others.</t>
        </is>
      </c>
      <c r="G15" s="1910" t="n"/>
      <c r="H15" s="1702" t="n"/>
      <c r="I15" s="1911" t="n"/>
      <c r="J15" s="1702" t="n"/>
      <c r="L15" s="1898" t="n"/>
      <c r="M15" s="1902" t="n"/>
      <c r="N15" s="1898" t="n"/>
      <c r="O15" s="1903" t="n"/>
      <c r="P15" s="1898" t="n"/>
      <c r="Q15" s="1898" t="n"/>
    </row>
    <row r="16" ht="23.85" customFormat="1" customHeight="1" s="1898">
      <c r="A16" s="1814" t="inlineStr">
        <is>
          <t xml:space="preserve">Manual taping Overlape/Spiral </t>
        </is>
      </c>
      <c r="B16" s="1610" t="n"/>
      <c r="C16" s="1698" t="inlineStr">
        <is>
          <t xml:space="preserve">Get and start Tape   </t>
        </is>
      </c>
      <c r="D16" s="1914" t="inlineStr">
        <is>
          <t xml:space="preserve">Apply to PVC/Textile / felt  tape for overlape/spiral </t>
        </is>
      </c>
      <c r="E16" s="1914" t="inlineStr">
        <is>
          <t>Get tape</t>
        </is>
      </c>
      <c r="F16" s="1698" t="inlineStr">
        <is>
          <t>taping started over branch</t>
        </is>
      </c>
      <c r="G16" s="1924" t="n">
        <v>5</v>
      </c>
      <c r="H16" s="1685" t="inlineStr">
        <is>
          <t>pc</t>
        </is>
      </c>
      <c r="I16" s="1916" t="n">
        <v>1</v>
      </c>
      <c r="J16" s="1925">
        <f>(I16-L16)*G16</f>
        <v/>
      </c>
      <c r="K16" s="1898" t="inlineStr">
        <is>
          <t>Manual</t>
        </is>
      </c>
      <c r="L16" s="1926" t="n"/>
      <c r="M16" s="1902">
        <f>I16-L16</f>
        <v/>
      </c>
      <c r="N16" s="1898" t="n"/>
      <c r="O16" s="1927" t="n"/>
      <c r="P16" s="1902" t="n"/>
      <c r="Q16" s="1898" t="n"/>
    </row>
    <row r="17" ht="15" customFormat="1" customHeight="1" s="1898">
      <c r="A17" s="1669" t="inlineStr">
        <is>
          <t>Manual taping</t>
        </is>
      </c>
      <c r="B17" s="1625" t="n"/>
      <c r="C17" s="1561" t="inlineStr">
        <is>
          <t xml:space="preserve">Overlap taping /double overlap / full - PVC </t>
        </is>
      </c>
      <c r="D17" s="1506" t="inlineStr">
        <is>
          <t>Tape width = 16 mm</t>
        </is>
      </c>
      <c r="E17" s="1506" t="inlineStr">
        <is>
          <t>Hold tape</t>
        </is>
      </c>
      <c r="F17" s="1506" t="inlineStr">
        <is>
          <t>Split tape</t>
        </is>
      </c>
      <c r="G17" s="1899" t="n">
        <v>0.052</v>
      </c>
      <c r="H17" s="1690" t="inlineStr">
        <is>
          <t>mm</t>
        </is>
      </c>
      <c r="I17" s="1900" t="n">
        <v>1</v>
      </c>
      <c r="J17" s="1901">
        <f>+I17*G17</f>
        <v/>
      </c>
      <c r="K17" s="1898" t="inlineStr">
        <is>
          <t>Manual</t>
        </is>
      </c>
      <c r="L17" s="1898" t="n"/>
      <c r="M17" s="1902" t="n"/>
      <c r="N17" s="1898" t="n"/>
      <c r="O17" s="1903" t="n"/>
      <c r="P17" s="1898" t="n"/>
      <c r="Q17" s="1898" t="n"/>
    </row>
    <row r="18" ht="15" customFormat="1" customHeight="1" s="1898">
      <c r="A18" s="1326" t="n"/>
      <c r="B18" s="1297" t="n"/>
      <c r="C18" s="1233" t="n"/>
      <c r="D18" s="1506" t="inlineStr">
        <is>
          <t>Tape width = 19 mm</t>
        </is>
      </c>
      <c r="E18" s="1506" t="inlineStr">
        <is>
          <t>Hold tape</t>
        </is>
      </c>
      <c r="F18" s="1506" t="inlineStr">
        <is>
          <t>Split tape</t>
        </is>
      </c>
      <c r="G18" s="1899" t="n">
        <v>0.036</v>
      </c>
      <c r="H18" s="1690" t="inlineStr">
        <is>
          <t>mm</t>
        </is>
      </c>
      <c r="I18" s="1900" t="n">
        <v>1</v>
      </c>
      <c r="J18" s="1901">
        <f>+I18*G18</f>
        <v/>
      </c>
      <c r="K18" s="1898" t="inlineStr">
        <is>
          <t>Manual</t>
        </is>
      </c>
      <c r="L18" s="1898" t="n"/>
      <c r="M18" s="1902" t="n"/>
      <c r="N18" s="1898" t="n"/>
      <c r="O18" s="1903" t="n"/>
      <c r="P18" s="1898" t="n"/>
      <c r="Q18" s="1898" t="n"/>
    </row>
    <row r="19" ht="15" customFormat="1" customHeight="1" s="1898">
      <c r="A19" s="1326" t="n"/>
      <c r="B19" s="1297" t="n"/>
      <c r="C19" s="1233" t="n"/>
      <c r="D19" s="1506" t="inlineStr">
        <is>
          <t>Tape width = 25 mm</t>
        </is>
      </c>
      <c r="E19" s="1506" t="inlineStr">
        <is>
          <t>Hold tape</t>
        </is>
      </c>
      <c r="F19" s="1506" t="inlineStr">
        <is>
          <t>Split tape</t>
        </is>
      </c>
      <c r="G19" s="1899" t="n">
        <v>0.032</v>
      </c>
      <c r="H19" s="1690" t="inlineStr">
        <is>
          <t>mm</t>
        </is>
      </c>
      <c r="I19" s="1900" t="n">
        <v>1</v>
      </c>
      <c r="J19" s="1901">
        <f>+I19*G19</f>
        <v/>
      </c>
      <c r="K19" s="1898" t="inlineStr">
        <is>
          <t>Manual</t>
        </is>
      </c>
      <c r="L19" s="1898" t="n"/>
      <c r="M19" s="1902" t="n"/>
      <c r="N19" s="1898" t="n"/>
      <c r="O19" s="1903" t="n"/>
      <c r="P19" s="1898" t="n"/>
      <c r="Q19" s="1898" t="n"/>
    </row>
    <row r="20" ht="15" customFormat="1" customHeight="1" s="1898">
      <c r="A20" s="1326" t="n"/>
      <c r="B20" s="1297" t="n"/>
      <c r="C20" s="1406" t="n"/>
      <c r="D20" s="1506" t="inlineStr">
        <is>
          <t>Tape width = 32 mm</t>
        </is>
      </c>
      <c r="E20" s="1506" t="inlineStr">
        <is>
          <t>Hold tape</t>
        </is>
      </c>
      <c r="F20" s="1506" t="inlineStr">
        <is>
          <t>Split tape</t>
        </is>
      </c>
      <c r="G20" s="1899" t="n">
        <v>0.028</v>
      </c>
      <c r="H20" s="1690" t="inlineStr">
        <is>
          <t>mm</t>
        </is>
      </c>
      <c r="I20" s="1900" t="n">
        <v>1</v>
      </c>
      <c r="J20" s="1901">
        <f>+I20*G20</f>
        <v/>
      </c>
      <c r="K20" s="1898" t="inlineStr">
        <is>
          <t>Manual</t>
        </is>
      </c>
      <c r="L20" s="1898" t="n"/>
      <c r="M20" s="1902" t="n"/>
      <c r="N20" s="1898" t="n"/>
      <c r="O20" s="1903" t="n"/>
      <c r="P20" s="1898" t="n"/>
      <c r="Q20" s="1898" t="n"/>
    </row>
    <row r="21" ht="15" customFormat="1" customHeight="1" s="1898">
      <c r="A21" s="1326" t="n"/>
      <c r="B21" s="1297" t="n"/>
      <c r="C21" s="1928" t="inlineStr">
        <is>
          <t>Overlap taping / double overlap / full -Textile/Cloth / Loom</t>
        </is>
      </c>
      <c r="D21" s="1506" t="inlineStr">
        <is>
          <t>Tape width = 19 mm</t>
        </is>
      </c>
      <c r="E21" s="1506" t="inlineStr">
        <is>
          <t>Hold tape</t>
        </is>
      </c>
      <c r="F21" s="1506" t="inlineStr">
        <is>
          <t>Split tape</t>
        </is>
      </c>
      <c r="G21" s="1899" t="n">
        <v>0.044</v>
      </c>
      <c r="H21" s="1690" t="inlineStr">
        <is>
          <t>mm</t>
        </is>
      </c>
      <c r="I21" s="1900" t="n">
        <v>1</v>
      </c>
      <c r="J21" s="1901">
        <f>+I21*G21</f>
        <v/>
      </c>
      <c r="K21" s="1898" t="inlineStr">
        <is>
          <t>Manual</t>
        </is>
      </c>
      <c r="L21" s="1898" t="n"/>
      <c r="M21" s="1902" t="n"/>
      <c r="N21" s="1898" t="n"/>
      <c r="O21" s="1903" t="n"/>
      <c r="P21" s="1898" t="n"/>
      <c r="Q21" s="1898" t="n"/>
    </row>
    <row r="22" ht="29.25" customFormat="1" customHeight="1" s="1898">
      <c r="A22" s="1326" t="n"/>
      <c r="B22" s="1297" t="n"/>
      <c r="C22" s="1233" t="n"/>
      <c r="D22" s="1929" t="inlineStr">
        <is>
          <t xml:space="preserve">Tape width = 19 mm when overlap equal or over 50% requested by Customer </t>
        </is>
      </c>
      <c r="E22" s="1132" t="inlineStr">
        <is>
          <t>Hold tape</t>
        </is>
      </c>
      <c r="F22" s="1132" t="inlineStr">
        <is>
          <t>Split tape</t>
        </is>
      </c>
      <c r="G22" s="1899" t="n">
        <v>0.058</v>
      </c>
      <c r="H22" s="1690" t="inlineStr">
        <is>
          <t>mm</t>
        </is>
      </c>
      <c r="I22" s="1900" t="n">
        <v>1</v>
      </c>
      <c r="J22" s="1901">
        <f>+I22*G22</f>
        <v/>
      </c>
      <c r="K22" s="1898" t="inlineStr">
        <is>
          <t>Manual</t>
        </is>
      </c>
      <c r="L22" s="1898" t="n"/>
      <c r="M22" s="1902" t="n"/>
      <c r="N22" s="1898" t="n"/>
      <c r="O22" s="1903" t="n"/>
      <c r="P22" s="1898" t="n"/>
      <c r="Q22" s="1898" t="n"/>
    </row>
    <row r="23" ht="15" customFormat="1" customHeight="1" s="1898">
      <c r="A23" s="1326" t="n"/>
      <c r="B23" s="1297" t="n"/>
      <c r="C23" s="1233" t="n"/>
      <c r="D23" s="1506" t="inlineStr">
        <is>
          <t>Tape width = 25 mm</t>
        </is>
      </c>
      <c r="E23" s="1506" t="inlineStr">
        <is>
          <t>Hold tape</t>
        </is>
      </c>
      <c r="F23" s="1506" t="inlineStr">
        <is>
          <t>Split tape</t>
        </is>
      </c>
      <c r="G23" s="1899" t="n">
        <v>0.038</v>
      </c>
      <c r="H23" s="1690" t="inlineStr">
        <is>
          <t>mm</t>
        </is>
      </c>
      <c r="I23" s="1900" t="n">
        <v>1</v>
      </c>
      <c r="J23" s="1901">
        <f>+I23*G23</f>
        <v/>
      </c>
      <c r="K23" s="1898" t="inlineStr">
        <is>
          <t>Manual</t>
        </is>
      </c>
      <c r="L23" s="1898" t="n"/>
      <c r="M23" s="1902" t="n"/>
      <c r="N23" s="1898" t="n"/>
      <c r="O23" s="1903" t="n"/>
      <c r="P23" s="1898" t="n"/>
      <c r="Q23" s="1898" t="n"/>
    </row>
    <row r="24" ht="23.85" customFormat="1" customHeight="1" s="1898">
      <c r="A24" s="1326" t="n"/>
      <c r="B24" s="1297" t="n"/>
      <c r="C24" s="1233" t="n"/>
      <c r="D24" s="1777" t="inlineStr">
        <is>
          <t xml:space="preserve">Tape width = 25 mm when overlap equal or over 50% requested by Customer </t>
        </is>
      </c>
      <c r="E24" s="1777" t="inlineStr">
        <is>
          <t>Hold tape</t>
        </is>
      </c>
      <c r="F24" s="1777" t="inlineStr">
        <is>
          <t>Split tape</t>
        </is>
      </c>
      <c r="G24" s="1930" t="n">
        <v>0.051</v>
      </c>
      <c r="H24" s="1690" t="inlineStr">
        <is>
          <t>mm</t>
        </is>
      </c>
      <c r="I24" s="1900" t="n">
        <v>1</v>
      </c>
      <c r="J24" s="1901">
        <f>+I24*G24</f>
        <v/>
      </c>
      <c r="L24" s="1898" t="n"/>
      <c r="M24" s="1344" t="n"/>
      <c r="N24" s="1898" t="n"/>
      <c r="O24" s="1903" t="n"/>
      <c r="P24" s="1898" t="n"/>
      <c r="Q24" s="1898" t="n"/>
    </row>
    <row r="25" ht="15" customFormat="1" customHeight="1" s="1898">
      <c r="A25" s="1326" t="n"/>
      <c r="B25" s="1297" t="n"/>
      <c r="C25" s="1406" t="n"/>
      <c r="D25" s="1506" t="inlineStr">
        <is>
          <t>Tape width = 32 mm</t>
        </is>
      </c>
      <c r="E25" s="1506" t="inlineStr">
        <is>
          <t>Hold tape</t>
        </is>
      </c>
      <c r="F25" s="1506" t="inlineStr">
        <is>
          <t>Split tape</t>
        </is>
      </c>
      <c r="G25" s="1931" t="n">
        <v>0.03</v>
      </c>
      <c r="H25" s="1690" t="inlineStr">
        <is>
          <t>mm</t>
        </is>
      </c>
      <c r="I25" s="1900" t="n">
        <v>1</v>
      </c>
      <c r="J25" s="1901">
        <f>+I25*G25</f>
        <v/>
      </c>
      <c r="K25" s="1898" t="inlineStr">
        <is>
          <t>Manual</t>
        </is>
      </c>
      <c r="L25" s="1898" t="n"/>
      <c r="M25" s="1902" t="n"/>
      <c r="N25" s="1898" t="n"/>
      <c r="O25" s="1903" t="n"/>
      <c r="P25" s="1898" t="n"/>
      <c r="Q25" s="1898" t="n"/>
    </row>
    <row r="26" ht="15" customFormat="1" customHeight="1" s="1898">
      <c r="A26" s="1326" t="n"/>
      <c r="B26" s="1297" t="n"/>
      <c r="C26" s="1561" t="inlineStr">
        <is>
          <t>Overlap Taping / double overlap / full - Felt</t>
        </is>
      </c>
      <c r="D26" s="1506" t="inlineStr">
        <is>
          <t>Tape width = 19 mm</t>
        </is>
      </c>
      <c r="E26" s="1506" t="inlineStr">
        <is>
          <t>Hold tape</t>
        </is>
      </c>
      <c r="F26" s="1506" t="inlineStr">
        <is>
          <t>Split tape</t>
        </is>
      </c>
      <c r="G26" s="1899" t="n">
        <v>0.049</v>
      </c>
      <c r="H26" s="1690" t="inlineStr">
        <is>
          <t>mm</t>
        </is>
      </c>
      <c r="I26" s="1900" t="n">
        <v>1</v>
      </c>
      <c r="J26" s="1901">
        <f>+I26*G26</f>
        <v/>
      </c>
      <c r="K26" s="1898" t="inlineStr">
        <is>
          <t>Manual</t>
        </is>
      </c>
      <c r="L26" s="1898" t="n"/>
      <c r="M26" s="1902" t="n"/>
      <c r="N26" s="1898" t="n"/>
      <c r="O26" s="1903" t="n"/>
      <c r="P26" s="1898" t="n"/>
      <c r="Q26" s="1898" t="n"/>
    </row>
    <row r="27" ht="15" customFormat="1" customHeight="1" s="1898">
      <c r="A27" s="1326" t="n"/>
      <c r="B27" s="1297" t="n"/>
      <c r="C27" s="1233" t="n"/>
      <c r="D27" s="1506" t="inlineStr">
        <is>
          <t>Tape width = 25 mm</t>
        </is>
      </c>
      <c r="E27" s="1506" t="inlineStr">
        <is>
          <t>Hold tape</t>
        </is>
      </c>
      <c r="F27" s="1506" t="inlineStr">
        <is>
          <t>Split tape</t>
        </is>
      </c>
      <c r="G27" s="1899" t="n">
        <v>0.039</v>
      </c>
      <c r="H27" s="1690" t="inlineStr">
        <is>
          <t>mm</t>
        </is>
      </c>
      <c r="I27" s="1900" t="n">
        <v>1</v>
      </c>
      <c r="J27" s="1901">
        <f>+I27*G27</f>
        <v/>
      </c>
      <c r="K27" s="1898" t="inlineStr">
        <is>
          <t>Manual</t>
        </is>
      </c>
      <c r="L27" s="1898" t="n"/>
      <c r="M27" s="1902" t="n"/>
      <c r="N27" s="1898" t="n"/>
      <c r="O27" s="1903" t="n"/>
      <c r="P27" s="1898" t="n"/>
      <c r="Q27" s="1898" t="n"/>
    </row>
    <row r="28" ht="15" customFormat="1" customHeight="1" s="1898">
      <c r="A28" s="1326" t="n"/>
      <c r="B28" s="1297" t="n"/>
      <c r="C28" s="1233" t="n"/>
      <c r="D28" s="1506" t="inlineStr">
        <is>
          <t>Tape width = 38 mm</t>
        </is>
      </c>
      <c r="E28" s="1506" t="inlineStr">
        <is>
          <t>Hold tape</t>
        </is>
      </c>
      <c r="F28" s="1506" t="inlineStr">
        <is>
          <t>Split tape</t>
        </is>
      </c>
      <c r="G28" s="1931" t="n">
        <v>0.027</v>
      </c>
      <c r="H28" s="1690" t="inlineStr">
        <is>
          <t>mm</t>
        </is>
      </c>
      <c r="I28" s="1900" t="n">
        <v>1</v>
      </c>
      <c r="J28" s="1901">
        <f>+I28*G28</f>
        <v/>
      </c>
      <c r="L28" s="1898" t="n"/>
      <c r="M28" s="1902" t="n"/>
      <c r="N28" s="1898" t="n"/>
      <c r="O28" s="1903" t="n"/>
      <c r="P28" s="1898" t="n"/>
      <c r="Q28" s="1898" t="n"/>
    </row>
    <row r="29" ht="23.85" customFormat="1" customHeight="1" s="1898">
      <c r="A29" s="1326" t="n"/>
      <c r="B29" s="1297" t="n"/>
      <c r="C29" s="1406" t="n"/>
      <c r="D29" s="1777" t="inlineStr">
        <is>
          <t xml:space="preserve">Tape width = 38 mm  mm when overlap equal or over 50% requested by Customer </t>
        </is>
      </c>
      <c r="E29" s="1777" t="inlineStr">
        <is>
          <t>Hold tape</t>
        </is>
      </c>
      <c r="F29" s="1777" t="inlineStr">
        <is>
          <t>Split tape</t>
        </is>
      </c>
      <c r="G29" s="1932" t="n">
        <v>0.039</v>
      </c>
      <c r="H29" s="1690" t="inlineStr">
        <is>
          <t>mm</t>
        </is>
      </c>
      <c r="I29" s="1900" t="n">
        <v>1</v>
      </c>
      <c r="J29" s="1901">
        <f>+I29*G29</f>
        <v/>
      </c>
      <c r="K29" s="1898" t="inlineStr">
        <is>
          <t>Manual</t>
        </is>
      </c>
      <c r="L29" s="1898" t="n"/>
      <c r="M29" s="1344" t="n"/>
      <c r="N29" s="1898" t="n"/>
      <c r="O29" s="1903" t="n"/>
      <c r="P29" s="1898" t="n"/>
      <c r="Q29" s="1898" t="n"/>
    </row>
    <row r="30" ht="15" customFormat="1" customHeight="1" s="1898">
      <c r="A30" s="1326" t="n"/>
      <c r="B30" s="1297" t="n"/>
      <c r="C30" s="1561" t="inlineStr">
        <is>
          <t>Overlap Taping-Foam</t>
        </is>
      </c>
      <c r="D30" s="1506" t="inlineStr">
        <is>
          <t>Per mm</t>
        </is>
      </c>
      <c r="E30" s="1506" t="inlineStr">
        <is>
          <t>Hold tape</t>
        </is>
      </c>
      <c r="F30" s="1506" t="inlineStr">
        <is>
          <t>Split tape</t>
        </is>
      </c>
      <c r="G30" s="1899" t="n">
        <v>0.08</v>
      </c>
      <c r="H30" s="1690" t="inlineStr">
        <is>
          <t>mm</t>
        </is>
      </c>
      <c r="I30" s="1900" t="n">
        <v>1</v>
      </c>
      <c r="J30" s="1901">
        <f>+I30*G30</f>
        <v/>
      </c>
      <c r="K30" s="1898" t="inlineStr">
        <is>
          <t>Manual</t>
        </is>
      </c>
      <c r="L30" s="1898" t="n"/>
      <c r="M30" s="1902" t="n"/>
      <c r="N30" s="1898" t="n"/>
      <c r="O30" s="1903" t="n"/>
      <c r="P30" s="1898" t="n"/>
      <c r="Q30" s="1898" t="n"/>
    </row>
    <row r="31" ht="15" customFormat="1" customHeight="1" s="1898">
      <c r="A31" s="1326" t="n"/>
      <c r="B31" s="1297" t="n"/>
      <c r="C31" s="1623" t="inlineStr">
        <is>
          <t>Overlap / Solid  taping  -- cloth (burrito)</t>
        </is>
      </c>
      <c r="D31" s="1790" t="inlineStr">
        <is>
          <t>Tape widt = 35 mm</t>
        </is>
      </c>
      <c r="E31" s="1790" t="inlineStr">
        <is>
          <t>Hold tape</t>
        </is>
      </c>
      <c r="F31" s="1790" t="inlineStr">
        <is>
          <t>Split tape</t>
        </is>
      </c>
      <c r="G31" s="1899" t="n">
        <v>0.048</v>
      </c>
      <c r="H31" s="1690" t="inlineStr">
        <is>
          <t>mm</t>
        </is>
      </c>
      <c r="I31" s="1933" t="n">
        <v>1</v>
      </c>
      <c r="J31" s="1901">
        <f>+I31*G31</f>
        <v/>
      </c>
      <c r="L31" s="1898" t="n"/>
      <c r="M31" s="1902" t="n"/>
      <c r="N31" s="1898" t="n"/>
      <c r="O31" s="1903" t="n"/>
      <c r="P31" s="1898" t="n"/>
      <c r="Q31" s="1898" t="n"/>
    </row>
    <row r="32" ht="15" customFormat="1" customHeight="1" s="1898">
      <c r="A32" s="1326" t="n"/>
      <c r="B32" s="1297" t="n"/>
      <c r="C32" s="1623" t="inlineStr">
        <is>
          <t>Overlap / Solid  taping  -- cloth (burrito)</t>
        </is>
      </c>
      <c r="D32" s="1790" t="inlineStr">
        <is>
          <t>Tape widt &gt; 35 mm</t>
        </is>
      </c>
      <c r="E32" s="1790" t="inlineStr">
        <is>
          <t>Hold tape</t>
        </is>
      </c>
      <c r="F32" s="1790" t="inlineStr">
        <is>
          <t>Split tape</t>
        </is>
      </c>
      <c r="G32" s="1899" t="n">
        <v>0.06</v>
      </c>
      <c r="H32" s="1690" t="inlineStr">
        <is>
          <t>mm</t>
        </is>
      </c>
      <c r="I32" s="1933" t="n">
        <v>1</v>
      </c>
      <c r="J32" s="1901">
        <f>+I32*G32</f>
        <v/>
      </c>
      <c r="K32" s="1898" t="inlineStr">
        <is>
          <t>Manual</t>
        </is>
      </c>
      <c r="L32" s="1898" t="n"/>
      <c r="M32" s="1902" t="n"/>
      <c r="N32" s="1898" t="n"/>
      <c r="O32" s="1903" t="n"/>
      <c r="P32" s="1898" t="n"/>
      <c r="Q32" s="1898" t="n"/>
    </row>
    <row r="33" ht="38.25" customFormat="1" customHeight="1" s="1898">
      <c r="A33" s="1326" t="n"/>
      <c r="B33" s="1297" t="n"/>
      <c r="C33" s="1561" t="inlineStr">
        <is>
          <t xml:space="preserve">Overlap Taping-Aluminized Film / moon tape (heat reflective) </t>
        </is>
      </c>
      <c r="D33" s="1790" t="inlineStr">
        <is>
          <t>Tape width 32 mm</t>
        </is>
      </c>
      <c r="E33" s="1790" t="inlineStr">
        <is>
          <t>Hold tape</t>
        </is>
      </c>
      <c r="F33" s="1790" t="inlineStr">
        <is>
          <t>Split tape</t>
        </is>
      </c>
      <c r="G33" s="1899" t="n">
        <v>0.04</v>
      </c>
      <c r="H33" s="1690" t="inlineStr">
        <is>
          <t>mm</t>
        </is>
      </c>
      <c r="I33" s="1933" t="n">
        <v>1</v>
      </c>
      <c r="J33" s="1901">
        <f>+I33*G33</f>
        <v/>
      </c>
      <c r="K33" s="1898" t="inlineStr">
        <is>
          <t>Manual</t>
        </is>
      </c>
      <c r="L33" s="1898" t="n"/>
      <c r="M33" s="1902" t="n"/>
      <c r="N33" s="1898" t="n"/>
      <c r="O33" s="1903" t="n"/>
      <c r="P33" s="1898" t="n"/>
      <c r="Q33" s="1898" t="n"/>
    </row>
    <row r="34" ht="15" customFormat="1" customHeight="1" s="1898">
      <c r="A34" s="1326" t="n"/>
      <c r="B34" s="1297" t="n"/>
      <c r="C34" s="1406" t="n"/>
      <c r="D34" s="1790" t="inlineStr">
        <is>
          <t>Tape width 25 mm</t>
        </is>
      </c>
      <c r="E34" s="1790" t="inlineStr">
        <is>
          <t>Hold tape</t>
        </is>
      </c>
      <c r="F34" s="1790" t="inlineStr">
        <is>
          <t>Split tape</t>
        </is>
      </c>
      <c r="G34" s="1899" t="n">
        <v>0.045</v>
      </c>
      <c r="H34" s="1690" t="inlineStr">
        <is>
          <t>mm</t>
        </is>
      </c>
      <c r="I34" s="1933" t="n">
        <v>1</v>
      </c>
      <c r="J34" s="1919">
        <f>+I34*G34</f>
        <v/>
      </c>
      <c r="K34" s="1898" t="inlineStr">
        <is>
          <t>Manual</t>
        </is>
      </c>
      <c r="L34" s="1898" t="n"/>
      <c r="M34" s="1902" t="n"/>
      <c r="N34" s="1898" t="n"/>
      <c r="O34" s="1903" t="n"/>
      <c r="P34" s="1898" t="n"/>
      <c r="Q34" s="1898" t="n"/>
    </row>
    <row r="35" ht="15" customFormat="1" customHeight="1" s="1898">
      <c r="A35" s="1329" t="n"/>
      <c r="B35" s="1301" t="n"/>
      <c r="C35" s="1672" t="n"/>
      <c r="D35" s="1559" t="n"/>
      <c r="E35" s="1559" t="n"/>
      <c r="F35" s="1559" t="n"/>
      <c r="G35" s="1934" t="n"/>
      <c r="H35" s="1694" t="n"/>
      <c r="I35" s="1935" t="n"/>
      <c r="J35" s="1675" t="n"/>
      <c r="K35" s="1936" t="n"/>
      <c r="L35" s="1898" t="n"/>
      <c r="M35" s="1902" t="n"/>
      <c r="N35" s="1898" t="n"/>
      <c r="O35" s="1903" t="n"/>
      <c r="P35" s="1898" t="n"/>
      <c r="Q35" s="1898" t="n"/>
    </row>
    <row r="36" ht="15" customFormat="1" customHeight="1" s="1898">
      <c r="A36" s="1908" t="n"/>
      <c r="B36" s="1908" t="n"/>
      <c r="C36" s="1908" t="n"/>
      <c r="D36" s="1909" t="n"/>
      <c r="E36" s="1909" t="n"/>
      <c r="F36" s="1909" t="n"/>
      <c r="G36" s="1910" t="n"/>
      <c r="H36" s="1702" t="n"/>
      <c r="I36" s="1911" t="n"/>
      <c r="J36" s="1702" t="n"/>
      <c r="L36" s="1898" t="n"/>
      <c r="M36" s="1902" t="n"/>
      <c r="N36" s="1898" t="n"/>
      <c r="O36" s="1903" t="n"/>
      <c r="P36" s="1898" t="n"/>
      <c r="Q36" s="1898" t="n"/>
    </row>
    <row r="37" ht="15" customFormat="1" customHeight="1" s="1898">
      <c r="A37" s="1912" t="inlineStr">
        <is>
          <t>Manual taping</t>
        </is>
      </c>
      <c r="B37" s="1590" t="n"/>
      <c r="C37" s="1698" t="inlineStr">
        <is>
          <t>Spiral Taping-PVC</t>
        </is>
      </c>
      <c r="D37" s="1914" t="inlineStr">
        <is>
          <t>Tape width = 9 mm</t>
        </is>
      </c>
      <c r="E37" s="1914" t="inlineStr">
        <is>
          <t>Hold tape</t>
        </is>
      </c>
      <c r="F37" s="1914" t="inlineStr">
        <is>
          <t>Split tape</t>
        </is>
      </c>
      <c r="G37" s="1924" t="n">
        <v>0.029</v>
      </c>
      <c r="H37" s="1685" t="inlineStr">
        <is>
          <t>mm</t>
        </is>
      </c>
      <c r="I37" s="1916" t="n">
        <v>1</v>
      </c>
      <c r="J37" s="1937">
        <f>+I37*G37</f>
        <v/>
      </c>
      <c r="K37" s="1898" t="inlineStr">
        <is>
          <t>Manual</t>
        </is>
      </c>
      <c r="L37" s="1898" t="n"/>
      <c r="M37" s="1902" t="n"/>
      <c r="N37" s="1898" t="n"/>
      <c r="O37" s="1903" t="n"/>
      <c r="P37" s="1898" t="n"/>
      <c r="Q37" s="1898" t="n"/>
    </row>
    <row r="38" ht="15" customFormat="1" customHeight="1" s="1898">
      <c r="A38" s="1326" t="n"/>
      <c r="B38" s="1297" t="n"/>
      <c r="C38" s="1233" t="n"/>
      <c r="D38" s="1506" t="inlineStr">
        <is>
          <t>Tape width = 16 mm</t>
        </is>
      </c>
      <c r="E38" s="1506" t="inlineStr">
        <is>
          <t>Hold tape</t>
        </is>
      </c>
      <c r="F38" s="1506" t="inlineStr">
        <is>
          <t>Split tape</t>
        </is>
      </c>
      <c r="G38" s="1899" t="n">
        <v>0.025</v>
      </c>
      <c r="H38" s="1690" t="inlineStr">
        <is>
          <t>mm</t>
        </is>
      </c>
      <c r="I38" s="1900" t="n">
        <v>1</v>
      </c>
      <c r="J38" s="1901">
        <f>+I38*G38</f>
        <v/>
      </c>
      <c r="K38" s="1898" t="inlineStr">
        <is>
          <t>Manual</t>
        </is>
      </c>
      <c r="L38" s="1898" t="n"/>
      <c r="M38" s="1902" t="n"/>
      <c r="N38" s="1898" t="n"/>
      <c r="O38" s="1903" t="n"/>
      <c r="P38" s="1898" t="n"/>
      <c r="Q38" s="1898" t="n"/>
    </row>
    <row r="39" ht="15" customFormat="1" customHeight="1" s="1898">
      <c r="A39" s="1326" t="n"/>
      <c r="B39" s="1297" t="n"/>
      <c r="C39" s="1233" t="n"/>
      <c r="D39" s="1506" t="inlineStr">
        <is>
          <t>Tape width = 19 mm</t>
        </is>
      </c>
      <c r="E39" s="1506" t="inlineStr">
        <is>
          <t>Hold tape</t>
        </is>
      </c>
      <c r="F39" s="1506" t="inlineStr">
        <is>
          <t>Split tape</t>
        </is>
      </c>
      <c r="G39" s="1899" t="n">
        <v>0.02</v>
      </c>
      <c r="H39" s="1690" t="inlineStr">
        <is>
          <t>mm</t>
        </is>
      </c>
      <c r="I39" s="1900" t="n">
        <v>1</v>
      </c>
      <c r="J39" s="1901">
        <f>+I39*G39</f>
        <v/>
      </c>
      <c r="K39" s="1898" t="inlineStr">
        <is>
          <t>Manual</t>
        </is>
      </c>
      <c r="L39" s="1898" t="n"/>
      <c r="M39" s="1902" t="n"/>
      <c r="N39" s="1898" t="n"/>
      <c r="O39" s="1903" t="n"/>
      <c r="P39" s="1898" t="n"/>
      <c r="Q39" s="1898" t="n"/>
    </row>
    <row r="40" ht="15" customFormat="1" customHeight="1" s="1898">
      <c r="A40" s="1326" t="n"/>
      <c r="B40" s="1297" t="n"/>
      <c r="C40" s="1233" t="n"/>
      <c r="D40" s="1506" t="inlineStr">
        <is>
          <t>Tape width = 25 mm</t>
        </is>
      </c>
      <c r="E40" s="1506" t="inlineStr">
        <is>
          <t>Hold tape</t>
        </is>
      </c>
      <c r="F40" s="1506" t="inlineStr">
        <is>
          <t>Split tape</t>
        </is>
      </c>
      <c r="G40" s="1899" t="n">
        <v>0.015</v>
      </c>
      <c r="H40" s="1690" t="inlineStr">
        <is>
          <t>mm</t>
        </is>
      </c>
      <c r="I40" s="1900" t="n">
        <v>1</v>
      </c>
      <c r="J40" s="1901">
        <f>+I40*G40</f>
        <v/>
      </c>
      <c r="K40" s="1898" t="inlineStr">
        <is>
          <t>Manual</t>
        </is>
      </c>
      <c r="L40" s="1898" t="n"/>
      <c r="M40" s="1902" t="n"/>
      <c r="N40" s="1898" t="n"/>
      <c r="O40" s="1903" t="n"/>
      <c r="P40" s="1898" t="n"/>
      <c r="Q40" s="1898" t="n"/>
    </row>
    <row r="41" ht="15" customFormat="1" customHeight="1" s="1898">
      <c r="A41" s="1326" t="n"/>
      <c r="B41" s="1297" t="n"/>
      <c r="C41" s="1406" t="n"/>
      <c r="D41" s="1506" t="inlineStr">
        <is>
          <t>Tape width = 32 mm</t>
        </is>
      </c>
      <c r="E41" s="1506" t="inlineStr">
        <is>
          <t>Hold tape</t>
        </is>
      </c>
      <c r="F41" s="1506" t="inlineStr">
        <is>
          <t>Split tape</t>
        </is>
      </c>
      <c r="G41" s="1899" t="n">
        <v>0.017</v>
      </c>
      <c r="H41" s="1690" t="inlineStr">
        <is>
          <t>mm</t>
        </is>
      </c>
      <c r="I41" s="1900" t="n">
        <v>1</v>
      </c>
      <c r="J41" s="1901">
        <f>+I41*G41</f>
        <v/>
      </c>
      <c r="K41" s="1898" t="inlineStr">
        <is>
          <t>Manual</t>
        </is>
      </c>
      <c r="L41" s="1898" t="n"/>
      <c r="M41" s="1902" t="n"/>
      <c r="N41" s="1898" t="n"/>
      <c r="O41" s="1903" t="n"/>
      <c r="P41" s="1898" t="n"/>
      <c r="Q41" s="1898" t="n"/>
    </row>
    <row r="42" ht="15" customFormat="1" customHeight="1" s="1898">
      <c r="A42" s="1326" t="n"/>
      <c r="B42" s="1297" t="n"/>
      <c r="C42" s="1561" t="inlineStr">
        <is>
          <t>Spiral taping-Textile/Cloth</t>
        </is>
      </c>
      <c r="D42" s="1506" t="inlineStr">
        <is>
          <t>Tape width = 9 mm</t>
        </is>
      </c>
      <c r="E42" s="1506" t="inlineStr">
        <is>
          <t>Hold tape</t>
        </is>
      </c>
      <c r="F42" s="1506" t="inlineStr">
        <is>
          <t>Split tape</t>
        </is>
      </c>
      <c r="G42" s="1899" t="n">
        <v>0.032</v>
      </c>
      <c r="H42" s="1690" t="inlineStr">
        <is>
          <t>mm</t>
        </is>
      </c>
      <c r="I42" s="1900" t="n">
        <v>1</v>
      </c>
      <c r="J42" s="1901">
        <f>+I42*G42</f>
        <v/>
      </c>
      <c r="K42" s="1898" t="inlineStr">
        <is>
          <t>Manual</t>
        </is>
      </c>
      <c r="L42" s="1898" t="n"/>
      <c r="M42" s="1902" t="n"/>
      <c r="N42" s="1898" t="n"/>
      <c r="O42" s="1903" t="n"/>
      <c r="P42" s="1898" t="n"/>
      <c r="Q42" s="1898" t="n"/>
    </row>
    <row r="43" ht="15" customFormat="1" customHeight="1" s="1898">
      <c r="A43" s="1326" t="n"/>
      <c r="B43" s="1297" t="n"/>
      <c r="C43" s="1233" t="n"/>
      <c r="D43" s="1506" t="inlineStr">
        <is>
          <t>Tape width = 12.5 mm</t>
        </is>
      </c>
      <c r="E43" s="1506" t="inlineStr">
        <is>
          <t>Hold tape</t>
        </is>
      </c>
      <c r="F43" s="1506" t="inlineStr">
        <is>
          <t>Split tape</t>
        </is>
      </c>
      <c r="G43" s="1899" t="n">
        <v>0.026</v>
      </c>
      <c r="H43" s="1690" t="inlineStr">
        <is>
          <t>mm</t>
        </is>
      </c>
      <c r="I43" s="1900" t="n">
        <v>1</v>
      </c>
      <c r="J43" s="1901">
        <f>+I43*G43</f>
        <v/>
      </c>
      <c r="K43" s="1898" t="inlineStr">
        <is>
          <t>Manual</t>
        </is>
      </c>
      <c r="L43" s="1898" t="n"/>
      <c r="M43" s="1902" t="n"/>
      <c r="N43" s="1898" t="n"/>
      <c r="O43" s="1903" t="n"/>
      <c r="P43" s="1898" t="n"/>
      <c r="Q43" s="1898" t="n"/>
    </row>
    <row r="44" ht="15" customFormat="1" customHeight="1" s="1898">
      <c r="A44" s="1326" t="n"/>
      <c r="B44" s="1297" t="n"/>
      <c r="C44" s="1406" t="n"/>
      <c r="D44" s="1506" t="inlineStr">
        <is>
          <t>Tape width = 19 mm</t>
        </is>
      </c>
      <c r="E44" s="1506" t="inlineStr">
        <is>
          <t>Hold tape</t>
        </is>
      </c>
      <c r="F44" s="1506" t="inlineStr">
        <is>
          <t>Split tape</t>
        </is>
      </c>
      <c r="G44" s="1899" t="n">
        <v>0.023</v>
      </c>
      <c r="H44" s="1690" t="inlineStr">
        <is>
          <t>mm</t>
        </is>
      </c>
      <c r="I44" s="1900" t="n">
        <v>1</v>
      </c>
      <c r="J44" s="1901">
        <f>+I44*G44</f>
        <v/>
      </c>
      <c r="K44" s="1898" t="inlineStr">
        <is>
          <t>Manual</t>
        </is>
      </c>
      <c r="L44" s="1898" t="n"/>
      <c r="M44" s="1902" t="n"/>
      <c r="N44" s="1898" t="n"/>
      <c r="O44" s="1903" t="n"/>
      <c r="P44" s="1898" t="n"/>
      <c r="Q44" s="1898" t="n"/>
    </row>
    <row r="45" ht="15" customFormat="1" customHeight="1" s="1898">
      <c r="A45" s="1326" t="n"/>
      <c r="B45" s="1297" t="n"/>
      <c r="C45" s="1561" t="inlineStr">
        <is>
          <t>Spiral taping-Felt</t>
        </is>
      </c>
      <c r="D45" s="1506" t="inlineStr">
        <is>
          <t>Tape width = 9 mm</t>
        </is>
      </c>
      <c r="E45" s="1506" t="inlineStr">
        <is>
          <t>Hold tape</t>
        </is>
      </c>
      <c r="F45" s="1506" t="inlineStr">
        <is>
          <t>Split tape</t>
        </is>
      </c>
      <c r="G45" s="1899" t="n">
        <v>0.033</v>
      </c>
      <c r="H45" s="1690" t="inlineStr">
        <is>
          <t>mm</t>
        </is>
      </c>
      <c r="I45" s="1900" t="n">
        <v>1</v>
      </c>
      <c r="J45" s="1901">
        <f>+I45*G45</f>
        <v/>
      </c>
      <c r="K45" s="1898" t="inlineStr">
        <is>
          <t>Manual</t>
        </is>
      </c>
      <c r="L45" s="1898" t="n"/>
      <c r="M45" s="1902" t="n"/>
      <c r="N45" s="1898" t="n"/>
      <c r="O45" s="1903" t="n"/>
      <c r="P45" s="1898" t="n"/>
      <c r="Q45" s="1898" t="n"/>
    </row>
    <row r="46" ht="15" customFormat="1" customHeight="1" s="1898">
      <c r="A46" s="1326" t="n"/>
      <c r="B46" s="1297" t="n"/>
      <c r="C46" s="1233" t="n"/>
      <c r="D46" s="1506" t="inlineStr">
        <is>
          <t>Tape width = 25 mm</t>
        </is>
      </c>
      <c r="E46" s="1506" t="inlineStr">
        <is>
          <t>Hold tape</t>
        </is>
      </c>
      <c r="F46" s="1506" t="inlineStr">
        <is>
          <t>Split tape</t>
        </is>
      </c>
      <c r="G46" s="1899" t="n">
        <v>0.017</v>
      </c>
      <c r="H46" s="1690" t="inlineStr">
        <is>
          <t>mm</t>
        </is>
      </c>
      <c r="I46" s="1900" t="n">
        <v>1</v>
      </c>
      <c r="J46" s="1901">
        <f>+I46*G46</f>
        <v/>
      </c>
      <c r="K46" s="1898" t="inlineStr">
        <is>
          <t>Manual</t>
        </is>
      </c>
      <c r="L46" s="1898" t="n"/>
      <c r="M46" s="1902" t="n"/>
      <c r="N46" s="1898" t="n"/>
      <c r="O46" s="1903" t="n"/>
      <c r="P46" s="1898" t="n"/>
      <c r="Q46" s="1898" t="n"/>
    </row>
    <row r="47" ht="15" customFormat="1" customHeight="1" s="1898">
      <c r="A47" s="1326" t="n"/>
      <c r="B47" s="1297" t="n"/>
      <c r="C47" s="1406" t="n"/>
      <c r="D47" s="1506" t="inlineStr">
        <is>
          <t>Tape width = 38 mm</t>
        </is>
      </c>
      <c r="E47" s="1506" t="inlineStr">
        <is>
          <t>Hold tape</t>
        </is>
      </c>
      <c r="F47" s="1506" t="inlineStr">
        <is>
          <t>Split tape</t>
        </is>
      </c>
      <c r="G47" s="1899" t="n">
        <v>0.014</v>
      </c>
      <c r="H47" s="1690" t="inlineStr">
        <is>
          <t>mm</t>
        </is>
      </c>
      <c r="I47" s="1900" t="n">
        <v>1</v>
      </c>
      <c r="J47" s="1901">
        <f>+I47*G47</f>
        <v/>
      </c>
      <c r="K47" s="1898" t="inlineStr">
        <is>
          <t>Manual</t>
        </is>
      </c>
      <c r="L47" s="1898" t="n"/>
      <c r="M47" s="1902" t="n"/>
      <c r="N47" s="1898" t="n"/>
      <c r="O47" s="1903" t="n"/>
      <c r="P47" s="1898" t="n"/>
      <c r="Q47" s="1898" t="n"/>
    </row>
    <row r="48" ht="15" customFormat="1" customHeight="1" s="1898">
      <c r="A48" s="1329" t="n"/>
      <c r="B48" s="1301" t="n"/>
      <c r="C48" s="1672" t="inlineStr">
        <is>
          <t xml:space="preserve">Spiral Taping-Foam </t>
        </is>
      </c>
      <c r="D48" s="1559" t="inlineStr">
        <is>
          <t>Per mm</t>
        </is>
      </c>
      <c r="E48" s="1559" t="inlineStr">
        <is>
          <t>Hold tape</t>
        </is>
      </c>
      <c r="F48" s="1559" t="inlineStr">
        <is>
          <t>Split tape</t>
        </is>
      </c>
      <c r="G48" s="1922" t="n">
        <v>0.03</v>
      </c>
      <c r="H48" s="1694" t="inlineStr">
        <is>
          <t>mm</t>
        </is>
      </c>
      <c r="I48" s="1674" t="n">
        <v>1</v>
      </c>
      <c r="J48" s="1675">
        <f>+I48*G48</f>
        <v/>
      </c>
      <c r="K48" s="1898" t="inlineStr">
        <is>
          <t>Manual</t>
        </is>
      </c>
      <c r="L48" s="1898" t="n"/>
      <c r="M48" s="1902" t="n"/>
      <c r="N48" s="1898" t="n"/>
      <c r="O48" s="1903" t="n"/>
      <c r="P48" s="1898" t="n"/>
      <c r="Q48" s="1898" t="n"/>
    </row>
    <row r="49" ht="15" customFormat="1" customHeight="1" s="1898">
      <c r="A49" s="1908" t="n"/>
      <c r="B49" s="1908" t="n"/>
      <c r="C49" s="1908" t="n"/>
      <c r="D49" s="1909" t="n"/>
      <c r="E49" s="1909" t="n"/>
      <c r="F49" s="1909" t="n"/>
      <c r="G49" s="1910" t="n"/>
      <c r="H49" s="1702" t="n"/>
      <c r="I49" s="1911" t="n"/>
      <c r="J49" s="1702" t="n"/>
      <c r="L49" s="1898" t="n"/>
      <c r="M49" s="1902" t="n"/>
      <c r="N49" s="1898" t="n"/>
      <c r="O49" s="1903" t="n"/>
      <c r="P49" s="1898" t="n"/>
      <c r="Q49" s="1898" t="n"/>
    </row>
    <row r="50" ht="23.85" customFormat="1" customHeight="1" s="1898">
      <c r="A50" s="1938" t="inlineStr">
        <is>
          <t>Foam / Felt / Vinyl taping</t>
        </is>
      </c>
      <c r="B50" s="1589" t="n"/>
      <c r="C50" s="1939" t="inlineStr">
        <is>
          <t>Get and remove protection</t>
        </is>
      </c>
      <c r="D50" s="1914" t="inlineStr">
        <is>
          <t>Per piece</t>
        </is>
      </c>
      <c r="E50" s="1914" t="inlineStr">
        <is>
          <t>Get  sheet</t>
        </is>
      </c>
      <c r="F50" s="1914" t="inlineStr">
        <is>
          <t>Release protection</t>
        </is>
      </c>
      <c r="G50" s="1924" t="n">
        <v>4.9</v>
      </c>
      <c r="H50" s="1685" t="inlineStr">
        <is>
          <t>pc</t>
        </is>
      </c>
      <c r="I50" s="1916" t="n">
        <v>1</v>
      </c>
      <c r="J50" s="1937">
        <f>+I50*G50</f>
        <v/>
      </c>
      <c r="K50" s="1898" t="inlineStr">
        <is>
          <t>Manual</t>
        </is>
      </c>
      <c r="L50" s="1898" t="n"/>
      <c r="M50" s="1902" t="n"/>
      <c r="N50" s="1898" t="n"/>
      <c r="O50" s="1903" t="n"/>
      <c r="P50" s="1898" t="n"/>
      <c r="Q50" s="1898" t="n"/>
    </row>
    <row r="51" ht="23.85" customFormat="1" customHeight="1" s="1898">
      <c r="C51" s="1522" t="inlineStr">
        <is>
          <t>Apply Foam /Felt / Vinyl Tape (flag)</t>
        </is>
      </c>
      <c r="D51" s="1506" t="inlineStr">
        <is>
          <t>Per mm</t>
        </is>
      </c>
      <c r="E51" s="1506" t="inlineStr">
        <is>
          <t xml:space="preserve">Apply </t>
        </is>
      </c>
      <c r="F51" s="1506" t="inlineStr">
        <is>
          <t>Release branch</t>
        </is>
      </c>
      <c r="G51" s="1899" t="n">
        <v>0.021</v>
      </c>
      <c r="H51" s="1690" t="inlineStr">
        <is>
          <t>mm</t>
        </is>
      </c>
      <c r="I51" s="1900" t="n">
        <v>1</v>
      </c>
      <c r="J51" s="1901">
        <f>+I51*G51</f>
        <v/>
      </c>
      <c r="K51" s="1898" t="inlineStr">
        <is>
          <t>Manual</t>
        </is>
      </c>
      <c r="L51" s="1898" t="n"/>
      <c r="M51" s="1902" t="n"/>
      <c r="N51" s="1898" t="n"/>
      <c r="O51" s="1903" t="n"/>
      <c r="P51" s="1898" t="n"/>
      <c r="Q51" s="1898" t="n"/>
    </row>
    <row r="52" ht="23.85" customFormat="1" customHeight="1" s="1898">
      <c r="C52" s="1940" t="inlineStr">
        <is>
          <t xml:space="preserve">Apply Foam / Longitudinal </t>
        </is>
      </c>
      <c r="D52" s="1790" t="inlineStr">
        <is>
          <t>Part / Bulk</t>
        </is>
      </c>
      <c r="E52" s="1506" t="inlineStr">
        <is>
          <t xml:space="preserve">Apply </t>
        </is>
      </c>
      <c r="F52" s="1506" t="inlineStr">
        <is>
          <t>Release branch</t>
        </is>
      </c>
      <c r="G52" s="1899" t="n">
        <v>0.021</v>
      </c>
      <c r="H52" s="1690" t="inlineStr">
        <is>
          <t>mm</t>
        </is>
      </c>
      <c r="I52" s="1933" t="n">
        <v>1</v>
      </c>
      <c r="J52" s="1901">
        <f>+I52*G52</f>
        <v/>
      </c>
      <c r="K52" s="1898" t="inlineStr">
        <is>
          <t>Manual</t>
        </is>
      </c>
      <c r="L52" s="1898" t="n"/>
      <c r="M52" s="1902" t="n"/>
      <c r="N52" s="1898" t="n"/>
      <c r="O52" s="1903" t="n"/>
      <c r="P52" s="1898" t="n"/>
      <c r="Q52" s="1898" t="n"/>
    </row>
    <row r="53" ht="23.85" customFormat="1" customHeight="1" s="1898">
      <c r="C53" s="1623" t="inlineStr">
        <is>
          <t>Get and Apply Foam Tape (Wrap)</t>
        </is>
      </c>
      <c r="D53" s="1790" t="inlineStr">
        <is>
          <t>Per piece</t>
        </is>
      </c>
      <c r="E53" s="1790" t="inlineStr">
        <is>
          <t>Get tape</t>
        </is>
      </c>
      <c r="F53" s="1790" t="inlineStr">
        <is>
          <t>Release branch</t>
        </is>
      </c>
      <c r="G53" s="1941" t="n">
        <v>6.4</v>
      </c>
      <c r="H53" s="1867" t="inlineStr">
        <is>
          <t>pc</t>
        </is>
      </c>
      <c r="I53" s="1933" t="n">
        <v>1</v>
      </c>
      <c r="J53" s="1919">
        <f>+I53*G53</f>
        <v/>
      </c>
      <c r="K53" s="1898" t="inlineStr">
        <is>
          <t>Manual</t>
        </is>
      </c>
      <c r="L53" s="1898" t="n"/>
      <c r="M53" s="1902" t="n"/>
      <c r="N53" s="1898" t="n"/>
      <c r="O53" s="1903" t="n"/>
      <c r="P53" s="1898" t="n"/>
      <c r="Q53" s="1898" t="n"/>
    </row>
    <row r="54" ht="31.5" customFormat="1" customHeight="1" s="1898">
      <c r="A54" s="1390" t="n"/>
      <c r="B54" s="1390" t="n"/>
      <c r="C54" s="1672" t="inlineStr">
        <is>
          <t>Foam tape on connector</t>
        </is>
      </c>
      <c r="D54" s="1559" t="inlineStr">
        <is>
          <t>Per piece</t>
        </is>
      </c>
      <c r="E54" s="1559" t="inlineStr">
        <is>
          <t>Reach for tape</t>
        </is>
      </c>
      <c r="F54" s="1559" t="inlineStr">
        <is>
          <t>Release taped connector</t>
        </is>
      </c>
      <c r="G54" s="1922" t="n">
        <v>4</v>
      </c>
      <c r="H54" s="1694" t="inlineStr">
        <is>
          <t>pc</t>
        </is>
      </c>
      <c r="I54" s="1674" t="n">
        <v>1</v>
      </c>
      <c r="J54" s="1675">
        <f>+I54*G54</f>
        <v/>
      </c>
      <c r="K54" s="1898" t="inlineStr">
        <is>
          <t>Manual</t>
        </is>
      </c>
      <c r="L54" s="1898" t="n"/>
      <c r="M54" s="1902" t="n"/>
      <c r="N54" s="1898" t="n"/>
      <c r="O54" s="1903" t="n"/>
      <c r="P54" s="1898" t="n"/>
      <c r="Q54" s="1898" t="n"/>
    </row>
    <row r="55" ht="15" customFormat="1" customHeight="1" s="1898">
      <c r="A55" s="1908" t="n"/>
      <c r="B55" s="1908" t="n"/>
      <c r="C55" s="1908" t="n"/>
      <c r="D55" s="1909" t="n"/>
      <c r="E55" s="1909" t="n"/>
      <c r="F55" s="1909" t="n"/>
      <c r="G55" s="1910" t="n"/>
      <c r="H55" s="1702" t="n"/>
      <c r="I55" s="1911" t="n"/>
      <c r="J55" s="1702" t="n"/>
      <c r="L55" s="1898" t="n"/>
      <c r="M55" s="1902" t="n"/>
      <c r="N55" s="1898" t="n"/>
      <c r="O55" s="1903" t="n"/>
      <c r="P55" s="1898" t="n"/>
      <c r="Q55" s="1898" t="n"/>
    </row>
    <row r="56" ht="23.85" customFormat="1" customHeight="1" s="1898">
      <c r="A56" s="1942" t="inlineStr">
        <is>
          <t>Manual taping</t>
        </is>
      </c>
      <c r="B56" s="1610" t="n"/>
      <c r="C56" s="1698" t="inlineStr">
        <is>
          <t>Apply felt tape "cigarrete" shape</t>
        </is>
      </c>
      <c r="D56" s="1914" t="inlineStr">
        <is>
          <t>Per mm</t>
        </is>
      </c>
      <c r="E56" s="1914" t="inlineStr">
        <is>
          <t>Get tape</t>
        </is>
      </c>
      <c r="F56" s="1914" t="inlineStr">
        <is>
          <t>Release branch</t>
        </is>
      </c>
      <c r="G56" s="1924" t="n">
        <v>0.018</v>
      </c>
      <c r="H56" s="1685" t="inlineStr">
        <is>
          <t>mm</t>
        </is>
      </c>
      <c r="I56" s="1916" t="n">
        <v>1</v>
      </c>
      <c r="J56" s="1937">
        <f>+I56*G56</f>
        <v/>
      </c>
      <c r="K56" s="1898" t="inlineStr">
        <is>
          <t>Manual</t>
        </is>
      </c>
      <c r="L56" s="1898" t="n"/>
      <c r="M56" s="1902" t="n"/>
      <c r="N56" s="1898" t="n"/>
      <c r="O56" s="1903" t="n"/>
      <c r="P56" s="1898" t="n"/>
      <c r="Q56" s="1898" t="n"/>
    </row>
    <row r="57" ht="23.85" customFormat="1" customHeight="1" s="1898">
      <c r="A57" s="1943" t="inlineStr">
        <is>
          <t>Manual taping</t>
        </is>
      </c>
      <c r="B57" s="1625" t="n"/>
      <c r="C57" s="1672" t="inlineStr">
        <is>
          <t>Get And Apply Vinyl / longitudinal application of sleeve</t>
        </is>
      </c>
      <c r="D57" s="1506" t="inlineStr">
        <is>
          <t>Get and remove protection of vinyl sheet</t>
        </is>
      </c>
      <c r="E57" s="1506" t="inlineStr">
        <is>
          <t>Get vinyl sheet</t>
        </is>
      </c>
      <c r="F57" s="1506" t="inlineStr">
        <is>
          <t>Release protection</t>
        </is>
      </c>
      <c r="G57" s="1899" t="n">
        <v>4.5</v>
      </c>
      <c r="H57" s="1690" t="inlineStr">
        <is>
          <t>pc</t>
        </is>
      </c>
      <c r="I57" s="1900" t="n">
        <v>1</v>
      </c>
      <c r="J57" s="1901">
        <f>+I57*G57</f>
        <v/>
      </c>
      <c r="K57" s="1898" t="inlineStr">
        <is>
          <t>Manual</t>
        </is>
      </c>
      <c r="L57" s="1898" t="n"/>
      <c r="M57" s="1902" t="n"/>
      <c r="N57" s="1898" t="n"/>
      <c r="O57" s="1903" t="n"/>
      <c r="P57" s="1898" t="n"/>
      <c r="Q57" s="1898" t="n"/>
    </row>
    <row r="58" ht="23.85" customFormat="1" customHeight="1" s="1898">
      <c r="A58" s="1329" t="n"/>
      <c r="B58" s="1301" t="n"/>
      <c r="C58" s="1237" t="n"/>
      <c r="D58" s="1559" t="inlineStr">
        <is>
          <t xml:space="preserve">Apply vinyl sheet / sleeve with some straps of glue on the surface </t>
        </is>
      </c>
      <c r="E58" s="1559" t="inlineStr">
        <is>
          <t>Apply vinyl sheet</t>
        </is>
      </c>
      <c r="F58" s="1559" t="inlineStr">
        <is>
          <t>Release branch</t>
        </is>
      </c>
      <c r="G58" s="1922" t="n">
        <v>0.08</v>
      </c>
      <c r="H58" s="1694" t="inlineStr">
        <is>
          <t>mm</t>
        </is>
      </c>
      <c r="I58" s="1674" t="n">
        <v>1</v>
      </c>
      <c r="J58" s="1675">
        <f>+I58*G58</f>
        <v/>
      </c>
      <c r="K58" s="1898" t="inlineStr">
        <is>
          <t>Manual</t>
        </is>
      </c>
      <c r="L58" s="1898" t="n"/>
      <c r="M58" s="1902" t="n"/>
      <c r="N58" s="1898" t="n"/>
      <c r="O58" s="1903" t="n"/>
      <c r="P58" s="1898" t="n"/>
      <c r="Q58" s="1898" t="n"/>
    </row>
    <row r="59" ht="15" customFormat="1" customHeight="1" s="1898">
      <c r="A59" s="1908" t="n"/>
      <c r="B59" s="1908" t="n"/>
      <c r="C59" s="1908" t="n"/>
      <c r="D59" s="1909" t="n"/>
      <c r="E59" s="1909" t="n"/>
      <c r="F59" s="1909" t="n"/>
      <c r="G59" s="1910" t="n"/>
      <c r="H59" s="1702" t="n"/>
      <c r="I59" s="1911" t="n"/>
      <c r="J59" s="1702" t="n"/>
      <c r="L59" s="1898" t="n"/>
      <c r="M59" s="1902" t="n"/>
      <c r="N59" s="1898" t="n"/>
      <c r="O59" s="1903" t="n"/>
      <c r="P59" s="1898" t="n"/>
      <c r="Q59" s="1898" t="n"/>
    </row>
    <row r="60" ht="23.85" customFormat="1" customHeight="1" s="1898">
      <c r="A60" s="1943" t="inlineStr">
        <is>
          <t>Manual taping</t>
        </is>
      </c>
      <c r="B60" s="1625" t="n"/>
      <c r="C60" s="1561" t="inlineStr">
        <is>
          <t>Tape outlet - open branch (T  Shape)</t>
        </is>
      </c>
      <c r="D60" s="1506" t="inlineStr">
        <is>
          <t>Per outlet/branch</t>
        </is>
      </c>
      <c r="E60" s="1506" t="inlineStr">
        <is>
          <t>Reach for tape</t>
        </is>
      </c>
      <c r="F60" s="1506" t="inlineStr">
        <is>
          <t>Release taped branch</t>
        </is>
      </c>
      <c r="G60" s="1899" t="n">
        <v>5</v>
      </c>
      <c r="H60" s="1690" t="inlineStr">
        <is>
          <t>pc</t>
        </is>
      </c>
      <c r="I60" s="1900" t="n">
        <v>1</v>
      </c>
      <c r="J60" s="1901">
        <f>+I60*G60</f>
        <v/>
      </c>
      <c r="K60" s="1898" t="inlineStr">
        <is>
          <t>Manual</t>
        </is>
      </c>
      <c r="L60" s="1898" t="n"/>
      <c r="M60" s="1902" t="n"/>
      <c r="N60" s="1898" t="n"/>
      <c r="O60" s="1903" t="n"/>
      <c r="P60" s="1898" t="n"/>
      <c r="Q60" s="1898" t="n"/>
    </row>
    <row r="61" ht="23.85" customFormat="1" customHeight="1" s="1898">
      <c r="A61" s="1326" t="n"/>
      <c r="B61" s="1297" t="n"/>
      <c r="C61" s="1561" t="inlineStr">
        <is>
          <t>Taping Outlet Closed/Branch ("T" Shape)</t>
        </is>
      </c>
      <c r="D61" s="1506" t="inlineStr">
        <is>
          <t>Per outlet/branch</t>
        </is>
      </c>
      <c r="E61" s="1506" t="inlineStr">
        <is>
          <t>Reach for tape</t>
        </is>
      </c>
      <c r="F61" s="1506" t="inlineStr">
        <is>
          <t>Release taped branch</t>
        </is>
      </c>
      <c r="G61" s="1899" t="n">
        <v>7</v>
      </c>
      <c r="H61" s="1690" t="inlineStr">
        <is>
          <t>pc</t>
        </is>
      </c>
      <c r="I61" s="1900" t="n">
        <v>1</v>
      </c>
      <c r="J61" s="1901">
        <f>+I61*G61</f>
        <v/>
      </c>
      <c r="K61" s="1898" t="inlineStr">
        <is>
          <t>Manual</t>
        </is>
      </c>
      <c r="L61" s="1898" t="n"/>
      <c r="M61" s="1902" t="n"/>
      <c r="N61" s="1898" t="n"/>
      <c r="O61" s="1898" t="n"/>
      <c r="P61" s="1944" t="n"/>
      <c r="Q61" s="1898" t="n"/>
    </row>
    <row r="62" ht="23.85" customFormat="1" customHeight="1" s="1898">
      <c r="A62" s="1326" t="n"/>
      <c r="B62" s="1297" t="n"/>
      <c r="C62" s="1623" t="inlineStr">
        <is>
          <t>For each additional Closed / open  outlets</t>
        </is>
      </c>
      <c r="D62" s="1790" t="inlineStr">
        <is>
          <t>Per outlet/branch</t>
        </is>
      </c>
      <c r="E62" s="1790" t="inlineStr">
        <is>
          <t>Reach for tape</t>
        </is>
      </c>
      <c r="F62" s="1790" t="inlineStr">
        <is>
          <t>Release taped branch</t>
        </is>
      </c>
      <c r="G62" s="1941" t="n">
        <v>3</v>
      </c>
      <c r="H62" s="1867" t="inlineStr">
        <is>
          <t>pc</t>
        </is>
      </c>
      <c r="I62" s="1933" t="n">
        <v>1</v>
      </c>
      <c r="J62" s="1919">
        <f>+I62*G62</f>
        <v/>
      </c>
      <c r="K62" s="1898" t="inlineStr">
        <is>
          <t>Manual</t>
        </is>
      </c>
      <c r="L62" s="1898" t="n"/>
      <c r="M62" s="1902" t="n"/>
      <c r="N62" s="1898" t="n"/>
      <c r="O62" s="1898" t="n"/>
      <c r="P62" s="1944" t="n"/>
      <c r="Q62" s="1898" t="n"/>
    </row>
    <row r="63" ht="23.85" customFormat="1" customHeight="1" s="1898">
      <c r="A63" s="1329" t="n"/>
      <c r="B63" s="1301" t="n"/>
      <c r="C63" s="1672" t="inlineStr">
        <is>
          <t>Conduit outlet (closed / open) - application of conduit over outlet / branch</t>
        </is>
      </c>
      <c r="D63" s="1559" t="inlineStr">
        <is>
          <t>Per outlet</t>
        </is>
      </c>
      <c r="E63" s="1559" t="inlineStr">
        <is>
          <t>Reach for tape</t>
        </is>
      </c>
      <c r="F63" s="1559" t="inlineStr">
        <is>
          <t>Release taped branch</t>
        </is>
      </c>
      <c r="G63" s="1922" t="n">
        <v>3</v>
      </c>
      <c r="H63" s="1694" t="inlineStr">
        <is>
          <t>pc</t>
        </is>
      </c>
      <c r="I63" s="1674" t="n">
        <v>1</v>
      </c>
      <c r="J63" s="1675">
        <f>+I63*G63</f>
        <v/>
      </c>
      <c r="K63" s="1898" t="inlineStr">
        <is>
          <t>Manual</t>
        </is>
      </c>
      <c r="L63" s="1898" t="n"/>
      <c r="M63" s="1902" t="n"/>
      <c r="N63" s="1898" t="n"/>
      <c r="O63" s="1903" t="n"/>
      <c r="P63" s="1898" t="n"/>
      <c r="Q63" s="1898" t="n"/>
    </row>
    <row r="64" ht="15" customFormat="1" customHeight="1" s="1898">
      <c r="A64" s="1908" t="n"/>
      <c r="B64" s="1908" t="n"/>
      <c r="C64" s="1908" t="n"/>
      <c r="D64" s="1909" t="n"/>
      <c r="E64" s="1909" t="n"/>
      <c r="F64" s="1909" t="n"/>
      <c r="G64" s="1910" t="n"/>
      <c r="H64" s="1702" t="n"/>
      <c r="I64" s="1911" t="n"/>
      <c r="J64" s="1702">
        <f>+I64*G64</f>
        <v/>
      </c>
      <c r="L64" s="1898" t="n"/>
      <c r="M64" s="1902" t="n"/>
      <c r="N64" s="1898" t="n"/>
      <c r="O64" s="1903" t="n"/>
      <c r="P64" s="1898" t="n"/>
      <c r="Q64" s="1898" t="n"/>
    </row>
    <row r="65" ht="23.85" customFormat="1" customHeight="1" s="1898">
      <c r="A65" s="1856" t="inlineStr">
        <is>
          <t>Manual Taping</t>
        </is>
      </c>
      <c r="B65" s="1590" t="n"/>
      <c r="C65" s="1698" t="inlineStr">
        <is>
          <t>Velvet tape overlap</t>
        </is>
      </c>
      <c r="D65" s="1914" t="inlineStr">
        <is>
          <t>Per mm</t>
        </is>
      </c>
      <c r="E65" s="1914" t="inlineStr">
        <is>
          <t>Reach for tape</t>
        </is>
      </c>
      <c r="F65" s="1914" t="inlineStr">
        <is>
          <t>Release taped branch</t>
        </is>
      </c>
      <c r="G65" s="1924" t="n">
        <v>0.0498</v>
      </c>
      <c r="H65" s="1685" t="inlineStr">
        <is>
          <t>mm</t>
        </is>
      </c>
      <c r="I65" s="1916" t="n">
        <v>1</v>
      </c>
      <c r="J65" s="1937">
        <f>+I65*G65</f>
        <v/>
      </c>
      <c r="K65" s="1898" t="inlineStr">
        <is>
          <t>Manual</t>
        </is>
      </c>
      <c r="L65" s="1898" t="n"/>
      <c r="M65" s="1902" t="n"/>
      <c r="N65" s="1898" t="n"/>
      <c r="O65" s="1903" t="n"/>
      <c r="P65" s="1898" t="n"/>
      <c r="Q65" s="1898" t="n"/>
    </row>
    <row r="66" ht="23.85" customFormat="1" customHeight="1" s="1898">
      <c r="A66" s="1326" t="n"/>
      <c r="B66" s="1297" t="n"/>
      <c r="C66" s="1561" t="inlineStr">
        <is>
          <t>Scapa felt tape overlap</t>
        </is>
      </c>
      <c r="D66" s="1506" t="inlineStr">
        <is>
          <t>Per mm</t>
        </is>
      </c>
      <c r="E66" s="1506" t="inlineStr">
        <is>
          <t>Reach for tape</t>
        </is>
      </c>
      <c r="F66" s="1506" t="inlineStr">
        <is>
          <t>Release taped branch</t>
        </is>
      </c>
      <c r="G66" s="1899" t="n">
        <v>0.029</v>
      </c>
      <c r="H66" s="1690" t="inlineStr">
        <is>
          <t>mm</t>
        </is>
      </c>
      <c r="I66" s="1900" t="n">
        <v>1</v>
      </c>
      <c r="J66" s="1901">
        <f>+I66*G66</f>
        <v/>
      </c>
      <c r="K66" s="1898" t="inlineStr">
        <is>
          <t>Manual</t>
        </is>
      </c>
      <c r="L66" s="1898" t="n"/>
      <c r="M66" s="1902" t="n"/>
      <c r="N66" s="1898" t="n"/>
      <c r="O66" s="1903" t="n"/>
      <c r="P66" s="1898" t="n"/>
      <c r="Q66" s="1898" t="n"/>
    </row>
    <row r="67" ht="23.85" customFormat="1" customHeight="1" s="1898">
      <c r="A67" s="1326" t="n"/>
      <c r="B67" s="1297" t="n"/>
      <c r="C67" s="1561" t="inlineStr">
        <is>
          <t>PVC abrasive tape overlap 32 mm</t>
        </is>
      </c>
      <c r="D67" s="1506" t="inlineStr">
        <is>
          <t>(M2706002) Per mm</t>
        </is>
      </c>
      <c r="E67" s="1506" t="inlineStr">
        <is>
          <t>Reach for tape</t>
        </is>
      </c>
      <c r="F67" s="1506" t="inlineStr">
        <is>
          <t>Release taped branch</t>
        </is>
      </c>
      <c r="G67" s="1899" t="n">
        <v>0.04</v>
      </c>
      <c r="H67" s="1690" t="inlineStr">
        <is>
          <t>mm</t>
        </is>
      </c>
      <c r="I67" s="1900" t="n">
        <v>1</v>
      </c>
      <c r="J67" s="1901">
        <f>+I67*G67</f>
        <v/>
      </c>
      <c r="K67" s="1898" t="inlineStr">
        <is>
          <t>Manual</t>
        </is>
      </c>
      <c r="L67" s="1898" t="n"/>
      <c r="M67" s="1902" t="n"/>
      <c r="N67" s="1898" t="n"/>
      <c r="O67" s="1903" t="n"/>
      <c r="P67" s="1898" t="n"/>
      <c r="Q67" s="1898" t="n"/>
    </row>
    <row r="68" ht="23.85" customFormat="1" customHeight="1" s="1898">
      <c r="A68" s="1329" t="n"/>
      <c r="B68" s="1301" t="n"/>
      <c r="C68" s="1672" t="inlineStr">
        <is>
          <t>Taping with non-adhesive tape (type "Amoureux")</t>
        </is>
      </c>
      <c r="D68" s="1559" t="inlineStr">
        <is>
          <t>Per mm</t>
        </is>
      </c>
      <c r="E68" s="1559" t="inlineStr">
        <is>
          <t>Reach for tape</t>
        </is>
      </c>
      <c r="F68" s="1559" t="inlineStr">
        <is>
          <t>Release taped branch</t>
        </is>
      </c>
      <c r="G68" s="1922" t="n">
        <v>0.022</v>
      </c>
      <c r="H68" s="1694" t="inlineStr">
        <is>
          <t>mm</t>
        </is>
      </c>
      <c r="I68" s="1674" t="n">
        <v>1</v>
      </c>
      <c r="J68" s="1675">
        <f>+I68*G68</f>
        <v/>
      </c>
      <c r="K68" s="1898" t="inlineStr">
        <is>
          <t>Manual</t>
        </is>
      </c>
      <c r="L68" s="1898" t="n"/>
      <c r="M68" s="1902" t="n"/>
      <c r="N68" s="1898" t="n"/>
      <c r="O68" s="1903" t="n"/>
      <c r="P68" s="1898" t="n"/>
      <c r="Q68" s="1898" t="n"/>
    </row>
    <row r="69" ht="15" customFormat="1" customHeight="1" s="1898">
      <c r="A69" s="1908" t="n"/>
      <c r="B69" s="1908" t="n"/>
      <c r="C69" s="1908" t="n"/>
      <c r="D69" s="1909" t="n"/>
      <c r="E69" s="1909" t="n"/>
      <c r="F69" s="1909" t="n"/>
      <c r="G69" s="1910" t="n"/>
      <c r="H69" s="1702" t="n"/>
      <c r="I69" s="1911" t="n"/>
      <c r="J69" s="1702" t="n"/>
      <c r="L69" s="1898" t="n"/>
      <c r="M69" s="1902" t="n"/>
      <c r="N69" s="1898" t="n"/>
      <c r="O69" s="1903" t="n"/>
      <c r="P69" s="1898" t="n"/>
      <c r="Q69" s="1898" t="n"/>
    </row>
    <row r="70" ht="23.85" customFormat="1" customHeight="1" s="1898">
      <c r="A70" s="1856" t="inlineStr">
        <is>
          <t>Manual Taping</t>
        </is>
      </c>
      <c r="B70" s="1590" t="n"/>
      <c r="C70" s="1698" t="inlineStr">
        <is>
          <t>plasto foam tape application</t>
        </is>
      </c>
      <c r="D70" s="1914" t="inlineStr">
        <is>
          <t>Per mm</t>
        </is>
      </c>
      <c r="E70" s="1914" t="inlineStr">
        <is>
          <t>Reach for tape</t>
        </is>
      </c>
      <c r="F70" s="1914" t="inlineStr">
        <is>
          <t>Release taped branch</t>
        </is>
      </c>
      <c r="G70" s="1924" t="n">
        <v>0.018</v>
      </c>
      <c r="H70" s="1685" t="inlineStr">
        <is>
          <t>mm</t>
        </is>
      </c>
      <c r="I70" s="1916" t="n">
        <v>1</v>
      </c>
      <c r="J70" s="1937">
        <f>+I70*G70</f>
        <v/>
      </c>
      <c r="K70" s="1898" t="inlineStr">
        <is>
          <t>Manual</t>
        </is>
      </c>
      <c r="L70" s="1898" t="n"/>
      <c r="M70" s="1902" t="n"/>
      <c r="N70" s="1898" t="n"/>
      <c r="O70" s="1903" t="n"/>
      <c r="P70" s="1898" t="n"/>
      <c r="Q70" s="1898" t="n"/>
    </row>
    <row r="71" ht="23.85" customFormat="1" customHeight="1" s="1898">
      <c r="A71" s="1326" t="n"/>
      <c r="B71" s="1297" t="n"/>
      <c r="C71" s="1561" t="inlineStr">
        <is>
          <t>penalty for each additional breakout (plasto foam tape)</t>
        </is>
      </c>
      <c r="D71" s="1506" t="inlineStr">
        <is>
          <t>Per additonal breakout</t>
        </is>
      </c>
      <c r="E71" s="1506" t="inlineStr">
        <is>
          <t>Reach for tape</t>
        </is>
      </c>
      <c r="F71" s="1506" t="inlineStr">
        <is>
          <t>Release taped branch</t>
        </is>
      </c>
      <c r="G71" s="1899" t="n">
        <v>1.8</v>
      </c>
      <c r="H71" s="1690" t="inlineStr">
        <is>
          <t>pc</t>
        </is>
      </c>
      <c r="I71" s="1900" t="n">
        <v>1</v>
      </c>
      <c r="J71" s="1901">
        <f>+I71*G71</f>
        <v/>
      </c>
      <c r="K71" s="1898" t="inlineStr">
        <is>
          <t>Manual</t>
        </is>
      </c>
      <c r="L71" s="1898" t="n"/>
      <c r="M71" s="1902" t="n"/>
      <c r="N71" s="1898" t="n"/>
      <c r="O71" s="1903" t="n"/>
      <c r="P71" s="1898" t="n"/>
      <c r="Q71" s="1898" t="n"/>
    </row>
    <row r="72" ht="23.85" customFormat="1" customHeight="1" s="1898">
      <c r="A72" s="1326" t="n"/>
      <c r="B72" s="1297" t="n"/>
      <c r="C72" s="1561" t="inlineStr">
        <is>
          <t>Foam tape without glue</t>
        </is>
      </c>
      <c r="D72" s="1506" t="inlineStr">
        <is>
          <t>Per mm</t>
        </is>
      </c>
      <c r="E72" s="1506" t="inlineStr">
        <is>
          <t>Reach for tape</t>
        </is>
      </c>
      <c r="F72" s="1506" t="inlineStr">
        <is>
          <t>Release taped branch</t>
        </is>
      </c>
      <c r="G72" s="1899" t="n">
        <v>0.137</v>
      </c>
      <c r="H72" s="1690" t="inlineStr">
        <is>
          <t>mm</t>
        </is>
      </c>
      <c r="I72" s="1900" t="n">
        <v>1</v>
      </c>
      <c r="J72" s="1901">
        <f>+I72*G72</f>
        <v/>
      </c>
      <c r="K72" s="1898" t="inlineStr">
        <is>
          <t>Manual</t>
        </is>
      </c>
      <c r="L72" s="1898" t="n"/>
      <c r="M72" s="1902" t="n"/>
      <c r="N72" s="1898" t="n"/>
      <c r="O72" s="1903" t="n"/>
      <c r="P72" s="1898" t="n"/>
      <c r="Q72" s="1898" t="n"/>
    </row>
    <row r="73" ht="39.75" customFormat="1" customHeight="1" s="1898">
      <c r="A73" s="1326" t="n"/>
      <c r="B73" s="1297" t="n"/>
      <c r="C73" s="1561" t="inlineStr">
        <is>
          <t xml:space="preserve">Cut tape with scissors or other tool </t>
        </is>
      </c>
      <c r="D73" s="1506" t="inlineStr">
        <is>
          <t>Per tape cut event / only used for Mspecs defined by Regions - see comment</t>
        </is>
      </c>
      <c r="E73" s="1506" t="inlineStr">
        <is>
          <t>Reach for scissors</t>
        </is>
      </c>
      <c r="F73" s="1506" t="inlineStr">
        <is>
          <t>Release taped branch</t>
        </is>
      </c>
      <c r="G73" s="1899" t="n">
        <v>3.216</v>
      </c>
      <c r="H73" s="1690" t="inlineStr">
        <is>
          <t>pc</t>
        </is>
      </c>
      <c r="I73" s="1900" t="n">
        <v>1</v>
      </c>
      <c r="J73" s="1945">
        <f>(I73-L73)*G73</f>
        <v/>
      </c>
      <c r="K73" s="1898" t="inlineStr">
        <is>
          <t>Manual</t>
        </is>
      </c>
      <c r="L73" s="1926" t="n"/>
      <c r="M73" s="1902">
        <f>I73-L73</f>
        <v/>
      </c>
      <c r="N73" s="1898" t="n"/>
      <c r="O73" s="1927" t="n"/>
      <c r="P73" s="1902" t="n"/>
      <c r="Q73" s="1898" t="n"/>
    </row>
    <row r="74" ht="39.75" customFormat="1" customHeight="1" s="1898">
      <c r="A74" s="1326" t="n"/>
      <c r="B74" s="1297" t="n"/>
      <c r="C74" s="1561" t="inlineStr">
        <is>
          <t>Cut tape with scissors or other tool . For width size &gt;35 mm</t>
        </is>
      </c>
      <c r="D74" s="1506" t="inlineStr">
        <is>
          <t>Per tape cut event / only used for Mspecs defined by Regions - see comment</t>
        </is>
      </c>
      <c r="E74" s="1506" t="inlineStr">
        <is>
          <t>Reach for scissors</t>
        </is>
      </c>
      <c r="F74" s="1506" t="inlineStr">
        <is>
          <t>Release taped branch</t>
        </is>
      </c>
      <c r="G74" s="1899" t="n">
        <v>4</v>
      </c>
      <c r="H74" s="1690" t="inlineStr">
        <is>
          <t>pc</t>
        </is>
      </c>
      <c r="I74" s="1900" t="n">
        <v>1</v>
      </c>
      <c r="J74" s="1945">
        <f>(I74-L74)*G74</f>
        <v/>
      </c>
      <c r="L74" s="1926" t="n"/>
      <c r="M74" s="1902">
        <f>I74-L74</f>
        <v/>
      </c>
      <c r="N74" s="1898" t="n"/>
      <c r="O74" s="1927" t="n"/>
      <c r="P74" s="1902" t="n"/>
      <c r="Q74" s="1898" t="n"/>
    </row>
    <row r="75" ht="23.85" customFormat="1" customHeight="1" s="1898">
      <c r="A75" s="1326" t="n"/>
      <c r="B75" s="1297" t="n"/>
      <c r="C75" s="1561" t="inlineStr">
        <is>
          <t xml:space="preserve">Rubber Tape </t>
        </is>
      </c>
      <c r="D75" s="1506" t="inlineStr">
        <is>
          <t>Per mm</t>
        </is>
      </c>
      <c r="E75" s="1506" t="inlineStr">
        <is>
          <t>Reach for tape</t>
        </is>
      </c>
      <c r="F75" s="1506" t="inlineStr">
        <is>
          <t>Release taped branch</t>
        </is>
      </c>
      <c r="G75" s="1899" t="n">
        <v>0.12</v>
      </c>
      <c r="H75" s="1690" t="inlineStr">
        <is>
          <t>mm</t>
        </is>
      </c>
      <c r="I75" s="1900" t="n">
        <v>1</v>
      </c>
      <c r="J75" s="1901">
        <f>+I75*G75</f>
        <v/>
      </c>
      <c r="K75" s="1898" t="inlineStr">
        <is>
          <t>Manual</t>
        </is>
      </c>
      <c r="L75" s="1898" t="n"/>
      <c r="M75" s="1902" t="n"/>
      <c r="N75" s="1898" t="n"/>
      <c r="O75" s="1903" t="n"/>
      <c r="P75" s="1898" t="n"/>
      <c r="Q75" s="1898" t="n"/>
    </row>
    <row r="76" ht="23.85" customFormat="1" customHeight="1" s="1898">
      <c r="A76" s="1326" t="n"/>
      <c r="B76" s="1297" t="n"/>
      <c r="C76" s="1561" t="inlineStr">
        <is>
          <t>SPOT OVER HANKING HARNESS</t>
        </is>
      </c>
      <c r="D76" s="1506" t="inlineStr">
        <is>
          <t>Application of paper  tape / plastic tie / plactic ribbon / twine</t>
        </is>
      </c>
      <c r="E76" s="1506" t="inlineStr">
        <is>
          <t>Reach for tape</t>
        </is>
      </c>
      <c r="F76" s="1506" t="inlineStr">
        <is>
          <t>Release taped harness</t>
        </is>
      </c>
      <c r="G76" s="1899" t="n">
        <v>8</v>
      </c>
      <c r="H76" s="1690" t="inlineStr">
        <is>
          <t>pc</t>
        </is>
      </c>
      <c r="I76" s="1900" t="n">
        <v>1</v>
      </c>
      <c r="J76" s="1901">
        <f>+I76*G76</f>
        <v/>
      </c>
      <c r="K76" s="1898" t="inlineStr">
        <is>
          <t>Manual</t>
        </is>
      </c>
      <c r="L76" s="1898" t="n"/>
      <c r="M76" s="1902" t="n"/>
      <c r="N76" s="1898" t="n"/>
      <c r="O76" s="1898" t="n"/>
      <c r="P76" s="1944" t="n"/>
      <c r="Q76" s="1898" t="n"/>
    </row>
    <row r="77" ht="23.85" customFormat="1" customHeight="1" s="1898">
      <c r="A77" s="1326" t="n"/>
      <c r="B77" s="1297" t="n"/>
      <c r="C77" s="1561" t="inlineStr">
        <is>
          <t>TAPE BACK CONN (connect. tie downs)</t>
        </is>
      </c>
      <c r="D77" s="1506" t="inlineStr">
        <is>
          <t>Branch to branch+ 1 spot tape</t>
        </is>
      </c>
      <c r="E77" s="1506" t="inlineStr">
        <is>
          <t>Reach for tape</t>
        </is>
      </c>
      <c r="F77" s="1506" t="inlineStr">
        <is>
          <t>Release taped branch</t>
        </is>
      </c>
      <c r="G77" s="1899" t="n">
        <v>5.69</v>
      </c>
      <c r="H77" s="1690" t="inlineStr">
        <is>
          <t>pc</t>
        </is>
      </c>
      <c r="I77" s="1900" t="n">
        <v>1</v>
      </c>
      <c r="J77" s="1901">
        <f>+I77*G77</f>
        <v/>
      </c>
      <c r="K77" s="1898" t="inlineStr">
        <is>
          <t>Manual</t>
        </is>
      </c>
      <c r="L77" s="1898" t="n"/>
      <c r="M77" s="1902" t="n"/>
      <c r="N77" s="1898" t="n"/>
      <c r="O77" s="1903" t="n"/>
      <c r="P77" s="1898" t="n"/>
      <c r="Q77" s="1898" t="n"/>
    </row>
    <row r="78" ht="23.85" customFormat="1" customHeight="1" s="1946">
      <c r="A78" s="1326" t="n"/>
      <c r="B78" s="1297" t="n"/>
      <c r="C78" s="1561" t="inlineStr">
        <is>
          <t>TAPE BACK CONN. (U Shape) (connect. tie downs)</t>
        </is>
      </c>
      <c r="D78" s="1506" t="inlineStr">
        <is>
          <t>Coiling time +  spot tape</t>
        </is>
      </c>
      <c r="E78" s="1506" t="inlineStr">
        <is>
          <t>Reach for tape</t>
        </is>
      </c>
      <c r="F78" s="1506" t="inlineStr">
        <is>
          <t>Release taped branch</t>
        </is>
      </c>
      <c r="G78" s="1899" t="n">
        <v>5.69</v>
      </c>
      <c r="H78" s="1690" t="inlineStr">
        <is>
          <t>pc</t>
        </is>
      </c>
      <c r="I78" s="1900" t="n">
        <v>1</v>
      </c>
      <c r="J78" s="1901">
        <f>+I78*G78</f>
        <v/>
      </c>
      <c r="K78" s="1898" t="inlineStr">
        <is>
          <t>Manual</t>
        </is>
      </c>
      <c r="L78" s="1898" t="n"/>
      <c r="M78" s="1902" t="n"/>
      <c r="N78" s="1898" t="n"/>
      <c r="O78" s="1898" t="n"/>
      <c r="P78" s="1944" t="n"/>
      <c r="Q78" s="1898" t="n"/>
      <c r="R78" s="1898" t="n"/>
      <c r="S78" s="1898" t="n"/>
      <c r="T78" s="1898" t="n"/>
      <c r="U78" s="1898" t="n"/>
      <c r="V78" s="1898" t="n"/>
      <c r="W78" s="1898" t="n"/>
      <c r="X78" s="1898" t="n"/>
      <c r="Y78" s="1898" t="n"/>
      <c r="Z78" s="1898" t="n"/>
      <c r="AA78" s="1898" t="n"/>
      <c r="AB78" s="1898" t="n"/>
      <c r="AC78" s="1898" t="n"/>
      <c r="AD78" s="1898" t="n"/>
      <c r="AE78" s="1898" t="n"/>
      <c r="AF78" s="1898" t="n"/>
      <c r="AG78" s="1898" t="n"/>
      <c r="AH78" s="1898" t="n"/>
      <c r="AI78" s="1898" t="n"/>
      <c r="AJ78" s="1898" t="n"/>
      <c r="AK78" s="1898" t="n"/>
      <c r="AL78" s="1898" t="n"/>
      <c r="AM78" s="1898" t="n"/>
      <c r="AN78" s="1898" t="n"/>
      <c r="AO78" s="1898" t="n"/>
      <c r="AP78" s="1898" t="n"/>
      <c r="AQ78" s="1898" t="n"/>
      <c r="AR78" s="1898" t="n"/>
      <c r="AS78" s="1898" t="n"/>
      <c r="AT78" s="1898" t="n"/>
      <c r="AU78" s="1898" t="n"/>
      <c r="AV78" s="1898" t="n"/>
      <c r="AW78" s="1898" t="n"/>
      <c r="AX78" s="1898" t="n"/>
      <c r="AY78" s="1898" t="n"/>
    </row>
    <row r="79" ht="23.85" customFormat="1" customHeight="1" s="1947">
      <c r="A79" s="1326" t="n"/>
      <c r="B79" s="1297" t="n"/>
      <c r="C79" s="1561" t="inlineStr">
        <is>
          <t>TAPE BACK CONN. (N Shape) (connect. tie downs)</t>
        </is>
      </c>
      <c r="D79" s="1506" t="inlineStr">
        <is>
          <t>Coiling time +  spot tapes</t>
        </is>
      </c>
      <c r="E79" s="1506" t="inlineStr">
        <is>
          <t>Reach for tape</t>
        </is>
      </c>
      <c r="F79" s="1506" t="inlineStr">
        <is>
          <t>Release taped branch</t>
        </is>
      </c>
      <c r="G79" s="1899" t="n">
        <v>9.779999999999999</v>
      </c>
      <c r="H79" s="1690" t="inlineStr">
        <is>
          <t>pc</t>
        </is>
      </c>
      <c r="I79" s="1900" t="n">
        <v>1</v>
      </c>
      <c r="J79" s="1901">
        <f>+I79*G79</f>
        <v/>
      </c>
      <c r="K79" s="1898" t="inlineStr">
        <is>
          <t>Manual</t>
        </is>
      </c>
      <c r="L79" s="1898" t="n"/>
      <c r="M79" s="1902" t="n"/>
      <c r="N79" s="1898" t="n"/>
      <c r="O79" s="1898" t="n"/>
      <c r="P79" s="1944" t="n"/>
      <c r="Q79" s="1898" t="n"/>
      <c r="R79" s="1898" t="n"/>
      <c r="S79" s="1898" t="n"/>
      <c r="T79" s="1898" t="n"/>
      <c r="U79" s="1898" t="n"/>
      <c r="V79" s="1898" t="n"/>
      <c r="W79" s="1898" t="n"/>
      <c r="X79" s="1898" t="n"/>
      <c r="Y79" s="1898" t="n"/>
      <c r="Z79" s="1898" t="n"/>
      <c r="AA79" s="1898" t="n"/>
      <c r="AB79" s="1898" t="n"/>
      <c r="AC79" s="1898" t="n"/>
      <c r="AD79" s="1898" t="n"/>
      <c r="AE79" s="1898" t="n"/>
      <c r="AF79" s="1898" t="n"/>
      <c r="AG79" s="1898" t="n"/>
      <c r="AH79" s="1898" t="n"/>
      <c r="AI79" s="1898" t="n"/>
      <c r="AJ79" s="1898" t="n"/>
      <c r="AK79" s="1898" t="n"/>
      <c r="AL79" s="1898" t="n"/>
      <c r="AM79" s="1898" t="n"/>
      <c r="AN79" s="1898" t="n"/>
      <c r="AO79" s="1898" t="n"/>
      <c r="AP79" s="1898" t="n"/>
      <c r="AQ79" s="1898" t="n"/>
      <c r="AR79" s="1898" t="n"/>
      <c r="AS79" s="1898" t="n"/>
      <c r="AT79" s="1898" t="n"/>
      <c r="AU79" s="1898" t="n"/>
      <c r="AV79" s="1898" t="n"/>
      <c r="AW79" s="1898" t="n"/>
      <c r="AX79" s="1898" t="n"/>
      <c r="AY79" s="1898" t="n"/>
    </row>
    <row r="80" ht="23.85" customFormat="1" customHeight="1" s="1948">
      <c r="A80" s="1329" t="n"/>
      <c r="B80" s="1301" t="n"/>
      <c r="C80" s="1672" t="inlineStr">
        <is>
          <t>TAPE BACK CONN. (W Shape) (connect. tie downs)</t>
        </is>
      </c>
      <c r="D80" s="1559" t="inlineStr">
        <is>
          <t>Coiling time +  spot tapes</t>
        </is>
      </c>
      <c r="E80" s="1559" t="inlineStr">
        <is>
          <t>Reach for tape</t>
        </is>
      </c>
      <c r="F80" s="1559" t="inlineStr">
        <is>
          <t>Release taped branch</t>
        </is>
      </c>
      <c r="G80" s="1922" t="n">
        <v>12.8</v>
      </c>
      <c r="H80" s="1694" t="inlineStr">
        <is>
          <t>pc</t>
        </is>
      </c>
      <c r="I80" s="1674" t="n">
        <v>1</v>
      </c>
      <c r="J80" s="1675">
        <f>+I80*G80</f>
        <v/>
      </c>
      <c r="K80" s="1898" t="inlineStr">
        <is>
          <t>Manual</t>
        </is>
      </c>
      <c r="L80" s="1898" t="n"/>
      <c r="M80" s="1902" t="n"/>
      <c r="N80" s="1898" t="n"/>
      <c r="O80" s="1898" t="n"/>
      <c r="P80" s="1944" t="n"/>
      <c r="Q80" s="1898" t="n"/>
      <c r="R80" s="1898" t="n"/>
      <c r="S80" s="1898" t="n"/>
      <c r="T80" s="1898" t="n"/>
      <c r="U80" s="1898" t="n"/>
      <c r="V80" s="1898" t="n"/>
      <c r="W80" s="1898" t="n"/>
      <c r="X80" s="1898" t="n"/>
      <c r="Y80" s="1898" t="n"/>
      <c r="Z80" s="1898" t="n"/>
      <c r="AA80" s="1898" t="n"/>
      <c r="AB80" s="1898" t="n"/>
      <c r="AC80" s="1898" t="n"/>
      <c r="AD80" s="1898" t="n"/>
      <c r="AE80" s="1898" t="n"/>
      <c r="AF80" s="1898" t="n"/>
      <c r="AG80" s="1898" t="n"/>
      <c r="AH80" s="1898" t="n"/>
      <c r="AI80" s="1898" t="n"/>
      <c r="AJ80" s="1898" t="n"/>
      <c r="AK80" s="1898" t="n"/>
      <c r="AL80" s="1898" t="n"/>
      <c r="AM80" s="1898" t="n"/>
      <c r="AN80" s="1898" t="n"/>
      <c r="AO80" s="1898" t="n"/>
      <c r="AP80" s="1898" t="n"/>
      <c r="AQ80" s="1898" t="n"/>
      <c r="AR80" s="1898" t="n"/>
      <c r="AS80" s="1898" t="n"/>
      <c r="AT80" s="1898" t="n"/>
      <c r="AU80" s="1898" t="n"/>
      <c r="AV80" s="1898" t="n"/>
      <c r="AW80" s="1898" t="n"/>
      <c r="AX80" s="1898" t="n"/>
      <c r="AY80" s="1898" t="n"/>
    </row>
    <row r="81" ht="33.75" customFormat="1" customHeight="1" s="1898">
      <c r="A81" s="1653" t="n"/>
      <c r="B81" s="1653" t="n"/>
      <c r="C81" s="1653" t="n"/>
      <c r="D81" s="1708" t="n"/>
      <c r="E81" s="1708" t="n"/>
      <c r="F81" s="1708" t="n"/>
      <c r="G81" s="1949" t="inlineStr">
        <is>
          <t>TOTAL FA</t>
        </is>
      </c>
      <c r="H81" s="1898" t="n"/>
      <c r="I81" s="1898" t="n"/>
      <c r="J81" s="1950">
        <f>SUM(J3:J75)</f>
        <v/>
      </c>
      <c r="L81" s="1898" t="n"/>
      <c r="M81" s="1902" t="n"/>
      <c r="N81" s="1898" t="n"/>
      <c r="O81" s="1903" t="n"/>
      <c r="P81" s="1898" t="n"/>
      <c r="Q81" s="1898" t="n"/>
    </row>
    <row r="82" ht="38.25" customFormat="1" customHeight="1" s="1898">
      <c r="A82" s="1653" t="n"/>
      <c r="B82" s="1653" t="n"/>
      <c r="C82" s="1653" t="n"/>
      <c r="D82" s="1708" t="n"/>
      <c r="E82" s="1708" t="n"/>
      <c r="F82" s="1708" t="n"/>
      <c r="G82" s="1949" t="inlineStr">
        <is>
          <t>TOTAL P.K.</t>
        </is>
      </c>
      <c r="H82" s="1132" t="n"/>
      <c r="I82" s="1132" t="n"/>
      <c r="J82" s="1950">
        <f>SUM(J76:J80)</f>
        <v/>
      </c>
      <c r="L82" s="1898" t="n"/>
      <c r="M82" s="1902" t="n"/>
      <c r="N82" s="1898" t="n"/>
      <c r="O82" s="1903" t="n"/>
      <c r="P82" s="1898" t="n"/>
      <c r="Q82" s="1898" t="n"/>
    </row>
    <row r="83" ht="13.5" customFormat="1" customHeight="1" s="1898">
      <c r="A83" s="1653" t="n"/>
      <c r="B83" s="1653" t="n"/>
      <c r="C83" s="1653" t="n"/>
      <c r="D83" s="1708" t="n"/>
      <c r="E83" s="1708" t="n"/>
      <c r="F83" s="1708" t="n"/>
      <c r="G83" s="1951" t="n"/>
      <c r="H83" s="1898" t="n"/>
      <c r="L83" s="1898" t="n"/>
      <c r="M83" s="1902" t="n"/>
      <c r="N83" s="1898" t="n"/>
      <c r="O83" s="1903" t="n"/>
      <c r="P83" s="1898" t="n"/>
      <c r="Q83" s="1898" t="n"/>
    </row>
    <row r="84" ht="13.5" customFormat="1" customHeight="1" s="1898">
      <c r="A84" s="1653" t="n"/>
      <c r="B84" s="1653" t="n"/>
      <c r="C84" s="1653" t="n"/>
      <c r="D84" s="1708" t="n"/>
      <c r="E84" s="1708" t="n"/>
      <c r="F84" s="1708" t="n"/>
      <c r="G84" s="1951" t="n"/>
      <c r="H84" s="1898" t="n"/>
      <c r="L84" s="1898" t="n"/>
      <c r="M84" s="1902" t="n"/>
      <c r="N84" s="1898" t="n"/>
      <c r="O84" s="1898" t="n"/>
      <c r="P84" s="1898" t="n"/>
      <c r="Q84" s="1898" t="n"/>
    </row>
    <row r="85" ht="13.5" customFormat="1" customHeight="1" s="1898">
      <c r="A85" s="1653" t="n"/>
      <c r="B85" s="1653" t="n"/>
      <c r="C85" s="1653" t="n"/>
      <c r="D85" s="1708" t="n"/>
      <c r="E85" s="1708" t="n"/>
      <c r="F85" s="1708" t="n"/>
      <c r="G85" s="1951" t="n"/>
      <c r="H85" s="1898" t="n"/>
      <c r="L85" s="1898" t="n"/>
      <c r="M85" s="1902" t="n"/>
      <c r="N85" s="1898" t="n"/>
      <c r="O85" s="1898" t="n"/>
      <c r="P85" s="1898" t="n"/>
      <c r="Q85" s="1898" t="n"/>
    </row>
    <row r="86" ht="13.5" customFormat="1" customHeight="1" s="1898">
      <c r="A86" s="1653" t="n"/>
      <c r="B86" s="1653" t="n"/>
      <c r="C86" s="1653" t="n"/>
      <c r="D86" s="1708" t="n"/>
      <c r="E86" s="1708" t="n"/>
      <c r="F86" s="1708" t="n"/>
      <c r="G86" s="1951" t="n"/>
      <c r="H86" s="1898" t="n"/>
      <c r="L86" s="1898" t="n"/>
      <c r="M86" s="1902" t="n"/>
      <c r="N86" s="1898" t="n"/>
      <c r="O86" s="1898" t="n"/>
      <c r="P86" s="1898" t="n"/>
      <c r="Q86" s="1898" t="n"/>
    </row>
    <row r="87" ht="13.5" customFormat="1" customHeight="1" s="1898">
      <c r="D87" s="1708" t="n"/>
      <c r="L87" s="1898" t="n"/>
      <c r="M87" s="1902" t="n"/>
      <c r="N87" s="1898" t="n"/>
      <c r="O87" s="1898" t="n"/>
      <c r="P87" s="1898" t="n"/>
      <c r="Q87" s="1898" t="n"/>
    </row>
    <row r="88" ht="13.5" customFormat="1" customHeight="1" s="1898">
      <c r="L88" s="1898" t="n"/>
      <c r="M88" s="1902" t="n"/>
      <c r="N88" s="1898" t="n"/>
      <c r="O88" s="1898" t="n"/>
      <c r="P88" s="1898" t="n"/>
      <c r="Q88" s="1898" t="n"/>
    </row>
    <row r="89" ht="13.5" customFormat="1" customHeight="1" s="1898">
      <c r="L89" s="1898" t="n"/>
      <c r="M89" s="1902" t="n"/>
      <c r="N89" s="1898" t="n"/>
      <c r="O89" s="1898" t="n"/>
      <c r="P89" s="1898" t="n"/>
      <c r="Q89" s="1898" t="n"/>
    </row>
    <row r="90" ht="13.5" customFormat="1" customHeight="1" s="1898">
      <c r="L90" s="1898" t="n"/>
      <c r="M90" s="1902" t="n"/>
      <c r="N90" s="1898" t="n"/>
      <c r="O90" s="1898" t="n"/>
      <c r="P90" s="1898" t="n"/>
      <c r="Q90" s="1898" t="n"/>
    </row>
    <row r="91" ht="13.5" customFormat="1" customHeight="1" s="1898">
      <c r="L91" s="1898" t="n"/>
      <c r="M91" s="1902" t="n"/>
      <c r="N91" s="1898" t="n"/>
      <c r="O91" s="1898" t="n"/>
      <c r="P91" s="1898" t="n"/>
      <c r="Q91" s="1898" t="n"/>
    </row>
    <row r="92" ht="13.5" customFormat="1" customHeight="1" s="1898">
      <c r="L92" s="1898" t="n"/>
      <c r="M92" s="1902" t="n"/>
      <c r="N92" s="1898" t="n"/>
      <c r="O92" s="1898" t="n"/>
      <c r="P92" s="1898" t="n"/>
      <c r="Q92" s="1898" t="n"/>
    </row>
    <row r="93" ht="13.5" customFormat="1" customHeight="1" s="1898">
      <c r="L93" s="1898" t="n"/>
      <c r="M93" s="1902" t="n"/>
      <c r="N93" s="1898" t="n"/>
      <c r="O93" s="1898" t="n"/>
      <c r="P93" s="1898" t="n"/>
      <c r="Q93" s="1898" t="n"/>
    </row>
    <row r="94" ht="13.5" customFormat="1" customHeight="1" s="1898">
      <c r="L94" s="1898" t="n"/>
      <c r="M94" s="1902" t="n"/>
      <c r="N94" s="1898" t="n"/>
      <c r="O94" s="1898" t="n"/>
      <c r="P94" s="1898" t="n"/>
      <c r="Q94" s="1898" t="n"/>
    </row>
    <row r="95" ht="13.5" customFormat="1" customHeight="1" s="1898">
      <c r="L95" s="1898" t="n"/>
      <c r="M95" s="1902" t="n"/>
      <c r="N95" s="1898" t="n"/>
      <c r="O95" s="1898" t="n"/>
      <c r="P95" s="1898" t="n"/>
      <c r="Q95" s="1898" t="n"/>
    </row>
    <row r="96" ht="13.5" customFormat="1" customHeight="1" s="1898">
      <c r="L96" s="1898" t="n"/>
      <c r="M96" s="1902" t="n"/>
      <c r="N96" s="1898" t="n"/>
      <c r="O96" s="1898" t="n"/>
      <c r="P96" s="1898" t="n"/>
      <c r="Q96" s="1898" t="n"/>
    </row>
    <row r="97" ht="13.5" customFormat="1" customHeight="1" s="1898">
      <c r="L97" s="1898" t="n"/>
      <c r="M97" s="1902" t="n"/>
      <c r="N97" s="1898" t="n"/>
      <c r="O97" s="1898" t="n"/>
      <c r="P97" s="1898" t="n"/>
      <c r="Q97" s="1898" t="n"/>
    </row>
    <row r="98" ht="13.5" customFormat="1" customHeight="1" s="1898">
      <c r="L98" s="1898" t="n"/>
      <c r="M98" s="1902" t="n"/>
      <c r="N98" s="1898" t="n"/>
      <c r="O98" s="1898" t="n"/>
      <c r="P98" s="1898" t="n"/>
      <c r="Q98" s="1898" t="n"/>
    </row>
    <row r="99" ht="13.5" customFormat="1" customHeight="1" s="1898">
      <c r="L99" s="1898" t="n"/>
      <c r="M99" s="1902" t="n"/>
      <c r="N99" s="1898" t="n"/>
      <c r="O99" s="1898" t="n"/>
      <c r="P99" s="1898" t="n"/>
      <c r="Q99" s="1898" t="n"/>
    </row>
    <row r="100" ht="13.5" customFormat="1" customHeight="1" s="1898">
      <c r="L100" s="1898" t="n"/>
      <c r="M100" s="1902" t="n"/>
      <c r="N100" s="1898" t="n"/>
      <c r="O100" s="1898" t="n"/>
      <c r="P100" s="1898" t="n"/>
      <c r="Q100" s="1898" t="n"/>
    </row>
    <row r="101" ht="13.5" customFormat="1" customHeight="1" s="1898">
      <c r="L101" s="1898" t="n"/>
      <c r="M101" s="1902" t="n"/>
      <c r="N101" s="1898" t="n"/>
      <c r="O101" s="1898" t="n"/>
      <c r="P101" s="1898" t="n"/>
      <c r="Q101" s="1898" t="n"/>
    </row>
    <row r="102" ht="13.5" customFormat="1" customHeight="1" s="1898">
      <c r="L102" s="1898" t="n"/>
      <c r="M102" s="1902" t="n"/>
      <c r="N102" s="1898" t="n"/>
      <c r="O102" s="1898" t="n"/>
      <c r="P102" s="1898" t="n"/>
      <c r="Q102" s="1898" t="n"/>
    </row>
    <row r="103" ht="13.5" customFormat="1" customHeight="1" s="1898">
      <c r="L103" s="1898" t="n"/>
      <c r="M103" s="1902" t="n"/>
      <c r="N103" s="1898" t="n"/>
      <c r="O103" s="1898" t="n"/>
      <c r="P103" s="1898" t="n"/>
      <c r="Q103" s="1898" t="n"/>
    </row>
  </sheetData>
  <mergeCells count="28">
    <mergeCell ref="A65:B68"/>
    <mergeCell ref="C21:C25"/>
    <mergeCell ref="C33:C34"/>
    <mergeCell ref="C26:C29"/>
    <mergeCell ref="A57:B58"/>
    <mergeCell ref="A16:B16"/>
    <mergeCell ref="C15:F15"/>
    <mergeCell ref="A56:B56"/>
    <mergeCell ref="C6:C8"/>
    <mergeCell ref="C37:C41"/>
    <mergeCell ref="C42:C44"/>
    <mergeCell ref="F6:F8"/>
    <mergeCell ref="A1:J1"/>
    <mergeCell ref="F10:F14"/>
    <mergeCell ref="A2:B2"/>
    <mergeCell ref="C45:C47"/>
    <mergeCell ref="C57:C58"/>
    <mergeCell ref="C17:C20"/>
    <mergeCell ref="A37:B48"/>
    <mergeCell ref="A50:B54"/>
    <mergeCell ref="A17:B35"/>
    <mergeCell ref="A6:B14"/>
    <mergeCell ref="A70:B80"/>
    <mergeCell ref="E6:E8"/>
    <mergeCell ref="E10:E14"/>
    <mergeCell ref="A60:B63"/>
    <mergeCell ref="C10:C14"/>
    <mergeCell ref="A3:B4"/>
  </mergeCells>
  <printOptions horizontalCentered="1" verticalCentered="1" headings="0" gridLines="0" gridLinesSet="1"/>
  <pageMargins left="0.75" right="0.75" top="0.490277777777778" bottom="0.440277777777778" header="0.511811023622047" footer="0.511811023622047"/>
  <pageSetup orientation="portrait" paperSize="9" scale="100" fitToHeight="1" fitToWidth="1" pageOrder="downThenOver" blackAndWhite="0" draft="0" horizontalDpi="300" verticalDpi="300" copies="1"/>
  <rowBreaks count="1" manualBreakCount="1">
    <brk id="64" min="0" max="16383" man="1"/>
  </rowBreaks>
  <colBreaks count="1" manualBreakCount="1">
    <brk id="10" min="0" max="65535" man="1"/>
  </colBreaks>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XFD292"/>
  <sheetViews>
    <sheetView showFormulas="0" showGridLines="1" showRowColHeaders="1" showZeros="1" rightToLeft="0" tabSelected="0" showOutlineSymbols="1" defaultGridColor="1" view="normal" topLeftCell="A1" colorId="64" zoomScale="85" zoomScaleNormal="85" zoomScalePageLayoutView="100" workbookViewId="0">
      <pane xSplit="4" ySplit="2" topLeftCell="E58" activePane="bottomRight" state="frozen"/>
      <selection pane="topLeft" activeCell="A1" activeCellId="0" sqref="A1"/>
      <selection pane="topRight" activeCell="E1" activeCellId="0" sqref="E1"/>
      <selection pane="bottomLeft" activeCell="A58" activeCellId="0" sqref="A58"/>
      <selection pane="bottomRight" activeCell="L2" activeCellId="0" sqref="L2"/>
    </sheetView>
  </sheetViews>
  <sheetFormatPr baseColWidth="8" defaultColWidth="9.3359375" defaultRowHeight="15" customHeight="0" zeroHeight="0" outlineLevelRow="0"/>
  <cols>
    <col width="18.67" customWidth="1" style="1893" min="1" max="1"/>
    <col width="19" customWidth="1" style="1894" min="2" max="2"/>
    <col width="14.56" customWidth="1" style="1894" min="3" max="3"/>
    <col width="10.33" customWidth="1" style="1894" min="4" max="4"/>
    <col width="23.67" customWidth="1" style="1894" min="5" max="5"/>
    <col width="16.89" customWidth="1" style="1894" min="6" max="6"/>
    <col width="16.67" customWidth="1" style="1894" min="7" max="7"/>
    <col width="15.33" customWidth="1" style="1952" min="8" max="8"/>
    <col width="11.33" customWidth="1" style="1893" min="9" max="9"/>
    <col width="10.33" customWidth="1" style="1893" min="10" max="10"/>
    <col width="9.56" customWidth="1" style="1893" min="11" max="11"/>
    <col width="20.56" customWidth="1" style="1895" min="12" max="12"/>
    <col width="19.44" customWidth="1" style="1893" min="13" max="13"/>
    <col width="21.33" customWidth="1" style="1895" min="14" max="14"/>
    <col width="13.56" customWidth="1" style="1893" min="15" max="15"/>
    <col width="39.88" customWidth="1" style="1893" min="16" max="16"/>
    <col width="19.44" customWidth="1" style="1893" min="17" max="17"/>
    <col width="39.11" customWidth="1" style="1893" min="18" max="18"/>
    <col width="9.33" customWidth="1" style="1893" min="19" max="19"/>
    <col width="12.44" customWidth="1" style="1893" min="20" max="20"/>
    <col width="9.33" customWidth="1" style="1893" min="21" max="39"/>
    <col width="9.33" customWidth="1" style="1893" min="40" max="16384"/>
  </cols>
  <sheetData>
    <row r="1" ht="17.25" customHeight="1" s="1134">
      <c r="A1" s="1953" t="inlineStr">
        <is>
          <t>MISCELLANEOUS</t>
        </is>
      </c>
      <c r="B1" s="1390" t="n"/>
      <c r="C1" s="1390" t="n"/>
      <c r="D1" s="1390" t="n"/>
      <c r="E1" s="1390" t="n"/>
      <c r="F1" s="1390" t="n"/>
      <c r="G1" s="1390" t="n"/>
      <c r="H1" s="1390" t="n"/>
      <c r="I1" s="1390" t="n"/>
      <c r="J1" s="1390" t="n"/>
      <c r="K1" s="1390" t="n"/>
      <c r="M1" s="1132" t="n"/>
      <c r="N1" s="1344" t="n"/>
      <c r="O1" s="1132" t="n"/>
      <c r="P1" s="1132" t="n"/>
    </row>
    <row r="2" ht="33" customHeight="1" s="1134">
      <c r="A2" s="1954" t="inlineStr">
        <is>
          <t>BUILD CATEGORY</t>
        </is>
      </c>
      <c r="B2" s="1610" t="n"/>
      <c r="C2" s="1955" t="inlineStr">
        <is>
          <t>ACTIVITY DESCRIPTION</t>
        </is>
      </c>
      <c r="D2" s="1610" t="n"/>
      <c r="E2" s="1955" t="inlineStr">
        <is>
          <t xml:space="preserve">Standard Description </t>
        </is>
      </c>
      <c r="F2" s="1955" t="inlineStr">
        <is>
          <t>CLOCK START</t>
        </is>
      </c>
      <c r="G2" s="1955" t="inlineStr">
        <is>
          <t>CLOCK STOP</t>
        </is>
      </c>
      <c r="H2" s="1955" t="inlineStr">
        <is>
          <t>GLOBAL SEC/PC</t>
        </is>
      </c>
      <c r="I2" s="1956" t="inlineStr">
        <is>
          <t>UNIT</t>
        </is>
      </c>
      <c r="J2" s="1955" t="inlineStr">
        <is>
          <t>QTY</t>
        </is>
      </c>
      <c r="K2" s="1220" t="inlineStr">
        <is>
          <t>Total Time</t>
        </is>
      </c>
    </row>
    <row r="3" ht="54" customFormat="1" customHeight="1" s="1806">
      <c r="A3" s="1487" t="inlineStr">
        <is>
          <t>MISC. ASSEMBLY</t>
        </is>
      </c>
      <c r="B3" s="1625" t="n"/>
      <c r="C3" s="1561" t="inlineStr">
        <is>
          <t>Apply secondary locks and covers to connectors / grommet</t>
        </is>
      </c>
      <c r="D3" s="1625" t="n"/>
      <c r="E3" s="1561" t="inlineStr">
        <is>
          <t>Loose piece secondary Locks/Covers/Combs / Inserts / hexagonal lock</t>
        </is>
      </c>
      <c r="F3" s="1561" t="inlineStr">
        <is>
          <t>Get component</t>
        </is>
      </c>
      <c r="G3" s="1561" t="inlineStr">
        <is>
          <t>Release connector</t>
        </is>
      </c>
      <c r="H3" s="1931" t="n">
        <v>4.6</v>
      </c>
      <c r="I3" s="1690" t="inlineStr">
        <is>
          <t>pc</t>
        </is>
      </c>
      <c r="J3" s="1900" t="n">
        <v>1</v>
      </c>
      <c r="K3" s="1901">
        <f>+J3*H3</f>
        <v/>
      </c>
      <c r="L3" s="1344" t="inlineStr">
        <is>
          <t>Semi-automatic</t>
        </is>
      </c>
      <c r="M3" s="1231" t="n"/>
      <c r="N3" s="1344" t="n"/>
      <c r="O3" s="1231" t="n"/>
      <c r="P3" s="1957" t="n"/>
      <c r="Q3" s="1231" t="n"/>
      <c r="R3" s="1806" t="n"/>
      <c r="S3" s="1806" t="n"/>
      <c r="T3" s="1806" t="n"/>
      <c r="U3" s="1806" t="n"/>
      <c r="V3" s="1806" t="n"/>
      <c r="W3" s="1806" t="n"/>
      <c r="X3" s="1806" t="n"/>
      <c r="Y3" s="1806" t="n"/>
      <c r="Z3" s="1806" t="n"/>
      <c r="AA3" s="1806" t="n"/>
      <c r="AB3" s="1806" t="n"/>
      <c r="AC3" s="1806" t="n"/>
      <c r="AD3" s="1806" t="n"/>
      <c r="AE3" s="1806" t="n"/>
      <c r="AF3" s="1806" t="n"/>
      <c r="AG3" s="1806" t="n"/>
      <c r="AH3" s="1806" t="n"/>
      <c r="AI3" s="1806" t="n"/>
      <c r="AJ3" s="1806" t="n"/>
      <c r="AK3" s="1806" t="n"/>
      <c r="AL3" s="1806" t="n"/>
      <c r="AM3" s="1806" t="n"/>
    </row>
    <row r="4" ht="53.25" customFormat="1" customHeight="1" s="1806">
      <c r="A4" s="1326" t="n"/>
      <c r="B4" s="1297" t="n"/>
      <c r="C4" s="1615" t="n"/>
      <c r="D4" s="1297" t="n"/>
      <c r="E4" s="1561" t="inlineStr">
        <is>
          <t>Close secondary locks/covers which are attached to connectors</t>
        </is>
      </c>
      <c r="F4" s="1561" t="inlineStr">
        <is>
          <t>Reach for connector</t>
        </is>
      </c>
      <c r="G4" s="1561" t="inlineStr">
        <is>
          <t>Release connector</t>
        </is>
      </c>
      <c r="H4" s="1931" t="n">
        <v>1.49</v>
      </c>
      <c r="I4" s="1690" t="inlineStr">
        <is>
          <t>pc</t>
        </is>
      </c>
      <c r="J4" s="1900" t="n">
        <v>1</v>
      </c>
      <c r="K4" s="1901">
        <f>+J4*H4</f>
        <v/>
      </c>
      <c r="L4" s="1344" t="inlineStr">
        <is>
          <t>Automatic</t>
        </is>
      </c>
      <c r="M4" s="1231" t="n"/>
      <c r="N4" s="1344" t="n"/>
      <c r="O4" s="1231" t="n"/>
      <c r="P4" s="1957" t="n"/>
      <c r="Q4" s="1231" t="n"/>
      <c r="R4" s="1806" t="n"/>
      <c r="S4" s="1806" t="n"/>
      <c r="T4" s="1806" t="n"/>
      <c r="U4" s="1806" t="n"/>
      <c r="V4" s="1806" t="n"/>
      <c r="W4" s="1806" t="n"/>
      <c r="X4" s="1806" t="n"/>
      <c r="Y4" s="1806" t="n"/>
      <c r="Z4" s="1806" t="n"/>
      <c r="AA4" s="1806" t="n"/>
      <c r="AB4" s="1806" t="n"/>
      <c r="AC4" s="1806" t="n"/>
      <c r="AD4" s="1806" t="n"/>
      <c r="AE4" s="1806" t="n"/>
      <c r="AF4" s="1806" t="n"/>
      <c r="AG4" s="1806" t="n"/>
      <c r="AH4" s="1806" t="n"/>
      <c r="AI4" s="1806" t="n"/>
      <c r="AJ4" s="1806" t="n"/>
      <c r="AK4" s="1806" t="n"/>
      <c r="AL4" s="1806" t="n"/>
      <c r="AM4" s="1806" t="n"/>
    </row>
    <row r="5" ht="69.75" customFormat="1" customHeight="1" s="1806">
      <c r="A5" s="1326" t="n"/>
      <c r="B5" s="1297" t="n"/>
      <c r="C5" s="1544" t="n"/>
      <c r="D5" s="1545" t="n"/>
      <c r="E5" s="1561" t="inlineStr">
        <is>
          <t>Large covers for &gt;40 way connectors
NOTE FOR HV PROD:
apply 2 piece cover to connector</t>
        </is>
      </c>
      <c r="F5" s="1561" t="inlineStr">
        <is>
          <t>Get component</t>
        </is>
      </c>
      <c r="G5" s="1561" t="inlineStr">
        <is>
          <t>Release connector</t>
        </is>
      </c>
      <c r="H5" s="1899" t="n">
        <v>15.49</v>
      </c>
      <c r="I5" s="1690" t="inlineStr">
        <is>
          <t>pc</t>
        </is>
      </c>
      <c r="J5" s="1900" t="n">
        <v>1</v>
      </c>
      <c r="K5" s="1901">
        <f>+J5*H5</f>
        <v/>
      </c>
      <c r="L5" s="1344" t="inlineStr">
        <is>
          <t>Semi-automatic</t>
        </is>
      </c>
      <c r="M5" s="1231" t="n"/>
      <c r="N5" s="1344" t="n"/>
      <c r="O5" s="1231" t="n"/>
      <c r="P5" s="1957" t="n"/>
      <c r="Q5" s="1231" t="n"/>
      <c r="R5" s="1806" t="n"/>
      <c r="S5" s="1806" t="n"/>
      <c r="T5" s="1806" t="n"/>
      <c r="U5" s="1806" t="n"/>
      <c r="V5" s="1806" t="n"/>
      <c r="W5" s="1806" t="n"/>
      <c r="X5" s="1806" t="n"/>
      <c r="Y5" s="1806" t="n"/>
      <c r="Z5" s="1806" t="n"/>
      <c r="AA5" s="1806" t="n"/>
      <c r="AB5" s="1806" t="n"/>
      <c r="AC5" s="1806" t="n"/>
      <c r="AD5" s="1806" t="n"/>
      <c r="AE5" s="1806" t="n"/>
      <c r="AF5" s="1806" t="n"/>
      <c r="AG5" s="1806" t="n"/>
      <c r="AH5" s="1806" t="n"/>
      <c r="AI5" s="1806" t="n"/>
      <c r="AJ5" s="1806" t="n"/>
      <c r="AK5" s="1806" t="n"/>
      <c r="AL5" s="1806" t="n"/>
      <c r="AM5" s="1806" t="n"/>
    </row>
    <row r="6" ht="44.25" customFormat="1" customHeight="1" s="1806">
      <c r="A6" s="1326" t="n"/>
      <c r="B6" s="1297" t="n"/>
      <c r="C6" s="1561" t="inlineStr">
        <is>
          <t>Apply terminal stabilizer to connector</t>
        </is>
      </c>
      <c r="D6" s="1532" t="n"/>
      <c r="E6" s="1561" t="inlineStr">
        <is>
          <t>Assembly terminal stabilizer / retainer / mylar into connector</t>
        </is>
      </c>
      <c r="F6" s="1561" t="inlineStr">
        <is>
          <t>Get component</t>
        </is>
      </c>
      <c r="G6" s="1561" t="inlineStr">
        <is>
          <t>Release connector</t>
        </is>
      </c>
      <c r="H6" s="1899" t="n">
        <v>6</v>
      </c>
      <c r="I6" s="1690" t="inlineStr">
        <is>
          <t>pc</t>
        </is>
      </c>
      <c r="J6" s="1900" t="n">
        <v>1</v>
      </c>
      <c r="K6" s="1901">
        <f>+J6*H6</f>
        <v/>
      </c>
      <c r="L6" s="1344" t="inlineStr">
        <is>
          <t>Automatic</t>
        </is>
      </c>
      <c r="M6" s="1231" t="n"/>
      <c r="N6" s="1344" t="n"/>
      <c r="O6" s="1231" t="n"/>
      <c r="P6" s="1957" t="n"/>
      <c r="Q6" s="1231" t="n"/>
      <c r="R6" s="1806" t="n"/>
      <c r="S6" s="1806" t="n"/>
      <c r="T6" s="1806" t="n"/>
      <c r="U6" s="1806" t="n"/>
      <c r="V6" s="1806" t="n"/>
      <c r="W6" s="1806" t="n"/>
      <c r="X6" s="1806" t="n"/>
      <c r="Y6" s="1806" t="n"/>
      <c r="Z6" s="1806" t="n"/>
      <c r="AA6" s="1806" t="n"/>
      <c r="AB6" s="1806" t="n"/>
      <c r="AC6" s="1806" t="n"/>
      <c r="AD6" s="1806" t="n"/>
      <c r="AE6" s="1806" t="n"/>
      <c r="AF6" s="1806" t="n"/>
      <c r="AG6" s="1806" t="n"/>
      <c r="AH6" s="1806" t="n"/>
      <c r="AI6" s="1806" t="n"/>
      <c r="AJ6" s="1806" t="n"/>
      <c r="AK6" s="1806" t="n"/>
      <c r="AL6" s="1806" t="n"/>
      <c r="AM6" s="1806" t="n"/>
    </row>
    <row r="7" ht="44.25" customFormat="1" customHeight="1" s="1806">
      <c r="A7" s="1326" t="n"/>
      <c r="B7" s="1297" t="n"/>
      <c r="C7" s="1561" t="inlineStr">
        <is>
          <t>Apply vacuum / washer fluid hose</t>
        </is>
      </c>
      <c r="D7" s="1532" t="n"/>
      <c r="E7" s="1561" t="inlineStr">
        <is>
          <t>Get hose and route on board T- to be applied to hoses up to 3 m</t>
        </is>
      </c>
      <c r="F7" s="1561" t="inlineStr">
        <is>
          <t>Get hose</t>
        </is>
      </c>
      <c r="G7" s="1561" t="inlineStr">
        <is>
          <t>Release  hose</t>
        </is>
      </c>
      <c r="H7" s="1899" t="n">
        <v>6</v>
      </c>
      <c r="I7" s="1690" t="inlineStr">
        <is>
          <t>pc</t>
        </is>
      </c>
      <c r="J7" s="1900" t="n">
        <v>1</v>
      </c>
      <c r="K7" s="1901">
        <f>+J7*H7</f>
        <v/>
      </c>
      <c r="L7" s="1344" t="inlineStr">
        <is>
          <t>Automatic</t>
        </is>
      </c>
      <c r="M7" s="1231" t="n"/>
      <c r="N7" s="1344" t="n"/>
      <c r="O7" s="1231" t="n"/>
      <c r="P7" s="1957" t="n"/>
      <c r="Q7" s="1231" t="n"/>
      <c r="R7" s="1806" t="n"/>
      <c r="S7" s="1806" t="n"/>
      <c r="T7" s="1806" t="n"/>
      <c r="U7" s="1806" t="n"/>
      <c r="V7" s="1806" t="n"/>
      <c r="W7" s="1806" t="n"/>
      <c r="X7" s="1806" t="n"/>
      <c r="Y7" s="1806" t="n"/>
      <c r="Z7" s="1806" t="n"/>
      <c r="AA7" s="1806" t="n"/>
      <c r="AB7" s="1806" t="n"/>
      <c r="AC7" s="1806" t="n"/>
      <c r="AD7" s="1806" t="n"/>
      <c r="AE7" s="1806" t="n"/>
      <c r="AF7" s="1806" t="n"/>
      <c r="AG7" s="1806" t="n"/>
      <c r="AH7" s="1806" t="n"/>
      <c r="AI7" s="1806" t="n"/>
      <c r="AJ7" s="1806" t="n"/>
      <c r="AK7" s="1806" t="n"/>
      <c r="AL7" s="1806" t="n"/>
      <c r="AM7" s="1806" t="n"/>
    </row>
    <row r="8" ht="45" customFormat="1" customHeight="1" s="1958">
      <c r="A8" s="1326" t="n"/>
      <c r="B8" s="1297" t="n"/>
      <c r="C8" s="1623" t="inlineStr">
        <is>
          <t>get and apply spiral tube</t>
        </is>
      </c>
      <c r="D8" s="1625" t="n"/>
      <c r="E8" s="1623" t="inlineStr">
        <is>
          <t>per mm</t>
        </is>
      </c>
      <c r="F8" s="1623" t="inlineStr">
        <is>
          <t>Reach for spiral tube</t>
        </is>
      </c>
      <c r="G8" s="1623" t="inlineStr">
        <is>
          <t>Release branch</t>
        </is>
      </c>
      <c r="H8" s="1959" t="n">
        <v>0.063</v>
      </c>
      <c r="I8" s="1867" t="inlineStr">
        <is>
          <t>mm</t>
        </is>
      </c>
      <c r="J8" s="1933" t="n">
        <v>1</v>
      </c>
      <c r="K8" s="1919">
        <f>+J8*H8</f>
        <v/>
      </c>
      <c r="L8" s="1344" t="inlineStr">
        <is>
          <t>Automatic</t>
        </is>
      </c>
      <c r="M8" s="1231" t="n"/>
      <c r="N8" s="1344" t="n"/>
      <c r="O8" s="1231" t="n"/>
      <c r="P8" s="1957" t="n"/>
      <c r="Q8" s="1231" t="n"/>
      <c r="R8" s="1806" t="n"/>
      <c r="S8" s="1806" t="n"/>
      <c r="T8" s="1806" t="n"/>
      <c r="U8" s="1806" t="n"/>
      <c r="V8" s="1806" t="n"/>
      <c r="W8" s="1806" t="n"/>
      <c r="X8" s="1806" t="n"/>
      <c r="Y8" s="1806" t="n"/>
      <c r="Z8" s="1806" t="n"/>
      <c r="AA8" s="1806" t="n"/>
      <c r="AB8" s="1806" t="n"/>
      <c r="AC8" s="1806" t="n"/>
      <c r="AD8" s="1806" t="n"/>
      <c r="AE8" s="1806" t="n"/>
      <c r="AF8" s="1806" t="n"/>
      <c r="AG8" s="1806" t="n"/>
      <c r="AH8" s="1806" t="n"/>
      <c r="AI8" s="1806" t="n"/>
      <c r="AJ8" s="1806" t="n"/>
      <c r="AK8" s="1806" t="n"/>
      <c r="AL8" s="1806" t="n"/>
      <c r="AM8" s="1806" t="n"/>
      <c r="AN8" s="1806" t="n"/>
      <c r="AO8" s="1806" t="n"/>
      <c r="AP8" s="1806" t="n"/>
      <c r="AQ8" s="1806" t="n"/>
      <c r="AR8" s="1806" t="n"/>
      <c r="AS8" s="1806" t="n"/>
      <c r="AT8" s="1806" t="n"/>
      <c r="AU8" s="1806" t="n"/>
      <c r="AV8" s="1806" t="n"/>
      <c r="AW8" s="1806" t="n"/>
      <c r="AX8" s="1806" t="n"/>
      <c r="AY8" s="1806" t="n"/>
      <c r="AZ8" s="1806" t="n"/>
      <c r="BA8" s="1806" t="n"/>
      <c r="BB8" s="1806" t="n"/>
      <c r="BC8" s="1806" t="n"/>
      <c r="BD8" s="1806" t="n"/>
      <c r="BE8" s="1806" t="n"/>
      <c r="BF8" s="1806" t="n"/>
      <c r="BG8" s="1806" t="n"/>
      <c r="BH8" s="1806" t="n"/>
      <c r="BI8" s="1806" t="n"/>
      <c r="BJ8" s="1806" t="n"/>
      <c r="BK8" s="1806" t="n"/>
      <c r="BL8" s="1806" t="n"/>
      <c r="BM8" s="1806" t="n"/>
      <c r="BN8" s="1806" t="n"/>
      <c r="BO8" s="1806" t="n"/>
      <c r="BP8" s="1806" t="n"/>
      <c r="BQ8" s="1806" t="n"/>
    </row>
    <row r="9" ht="45" customFormat="1" customHeight="1" s="1958">
      <c r="A9" s="1960" t="inlineStr">
        <is>
          <t>Torque</t>
        </is>
      </c>
      <c r="B9" s="1590" t="n"/>
      <c r="C9" s="1870" t="inlineStr">
        <is>
          <t>Get harness from transportation system</t>
        </is>
      </c>
      <c r="D9" s="1610" t="n"/>
      <c r="E9" s="1698" t="inlineStr">
        <is>
          <t>per harness</t>
        </is>
      </c>
      <c r="F9" s="1698" t="inlineStr">
        <is>
          <t>Reach for the harness</t>
        </is>
      </c>
      <c r="G9" s="1698" t="inlineStr">
        <is>
          <t>start of fusebox scanning</t>
        </is>
      </c>
      <c r="H9" s="1961" t="n">
        <v>6</v>
      </c>
      <c r="I9" s="1685" t="inlineStr">
        <is>
          <t>pc</t>
        </is>
      </c>
      <c r="J9" s="1916" t="n">
        <v>1</v>
      </c>
      <c r="K9" s="1937">
        <f>+J9*H9</f>
        <v/>
      </c>
      <c r="L9" s="1344" t="n"/>
      <c r="M9" s="1231" t="n"/>
      <c r="N9" s="1344" t="n"/>
      <c r="O9" s="1231" t="n"/>
      <c r="P9" s="1957" t="n"/>
      <c r="Q9" s="1231" t="n"/>
      <c r="R9" s="1806" t="n"/>
      <c r="S9" s="1806" t="n"/>
      <c r="T9" s="1806" t="n"/>
      <c r="U9" s="1806" t="n"/>
      <c r="V9" s="1806" t="n"/>
      <c r="W9" s="1806" t="n"/>
      <c r="X9" s="1806" t="n"/>
      <c r="Y9" s="1806" t="n"/>
      <c r="Z9" s="1806" t="n"/>
      <c r="AA9" s="1806" t="n"/>
      <c r="AB9" s="1806" t="n"/>
      <c r="AC9" s="1806" t="n"/>
      <c r="AD9" s="1806" t="n"/>
      <c r="AE9" s="1806" t="n"/>
      <c r="AF9" s="1806" t="n"/>
      <c r="AG9" s="1806" t="n"/>
      <c r="AH9" s="1806" t="n"/>
      <c r="AI9" s="1806" t="n"/>
      <c r="AJ9" s="1806" t="n"/>
      <c r="AK9" s="1806" t="n"/>
      <c r="AL9" s="1806" t="n"/>
      <c r="AM9" s="1806" t="n"/>
      <c r="AN9" s="1806" t="n"/>
      <c r="AO9" s="1806" t="n"/>
      <c r="AP9" s="1806" t="n"/>
      <c r="AQ9" s="1806" t="n"/>
      <c r="AR9" s="1806" t="n"/>
      <c r="AS9" s="1806" t="n"/>
      <c r="AT9" s="1806" t="n"/>
      <c r="AU9" s="1806" t="n"/>
      <c r="AV9" s="1806" t="n"/>
      <c r="AW9" s="1806" t="n"/>
      <c r="AX9" s="1806" t="n"/>
      <c r="AY9" s="1806" t="n"/>
      <c r="AZ9" s="1806" t="n"/>
      <c r="BA9" s="1806" t="n"/>
      <c r="BB9" s="1806" t="n"/>
      <c r="BC9" s="1806" t="n"/>
      <c r="BD9" s="1806" t="n"/>
      <c r="BE9" s="1806" t="n"/>
      <c r="BF9" s="1806" t="n"/>
      <c r="BG9" s="1806" t="n"/>
      <c r="BH9" s="1806" t="n"/>
      <c r="BI9" s="1806" t="n"/>
      <c r="BJ9" s="1806" t="n"/>
      <c r="BK9" s="1806" t="n"/>
      <c r="BL9" s="1806" t="n"/>
      <c r="BM9" s="1806" t="n"/>
      <c r="BN9" s="1806" t="n"/>
      <c r="BO9" s="1806" t="n"/>
      <c r="BP9" s="1806" t="n"/>
      <c r="BQ9" s="1806" t="n"/>
    </row>
    <row r="10" ht="45" customFormat="1" customHeight="1" s="1958">
      <c r="A10" s="1326" t="n"/>
      <c r="B10" s="1297" t="n"/>
      <c r="C10" s="1962" t="inlineStr">
        <is>
          <t>Scan manifest/ barcode label</t>
        </is>
      </c>
      <c r="D10" s="1532" t="n"/>
      <c r="E10" s="1537" t="inlineStr">
        <is>
          <t>per harness</t>
        </is>
      </c>
      <c r="F10" s="1537" t="inlineStr">
        <is>
          <t>Reach for the scanner</t>
        </is>
      </c>
      <c r="G10" s="1537" t="inlineStr">
        <is>
          <t>Scanner putting down</t>
        </is>
      </c>
      <c r="H10" s="1963" t="n">
        <v>2.8</v>
      </c>
      <c r="I10" s="1665" t="inlineStr">
        <is>
          <t>pc</t>
        </is>
      </c>
      <c r="J10" s="1964" t="n">
        <v>1</v>
      </c>
      <c r="K10" s="1965">
        <f>+J10*H10</f>
        <v/>
      </c>
      <c r="L10" s="1344" t="n"/>
      <c r="M10" s="1231" t="n"/>
      <c r="N10" s="1344" t="n"/>
      <c r="O10" s="1231" t="n"/>
      <c r="P10" s="1957" t="n"/>
      <c r="Q10" s="1231" t="n"/>
      <c r="R10" s="1806" t="n"/>
      <c r="S10" s="1806" t="n"/>
      <c r="T10" s="1806" t="n"/>
      <c r="U10" s="1806" t="n"/>
      <c r="V10" s="1806" t="n"/>
      <c r="W10" s="1806" t="n"/>
      <c r="X10" s="1806" t="n"/>
      <c r="Y10" s="1806" t="n"/>
      <c r="Z10" s="1806" t="n"/>
      <c r="AA10" s="1806" t="n"/>
      <c r="AB10" s="1806" t="n"/>
      <c r="AC10" s="1806" t="n"/>
      <c r="AD10" s="1806" t="n"/>
      <c r="AE10" s="1806" t="n"/>
      <c r="AF10" s="1806" t="n"/>
      <c r="AG10" s="1806" t="n"/>
      <c r="AH10" s="1806" t="n"/>
      <c r="AI10" s="1806" t="n"/>
      <c r="AJ10" s="1806" t="n"/>
      <c r="AK10" s="1806" t="n"/>
      <c r="AL10" s="1806" t="n"/>
      <c r="AM10" s="1806" t="n"/>
      <c r="AN10" s="1806" t="n"/>
      <c r="AO10" s="1806" t="n"/>
      <c r="AP10" s="1806" t="n"/>
      <c r="AQ10" s="1806" t="n"/>
      <c r="AR10" s="1806" t="n"/>
      <c r="AS10" s="1806" t="n"/>
      <c r="AT10" s="1806" t="n"/>
      <c r="AU10" s="1806" t="n"/>
      <c r="AV10" s="1806" t="n"/>
      <c r="AW10" s="1806" t="n"/>
      <c r="AX10" s="1806" t="n"/>
      <c r="AY10" s="1806" t="n"/>
      <c r="AZ10" s="1806" t="n"/>
      <c r="BA10" s="1806" t="n"/>
      <c r="BB10" s="1806" t="n"/>
      <c r="BC10" s="1806" t="n"/>
      <c r="BD10" s="1806" t="n"/>
      <c r="BE10" s="1806" t="n"/>
      <c r="BF10" s="1806" t="n"/>
      <c r="BG10" s="1806" t="n"/>
      <c r="BH10" s="1806" t="n"/>
      <c r="BI10" s="1806" t="n"/>
      <c r="BJ10" s="1806" t="n"/>
      <c r="BK10" s="1806" t="n"/>
      <c r="BL10" s="1806" t="n"/>
      <c r="BM10" s="1806" t="n"/>
      <c r="BN10" s="1806" t="n"/>
      <c r="BO10" s="1806" t="n"/>
      <c r="BP10" s="1806" t="n"/>
      <c r="BQ10" s="1806" t="n"/>
    </row>
    <row r="11" ht="45" customFormat="1" customHeight="1" s="1958">
      <c r="A11" s="1326" t="n"/>
      <c r="B11" s="1297" t="n"/>
      <c r="C11" s="1778" t="inlineStr">
        <is>
          <t>Fusebox scanning (if requested by Customer)</t>
        </is>
      </c>
      <c r="D11" s="1532" t="n"/>
      <c r="E11" s="1561" t="inlineStr">
        <is>
          <t>per fusebox</t>
        </is>
      </c>
      <c r="F11" s="1561" t="inlineStr">
        <is>
          <t>reach for the scanner</t>
        </is>
      </c>
      <c r="G11" s="1561" t="inlineStr">
        <is>
          <t>Scanner putting down</t>
        </is>
      </c>
      <c r="H11" s="1966" t="n">
        <v>2.8</v>
      </c>
      <c r="I11" s="1690" t="inlineStr">
        <is>
          <t>pc</t>
        </is>
      </c>
      <c r="J11" s="1900" t="n">
        <v>1</v>
      </c>
      <c r="K11" s="1901">
        <f>+J11*H11</f>
        <v/>
      </c>
      <c r="L11" s="1344" t="n"/>
      <c r="M11" s="1231" t="n"/>
      <c r="N11" s="1344" t="n"/>
      <c r="O11" s="1231" t="n"/>
      <c r="P11" s="1957" t="n"/>
      <c r="Q11" s="1231" t="n"/>
      <c r="R11" s="1806" t="n"/>
      <c r="S11" s="1806" t="n"/>
      <c r="T11" s="1806" t="n"/>
      <c r="U11" s="1806" t="n"/>
      <c r="V11" s="1806" t="n"/>
      <c r="W11" s="1806" t="n"/>
      <c r="X11" s="1806" t="n"/>
      <c r="Y11" s="1806" t="n"/>
      <c r="Z11" s="1806" t="n"/>
      <c r="AA11" s="1806" t="n"/>
      <c r="AB11" s="1806" t="n"/>
      <c r="AC11" s="1806" t="n"/>
      <c r="AD11" s="1806" t="n"/>
      <c r="AE11" s="1806" t="n"/>
      <c r="AF11" s="1806" t="n"/>
      <c r="AG11" s="1806" t="n"/>
      <c r="AH11" s="1806" t="n"/>
      <c r="AI11" s="1806" t="n"/>
      <c r="AJ11" s="1806" t="n"/>
      <c r="AK11" s="1806" t="n"/>
      <c r="AL11" s="1806" t="n"/>
      <c r="AM11" s="1806" t="n"/>
      <c r="AN11" s="1806" t="n"/>
      <c r="AO11" s="1806" t="n"/>
      <c r="AP11" s="1806" t="n"/>
      <c r="AQ11" s="1806" t="n"/>
      <c r="AR11" s="1806" t="n"/>
      <c r="AS11" s="1806" t="n"/>
      <c r="AT11" s="1806" t="n"/>
      <c r="AU11" s="1806" t="n"/>
      <c r="AV11" s="1806" t="n"/>
      <c r="AW11" s="1806" t="n"/>
      <c r="AX11" s="1806" t="n"/>
      <c r="AY11" s="1806" t="n"/>
      <c r="AZ11" s="1806" t="n"/>
      <c r="BA11" s="1806" t="n"/>
      <c r="BB11" s="1806" t="n"/>
      <c r="BC11" s="1806" t="n"/>
      <c r="BD11" s="1806" t="n"/>
      <c r="BE11" s="1806" t="n"/>
      <c r="BF11" s="1806" t="n"/>
      <c r="BG11" s="1806" t="n"/>
      <c r="BH11" s="1806" t="n"/>
      <c r="BI11" s="1806" t="n"/>
      <c r="BJ11" s="1806" t="n"/>
      <c r="BK11" s="1806" t="n"/>
      <c r="BL11" s="1806" t="n"/>
      <c r="BM11" s="1806" t="n"/>
      <c r="BN11" s="1806" t="n"/>
      <c r="BO11" s="1806" t="n"/>
      <c r="BP11" s="1806" t="n"/>
      <c r="BQ11" s="1806" t="n"/>
    </row>
    <row r="12" ht="45" customFormat="1" customHeight="1" s="1958">
      <c r="A12" s="1326" t="n"/>
      <c r="B12" s="1297" t="n"/>
      <c r="C12" s="1778" t="inlineStr">
        <is>
          <t>Fusebox placing into holder</t>
        </is>
      </c>
      <c r="D12" s="1532" t="n"/>
      <c r="E12" s="1561" t="inlineStr">
        <is>
          <t>per fusebox</t>
        </is>
      </c>
      <c r="F12" s="1561" t="inlineStr">
        <is>
          <t>Scanner putting down</t>
        </is>
      </c>
      <c r="G12" s="1561" t="inlineStr">
        <is>
          <t>Fusebox fixed into holder</t>
        </is>
      </c>
      <c r="H12" s="1966" t="n">
        <v>5</v>
      </c>
      <c r="I12" s="1690" t="inlineStr">
        <is>
          <t>pc</t>
        </is>
      </c>
      <c r="J12" s="1900" t="n">
        <v>1</v>
      </c>
      <c r="K12" s="1901">
        <f>+J12*H12</f>
        <v/>
      </c>
      <c r="L12" s="1344" t="n"/>
      <c r="M12" s="1231" t="n"/>
      <c r="N12" s="1344" t="n"/>
      <c r="O12" s="1231" t="n"/>
      <c r="P12" s="1957" t="n"/>
      <c r="Q12" s="1231" t="n"/>
      <c r="R12" s="1806" t="n"/>
      <c r="S12" s="1806" t="n"/>
      <c r="T12" s="1806" t="n"/>
      <c r="U12" s="1806" t="n"/>
      <c r="V12" s="1806" t="n"/>
      <c r="W12" s="1806" t="n"/>
      <c r="X12" s="1806" t="n"/>
      <c r="Y12" s="1806" t="n"/>
      <c r="Z12" s="1806" t="n"/>
      <c r="AA12" s="1806" t="n"/>
      <c r="AB12" s="1806" t="n"/>
      <c r="AC12" s="1806" t="n"/>
      <c r="AD12" s="1806" t="n"/>
      <c r="AE12" s="1806" t="n"/>
      <c r="AF12" s="1806" t="n"/>
      <c r="AG12" s="1806" t="n"/>
      <c r="AH12" s="1806" t="n"/>
      <c r="AI12" s="1806" t="n"/>
      <c r="AJ12" s="1806" t="n"/>
      <c r="AK12" s="1806" t="n"/>
      <c r="AL12" s="1806" t="n"/>
      <c r="AM12" s="1806" t="n"/>
      <c r="AN12" s="1806" t="n"/>
      <c r="AO12" s="1806" t="n"/>
      <c r="AP12" s="1806" t="n"/>
      <c r="AQ12" s="1806" t="n"/>
      <c r="AR12" s="1806" t="n"/>
      <c r="AS12" s="1806" t="n"/>
      <c r="AT12" s="1806" t="n"/>
      <c r="AU12" s="1806" t="n"/>
      <c r="AV12" s="1806" t="n"/>
      <c r="AW12" s="1806" t="n"/>
      <c r="AX12" s="1806" t="n"/>
      <c r="AY12" s="1806" t="n"/>
      <c r="AZ12" s="1806" t="n"/>
      <c r="BA12" s="1806" t="n"/>
      <c r="BB12" s="1806" t="n"/>
      <c r="BC12" s="1806" t="n"/>
      <c r="BD12" s="1806" t="n"/>
      <c r="BE12" s="1806" t="n"/>
      <c r="BF12" s="1806" t="n"/>
      <c r="BG12" s="1806" t="n"/>
      <c r="BH12" s="1806" t="n"/>
      <c r="BI12" s="1806" t="n"/>
      <c r="BJ12" s="1806" t="n"/>
      <c r="BK12" s="1806" t="n"/>
      <c r="BL12" s="1806" t="n"/>
      <c r="BM12" s="1806" t="n"/>
      <c r="BN12" s="1806" t="n"/>
      <c r="BO12" s="1806" t="n"/>
      <c r="BP12" s="1806" t="n"/>
      <c r="BQ12" s="1806" t="n"/>
    </row>
    <row r="13" ht="45" customFormat="1" customHeight="1" s="1967">
      <c r="A13" s="1326" t="n"/>
      <c r="B13" s="1297" t="n"/>
      <c r="C13" s="1778" t="inlineStr">
        <is>
          <t>Get and Apply Screw (machine or self-tapping screw)</t>
        </is>
      </c>
      <c r="D13" s="1532" t="n"/>
      <c r="E13" s="1561" t="inlineStr">
        <is>
          <t>per Screw</t>
        </is>
      </c>
      <c r="F13" s="1561" t="inlineStr">
        <is>
          <t>Reach for Screw</t>
        </is>
      </c>
      <c r="G13" s="1561" t="inlineStr">
        <is>
          <t>Release Screw</t>
        </is>
      </c>
      <c r="H13" s="1899" t="n">
        <v>6.5</v>
      </c>
      <c r="I13" s="1690" t="inlineStr">
        <is>
          <t>pc</t>
        </is>
      </c>
      <c r="J13" s="1900" t="n">
        <v>1</v>
      </c>
      <c r="K13" s="1901">
        <f>+J13*H13</f>
        <v/>
      </c>
      <c r="L13" s="1344" t="inlineStr">
        <is>
          <t>Automatic</t>
        </is>
      </c>
      <c r="M13" s="1231" t="n"/>
      <c r="N13" s="1344" t="n"/>
      <c r="O13" s="1231" t="n"/>
      <c r="P13" s="1957" t="n"/>
      <c r="Q13" s="1231" t="n"/>
      <c r="R13" s="1806" t="n"/>
      <c r="S13" s="1806" t="n"/>
      <c r="T13" s="1806" t="n"/>
      <c r="U13" s="1806" t="n"/>
      <c r="V13" s="1806" t="n"/>
      <c r="W13" s="1806" t="n"/>
      <c r="X13" s="1806" t="n"/>
      <c r="Y13" s="1806" t="n"/>
      <c r="Z13" s="1806" t="n"/>
      <c r="AA13" s="1806" t="n"/>
      <c r="AB13" s="1806" t="n"/>
      <c r="AC13" s="1806" t="n"/>
      <c r="AD13" s="1806" t="n"/>
      <c r="AE13" s="1806" t="n"/>
      <c r="AF13" s="1806" t="n"/>
      <c r="AG13" s="1806" t="n"/>
      <c r="AH13" s="1806" t="n"/>
      <c r="AI13" s="1806" t="n"/>
      <c r="AJ13" s="1806" t="n"/>
      <c r="AK13" s="1806" t="n"/>
      <c r="AL13" s="1806" t="n"/>
      <c r="AM13" s="1806" t="n"/>
      <c r="AN13" s="1806" t="n"/>
      <c r="AO13" s="1806" t="n"/>
      <c r="AP13" s="1806" t="n"/>
      <c r="AQ13" s="1806" t="n"/>
      <c r="AR13" s="1806" t="n"/>
      <c r="AS13" s="1806" t="n"/>
      <c r="AT13" s="1806" t="n"/>
      <c r="AU13" s="1806" t="n"/>
      <c r="AV13" s="1806" t="n"/>
      <c r="AW13" s="1806" t="n"/>
      <c r="AX13" s="1806" t="n"/>
      <c r="AY13" s="1806" t="n"/>
      <c r="AZ13" s="1806" t="n"/>
      <c r="BA13" s="1806" t="n"/>
      <c r="BB13" s="1806" t="n"/>
      <c r="BC13" s="1806" t="n"/>
      <c r="BD13" s="1806" t="n"/>
      <c r="BE13" s="1806" t="n"/>
      <c r="BF13" s="1806" t="n"/>
      <c r="BG13" s="1806" t="n"/>
      <c r="BH13" s="1806" t="n"/>
      <c r="BI13" s="1806" t="n"/>
      <c r="BJ13" s="1806" t="n"/>
      <c r="BK13" s="1806" t="n"/>
      <c r="BL13" s="1806" t="n"/>
      <c r="BM13" s="1806" t="n"/>
      <c r="BN13" s="1806" t="n"/>
      <c r="BO13" s="1806" t="n"/>
      <c r="BP13" s="1806" t="n"/>
      <c r="BQ13" s="1806" t="n"/>
    </row>
    <row r="14" ht="45" customFormat="1" customHeight="1" s="1967">
      <c r="A14" s="1326" t="n"/>
      <c r="B14" s="1297" t="n"/>
      <c r="C14" s="1778" t="inlineStr">
        <is>
          <t xml:space="preserve">Get and apply BOLT With/Without COVER + Tightening </t>
        </is>
      </c>
      <c r="D14" s="1532" t="n"/>
      <c r="E14" s="1561" t="inlineStr">
        <is>
          <t>Per Piece</t>
        </is>
      </c>
      <c r="F14" s="1561" t="inlineStr">
        <is>
          <t>Reach for bolt and cover</t>
        </is>
      </c>
      <c r="G14" s="1561" t="inlineStr">
        <is>
          <t>Release connector/ring terminal after apply the nut/screw</t>
        </is>
      </c>
      <c r="H14" s="1899" t="n">
        <v>10</v>
      </c>
      <c r="I14" s="1690" t="inlineStr">
        <is>
          <t>pc</t>
        </is>
      </c>
      <c r="J14" s="1900" t="n">
        <v>1</v>
      </c>
      <c r="K14" s="1901">
        <f>+J14*H14</f>
        <v/>
      </c>
      <c r="L14" s="1344" t="inlineStr">
        <is>
          <t>Automatic</t>
        </is>
      </c>
      <c r="M14" s="1231" t="n"/>
      <c r="N14" s="1344" t="n"/>
      <c r="O14" s="1231" t="n"/>
      <c r="P14" s="1957" t="n"/>
      <c r="Q14" s="1231" t="n"/>
      <c r="R14" s="1806" t="n"/>
      <c r="S14" s="1806" t="n"/>
      <c r="T14" s="1806" t="n"/>
      <c r="U14" s="1806" t="n"/>
      <c r="V14" s="1806" t="n"/>
      <c r="W14" s="1806" t="n"/>
      <c r="X14" s="1806" t="n"/>
      <c r="Y14" s="1806" t="n"/>
      <c r="Z14" s="1806" t="n"/>
      <c r="AA14" s="1806" t="n"/>
      <c r="AB14" s="1806" t="n"/>
      <c r="AC14" s="1806" t="n"/>
      <c r="AD14" s="1806" t="n"/>
      <c r="AE14" s="1806" t="n"/>
      <c r="AF14" s="1806" t="n"/>
      <c r="AG14" s="1806" t="n"/>
      <c r="AH14" s="1806" t="n"/>
      <c r="AI14" s="1806" t="n"/>
      <c r="AJ14" s="1806" t="n"/>
      <c r="AK14" s="1806" t="n"/>
      <c r="AL14" s="1806" t="n"/>
      <c r="AM14" s="1806" t="n"/>
      <c r="AN14" s="1806" t="n"/>
      <c r="AO14" s="1806" t="n"/>
      <c r="AP14" s="1806" t="n"/>
      <c r="AQ14" s="1806" t="n"/>
      <c r="AR14" s="1806" t="n"/>
      <c r="AS14" s="1806" t="n"/>
      <c r="AT14" s="1806" t="n"/>
      <c r="AU14" s="1806" t="n"/>
      <c r="AV14" s="1806" t="n"/>
      <c r="AW14" s="1806" t="n"/>
      <c r="AX14" s="1806" t="n"/>
      <c r="AY14" s="1806" t="n"/>
      <c r="AZ14" s="1806" t="n"/>
      <c r="BA14" s="1806" t="n"/>
      <c r="BB14" s="1806" t="n"/>
      <c r="BC14" s="1806" t="n"/>
      <c r="BD14" s="1806" t="n"/>
      <c r="BE14" s="1806" t="n"/>
      <c r="BF14" s="1806" t="n"/>
      <c r="BG14" s="1806" t="n"/>
      <c r="BH14" s="1806" t="n"/>
      <c r="BI14" s="1806" t="n"/>
      <c r="BJ14" s="1806" t="n"/>
      <c r="BK14" s="1806" t="n"/>
      <c r="BL14" s="1806" t="n"/>
      <c r="BM14" s="1806" t="n"/>
      <c r="BN14" s="1806" t="n"/>
      <c r="BO14" s="1806" t="n"/>
      <c r="BP14" s="1806" t="n"/>
      <c r="BQ14" s="1806" t="n"/>
    </row>
    <row r="15" hidden="1" ht="45" customFormat="1" customHeight="1" s="1967">
      <c r="A15" s="1326" t="n"/>
      <c r="B15" s="1297" t="n"/>
      <c r="C15" s="1872" t="inlineStr">
        <is>
          <t>BOLT CONN PROCESS</t>
        </is>
      </c>
      <c r="D15" s="1532" t="n"/>
      <c r="E15" s="1872" t="inlineStr">
        <is>
          <t>Per Piece</t>
        </is>
      </c>
      <c r="F15" s="1872" t="inlineStr">
        <is>
          <t>Reach for screw</t>
        </is>
      </c>
      <c r="G15" s="1872" t="inlineStr">
        <is>
          <t>Release connector after apply the screw</t>
        </is>
      </c>
      <c r="H15" s="1968" t="n">
        <v>8.800000000000001</v>
      </c>
      <c r="I15" s="1874" t="inlineStr">
        <is>
          <t>pc</t>
        </is>
      </c>
      <c r="J15" s="1900" t="n">
        <v>1</v>
      </c>
      <c r="K15" s="1901">
        <f>+J15*H15</f>
        <v/>
      </c>
      <c r="L15" s="1344" t="inlineStr">
        <is>
          <t>Automatic</t>
        </is>
      </c>
      <c r="M15" s="1231" t="n"/>
      <c r="N15" s="1344" t="n"/>
      <c r="O15" s="1231" t="n"/>
      <c r="P15" s="1957" t="n"/>
      <c r="Q15" s="1231" t="n"/>
      <c r="R15" s="1806" t="n"/>
      <c r="S15" s="1806" t="n"/>
      <c r="T15" s="1806" t="n"/>
      <c r="U15" s="1806" t="n"/>
      <c r="V15" s="1806" t="n"/>
      <c r="W15" s="1806" t="n"/>
      <c r="X15" s="1806" t="n"/>
      <c r="Y15" s="1806" t="n"/>
      <c r="Z15" s="1806" t="n"/>
      <c r="AA15" s="1806" t="n"/>
      <c r="AB15" s="1806" t="n"/>
      <c r="AC15" s="1806" t="n"/>
      <c r="AD15" s="1806" t="n"/>
      <c r="AE15" s="1806" t="n"/>
      <c r="AF15" s="1806" t="n"/>
      <c r="AG15" s="1806" t="n"/>
      <c r="AH15" s="1806" t="n"/>
      <c r="AI15" s="1806" t="n"/>
      <c r="AJ15" s="1806" t="n"/>
      <c r="AK15" s="1806" t="n"/>
      <c r="AL15" s="1806" t="n"/>
      <c r="AM15" s="1806" t="n"/>
      <c r="AN15" s="1806" t="n"/>
      <c r="AO15" s="1806" t="n"/>
      <c r="AP15" s="1806" t="n"/>
      <c r="AQ15" s="1806" t="n"/>
      <c r="AR15" s="1806" t="n"/>
      <c r="AS15" s="1806" t="n"/>
      <c r="AT15" s="1806" t="n"/>
      <c r="AU15" s="1806" t="n"/>
      <c r="AV15" s="1806" t="n"/>
      <c r="AW15" s="1806" t="n"/>
      <c r="AX15" s="1806" t="n"/>
      <c r="AY15" s="1806" t="n"/>
      <c r="AZ15" s="1806" t="n"/>
      <c r="BA15" s="1806" t="n"/>
      <c r="BB15" s="1806" t="n"/>
      <c r="BC15" s="1806" t="n"/>
      <c r="BD15" s="1806" t="n"/>
      <c r="BE15" s="1806" t="n"/>
      <c r="BF15" s="1806" t="n"/>
      <c r="BG15" s="1806" t="n"/>
      <c r="BH15" s="1806" t="n"/>
      <c r="BI15" s="1806" t="n"/>
      <c r="BJ15" s="1806" t="n"/>
      <c r="BK15" s="1806" t="n"/>
      <c r="BL15" s="1806" t="n"/>
      <c r="BM15" s="1806" t="n"/>
      <c r="BN15" s="1806" t="n"/>
      <c r="BO15" s="1806" t="n"/>
      <c r="BP15" s="1806" t="n"/>
      <c r="BQ15" s="1806" t="n"/>
    </row>
    <row r="16" ht="45" customFormat="1" customHeight="1" s="1969">
      <c r="A16" s="1326" t="n"/>
      <c r="B16" s="1297" t="n"/>
      <c r="C16" s="1778" t="inlineStr">
        <is>
          <t>Get and apply NUT TO BOLT + Tightening</t>
        </is>
      </c>
      <c r="D16" s="1532" t="n"/>
      <c r="E16" s="1561" t="inlineStr">
        <is>
          <t>Per Piece</t>
        </is>
      </c>
      <c r="F16" s="1561" t="inlineStr">
        <is>
          <t>Reach for  nut</t>
        </is>
      </c>
      <c r="G16" s="1561" t="inlineStr">
        <is>
          <t>Release connector/ring terminal after apply the nut/screw</t>
        </is>
      </c>
      <c r="H16" s="1899" t="n">
        <v>15</v>
      </c>
      <c r="I16" s="1690" t="inlineStr">
        <is>
          <t>pc</t>
        </is>
      </c>
      <c r="J16" s="1900" t="n">
        <v>1</v>
      </c>
      <c r="K16" s="1901">
        <f>+J16*H16</f>
        <v/>
      </c>
      <c r="L16" s="1344" t="n"/>
      <c r="M16" s="1231" t="n"/>
      <c r="N16" s="1344" t="n"/>
      <c r="O16" s="1231" t="n"/>
      <c r="P16" s="1957" t="n"/>
      <c r="Q16" s="1231" t="n"/>
      <c r="R16" s="1806" t="n"/>
      <c r="S16" s="1806" t="n"/>
      <c r="T16" s="1806" t="n"/>
      <c r="U16" s="1806" t="n"/>
      <c r="V16" s="1806" t="n"/>
      <c r="W16" s="1806" t="n"/>
      <c r="X16" s="1806" t="n"/>
      <c r="Y16" s="1806" t="n"/>
      <c r="Z16" s="1806" t="n"/>
      <c r="AA16" s="1806" t="n"/>
      <c r="AB16" s="1806" t="n"/>
      <c r="AC16" s="1806" t="n"/>
      <c r="AD16" s="1806" t="n"/>
      <c r="AE16" s="1806" t="n"/>
      <c r="AF16" s="1806" t="n"/>
      <c r="AG16" s="1806" t="n"/>
      <c r="AH16" s="1806" t="n"/>
      <c r="AI16" s="1806" t="n"/>
      <c r="AJ16" s="1806" t="n"/>
      <c r="AK16" s="1806" t="n"/>
      <c r="AL16" s="1806" t="n"/>
      <c r="AM16" s="1806" t="n"/>
      <c r="AN16" s="1806" t="n"/>
      <c r="AO16" s="1806" t="n"/>
      <c r="AP16" s="1806" t="n"/>
      <c r="AQ16" s="1806" t="n"/>
      <c r="AR16" s="1806" t="n"/>
      <c r="AS16" s="1806" t="n"/>
      <c r="AT16" s="1806" t="n"/>
      <c r="AU16" s="1806" t="n"/>
      <c r="AV16" s="1806" t="n"/>
      <c r="AW16" s="1806" t="n"/>
      <c r="AX16" s="1806" t="n"/>
      <c r="AY16" s="1806" t="n"/>
      <c r="AZ16" s="1806" t="n"/>
      <c r="BA16" s="1806" t="n"/>
      <c r="BB16" s="1806" t="n"/>
      <c r="BC16" s="1806" t="n"/>
      <c r="BD16" s="1806" t="n"/>
      <c r="BE16" s="1806" t="n"/>
      <c r="BF16" s="1806" t="n"/>
      <c r="BG16" s="1806" t="n"/>
      <c r="BH16" s="1806" t="n"/>
      <c r="BI16" s="1806" t="n"/>
      <c r="BJ16" s="1806" t="n"/>
      <c r="BK16" s="1806" t="n"/>
      <c r="BL16" s="1806" t="n"/>
      <c r="BM16" s="1806" t="n"/>
      <c r="BN16" s="1806" t="n"/>
      <c r="BO16" s="1806" t="n"/>
      <c r="BP16" s="1806" t="n"/>
      <c r="BQ16" s="1806" t="n"/>
    </row>
    <row r="17" ht="45" customFormat="1" customHeight="1" s="1969">
      <c r="A17" s="1326" t="n"/>
      <c r="B17" s="1297" t="n"/>
      <c r="C17" s="1778" t="inlineStr">
        <is>
          <t>Remove fusebox from holder after finished test</t>
        </is>
      </c>
      <c r="D17" s="1532" t="n"/>
      <c r="E17" s="1561" t="inlineStr">
        <is>
          <t>per fusebox</t>
        </is>
      </c>
      <c r="F17" s="1561" t="inlineStr">
        <is>
          <t>Reach for the fusebox</t>
        </is>
      </c>
      <c r="G17" s="1561" t="inlineStr">
        <is>
          <t>Fusebox on the transportation system</t>
        </is>
      </c>
      <c r="H17" s="1966" t="n">
        <v>4</v>
      </c>
      <c r="I17" s="1690" t="inlineStr">
        <is>
          <t>pc</t>
        </is>
      </c>
      <c r="J17" s="1900" t="n">
        <v>1</v>
      </c>
      <c r="K17" s="1901">
        <f>+J17*H17</f>
        <v/>
      </c>
      <c r="L17" s="1344" t="n"/>
      <c r="M17" s="1231" t="n"/>
      <c r="N17" s="1344" t="n"/>
      <c r="O17" s="1231" t="n"/>
      <c r="P17" s="1957" t="n"/>
      <c r="Q17" s="1231" t="n"/>
      <c r="R17" s="1806" t="n"/>
      <c r="S17" s="1806" t="n"/>
      <c r="T17" s="1806" t="n"/>
      <c r="U17" s="1806" t="n"/>
      <c r="V17" s="1806" t="n"/>
      <c r="W17" s="1806" t="n"/>
      <c r="X17" s="1806" t="n"/>
      <c r="Y17" s="1806" t="n"/>
      <c r="Z17" s="1806" t="n"/>
      <c r="AA17" s="1806" t="n"/>
      <c r="AB17" s="1806" t="n"/>
      <c r="AC17" s="1806" t="n"/>
      <c r="AD17" s="1806" t="n"/>
      <c r="AE17" s="1806" t="n"/>
      <c r="AF17" s="1806" t="n"/>
      <c r="AG17" s="1806" t="n"/>
      <c r="AH17" s="1806" t="n"/>
      <c r="AI17" s="1806" t="n"/>
      <c r="AJ17" s="1806" t="n"/>
      <c r="AK17" s="1806" t="n"/>
      <c r="AL17" s="1806" t="n"/>
      <c r="AM17" s="1806" t="n"/>
      <c r="AN17" s="1806" t="n"/>
      <c r="AO17" s="1806" t="n"/>
      <c r="AP17" s="1806" t="n"/>
      <c r="AQ17" s="1806" t="n"/>
      <c r="AR17" s="1806" t="n"/>
      <c r="AS17" s="1806" t="n"/>
      <c r="AT17" s="1806" t="n"/>
      <c r="AU17" s="1806" t="n"/>
      <c r="AV17" s="1806" t="n"/>
      <c r="AW17" s="1806" t="n"/>
      <c r="AX17" s="1806" t="n"/>
      <c r="AY17" s="1806" t="n"/>
      <c r="AZ17" s="1806" t="n"/>
      <c r="BA17" s="1806" t="n"/>
      <c r="BB17" s="1806" t="n"/>
      <c r="BC17" s="1806" t="n"/>
      <c r="BD17" s="1806" t="n"/>
      <c r="BE17" s="1806" t="n"/>
      <c r="BF17" s="1806" t="n"/>
      <c r="BG17" s="1806" t="n"/>
      <c r="BH17" s="1806" t="n"/>
      <c r="BI17" s="1806" t="n"/>
      <c r="BJ17" s="1806" t="n"/>
      <c r="BK17" s="1806" t="n"/>
      <c r="BL17" s="1806" t="n"/>
      <c r="BM17" s="1806" t="n"/>
      <c r="BN17" s="1806" t="n"/>
      <c r="BO17" s="1806" t="n"/>
      <c r="BP17" s="1806" t="n"/>
      <c r="BQ17" s="1806" t="n"/>
    </row>
    <row r="18" ht="27" customFormat="1" customHeight="1" s="1806">
      <c r="A18" s="1697" t="inlineStr">
        <is>
          <t>GET SUPPORT AND ASSEMBLY CONNECTOR</t>
        </is>
      </c>
      <c r="B18" s="1590" t="n"/>
      <c r="C18" s="1323" t="inlineStr">
        <is>
          <t>Get support and assembly connector to support</t>
        </is>
      </c>
      <c r="D18" s="1590" t="n"/>
      <c r="E18" s="1698" t="inlineStr">
        <is>
          <t>Get Support</t>
        </is>
      </c>
      <c r="F18" s="1698" t="inlineStr">
        <is>
          <t>Get Support</t>
        </is>
      </c>
      <c r="G18" s="1698" t="inlineStr">
        <is>
          <t>Release support</t>
        </is>
      </c>
      <c r="H18" s="1970" t="n">
        <v>4.2</v>
      </c>
      <c r="I18" s="1685" t="inlineStr">
        <is>
          <t>pc</t>
        </is>
      </c>
      <c r="J18" s="1916" t="n">
        <v>1</v>
      </c>
      <c r="K18" s="1937">
        <f>+J18*H18</f>
        <v/>
      </c>
      <c r="L18" s="1344" t="inlineStr">
        <is>
          <t>Manual</t>
        </is>
      </c>
      <c r="M18" s="1231" t="n"/>
      <c r="N18" s="1344" t="n"/>
      <c r="O18" s="1806" t="n"/>
      <c r="P18" s="1957" t="n"/>
      <c r="Q18" s="1231" t="n"/>
      <c r="R18" s="1806" t="n"/>
      <c r="S18" s="1806" t="n"/>
      <c r="T18" s="1806" t="n"/>
      <c r="U18" s="1806" t="n"/>
      <c r="V18" s="1806" t="n"/>
      <c r="W18" s="1806" t="n"/>
      <c r="X18" s="1806" t="n"/>
      <c r="Y18" s="1806" t="n"/>
      <c r="Z18" s="1806" t="n"/>
      <c r="AA18" s="1806" t="n"/>
      <c r="AB18" s="1806" t="n"/>
      <c r="AC18" s="1806" t="n"/>
      <c r="AD18" s="1806" t="n"/>
      <c r="AE18" s="1806" t="n"/>
      <c r="AF18" s="1806" t="n"/>
      <c r="AG18" s="1806" t="n"/>
      <c r="AH18" s="1806" t="n"/>
      <c r="AI18" s="1806" t="n"/>
      <c r="AJ18" s="1806" t="n"/>
      <c r="AK18" s="1806" t="n"/>
      <c r="AL18" s="1806" t="n"/>
      <c r="AM18" s="1806" t="n"/>
    </row>
    <row r="19" ht="30.75" customFormat="1" customHeight="1" s="1806">
      <c r="A19" s="1329" t="n"/>
      <c r="B19" s="1301" t="n"/>
      <c r="C19" s="1812" t="n"/>
      <c r="D19" s="1301" t="n"/>
      <c r="E19" s="1672" t="inlineStr">
        <is>
          <t>Assembly Conn to Support</t>
        </is>
      </c>
      <c r="F19" s="1672" t="inlineStr">
        <is>
          <t>Get component</t>
        </is>
      </c>
      <c r="G19" s="1672" t="inlineStr">
        <is>
          <t>Release connector</t>
        </is>
      </c>
      <c r="H19" s="1922" t="n">
        <v>3.6</v>
      </c>
      <c r="I19" s="1694" t="inlineStr">
        <is>
          <t>pc</t>
        </is>
      </c>
      <c r="J19" s="1674" t="n">
        <v>1</v>
      </c>
      <c r="K19" s="1675">
        <f>+J19*H19</f>
        <v/>
      </c>
      <c r="L19" s="1344" t="inlineStr">
        <is>
          <t>Manual</t>
        </is>
      </c>
      <c r="M19" s="1231" t="n"/>
      <c r="N19" s="1344" t="n"/>
      <c r="O19" s="1806" t="n"/>
      <c r="P19" s="1957" t="n"/>
      <c r="Q19" s="1231" t="n"/>
      <c r="R19" s="1806" t="n"/>
      <c r="S19" s="1806" t="n"/>
      <c r="T19" s="1806" t="n"/>
      <c r="U19" s="1806" t="n"/>
      <c r="V19" s="1806" t="n"/>
      <c r="W19" s="1806" t="n"/>
      <c r="X19" s="1806" t="n"/>
      <c r="Y19" s="1806" t="n"/>
      <c r="Z19" s="1806" t="n"/>
      <c r="AA19" s="1806" t="n"/>
      <c r="AB19" s="1806" t="n"/>
      <c r="AC19" s="1806" t="n"/>
      <c r="AD19" s="1806" t="n"/>
      <c r="AE19" s="1806" t="n"/>
      <c r="AF19" s="1806" t="n"/>
      <c r="AG19" s="1806" t="n"/>
      <c r="AH19" s="1806" t="n"/>
      <c r="AI19" s="1806" t="n"/>
      <c r="AJ19" s="1806" t="n"/>
      <c r="AK19" s="1806" t="n"/>
      <c r="AL19" s="1806" t="n"/>
      <c r="AM19" s="1806" t="n"/>
    </row>
    <row r="20" ht="42" customFormat="1" customHeight="1" s="1806">
      <c r="A20" s="1971" t="inlineStr">
        <is>
          <t>GET , APPLY AND FIX COFLEX TUBE</t>
        </is>
      </c>
      <c r="B20" s="1590" t="n"/>
      <c r="C20" s="1972" t="inlineStr">
        <is>
          <t>For Coflex Tube the time included To get, Apply and adjust tubes in right position</t>
        </is>
      </c>
      <c r="D20" s="1590" t="n"/>
      <c r="E20" s="1698" t="n"/>
      <c r="F20" s="1698" t="inlineStr">
        <is>
          <t>Get Coflex tube</t>
        </is>
      </c>
      <c r="G20" s="1698" t="inlineStr">
        <is>
          <t>Release tube</t>
        </is>
      </c>
      <c r="H20" s="1970" t="n">
        <v>6.05</v>
      </c>
      <c r="I20" s="1685" t="inlineStr">
        <is>
          <t>pc</t>
        </is>
      </c>
      <c r="J20" s="1916" t="n">
        <v>1</v>
      </c>
      <c r="K20" s="1937">
        <f>+J20*H20</f>
        <v/>
      </c>
      <c r="L20" s="1344" t="inlineStr">
        <is>
          <t>Automatic</t>
        </is>
      </c>
      <c r="M20" s="1231" t="n"/>
      <c r="N20" s="1344" t="n"/>
      <c r="O20" s="1806" t="n"/>
      <c r="P20" s="1957" t="n"/>
      <c r="Q20" s="1231" t="n"/>
      <c r="R20" s="1806" t="n"/>
      <c r="S20" s="1806" t="n"/>
      <c r="T20" s="1806" t="n"/>
      <c r="U20" s="1806" t="n"/>
      <c r="V20" s="1806" t="n"/>
      <c r="W20" s="1806" t="n"/>
      <c r="X20" s="1806" t="n"/>
      <c r="Y20" s="1806" t="n"/>
      <c r="Z20" s="1806" t="n"/>
      <c r="AA20" s="1806" t="n"/>
      <c r="AB20" s="1806" t="n"/>
      <c r="AC20" s="1806" t="n"/>
      <c r="AD20" s="1806" t="n"/>
      <c r="AE20" s="1806" t="n"/>
      <c r="AF20" s="1806" t="n"/>
      <c r="AG20" s="1806" t="n"/>
      <c r="AH20" s="1806" t="n"/>
      <c r="AI20" s="1806" t="n"/>
      <c r="AJ20" s="1806" t="n"/>
      <c r="AK20" s="1806" t="n"/>
      <c r="AL20" s="1806" t="n"/>
      <c r="AM20" s="1806" t="n"/>
    </row>
    <row r="21" ht="36" customFormat="1" customHeight="1" s="1806">
      <c r="A21" s="1737" t="n"/>
      <c r="B21" s="1545" t="n"/>
      <c r="C21" s="1544" t="n"/>
      <c r="D21" s="1545" t="n"/>
      <c r="E21" s="1561" t="n"/>
      <c r="F21" s="1561" t="inlineStr">
        <is>
          <t>Reach coflex tube</t>
        </is>
      </c>
      <c r="G21" s="1561" t="inlineStr">
        <is>
          <t>release branch after finish application</t>
        </is>
      </c>
      <c r="H21" s="1931" t="n">
        <v>0.052</v>
      </c>
      <c r="I21" s="1690" t="inlineStr">
        <is>
          <t>mm</t>
        </is>
      </c>
      <c r="J21" s="1900" t="n">
        <v>1</v>
      </c>
      <c r="K21" s="1901">
        <f>+J21*H21</f>
        <v/>
      </c>
      <c r="L21" s="1344" t="inlineStr">
        <is>
          <t>Automatic</t>
        </is>
      </c>
      <c r="M21" s="1231" t="n"/>
      <c r="N21" s="1344" t="n"/>
      <c r="O21" s="1806" t="n"/>
      <c r="P21" s="1957" t="n"/>
      <c r="Q21" s="1231" t="n"/>
      <c r="R21" s="1806" t="n"/>
      <c r="S21" s="1806" t="n"/>
      <c r="T21" s="1806" t="n"/>
      <c r="U21" s="1806" t="n"/>
      <c r="V21" s="1806" t="n"/>
      <c r="W21" s="1806" t="n"/>
      <c r="X21" s="1806" t="n"/>
      <c r="Y21" s="1806" t="n"/>
      <c r="Z21" s="1806" t="n"/>
      <c r="AA21" s="1806" t="n"/>
      <c r="AB21" s="1806" t="n"/>
      <c r="AC21" s="1806" t="n"/>
      <c r="AD21" s="1806" t="n"/>
      <c r="AE21" s="1806" t="n"/>
      <c r="AF21" s="1806" t="n"/>
      <c r="AG21" s="1806" t="n"/>
      <c r="AH21" s="1806" t="n"/>
      <c r="AI21" s="1806" t="n"/>
      <c r="AJ21" s="1806" t="n"/>
      <c r="AK21" s="1806" t="n"/>
      <c r="AL21" s="1806" t="n"/>
      <c r="AM21" s="1806" t="n"/>
    </row>
    <row r="22" ht="66.75" customFormat="1" customHeight="1" s="1806">
      <c r="A22" s="1491" t="inlineStr">
        <is>
          <t>GET , APPLY AND FIX KNITTED UNSLITTED TUBE ( GAINE TRESSEE )</t>
        </is>
      </c>
      <c r="B22" s="1532" t="n"/>
      <c r="C22" s="1973" t="n"/>
      <c r="D22" s="1532" t="n"/>
      <c r="E22" s="1561" t="n"/>
      <c r="F22" s="1561" t="inlineStr">
        <is>
          <t>GET , APPLY AND FIX</t>
        </is>
      </c>
      <c r="G22" s="1561" t="n"/>
      <c r="H22" s="1931" t="n">
        <v>20.5</v>
      </c>
      <c r="I22" s="1690" t="inlineStr">
        <is>
          <t>pc</t>
        </is>
      </c>
      <c r="J22" s="1900" t="n">
        <v>1</v>
      </c>
      <c r="K22" s="1901">
        <f>+J22*H22</f>
        <v/>
      </c>
      <c r="L22" s="1344" t="inlineStr">
        <is>
          <t>Automatic</t>
        </is>
      </c>
      <c r="M22" s="1231" t="n"/>
      <c r="N22" s="1344" t="n"/>
      <c r="O22" s="1806" t="n"/>
      <c r="P22" s="1957" t="n"/>
      <c r="Q22" s="1231" t="n"/>
      <c r="R22" s="1806" t="n"/>
      <c r="S22" s="1806" t="n"/>
      <c r="T22" s="1806" t="n"/>
      <c r="U22" s="1806" t="n"/>
      <c r="V22" s="1806" t="n"/>
      <c r="W22" s="1806" t="n"/>
      <c r="X22" s="1806" t="n"/>
      <c r="Y22" s="1806" t="n"/>
      <c r="Z22" s="1806" t="n"/>
      <c r="AA22" s="1806" t="n"/>
      <c r="AB22" s="1806" t="n"/>
      <c r="AC22" s="1806" t="n"/>
      <c r="AD22" s="1806" t="n"/>
      <c r="AE22" s="1806" t="n"/>
      <c r="AF22" s="1806" t="n"/>
      <c r="AG22" s="1806" t="n"/>
      <c r="AH22" s="1806" t="n"/>
      <c r="AI22" s="1806" t="n"/>
      <c r="AJ22" s="1806" t="n"/>
      <c r="AK22" s="1806" t="n"/>
      <c r="AL22" s="1806" t="n"/>
      <c r="AM22" s="1806" t="n"/>
    </row>
    <row r="23" ht="51" customFormat="1" customHeight="1" s="1806">
      <c r="A23" s="1491" t="inlineStr">
        <is>
          <t>GET AND APPLY  LOCATWRAP TUBE</t>
        </is>
      </c>
      <c r="B23" s="1532" t="n"/>
      <c r="C23" s="1973" t="n"/>
      <c r="D23" s="1532" t="n"/>
      <c r="E23" s="1561" t="n"/>
      <c r="F23" s="1561" t="inlineStr">
        <is>
          <t>GET AND APPLY</t>
        </is>
      </c>
      <c r="G23" s="1561" t="n"/>
      <c r="H23" s="1931" t="n">
        <v>0.073</v>
      </c>
      <c r="I23" s="1690" t="inlineStr">
        <is>
          <t>mm</t>
        </is>
      </c>
      <c r="J23" s="1900" t="n">
        <v>1</v>
      </c>
      <c r="K23" s="1901">
        <f>+J23*H23</f>
        <v/>
      </c>
      <c r="L23" s="1344" t="inlineStr">
        <is>
          <t>Automatic</t>
        </is>
      </c>
      <c r="M23" s="1231" t="n"/>
      <c r="N23" s="1344" t="n"/>
      <c r="O23" s="1231" t="n"/>
      <c r="P23" s="1957" t="n"/>
      <c r="Q23" s="1231" t="n"/>
      <c r="R23" s="1806" t="n"/>
      <c r="S23" s="1806" t="n"/>
      <c r="T23" s="1806" t="n"/>
      <c r="U23" s="1806" t="n"/>
      <c r="V23" s="1806" t="n"/>
      <c r="W23" s="1806" t="n"/>
      <c r="X23" s="1806" t="n"/>
      <c r="Y23" s="1806" t="n"/>
      <c r="Z23" s="1806" t="n"/>
      <c r="AA23" s="1806" t="n"/>
      <c r="AB23" s="1806" t="n"/>
      <c r="AC23" s="1806" t="n"/>
      <c r="AD23" s="1806" t="n"/>
      <c r="AE23" s="1806" t="n"/>
      <c r="AF23" s="1806" t="n"/>
      <c r="AG23" s="1806" t="n"/>
      <c r="AH23" s="1806" t="n"/>
      <c r="AI23" s="1806" t="n"/>
      <c r="AJ23" s="1806" t="n"/>
      <c r="AK23" s="1806" t="n"/>
      <c r="AL23" s="1806" t="n"/>
      <c r="AM23" s="1806" t="n"/>
    </row>
    <row r="24" ht="71.25" customFormat="1" customHeight="1" s="1806">
      <c r="A24" s="1223" t="inlineStr">
        <is>
          <t>Raidisseur Application inside Harness unflexible tube</t>
        </is>
      </c>
      <c r="B24" s="1670" t="n"/>
      <c r="C24" s="1974" t="n"/>
      <c r="D24" s="1670" t="n"/>
      <c r="E24" s="1672" t="n"/>
      <c r="F24" s="1671" t="inlineStr">
        <is>
          <t>GET AND APPLY</t>
        </is>
      </c>
      <c r="G24" s="1671" t="n"/>
      <c r="H24" s="1922" t="n">
        <v>0.01</v>
      </c>
      <c r="I24" s="1694" t="inlineStr">
        <is>
          <t>mm</t>
        </is>
      </c>
      <c r="J24" s="1674" t="n">
        <v>1</v>
      </c>
      <c r="K24" s="1675">
        <f>+J24*H24</f>
        <v/>
      </c>
      <c r="L24" s="1344" t="inlineStr">
        <is>
          <t>Manual</t>
        </is>
      </c>
      <c r="M24" s="1231" t="n"/>
      <c r="N24" s="1344" t="n"/>
      <c r="O24" s="1231" t="n"/>
      <c r="P24" s="1957" t="n"/>
      <c r="Q24" s="1231" t="n"/>
      <c r="R24" s="1806" t="n"/>
      <c r="S24" s="1806" t="n"/>
      <c r="T24" s="1806" t="n"/>
      <c r="U24" s="1806" t="n"/>
      <c r="V24" s="1806" t="n"/>
      <c r="W24" s="1806" t="n"/>
      <c r="X24" s="1806" t="n"/>
      <c r="Y24" s="1806" t="n"/>
      <c r="Z24" s="1806" t="n"/>
      <c r="AA24" s="1806" t="n"/>
      <c r="AB24" s="1806" t="n"/>
      <c r="AC24" s="1806" t="n"/>
      <c r="AD24" s="1806" t="n"/>
      <c r="AE24" s="1806" t="n"/>
      <c r="AF24" s="1806" t="n"/>
      <c r="AG24" s="1806" t="n"/>
      <c r="AH24" s="1806" t="n"/>
      <c r="AI24" s="1806" t="n"/>
      <c r="AJ24" s="1806" t="n"/>
      <c r="AK24" s="1806" t="n"/>
      <c r="AL24" s="1806" t="n"/>
      <c r="AM24" s="1806" t="n"/>
    </row>
    <row r="25" ht="38.25" customFormat="1" customHeight="1" s="1806">
      <c r="A25" s="1697" t="inlineStr">
        <is>
          <t>Conduits and Tubes
SEALED / UNSEALED WIRES</t>
        </is>
      </c>
      <c r="B25" s="1590" t="n"/>
      <c r="C25" s="1698" t="inlineStr">
        <is>
          <t>Get closed (unslit) conduits and tubes - sealed / unsealed wires</t>
        </is>
      </c>
      <c r="D25" s="1610" t="n"/>
      <c r="E25" s="1939" t="inlineStr">
        <is>
          <t>Per Piece</t>
        </is>
      </c>
      <c r="F25" s="1698" t="inlineStr">
        <is>
          <t>Get conduit/tube</t>
        </is>
      </c>
      <c r="G25" s="1698" t="inlineStr">
        <is>
          <t>Reach for branch</t>
        </is>
      </c>
      <c r="H25" s="1931" t="n">
        <v>5.941</v>
      </c>
      <c r="I25" s="1685" t="inlineStr">
        <is>
          <t>pc</t>
        </is>
      </c>
      <c r="J25" s="1916" t="n">
        <v>1</v>
      </c>
      <c r="K25" s="1937">
        <f>+J25*H25</f>
        <v/>
      </c>
      <c r="L25" s="1344" t="inlineStr">
        <is>
          <t>Automatic</t>
        </is>
      </c>
      <c r="M25" s="1231" t="n"/>
      <c r="N25" s="1344" t="n"/>
      <c r="O25" s="1231" t="n"/>
      <c r="P25" s="1957" t="n"/>
      <c r="Q25" s="1231" t="n"/>
      <c r="R25" s="1806" t="n"/>
      <c r="S25" s="1806" t="n"/>
      <c r="T25" s="1806" t="n"/>
      <c r="U25" s="1806" t="n"/>
      <c r="V25" s="1806" t="n"/>
      <c r="W25" s="1806" t="n"/>
      <c r="X25" s="1806" t="n"/>
      <c r="Y25" s="1806" t="n"/>
      <c r="Z25" s="1806" t="n"/>
      <c r="AA25" s="1806" t="n"/>
      <c r="AB25" s="1806" t="n"/>
      <c r="AC25" s="1806" t="n"/>
      <c r="AD25" s="1806" t="n"/>
      <c r="AE25" s="1806" t="n"/>
      <c r="AF25" s="1806" t="n"/>
      <c r="AG25" s="1806" t="n"/>
      <c r="AH25" s="1806" t="n"/>
      <c r="AI25" s="1806" t="n"/>
      <c r="AJ25" s="1806" t="n"/>
      <c r="AK25" s="1806" t="n"/>
      <c r="AL25" s="1806" t="n"/>
      <c r="AM25" s="1806" t="n"/>
    </row>
    <row r="26" ht="38.25" customFormat="1" customHeight="1" s="1806">
      <c r="A26" s="1326" t="n"/>
      <c r="B26" s="1297" t="n"/>
      <c r="C26" s="1561" t="inlineStr">
        <is>
          <t>Apply closed (unslit) conduits and tubes - sealed / unsealed wires</t>
        </is>
      </c>
      <c r="D26" s="1532" t="n"/>
      <c r="E26" s="1522" t="inlineStr">
        <is>
          <t>Per mm</t>
        </is>
      </c>
      <c r="F26" s="1561" t="inlineStr">
        <is>
          <t>Start Apply</t>
        </is>
      </c>
      <c r="G26" s="1561" t="inlineStr">
        <is>
          <t>Release branch</t>
        </is>
      </c>
      <c r="H26" s="1931" t="n">
        <v>0.01213</v>
      </c>
      <c r="I26" s="1690" t="inlineStr">
        <is>
          <t>mm</t>
        </is>
      </c>
      <c r="J26" s="1900" t="n">
        <v>1</v>
      </c>
      <c r="K26" s="1901">
        <f>+J26*H26</f>
        <v/>
      </c>
      <c r="L26" s="1344" t="inlineStr">
        <is>
          <t>Automatic</t>
        </is>
      </c>
      <c r="M26" s="1231" t="n"/>
      <c r="N26" s="1344" t="n"/>
      <c r="O26" s="1231" t="n"/>
      <c r="P26" s="1957" t="n"/>
      <c r="Q26" s="1231" t="n"/>
      <c r="R26" s="1806" t="n"/>
      <c r="S26" s="1806" t="n"/>
      <c r="T26" s="1806" t="n"/>
      <c r="U26" s="1806" t="n"/>
      <c r="V26" s="1806" t="n"/>
      <c r="W26" s="1806" t="n"/>
      <c r="X26" s="1806" t="n"/>
      <c r="Y26" s="1806" t="n"/>
      <c r="Z26" s="1806" t="n"/>
      <c r="AA26" s="1806" t="n"/>
      <c r="AB26" s="1806" t="n"/>
      <c r="AC26" s="1806" t="n"/>
      <c r="AD26" s="1806" t="n"/>
      <c r="AE26" s="1806" t="n"/>
      <c r="AF26" s="1806" t="n"/>
      <c r="AG26" s="1806" t="n"/>
      <c r="AH26" s="1806" t="n"/>
      <c r="AI26" s="1806" t="n"/>
      <c r="AJ26" s="1806" t="n"/>
      <c r="AK26" s="1806" t="n"/>
      <c r="AL26" s="1806" t="n"/>
      <c r="AM26" s="1806" t="n"/>
    </row>
    <row r="27" ht="93.75" customFormat="1" customHeight="1" s="1806">
      <c r="A27" s="1326" t="n"/>
      <c r="B27" s="1297" t="n"/>
      <c r="C27" s="1561" t="inlineStr">
        <is>
          <t>Insert  wires through closed conduits/tubes
0mm - 1500mm
NOTE: group of wires (twists, multiconductors etc) to be considered as 1 wire</t>
        </is>
      </c>
      <c r="D27" s="1532" t="n"/>
      <c r="E27" s="1561" t="inlineStr">
        <is>
          <t>per each  wire</t>
        </is>
      </c>
      <c r="F27" s="1561" t="inlineStr">
        <is>
          <t>Reach for wire</t>
        </is>
      </c>
      <c r="G27" s="1561" t="inlineStr">
        <is>
          <t>Release branch</t>
        </is>
      </c>
      <c r="H27" s="1931" t="n">
        <v>2.595</v>
      </c>
      <c r="I27" s="1690" t="inlineStr">
        <is>
          <t>pc</t>
        </is>
      </c>
      <c r="J27" s="1900" t="n">
        <v>1</v>
      </c>
      <c r="K27" s="1901">
        <f>+J27*H27</f>
        <v/>
      </c>
      <c r="L27" s="1344" t="inlineStr">
        <is>
          <t>Automatic</t>
        </is>
      </c>
      <c r="M27" s="1231" t="n"/>
      <c r="N27" s="1344" t="n"/>
      <c r="O27" s="1407" t="n"/>
      <c r="P27" s="1344" t="n"/>
      <c r="Q27" s="1975" t="n"/>
      <c r="R27" s="1806" t="n"/>
      <c r="S27" s="1806" t="n"/>
      <c r="T27" s="1407" t="n"/>
      <c r="U27" s="1902" t="n"/>
      <c r="V27" s="1806" t="n"/>
      <c r="W27" s="1806" t="n"/>
      <c r="X27" s="1806" t="n"/>
      <c r="Y27" s="1806" t="n"/>
      <c r="Z27" s="1806" t="n"/>
      <c r="AA27" s="1806" t="n"/>
      <c r="AB27" s="1806" t="n"/>
      <c r="AC27" s="1806" t="n"/>
      <c r="AD27" s="1806" t="n"/>
      <c r="AE27" s="1806" t="n"/>
      <c r="AF27" s="1806" t="n"/>
      <c r="AG27" s="1806" t="n"/>
      <c r="AH27" s="1806" t="n"/>
      <c r="AI27" s="1806" t="n"/>
      <c r="AJ27" s="1806" t="n"/>
      <c r="AK27" s="1806" t="n"/>
      <c r="AL27" s="1806" t="n"/>
      <c r="AM27" s="1806" t="n"/>
    </row>
    <row r="28" ht="93.75" customFormat="1" customHeight="1" s="1806">
      <c r="A28" s="1329" t="n"/>
      <c r="B28" s="1301" t="n"/>
      <c r="C28" s="1672" t="inlineStr">
        <is>
          <t>Insert  wires through closed conduits/tubes
1501mm - 6000mm
NOTE: group of wires (twists, multiconductors etc) to be considered as 1 wire</t>
        </is>
      </c>
      <c r="D28" s="1670" t="n"/>
      <c r="E28" s="1672" t="inlineStr">
        <is>
          <t>per each wire</t>
        </is>
      </c>
      <c r="F28" s="1672" t="inlineStr">
        <is>
          <t>Reach for wire</t>
        </is>
      </c>
      <c r="G28" s="1672" t="inlineStr">
        <is>
          <t>Release branch</t>
        </is>
      </c>
      <c r="H28" s="1976" t="n">
        <v>6.48</v>
      </c>
      <c r="I28" s="1694" t="inlineStr">
        <is>
          <t>pc</t>
        </is>
      </c>
      <c r="J28" s="1674" t="n">
        <v>1</v>
      </c>
      <c r="K28" s="1675">
        <f>+J28*H28</f>
        <v/>
      </c>
      <c r="L28" s="1344" t="inlineStr">
        <is>
          <t>Automatic</t>
        </is>
      </c>
      <c r="M28" s="1231" t="n"/>
      <c r="N28" s="1344" t="n"/>
      <c r="O28" s="1231" t="n"/>
      <c r="P28" s="1957" t="n"/>
      <c r="Q28" s="1231" t="n"/>
      <c r="R28" s="1806" t="n"/>
      <c r="S28" s="1806" t="n"/>
      <c r="T28" s="1806" t="n"/>
      <c r="U28" s="1806" t="n"/>
      <c r="V28" s="1806" t="n"/>
      <c r="W28" s="1806" t="n"/>
      <c r="X28" s="1806" t="n"/>
      <c r="Y28" s="1806" t="n"/>
      <c r="Z28" s="1806" t="n"/>
      <c r="AA28" s="1806" t="n"/>
      <c r="AB28" s="1806" t="n"/>
      <c r="AC28" s="1806" t="n"/>
      <c r="AD28" s="1806" t="n"/>
      <c r="AE28" s="1806" t="n"/>
      <c r="AF28" s="1806" t="n"/>
      <c r="AG28" s="1806" t="n"/>
      <c r="AH28" s="1806" t="n"/>
      <c r="AI28" s="1806" t="n"/>
      <c r="AJ28" s="1806" t="n"/>
      <c r="AK28" s="1806" t="n"/>
      <c r="AL28" s="1806" t="n"/>
      <c r="AM28" s="1806" t="n"/>
    </row>
    <row r="29" ht="60.75" customFormat="1" customHeight="1" s="1806">
      <c r="A29" s="1977" t="inlineStr">
        <is>
          <t xml:space="preserve">Pass wires in tubes </t>
        </is>
      </c>
      <c r="B29" s="1301" t="n"/>
      <c r="C29" s="1630" t="inlineStr">
        <is>
          <t>M-SPEC: M 3558 ... LENGHT &gt; 250mm or pass wires UL3123 M - SPEC: M3419... IN TUBES UNSLIT</t>
        </is>
      </c>
      <c r="D29" s="1301" t="n"/>
      <c r="E29" s="1630" t="inlineStr">
        <is>
          <t>Time additional PER TUBE</t>
        </is>
      </c>
      <c r="F29" s="1630" t="inlineStr">
        <is>
          <t>Reach for tube</t>
        </is>
      </c>
      <c r="G29" s="1630" t="inlineStr">
        <is>
          <t>Release the branch</t>
        </is>
      </c>
      <c r="H29" s="1978" t="n">
        <v>31.99</v>
      </c>
      <c r="I29" s="1860" t="inlineStr">
        <is>
          <t>pc</t>
        </is>
      </c>
      <c r="J29" s="1906" t="n">
        <v>1</v>
      </c>
      <c r="K29" s="1907">
        <f>+J29*H29</f>
        <v/>
      </c>
      <c r="L29" s="1344" t="inlineStr">
        <is>
          <t>Automatic</t>
        </is>
      </c>
      <c r="M29" s="1231" t="n"/>
      <c r="N29" s="1344" t="n"/>
      <c r="O29" s="1231" t="n"/>
      <c r="P29" s="1957" t="n"/>
      <c r="Q29" s="1231" t="n"/>
      <c r="R29" s="1806" t="n"/>
      <c r="S29" s="1806" t="n"/>
      <c r="T29" s="1806" t="n"/>
      <c r="U29" s="1806" t="n"/>
      <c r="V29" s="1806" t="n"/>
      <c r="W29" s="1806" t="n"/>
      <c r="X29" s="1806" t="n"/>
      <c r="Y29" s="1806" t="n"/>
      <c r="Z29" s="1806" t="n"/>
      <c r="AA29" s="1806" t="n"/>
      <c r="AB29" s="1806" t="n"/>
      <c r="AC29" s="1806" t="n"/>
      <c r="AD29" s="1806" t="n"/>
      <c r="AE29" s="1806" t="n"/>
      <c r="AF29" s="1806" t="n"/>
      <c r="AG29" s="1806" t="n"/>
      <c r="AH29" s="1806" t="n"/>
      <c r="AI29" s="1806" t="n"/>
      <c r="AJ29" s="1806" t="n"/>
      <c r="AK29" s="1806" t="n"/>
      <c r="AL29" s="1806" t="n"/>
      <c r="AM29" s="1806" t="n"/>
    </row>
    <row r="30" ht="39" customFormat="1" customHeight="1" s="1806">
      <c r="A30" s="1971" t="inlineStr">
        <is>
          <t>Tubes</t>
        </is>
      </c>
      <c r="B30" s="1590" t="n"/>
      <c r="C30" s="1367" t="inlineStr">
        <is>
          <t>Glue PVC tubes
(glue / sealing tube)</t>
        </is>
      </c>
      <c r="D30" s="1297" t="n"/>
      <c r="E30" s="1537" t="inlineStr">
        <is>
          <t>Per application (considering two tubes)</t>
        </is>
      </c>
      <c r="F30" s="1537" t="inlineStr">
        <is>
          <t>Get hand glue applicator</t>
        </is>
      </c>
      <c r="G30" s="1537" t="inlineStr">
        <is>
          <t>Release the glued tubes</t>
        </is>
      </c>
      <c r="H30" s="1979" t="n">
        <v>15.81</v>
      </c>
      <c r="I30" s="1537" t="inlineStr">
        <is>
          <t>Per application</t>
        </is>
      </c>
      <c r="J30" s="1964" t="n">
        <v>1</v>
      </c>
      <c r="K30" s="1965">
        <f>+J30*H30</f>
        <v/>
      </c>
      <c r="L30" s="1344" t="inlineStr">
        <is>
          <t>Manual</t>
        </is>
      </c>
      <c r="M30" s="1231" t="n"/>
      <c r="N30" s="1344" t="n"/>
      <c r="O30" s="1231" t="n"/>
      <c r="P30" s="1957" t="n"/>
      <c r="Q30" s="1231" t="n"/>
      <c r="R30" s="1806" t="n"/>
      <c r="S30" s="1806" t="n"/>
      <c r="T30" s="1806" t="n"/>
      <c r="U30" s="1806" t="n"/>
      <c r="V30" s="1806" t="n"/>
      <c r="W30" s="1806" t="n"/>
      <c r="X30" s="1806" t="n"/>
      <c r="Y30" s="1806" t="n"/>
      <c r="Z30" s="1806" t="n"/>
      <c r="AA30" s="1806" t="n"/>
      <c r="AB30" s="1806" t="n"/>
      <c r="AC30" s="1806" t="n"/>
      <c r="AD30" s="1806" t="n"/>
      <c r="AE30" s="1806" t="n"/>
      <c r="AF30" s="1806" t="n"/>
      <c r="AG30" s="1806" t="n"/>
      <c r="AH30" s="1806" t="n"/>
      <c r="AI30" s="1806" t="n"/>
      <c r="AJ30" s="1806" t="n"/>
      <c r="AK30" s="1806" t="n"/>
      <c r="AL30" s="1806" t="n"/>
      <c r="AM30" s="1806" t="n"/>
    </row>
    <row r="31" ht="34.5" customFormat="1" customHeight="1" s="1806">
      <c r="A31" s="1326" t="n"/>
      <c r="B31" s="1297" t="n"/>
      <c r="C31" s="1615" t="n"/>
      <c r="D31" s="1297" t="n"/>
      <c r="E31" s="1561" t="inlineStr">
        <is>
          <t>Time for additional tube</t>
        </is>
      </c>
      <c r="F31" s="1561" t="inlineStr">
        <is>
          <t>Get hand glue applicator</t>
        </is>
      </c>
      <c r="G31" s="1561" t="inlineStr">
        <is>
          <t>Release the glued tubes</t>
        </is>
      </c>
      <c r="H31" s="1931" t="n">
        <v>6.108</v>
      </c>
      <c r="I31" s="1690" t="inlineStr">
        <is>
          <t>pc</t>
        </is>
      </c>
      <c r="J31" s="1900" t="n">
        <v>1</v>
      </c>
      <c r="K31" s="1901">
        <f>+J31*H31</f>
        <v/>
      </c>
      <c r="L31" s="1344" t="inlineStr">
        <is>
          <t>Manual</t>
        </is>
      </c>
      <c r="M31" s="1231" t="n"/>
      <c r="N31" s="1344" t="n"/>
      <c r="O31" s="1231" t="n"/>
      <c r="P31" s="1957" t="n"/>
      <c r="Q31" s="1231" t="n"/>
      <c r="R31" s="1806" t="n"/>
      <c r="S31" s="1806" t="n"/>
      <c r="T31" s="1806" t="n"/>
      <c r="U31" s="1806" t="n"/>
      <c r="V31" s="1806" t="n"/>
      <c r="W31" s="1806" t="n"/>
      <c r="X31" s="1806" t="n"/>
      <c r="Y31" s="1806" t="n"/>
      <c r="Z31" s="1806" t="n"/>
      <c r="AA31" s="1806" t="n"/>
      <c r="AB31" s="1806" t="n"/>
      <c r="AC31" s="1806" t="n"/>
      <c r="AD31" s="1806" t="n"/>
      <c r="AE31" s="1806" t="n"/>
      <c r="AF31" s="1806" t="n"/>
      <c r="AG31" s="1806" t="n"/>
      <c r="AH31" s="1806" t="n"/>
      <c r="AI31" s="1806" t="n"/>
      <c r="AJ31" s="1806" t="n"/>
      <c r="AK31" s="1806" t="n"/>
      <c r="AL31" s="1806" t="n"/>
      <c r="AM31" s="1806" t="n"/>
    </row>
    <row r="32" ht="34.5" customFormat="1" customHeight="1" s="1806">
      <c r="A32" s="1326" t="n"/>
      <c r="B32" s="1297" t="n"/>
      <c r="C32" s="1561" t="inlineStr">
        <is>
          <t xml:space="preserve">Joint fuel tube with sleeve tube </t>
        </is>
      </c>
      <c r="D32" s="1532" t="n"/>
      <c r="E32" s="1561" t="inlineStr">
        <is>
          <t>Each group</t>
        </is>
      </c>
      <c r="F32" s="1561" t="inlineStr">
        <is>
          <t>Get tube</t>
        </is>
      </c>
      <c r="G32" s="1561" t="inlineStr">
        <is>
          <t>Release tube</t>
        </is>
      </c>
      <c r="H32" s="1931" t="n">
        <v>26.44</v>
      </c>
      <c r="I32" s="1690" t="inlineStr">
        <is>
          <t>pc</t>
        </is>
      </c>
      <c r="J32" s="1900" t="n">
        <v>1</v>
      </c>
      <c r="K32" s="1901">
        <f>+J32*H32</f>
        <v/>
      </c>
      <c r="L32" s="1344" t="inlineStr">
        <is>
          <t>Automatic</t>
        </is>
      </c>
      <c r="M32" s="1231" t="n"/>
      <c r="N32" s="1344" t="n"/>
      <c r="O32" s="1231" t="n"/>
      <c r="P32" s="1957" t="n"/>
      <c r="Q32" s="1231" t="n"/>
      <c r="R32" s="1806" t="n"/>
      <c r="S32" s="1806" t="n"/>
      <c r="T32" s="1806" t="n"/>
      <c r="U32" s="1806" t="n"/>
      <c r="V32" s="1806" t="n"/>
      <c r="W32" s="1806" t="n"/>
      <c r="X32" s="1806" t="n"/>
      <c r="Y32" s="1806" t="n"/>
      <c r="Z32" s="1806" t="n"/>
      <c r="AA32" s="1806" t="n"/>
      <c r="AB32" s="1806" t="n"/>
      <c r="AC32" s="1806" t="n"/>
      <c r="AD32" s="1806" t="n"/>
      <c r="AE32" s="1806" t="n"/>
      <c r="AF32" s="1806" t="n"/>
      <c r="AG32" s="1806" t="n"/>
      <c r="AH32" s="1806" t="n"/>
      <c r="AI32" s="1806" t="n"/>
      <c r="AJ32" s="1806" t="n"/>
      <c r="AK32" s="1806" t="n"/>
      <c r="AL32" s="1806" t="n"/>
      <c r="AM32" s="1806" t="n"/>
    </row>
    <row r="33" ht="34.5" customFormat="1" customHeight="1" s="1806">
      <c r="A33" s="1737" t="n"/>
      <c r="B33" s="1545" t="n"/>
      <c r="C33" s="1561" t="inlineStr">
        <is>
          <t>Insert Tube Inside Other Tube</t>
        </is>
      </c>
      <c r="D33" s="1532" t="n"/>
      <c r="E33" s="1561" t="inlineStr">
        <is>
          <t>Time per tube / This Time includes Taping Tubes</t>
        </is>
      </c>
      <c r="F33" s="1561" t="inlineStr">
        <is>
          <t xml:space="preserve">Get tube </t>
        </is>
      </c>
      <c r="G33" s="1561" t="inlineStr">
        <is>
          <t>Release tube</t>
        </is>
      </c>
      <c r="H33" s="1931" t="n">
        <v>25.002</v>
      </c>
      <c r="I33" s="1690" t="inlineStr">
        <is>
          <t>pc</t>
        </is>
      </c>
      <c r="J33" s="1900" t="n">
        <v>1</v>
      </c>
      <c r="K33" s="1901">
        <f>+J33*H33</f>
        <v/>
      </c>
      <c r="L33" s="1344" t="inlineStr">
        <is>
          <t>Manual</t>
        </is>
      </c>
      <c r="M33" s="1231" t="n"/>
      <c r="N33" s="1344" t="n"/>
      <c r="O33" s="1231" t="n"/>
      <c r="P33" s="1957" t="n"/>
      <c r="Q33" s="1231" t="n"/>
      <c r="R33" s="1806" t="n"/>
      <c r="S33" s="1806" t="n"/>
      <c r="T33" s="1806" t="n"/>
      <c r="U33" s="1806" t="n"/>
      <c r="V33" s="1806" t="n"/>
      <c r="W33" s="1806" t="n"/>
      <c r="X33" s="1806" t="n"/>
      <c r="Y33" s="1806" t="n"/>
      <c r="Z33" s="1806" t="n"/>
      <c r="AA33" s="1806" t="n"/>
      <c r="AB33" s="1806" t="n"/>
      <c r="AC33" s="1806" t="n"/>
      <c r="AD33" s="1806" t="n"/>
      <c r="AE33" s="1806" t="n"/>
      <c r="AF33" s="1806" t="n"/>
      <c r="AG33" s="1806" t="n"/>
      <c r="AH33" s="1806" t="n"/>
      <c r="AI33" s="1806" t="n"/>
      <c r="AJ33" s="1806" t="n"/>
      <c r="AK33" s="1806" t="n"/>
      <c r="AL33" s="1806" t="n"/>
      <c r="AM33" s="1806" t="n"/>
    </row>
    <row r="34" ht="55.5" customFormat="1" customHeight="1" s="1806">
      <c r="A34" s="1491" t="inlineStr">
        <is>
          <t>Conduits and Tubes</t>
        </is>
      </c>
      <c r="B34" s="1625" t="n"/>
      <c r="C34" s="1778" t="inlineStr">
        <is>
          <t xml:space="preserve">get and start apply slit PVC &amp; braid tubes &amp; conduits (usage of supporting tool is manufacturing standard) </t>
        </is>
      </c>
      <c r="D34" s="1532" t="n"/>
      <c r="E34" s="1561" t="inlineStr">
        <is>
          <t>per mm, only get and start over branch</t>
        </is>
      </c>
      <c r="F34" s="1561" t="inlineStr">
        <is>
          <t>Get tube/conduit</t>
        </is>
      </c>
      <c r="G34" s="1561" t="inlineStr">
        <is>
          <t>Tube/conduit started over branch</t>
        </is>
      </c>
      <c r="H34" s="1899" t="n">
        <v>4.009</v>
      </c>
      <c r="I34" s="1690" t="inlineStr">
        <is>
          <t>pc</t>
        </is>
      </c>
      <c r="J34" s="1900" t="n">
        <v>1</v>
      </c>
      <c r="K34" s="1901">
        <f>+J34*H34</f>
        <v/>
      </c>
      <c r="L34" s="1344" t="inlineStr">
        <is>
          <t>Automatic</t>
        </is>
      </c>
      <c r="M34" s="1231" t="n"/>
      <c r="N34" s="1344" t="n"/>
      <c r="O34" s="1231" t="n"/>
      <c r="P34" s="1957" t="n"/>
      <c r="Q34" s="1231" t="n"/>
      <c r="R34" s="1806" t="n"/>
      <c r="S34" s="1806" t="n"/>
      <c r="T34" s="1806" t="n"/>
      <c r="U34" s="1806" t="n"/>
      <c r="V34" s="1806" t="n"/>
      <c r="W34" s="1806" t="n"/>
      <c r="X34" s="1806" t="n"/>
      <c r="Y34" s="1806" t="n"/>
      <c r="Z34" s="1806" t="n"/>
      <c r="AA34" s="1806" t="n"/>
      <c r="AB34" s="1806" t="n"/>
      <c r="AC34" s="1806" t="n"/>
      <c r="AD34" s="1806" t="n"/>
      <c r="AE34" s="1806" t="n"/>
      <c r="AF34" s="1806" t="n"/>
      <c r="AG34" s="1806" t="n"/>
      <c r="AH34" s="1806" t="n"/>
      <c r="AI34" s="1806" t="n"/>
      <c r="AJ34" s="1806" t="n"/>
      <c r="AK34" s="1806" t="n"/>
      <c r="AL34" s="1806" t="n"/>
      <c r="AM34" s="1806" t="n"/>
    </row>
    <row r="35" ht="35.05" customFormat="1" customHeight="1" s="1806">
      <c r="A35" s="1326" t="n"/>
      <c r="B35" s="1297" t="n"/>
      <c r="C35" s="1561" t="inlineStr">
        <is>
          <t xml:space="preserve">Apply slit PVC &amp; braid tubes &amp; conduits </t>
        </is>
      </c>
      <c r="D35" s="1625" t="n"/>
      <c r="E35" s="1561" t="inlineStr">
        <is>
          <t>per mm, slide conduits over wires (slit convoluted conduit)</t>
        </is>
      </c>
      <c r="F35" s="1561" t="inlineStr">
        <is>
          <t>Conduit started over branch</t>
        </is>
      </c>
      <c r="G35" s="1561" t="inlineStr">
        <is>
          <t>Release branch after conduit application</t>
        </is>
      </c>
      <c r="H35" s="1899" t="n">
        <v>0.008999999999999999</v>
      </c>
      <c r="I35" s="1690" t="inlineStr">
        <is>
          <t>mm</t>
        </is>
      </c>
      <c r="J35" s="1900" t="n">
        <v>1</v>
      </c>
      <c r="K35" s="1901">
        <f>+J35*H35</f>
        <v/>
      </c>
      <c r="L35" s="1344" t="inlineStr">
        <is>
          <t>Automatic</t>
        </is>
      </c>
      <c r="M35" s="1231" t="n"/>
      <c r="N35" s="1344" t="n"/>
      <c r="O35" s="1231" t="n"/>
      <c r="P35" s="1957" t="n"/>
      <c r="Q35" s="1231" t="n"/>
      <c r="R35" s="1806" t="n"/>
      <c r="S35" s="1806" t="n"/>
      <c r="T35" s="1806" t="n"/>
      <c r="U35" s="1806" t="n"/>
      <c r="V35" s="1806" t="n"/>
      <c r="W35" s="1806" t="n"/>
      <c r="X35" s="1806" t="n"/>
      <c r="Y35" s="1806" t="n"/>
      <c r="Z35" s="1806" t="n"/>
      <c r="AA35" s="1806" t="n"/>
      <c r="AB35" s="1806" t="n"/>
      <c r="AC35" s="1806" t="n"/>
      <c r="AD35" s="1806" t="n"/>
      <c r="AE35" s="1806" t="n"/>
      <c r="AF35" s="1806" t="n"/>
      <c r="AG35" s="1806" t="n"/>
      <c r="AH35" s="1806" t="n"/>
      <c r="AI35" s="1806" t="n"/>
      <c r="AJ35" s="1806" t="n"/>
      <c r="AK35" s="1806" t="n"/>
      <c r="AL35" s="1806" t="n"/>
      <c r="AM35" s="1806" t="n"/>
    </row>
    <row r="36" ht="94.5" customFormat="1" customHeight="1" s="1806">
      <c r="A36" s="1326" t="n"/>
      <c r="B36" s="1297" t="n"/>
      <c r="C36" s="1544" t="n"/>
      <c r="D36" s="1545" t="n"/>
      <c r="E36" s="1561" t="inlineStr">
        <is>
          <t>per mm, slide PVC &amp; braid tubes over wires (slit PVC &amp; braid tubes and conduit overlap)</t>
        </is>
      </c>
      <c r="F36" s="1561" t="inlineStr">
        <is>
          <t>Tube started over branch</t>
        </is>
      </c>
      <c r="G36" s="1561" t="inlineStr">
        <is>
          <t>Release branch after tube application</t>
        </is>
      </c>
      <c r="H36" s="1931" t="n">
        <v>0.011</v>
      </c>
      <c r="I36" s="1690" t="inlineStr">
        <is>
          <t>mm</t>
        </is>
      </c>
      <c r="J36" s="1900" t="n">
        <v>1</v>
      </c>
      <c r="K36" s="1901">
        <f>+J36*H36</f>
        <v/>
      </c>
      <c r="L36" s="1344" t="inlineStr">
        <is>
          <t>Automatic</t>
        </is>
      </c>
      <c r="M36" s="1231" t="n"/>
      <c r="N36" s="1344" t="n"/>
      <c r="O36" s="1231" t="n"/>
      <c r="P36" s="1957" t="n"/>
      <c r="Q36" s="1231" t="n"/>
      <c r="R36" s="1806" t="n"/>
      <c r="S36" s="1806" t="n"/>
      <c r="T36" s="1806" t="n"/>
      <c r="U36" s="1806" t="n"/>
      <c r="V36" s="1806" t="n"/>
      <c r="W36" s="1806" t="n"/>
      <c r="X36" s="1806" t="n"/>
      <c r="Y36" s="1806" t="n"/>
      <c r="Z36" s="1806" t="n"/>
      <c r="AA36" s="1806" t="n"/>
      <c r="AB36" s="1806" t="n"/>
      <c r="AC36" s="1806" t="n"/>
      <c r="AD36" s="1806" t="n"/>
      <c r="AE36" s="1806" t="n"/>
      <c r="AF36" s="1806" t="n"/>
      <c r="AG36" s="1806" t="n"/>
      <c r="AH36" s="1806" t="n"/>
      <c r="AI36" s="1806" t="n"/>
      <c r="AJ36" s="1806" t="n"/>
      <c r="AK36" s="1806" t="n"/>
      <c r="AL36" s="1806" t="n"/>
      <c r="AM36" s="1806" t="n"/>
    </row>
    <row r="37" ht="39.75" customFormat="1" customHeight="1" s="1806">
      <c r="A37" s="1737" t="n"/>
      <c r="B37" s="1545" t="n"/>
      <c r="C37" s="1561" t="inlineStr">
        <is>
          <t>Punch Conduit with gun (moon shape)</t>
        </is>
      </c>
      <c r="D37" s="1532" t="n"/>
      <c r="E37" s="1561" t="inlineStr">
        <is>
          <t>When a conduit goes through a breakout</t>
        </is>
      </c>
      <c r="F37" s="1561" t="inlineStr">
        <is>
          <t>Reach for spiral tube</t>
        </is>
      </c>
      <c r="G37" s="1561" t="inlineStr">
        <is>
          <t>Release branch</t>
        </is>
      </c>
      <c r="H37" s="1931" t="n">
        <v>9.9</v>
      </c>
      <c r="I37" s="1561" t="inlineStr">
        <is>
          <t>Per application</t>
        </is>
      </c>
      <c r="J37" s="1900" t="n">
        <v>1</v>
      </c>
      <c r="K37" s="1901">
        <f>+J37*H37</f>
        <v/>
      </c>
      <c r="L37" s="1344" t="inlineStr">
        <is>
          <t>Manual</t>
        </is>
      </c>
      <c r="M37" s="1231" t="n"/>
      <c r="N37" s="1344" t="n"/>
      <c r="O37" s="1231" t="n"/>
      <c r="P37" s="1957" t="n"/>
      <c r="Q37" s="1231" t="n"/>
      <c r="R37" s="1806" t="n"/>
      <c r="S37" s="1806" t="n"/>
      <c r="T37" s="1806" t="n"/>
      <c r="U37" s="1806" t="n"/>
      <c r="V37" s="1806" t="n"/>
      <c r="W37" s="1806" t="n"/>
      <c r="X37" s="1806" t="n"/>
      <c r="Y37" s="1806" t="n"/>
      <c r="Z37" s="1806" t="n"/>
      <c r="AA37" s="1806" t="n"/>
      <c r="AB37" s="1806" t="n"/>
      <c r="AC37" s="1806" t="n"/>
      <c r="AD37" s="1806" t="n"/>
      <c r="AE37" s="1806" t="n"/>
      <c r="AF37" s="1806" t="n"/>
      <c r="AG37" s="1806" t="n"/>
      <c r="AH37" s="1806" t="n"/>
      <c r="AI37" s="1806" t="n"/>
      <c r="AJ37" s="1806" t="n"/>
      <c r="AK37" s="1806" t="n"/>
      <c r="AL37" s="1806" t="n"/>
      <c r="AM37" s="1806" t="n"/>
    </row>
    <row r="38" ht="29.25" customFormat="1" customHeight="1" s="1806">
      <c r="A38" s="1487" t="inlineStr">
        <is>
          <t>Conduits</t>
        </is>
      </c>
      <c r="B38" s="1625" t="n"/>
      <c r="C38" s="1623" t="inlineStr">
        <is>
          <t>apply conduit fittings</t>
        </is>
      </c>
      <c r="D38" s="1625" t="n"/>
      <c r="E38" s="1561" t="inlineStr">
        <is>
          <t>apply "end" fitting to conduit - single branch</t>
        </is>
      </c>
      <c r="F38" s="1561" t="inlineStr">
        <is>
          <t>Reach for "end" piece</t>
        </is>
      </c>
      <c r="G38" s="1561" t="inlineStr">
        <is>
          <t>Release branch</t>
        </is>
      </c>
      <c r="H38" s="1931" t="n">
        <v>5.048</v>
      </c>
      <c r="I38" s="1690" t="inlineStr">
        <is>
          <t>pc</t>
        </is>
      </c>
      <c r="J38" s="1900" t="n">
        <v>1</v>
      </c>
      <c r="K38" s="1901">
        <f>+J38*H38</f>
        <v/>
      </c>
      <c r="L38" s="1344" t="inlineStr">
        <is>
          <t>Automatic</t>
        </is>
      </c>
      <c r="M38" s="1231" t="n"/>
      <c r="N38" s="1344" t="n"/>
      <c r="O38" s="1407" t="n"/>
      <c r="P38" s="1344" t="n"/>
      <c r="Q38" s="1231" t="n"/>
      <c r="R38" s="1806" t="n"/>
      <c r="S38" s="1806" t="n"/>
      <c r="T38" s="1806" t="n"/>
      <c r="U38" s="1806" t="n"/>
      <c r="V38" s="1806" t="n"/>
      <c r="W38" s="1806" t="n"/>
      <c r="X38" s="1806" t="n"/>
      <c r="Y38" s="1806" t="n"/>
      <c r="Z38" s="1806" t="n"/>
      <c r="AA38" s="1806" t="n"/>
      <c r="AB38" s="1806" t="n"/>
      <c r="AC38" s="1806" t="n"/>
      <c r="AD38" s="1806" t="n"/>
      <c r="AE38" s="1806" t="n"/>
      <c r="AF38" s="1806" t="n"/>
      <c r="AG38" s="1806" t="n"/>
      <c r="AH38" s="1806" t="n"/>
      <c r="AI38" s="1806" t="n"/>
      <c r="AJ38" s="1806" t="n"/>
      <c r="AK38" s="1806" t="n"/>
      <c r="AL38" s="1806" t="n"/>
      <c r="AM38" s="1806" t="n"/>
    </row>
    <row r="39" ht="25.5" customFormat="1" customHeight="1" s="1806">
      <c r="A39" s="1326" t="n"/>
      <c r="B39" s="1297" t="n"/>
      <c r="C39" s="1615" t="n"/>
      <c r="D39" s="1297" t="n"/>
      <c r="E39" s="1561" t="inlineStr">
        <is>
          <t xml:space="preserve">Apply conduit clip </t>
        </is>
      </c>
      <c r="F39" s="1561" t="n"/>
      <c r="G39" s="1561" t="n"/>
      <c r="H39" s="1931" t="n">
        <v>4.2</v>
      </c>
      <c r="I39" s="1690" t="inlineStr">
        <is>
          <t>pc</t>
        </is>
      </c>
      <c r="J39" s="1900" t="n">
        <v>1</v>
      </c>
      <c r="K39" s="1901">
        <f>+J39*H39</f>
        <v/>
      </c>
      <c r="L39" s="1344" t="inlineStr">
        <is>
          <t>Manual</t>
        </is>
      </c>
      <c r="M39" s="1231" t="n"/>
      <c r="N39" s="1344" t="n"/>
      <c r="O39" s="1407" t="n"/>
      <c r="P39" s="1344" t="n"/>
      <c r="Q39" s="1231" t="n"/>
      <c r="R39" s="1806" t="n"/>
      <c r="S39" s="1806" t="n"/>
      <c r="T39" s="1806" t="n"/>
      <c r="U39" s="1806" t="n"/>
      <c r="V39" s="1806" t="n"/>
      <c r="W39" s="1806" t="n"/>
      <c r="X39" s="1806" t="n"/>
      <c r="Y39" s="1806" t="n"/>
      <c r="Z39" s="1806" t="n"/>
      <c r="AA39" s="1806" t="n"/>
      <c r="AB39" s="1806" t="n"/>
      <c r="AC39" s="1806" t="n"/>
      <c r="AD39" s="1806" t="n"/>
      <c r="AE39" s="1806" t="n"/>
      <c r="AF39" s="1806" t="n"/>
      <c r="AG39" s="1806" t="n"/>
      <c r="AH39" s="1806" t="n"/>
      <c r="AI39" s="1806" t="n"/>
      <c r="AJ39" s="1806" t="n"/>
      <c r="AK39" s="1806" t="n"/>
      <c r="AL39" s="1806" t="n"/>
      <c r="AM39" s="1806" t="n"/>
    </row>
    <row r="40" ht="41.25" customFormat="1" customHeight="1" s="1806">
      <c r="A40" s="1326" t="n"/>
      <c r="B40" s="1297" t="n"/>
      <c r="C40" s="1615" t="n"/>
      <c r="D40" s="1297" t="n"/>
      <c r="E40" s="1561" t="inlineStr">
        <is>
          <t>apply "T" , "Y", "L" and multi inline fitting over conduits</t>
        </is>
      </c>
      <c r="F40" s="1561" t="inlineStr">
        <is>
          <t>Reach for the piece</t>
        </is>
      </c>
      <c r="G40" s="1561" t="inlineStr">
        <is>
          <t>Release branch</t>
        </is>
      </c>
      <c r="H40" s="1931" t="n">
        <v>9.798</v>
      </c>
      <c r="I40" s="1867" t="inlineStr">
        <is>
          <t>pc</t>
        </is>
      </c>
      <c r="J40" s="1933" t="n">
        <v>1</v>
      </c>
      <c r="K40" s="1901">
        <f>+J40*H40</f>
        <v/>
      </c>
      <c r="L40" s="1708" t="inlineStr">
        <is>
          <t>Automatic</t>
        </is>
      </c>
      <c r="M40" s="1231" t="n"/>
      <c r="N40" s="1344" t="n"/>
      <c r="O40" s="1407" t="n"/>
      <c r="P40" s="1344" t="n"/>
      <c r="Q40" s="1231" t="n"/>
      <c r="R40" s="1806" t="n"/>
      <c r="S40" s="1806" t="n"/>
      <c r="T40" s="1806" t="n"/>
      <c r="U40" s="1806" t="n"/>
      <c r="V40" s="1806" t="n"/>
      <c r="W40" s="1806" t="n"/>
      <c r="X40" s="1806" t="n"/>
      <c r="Y40" s="1806" t="n"/>
      <c r="Z40" s="1806" t="n"/>
      <c r="AA40" s="1806" t="n"/>
      <c r="AB40" s="1806" t="n"/>
      <c r="AC40" s="1806" t="n"/>
      <c r="AD40" s="1806" t="n"/>
      <c r="AE40" s="1806" t="n"/>
      <c r="AF40" s="1806" t="n"/>
      <c r="AG40" s="1806" t="n"/>
      <c r="AH40" s="1806" t="n"/>
      <c r="AI40" s="1806" t="n"/>
      <c r="AJ40" s="1806" t="n"/>
      <c r="AK40" s="1806" t="n"/>
      <c r="AL40" s="1806" t="n"/>
      <c r="AM40" s="1806" t="n"/>
    </row>
    <row r="41" ht="39" customFormat="1" customHeight="1" s="1806">
      <c r="A41" s="1326" t="n"/>
      <c r="B41" s="1297" t="n"/>
      <c r="C41" s="1615" t="n"/>
      <c r="D41" s="1297" t="n"/>
      <c r="E41" s="1561" t="inlineStr">
        <is>
          <t>For each additional branch (to be applied to T, Y, L and multi inline)</t>
        </is>
      </c>
      <c r="F41" s="1561" t="inlineStr">
        <is>
          <t>For each additional branch</t>
        </is>
      </c>
      <c r="G41" s="1561" t="inlineStr">
        <is>
          <t>Release branch</t>
        </is>
      </c>
      <c r="H41" s="1959" t="n">
        <v>2.4</v>
      </c>
      <c r="I41" s="1867" t="inlineStr">
        <is>
          <t>pc</t>
        </is>
      </c>
      <c r="J41" s="1933" t="n">
        <v>1</v>
      </c>
      <c r="K41" s="1901">
        <f>+J41*H41</f>
        <v/>
      </c>
      <c r="L41" s="1708" t="inlineStr">
        <is>
          <t>Manual</t>
        </is>
      </c>
      <c r="M41" s="1231" t="n"/>
      <c r="N41" s="1344" t="n"/>
      <c r="O41" s="1231" t="n"/>
      <c r="P41" s="1957" t="n"/>
      <c r="Q41" s="1231" t="n"/>
      <c r="R41" s="1806" t="n"/>
      <c r="S41" s="1806" t="n"/>
      <c r="T41" s="1806" t="n"/>
      <c r="U41" s="1806" t="n"/>
      <c r="V41" s="1806" t="n"/>
      <c r="W41" s="1806" t="n"/>
      <c r="X41" s="1806" t="n"/>
      <c r="Y41" s="1806" t="n"/>
      <c r="Z41" s="1806" t="n"/>
      <c r="AA41" s="1806" t="n"/>
      <c r="AB41" s="1806" t="n"/>
      <c r="AC41" s="1806" t="n"/>
      <c r="AD41" s="1806" t="n"/>
      <c r="AE41" s="1806" t="n"/>
      <c r="AF41" s="1806" t="n"/>
      <c r="AG41" s="1806" t="n"/>
      <c r="AH41" s="1806" t="n"/>
      <c r="AI41" s="1806" t="n"/>
      <c r="AJ41" s="1806" t="n"/>
      <c r="AK41" s="1806" t="n"/>
      <c r="AL41" s="1806" t="n"/>
      <c r="AM41" s="1806" t="n"/>
    </row>
    <row r="42" ht="24.75" customFormat="1" customHeight="1" s="1806">
      <c r="A42" s="1697" t="inlineStr">
        <is>
          <t>Grommets / boots / sleeves</t>
        </is>
      </c>
      <c r="B42" s="1590" t="n"/>
      <c r="C42" s="1698" t="inlineStr">
        <is>
          <t>over branch (eg: firewall grommet)</t>
        </is>
      </c>
      <c r="D42" s="1610" t="n"/>
      <c r="E42" s="1698" t="inlineStr">
        <is>
          <t>using manual spreader</t>
        </is>
      </c>
      <c r="F42" s="1698" t="inlineStr">
        <is>
          <t>Reach for grommet</t>
        </is>
      </c>
      <c r="G42" s="1698" t="inlineStr">
        <is>
          <t>Rlease grommet</t>
        </is>
      </c>
      <c r="H42" s="1970" t="n">
        <v>26.293</v>
      </c>
      <c r="I42" s="1685" t="inlineStr">
        <is>
          <t>pc</t>
        </is>
      </c>
      <c r="J42" s="1916" t="n">
        <v>1</v>
      </c>
      <c r="K42" s="1937">
        <f>+J42*H42</f>
        <v/>
      </c>
      <c r="L42" s="1344" t="inlineStr">
        <is>
          <t>Automatic</t>
        </is>
      </c>
      <c r="M42" s="1231" t="n"/>
      <c r="N42" s="1344" t="n"/>
      <c r="O42" s="1231" t="n"/>
      <c r="P42" s="1957" t="n"/>
      <c r="Q42" s="1231" t="n"/>
      <c r="R42" s="1806" t="n"/>
      <c r="S42" s="1806" t="n"/>
      <c r="T42" s="1806" t="n"/>
      <c r="U42" s="1806" t="n"/>
      <c r="V42" s="1806" t="n"/>
      <c r="W42" s="1806" t="n"/>
      <c r="X42" s="1806" t="n"/>
      <c r="Y42" s="1806" t="n"/>
      <c r="Z42" s="1806" t="n"/>
      <c r="AA42" s="1806" t="n"/>
      <c r="AB42" s="1806" t="n"/>
      <c r="AC42" s="1806" t="n"/>
      <c r="AD42" s="1806" t="n"/>
      <c r="AE42" s="1806" t="n"/>
      <c r="AF42" s="1806" t="n"/>
      <c r="AG42" s="1806" t="n"/>
      <c r="AH42" s="1806" t="n"/>
      <c r="AI42" s="1806" t="n"/>
      <c r="AJ42" s="1806" t="n"/>
      <c r="AK42" s="1806" t="n"/>
      <c r="AL42" s="1806" t="n"/>
      <c r="AM42" s="1806" t="n"/>
    </row>
    <row r="43" ht="28.5" customFormat="1" customHeight="1" s="1806">
      <c r="A43" s="1326" t="n"/>
      <c r="B43" s="1297" t="n"/>
      <c r="C43" s="1561" t="inlineStr">
        <is>
          <t>over branch (eg: firewall grommet)</t>
        </is>
      </c>
      <c r="D43" s="1532" t="n"/>
      <c r="E43" s="1561" t="inlineStr">
        <is>
          <t>using pneumatic spreader</t>
        </is>
      </c>
      <c r="F43" s="1561" t="inlineStr">
        <is>
          <t>Reach for grommet</t>
        </is>
      </c>
      <c r="G43" s="1561" t="inlineStr">
        <is>
          <t>Release harness</t>
        </is>
      </c>
      <c r="H43" s="1931" t="n">
        <v>24</v>
      </c>
      <c r="I43" s="1690" t="inlineStr">
        <is>
          <t>pc</t>
        </is>
      </c>
      <c r="J43" s="1900" t="n">
        <v>1</v>
      </c>
      <c r="K43" s="1901">
        <f>+J43*H43</f>
        <v/>
      </c>
      <c r="L43" s="1344" t="inlineStr">
        <is>
          <t>Manual</t>
        </is>
      </c>
      <c r="M43" s="1231" t="n"/>
      <c r="N43" s="1344" t="n"/>
      <c r="O43" s="1231" t="n"/>
      <c r="P43" s="1957" t="n"/>
      <c r="Q43" s="1231" t="n"/>
      <c r="R43" s="1806" t="n"/>
      <c r="S43" s="1806" t="n"/>
      <c r="T43" s="1806" t="n"/>
      <c r="U43" s="1806" t="n"/>
      <c r="V43" s="1806" t="n"/>
      <c r="W43" s="1806" t="n"/>
      <c r="X43" s="1806" t="n"/>
      <c r="Y43" s="1806" t="n"/>
      <c r="Z43" s="1806" t="n"/>
      <c r="AA43" s="1806" t="n"/>
      <c r="AB43" s="1806" t="n"/>
      <c r="AC43" s="1806" t="n"/>
      <c r="AD43" s="1806" t="n"/>
      <c r="AE43" s="1806" t="n"/>
      <c r="AF43" s="1806" t="n"/>
      <c r="AG43" s="1806" t="n"/>
      <c r="AH43" s="1806" t="n"/>
      <c r="AI43" s="1806" t="n"/>
      <c r="AJ43" s="1806" t="n"/>
      <c r="AK43" s="1806" t="n"/>
      <c r="AL43" s="1806" t="n"/>
      <c r="AM43" s="1806" t="n"/>
    </row>
    <row r="44" ht="23.85" customFormat="1" customHeight="1" s="1806">
      <c r="A44" s="1326" t="n"/>
      <c r="B44" s="1297" t="n"/>
      <c r="C44" s="1561" t="inlineStr">
        <is>
          <t>Grommet / boot over connector</t>
        </is>
      </c>
      <c r="D44" s="1532" t="n"/>
      <c r="E44" s="1561" t="inlineStr">
        <is>
          <t>using manual spreader</t>
        </is>
      </c>
      <c r="F44" s="1561" t="inlineStr">
        <is>
          <t>Reach for grommet</t>
        </is>
      </c>
      <c r="G44" s="1561" t="inlineStr">
        <is>
          <t>Release harness</t>
        </is>
      </c>
      <c r="H44" s="1931" t="n">
        <v>4.225</v>
      </c>
      <c r="I44" s="1690" t="inlineStr">
        <is>
          <t>pc</t>
        </is>
      </c>
      <c r="J44" s="1900" t="n">
        <v>1</v>
      </c>
      <c r="K44" s="1901">
        <f>+J44*H44</f>
        <v/>
      </c>
      <c r="L44" s="1344" t="inlineStr">
        <is>
          <t>Automatic</t>
        </is>
      </c>
      <c r="M44" s="1231" t="n"/>
      <c r="N44" s="1344" t="n"/>
      <c r="O44" s="1231" t="n"/>
      <c r="P44" s="1957" t="n"/>
      <c r="Q44" s="1231" t="n"/>
      <c r="R44" s="1806" t="n"/>
      <c r="S44" s="1806" t="n"/>
      <c r="T44" s="1806" t="n"/>
      <c r="U44" s="1806" t="n"/>
      <c r="V44" s="1806" t="n"/>
      <c r="W44" s="1806" t="n"/>
      <c r="X44" s="1806" t="n"/>
      <c r="Y44" s="1806" t="n"/>
      <c r="Z44" s="1806" t="n"/>
      <c r="AA44" s="1806" t="n"/>
      <c r="AB44" s="1806" t="n"/>
      <c r="AC44" s="1806" t="n"/>
      <c r="AD44" s="1806" t="n"/>
      <c r="AE44" s="1806" t="n"/>
      <c r="AF44" s="1806" t="n"/>
      <c r="AG44" s="1806" t="n"/>
      <c r="AH44" s="1806" t="n"/>
      <c r="AI44" s="1806" t="n"/>
      <c r="AJ44" s="1806" t="n"/>
      <c r="AK44" s="1806" t="n"/>
      <c r="AL44" s="1806" t="n"/>
      <c r="AM44" s="1806" t="n"/>
    </row>
    <row r="45" ht="15" customFormat="1" customHeight="1" s="1806">
      <c r="A45" s="1326" t="n"/>
      <c r="B45" s="1297" t="n"/>
      <c r="C45" s="1561" t="inlineStr">
        <is>
          <t>Sleeve over connector</t>
        </is>
      </c>
      <c r="D45" s="1532" t="n"/>
      <c r="E45" s="1561" t="inlineStr">
        <is>
          <t>using manual spreader</t>
        </is>
      </c>
      <c r="F45" s="1561" t="inlineStr">
        <is>
          <t>Reach for sleeve</t>
        </is>
      </c>
      <c r="G45" s="1561" t="inlineStr">
        <is>
          <t>Release harness</t>
        </is>
      </c>
      <c r="H45" s="1931" t="n">
        <v>4.225</v>
      </c>
      <c r="I45" s="1690" t="inlineStr">
        <is>
          <t>pc</t>
        </is>
      </c>
      <c r="J45" s="1900" t="n">
        <v>1</v>
      </c>
      <c r="K45" s="1901">
        <f>+J45*H45</f>
        <v/>
      </c>
      <c r="L45" s="1344" t="inlineStr">
        <is>
          <t>Automatic</t>
        </is>
      </c>
      <c r="M45" s="1231" t="n"/>
      <c r="N45" s="1344" t="n"/>
      <c r="O45" s="1231" t="n"/>
      <c r="P45" s="1957" t="n"/>
      <c r="Q45" s="1231" t="n"/>
      <c r="R45" s="1806" t="n"/>
      <c r="S45" s="1806" t="n"/>
      <c r="T45" s="1806" t="n"/>
      <c r="U45" s="1806" t="n"/>
      <c r="V45" s="1806" t="n"/>
      <c r="W45" s="1806" t="n"/>
      <c r="X45" s="1806" t="n"/>
      <c r="Y45" s="1806" t="n"/>
      <c r="Z45" s="1806" t="n"/>
      <c r="AA45" s="1806" t="n"/>
      <c r="AB45" s="1806" t="n"/>
      <c r="AC45" s="1806" t="n"/>
      <c r="AD45" s="1806" t="n"/>
      <c r="AE45" s="1806" t="n"/>
      <c r="AF45" s="1806" t="n"/>
      <c r="AG45" s="1806" t="n"/>
      <c r="AH45" s="1806" t="n"/>
      <c r="AI45" s="1806" t="n"/>
      <c r="AJ45" s="1806" t="n"/>
      <c r="AK45" s="1806" t="n"/>
      <c r="AL45" s="1806" t="n"/>
      <c r="AM45" s="1806" t="n"/>
    </row>
    <row r="46" ht="27" customFormat="1" customHeight="1" s="1806">
      <c r="A46" s="1326" t="n"/>
      <c r="B46" s="1297" t="n"/>
      <c r="C46" s="1561" t="inlineStr">
        <is>
          <t xml:space="preserve">DOOR CONDUIT GROMMET </t>
        </is>
      </c>
      <c r="D46" s="1532" t="n"/>
      <c r="E46" s="1561" t="inlineStr">
        <is>
          <t>pneumatic tool</t>
        </is>
      </c>
      <c r="F46" s="1561" t="inlineStr">
        <is>
          <t>Reach for grommet</t>
        </is>
      </c>
      <c r="G46" s="1561" t="inlineStr">
        <is>
          <t>Release harness</t>
        </is>
      </c>
      <c r="H46" s="1931" t="n">
        <v>11</v>
      </c>
      <c r="I46" s="1690" t="inlineStr">
        <is>
          <t>pc</t>
        </is>
      </c>
      <c r="J46" s="1900" t="n">
        <v>1</v>
      </c>
      <c r="K46" s="1901">
        <f>+J46*H46</f>
        <v/>
      </c>
      <c r="L46" s="1344" t="inlineStr">
        <is>
          <t>Automatic</t>
        </is>
      </c>
      <c r="M46" s="1231" t="n"/>
      <c r="N46" s="1344" t="n"/>
      <c r="O46" s="1231" t="n"/>
      <c r="P46" s="1957" t="n"/>
      <c r="Q46" s="1231" t="n"/>
      <c r="R46" s="1806" t="n"/>
      <c r="S46" s="1806" t="n"/>
      <c r="T46" s="1806" t="n"/>
      <c r="U46" s="1806" t="n"/>
      <c r="V46" s="1806" t="n"/>
      <c r="W46" s="1806" t="n"/>
      <c r="X46" s="1806" t="n"/>
      <c r="Y46" s="1806" t="n"/>
      <c r="Z46" s="1806" t="n"/>
      <c r="AA46" s="1806" t="n"/>
      <c r="AB46" s="1806" t="n"/>
      <c r="AC46" s="1806" t="n"/>
      <c r="AD46" s="1806" t="n"/>
      <c r="AE46" s="1806" t="n"/>
      <c r="AF46" s="1806" t="n"/>
      <c r="AG46" s="1806" t="n"/>
      <c r="AH46" s="1806" t="n"/>
      <c r="AI46" s="1806" t="n"/>
      <c r="AJ46" s="1806" t="n"/>
      <c r="AK46" s="1806" t="n"/>
      <c r="AL46" s="1806" t="n"/>
      <c r="AM46" s="1806" t="n"/>
    </row>
    <row r="47" ht="35.05" customFormat="1" customHeight="1" s="1806">
      <c r="A47" s="1326" t="n"/>
      <c r="B47" s="1297" t="n"/>
      <c r="C47" s="1561" t="inlineStr">
        <is>
          <t>Grommet / sleeve over PVC tube</t>
        </is>
      </c>
      <c r="D47" s="1532" t="n"/>
      <c r="E47" s="1561" t="inlineStr">
        <is>
          <t>using manual spreader</t>
        </is>
      </c>
      <c r="F47" s="1561" t="inlineStr">
        <is>
          <t>Reach for grommet/sleeve/boot</t>
        </is>
      </c>
      <c r="G47" s="1561" t="inlineStr">
        <is>
          <t>Release harness</t>
        </is>
      </c>
      <c r="H47" s="1931" t="n">
        <v>15.211</v>
      </c>
      <c r="I47" s="1690" t="inlineStr">
        <is>
          <t>pc</t>
        </is>
      </c>
      <c r="J47" s="1900" t="n">
        <v>1</v>
      </c>
      <c r="K47" s="1901">
        <f>+J47*H47</f>
        <v/>
      </c>
      <c r="L47" s="1344" t="inlineStr">
        <is>
          <t>Automatic</t>
        </is>
      </c>
      <c r="M47" s="1231" t="n"/>
      <c r="N47" s="1344" t="n"/>
      <c r="O47" s="1231" t="n"/>
      <c r="P47" s="1957" t="n"/>
      <c r="Q47" s="1231" t="n"/>
      <c r="R47" s="1806" t="n"/>
      <c r="S47" s="1806" t="n"/>
      <c r="T47" s="1806" t="n"/>
      <c r="U47" s="1806" t="n"/>
      <c r="V47" s="1806" t="n"/>
      <c r="W47" s="1806" t="n"/>
      <c r="X47" s="1806" t="n"/>
      <c r="Y47" s="1806" t="n"/>
      <c r="Z47" s="1806" t="n"/>
      <c r="AA47" s="1806" t="n"/>
      <c r="AB47" s="1806" t="n"/>
      <c r="AC47" s="1806" t="n"/>
      <c r="AD47" s="1806" t="n"/>
      <c r="AE47" s="1806" t="n"/>
      <c r="AF47" s="1806" t="n"/>
      <c r="AG47" s="1806" t="n"/>
      <c r="AH47" s="1806" t="n"/>
      <c r="AI47" s="1806" t="n"/>
      <c r="AJ47" s="1806" t="n"/>
      <c r="AK47" s="1806" t="n"/>
      <c r="AL47" s="1806" t="n"/>
      <c r="AM47" s="1806" t="n"/>
    </row>
    <row r="48" ht="35.05" customFormat="1" customHeight="1" s="1806">
      <c r="A48" s="1326" t="n"/>
      <c r="B48" s="1297" t="n"/>
      <c r="C48" s="1561" t="inlineStr">
        <is>
          <t>Boot or Sleeve over terminal</t>
        </is>
      </c>
      <c r="D48" s="1532" t="n"/>
      <c r="E48" s="1561" t="inlineStr">
        <is>
          <t>Start: reach for component
Stop: component over terminal</t>
        </is>
      </c>
      <c r="F48" s="1561" t="inlineStr">
        <is>
          <t>Reach for grommet/sleeve/boot</t>
        </is>
      </c>
      <c r="G48" s="1561" t="inlineStr">
        <is>
          <t>Release harness</t>
        </is>
      </c>
      <c r="H48" s="1931" t="n">
        <v>13.551</v>
      </c>
      <c r="I48" s="1690" t="inlineStr">
        <is>
          <t>pc</t>
        </is>
      </c>
      <c r="J48" s="1900" t="n">
        <v>1</v>
      </c>
      <c r="K48" s="1901">
        <f>+J48*H48</f>
        <v/>
      </c>
      <c r="L48" s="1344" t="inlineStr">
        <is>
          <t>Automatic</t>
        </is>
      </c>
      <c r="M48" s="1231" t="n"/>
      <c r="N48" s="1344" t="n"/>
      <c r="O48" s="1231" t="n"/>
      <c r="P48" s="1957" t="n"/>
      <c r="Q48" s="1231" t="n"/>
      <c r="R48" s="1806" t="n"/>
      <c r="S48" s="1806" t="n"/>
      <c r="T48" s="1806" t="n"/>
      <c r="U48" s="1806" t="n"/>
      <c r="V48" s="1806" t="n"/>
      <c r="W48" s="1806" t="n"/>
      <c r="X48" s="1806" t="n"/>
      <c r="Y48" s="1806" t="n"/>
      <c r="Z48" s="1806" t="n"/>
      <c r="AA48" s="1806" t="n"/>
      <c r="AB48" s="1806" t="n"/>
      <c r="AC48" s="1806" t="n"/>
      <c r="AD48" s="1806" t="n"/>
      <c r="AE48" s="1806" t="n"/>
      <c r="AF48" s="1806" t="n"/>
      <c r="AG48" s="1806" t="n"/>
      <c r="AH48" s="1806" t="n"/>
      <c r="AI48" s="1806" t="n"/>
      <c r="AJ48" s="1806" t="n"/>
      <c r="AK48" s="1806" t="n"/>
      <c r="AL48" s="1806" t="n"/>
      <c r="AM48" s="1806" t="n"/>
    </row>
    <row r="49" ht="75.75" customFormat="1" customHeight="1" s="1806">
      <c r="A49" s="1326" t="n"/>
      <c r="B49" s="1297" t="n"/>
      <c r="C49" s="1561" t="inlineStr">
        <is>
          <t>insert wires through grommet
NOTE: group of wires (twists, multiconductors etc) to be considered as 1 wire</t>
        </is>
      </c>
      <c r="D49" s="1532" t="n"/>
      <c r="E49" s="1561" t="inlineStr">
        <is>
          <t>per wire</t>
        </is>
      </c>
      <c r="F49" s="1561" t="inlineStr">
        <is>
          <t>Wires at grommet face</t>
        </is>
      </c>
      <c r="G49" s="1561" t="inlineStr">
        <is>
          <t>Wires inserted through grommet</t>
        </is>
      </c>
      <c r="H49" s="1931" t="n">
        <v>2.413</v>
      </c>
      <c r="I49" s="1690" t="inlineStr">
        <is>
          <t>pc</t>
        </is>
      </c>
      <c r="J49" s="1900" t="n">
        <v>1</v>
      </c>
      <c r="K49" s="1901">
        <f>+J49*H49</f>
        <v/>
      </c>
      <c r="L49" s="1344" t="inlineStr">
        <is>
          <t>Automatic</t>
        </is>
      </c>
      <c r="M49" s="1231" t="n"/>
      <c r="N49" s="1344" t="n"/>
      <c r="O49" s="1407" t="n"/>
      <c r="P49" s="1344" t="n"/>
      <c r="Q49" s="1980" t="n"/>
      <c r="R49" s="1344" t="n"/>
      <c r="S49" s="1806" t="n"/>
      <c r="T49" s="1806" t="n"/>
      <c r="U49" s="1902" t="n"/>
      <c r="V49" s="1806" t="n"/>
      <c r="W49" s="1806" t="n"/>
      <c r="X49" s="1806" t="n"/>
      <c r="Y49" s="1806" t="n"/>
      <c r="Z49" s="1806" t="n"/>
      <c r="AA49" s="1806" t="n"/>
      <c r="AB49" s="1806" t="n"/>
      <c r="AC49" s="1806" t="n"/>
      <c r="AD49" s="1806" t="n"/>
      <c r="AE49" s="1806" t="n"/>
      <c r="AF49" s="1806" t="n"/>
      <c r="AG49" s="1806" t="n"/>
      <c r="AH49" s="1806" t="n"/>
      <c r="AI49" s="1806" t="n"/>
      <c r="AJ49" s="1806" t="n"/>
      <c r="AK49" s="1806" t="n"/>
      <c r="AL49" s="1806" t="n"/>
      <c r="AM49" s="1806" t="n"/>
    </row>
    <row r="50" ht="39" customFormat="1" customHeight="1" s="1806">
      <c r="A50" s="1329" t="n"/>
      <c r="B50" s="1301" t="n"/>
      <c r="C50" s="1672" t="inlineStr">
        <is>
          <t>Metalic tube over shield tube (Oxygen sensor)</t>
        </is>
      </c>
      <c r="D50" s="1670" t="n"/>
      <c r="E50" s="1672" t="n"/>
      <c r="F50" s="1672" t="inlineStr">
        <is>
          <t>Reach for farness</t>
        </is>
      </c>
      <c r="G50" s="1672" t="inlineStr">
        <is>
          <t>Release harness and place on rack</t>
        </is>
      </c>
      <c r="H50" s="1931" t="n">
        <v>8.640000000000001</v>
      </c>
      <c r="I50" s="1694" t="inlineStr">
        <is>
          <t>pc</t>
        </is>
      </c>
      <c r="J50" s="1674" t="n">
        <v>1</v>
      </c>
      <c r="K50" s="1675">
        <f>+J50*H50</f>
        <v/>
      </c>
      <c r="L50" s="1344" t="inlineStr">
        <is>
          <t>Automatic</t>
        </is>
      </c>
      <c r="M50" s="1231" t="n"/>
      <c r="N50" s="1344" t="n"/>
      <c r="O50" s="1231" t="n"/>
      <c r="P50" s="1957" t="n"/>
      <c r="Q50" s="1231" t="n"/>
      <c r="R50" s="1806" t="n"/>
      <c r="S50" s="1806" t="n"/>
      <c r="T50" s="1806" t="n"/>
      <c r="U50" s="1806" t="n"/>
      <c r="V50" s="1806" t="n"/>
      <c r="W50" s="1806" t="n"/>
      <c r="X50" s="1806" t="n"/>
      <c r="Y50" s="1806" t="n"/>
      <c r="Z50" s="1806" t="n"/>
      <c r="AA50" s="1806" t="n"/>
      <c r="AB50" s="1806" t="n"/>
      <c r="AC50" s="1806" t="n"/>
      <c r="AD50" s="1806" t="n"/>
      <c r="AE50" s="1806" t="n"/>
      <c r="AF50" s="1806" t="n"/>
      <c r="AG50" s="1806" t="n"/>
      <c r="AH50" s="1806" t="n"/>
      <c r="AI50" s="1806" t="n"/>
      <c r="AJ50" s="1806" t="n"/>
      <c r="AK50" s="1806" t="n"/>
      <c r="AL50" s="1806" t="n"/>
      <c r="AM50" s="1806" t="n"/>
    </row>
    <row r="51" ht="42.75" customFormat="1" customHeight="1" s="1806">
      <c r="A51" s="1697" t="inlineStr">
        <is>
          <t xml:space="preserve">Grommet retainer
</t>
        </is>
      </c>
      <c r="B51" s="1655" t="n"/>
      <c r="C51" s="1698" t="inlineStr">
        <is>
          <t xml:space="preserve">Apply Grommet retainer
</t>
        </is>
      </c>
      <c r="D51" s="1610" t="n"/>
      <c r="E51" s="1698" t="inlineStr">
        <is>
          <t>Per Retainer</t>
        </is>
      </c>
      <c r="F51" s="1698" t="inlineStr">
        <is>
          <t>Get Retainer</t>
        </is>
      </c>
      <c r="G51" s="1698" t="inlineStr">
        <is>
          <t>Release Grommet</t>
        </is>
      </c>
      <c r="H51" s="1970" t="n">
        <v>18.76</v>
      </c>
      <c r="I51" s="1981" t="inlineStr">
        <is>
          <t>pc</t>
        </is>
      </c>
      <c r="J51" s="1982" t="n">
        <v>1</v>
      </c>
      <c r="K51" s="1907">
        <f>+J51*H51</f>
        <v/>
      </c>
      <c r="L51" s="1344" t="inlineStr">
        <is>
          <t>Automatic</t>
        </is>
      </c>
      <c r="M51" s="1231" t="n"/>
      <c r="N51" s="1344" t="n"/>
      <c r="O51" s="1231" t="n"/>
      <c r="P51" s="1957" t="n"/>
      <c r="Q51" s="1231" t="n"/>
      <c r="R51" s="1806" t="n"/>
      <c r="S51" s="1806" t="n"/>
      <c r="T51" s="1806" t="n"/>
      <c r="U51" s="1806" t="n"/>
      <c r="V51" s="1806" t="n"/>
      <c r="W51" s="1806" t="n"/>
      <c r="X51" s="1806" t="n"/>
      <c r="Y51" s="1806" t="n"/>
      <c r="Z51" s="1806" t="n"/>
      <c r="AA51" s="1806" t="n"/>
      <c r="AB51" s="1806" t="n"/>
      <c r="AC51" s="1806" t="n"/>
      <c r="AD51" s="1806" t="n"/>
      <c r="AE51" s="1806" t="n"/>
      <c r="AF51" s="1806" t="n"/>
      <c r="AG51" s="1806" t="n"/>
      <c r="AH51" s="1806" t="n"/>
      <c r="AI51" s="1806" t="n"/>
      <c r="AJ51" s="1806" t="n"/>
      <c r="AK51" s="1806" t="n"/>
      <c r="AL51" s="1806" t="n"/>
      <c r="AM51" s="1806" t="n"/>
    </row>
    <row r="52" ht="33" customFormat="1" customHeight="1" s="1806">
      <c r="A52" s="1971" t="inlineStr">
        <is>
          <t>Grommets</t>
        </is>
      </c>
      <c r="B52" s="1610" t="n"/>
      <c r="C52" s="1698" t="inlineStr">
        <is>
          <t>Application of Bracelet</t>
        </is>
      </c>
      <c r="D52" s="1610" t="n"/>
      <c r="E52" s="1698" t="inlineStr">
        <is>
          <t>Per Apply</t>
        </is>
      </c>
      <c r="F52" s="1698" t="inlineStr">
        <is>
          <t>Get and apply bracelet</t>
        </is>
      </c>
      <c r="G52" s="1698" t="inlineStr">
        <is>
          <t>Release grommet</t>
        </is>
      </c>
      <c r="H52" s="1970" t="n">
        <v>4.158</v>
      </c>
      <c r="I52" s="1685" t="inlineStr">
        <is>
          <t>pc</t>
        </is>
      </c>
      <c r="J52" s="1916" t="n">
        <v>1</v>
      </c>
      <c r="K52" s="1937">
        <f>+J52*H52</f>
        <v/>
      </c>
      <c r="L52" s="1344" t="inlineStr">
        <is>
          <t>Automatic</t>
        </is>
      </c>
      <c r="M52" s="1231" t="n"/>
      <c r="N52" s="1344" t="n"/>
      <c r="O52" s="1231" t="n"/>
      <c r="P52" s="1957" t="n"/>
      <c r="Q52" s="1231" t="n"/>
      <c r="R52" s="1806" t="n"/>
      <c r="S52" s="1806" t="n"/>
      <c r="T52" s="1806" t="n"/>
      <c r="U52" s="1806" t="n"/>
      <c r="V52" s="1806" t="n"/>
      <c r="W52" s="1806" t="n"/>
      <c r="X52" s="1806" t="n"/>
      <c r="Y52" s="1806" t="n"/>
      <c r="Z52" s="1806" t="n"/>
      <c r="AA52" s="1806" t="n"/>
      <c r="AB52" s="1806" t="n"/>
      <c r="AC52" s="1806" t="n"/>
      <c r="AD52" s="1806" t="n"/>
      <c r="AE52" s="1806" t="n"/>
      <c r="AF52" s="1806" t="n"/>
      <c r="AG52" s="1806" t="n"/>
      <c r="AH52" s="1806" t="n"/>
      <c r="AI52" s="1806" t="n"/>
      <c r="AJ52" s="1806" t="n"/>
      <c r="AK52" s="1806" t="n"/>
      <c r="AL52" s="1806" t="n"/>
      <c r="AM52" s="1806" t="n"/>
    </row>
    <row r="53" ht="24.75" customFormat="1" customHeight="1" s="1806">
      <c r="A53" s="1697" t="inlineStr">
        <is>
          <t>APPLY POLIPROPILYNE BAR (STICK)</t>
        </is>
      </c>
      <c r="B53" s="1590" t="n"/>
      <c r="C53" s="1698" t="inlineStr">
        <is>
          <t>&lt;&lt; 100 mm</t>
        </is>
      </c>
      <c r="D53" s="1610" t="n"/>
      <c r="E53" s="1698" t="inlineStr">
        <is>
          <t>Hand Work</t>
        </is>
      </c>
      <c r="F53" s="1698" t="inlineStr">
        <is>
          <t>Reach for Bar</t>
        </is>
      </c>
      <c r="G53" s="1698" t="inlineStr">
        <is>
          <t>Release Branch</t>
        </is>
      </c>
      <c r="H53" s="1970" t="n">
        <v>10.09</v>
      </c>
      <c r="I53" s="1685" t="inlineStr">
        <is>
          <t>pc</t>
        </is>
      </c>
      <c r="J53" s="1916" t="n">
        <v>1</v>
      </c>
      <c r="K53" s="1937">
        <f>+J53*H53</f>
        <v/>
      </c>
      <c r="L53" s="1344" t="inlineStr">
        <is>
          <t>Automatic</t>
        </is>
      </c>
      <c r="M53" s="1231" t="n"/>
      <c r="N53" s="1344" t="n"/>
      <c r="O53" s="1231" t="n"/>
      <c r="P53" s="1957" t="n"/>
      <c r="Q53" s="1231" t="n"/>
      <c r="R53" s="1806" t="n"/>
      <c r="S53" s="1806" t="n"/>
      <c r="T53" s="1806" t="n"/>
      <c r="U53" s="1806" t="n"/>
      <c r="V53" s="1806" t="n"/>
      <c r="W53" s="1806" t="n"/>
      <c r="X53" s="1806" t="n"/>
      <c r="Y53" s="1806" t="n"/>
      <c r="Z53" s="1806" t="n"/>
      <c r="AA53" s="1806" t="n"/>
      <c r="AB53" s="1806" t="n"/>
      <c r="AC53" s="1806" t="n"/>
      <c r="AD53" s="1806" t="n"/>
      <c r="AE53" s="1806" t="n"/>
      <c r="AF53" s="1806" t="n"/>
      <c r="AG53" s="1806" t="n"/>
      <c r="AH53" s="1806" t="n"/>
      <c r="AI53" s="1806" t="n"/>
      <c r="AJ53" s="1806" t="n"/>
      <c r="AK53" s="1806" t="n"/>
      <c r="AL53" s="1806" t="n"/>
      <c r="AM53" s="1806" t="n"/>
    </row>
    <row r="54" ht="15" customFormat="1" customHeight="1" s="1806">
      <c r="A54" s="1326" t="n"/>
      <c r="B54" s="1297" t="n"/>
      <c r="C54" s="1561" t="inlineStr">
        <is>
          <t>100 - 150 mm</t>
        </is>
      </c>
      <c r="D54" s="1532" t="n"/>
      <c r="E54" s="1561" t="inlineStr">
        <is>
          <t>Hand Work</t>
        </is>
      </c>
      <c r="F54" s="1561" t="inlineStr">
        <is>
          <t>Reach for Bar</t>
        </is>
      </c>
      <c r="G54" s="1561" t="inlineStr">
        <is>
          <t>Release Branch</t>
        </is>
      </c>
      <c r="H54" s="1931" t="n">
        <v>18.86</v>
      </c>
      <c r="I54" s="1690" t="inlineStr">
        <is>
          <t>pc</t>
        </is>
      </c>
      <c r="J54" s="1900" t="n">
        <v>1</v>
      </c>
      <c r="K54" s="1901">
        <f>+J54*H54</f>
        <v/>
      </c>
      <c r="L54" s="1344" t="inlineStr">
        <is>
          <t>Automatic</t>
        </is>
      </c>
      <c r="M54" s="1231" t="n"/>
      <c r="N54" s="1344" t="n"/>
      <c r="O54" s="1231" t="n"/>
      <c r="P54" s="1957" t="n"/>
      <c r="Q54" s="1231" t="n"/>
      <c r="R54" s="1806" t="n"/>
      <c r="S54" s="1806" t="n"/>
      <c r="T54" s="1806" t="n"/>
      <c r="U54" s="1806" t="n"/>
      <c r="V54" s="1806" t="n"/>
      <c r="W54" s="1806" t="n"/>
      <c r="X54" s="1806" t="n"/>
      <c r="Y54" s="1806" t="n"/>
      <c r="Z54" s="1806" t="n"/>
      <c r="AA54" s="1806" t="n"/>
      <c r="AB54" s="1806" t="n"/>
      <c r="AC54" s="1806" t="n"/>
      <c r="AD54" s="1806" t="n"/>
      <c r="AE54" s="1806" t="n"/>
      <c r="AF54" s="1806" t="n"/>
      <c r="AG54" s="1806" t="n"/>
      <c r="AH54" s="1806" t="n"/>
      <c r="AI54" s="1806" t="n"/>
      <c r="AJ54" s="1806" t="n"/>
      <c r="AK54" s="1806" t="n"/>
      <c r="AL54" s="1806" t="n"/>
      <c r="AM54" s="1806" t="n"/>
    </row>
    <row r="55" ht="15" customFormat="1" customHeight="1" s="1806">
      <c r="A55" s="1329" t="n"/>
      <c r="B55" s="1301" t="n"/>
      <c r="C55" s="1672" t="inlineStr">
        <is>
          <t>&gt;&gt; 150 mm</t>
        </is>
      </c>
      <c r="D55" s="1670" t="n"/>
      <c r="E55" s="1672" t="inlineStr">
        <is>
          <t>Hand Work</t>
        </is>
      </c>
      <c r="F55" s="1672" t="inlineStr">
        <is>
          <t>Reach for Bar</t>
        </is>
      </c>
      <c r="G55" s="1672" t="inlineStr">
        <is>
          <t>Release Branch</t>
        </is>
      </c>
      <c r="H55" s="1976" t="n">
        <v>34</v>
      </c>
      <c r="I55" s="1694" t="inlineStr">
        <is>
          <t>pc</t>
        </is>
      </c>
      <c r="J55" s="1674" t="n">
        <v>1</v>
      </c>
      <c r="K55" s="1675">
        <f>+J55*H55</f>
        <v/>
      </c>
      <c r="L55" s="1344" t="inlineStr">
        <is>
          <t>Automatic</t>
        </is>
      </c>
      <c r="M55" s="1231" t="n"/>
      <c r="N55" s="1344" t="n"/>
      <c r="O55" s="1231" t="n"/>
      <c r="P55" s="1957" t="n"/>
      <c r="Q55" s="1231" t="n"/>
      <c r="R55" s="1806" t="n"/>
      <c r="S55" s="1806" t="n"/>
      <c r="T55" s="1806" t="n"/>
      <c r="U55" s="1806" t="n"/>
      <c r="V55" s="1806" t="n"/>
      <c r="W55" s="1806" t="n"/>
      <c r="X55" s="1806" t="n"/>
      <c r="Y55" s="1806" t="n"/>
      <c r="Z55" s="1806" t="n"/>
      <c r="AA55" s="1806" t="n"/>
      <c r="AB55" s="1806" t="n"/>
      <c r="AC55" s="1806" t="n"/>
      <c r="AD55" s="1806" t="n"/>
      <c r="AE55" s="1806" t="n"/>
      <c r="AF55" s="1806" t="n"/>
      <c r="AG55" s="1806" t="n"/>
      <c r="AH55" s="1806" t="n"/>
      <c r="AI55" s="1806" t="n"/>
      <c r="AJ55" s="1806" t="n"/>
      <c r="AK55" s="1806" t="n"/>
      <c r="AL55" s="1806" t="n"/>
      <c r="AM55" s="1806" t="n"/>
    </row>
    <row r="56" hidden="1" ht="25.5" customFormat="1" customHeight="1" s="1806">
      <c r="A56" s="1983" t="inlineStr">
        <is>
          <t>Sealing branch</t>
        </is>
      </c>
      <c r="B56" s="1590" t="n"/>
      <c r="C56" s="1984" t="inlineStr">
        <is>
          <t>terostat preparation (including weight)</t>
        </is>
      </c>
      <c r="D56" s="1610" t="n"/>
      <c r="E56" s="1984" t="inlineStr">
        <is>
          <t>Hand Work</t>
        </is>
      </c>
      <c r="F56" s="1984" t="inlineStr">
        <is>
          <t>Reach for material</t>
        </is>
      </c>
      <c r="G56" s="1984" t="inlineStr">
        <is>
          <t xml:space="preserve">Portion weighted and ready to use </t>
        </is>
      </c>
      <c r="H56" s="1985" t="n">
        <v>9.039999999999999</v>
      </c>
      <c r="I56" s="1986" t="inlineStr">
        <is>
          <t>pc</t>
        </is>
      </c>
      <c r="J56" s="1987" t="n">
        <v>1</v>
      </c>
      <c r="K56" s="1988">
        <f>+J56*H56</f>
        <v/>
      </c>
      <c r="L56" s="1412" t="inlineStr">
        <is>
          <t>moved to LP to have possibility to choose between LP and FA location</t>
        </is>
      </c>
      <c r="M56" s="1231" t="n"/>
      <c r="N56" s="1344" t="n"/>
      <c r="O56" s="1231" t="n"/>
      <c r="P56" s="1957" t="n"/>
      <c r="Q56" s="1231" t="n"/>
      <c r="R56" s="1806" t="n"/>
      <c r="S56" s="1806" t="n"/>
      <c r="T56" s="1806" t="n"/>
      <c r="U56" s="1806" t="n"/>
      <c r="V56" s="1806" t="n"/>
      <c r="W56" s="1806" t="n"/>
      <c r="X56" s="1806" t="n"/>
      <c r="Y56" s="1806" t="n"/>
      <c r="Z56" s="1806" t="n"/>
      <c r="AA56" s="1806" t="n"/>
      <c r="AB56" s="1806" t="n"/>
      <c r="AC56" s="1806" t="n"/>
      <c r="AD56" s="1806" t="n"/>
      <c r="AE56" s="1806" t="n"/>
      <c r="AF56" s="1806" t="n"/>
      <c r="AG56" s="1806" t="n"/>
      <c r="AH56" s="1806" t="n"/>
      <c r="AI56" s="1806" t="n"/>
      <c r="AJ56" s="1806" t="n"/>
      <c r="AK56" s="1806" t="n"/>
      <c r="AL56" s="1806" t="n"/>
      <c r="AM56" s="1806" t="n"/>
    </row>
    <row r="57" ht="15" customFormat="1" customHeight="1" s="1806">
      <c r="A57" s="1326" t="n"/>
      <c r="B57" s="1297" t="n"/>
      <c r="C57" s="1630" t="inlineStr">
        <is>
          <t>get and apply Terostat (sealant), including taping over and sliding grommet over taped area</t>
        </is>
      </c>
      <c r="D57" s="1297" t="n"/>
      <c r="E57" s="1537" t="inlineStr">
        <is>
          <t>up to 11 wires</t>
        </is>
      </c>
      <c r="F57" s="1537" t="inlineStr">
        <is>
          <t>Get Terostat</t>
        </is>
      </c>
      <c r="G57" s="1537" t="inlineStr">
        <is>
          <t>Release branch</t>
        </is>
      </c>
      <c r="H57" s="1989" t="n">
        <v>25.377</v>
      </c>
      <c r="I57" s="1665" t="inlineStr">
        <is>
          <t>pc</t>
        </is>
      </c>
      <c r="J57" s="1964" t="n">
        <v>1</v>
      </c>
      <c r="K57" s="1965">
        <f>+J57*H57</f>
        <v/>
      </c>
      <c r="L57" s="1344" t="inlineStr">
        <is>
          <t>Semi-automatic</t>
        </is>
      </c>
      <c r="M57" s="1231" t="n"/>
      <c r="N57" s="1344" t="n"/>
      <c r="O57" s="1231" t="n"/>
      <c r="P57" s="1957" t="n"/>
      <c r="Q57" s="1231" t="n"/>
      <c r="R57" s="1806" t="n"/>
      <c r="S57" s="1806" t="n"/>
      <c r="T57" s="1806" t="n"/>
      <c r="U57" s="1806" t="n"/>
      <c r="V57" s="1806" t="n"/>
      <c r="W57" s="1806" t="n"/>
      <c r="X57" s="1806" t="n"/>
      <c r="Y57" s="1806" t="n"/>
      <c r="Z57" s="1806" t="n"/>
      <c r="AA57" s="1806" t="n"/>
      <c r="AB57" s="1806" t="n"/>
      <c r="AC57" s="1806" t="n"/>
      <c r="AD57" s="1806" t="n"/>
      <c r="AE57" s="1806" t="n"/>
      <c r="AF57" s="1806" t="n"/>
      <c r="AG57" s="1806" t="n"/>
      <c r="AH57" s="1806" t="n"/>
      <c r="AI57" s="1806" t="n"/>
      <c r="AJ57" s="1806" t="n"/>
      <c r="AK57" s="1806" t="n"/>
      <c r="AL57" s="1806" t="n"/>
      <c r="AM57" s="1806" t="n"/>
    </row>
    <row r="58" ht="15" customFormat="1" customHeight="1" s="1806">
      <c r="A58" s="1326" t="n"/>
      <c r="B58" s="1297" t="n"/>
      <c r="C58" s="1615" t="n"/>
      <c r="D58" s="1297" t="n"/>
      <c r="E58" s="1561" t="inlineStr">
        <is>
          <t>12-30 wires</t>
        </is>
      </c>
      <c r="F58" s="1561" t="inlineStr">
        <is>
          <t>Get Terostat</t>
        </is>
      </c>
      <c r="G58" s="1561" t="inlineStr">
        <is>
          <t>Release branch</t>
        </is>
      </c>
      <c r="H58" s="1920" t="n">
        <v>44.196</v>
      </c>
      <c r="I58" s="1690" t="inlineStr">
        <is>
          <t>pc</t>
        </is>
      </c>
      <c r="J58" s="1900" t="n">
        <v>1</v>
      </c>
      <c r="K58" s="1901">
        <f>+J58*H58</f>
        <v/>
      </c>
      <c r="L58" s="1344" t="inlineStr">
        <is>
          <t>Manual</t>
        </is>
      </c>
      <c r="M58" s="1231" t="n"/>
      <c r="N58" s="1344" t="n"/>
      <c r="O58" s="1231" t="n"/>
      <c r="P58" s="1957" t="n"/>
      <c r="Q58" s="1231" t="n"/>
      <c r="R58" s="1806" t="n"/>
      <c r="S58" s="1806" t="n"/>
      <c r="T58" s="1806" t="n"/>
      <c r="U58" s="1806" t="n"/>
      <c r="V58" s="1806" t="n"/>
      <c r="W58" s="1806" t="n"/>
      <c r="X58" s="1806" t="n"/>
      <c r="Y58" s="1806" t="n"/>
      <c r="Z58" s="1806" t="n"/>
      <c r="AA58" s="1806" t="n"/>
      <c r="AB58" s="1806" t="n"/>
      <c r="AC58" s="1806" t="n"/>
      <c r="AD58" s="1806" t="n"/>
      <c r="AE58" s="1806" t="n"/>
      <c r="AF58" s="1806" t="n"/>
      <c r="AG58" s="1806" t="n"/>
      <c r="AH58" s="1806" t="n"/>
      <c r="AI58" s="1806" t="n"/>
      <c r="AJ58" s="1806" t="n"/>
      <c r="AK58" s="1806" t="n"/>
      <c r="AL58" s="1806" t="n"/>
      <c r="AM58" s="1806" t="n"/>
    </row>
    <row r="59" ht="32.25" customFormat="1" customHeight="1" s="1806">
      <c r="A59" s="1329" t="n"/>
      <c r="B59" s="1301" t="n"/>
      <c r="C59" s="1812" t="n"/>
      <c r="D59" s="1301" t="n"/>
      <c r="E59" s="1672" t="inlineStr">
        <is>
          <t>&gt;30 wires</t>
        </is>
      </c>
      <c r="F59" s="1672" t="inlineStr">
        <is>
          <t>Get Terostat</t>
        </is>
      </c>
      <c r="G59" s="1672" t="inlineStr">
        <is>
          <t>Release branch</t>
        </is>
      </c>
      <c r="H59" s="1990" t="n">
        <v>59.17</v>
      </c>
      <c r="I59" s="1694" t="inlineStr">
        <is>
          <t>pc</t>
        </is>
      </c>
      <c r="J59" s="1674" t="n">
        <v>1</v>
      </c>
      <c r="K59" s="1675">
        <f>+J59*H59</f>
        <v/>
      </c>
      <c r="L59" s="1344" t="inlineStr">
        <is>
          <t>Manual</t>
        </is>
      </c>
      <c r="M59" s="1231" t="n"/>
      <c r="N59" s="1344" t="n"/>
      <c r="O59" s="1231" t="n"/>
      <c r="P59" s="1957" t="n"/>
      <c r="Q59" s="1231" t="n"/>
      <c r="R59" s="1806" t="n"/>
      <c r="S59" s="1806" t="n"/>
      <c r="T59" s="1806" t="n"/>
      <c r="U59" s="1806" t="n"/>
      <c r="V59" s="1806" t="n"/>
      <c r="W59" s="1806" t="n"/>
      <c r="X59" s="1806" t="n"/>
      <c r="Y59" s="1806" t="n"/>
      <c r="Z59" s="1806" t="n"/>
      <c r="AA59" s="1806" t="n"/>
      <c r="AB59" s="1806" t="n"/>
      <c r="AC59" s="1806" t="n"/>
      <c r="AD59" s="1806" t="n"/>
      <c r="AE59" s="1806" t="n"/>
      <c r="AF59" s="1806" t="n"/>
      <c r="AG59" s="1806" t="n"/>
      <c r="AH59" s="1806" t="n"/>
      <c r="AI59" s="1806" t="n"/>
      <c r="AJ59" s="1806" t="n"/>
      <c r="AK59" s="1806" t="n"/>
      <c r="AL59" s="1806" t="n"/>
      <c r="AM59" s="1806" t="n"/>
    </row>
    <row r="60" ht="32.25" customFormat="1" customHeight="1" s="1806">
      <c r="A60" s="1991" t="inlineStr">
        <is>
          <t>Sealing branch (AP REGION)
get and apply  sealant, including taping over and sliding grommet over taped area</t>
        </is>
      </c>
      <c r="B60" s="1297" t="n"/>
      <c r="C60" s="1871" t="inlineStr">
        <is>
          <t xml:space="preserve"> Load/Unload Branch  on the board with tool</t>
        </is>
      </c>
      <c r="D60" s="1545" t="n"/>
      <c r="E60" s="1871" t="inlineStr">
        <is>
          <t>Manual</t>
        </is>
      </c>
      <c r="F60" s="1871" t="inlineStr">
        <is>
          <t>Get Branch</t>
        </is>
      </c>
      <c r="G60" s="1871" t="inlineStr">
        <is>
          <t>Release branch</t>
        </is>
      </c>
      <c r="H60" s="1992" t="n">
        <v>13.458</v>
      </c>
      <c r="I60" s="1993" t="inlineStr">
        <is>
          <t>pc</t>
        </is>
      </c>
      <c r="J60" s="1964" t="n">
        <v>1</v>
      </c>
      <c r="K60" s="1937">
        <f>+J60*H60</f>
        <v/>
      </c>
      <c r="L60" s="1344" t="n"/>
      <c r="M60" s="1231" t="n"/>
      <c r="N60" s="1344" t="n"/>
      <c r="O60" s="1806" t="n"/>
      <c r="P60" s="1957" t="n"/>
      <c r="Q60" s="1231" t="n"/>
      <c r="R60" s="1806" t="n"/>
      <c r="S60" s="1806" t="n"/>
      <c r="T60" s="1806" t="n"/>
      <c r="U60" s="1806" t="n"/>
      <c r="V60" s="1806" t="n"/>
      <c r="W60" s="1806" t="n"/>
      <c r="X60" s="1806" t="n"/>
      <c r="Y60" s="1806" t="n"/>
      <c r="Z60" s="1806" t="n"/>
      <c r="AA60" s="1806" t="n"/>
      <c r="AB60" s="1806" t="n"/>
      <c r="AC60" s="1806" t="n"/>
      <c r="AD60" s="1806" t="n"/>
      <c r="AE60" s="1806" t="n"/>
      <c r="AF60" s="1806" t="n"/>
      <c r="AG60" s="1806" t="n"/>
      <c r="AH60" s="1806" t="n"/>
      <c r="AI60" s="1806" t="n"/>
      <c r="AJ60" s="1806" t="n"/>
      <c r="AK60" s="1806" t="n"/>
      <c r="AL60" s="1806" t="n"/>
      <c r="AM60" s="1806" t="n"/>
    </row>
    <row r="61" ht="32.25" customFormat="1" customHeight="1" s="1806">
      <c r="A61" s="1326" t="n"/>
      <c r="B61" s="1297" t="n"/>
      <c r="C61" s="1778" t="inlineStr">
        <is>
          <t>Put sealant on the tool witout protection</t>
        </is>
      </c>
      <c r="D61" s="1532" t="n"/>
      <c r="E61" s="1778" t="inlineStr">
        <is>
          <t>Manual</t>
        </is>
      </c>
      <c r="F61" s="1871" t="inlineStr">
        <is>
          <t>Get sealant</t>
        </is>
      </c>
      <c r="G61" s="1871" t="inlineStr">
        <is>
          <t>Release sealant</t>
        </is>
      </c>
      <c r="H61" s="1992" t="n">
        <v>5.806</v>
      </c>
      <c r="I61" s="1993" t="inlineStr">
        <is>
          <t>pc</t>
        </is>
      </c>
      <c r="J61" s="1964" t="n">
        <v>1</v>
      </c>
      <c r="K61" s="1965">
        <f>+J61*H61</f>
        <v/>
      </c>
      <c r="L61" s="1344" t="n"/>
      <c r="M61" s="1231" t="n"/>
      <c r="N61" s="1344" t="n"/>
      <c r="O61" s="1806" t="n"/>
      <c r="P61" s="1957" t="n"/>
      <c r="Q61" s="1231" t="n"/>
      <c r="R61" s="1806" t="n"/>
      <c r="S61" s="1806" t="n"/>
      <c r="T61" s="1806" t="n"/>
      <c r="U61" s="1806" t="n"/>
      <c r="V61" s="1806" t="n"/>
      <c r="W61" s="1806" t="n"/>
      <c r="X61" s="1806" t="n"/>
      <c r="Y61" s="1806" t="n"/>
      <c r="Z61" s="1806" t="n"/>
      <c r="AA61" s="1806" t="n"/>
      <c r="AB61" s="1806" t="n"/>
      <c r="AC61" s="1806" t="n"/>
      <c r="AD61" s="1806" t="n"/>
      <c r="AE61" s="1806" t="n"/>
      <c r="AF61" s="1806" t="n"/>
      <c r="AG61" s="1806" t="n"/>
      <c r="AH61" s="1806" t="n"/>
      <c r="AI61" s="1806" t="n"/>
      <c r="AJ61" s="1806" t="n"/>
      <c r="AK61" s="1806" t="n"/>
      <c r="AL61" s="1806" t="n"/>
      <c r="AM61" s="1806" t="n"/>
    </row>
    <row r="62" ht="32.25" customFormat="1" customHeight="1" s="1806">
      <c r="A62" s="1326" t="n"/>
      <c r="B62" s="1297" t="n"/>
      <c r="C62" s="1778" t="inlineStr">
        <is>
          <t xml:space="preserve">
 Put the wire on sealant （per One wire）</t>
        </is>
      </c>
      <c r="D62" s="1532" t="n"/>
      <c r="E62" s="1778" t="inlineStr">
        <is>
          <t>Manual</t>
        </is>
      </c>
      <c r="F62" s="1871" t="inlineStr">
        <is>
          <t>Get Wire</t>
        </is>
      </c>
      <c r="G62" s="1871" t="inlineStr">
        <is>
          <t>Release wire</t>
        </is>
      </c>
      <c r="H62" s="1992" t="n">
        <v>2.671</v>
      </c>
      <c r="I62" s="1993" t="inlineStr">
        <is>
          <t>pc</t>
        </is>
      </c>
      <c r="J62" s="1964" t="n">
        <v>1</v>
      </c>
      <c r="K62" s="1901">
        <f>+J62*H62</f>
        <v/>
      </c>
      <c r="L62" s="1344" t="n"/>
      <c r="M62" s="1231" t="n"/>
      <c r="N62" s="1344" t="n"/>
      <c r="O62" s="1806" t="n"/>
      <c r="P62" s="1957" t="n"/>
      <c r="Q62" s="1231" t="n"/>
      <c r="R62" s="1806" t="n"/>
      <c r="S62" s="1806" t="n"/>
      <c r="T62" s="1806" t="n"/>
      <c r="U62" s="1806" t="n"/>
      <c r="V62" s="1806" t="n"/>
      <c r="W62" s="1806" t="n"/>
      <c r="X62" s="1806" t="n"/>
      <c r="Y62" s="1806" t="n"/>
      <c r="Z62" s="1806" t="n"/>
      <c r="AA62" s="1806" t="n"/>
      <c r="AB62" s="1806" t="n"/>
      <c r="AC62" s="1806" t="n"/>
      <c r="AD62" s="1806" t="n"/>
      <c r="AE62" s="1806" t="n"/>
      <c r="AF62" s="1806" t="n"/>
      <c r="AG62" s="1806" t="n"/>
      <c r="AH62" s="1806" t="n"/>
      <c r="AI62" s="1806" t="n"/>
      <c r="AJ62" s="1806" t="n"/>
      <c r="AK62" s="1806" t="n"/>
      <c r="AL62" s="1806" t="n"/>
      <c r="AM62" s="1806" t="n"/>
    </row>
    <row r="63" ht="32.25" customFormat="1" customHeight="1" s="1806">
      <c r="A63" s="1326" t="n"/>
      <c r="B63" s="1297" t="n"/>
      <c r="C63" s="1778" t="inlineStr">
        <is>
          <t xml:space="preserve">
Open twist (if applies)</t>
        </is>
      </c>
      <c r="D63" s="1532" t="n"/>
      <c r="E63" s="1778" t="inlineStr">
        <is>
          <t>Manual</t>
        </is>
      </c>
      <c r="F63" s="1871" t="inlineStr">
        <is>
          <t>Get Wire</t>
        </is>
      </c>
      <c r="G63" s="1871" t="inlineStr">
        <is>
          <t>Release wire</t>
        </is>
      </c>
      <c r="H63" s="1992" t="n">
        <v>2.418</v>
      </c>
      <c r="I63" s="1993" t="inlineStr">
        <is>
          <t>pc</t>
        </is>
      </c>
      <c r="J63" s="1964" t="n">
        <v>1</v>
      </c>
      <c r="K63" s="1901">
        <f>+J63*H63</f>
        <v/>
      </c>
      <c r="L63" s="1344" t="n"/>
      <c r="M63" s="1231" t="n"/>
      <c r="N63" s="1344" t="n"/>
      <c r="O63" s="1806" t="n"/>
      <c r="P63" s="1957" t="n"/>
      <c r="Q63" s="1231" t="n"/>
      <c r="R63" s="1806" t="n"/>
      <c r="S63" s="1806" t="n"/>
      <c r="T63" s="1806" t="n"/>
      <c r="U63" s="1806" t="n"/>
      <c r="V63" s="1806" t="n"/>
      <c r="W63" s="1806" t="n"/>
      <c r="X63" s="1806" t="n"/>
      <c r="Y63" s="1806" t="n"/>
      <c r="Z63" s="1806" t="n"/>
      <c r="AA63" s="1806" t="n"/>
      <c r="AB63" s="1806" t="n"/>
      <c r="AC63" s="1806" t="n"/>
      <c r="AD63" s="1806" t="n"/>
      <c r="AE63" s="1806" t="n"/>
      <c r="AF63" s="1806" t="n"/>
      <c r="AG63" s="1806" t="n"/>
      <c r="AH63" s="1806" t="n"/>
      <c r="AI63" s="1806" t="n"/>
      <c r="AJ63" s="1806" t="n"/>
      <c r="AK63" s="1806" t="n"/>
      <c r="AL63" s="1806" t="n"/>
      <c r="AM63" s="1806" t="n"/>
    </row>
    <row r="64" ht="32.25" customFormat="1" customHeight="1" s="1806">
      <c r="A64" s="1326" t="n"/>
      <c r="B64" s="1297" t="n"/>
      <c r="C64" s="1778" t="inlineStr">
        <is>
          <t xml:space="preserve">
Press with tool</t>
        </is>
      </c>
      <c r="D64" s="1532" t="n"/>
      <c r="E64" s="1778" t="inlineStr">
        <is>
          <t>Tool - press</t>
        </is>
      </c>
      <c r="F64" s="1871" t="inlineStr">
        <is>
          <t>Start press</t>
        </is>
      </c>
      <c r="G64" s="1871" t="inlineStr">
        <is>
          <t>Release branch</t>
        </is>
      </c>
      <c r="H64" s="1992" t="n">
        <v>7.932</v>
      </c>
      <c r="I64" s="1993" t="inlineStr">
        <is>
          <t>pc</t>
        </is>
      </c>
      <c r="J64" s="1964" t="n">
        <v>1</v>
      </c>
      <c r="K64" s="1901">
        <f>+J64*H64</f>
        <v/>
      </c>
      <c r="L64" s="1344" t="n"/>
      <c r="M64" s="1231" t="n"/>
      <c r="N64" s="1344" t="n"/>
      <c r="O64" s="1806" t="n"/>
      <c r="P64" s="1957" t="n"/>
      <c r="Q64" s="1231" t="n"/>
      <c r="R64" s="1806" t="n"/>
      <c r="S64" s="1806" t="n"/>
      <c r="T64" s="1806" t="n"/>
      <c r="U64" s="1806" t="n"/>
      <c r="V64" s="1806" t="n"/>
      <c r="W64" s="1806" t="n"/>
      <c r="X64" s="1806" t="n"/>
      <c r="Y64" s="1806" t="n"/>
      <c r="Z64" s="1806" t="n"/>
      <c r="AA64" s="1806" t="n"/>
      <c r="AB64" s="1806" t="n"/>
      <c r="AC64" s="1806" t="n"/>
      <c r="AD64" s="1806" t="n"/>
      <c r="AE64" s="1806" t="n"/>
      <c r="AF64" s="1806" t="n"/>
      <c r="AG64" s="1806" t="n"/>
      <c r="AH64" s="1806" t="n"/>
      <c r="AI64" s="1806" t="n"/>
      <c r="AJ64" s="1806" t="n"/>
      <c r="AK64" s="1806" t="n"/>
      <c r="AL64" s="1806" t="n"/>
      <c r="AM64" s="1806" t="n"/>
    </row>
    <row r="65" ht="32.25" customFormat="1" customHeight="1" s="1806">
      <c r="A65" s="1326" t="n"/>
      <c r="B65" s="1297" t="n"/>
      <c r="C65" s="1778" t="inlineStr">
        <is>
          <t xml:space="preserve">
Reshape the branch with tool</t>
        </is>
      </c>
      <c r="D65" s="1532" t="n"/>
      <c r="E65" s="1778" t="inlineStr">
        <is>
          <t>Shaping tool</t>
        </is>
      </c>
      <c r="F65" s="1871" t="inlineStr">
        <is>
          <t>Get branch</t>
        </is>
      </c>
      <c r="G65" s="1871" t="inlineStr">
        <is>
          <t>Release branch</t>
        </is>
      </c>
      <c r="H65" s="1992" t="n">
        <v>12.723</v>
      </c>
      <c r="I65" s="1993" t="inlineStr">
        <is>
          <t>pc</t>
        </is>
      </c>
      <c r="J65" s="1964" t="n">
        <v>1</v>
      </c>
      <c r="K65" s="1901">
        <f>+J65*H65</f>
        <v/>
      </c>
      <c r="L65" s="1344" t="n"/>
      <c r="M65" s="1231" t="n"/>
      <c r="N65" s="1344" t="n"/>
      <c r="O65" s="1806" t="n"/>
      <c r="P65" s="1957" t="n"/>
      <c r="Q65" s="1231" t="n"/>
      <c r="R65" s="1806" t="n"/>
      <c r="S65" s="1806" t="n"/>
      <c r="T65" s="1806" t="n"/>
      <c r="U65" s="1806" t="n"/>
      <c r="V65" s="1806" t="n"/>
      <c r="W65" s="1806" t="n"/>
      <c r="X65" s="1806" t="n"/>
      <c r="Y65" s="1806" t="n"/>
      <c r="Z65" s="1806" t="n"/>
      <c r="AA65" s="1806" t="n"/>
      <c r="AB65" s="1806" t="n"/>
      <c r="AC65" s="1806" t="n"/>
      <c r="AD65" s="1806" t="n"/>
      <c r="AE65" s="1806" t="n"/>
      <c r="AF65" s="1806" t="n"/>
      <c r="AG65" s="1806" t="n"/>
      <c r="AH65" s="1806" t="n"/>
      <c r="AI65" s="1806" t="n"/>
      <c r="AJ65" s="1806" t="n"/>
      <c r="AK65" s="1806" t="n"/>
      <c r="AL65" s="1806" t="n"/>
      <c r="AM65" s="1806" t="n"/>
    </row>
    <row r="66" ht="32.25" customFormat="1" customHeight="1" s="1806">
      <c r="A66" s="1326" t="n"/>
      <c r="B66" s="1297" t="n"/>
      <c r="C66" s="1778" t="inlineStr">
        <is>
          <t xml:space="preserve">
Taping on Sealant</t>
        </is>
      </c>
      <c r="D66" s="1532" t="n"/>
      <c r="E66" s="1778" t="inlineStr">
        <is>
          <t>Manual</t>
        </is>
      </c>
      <c r="F66" s="1871" t="inlineStr">
        <is>
          <t>Get tape</t>
        </is>
      </c>
      <c r="G66" s="1871" t="inlineStr">
        <is>
          <t>Split tape</t>
        </is>
      </c>
      <c r="H66" s="1992" t="n">
        <v>0.036</v>
      </c>
      <c r="I66" s="1993" t="inlineStr">
        <is>
          <t>mm</t>
        </is>
      </c>
      <c r="J66" s="1964" t="n">
        <v>1</v>
      </c>
      <c r="K66" s="1901">
        <f>+J66*H66</f>
        <v/>
      </c>
      <c r="L66" s="1344" t="n"/>
      <c r="M66" s="1231" t="n"/>
      <c r="N66" s="1344" t="n"/>
      <c r="O66" s="1806" t="n"/>
      <c r="P66" s="1957" t="n"/>
      <c r="Q66" s="1231" t="n"/>
      <c r="R66" s="1806" t="n"/>
      <c r="S66" s="1806" t="n"/>
      <c r="T66" s="1806" t="n"/>
      <c r="U66" s="1806" t="n"/>
      <c r="V66" s="1806" t="n"/>
      <c r="W66" s="1806" t="n"/>
      <c r="X66" s="1806" t="n"/>
      <c r="Y66" s="1806" t="n"/>
      <c r="Z66" s="1806" t="n"/>
      <c r="AA66" s="1806" t="n"/>
      <c r="AB66" s="1806" t="n"/>
      <c r="AC66" s="1806" t="n"/>
      <c r="AD66" s="1806" t="n"/>
      <c r="AE66" s="1806" t="n"/>
      <c r="AF66" s="1806" t="n"/>
      <c r="AG66" s="1806" t="n"/>
      <c r="AH66" s="1806" t="n"/>
      <c r="AI66" s="1806" t="n"/>
      <c r="AJ66" s="1806" t="n"/>
      <c r="AK66" s="1806" t="n"/>
      <c r="AL66" s="1806" t="n"/>
      <c r="AM66" s="1806" t="n"/>
    </row>
    <row r="67" ht="39" customFormat="1" customHeight="1" s="1806">
      <c r="A67" s="1329" t="n"/>
      <c r="B67" s="1301" t="n"/>
      <c r="C67" s="1994" t="inlineStr">
        <is>
          <t xml:space="preserve">
Slide grommet over sealant area</t>
        </is>
      </c>
      <c r="D67" s="1670" t="n"/>
      <c r="E67" s="1994" t="inlineStr">
        <is>
          <t>Manual</t>
        </is>
      </c>
      <c r="F67" s="1871" t="inlineStr">
        <is>
          <t>Get Gromment</t>
        </is>
      </c>
      <c r="G67" s="1871" t="inlineStr">
        <is>
          <t>Release Groment</t>
        </is>
      </c>
      <c r="H67" s="1992" t="n">
        <v>6.506</v>
      </c>
      <c r="I67" s="1993" t="inlineStr">
        <is>
          <t>pc</t>
        </is>
      </c>
      <c r="J67" s="1964" t="n">
        <v>1</v>
      </c>
      <c r="K67" s="1675">
        <f>+J67*H67</f>
        <v/>
      </c>
      <c r="L67" s="1344" t="n"/>
      <c r="M67" s="1231" t="n"/>
      <c r="N67" s="1344" t="n"/>
      <c r="O67" s="1806" t="n"/>
      <c r="P67" s="1957" t="n"/>
      <c r="Q67" s="1231" t="n"/>
      <c r="R67" s="1806" t="n"/>
      <c r="S67" s="1806" t="n"/>
      <c r="T67" s="1806" t="n"/>
      <c r="U67" s="1806" t="n"/>
      <c r="V67" s="1806" t="n"/>
      <c r="W67" s="1806" t="n"/>
      <c r="X67" s="1806" t="n"/>
      <c r="Y67" s="1806" t="n"/>
      <c r="Z67" s="1806" t="n"/>
      <c r="AA67" s="1806" t="n"/>
      <c r="AB67" s="1806" t="n"/>
      <c r="AC67" s="1806" t="n"/>
      <c r="AD67" s="1806" t="n"/>
      <c r="AE67" s="1806" t="n"/>
      <c r="AF67" s="1806" t="n"/>
      <c r="AG67" s="1806" t="n"/>
      <c r="AH67" s="1806" t="n"/>
      <c r="AI67" s="1806" t="n"/>
      <c r="AJ67" s="1806" t="n"/>
      <c r="AK67" s="1806" t="n"/>
      <c r="AL67" s="1806" t="n"/>
      <c r="AM67" s="1806" t="n"/>
    </row>
    <row r="68" ht="26.25" customFormat="1" customHeight="1" s="1806">
      <c r="A68" s="1697" t="inlineStr">
        <is>
          <t>Cable channels</t>
        </is>
      </c>
      <c r="B68" s="1590" t="n"/>
      <c r="C68" s="1698" t="inlineStr">
        <is>
          <t>apply cable channel to harness branch</t>
        </is>
      </c>
      <c r="D68" s="1590" t="n"/>
      <c r="E68" s="1698" t="inlineStr">
        <is>
          <t>per mm of cable channel</t>
        </is>
      </c>
      <c r="F68" s="1698" t="inlineStr">
        <is>
          <t>Get cable channel</t>
        </is>
      </c>
      <c r="G68" s="1698" t="inlineStr">
        <is>
          <t>Release harness</t>
        </is>
      </c>
      <c r="H68" s="1970" t="n">
        <v>0.039</v>
      </c>
      <c r="I68" s="1685" t="inlineStr">
        <is>
          <t>mm</t>
        </is>
      </c>
      <c r="J68" s="1916" t="n">
        <v>1</v>
      </c>
      <c r="K68" s="1937">
        <f>+J68*H68</f>
        <v/>
      </c>
      <c r="L68" s="1344" t="inlineStr">
        <is>
          <t>Automatic</t>
        </is>
      </c>
      <c r="M68" s="1231" t="n"/>
      <c r="N68" s="1344" t="n"/>
      <c r="O68" s="1231" t="n"/>
      <c r="P68" s="1957" t="n"/>
      <c r="Q68" s="1231" t="n"/>
      <c r="R68" s="1806" t="n"/>
      <c r="S68" s="1806" t="n"/>
      <c r="T68" s="1806" t="n"/>
      <c r="U68" s="1806" t="n"/>
      <c r="V68" s="1806" t="n"/>
      <c r="W68" s="1806" t="n"/>
      <c r="X68" s="1806" t="n"/>
      <c r="Y68" s="1806" t="n"/>
      <c r="Z68" s="1806" t="n"/>
      <c r="AA68" s="1806" t="n"/>
      <c r="AB68" s="1806" t="n"/>
      <c r="AC68" s="1806" t="n"/>
      <c r="AD68" s="1806" t="n"/>
      <c r="AE68" s="1806" t="n"/>
      <c r="AF68" s="1806" t="n"/>
      <c r="AG68" s="1806" t="n"/>
      <c r="AH68" s="1806" t="n"/>
      <c r="AI68" s="1806" t="n"/>
      <c r="AJ68" s="1806" t="n"/>
      <c r="AK68" s="1806" t="n"/>
      <c r="AL68" s="1806" t="n"/>
      <c r="AM68" s="1806" t="n"/>
    </row>
    <row r="69" ht="32.25" customFormat="1" customHeight="1" s="1806">
      <c r="A69" s="1326" t="n"/>
      <c r="B69" s="1297" t="n"/>
      <c r="C69" s="1544" t="n"/>
      <c r="D69" s="1545" t="n"/>
      <c r="E69" s="1561" t="inlineStr">
        <is>
          <t>per additional branch</t>
        </is>
      </c>
      <c r="F69" s="1561" t="n"/>
      <c r="G69" s="1561" t="n"/>
      <c r="H69" s="1931" t="n">
        <v>2.4</v>
      </c>
      <c r="I69" s="1690" t="inlineStr">
        <is>
          <t>pc</t>
        </is>
      </c>
      <c r="J69" s="1900" t="n">
        <v>1</v>
      </c>
      <c r="K69" s="1901">
        <f>+J69*H69</f>
        <v/>
      </c>
      <c r="L69" s="1344" t="inlineStr">
        <is>
          <t>Automatic</t>
        </is>
      </c>
      <c r="M69" s="1231" t="n"/>
      <c r="N69" s="1344" t="n"/>
      <c r="O69" s="1231" t="n"/>
      <c r="P69" s="1957" t="n"/>
      <c r="Q69" s="1231" t="n"/>
      <c r="R69" s="1806" t="n"/>
      <c r="S69" s="1806" t="n"/>
      <c r="T69" s="1806" t="n"/>
      <c r="U69" s="1806" t="n"/>
      <c r="V69" s="1806" t="n"/>
      <c r="W69" s="1806" t="n"/>
      <c r="X69" s="1806" t="n"/>
      <c r="Y69" s="1806" t="n"/>
      <c r="Z69" s="1806" t="n"/>
      <c r="AA69" s="1806" t="n"/>
      <c r="AB69" s="1806" t="n"/>
      <c r="AC69" s="1806" t="n"/>
      <c r="AD69" s="1806" t="n"/>
      <c r="AE69" s="1806" t="n"/>
      <c r="AF69" s="1806" t="n"/>
      <c r="AG69" s="1806" t="n"/>
      <c r="AH69" s="1806" t="n"/>
      <c r="AI69" s="1806" t="n"/>
      <c r="AJ69" s="1806" t="n"/>
      <c r="AK69" s="1806" t="n"/>
      <c r="AL69" s="1806" t="n"/>
      <c r="AM69" s="1806" t="n"/>
    </row>
    <row r="70" ht="28.5" customFormat="1" customHeight="1" s="1806">
      <c r="A70" s="1326" t="n"/>
      <c r="B70" s="1297" t="n"/>
      <c r="C70" s="1561" t="inlineStr">
        <is>
          <t>assemble channel cover</t>
        </is>
      </c>
      <c r="D70" s="1625" t="n"/>
      <c r="E70" s="1561" t="inlineStr">
        <is>
          <t>per mm of cable channel</t>
        </is>
      </c>
      <c r="F70" s="1561" t="inlineStr">
        <is>
          <t>Get cable channel cover</t>
        </is>
      </c>
      <c r="G70" s="1561" t="inlineStr">
        <is>
          <t>Release harness</t>
        </is>
      </c>
      <c r="H70" s="1931" t="n">
        <v>0.02</v>
      </c>
      <c r="I70" s="1690" t="inlineStr">
        <is>
          <t>mm</t>
        </is>
      </c>
      <c r="J70" s="1900" t="n">
        <v>1</v>
      </c>
      <c r="K70" s="1901">
        <f>+J70*H70</f>
        <v/>
      </c>
      <c r="L70" s="1344" t="inlineStr">
        <is>
          <t>Automatic</t>
        </is>
      </c>
      <c r="M70" s="1231" t="n"/>
      <c r="N70" s="1344" t="n"/>
      <c r="O70" s="1231" t="n"/>
      <c r="P70" s="1957" t="n"/>
      <c r="Q70" s="1231" t="n"/>
      <c r="R70" s="1806" t="n"/>
      <c r="S70" s="1806" t="n"/>
      <c r="T70" s="1806" t="n"/>
      <c r="U70" s="1806" t="n"/>
      <c r="V70" s="1806" t="n"/>
      <c r="W70" s="1806" t="n"/>
      <c r="X70" s="1806" t="n"/>
      <c r="Y70" s="1806" t="n"/>
      <c r="Z70" s="1806" t="n"/>
      <c r="AA70" s="1806" t="n"/>
      <c r="AB70" s="1806" t="n"/>
      <c r="AC70" s="1806" t="n"/>
      <c r="AD70" s="1806" t="n"/>
      <c r="AE70" s="1806" t="n"/>
      <c r="AF70" s="1806" t="n"/>
      <c r="AG70" s="1806" t="n"/>
      <c r="AH70" s="1806" t="n"/>
      <c r="AI70" s="1806" t="n"/>
      <c r="AJ70" s="1806" t="n"/>
      <c r="AK70" s="1806" t="n"/>
      <c r="AL70" s="1806" t="n"/>
      <c r="AM70" s="1806" t="n"/>
    </row>
    <row r="71" ht="38.25" customFormat="1" customHeight="1" s="1806">
      <c r="A71" s="1326" t="n"/>
      <c r="B71" s="1297" t="n"/>
      <c r="C71" s="1544" t="n"/>
      <c r="D71" s="1545" t="n"/>
      <c r="E71" s="1561" t="inlineStr">
        <is>
          <t>per additional branch</t>
        </is>
      </c>
      <c r="F71" s="1561" t="n"/>
      <c r="G71" s="1561" t="n"/>
      <c r="H71" s="1920" t="n">
        <v>1.6</v>
      </c>
      <c r="I71" s="1690" t="inlineStr">
        <is>
          <t>pc</t>
        </is>
      </c>
      <c r="J71" s="1900" t="n">
        <v>1</v>
      </c>
      <c r="K71" s="1901">
        <f>+J71*H71</f>
        <v/>
      </c>
      <c r="L71" s="1344" t="inlineStr">
        <is>
          <t>Automatic</t>
        </is>
      </c>
      <c r="M71" s="1231" t="n"/>
      <c r="N71" s="1344" t="n"/>
      <c r="O71" s="1231" t="n"/>
      <c r="P71" s="1957" t="n"/>
      <c r="Q71" s="1231" t="n"/>
      <c r="R71" s="1806" t="n"/>
      <c r="S71" s="1806" t="n"/>
      <c r="T71" s="1806" t="n"/>
      <c r="U71" s="1806" t="n"/>
      <c r="V71" s="1806" t="n"/>
      <c r="W71" s="1806" t="n"/>
      <c r="X71" s="1806" t="n"/>
      <c r="Y71" s="1806" t="n"/>
      <c r="Z71" s="1806" t="n"/>
      <c r="AA71" s="1806" t="n"/>
      <c r="AB71" s="1806" t="n"/>
      <c r="AC71" s="1806" t="n"/>
      <c r="AD71" s="1806" t="n"/>
      <c r="AE71" s="1806" t="n"/>
      <c r="AF71" s="1806" t="n"/>
      <c r="AG71" s="1806" t="n"/>
      <c r="AH71" s="1806" t="n"/>
      <c r="AI71" s="1806" t="n"/>
      <c r="AJ71" s="1806" t="n"/>
      <c r="AK71" s="1806" t="n"/>
      <c r="AL71" s="1806" t="n"/>
      <c r="AM71" s="1806" t="n"/>
    </row>
    <row r="72" ht="38.25" customFormat="1" customHeight="1" s="1806">
      <c r="A72" s="1326" t="n"/>
      <c r="B72" s="1297" t="n"/>
      <c r="C72" s="1561" t="inlineStr">
        <is>
          <t>apply cable tie / strap to the cable channel</t>
        </is>
      </c>
      <c r="D72" s="1532" t="n"/>
      <c r="E72" s="1561" t="inlineStr">
        <is>
          <t>per strap/cable tie</t>
        </is>
      </c>
      <c r="F72" s="1561" t="inlineStr">
        <is>
          <t>Reach for cable tie</t>
        </is>
      </c>
      <c r="G72" s="1561" t="inlineStr">
        <is>
          <t>Release the component</t>
        </is>
      </c>
      <c r="H72" s="1920" t="n">
        <v>5.5</v>
      </c>
      <c r="I72" s="1690" t="inlineStr">
        <is>
          <t>pc</t>
        </is>
      </c>
      <c r="J72" s="1900" t="n">
        <v>1</v>
      </c>
      <c r="K72" s="1901">
        <f>+J72*H72</f>
        <v/>
      </c>
      <c r="L72" s="1344" t="inlineStr">
        <is>
          <t>Automatic</t>
        </is>
      </c>
      <c r="M72" s="1231" t="n"/>
      <c r="N72" s="1344" t="n"/>
      <c r="O72" s="1407" t="n"/>
      <c r="P72" s="1344" t="n"/>
      <c r="Q72" s="1231" t="n"/>
      <c r="R72" s="1806" t="n"/>
      <c r="S72" s="1806" t="n"/>
      <c r="T72" s="1806" t="n"/>
      <c r="U72" s="1806" t="n"/>
      <c r="V72" s="1806" t="n"/>
      <c r="W72" s="1806" t="n"/>
      <c r="X72" s="1806" t="n"/>
      <c r="Y72" s="1806" t="n"/>
      <c r="Z72" s="1806" t="n"/>
      <c r="AA72" s="1806" t="n"/>
      <c r="AB72" s="1806" t="n"/>
      <c r="AC72" s="1806" t="n"/>
      <c r="AD72" s="1806" t="n"/>
      <c r="AE72" s="1806" t="n"/>
      <c r="AF72" s="1806" t="n"/>
      <c r="AG72" s="1806" t="n"/>
      <c r="AH72" s="1806" t="n"/>
      <c r="AI72" s="1806" t="n"/>
      <c r="AJ72" s="1806" t="n"/>
      <c r="AK72" s="1806" t="n"/>
      <c r="AL72" s="1806" t="n"/>
      <c r="AM72" s="1806" t="n"/>
    </row>
    <row r="73" ht="42" customFormat="1" customHeight="1" s="1806">
      <c r="A73" s="1329" t="n"/>
      <c r="B73" s="1301" t="n"/>
      <c r="C73" s="1672" t="inlineStr">
        <is>
          <t>apply body clip / pin / fastener to cable channel</t>
        </is>
      </c>
      <c r="D73" s="1670" t="n"/>
      <c r="E73" s="1672" t="inlineStr">
        <is>
          <t>per component</t>
        </is>
      </c>
      <c r="F73" s="1672" t="inlineStr">
        <is>
          <t>Reach for component</t>
        </is>
      </c>
      <c r="G73" s="1672" t="inlineStr">
        <is>
          <t>Release channel</t>
        </is>
      </c>
      <c r="H73" s="1990" t="n">
        <v>2.5</v>
      </c>
      <c r="I73" s="1694" t="inlineStr">
        <is>
          <t>pc</t>
        </is>
      </c>
      <c r="J73" s="1674" t="n">
        <v>1</v>
      </c>
      <c r="K73" s="1675">
        <f>+J73*H73</f>
        <v/>
      </c>
      <c r="L73" s="1344" t="inlineStr">
        <is>
          <t>Semi-automatic</t>
        </is>
      </c>
      <c r="M73" s="1231" t="n"/>
      <c r="N73" s="1344" t="n"/>
      <c r="O73" s="1407" t="n"/>
      <c r="P73" s="1344" t="n"/>
      <c r="Q73" s="1231" t="n"/>
      <c r="R73" s="1806" t="n"/>
      <c r="S73" s="1806" t="n"/>
      <c r="T73" s="1806" t="n"/>
      <c r="U73" s="1806" t="n"/>
      <c r="V73" s="1806" t="n"/>
      <c r="W73" s="1806" t="n"/>
      <c r="X73" s="1806" t="n"/>
      <c r="Y73" s="1806" t="n"/>
      <c r="Z73" s="1806" t="n"/>
      <c r="AA73" s="1806" t="n"/>
      <c r="AB73" s="1806" t="n"/>
      <c r="AC73" s="1806" t="n"/>
      <c r="AD73" s="1806" t="n"/>
      <c r="AE73" s="1806" t="n"/>
      <c r="AF73" s="1806" t="n"/>
      <c r="AG73" s="1806" t="n"/>
      <c r="AH73" s="1806" t="n"/>
      <c r="AI73" s="1806" t="n"/>
      <c r="AJ73" s="1806" t="n"/>
      <c r="AK73" s="1806" t="n"/>
      <c r="AL73" s="1806" t="n"/>
      <c r="AM73" s="1806" t="n"/>
    </row>
    <row r="74" hidden="1" ht="42" customFormat="1" customHeight="1" s="1806">
      <c r="A74" s="1697" t="inlineStr">
        <is>
          <t>Get and apply body clips</t>
        </is>
      </c>
      <c r="B74" s="1590" t="n"/>
      <c r="C74" s="1984" t="inlineStr">
        <is>
          <t>join cable tie with body clip</t>
        </is>
      </c>
      <c r="D74" s="1610" t="n"/>
      <c r="E74" s="1984" t="inlineStr">
        <is>
          <t>per component</t>
        </is>
      </c>
      <c r="F74" s="1984" t="inlineStr">
        <is>
          <t>Reach for cable tie</t>
        </is>
      </c>
      <c r="G74" s="1984" t="inlineStr">
        <is>
          <t>Release the component</t>
        </is>
      </c>
      <c r="H74" s="1995" t="n">
        <v>3</v>
      </c>
      <c r="I74" s="1986" t="inlineStr">
        <is>
          <t>pc</t>
        </is>
      </c>
      <c r="J74" s="1987" t="n">
        <v>1</v>
      </c>
      <c r="K74" s="1988">
        <f>+J74*H74</f>
        <v/>
      </c>
      <c r="L74" s="1643" t="inlineStr">
        <is>
          <t>moved to LP to have possibility to choose between LP and FA location</t>
        </is>
      </c>
      <c r="M74" s="1231" t="n"/>
      <c r="N74" s="1344" t="n"/>
      <c r="O74" s="1231" t="n"/>
      <c r="P74" s="1957" t="n"/>
      <c r="Q74" s="1231" t="n"/>
      <c r="R74" s="1806" t="n"/>
      <c r="S74" s="1806" t="n"/>
      <c r="T74" s="1806" t="n"/>
      <c r="U74" s="1806" t="n"/>
      <c r="V74" s="1806" t="n"/>
      <c r="W74" s="1806" t="n"/>
      <c r="X74" s="1806" t="n"/>
      <c r="Y74" s="1806" t="n"/>
      <c r="Z74" s="1806" t="n"/>
      <c r="AA74" s="1806" t="n"/>
      <c r="AB74" s="1806" t="n"/>
      <c r="AC74" s="1806" t="n"/>
      <c r="AD74" s="1806" t="n"/>
      <c r="AE74" s="1806" t="n"/>
      <c r="AF74" s="1806" t="n"/>
      <c r="AG74" s="1806" t="n"/>
      <c r="AH74" s="1806" t="n"/>
      <c r="AI74" s="1806" t="n"/>
      <c r="AJ74" s="1806" t="n"/>
      <c r="AK74" s="1806" t="n"/>
      <c r="AL74" s="1806" t="n"/>
      <c r="AM74" s="1806" t="n"/>
    </row>
    <row r="75" ht="88.5" customFormat="1" customHeight="1" s="1806">
      <c r="A75" s="1326" t="n"/>
      <c r="B75" s="1297" t="n"/>
      <c r="C75" s="1561" t="inlineStr">
        <is>
          <t>apply cable ties  /  body clip with cable tie</t>
        </is>
      </c>
      <c r="D75" s="1532" t="n"/>
      <c r="E75" s="1537" t="inlineStr">
        <is>
          <t>per cable tie / body clip with cable tie application REMARK: to be used also to close cable channel with  strap/cable tie</t>
        </is>
      </c>
      <c r="F75" s="1537" t="inlineStr">
        <is>
          <t>Reach for tie gun</t>
        </is>
      </c>
      <c r="G75" s="1537" t="inlineStr">
        <is>
          <t>Release tie gun</t>
        </is>
      </c>
      <c r="H75" s="1920" t="n">
        <v>8</v>
      </c>
      <c r="I75" s="1665" t="inlineStr">
        <is>
          <t>pc</t>
        </is>
      </c>
      <c r="J75" s="1964" t="n">
        <v>1</v>
      </c>
      <c r="K75" s="1965">
        <f>+J75*H75</f>
        <v/>
      </c>
      <c r="L75" s="1344" t="inlineStr">
        <is>
          <t>Automatic</t>
        </is>
      </c>
      <c r="M75" s="1231" t="n"/>
      <c r="N75" s="1344" t="n"/>
      <c r="O75" s="1407" t="n"/>
      <c r="P75" s="1344" t="n"/>
      <c r="Q75" s="1231" t="n"/>
      <c r="R75" s="1806" t="n"/>
      <c r="S75" s="1806" t="n"/>
      <c r="T75" s="1806" t="n"/>
      <c r="U75" s="1806" t="n"/>
      <c r="V75" s="1806" t="n"/>
      <c r="W75" s="1806" t="n"/>
      <c r="X75" s="1806" t="n"/>
      <c r="Y75" s="1806" t="n"/>
      <c r="Z75" s="1806" t="n"/>
      <c r="AA75" s="1806" t="n"/>
      <c r="AB75" s="1806" t="n"/>
      <c r="AC75" s="1806" t="n"/>
      <c r="AD75" s="1806" t="n"/>
      <c r="AE75" s="1806" t="n"/>
      <c r="AF75" s="1806" t="n"/>
      <c r="AG75" s="1806" t="n"/>
      <c r="AH75" s="1806" t="n"/>
      <c r="AI75" s="1806" t="n"/>
      <c r="AJ75" s="1806" t="n"/>
      <c r="AK75" s="1806" t="n"/>
      <c r="AL75" s="1806" t="n"/>
      <c r="AM75" s="1806" t="n"/>
    </row>
    <row r="76" ht="24.75" customFormat="1" customHeight="1" s="1806">
      <c r="A76" s="1326" t="n"/>
      <c r="B76" s="1297" t="n"/>
      <c r="C76" s="1492" t="inlineStr">
        <is>
          <t xml:space="preserve">ASSEMBLE PUSH PIN CLIP/NAIL </t>
        </is>
      </c>
      <c r="D76" s="1532" t="n"/>
      <c r="E76" s="1561" t="inlineStr">
        <is>
          <t>Pin clip application</t>
        </is>
      </c>
      <c r="F76" s="1561" t="n"/>
      <c r="G76" s="1561" t="n"/>
      <c r="H76" s="1920" t="n">
        <v>6.58</v>
      </c>
      <c r="I76" s="1690" t="inlineStr">
        <is>
          <t>pc</t>
        </is>
      </c>
      <c r="J76" s="1900" t="n">
        <v>1</v>
      </c>
      <c r="K76" s="1901">
        <f>+J76*H76</f>
        <v/>
      </c>
      <c r="L76" s="1344" t="inlineStr">
        <is>
          <t>Manual</t>
        </is>
      </c>
      <c r="M76" s="1231" t="n"/>
      <c r="N76" s="1344" t="n"/>
      <c r="O76" s="1231" t="n"/>
      <c r="P76" s="1407" t="n"/>
      <c r="Q76" s="1344" t="n"/>
      <c r="R76" s="1806" t="n"/>
      <c r="S76" s="1806" t="n"/>
      <c r="T76" s="1806" t="n"/>
      <c r="U76" s="1806" t="n"/>
      <c r="V76" s="1806" t="n"/>
      <c r="W76" s="1806" t="n"/>
      <c r="X76" s="1806" t="n"/>
      <c r="Y76" s="1806" t="n"/>
      <c r="Z76" s="1806" t="n"/>
      <c r="AA76" s="1806" t="n"/>
      <c r="AB76" s="1806" t="n"/>
      <c r="AC76" s="1806" t="n"/>
      <c r="AD76" s="1806" t="n"/>
      <c r="AE76" s="1806" t="n"/>
      <c r="AF76" s="1806" t="n"/>
      <c r="AG76" s="1806" t="n"/>
      <c r="AH76" s="1806" t="n"/>
      <c r="AI76" s="1806" t="n"/>
      <c r="AJ76" s="1806" t="n"/>
      <c r="AK76" s="1806" t="n"/>
      <c r="AL76" s="1806" t="n"/>
      <c r="AM76" s="1806" t="n"/>
    </row>
    <row r="77" ht="48" customFormat="1" customHeight="1" s="1806">
      <c r="A77" s="1329" t="n"/>
      <c r="B77" s="1301" t="n"/>
      <c r="C77" s="1672" t="inlineStr">
        <is>
          <t>apply body clip to connector</t>
        </is>
      </c>
      <c r="D77" s="1670" t="n"/>
      <c r="E77" s="1672" t="inlineStr">
        <is>
          <t>Start: reach for body clip
Stop: body clip applied to connector</t>
        </is>
      </c>
      <c r="F77" s="1672" t="inlineStr">
        <is>
          <t>Get clip</t>
        </is>
      </c>
      <c r="G77" s="1672" t="inlineStr">
        <is>
          <t>Release connector</t>
        </is>
      </c>
      <c r="H77" s="1996" t="n">
        <v>4.23</v>
      </c>
      <c r="I77" s="1694" t="inlineStr">
        <is>
          <t>pc</t>
        </is>
      </c>
      <c r="J77" s="1674" t="n">
        <v>1</v>
      </c>
      <c r="K77" s="1675">
        <f>+J77*H77</f>
        <v/>
      </c>
      <c r="L77" s="1344" t="inlineStr">
        <is>
          <t>Automatic</t>
        </is>
      </c>
      <c r="M77" s="1231" t="n"/>
      <c r="N77" s="1344" t="n"/>
      <c r="O77" s="1407" t="n"/>
      <c r="P77" s="1344" t="n"/>
      <c r="Q77" s="1231" t="n"/>
      <c r="R77" s="1806" t="n"/>
      <c r="S77" s="1806" t="n"/>
      <c r="T77" s="1806" t="n"/>
      <c r="U77" s="1806" t="n"/>
      <c r="V77" s="1806" t="n"/>
      <c r="W77" s="1806" t="n"/>
      <c r="X77" s="1806" t="n"/>
      <c r="Y77" s="1806" t="n"/>
      <c r="Z77" s="1806" t="n"/>
      <c r="AA77" s="1806" t="n"/>
      <c r="AB77" s="1806" t="n"/>
      <c r="AC77" s="1806" t="n"/>
      <c r="AD77" s="1806" t="n"/>
      <c r="AE77" s="1806" t="n"/>
      <c r="AF77" s="1806" t="n"/>
      <c r="AG77" s="1806" t="n"/>
      <c r="AH77" s="1806" t="n"/>
      <c r="AI77" s="1806" t="n"/>
      <c r="AJ77" s="1806" t="n"/>
      <c r="AK77" s="1806" t="n"/>
      <c r="AL77" s="1806" t="n"/>
      <c r="AM77" s="1806" t="n"/>
    </row>
    <row r="78" ht="48" customFormat="1" customHeight="1" s="1806">
      <c r="A78" s="1697" t="inlineStr">
        <is>
          <t>IDC SPLICE MAKE</t>
        </is>
      </c>
      <c r="B78" s="1590" t="n"/>
      <c r="C78" s="1698" t="inlineStr">
        <is>
          <t>Assemble IDC splice conn</t>
        </is>
      </c>
      <c r="D78" s="1610" t="n"/>
      <c r="E78" s="1698" t="inlineStr">
        <is>
          <t>PER CONN</t>
        </is>
      </c>
      <c r="F78" s="1698" t="inlineStr">
        <is>
          <t>Get conn</t>
        </is>
      </c>
      <c r="G78" s="1698" t="inlineStr">
        <is>
          <t>release closed conn</t>
        </is>
      </c>
      <c r="H78" s="1970" t="n">
        <v>16.82</v>
      </c>
      <c r="I78" s="1685" t="inlineStr">
        <is>
          <t>pc</t>
        </is>
      </c>
      <c r="J78" s="1916" t="n">
        <v>1</v>
      </c>
      <c r="K78" s="1937">
        <f>+J78*H78</f>
        <v/>
      </c>
      <c r="L78" s="1344" t="inlineStr">
        <is>
          <t>Manual</t>
        </is>
      </c>
      <c r="M78" s="1231" t="n"/>
      <c r="N78" s="1344" t="n"/>
      <c r="O78" s="1231" t="n"/>
      <c r="P78" s="1957" t="n"/>
      <c r="Q78" s="1231" t="n"/>
      <c r="R78" s="1806" t="n"/>
      <c r="S78" s="1806" t="n"/>
      <c r="T78" s="1806" t="n"/>
      <c r="U78" s="1806" t="n"/>
      <c r="V78" s="1806" t="n"/>
      <c r="W78" s="1806" t="n"/>
      <c r="X78" s="1806" t="n"/>
      <c r="Y78" s="1806" t="n"/>
      <c r="Z78" s="1806" t="n"/>
      <c r="AA78" s="1806" t="n"/>
      <c r="AB78" s="1806" t="n"/>
      <c r="AC78" s="1806" t="n"/>
      <c r="AD78" s="1806" t="n"/>
      <c r="AE78" s="1806" t="n"/>
      <c r="AF78" s="1806" t="n"/>
      <c r="AG78" s="1806" t="n"/>
      <c r="AH78" s="1806" t="n"/>
      <c r="AI78" s="1806" t="n"/>
      <c r="AJ78" s="1806" t="n"/>
      <c r="AK78" s="1806" t="n"/>
      <c r="AL78" s="1806" t="n"/>
      <c r="AM78" s="1806" t="n"/>
    </row>
    <row r="79" ht="48" customFormat="1" customHeight="1" s="1806">
      <c r="A79" s="1329" t="n"/>
      <c r="B79" s="1301" t="n"/>
      <c r="C79" s="1672" t="inlineStr">
        <is>
          <t>Assemble IDC splice conn</t>
        </is>
      </c>
      <c r="D79" s="1670" t="n"/>
      <c r="E79" s="1672" t="inlineStr">
        <is>
          <t>PER WIRE</t>
        </is>
      </c>
      <c r="F79" s="1672" t="n"/>
      <c r="G79" s="1672" t="n"/>
      <c r="H79" s="1976" t="n">
        <v>2.66</v>
      </c>
      <c r="I79" s="1694" t="inlineStr">
        <is>
          <t>wire</t>
        </is>
      </c>
      <c r="J79" s="1674" t="n">
        <v>1</v>
      </c>
      <c r="K79" s="1675">
        <f>+J79*H79</f>
        <v/>
      </c>
      <c r="L79" s="1344" t="inlineStr">
        <is>
          <t>Manual</t>
        </is>
      </c>
      <c r="M79" s="1231" t="n"/>
      <c r="N79" s="1344" t="n"/>
      <c r="O79" s="1407" t="n"/>
      <c r="P79" s="1344" t="n"/>
      <c r="Q79" s="1231" t="n"/>
      <c r="R79" s="1806" t="n"/>
      <c r="S79" s="1806" t="n"/>
      <c r="T79" s="1806" t="n"/>
      <c r="U79" s="1806" t="n"/>
      <c r="V79" s="1806" t="n"/>
      <c r="W79" s="1806" t="n"/>
      <c r="X79" s="1806" t="n"/>
      <c r="Y79" s="1806" t="n"/>
      <c r="Z79" s="1806" t="n"/>
      <c r="AA79" s="1806" t="n"/>
      <c r="AB79" s="1806" t="n"/>
      <c r="AC79" s="1806" t="n"/>
      <c r="AD79" s="1806" t="n"/>
      <c r="AE79" s="1806" t="n"/>
      <c r="AF79" s="1806" t="n"/>
      <c r="AG79" s="1806" t="n"/>
      <c r="AH79" s="1806" t="n"/>
      <c r="AI79" s="1806" t="n"/>
      <c r="AJ79" s="1806" t="n"/>
      <c r="AK79" s="1806" t="n"/>
      <c r="AL79" s="1806" t="n"/>
      <c r="AM79" s="1806" t="n"/>
    </row>
    <row r="80" ht="48" customFormat="1" customHeight="1" s="1806">
      <c r="A80" s="1697" t="inlineStr">
        <is>
          <t>Plug multiconductor</t>
        </is>
      </c>
      <c r="B80" s="1655" t="n"/>
      <c r="C80" s="1323" t="inlineStr">
        <is>
          <t>Assemble terminals</t>
        </is>
      </c>
      <c r="D80" s="1655" t="n"/>
      <c r="E80" s="1323" t="inlineStr">
        <is>
          <t>Per terminall</t>
        </is>
      </c>
      <c r="F80" s="1323" t="inlineStr">
        <is>
          <t>Get terminal</t>
        </is>
      </c>
      <c r="G80" s="1323" t="inlineStr">
        <is>
          <t>release last term</t>
        </is>
      </c>
      <c r="H80" s="1997" t="n">
        <v>1.6</v>
      </c>
      <c r="I80" s="1375" t="inlineStr">
        <is>
          <t>per terminal</t>
        </is>
      </c>
      <c r="J80" s="1998" t="n">
        <v>1</v>
      </c>
      <c r="K80" s="1999">
        <f>+J80*H80</f>
        <v/>
      </c>
      <c r="L80" s="1344" t="inlineStr">
        <is>
          <t>Manual</t>
        </is>
      </c>
      <c r="M80" s="1231" t="n"/>
      <c r="N80" s="1344" t="n"/>
      <c r="O80" s="1231" t="n"/>
      <c r="P80" s="1957" t="n"/>
      <c r="Q80" s="1231" t="n"/>
      <c r="R80" s="1806" t="n"/>
      <c r="S80" s="1806" t="n"/>
      <c r="T80" s="1806" t="n"/>
      <c r="U80" s="1806" t="n"/>
      <c r="V80" s="1806" t="n"/>
      <c r="W80" s="1806" t="n"/>
      <c r="X80" s="1806" t="n"/>
      <c r="Y80" s="1806" t="n"/>
      <c r="Z80" s="1806" t="n"/>
      <c r="AA80" s="1806" t="n"/>
      <c r="AB80" s="1806" t="n"/>
      <c r="AC80" s="1806" t="n"/>
      <c r="AD80" s="1806" t="n"/>
      <c r="AE80" s="1806" t="n"/>
      <c r="AF80" s="1806" t="n"/>
      <c r="AG80" s="1806" t="n"/>
      <c r="AH80" s="1806" t="n"/>
      <c r="AI80" s="1806" t="n"/>
      <c r="AJ80" s="1806" t="n"/>
      <c r="AK80" s="1806" t="n"/>
      <c r="AL80" s="1806" t="n"/>
      <c r="AM80" s="1806" t="n"/>
    </row>
    <row r="81" ht="48" customFormat="1" customHeight="1" s="1806">
      <c r="A81" s="1697" t="inlineStr">
        <is>
          <t>Plug drain wire</t>
        </is>
      </c>
      <c r="B81" s="1655" t="n"/>
      <c r="C81" s="1323" t="inlineStr">
        <is>
          <t>Assemble terminals</t>
        </is>
      </c>
      <c r="D81" s="1655" t="n"/>
      <c r="E81" s="1323" t="inlineStr">
        <is>
          <t>Use tool to push the terminals</t>
        </is>
      </c>
      <c r="F81" s="1323" t="inlineStr">
        <is>
          <t>get terminal</t>
        </is>
      </c>
      <c r="G81" s="1323" t="inlineStr">
        <is>
          <t>release assembled terminal</t>
        </is>
      </c>
      <c r="H81" s="2000" t="n">
        <v>8.5</v>
      </c>
      <c r="I81" s="2001" t="inlineStr">
        <is>
          <t>pc</t>
        </is>
      </c>
      <c r="J81" s="1998" t="n">
        <v>1</v>
      </c>
      <c r="K81" s="1999">
        <f>+J81*H81</f>
        <v/>
      </c>
      <c r="L81" s="1344" t="inlineStr">
        <is>
          <t>Manual</t>
        </is>
      </c>
      <c r="M81" s="1231" t="n"/>
      <c r="N81" s="1344" t="n"/>
      <c r="O81" s="1231" t="n"/>
      <c r="P81" s="1957" t="n"/>
      <c r="Q81" s="1231" t="n"/>
      <c r="R81" s="1806" t="n"/>
      <c r="S81" s="1806" t="n"/>
      <c r="T81" s="1806" t="n"/>
      <c r="U81" s="1806" t="n"/>
      <c r="V81" s="1806" t="n"/>
      <c r="W81" s="1806" t="n"/>
      <c r="X81" s="1806" t="n"/>
      <c r="Y81" s="1806" t="n"/>
      <c r="Z81" s="1806" t="n"/>
      <c r="AA81" s="1806" t="n"/>
      <c r="AB81" s="1806" t="n"/>
      <c r="AC81" s="1806" t="n"/>
      <c r="AD81" s="1806" t="n"/>
      <c r="AE81" s="1806" t="n"/>
      <c r="AF81" s="1806" t="n"/>
      <c r="AG81" s="1806" t="n"/>
      <c r="AH81" s="1806" t="n"/>
      <c r="AI81" s="1806" t="n"/>
      <c r="AJ81" s="1806" t="n"/>
      <c r="AK81" s="1806" t="n"/>
      <c r="AL81" s="1806" t="n"/>
      <c r="AM81" s="1806" t="n"/>
    </row>
    <row r="82" ht="48" customFormat="1" customHeight="1" s="1806">
      <c r="A82" s="1697" t="inlineStr">
        <is>
          <t>Clip strap</t>
        </is>
      </c>
      <c r="B82" s="1590" t="n"/>
      <c r="C82" s="1323" t="inlineStr">
        <is>
          <t>Apply clip starp to branch</t>
        </is>
      </c>
      <c r="D82" s="1590" t="n"/>
      <c r="E82" s="1698" t="inlineStr">
        <is>
          <t>Strap clip</t>
        </is>
      </c>
      <c r="F82" s="1698" t="inlineStr">
        <is>
          <t>Get clip strap</t>
        </is>
      </c>
      <c r="G82" s="1698" t="inlineStr">
        <is>
          <t>release strap on branch</t>
        </is>
      </c>
      <c r="H82" s="1970" t="n">
        <v>4</v>
      </c>
      <c r="I82" s="1685" t="inlineStr">
        <is>
          <t>pc</t>
        </is>
      </c>
      <c r="J82" s="1916" t="n">
        <v>1</v>
      </c>
      <c r="K82" s="1937">
        <f>+J82*H82</f>
        <v/>
      </c>
      <c r="L82" s="1344" t="inlineStr">
        <is>
          <t>Manual</t>
        </is>
      </c>
      <c r="M82" s="1231" t="n"/>
      <c r="N82" s="1344" t="n"/>
      <c r="O82" s="1231" t="n"/>
      <c r="P82" s="1957" t="n"/>
      <c r="Q82" s="1231" t="n"/>
      <c r="R82" s="1806" t="n"/>
      <c r="S82" s="1806" t="n"/>
      <c r="T82" s="1806" t="n"/>
      <c r="U82" s="1806" t="n"/>
      <c r="V82" s="1806" t="n"/>
      <c r="W82" s="1806" t="n"/>
      <c r="X82" s="1806" t="n"/>
      <c r="Y82" s="1806" t="n"/>
      <c r="Z82" s="1806" t="n"/>
      <c r="AA82" s="1806" t="n"/>
      <c r="AB82" s="1806" t="n"/>
      <c r="AC82" s="1806" t="n"/>
      <c r="AD82" s="1806" t="n"/>
      <c r="AE82" s="1806" t="n"/>
      <c r="AF82" s="1806" t="n"/>
      <c r="AG82" s="1806" t="n"/>
      <c r="AH82" s="1806" t="n"/>
      <c r="AI82" s="1806" t="n"/>
      <c r="AJ82" s="1806" t="n"/>
      <c r="AK82" s="1806" t="n"/>
      <c r="AL82" s="1806" t="n"/>
      <c r="AM82" s="1806" t="n"/>
    </row>
    <row r="83" ht="48" customFormat="1" customHeight="1" s="1806">
      <c r="A83" s="1329" t="n"/>
      <c r="B83" s="1301" t="n"/>
      <c r="C83" s="1812" t="n"/>
      <c r="D83" s="1301" t="n"/>
      <c r="E83" s="1672" t="inlineStr">
        <is>
          <t>Per each additional clip on the strap</t>
        </is>
      </c>
      <c r="F83" s="1630" t="n"/>
      <c r="G83" s="1630" t="n"/>
      <c r="H83" s="1976" t="n">
        <v>3</v>
      </c>
      <c r="I83" s="1694" t="inlineStr">
        <is>
          <t>per clip</t>
        </is>
      </c>
      <c r="J83" s="1674" t="n">
        <v>1</v>
      </c>
      <c r="K83" s="1675">
        <f>+J83*H83</f>
        <v/>
      </c>
      <c r="L83" s="1344" t="inlineStr">
        <is>
          <t>Manual</t>
        </is>
      </c>
      <c r="M83" s="1231" t="n"/>
      <c r="N83" s="1344" t="n"/>
      <c r="O83" s="1231" t="n"/>
      <c r="P83" s="1957" t="n"/>
      <c r="Q83" s="1231" t="n"/>
      <c r="R83" s="1806" t="n"/>
      <c r="S83" s="1806" t="n"/>
      <c r="T83" s="1806" t="n"/>
      <c r="U83" s="1806" t="n"/>
      <c r="V83" s="1806" t="n"/>
      <c r="W83" s="1806" t="n"/>
      <c r="X83" s="1806" t="n"/>
      <c r="Y83" s="1806" t="n"/>
      <c r="Z83" s="1806" t="n"/>
      <c r="AA83" s="1806" t="n"/>
      <c r="AB83" s="1806" t="n"/>
      <c r="AC83" s="1806" t="n"/>
      <c r="AD83" s="1806" t="n"/>
      <c r="AE83" s="1806" t="n"/>
      <c r="AF83" s="1806" t="n"/>
      <c r="AG83" s="1806" t="n"/>
      <c r="AH83" s="1806" t="n"/>
      <c r="AI83" s="1806" t="n"/>
      <c r="AJ83" s="1806" t="n"/>
      <c r="AK83" s="1806" t="n"/>
      <c r="AL83" s="1806" t="n"/>
      <c r="AM83" s="1806" t="n"/>
    </row>
    <row r="84" ht="33" customFormat="1" customHeight="1" s="1806">
      <c r="A84" s="1971" t="inlineStr">
        <is>
          <t>Get and apply code label to wire</t>
        </is>
      </c>
      <c r="B84" s="1610" t="n"/>
      <c r="C84" s="1698" t="inlineStr">
        <is>
          <t>apply numbered labels to wires</t>
        </is>
      </c>
      <c r="D84" s="1610" t="n"/>
      <c r="E84" s="1698" t="inlineStr">
        <is>
          <t>per label</t>
        </is>
      </c>
      <c r="F84" s="1698" t="inlineStr">
        <is>
          <t>Reach for label</t>
        </is>
      </c>
      <c r="G84" s="1698" t="inlineStr">
        <is>
          <t>release wire</t>
        </is>
      </c>
      <c r="H84" s="2002" t="n">
        <v>11</v>
      </c>
      <c r="I84" s="1685" t="inlineStr">
        <is>
          <t>pc</t>
        </is>
      </c>
      <c r="J84" s="1916" t="n">
        <v>1</v>
      </c>
      <c r="K84" s="1937">
        <f>+J84*H84</f>
        <v/>
      </c>
      <c r="L84" s="1344" t="inlineStr">
        <is>
          <t>Automatic</t>
        </is>
      </c>
      <c r="M84" s="1231" t="n"/>
      <c r="N84" s="1344" t="n"/>
      <c r="O84" s="1231" t="n"/>
      <c r="P84" s="1957" t="n"/>
      <c r="Q84" s="1231" t="n"/>
      <c r="R84" s="1806" t="n"/>
      <c r="S84" s="1806" t="n"/>
      <c r="T84" s="1806" t="n"/>
      <c r="U84" s="1806" t="n"/>
      <c r="V84" s="1806" t="n"/>
      <c r="W84" s="1806" t="n"/>
      <c r="X84" s="1806" t="n"/>
      <c r="Y84" s="1806" t="n"/>
      <c r="Z84" s="1806" t="n"/>
      <c r="AA84" s="1806" t="n"/>
      <c r="AB84" s="1806" t="n"/>
      <c r="AC84" s="1806" t="n"/>
      <c r="AD84" s="1806" t="n"/>
      <c r="AE84" s="1806" t="n"/>
      <c r="AF84" s="1806" t="n"/>
      <c r="AG84" s="1806" t="n"/>
      <c r="AH84" s="1806" t="n"/>
      <c r="AI84" s="1806" t="n"/>
      <c r="AJ84" s="1806" t="n"/>
      <c r="AK84" s="1806" t="n"/>
      <c r="AL84" s="1806" t="n"/>
      <c r="AM84" s="1806" t="n"/>
    </row>
    <row r="85" ht="38.25" customFormat="1" customHeight="1" s="1806">
      <c r="A85" s="1491" t="inlineStr">
        <is>
          <t>Remove harness from assembly board</t>
        </is>
      </c>
      <c r="B85" s="1532" t="n"/>
      <c r="C85" s="1561" t="inlineStr">
        <is>
          <t>remove connectors, etc., from V-pins &amp; holders</t>
        </is>
      </c>
      <c r="D85" s="1532" t="n"/>
      <c r="E85" s="1561" t="inlineStr">
        <is>
          <t>per component</t>
        </is>
      </c>
      <c r="F85" s="1561" t="inlineStr">
        <is>
          <t>Reach for harness</t>
        </is>
      </c>
      <c r="G85" s="1561" t="inlineStr">
        <is>
          <t>Release harness</t>
        </is>
      </c>
      <c r="H85" s="2003" t="n">
        <v>0.72</v>
      </c>
      <c r="I85" s="1690" t="inlineStr">
        <is>
          <t>pc</t>
        </is>
      </c>
      <c r="J85" s="1900" t="n">
        <v>1</v>
      </c>
      <c r="K85" s="1901">
        <f>+J85*H85</f>
        <v/>
      </c>
      <c r="L85" s="1344" t="inlineStr">
        <is>
          <t>Automatic</t>
        </is>
      </c>
      <c r="M85" s="1231" t="n"/>
      <c r="N85" s="1344" t="n"/>
      <c r="O85" s="1231" t="n"/>
      <c r="P85" s="1957" t="n"/>
      <c r="Q85" s="1231" t="n"/>
      <c r="R85" s="1806" t="n"/>
      <c r="S85" s="1806" t="n"/>
      <c r="T85" s="1806" t="n"/>
      <c r="U85" s="1806" t="n"/>
      <c r="V85" s="1806" t="n"/>
      <c r="W85" s="1806" t="n"/>
      <c r="X85" s="1806" t="n"/>
      <c r="Y85" s="1806" t="n"/>
      <c r="Z85" s="1806" t="n"/>
      <c r="AA85" s="1806" t="n"/>
      <c r="AB85" s="1806" t="n"/>
      <c r="AC85" s="1806" t="n"/>
      <c r="AD85" s="1806" t="n"/>
      <c r="AE85" s="1806" t="n"/>
      <c r="AF85" s="1806" t="n"/>
      <c r="AG85" s="1806" t="n"/>
      <c r="AH85" s="1806" t="n"/>
      <c r="AI85" s="1806" t="n"/>
      <c r="AJ85" s="1806" t="n"/>
      <c r="AK85" s="1806" t="n"/>
      <c r="AL85" s="1806" t="n"/>
      <c r="AM85" s="1806" t="n"/>
    </row>
    <row r="86" ht="38.25" customFormat="1" customHeight="1" s="1806">
      <c r="A86" s="1491" t="inlineStr">
        <is>
          <t>Braiding</t>
        </is>
      </c>
      <c r="B86" s="1625" t="n"/>
      <c r="C86" s="1561" t="inlineStr">
        <is>
          <t>Braiding over Branch ( Per 1000 mm)</t>
        </is>
      </c>
      <c r="D86" s="1532" t="n"/>
      <c r="E86" s="1540" t="inlineStr">
        <is>
          <t>Braiding machine (Composite &amp; wire machinery)</t>
        </is>
      </c>
      <c r="F86" s="1561" t="inlineStr">
        <is>
          <t>Machine starts braiding</t>
        </is>
      </c>
      <c r="G86" s="1561" t="inlineStr">
        <is>
          <t>Machine stops braiding</t>
        </is>
      </c>
      <c r="H86" s="2004" t="n">
        <v>81.59999999999999</v>
      </c>
      <c r="I86" s="1690" t="inlineStr">
        <is>
          <t>1000 mm</t>
        </is>
      </c>
      <c r="J86" s="1900" t="n">
        <v>1</v>
      </c>
      <c r="K86" s="1901">
        <f>+J86*H86</f>
        <v/>
      </c>
      <c r="L86" s="1344" t="inlineStr">
        <is>
          <t>Manual</t>
        </is>
      </c>
      <c r="M86" s="1231" t="n"/>
      <c r="N86" s="1344" t="n"/>
      <c r="O86" s="1231" t="n"/>
      <c r="P86" s="1957" t="n"/>
      <c r="Q86" s="1231" t="n"/>
      <c r="R86" s="1806" t="n"/>
      <c r="S86" s="1806" t="n"/>
      <c r="T86" s="1806" t="n"/>
      <c r="U86" s="1806" t="n"/>
      <c r="V86" s="1806" t="n"/>
      <c r="W86" s="1806" t="n"/>
      <c r="X86" s="1806" t="n"/>
      <c r="Y86" s="1806" t="n"/>
      <c r="Z86" s="1806" t="n"/>
      <c r="AA86" s="1806" t="n"/>
      <c r="AB86" s="1806" t="n"/>
      <c r="AC86" s="1806" t="n"/>
      <c r="AD86" s="1806" t="n"/>
      <c r="AE86" s="1806" t="n"/>
      <c r="AF86" s="1806" t="n"/>
      <c r="AG86" s="1806" t="n"/>
      <c r="AH86" s="1806" t="n"/>
      <c r="AI86" s="1806" t="n"/>
      <c r="AJ86" s="1806" t="n"/>
      <c r="AK86" s="1806" t="n"/>
      <c r="AL86" s="1806" t="n"/>
      <c r="AM86" s="1806" t="n"/>
    </row>
    <row r="87" ht="38.25" customFormat="1" customHeight="1" s="1806">
      <c r="A87" s="1326" t="n"/>
      <c r="B87" s="1297" t="n"/>
      <c r="C87" s="1561" t="inlineStr">
        <is>
          <t>Per Outlet (Pass branches through net, arrange branches, apply vynil)</t>
        </is>
      </c>
      <c r="D87" s="1532" t="n"/>
      <c r="E87" s="1540" t="inlineStr">
        <is>
          <t>Braiding machine (Composite &amp; wire machinery)</t>
        </is>
      </c>
      <c r="F87" s="1561" t="inlineStr">
        <is>
          <t>Reach for harness</t>
        </is>
      </c>
      <c r="G87" s="1561" t="inlineStr">
        <is>
          <t>Release for next process</t>
        </is>
      </c>
      <c r="H87" s="1920" t="n">
        <v>50</v>
      </c>
      <c r="I87" s="1690" t="inlineStr">
        <is>
          <t>pc</t>
        </is>
      </c>
      <c r="J87" s="1900" t="n">
        <v>1</v>
      </c>
      <c r="K87" s="1901">
        <f>+J87*H87</f>
        <v/>
      </c>
      <c r="L87" s="1344" t="inlineStr">
        <is>
          <t>Manual</t>
        </is>
      </c>
      <c r="M87" s="1231" t="n"/>
      <c r="N87" s="1344" t="n"/>
      <c r="O87" s="1231" t="n"/>
      <c r="P87" s="1957" t="n"/>
      <c r="Q87" s="1231" t="n"/>
      <c r="R87" s="1806" t="n"/>
      <c r="S87" s="1806" t="n"/>
      <c r="T87" s="1806" t="n"/>
      <c r="U87" s="1806" t="n"/>
      <c r="V87" s="1806" t="n"/>
      <c r="W87" s="1806" t="n"/>
      <c r="X87" s="1806" t="n"/>
      <c r="Y87" s="1806" t="n"/>
      <c r="Z87" s="1806" t="n"/>
      <c r="AA87" s="1806" t="n"/>
      <c r="AB87" s="1806" t="n"/>
      <c r="AC87" s="1806" t="n"/>
      <c r="AD87" s="1806" t="n"/>
      <c r="AE87" s="1806" t="n"/>
      <c r="AF87" s="1806" t="n"/>
      <c r="AG87" s="1806" t="n"/>
      <c r="AH87" s="1806" t="n"/>
      <c r="AI87" s="1806" t="n"/>
      <c r="AJ87" s="1806" t="n"/>
      <c r="AK87" s="1806" t="n"/>
      <c r="AL87" s="1806" t="n"/>
      <c r="AM87" s="1806" t="n"/>
    </row>
    <row r="88" ht="38.25" customFormat="1" customHeight="1" s="1806">
      <c r="A88" s="1737" t="n"/>
      <c r="B88" s="1545" t="n"/>
      <c r="C88" s="1561" t="inlineStr">
        <is>
          <t>Per Occur. ( Braiding starts, Cut excess of braiding)</t>
        </is>
      </c>
      <c r="D88" s="1532" t="n"/>
      <c r="E88" s="1540" t="inlineStr">
        <is>
          <t>Braiding machine (Composite &amp; wire machinery)</t>
        </is>
      </c>
      <c r="F88" s="1506" t="inlineStr">
        <is>
          <t>Reach for harness</t>
        </is>
      </c>
      <c r="G88" s="1561" t="inlineStr">
        <is>
          <t>Released finished braiding</t>
        </is>
      </c>
      <c r="H88" s="1920" t="n">
        <v>25</v>
      </c>
      <c r="I88" s="1690" t="inlineStr">
        <is>
          <t>pc</t>
        </is>
      </c>
      <c r="J88" s="1900" t="n">
        <v>1</v>
      </c>
      <c r="K88" s="1901">
        <f>+J88*H88</f>
        <v/>
      </c>
      <c r="L88" s="1344" t="inlineStr">
        <is>
          <t>Manual</t>
        </is>
      </c>
      <c r="M88" s="1231" t="n"/>
      <c r="N88" s="1344" t="n"/>
      <c r="O88" s="1231" t="n"/>
      <c r="P88" s="1957" t="n"/>
      <c r="Q88" s="1231" t="n"/>
      <c r="R88" s="1806" t="n"/>
      <c r="S88" s="1806" t="n"/>
      <c r="T88" s="1806" t="n"/>
      <c r="U88" s="1806" t="n"/>
      <c r="V88" s="1806" t="n"/>
      <c r="W88" s="1806" t="n"/>
      <c r="X88" s="1806" t="n"/>
      <c r="Y88" s="1806" t="n"/>
      <c r="Z88" s="1806" t="n"/>
      <c r="AA88" s="1806" t="n"/>
      <c r="AB88" s="1806" t="n"/>
      <c r="AC88" s="1806" t="n"/>
      <c r="AD88" s="1806" t="n"/>
      <c r="AE88" s="1806" t="n"/>
      <c r="AF88" s="1806" t="n"/>
      <c r="AG88" s="1806" t="n"/>
      <c r="AH88" s="1806" t="n"/>
      <c r="AI88" s="1806" t="n"/>
      <c r="AJ88" s="1806" t="n"/>
      <c r="AK88" s="1806" t="n"/>
      <c r="AL88" s="1806" t="n"/>
      <c r="AM88" s="1806" t="n"/>
    </row>
    <row r="89" ht="38.25" customFormat="1" customHeight="1" s="1806">
      <c r="A89" s="2005" t="inlineStr">
        <is>
          <t>Heat braiding end</t>
        </is>
      </c>
      <c r="B89" s="1670" t="n"/>
      <c r="C89" s="1561" t="inlineStr">
        <is>
          <t>Cut the waste of Braiding and heat the end  or apply PVC spot tape</t>
        </is>
      </c>
      <c r="D89" s="1532" t="n"/>
      <c r="E89" s="1506" t="inlineStr">
        <is>
          <t>Braiding-End Heater</t>
        </is>
      </c>
      <c r="F89" s="1506" t="inlineStr">
        <is>
          <t>Reach for harness</t>
        </is>
      </c>
      <c r="G89" s="1561" t="inlineStr">
        <is>
          <t>Released finished braiding</t>
        </is>
      </c>
      <c r="H89" s="1920" t="n">
        <v>20.75</v>
      </c>
      <c r="I89" s="1690" t="inlineStr">
        <is>
          <t>pc</t>
        </is>
      </c>
      <c r="J89" s="1900" t="n">
        <v>1</v>
      </c>
      <c r="K89" s="1901">
        <f>+J89*H89</f>
        <v/>
      </c>
      <c r="L89" s="1344" t="inlineStr">
        <is>
          <t>Manual</t>
        </is>
      </c>
      <c r="M89" s="1231" t="n"/>
      <c r="N89" s="1344" t="n"/>
      <c r="O89" s="1231" t="n"/>
      <c r="P89" s="1957" t="n"/>
      <c r="Q89" s="1231" t="n"/>
      <c r="R89" s="1806" t="n"/>
      <c r="S89" s="1806" t="n"/>
      <c r="T89" s="1806" t="n"/>
      <c r="U89" s="1806" t="n"/>
      <c r="V89" s="1806" t="n"/>
      <c r="W89" s="1806" t="n"/>
      <c r="X89" s="1806" t="n"/>
      <c r="Y89" s="1806" t="n"/>
      <c r="Z89" s="1806" t="n"/>
      <c r="AA89" s="1806" t="n"/>
      <c r="AB89" s="1806" t="n"/>
      <c r="AC89" s="1806" t="n"/>
      <c r="AD89" s="1806" t="n"/>
      <c r="AE89" s="1806" t="n"/>
      <c r="AF89" s="1806" t="n"/>
      <c r="AG89" s="1806" t="n"/>
      <c r="AH89" s="1806" t="n"/>
      <c r="AI89" s="1806" t="n"/>
      <c r="AJ89" s="1806" t="n"/>
      <c r="AK89" s="1806" t="n"/>
      <c r="AL89" s="1806" t="n"/>
      <c r="AM89" s="1806" t="n"/>
    </row>
    <row r="90" ht="25.5" customFormat="1" customHeight="1" s="1806">
      <c r="A90" s="1858" t="inlineStr">
        <is>
          <t>Water proof by pressure (positive or negative). Test for sealed grommet 
(sealed with coldmelt / butyl / terostat)</t>
        </is>
      </c>
      <c r="B90" s="1590" t="n"/>
      <c r="C90" s="1870" t="inlineStr">
        <is>
          <t>Scan bar code label / manifest / order</t>
        </is>
      </c>
      <c r="D90" s="1610" t="n"/>
      <c r="E90" s="1870" t="inlineStr">
        <is>
          <t>per piece</t>
        </is>
      </c>
      <c r="F90" s="1870" t="inlineStr">
        <is>
          <t>Reach for scanner</t>
        </is>
      </c>
      <c r="G90" s="1870" t="inlineStr">
        <is>
          <t>Release harness/component</t>
        </is>
      </c>
      <c r="H90" s="2006" t="n">
        <v>2.8</v>
      </c>
      <c r="I90" s="1685" t="inlineStr">
        <is>
          <t>pc</t>
        </is>
      </c>
      <c r="J90" s="1916" t="n">
        <v>1</v>
      </c>
      <c r="K90" s="1937">
        <f>+J90*H90</f>
        <v/>
      </c>
      <c r="L90" s="1708" t="n"/>
      <c r="M90" s="1231" t="n"/>
      <c r="N90" s="1344" t="n"/>
      <c r="O90" s="1231" t="n"/>
      <c r="P90" s="1957" t="n"/>
      <c r="Q90" s="1231" t="n"/>
      <c r="R90" s="1806" t="n"/>
      <c r="S90" s="1806" t="n"/>
      <c r="T90" s="1806" t="n"/>
      <c r="U90" s="1806" t="n"/>
      <c r="V90" s="1806" t="n"/>
      <c r="W90" s="1806" t="n"/>
      <c r="X90" s="1806" t="n"/>
      <c r="Y90" s="1806" t="n"/>
      <c r="Z90" s="1806" t="n"/>
      <c r="AA90" s="1806" t="n"/>
      <c r="AB90" s="1806" t="n"/>
      <c r="AC90" s="1806" t="n"/>
      <c r="AD90" s="1806" t="n"/>
      <c r="AE90" s="1806" t="n"/>
      <c r="AF90" s="1806" t="n"/>
      <c r="AG90" s="1806" t="n"/>
      <c r="AH90" s="1806" t="n"/>
      <c r="AI90" s="1806" t="n"/>
      <c r="AJ90" s="1806" t="n"/>
      <c r="AK90" s="1806" t="n"/>
      <c r="AL90" s="1806" t="n"/>
      <c r="AM90" s="1806" t="n"/>
    </row>
    <row r="91" ht="79.5" customFormat="1" customHeight="1" s="1806">
      <c r="B91" s="1297" t="n"/>
      <c r="C91" s="1672" t="inlineStr">
        <is>
          <t>Water proof application</t>
        </is>
      </c>
      <c r="D91" s="1625" t="n"/>
      <c r="E91" s="1757" t="inlineStr">
        <is>
          <t xml:space="preserve">Micronorma / per application          </t>
        </is>
      </c>
      <c r="F91" s="1561" t="inlineStr">
        <is>
          <t>Insert branch  into pressure chamber</t>
        </is>
      </c>
      <c r="G91" s="1234" t="inlineStr">
        <is>
          <t xml:space="preserve"> Take out the branch from the  pressure chamber and place the harnnes on the hook</t>
        </is>
      </c>
      <c r="H91" s="1989">
        <f>180.93/100*60</f>
        <v/>
      </c>
      <c r="I91" s="1665" t="inlineStr">
        <is>
          <t>pc</t>
        </is>
      </c>
      <c r="J91" s="2007" t="n"/>
      <c r="K91" s="1901">
        <f>+J91*H91</f>
        <v/>
      </c>
      <c r="L91" s="1708" t="inlineStr">
        <is>
          <t>Automatic</t>
        </is>
      </c>
      <c r="M91" s="1231" t="n"/>
      <c r="N91" s="1344" t="n"/>
      <c r="O91" s="1231" t="n"/>
      <c r="P91" s="1957" t="n"/>
      <c r="Q91" s="1231" t="n"/>
      <c r="R91" s="1806" t="n"/>
      <c r="S91" s="1806" t="n"/>
      <c r="T91" s="1806" t="n"/>
      <c r="U91" s="1806" t="n"/>
      <c r="V91" s="1806" t="n"/>
      <c r="W91" s="1806" t="n"/>
      <c r="X91" s="1806" t="n"/>
      <c r="Y91" s="1806" t="n"/>
      <c r="Z91" s="1806" t="n"/>
      <c r="AA91" s="1806" t="n"/>
      <c r="AB91" s="1806" t="n"/>
      <c r="AC91" s="1806" t="n"/>
      <c r="AD91" s="1806" t="n"/>
      <c r="AE91" s="1806" t="n"/>
      <c r="AF91" s="1806" t="n"/>
      <c r="AG91" s="1806" t="n"/>
      <c r="AH91" s="1806" t="n"/>
      <c r="AI91" s="1806" t="n"/>
      <c r="AJ91" s="1806" t="n"/>
      <c r="AK91" s="1806" t="n"/>
      <c r="AL91" s="1806" t="n"/>
      <c r="AM91" s="1806" t="n"/>
    </row>
    <row r="92" ht="37.5" customFormat="1" customHeight="1" s="1806">
      <c r="A92" s="1390" t="n"/>
      <c r="B92" s="1301" t="n"/>
      <c r="C92" s="1812" t="n"/>
      <c r="D92" s="1301" t="n"/>
      <c r="E92" s="1750" t="inlineStr">
        <is>
          <t xml:space="preserve">per each additional grommet on the harness </t>
        </is>
      </c>
      <c r="F92" s="1750" t="n"/>
      <c r="G92" s="1750" t="n"/>
      <c r="H92" s="2008" t="n">
        <v>29.64</v>
      </c>
      <c r="I92" s="1875" t="inlineStr">
        <is>
          <t>pc</t>
        </is>
      </c>
      <c r="J92" s="1982" t="n">
        <v>1</v>
      </c>
      <c r="K92" s="1919">
        <f>+J92*H92</f>
        <v/>
      </c>
      <c r="L92" s="1653" t="n"/>
      <c r="M92" s="1231" t="n"/>
      <c r="N92" s="1344" t="n"/>
      <c r="O92" s="1231" t="n"/>
      <c r="P92" s="1957" t="n"/>
      <c r="Q92" s="1231" t="n"/>
      <c r="R92" s="1806" t="n"/>
      <c r="S92" s="1806" t="n"/>
      <c r="T92" s="1806" t="n"/>
      <c r="U92" s="1806" t="n"/>
      <c r="V92" s="1806" t="n"/>
      <c r="W92" s="1806" t="n"/>
      <c r="X92" s="1806" t="n"/>
      <c r="Y92" s="1806" t="n"/>
      <c r="Z92" s="1806" t="n"/>
      <c r="AA92" s="1806" t="n"/>
      <c r="AB92" s="1806" t="n"/>
      <c r="AC92" s="1806" t="n"/>
      <c r="AD92" s="1806" t="n"/>
      <c r="AE92" s="1806" t="n"/>
      <c r="AF92" s="1806" t="n"/>
      <c r="AG92" s="1806" t="n"/>
      <c r="AH92" s="1806" t="n"/>
      <c r="AI92" s="1806" t="n"/>
      <c r="AJ92" s="1806" t="n"/>
      <c r="AK92" s="1806" t="n"/>
      <c r="AL92" s="1806" t="n"/>
      <c r="AM92" s="1806" t="n"/>
    </row>
    <row r="93" ht="36" customFormat="1" customHeight="1" s="1806">
      <c r="A93" s="1858" t="inlineStr">
        <is>
          <t xml:space="preserve">ALRO/ROB (electrical testing of harness) </t>
        </is>
      </c>
      <c r="B93" s="1590" t="n"/>
      <c r="C93" s="1698" t="inlineStr">
        <is>
          <t>Scan bar code label / manifest / order</t>
        </is>
      </c>
      <c r="D93" s="1610" t="n"/>
      <c r="E93" s="1698" t="inlineStr">
        <is>
          <t>per piece</t>
        </is>
      </c>
      <c r="F93" s="1698" t="inlineStr">
        <is>
          <t>Reach for scanner</t>
        </is>
      </c>
      <c r="G93" s="1698" t="inlineStr">
        <is>
          <t>Release harness/component</t>
        </is>
      </c>
      <c r="H93" s="2006" t="n">
        <v>2.8</v>
      </c>
      <c r="I93" s="1685" t="inlineStr">
        <is>
          <t>pc</t>
        </is>
      </c>
      <c r="J93" s="1916" t="n">
        <v>1</v>
      </c>
      <c r="K93" s="1937">
        <f>+J93*H93</f>
        <v/>
      </c>
      <c r="L93" s="1653" t="n"/>
      <c r="M93" s="1231" t="n"/>
      <c r="N93" s="1344" t="n"/>
      <c r="O93" s="1806" t="n"/>
      <c r="P93" s="1957" t="n"/>
      <c r="Q93" s="1231" t="n"/>
      <c r="R93" s="1806" t="n"/>
      <c r="S93" s="1806" t="n"/>
      <c r="T93" s="1806" t="n"/>
      <c r="U93" s="1806" t="n"/>
      <c r="V93" s="1806" t="n"/>
      <c r="W93" s="1806" t="n"/>
      <c r="X93" s="1806" t="n"/>
      <c r="Y93" s="1806" t="n"/>
      <c r="Z93" s="1806" t="n"/>
      <c r="AA93" s="1806" t="n"/>
      <c r="AB93" s="1806" t="n"/>
      <c r="AC93" s="1806" t="n"/>
      <c r="AD93" s="1806" t="n"/>
      <c r="AE93" s="1806" t="n"/>
      <c r="AF93" s="1806" t="n"/>
      <c r="AG93" s="1806" t="n"/>
      <c r="AH93" s="1806" t="n"/>
      <c r="AI93" s="1806" t="n"/>
      <c r="AJ93" s="1806" t="n"/>
      <c r="AK93" s="1806" t="n"/>
      <c r="AL93" s="1806" t="n"/>
      <c r="AM93" s="1806" t="n"/>
    </row>
    <row r="94" ht="228" customFormat="1" customHeight="1" s="1806">
      <c r="B94" s="1297" t="n"/>
      <c r="C94" s="1537" t="inlineStr">
        <is>
          <t>Build harness to test board
NOTE: to be used also when capacitance test required
NOTE for EU &amp; AP: the same standard to be used for kits and subs (wire continuity test) testing based on Electrical Test Approach and associated PFMEA record (Flow 4)
NOTE for SA &amp; AP: to be used also when functionality test requested for fuses and relays (consider 2x for connectors that conenct to fuse box)</t>
        </is>
      </c>
      <c r="D94" s="1545" t="n"/>
      <c r="E94" s="1537" t="inlineStr">
        <is>
          <t>per component / blunt end / Loose term</t>
        </is>
      </c>
      <c r="F94" s="1537" t="inlineStr">
        <is>
          <t>Reach for component</t>
        </is>
      </c>
      <c r="G94" s="1537" t="inlineStr">
        <is>
          <t>Release harness</t>
        </is>
      </c>
      <c r="H94" s="1979" t="n">
        <v>1.8</v>
      </c>
      <c r="I94" s="1665" t="inlineStr">
        <is>
          <t>pc</t>
        </is>
      </c>
      <c r="J94" s="1964" t="n">
        <v>1</v>
      </c>
      <c r="K94" s="1965">
        <f>+J94*H94</f>
        <v/>
      </c>
      <c r="L94" s="1344" t="inlineStr">
        <is>
          <t>Semi-automatic</t>
        </is>
      </c>
      <c r="M94" s="1231" t="n"/>
      <c r="N94" s="1344" t="n"/>
      <c r="O94" s="1407" t="n"/>
      <c r="P94" s="1344" t="n"/>
      <c r="Q94" s="1407" t="n"/>
      <c r="R94" s="1344" t="n"/>
      <c r="S94" s="1806" t="n"/>
      <c r="T94" s="1806" t="n"/>
      <c r="U94" s="1806" t="n"/>
      <c r="V94" s="1806" t="n"/>
      <c r="W94" s="1806" t="n"/>
      <c r="X94" s="1806" t="n"/>
      <c r="Y94" s="1806" t="n"/>
      <c r="Z94" s="1806" t="n"/>
      <c r="AA94" s="1806" t="n"/>
      <c r="AB94" s="1806" t="n"/>
      <c r="AC94" s="1806" t="n"/>
      <c r="AD94" s="1806" t="n"/>
      <c r="AE94" s="1806" t="n"/>
      <c r="AF94" s="1806" t="n"/>
      <c r="AG94" s="1806" t="n"/>
      <c r="AH94" s="1806" t="n"/>
      <c r="AI94" s="1806" t="n"/>
      <c r="AJ94" s="1806" t="n"/>
      <c r="AK94" s="1806" t="n"/>
      <c r="AL94" s="1806" t="n"/>
      <c r="AM94" s="1806" t="n"/>
    </row>
    <row r="95" hidden="1" ht="25.5" customFormat="1" customHeight="1" s="1806">
      <c r="B95" s="1297" t="n"/>
      <c r="C95" s="2009" t="inlineStr">
        <is>
          <t>assemble electronics (ex: relay, resistor - delete?)</t>
        </is>
      </c>
      <c r="D95" s="1532" t="n"/>
      <c r="E95" s="2009" t="inlineStr">
        <is>
          <t>per component</t>
        </is>
      </c>
      <c r="F95" s="2009" t="inlineStr">
        <is>
          <t>Reach for component</t>
        </is>
      </c>
      <c r="G95" s="2009" t="inlineStr">
        <is>
          <t>Release harness</t>
        </is>
      </c>
      <c r="H95" s="2010" t="n">
        <v>4</v>
      </c>
      <c r="I95" s="2011" t="inlineStr">
        <is>
          <t>pc</t>
        </is>
      </c>
      <c r="J95" s="2012" t="n">
        <v>1</v>
      </c>
      <c r="K95" s="2013">
        <f>+J95*H95</f>
        <v/>
      </c>
      <c r="L95" s="2014" t="inlineStr">
        <is>
          <t>Automatic</t>
        </is>
      </c>
      <c r="M95" s="1231" t="n"/>
      <c r="N95" s="1344" t="n"/>
      <c r="O95" s="1231" t="n"/>
      <c r="P95" s="1957" t="n"/>
      <c r="Q95" s="1231" t="n"/>
      <c r="R95" s="1806" t="n"/>
      <c r="S95" s="1806" t="n"/>
      <c r="T95" s="1806" t="n"/>
      <c r="U95" s="1806" t="n"/>
      <c r="V95" s="1806" t="n"/>
      <c r="W95" s="1806" t="n"/>
      <c r="X95" s="1806" t="n"/>
      <c r="Y95" s="1806" t="n"/>
      <c r="Z95" s="1806" t="n"/>
      <c r="AA95" s="1806" t="n"/>
      <c r="AB95" s="1806" t="n"/>
      <c r="AC95" s="1806" t="n"/>
      <c r="AD95" s="1806" t="n"/>
      <c r="AE95" s="1806" t="n"/>
      <c r="AF95" s="1806" t="n"/>
      <c r="AG95" s="1806" t="n"/>
      <c r="AH95" s="1806" t="n"/>
      <c r="AI95" s="1806" t="n"/>
      <c r="AJ95" s="1806" t="n"/>
      <c r="AK95" s="1806" t="n"/>
      <c r="AL95" s="1806" t="n"/>
      <c r="AM95" s="1806" t="n"/>
    </row>
    <row r="96" ht="239.25" customFormat="1" customHeight="1" s="1806">
      <c r="B96" s="1297" t="n"/>
      <c r="C96" s="1561" t="inlineStr">
        <is>
          <t>Test harness and remove from test board
NOTE: to be used also when capacitance test required
NOTE for EU &amp; AP: the same standard to be used for kits and subs (wire continuity test) testing based on Electrical Test Approach and associated PFMEA record (Flow 4)
NOTE for SA &amp; AP: to be used also when functionality test requested for fuses and relays (consider 2x for connectors that conenct to fuse box)</t>
        </is>
      </c>
      <c r="D96" s="1532" t="n"/>
      <c r="E96" s="1561" t="inlineStr">
        <is>
          <t>per component: including connectors, grommets, BCs, relays, resistors and color spot marks (tapes) / blunt end / Loose term etc</t>
        </is>
      </c>
      <c r="F96" s="1561" t="inlineStr">
        <is>
          <t>Press "test start" switch</t>
        </is>
      </c>
      <c r="G96" s="1561" t="inlineStr">
        <is>
          <t>Harness removed from electrical test board</t>
        </is>
      </c>
      <c r="H96" s="1920" t="n">
        <v>1.655</v>
      </c>
      <c r="I96" s="1690" t="inlineStr">
        <is>
          <t>pc</t>
        </is>
      </c>
      <c r="J96" s="1900" t="n">
        <v>1</v>
      </c>
      <c r="K96" s="1901">
        <f>+J96*H96</f>
        <v/>
      </c>
      <c r="L96" s="2015" t="inlineStr">
        <is>
          <t>Semi-automatic</t>
        </is>
      </c>
      <c r="M96" s="1231" t="n"/>
      <c r="N96" s="1344" t="n"/>
      <c r="O96" s="1407" t="n"/>
      <c r="P96" s="1344" t="n"/>
      <c r="Q96" s="1231" t="n"/>
      <c r="R96" s="1806" t="n"/>
      <c r="S96" s="1806" t="n"/>
      <c r="T96" s="1806" t="n"/>
      <c r="U96" s="1806" t="n"/>
      <c r="V96" s="1806" t="n"/>
      <c r="W96" s="1806" t="n"/>
      <c r="X96" s="1806" t="n"/>
      <c r="Y96" s="1806" t="n"/>
      <c r="Z96" s="1806" t="n"/>
      <c r="AA96" s="1806" t="n"/>
      <c r="AB96" s="1806" t="n"/>
      <c r="AC96" s="1806" t="n"/>
      <c r="AD96" s="1806" t="n"/>
      <c r="AE96" s="1806" t="n"/>
      <c r="AF96" s="1806" t="n"/>
      <c r="AG96" s="1806" t="n"/>
      <c r="AH96" s="1806" t="n"/>
      <c r="AI96" s="1806" t="n"/>
      <c r="AJ96" s="1806" t="n"/>
      <c r="AK96" s="1806" t="n"/>
      <c r="AL96" s="1806" t="n"/>
      <c r="AM96" s="1806" t="n"/>
    </row>
    <row r="97" ht="40.5" customFormat="1" customHeight="1" s="1806">
      <c r="B97" s="1297" t="n"/>
      <c r="C97" s="1561" t="inlineStr">
        <is>
          <t>Scan bar code label / manifest / order</t>
        </is>
      </c>
      <c r="D97" s="1532" t="n"/>
      <c r="E97" s="1561" t="inlineStr">
        <is>
          <t>per piece</t>
        </is>
      </c>
      <c r="F97" s="1561" t="inlineStr">
        <is>
          <t>Reach for scanner</t>
        </is>
      </c>
      <c r="G97" s="1561" t="inlineStr">
        <is>
          <t>Release harness/component</t>
        </is>
      </c>
      <c r="H97" s="1920" t="n">
        <v>2.8</v>
      </c>
      <c r="I97" s="1690" t="inlineStr">
        <is>
          <t>pc</t>
        </is>
      </c>
      <c r="J97" s="1900" t="n">
        <v>1</v>
      </c>
      <c r="K97" s="1901">
        <f>+J97*H97</f>
        <v/>
      </c>
      <c r="L97" s="1708" t="n"/>
      <c r="M97" s="1231" t="n"/>
      <c r="N97" s="1344" t="n"/>
      <c r="O97" s="1806" t="n"/>
      <c r="P97" s="1957" t="n"/>
      <c r="Q97" s="1231" t="n"/>
      <c r="R97" s="1806" t="n"/>
      <c r="S97" s="1806" t="n"/>
      <c r="T97" s="1806" t="n"/>
      <c r="U97" s="1806" t="n"/>
      <c r="V97" s="1806" t="n"/>
      <c r="W97" s="1806" t="n"/>
      <c r="X97" s="1806" t="n"/>
      <c r="Y97" s="1806" t="n"/>
      <c r="Z97" s="1806" t="n"/>
      <c r="AA97" s="1806" t="n"/>
      <c r="AB97" s="1806" t="n"/>
      <c r="AC97" s="1806" t="n"/>
      <c r="AD97" s="1806" t="n"/>
      <c r="AE97" s="1806" t="n"/>
      <c r="AF97" s="1806" t="n"/>
      <c r="AG97" s="1806" t="n"/>
      <c r="AH97" s="1806" t="n"/>
      <c r="AI97" s="1806" t="n"/>
      <c r="AJ97" s="1806" t="n"/>
      <c r="AK97" s="1806" t="n"/>
      <c r="AL97" s="1806" t="n"/>
      <c r="AM97" s="1806" t="n"/>
    </row>
    <row r="98" ht="45" customFormat="1" customHeight="1" s="1806">
      <c r="B98" s="1297" t="n"/>
      <c r="C98" s="1561" t="inlineStr">
        <is>
          <t xml:space="preserve">apply  label </t>
        </is>
      </c>
      <c r="D98" s="1532" t="n"/>
      <c r="E98" s="1561" t="inlineStr">
        <is>
          <t>per label</t>
        </is>
      </c>
      <c r="F98" s="1561" t="inlineStr">
        <is>
          <t>Reach for label</t>
        </is>
      </c>
      <c r="G98" s="1561" t="inlineStr">
        <is>
          <t>Release harness/component</t>
        </is>
      </c>
      <c r="H98" s="2016" t="n">
        <v>6.916</v>
      </c>
      <c r="I98" s="1690" t="inlineStr">
        <is>
          <t>pc</t>
        </is>
      </c>
      <c r="J98" s="1900" t="n">
        <v>1</v>
      </c>
      <c r="K98" s="1901">
        <f>+J98*H98</f>
        <v/>
      </c>
      <c r="L98" s="1708" t="n"/>
      <c r="M98" s="1231" t="n"/>
      <c r="N98" s="1344" t="n"/>
      <c r="O98" s="1806" t="n"/>
      <c r="P98" s="1957" t="n"/>
      <c r="Q98" s="1231" t="n"/>
      <c r="R98" s="1806" t="n"/>
      <c r="S98" s="1806" t="n"/>
      <c r="T98" s="1806" t="n"/>
      <c r="U98" s="1806" t="n"/>
      <c r="V98" s="1806" t="n"/>
      <c r="W98" s="1806" t="n"/>
      <c r="X98" s="1806" t="n"/>
      <c r="Y98" s="1806" t="n"/>
      <c r="Z98" s="1806" t="n"/>
      <c r="AA98" s="1806" t="n"/>
      <c r="AB98" s="1806" t="n"/>
      <c r="AC98" s="1806" t="n"/>
      <c r="AD98" s="1806" t="n"/>
      <c r="AE98" s="1806" t="n"/>
      <c r="AF98" s="1806" t="n"/>
      <c r="AG98" s="1806" t="n"/>
      <c r="AH98" s="1806" t="n"/>
      <c r="AI98" s="1806" t="n"/>
      <c r="AJ98" s="1806" t="n"/>
      <c r="AK98" s="1806" t="n"/>
      <c r="AL98" s="1806" t="n"/>
      <c r="AM98" s="1806" t="n"/>
    </row>
    <row r="99" ht="45" customFormat="1" customHeight="1" s="1806">
      <c r="B99" s="1297" t="n"/>
      <c r="C99" s="1561" t="inlineStr">
        <is>
          <t xml:space="preserve">assemble and stack ring terminals  (one terminal stacked over other one)   </t>
        </is>
      </c>
      <c r="D99" s="1532" t="n"/>
      <c r="E99" s="1561" t="inlineStr">
        <is>
          <t>per terminal</t>
        </is>
      </c>
      <c r="F99" s="1561" t="inlineStr">
        <is>
          <t>Reach for terminal</t>
        </is>
      </c>
      <c r="G99" s="1561" t="inlineStr">
        <is>
          <t>Release assembly</t>
        </is>
      </c>
      <c r="H99" s="1920" t="n">
        <v>2.65</v>
      </c>
      <c r="I99" s="1690" t="inlineStr">
        <is>
          <t>pc</t>
        </is>
      </c>
      <c r="J99" s="1900" t="n">
        <v>1</v>
      </c>
      <c r="K99" s="1901">
        <f>+J99*H99</f>
        <v/>
      </c>
      <c r="L99" s="1708" t="n"/>
      <c r="M99" s="1231" t="n"/>
      <c r="N99" s="1344" t="n"/>
      <c r="O99" s="1806" t="n"/>
      <c r="P99" s="1957" t="n"/>
      <c r="Q99" s="1231" t="n"/>
      <c r="R99" s="1806" t="n"/>
      <c r="S99" s="1806" t="n"/>
      <c r="T99" s="1806" t="n"/>
      <c r="U99" s="1806" t="n"/>
      <c r="V99" s="1806" t="n"/>
      <c r="W99" s="1806" t="n"/>
      <c r="X99" s="1806" t="n"/>
      <c r="Y99" s="1806" t="n"/>
      <c r="Z99" s="1806" t="n"/>
      <c r="AA99" s="1806" t="n"/>
      <c r="AB99" s="1806" t="n"/>
      <c r="AC99" s="1806" t="n"/>
      <c r="AD99" s="1806" t="n"/>
      <c r="AE99" s="1806" t="n"/>
      <c r="AF99" s="1806" t="n"/>
      <c r="AG99" s="1806" t="n"/>
      <c r="AH99" s="1806" t="n"/>
      <c r="AI99" s="1806" t="n"/>
      <c r="AJ99" s="1806" t="n"/>
      <c r="AK99" s="1806" t="n"/>
      <c r="AL99" s="1806" t="n"/>
      <c r="AM99" s="1806" t="n"/>
    </row>
    <row r="100" ht="45" customFormat="1" customHeight="1" s="1806">
      <c r="B100" s="1297" t="n"/>
      <c r="C100" s="1537" t="inlineStr">
        <is>
          <t>Put protection tube on oxygen sensor</t>
        </is>
      </c>
      <c r="D100" s="1545" t="n"/>
      <c r="E100" s="1537" t="inlineStr">
        <is>
          <t>per tube</t>
        </is>
      </c>
      <c r="F100" s="1537" t="inlineStr">
        <is>
          <t>Harness removed from electrical test board</t>
        </is>
      </c>
      <c r="G100" s="1537" t="inlineStr">
        <is>
          <t xml:space="preserve">Release harness and place on packaging </t>
        </is>
      </c>
      <c r="H100" s="1920" t="n">
        <v>3.3571</v>
      </c>
      <c r="I100" s="1690" t="inlineStr">
        <is>
          <t>pc</t>
        </is>
      </c>
      <c r="J100" s="1900" t="n">
        <v>1</v>
      </c>
      <c r="K100" s="1901">
        <f>+J100*H100</f>
        <v/>
      </c>
      <c r="L100" s="1708" t="n"/>
      <c r="M100" s="1231" t="n"/>
      <c r="N100" s="1344" t="n"/>
      <c r="O100" s="1806" t="n"/>
      <c r="P100" s="1957" t="n"/>
      <c r="Q100" s="1231" t="n"/>
      <c r="R100" s="1806" t="n"/>
      <c r="S100" s="1806" t="n"/>
      <c r="T100" s="1806" t="n"/>
      <c r="U100" s="1806" t="n"/>
      <c r="V100" s="1806" t="n"/>
      <c r="W100" s="1806" t="n"/>
      <c r="X100" s="1806" t="n"/>
      <c r="Y100" s="1806" t="n"/>
      <c r="Z100" s="1806" t="n"/>
      <c r="AA100" s="1806" t="n"/>
      <c r="AB100" s="1806" t="n"/>
      <c r="AC100" s="1806" t="n"/>
      <c r="AD100" s="1806" t="n"/>
      <c r="AE100" s="1806" t="n"/>
      <c r="AF100" s="1806" t="n"/>
      <c r="AG100" s="1806" t="n"/>
      <c r="AH100" s="1806" t="n"/>
      <c r="AI100" s="1806" t="n"/>
      <c r="AJ100" s="1806" t="n"/>
      <c r="AK100" s="1806" t="n"/>
      <c r="AL100" s="1806" t="n"/>
      <c r="AM100" s="1806" t="n"/>
    </row>
    <row r="101" ht="54.75" customFormat="1" customHeight="1" s="1806">
      <c r="A101" s="1390" t="n"/>
      <c r="B101" s="1301" t="n"/>
      <c r="C101" s="1672" t="inlineStr">
        <is>
          <t xml:space="preserve">Vacuum test  </t>
        </is>
      </c>
      <c r="D101" s="1670" t="n"/>
      <c r="E101" s="1672" t="inlineStr">
        <is>
          <t>per connector</t>
        </is>
      </c>
      <c r="F101" s="1672" t="inlineStr">
        <is>
          <t>Reach for connector</t>
        </is>
      </c>
      <c r="G101" s="1672" t="inlineStr">
        <is>
          <t>Release connector</t>
        </is>
      </c>
      <c r="H101" s="1990" t="n">
        <v>5</v>
      </c>
      <c r="I101" s="1694" t="inlineStr">
        <is>
          <t>pc</t>
        </is>
      </c>
      <c r="J101" s="1674" t="n">
        <v>1</v>
      </c>
      <c r="K101" s="1675">
        <f>+J101*H101</f>
        <v/>
      </c>
      <c r="L101" s="1708" t="n"/>
      <c r="M101" s="1231" t="n"/>
      <c r="N101" s="1344" t="n"/>
      <c r="O101" s="1806" t="n"/>
      <c r="P101" s="1957" t="n"/>
      <c r="Q101" s="1231" t="n"/>
      <c r="R101" s="1806" t="n"/>
      <c r="S101" s="1806" t="n"/>
      <c r="T101" s="1806" t="n"/>
      <c r="U101" s="1806" t="n"/>
      <c r="V101" s="1806" t="n"/>
      <c r="W101" s="1806" t="n"/>
      <c r="X101" s="1806" t="n"/>
      <c r="Y101" s="1806" t="n"/>
      <c r="Z101" s="1806" t="n"/>
      <c r="AA101" s="1806" t="n"/>
      <c r="AB101" s="1806" t="n"/>
      <c r="AC101" s="1806" t="n"/>
      <c r="AD101" s="1806" t="n"/>
      <c r="AE101" s="1806" t="n"/>
      <c r="AF101" s="1806" t="n"/>
      <c r="AG101" s="1806" t="n"/>
      <c r="AH101" s="1806" t="n"/>
      <c r="AI101" s="1806" t="n"/>
      <c r="AJ101" s="1806" t="n"/>
      <c r="AK101" s="1806" t="n"/>
      <c r="AL101" s="1806" t="n"/>
      <c r="AM101" s="1806" t="n"/>
    </row>
    <row r="102" ht="39" customFormat="1" customHeight="1" s="1806">
      <c r="A102" s="1977" t="inlineStr">
        <is>
          <t xml:space="preserve">Machine Vision </t>
        </is>
      </c>
      <c r="B102" s="1297" t="n"/>
      <c r="C102" s="1871" t="inlineStr">
        <is>
          <t xml:space="preserve">get harness from connection tool (air transportation, troley etc) </t>
        </is>
      </c>
      <c r="D102" s="1545" t="n"/>
      <c r="E102" s="1537" t="inlineStr">
        <is>
          <t>per harness</t>
        </is>
      </c>
      <c r="F102" s="1537" t="inlineStr">
        <is>
          <t>Reach for harness</t>
        </is>
      </c>
      <c r="G102" s="1537" t="inlineStr">
        <is>
          <t>Start to build to the holder</t>
        </is>
      </c>
      <c r="H102" s="1963" t="n">
        <v>6</v>
      </c>
      <c r="I102" s="1665" t="inlineStr">
        <is>
          <t>pc</t>
        </is>
      </c>
      <c r="J102" s="1964" t="n">
        <v>1</v>
      </c>
      <c r="K102" s="1965">
        <f>+J102*H102</f>
        <v/>
      </c>
      <c r="L102" s="1708" t="n"/>
      <c r="M102" s="1231" t="n"/>
      <c r="N102" s="1344" t="n"/>
      <c r="O102" s="1231" t="n"/>
      <c r="P102" s="1957" t="n"/>
      <c r="Q102" s="1231" t="n"/>
      <c r="R102" s="1806" t="n"/>
      <c r="S102" s="1806" t="n"/>
      <c r="T102" s="1806" t="n"/>
      <c r="U102" s="1806" t="n"/>
      <c r="V102" s="1806" t="n"/>
      <c r="W102" s="1806" t="n"/>
      <c r="X102" s="1806" t="n"/>
      <c r="Y102" s="1806" t="n"/>
      <c r="Z102" s="1806" t="n"/>
      <c r="AA102" s="1806" t="n"/>
      <c r="AB102" s="1806" t="n"/>
      <c r="AC102" s="1806" t="n"/>
      <c r="AD102" s="1806" t="n"/>
      <c r="AE102" s="1806" t="n"/>
      <c r="AF102" s="1806" t="n"/>
      <c r="AG102" s="1806" t="n"/>
      <c r="AH102" s="1806" t="n"/>
      <c r="AI102" s="1806" t="n"/>
      <c r="AJ102" s="1806" t="n"/>
      <c r="AK102" s="1806" t="n"/>
      <c r="AL102" s="1806" t="n"/>
      <c r="AM102" s="1806" t="n"/>
    </row>
    <row r="103" ht="24" customFormat="1" customHeight="1" s="1806">
      <c r="A103" s="1326" t="n"/>
      <c r="B103" s="1297" t="n"/>
      <c r="C103" s="1778" t="inlineStr">
        <is>
          <t xml:space="preserve">Build fuse box to the holder on MV station </t>
        </is>
      </c>
      <c r="D103" s="1532" t="n"/>
      <c r="E103" s="1561" t="inlineStr">
        <is>
          <t>per fuse box</t>
        </is>
      </c>
      <c r="F103" s="1561" t="inlineStr">
        <is>
          <t>Build tot the holder</t>
        </is>
      </c>
      <c r="G103" s="1561" t="inlineStr">
        <is>
          <t>Reach the scanner</t>
        </is>
      </c>
      <c r="H103" s="1966" t="n">
        <v>6</v>
      </c>
      <c r="I103" s="1690" t="inlineStr">
        <is>
          <t>pc</t>
        </is>
      </c>
      <c r="J103" s="1900" t="n">
        <v>1</v>
      </c>
      <c r="K103" s="1901">
        <f>+J103*H103</f>
        <v/>
      </c>
      <c r="L103" s="1231" t="n"/>
      <c r="M103" s="1231" t="n"/>
      <c r="N103" s="1344" t="n"/>
      <c r="O103" s="1231" t="n"/>
      <c r="P103" s="1957" t="n"/>
      <c r="Q103" s="1231" t="n"/>
      <c r="R103" s="1806" t="n"/>
      <c r="S103" s="1806" t="n"/>
      <c r="T103" s="1806" t="n"/>
      <c r="U103" s="1806" t="n"/>
      <c r="V103" s="1806" t="n"/>
      <c r="W103" s="1806" t="n"/>
      <c r="X103" s="1806" t="n"/>
      <c r="Y103" s="1806" t="n"/>
      <c r="Z103" s="1806" t="n"/>
      <c r="AA103" s="1806" t="n"/>
      <c r="AB103" s="1806" t="n"/>
      <c r="AC103" s="1806" t="n"/>
      <c r="AD103" s="1806" t="n"/>
      <c r="AE103" s="1806" t="n"/>
      <c r="AF103" s="1806" t="n"/>
      <c r="AG103" s="1806" t="n"/>
      <c r="AH103" s="1806" t="n"/>
      <c r="AI103" s="1806" t="n"/>
      <c r="AJ103" s="1806" t="n"/>
      <c r="AK103" s="1806" t="n"/>
      <c r="AL103" s="1806" t="n"/>
      <c r="AM103" s="1806" t="n"/>
    </row>
    <row r="104" ht="24" customFormat="1" customHeight="1" s="1806">
      <c r="A104" s="1326" t="n"/>
      <c r="B104" s="1297" t="n"/>
      <c r="C104" s="1778" t="inlineStr">
        <is>
          <t xml:space="preserve">Scan bar code label / manifest / order
</t>
        </is>
      </c>
      <c r="D104" s="1532" t="n"/>
      <c r="E104" s="1561" t="n"/>
      <c r="F104" s="1561" t="inlineStr">
        <is>
          <t>reach the scanner</t>
        </is>
      </c>
      <c r="G104" s="1561" t="inlineStr">
        <is>
          <t xml:space="preserve">Reach for the first fuse </t>
        </is>
      </c>
      <c r="H104" s="1920" t="n">
        <v>2.8</v>
      </c>
      <c r="I104" s="1690" t="inlineStr">
        <is>
          <t>pc</t>
        </is>
      </c>
      <c r="J104" s="1900" t="n">
        <v>1</v>
      </c>
      <c r="K104" s="1901">
        <f>+J104*H104</f>
        <v/>
      </c>
      <c r="L104" s="1708" t="n"/>
      <c r="M104" s="1231" t="n"/>
      <c r="N104" s="1344" t="n"/>
      <c r="O104" s="1231" t="n"/>
      <c r="P104" s="1957" t="n"/>
      <c r="Q104" s="1231" t="n"/>
      <c r="R104" s="1806" t="n"/>
      <c r="S104" s="1806" t="n"/>
      <c r="T104" s="1806" t="n"/>
      <c r="U104" s="1806" t="n"/>
      <c r="V104" s="1806" t="n"/>
      <c r="W104" s="1806" t="n"/>
      <c r="X104" s="1806" t="n"/>
      <c r="Y104" s="1806" t="n"/>
      <c r="Z104" s="1806" t="n"/>
      <c r="AA104" s="1806" t="n"/>
      <c r="AB104" s="1806" t="n"/>
      <c r="AC104" s="1806" t="n"/>
      <c r="AD104" s="1806" t="n"/>
      <c r="AE104" s="1806" t="n"/>
      <c r="AF104" s="1806" t="n"/>
      <c r="AG104" s="1806" t="n"/>
      <c r="AH104" s="1806" t="n"/>
      <c r="AI104" s="1806" t="n"/>
      <c r="AJ104" s="1806" t="n"/>
      <c r="AK104" s="1806" t="n"/>
      <c r="AL104" s="1806" t="n"/>
      <c r="AM104" s="1806" t="n"/>
    </row>
    <row r="105" ht="24" customFormat="1" customHeight="1" s="1806">
      <c r="A105" s="1326" t="n"/>
      <c r="B105" s="1297" t="n"/>
      <c r="C105" s="2017" t="inlineStr">
        <is>
          <t xml:space="preserve">Load / unload mask (NA, AP, SA Region) </t>
        </is>
      </c>
      <c r="D105" s="1183" t="n"/>
      <c r="E105" s="1778" t="inlineStr">
        <is>
          <t>per mask</t>
        </is>
      </c>
      <c r="F105" s="1778" t="inlineStr">
        <is>
          <t>reach for mask</t>
        </is>
      </c>
      <c r="G105" s="1778" t="inlineStr">
        <is>
          <t xml:space="preserve">released mask on place </t>
        </is>
      </c>
      <c r="H105" s="1966" t="n">
        <v>6</v>
      </c>
      <c r="I105" s="1690" t="inlineStr">
        <is>
          <t>pc</t>
        </is>
      </c>
      <c r="J105" s="1900" t="n">
        <v>1</v>
      </c>
      <c r="K105" s="1901">
        <f>+J105*H105</f>
        <v/>
      </c>
      <c r="L105" s="1708" t="n"/>
      <c r="M105" s="1231" t="n"/>
      <c r="N105" s="1344" t="n"/>
      <c r="O105" s="1231" t="n"/>
      <c r="P105" s="1957" t="n"/>
      <c r="Q105" s="1231" t="n"/>
      <c r="R105" s="1806" t="n"/>
      <c r="S105" s="1806" t="n"/>
      <c r="T105" s="1806" t="n"/>
      <c r="U105" s="1806" t="n"/>
      <c r="V105" s="1806" t="n"/>
      <c r="W105" s="1806" t="n"/>
      <c r="X105" s="1806" t="n"/>
      <c r="Y105" s="1806" t="n"/>
      <c r="Z105" s="1806" t="n"/>
      <c r="AA105" s="1806" t="n"/>
      <c r="AB105" s="1806" t="n"/>
      <c r="AC105" s="1806" t="n"/>
      <c r="AD105" s="1806" t="n"/>
      <c r="AE105" s="1806" t="n"/>
      <c r="AF105" s="1806" t="n"/>
      <c r="AG105" s="1806" t="n"/>
      <c r="AH105" s="1806" t="n"/>
      <c r="AI105" s="1806" t="n"/>
      <c r="AJ105" s="1806" t="n"/>
      <c r="AK105" s="1806" t="n"/>
      <c r="AL105" s="1806" t="n"/>
      <c r="AM105" s="1806" t="n"/>
    </row>
    <row r="106" ht="82.5" customFormat="1" customHeight="1" s="1806">
      <c r="A106" s="1326" t="n"/>
      <c r="B106" s="1297" t="n"/>
      <c r="C106" s="1561" t="inlineStr">
        <is>
          <t xml:space="preserve">assemble fuses / relays / resistor </t>
        </is>
      </c>
      <c r="D106" s="1532" t="n"/>
      <c r="E106" s="1561" t="inlineStr">
        <is>
          <t>per fuse  / relay</t>
        </is>
      </c>
      <c r="F106" s="1561" t="inlineStr">
        <is>
          <t>Reach for component</t>
        </is>
      </c>
      <c r="G106" s="1561" t="inlineStr">
        <is>
          <t>Release harness</t>
        </is>
      </c>
      <c r="H106" s="1966" t="n">
        <v>3</v>
      </c>
      <c r="I106" s="1690" t="inlineStr">
        <is>
          <t>pc</t>
        </is>
      </c>
      <c r="J106" s="1900" t="n">
        <v>1</v>
      </c>
      <c r="K106" s="1901">
        <f>+J106*H106</f>
        <v/>
      </c>
      <c r="L106" s="1708" t="n"/>
      <c r="M106" s="1231" t="n"/>
      <c r="N106" s="1344" t="n"/>
      <c r="O106" s="1502" t="n"/>
      <c r="P106" s="1957" t="n"/>
      <c r="Q106" s="1231" t="n"/>
      <c r="R106" s="1806" t="n"/>
      <c r="S106" s="1806" t="n"/>
      <c r="T106" s="1806" t="n"/>
      <c r="U106" s="1806" t="n"/>
      <c r="V106" s="1806" t="n"/>
      <c r="W106" s="1806" t="n"/>
      <c r="X106" s="1806" t="n"/>
      <c r="Y106" s="1806" t="n"/>
      <c r="Z106" s="1806" t="n"/>
      <c r="AA106" s="1806" t="n"/>
      <c r="AB106" s="1806" t="n"/>
      <c r="AC106" s="1806" t="n"/>
      <c r="AD106" s="1806" t="n"/>
      <c r="AE106" s="1806" t="n"/>
      <c r="AF106" s="1806" t="n"/>
      <c r="AG106" s="1806" t="n"/>
      <c r="AH106" s="1806" t="n"/>
      <c r="AI106" s="1806" t="n"/>
      <c r="AJ106" s="1806" t="n"/>
      <c r="AK106" s="1806" t="n"/>
      <c r="AL106" s="1806" t="n"/>
      <c r="AM106" s="1806" t="n"/>
    </row>
    <row r="107" ht="24" customFormat="1" customHeight="1" s="1806">
      <c r="A107" s="1326" t="n"/>
      <c r="B107" s="1297" t="n"/>
      <c r="C107" s="1778" t="inlineStr">
        <is>
          <t>Build fuse box to the MV test</t>
        </is>
      </c>
      <c r="D107" s="1532" t="n"/>
      <c r="E107" s="1778" t="inlineStr">
        <is>
          <t>per fuse box</t>
        </is>
      </c>
      <c r="F107" s="1778" t="inlineStr">
        <is>
          <t>Reach for the harness</t>
        </is>
      </c>
      <c r="G107" s="1778" t="inlineStr">
        <is>
          <t>Fuse box fixed in the holder</t>
        </is>
      </c>
      <c r="H107" s="1966" t="n">
        <v>6</v>
      </c>
      <c r="I107" s="1690" t="inlineStr">
        <is>
          <t>pc</t>
        </is>
      </c>
      <c r="J107" s="1900" t="n">
        <v>1</v>
      </c>
      <c r="K107" s="1901">
        <f>+J107*H107</f>
        <v/>
      </c>
      <c r="L107" s="2018" t="n"/>
      <c r="M107" s="1231" t="n"/>
      <c r="N107" s="1344" t="n"/>
      <c r="O107" s="1231" t="n"/>
      <c r="P107" s="1957" t="n"/>
      <c r="Q107" s="1231" t="n"/>
      <c r="R107" s="1806" t="n"/>
      <c r="S107" s="1806" t="n"/>
      <c r="T107" s="1806" t="n"/>
      <c r="U107" s="1806" t="n"/>
      <c r="V107" s="1806" t="n"/>
      <c r="W107" s="1806" t="n"/>
      <c r="X107" s="1806" t="n"/>
      <c r="Y107" s="1806" t="n"/>
      <c r="Z107" s="1806" t="n"/>
      <c r="AA107" s="1806" t="n"/>
      <c r="AB107" s="1806" t="n"/>
      <c r="AC107" s="1806" t="n"/>
      <c r="AD107" s="1806" t="n"/>
      <c r="AE107" s="1806" t="n"/>
      <c r="AF107" s="1806" t="n"/>
      <c r="AG107" s="1806" t="n"/>
      <c r="AH107" s="1806" t="n"/>
      <c r="AI107" s="1806" t="n"/>
      <c r="AJ107" s="1806" t="n"/>
      <c r="AK107" s="1806" t="n"/>
      <c r="AL107" s="1806" t="n"/>
      <c r="AM107" s="1806" t="n"/>
    </row>
    <row r="108" ht="23.85" customFormat="1" customHeight="1" s="1806">
      <c r="A108" s="1326" t="n"/>
      <c r="B108" s="1297" t="n"/>
      <c r="C108" s="1561" t="inlineStr">
        <is>
          <t>check (vision system) fuse box</t>
        </is>
      </c>
      <c r="D108" s="1532" t="n"/>
      <c r="E108" s="1561" t="inlineStr">
        <is>
          <t>per fuse box</t>
        </is>
      </c>
      <c r="F108" s="1561" t="inlineStr">
        <is>
          <t>Insert fuse box in vision machine</t>
        </is>
      </c>
      <c r="G108" s="1561" t="inlineStr">
        <is>
          <t>Release checked fuse box</t>
        </is>
      </c>
      <c r="H108" s="1920" t="n">
        <v>21.65</v>
      </c>
      <c r="I108" s="1690" t="inlineStr">
        <is>
          <t>pc</t>
        </is>
      </c>
      <c r="J108" s="1900" t="n">
        <v>1</v>
      </c>
      <c r="K108" s="1901">
        <f>+J108*H108</f>
        <v/>
      </c>
      <c r="L108" s="1708" t="inlineStr">
        <is>
          <t>Semi-automatic</t>
        </is>
      </c>
      <c r="M108" s="1231" t="n"/>
      <c r="N108" s="1344" t="n"/>
      <c r="O108" s="1231" t="n"/>
      <c r="P108" s="1957" t="n"/>
      <c r="Q108" s="1231" t="n"/>
      <c r="R108" s="1806" t="n"/>
      <c r="S108" s="1806" t="n"/>
      <c r="T108" s="1806" t="n"/>
      <c r="U108" s="1806" t="n"/>
      <c r="V108" s="1806" t="n"/>
      <c r="W108" s="1806" t="n"/>
      <c r="X108" s="1806" t="n"/>
      <c r="Y108" s="1806" t="n"/>
      <c r="Z108" s="1806" t="n"/>
      <c r="AA108" s="1806" t="n"/>
      <c r="AB108" s="1806" t="n"/>
      <c r="AC108" s="1806" t="n"/>
      <c r="AD108" s="1806" t="n"/>
      <c r="AE108" s="1806" t="n"/>
      <c r="AF108" s="1806" t="n"/>
      <c r="AG108" s="1806" t="n"/>
      <c r="AH108" s="1806" t="n"/>
      <c r="AI108" s="1806" t="n"/>
      <c r="AJ108" s="1806" t="n"/>
      <c r="AK108" s="1806" t="n"/>
      <c r="AL108" s="1806" t="n"/>
      <c r="AM108" s="1806" t="n"/>
    </row>
    <row r="109" ht="54" customFormat="1" customHeight="1" s="1806">
      <c r="A109" s="1326" t="n"/>
      <c r="B109" s="1297" t="n"/>
      <c r="C109" s="1778" t="inlineStr">
        <is>
          <t>fuse &amp; relay height check (applicable for manual fuse / relay assembly)
(applies for EU Region)</t>
        </is>
      </c>
      <c r="D109" s="1532" t="n"/>
      <c r="E109" s="1537" t="inlineStr">
        <is>
          <t>per fuse box</t>
        </is>
      </c>
      <c r="F109" s="1561" t="inlineStr">
        <is>
          <t>Start check</t>
        </is>
      </c>
      <c r="G109" s="1561" t="inlineStr">
        <is>
          <t>End Check</t>
        </is>
      </c>
      <c r="H109" s="1966" t="n">
        <v>16</v>
      </c>
      <c r="I109" s="1690" t="inlineStr">
        <is>
          <t>pc</t>
        </is>
      </c>
      <c r="J109" s="1900" t="n">
        <v>1</v>
      </c>
      <c r="K109" s="1901">
        <f>+J109*H109</f>
        <v/>
      </c>
      <c r="L109" s="1708" t="n"/>
      <c r="M109" s="1231" t="n"/>
      <c r="N109" s="1344" t="n"/>
      <c r="O109" s="1231" t="n"/>
      <c r="P109" s="1957" t="n"/>
      <c r="Q109" s="1231" t="n"/>
      <c r="R109" s="1806" t="n"/>
      <c r="S109" s="1806" t="n"/>
      <c r="T109" s="1806" t="n"/>
      <c r="U109" s="1806" t="n"/>
      <c r="V109" s="1806" t="n"/>
      <c r="W109" s="1806" t="n"/>
      <c r="X109" s="1806" t="n"/>
      <c r="Y109" s="1806" t="n"/>
      <c r="Z109" s="1806" t="n"/>
      <c r="AA109" s="1806" t="n"/>
      <c r="AB109" s="1806" t="n"/>
      <c r="AC109" s="1806" t="n"/>
      <c r="AD109" s="1806" t="n"/>
      <c r="AE109" s="1806" t="n"/>
      <c r="AF109" s="1806" t="n"/>
      <c r="AG109" s="1806" t="n"/>
      <c r="AH109" s="1806" t="n"/>
      <c r="AI109" s="1806" t="n"/>
      <c r="AJ109" s="1806" t="n"/>
      <c r="AK109" s="1806" t="n"/>
      <c r="AL109" s="1806" t="n"/>
      <c r="AM109" s="1806" t="n"/>
    </row>
    <row r="110" ht="54" customFormat="1" customHeight="1" s="1806">
      <c r="A110" s="1326" t="n"/>
      <c r="B110" s="1297" t="n"/>
      <c r="C110" s="1778" t="inlineStr">
        <is>
          <t xml:space="preserve">Fuse/relay height check
AP REGION ONLY </t>
        </is>
      </c>
      <c r="D110" s="1532" t="n"/>
      <c r="E110" s="1367" t="inlineStr">
        <is>
          <t>per EACH fuse/relay position (Include empty position)</t>
        </is>
      </c>
      <c r="F110" s="1367" t="inlineStr">
        <is>
          <t>Start to check</t>
        </is>
      </c>
      <c r="G110" s="1367" t="inlineStr">
        <is>
          <t>Finish check</t>
        </is>
      </c>
      <c r="H110" s="2019" t="n">
        <v>1</v>
      </c>
      <c r="I110" s="1867" t="inlineStr">
        <is>
          <t>pc</t>
        </is>
      </c>
      <c r="J110" s="1933" t="n">
        <v>1</v>
      </c>
      <c r="K110" s="1919">
        <f>+J110*H110</f>
        <v/>
      </c>
      <c r="L110" s="1708" t="n"/>
      <c r="M110" s="1231" t="n"/>
      <c r="N110" s="1344" t="n"/>
      <c r="O110" s="1231" t="n"/>
      <c r="P110" s="1957" t="n"/>
      <c r="Q110" s="1231" t="n"/>
      <c r="R110" s="1806" t="n"/>
      <c r="S110" s="1806" t="n"/>
      <c r="T110" s="1806" t="n"/>
      <c r="U110" s="1806" t="n"/>
      <c r="V110" s="1806" t="n"/>
      <c r="W110" s="1806" t="n"/>
      <c r="X110" s="1806" t="n"/>
      <c r="Y110" s="1806" t="n"/>
      <c r="Z110" s="1806" t="n"/>
      <c r="AA110" s="1806" t="n"/>
      <c r="AB110" s="1806" t="n"/>
      <c r="AC110" s="1806" t="n"/>
      <c r="AD110" s="1806" t="n"/>
      <c r="AE110" s="1806" t="n"/>
      <c r="AF110" s="1806" t="n"/>
      <c r="AG110" s="1806" t="n"/>
      <c r="AH110" s="1806" t="n"/>
      <c r="AI110" s="1806" t="n"/>
      <c r="AJ110" s="1806" t="n"/>
      <c r="AK110" s="1806" t="n"/>
      <c r="AL110" s="1806" t="n"/>
      <c r="AM110" s="1806" t="n"/>
    </row>
    <row r="111" ht="49.5" customFormat="1" customHeight="1" s="1806">
      <c r="A111" s="1329" t="n"/>
      <c r="B111" s="1301" t="n"/>
      <c r="C111" s="1994" t="inlineStr">
        <is>
          <t xml:space="preserve">Remove fuse box from MV test and put on the connection tool </t>
        </is>
      </c>
      <c r="D111" s="1670" t="n"/>
      <c r="E111" s="2020" t="inlineStr">
        <is>
          <t>per fuse box</t>
        </is>
      </c>
      <c r="F111" s="2020" t="inlineStr">
        <is>
          <t>Reach for harness</t>
        </is>
      </c>
      <c r="G111" s="2020" t="inlineStr">
        <is>
          <t xml:space="preserve">Harness on the connection tool </t>
        </is>
      </c>
      <c r="H111" s="2021" t="n">
        <v>6</v>
      </c>
      <c r="I111" s="1694" t="inlineStr">
        <is>
          <t>pc</t>
        </is>
      </c>
      <c r="J111" s="1674" t="n">
        <v>1</v>
      </c>
      <c r="K111" s="1675">
        <f>+J111*H111</f>
        <v/>
      </c>
      <c r="L111" s="1344" t="n"/>
      <c r="M111" s="1231" t="n"/>
      <c r="N111" s="1344" t="n"/>
      <c r="O111" s="1231" t="n"/>
      <c r="P111" s="1957" t="n"/>
      <c r="Q111" s="1231" t="n"/>
      <c r="R111" s="1806" t="n"/>
      <c r="S111" s="1806" t="n"/>
      <c r="T111" s="1806" t="n"/>
      <c r="U111" s="1806" t="n"/>
      <c r="V111" s="1806" t="n"/>
      <c r="W111" s="1806" t="n"/>
      <c r="X111" s="1806" t="n"/>
      <c r="Y111" s="1806" t="n"/>
      <c r="Z111" s="1806" t="n"/>
      <c r="AA111" s="1806" t="n"/>
      <c r="AB111" s="1806" t="n"/>
      <c r="AC111" s="1806" t="n"/>
      <c r="AD111" s="1806" t="n"/>
      <c r="AE111" s="1806" t="n"/>
      <c r="AF111" s="1806" t="n"/>
      <c r="AG111" s="1806" t="n"/>
      <c r="AH111" s="1806" t="n"/>
      <c r="AI111" s="1806" t="n"/>
      <c r="AJ111" s="1806" t="n"/>
      <c r="AK111" s="1806" t="n"/>
      <c r="AL111" s="1806" t="n"/>
      <c r="AM111" s="1806" t="n"/>
    </row>
    <row r="112" ht="93.75" customFormat="1" customHeight="1" s="1806">
      <c r="A112" s="2022" t="inlineStr">
        <is>
          <t xml:space="preserve">Hi-Pot Testing
&amp; Leakage Testing
(SA Region)  
</t>
        </is>
      </c>
      <c r="B112" s="1590" t="n"/>
      <c r="C112" s="2023" t="inlineStr">
        <is>
          <t xml:space="preserve">Hi-Pot Testing
</t>
        </is>
      </c>
      <c r="D112" s="1532" t="n"/>
      <c r="E112" s="2023" t="inlineStr">
        <is>
          <t>Prepare the Braid and position it in the Holder
Close the machine guard and press the test start button
Remove the braid from the holder / equipment</t>
        </is>
      </c>
      <c r="F112" s="2023" t="inlineStr">
        <is>
          <t>Pick up the cable</t>
        </is>
      </c>
      <c r="G112" s="2023" t="inlineStr">
        <is>
          <t>Removed from holder</t>
        </is>
      </c>
      <c r="H112" s="2024" t="n">
        <v>75</v>
      </c>
      <c r="I112" s="2025" t="inlineStr">
        <is>
          <t>pc</t>
        </is>
      </c>
      <c r="J112" s="2026" t="n">
        <v>1</v>
      </c>
      <c r="K112" s="2027">
        <f>+J112*H112</f>
        <v/>
      </c>
      <c r="L112" s="2028" t="n"/>
      <c r="M112" s="1231" t="n"/>
      <c r="N112" s="1344" t="n"/>
      <c r="O112" s="1231" t="n"/>
      <c r="P112" s="1957" t="n"/>
      <c r="Q112" s="1231" t="n"/>
      <c r="R112" s="1806" t="n"/>
      <c r="S112" s="1806" t="n"/>
      <c r="T112" s="1806" t="n"/>
      <c r="U112" s="1806" t="n"/>
      <c r="V112" s="1806" t="n"/>
      <c r="W112" s="1806" t="n"/>
      <c r="X112" s="1806" t="n"/>
      <c r="Y112" s="1806" t="n"/>
      <c r="Z112" s="1806" t="n"/>
      <c r="AA112" s="1806" t="n"/>
      <c r="AB112" s="1806" t="n"/>
      <c r="AC112" s="1806" t="n"/>
      <c r="AD112" s="1806" t="n"/>
      <c r="AE112" s="1806" t="n"/>
      <c r="AF112" s="1806" t="n"/>
      <c r="AG112" s="1806" t="n"/>
      <c r="AH112" s="1806" t="n"/>
      <c r="AI112" s="1806" t="n"/>
      <c r="AJ112" s="1806" t="n"/>
      <c r="AK112" s="1806" t="n"/>
      <c r="AL112" s="1806" t="n"/>
      <c r="AM112" s="1806" t="n"/>
    </row>
    <row r="113" ht="84" customFormat="1" customHeight="1" s="1806">
      <c r="A113" s="1329" t="n"/>
      <c r="B113" s="1301" t="n"/>
      <c r="C113" s="2029" t="inlineStr">
        <is>
          <t>For coaxial cables Testing</t>
        </is>
      </c>
      <c r="D113" s="1670" t="n"/>
      <c r="E113" s="2023" t="inlineStr">
        <is>
          <t>Prepare the Coaxial and position it in the Holder/Equipment
Press the test start button
Remove the coaxial from the holder / equipment</t>
        </is>
      </c>
      <c r="F113" s="2023" t="inlineStr">
        <is>
          <t>Pick up the cable</t>
        </is>
      </c>
      <c r="G113" s="2023" t="inlineStr">
        <is>
          <t>Removed from holder</t>
        </is>
      </c>
      <c r="H113" s="2024" t="n">
        <v>37.5</v>
      </c>
      <c r="I113" s="2025" t="inlineStr">
        <is>
          <t>pc</t>
        </is>
      </c>
      <c r="J113" s="2026" t="n">
        <v>1</v>
      </c>
      <c r="K113" s="2027">
        <f>+J113*H113</f>
        <v/>
      </c>
      <c r="L113" s="2028" t="n"/>
      <c r="M113" s="1231" t="n"/>
      <c r="N113" s="1344" t="n"/>
      <c r="O113" s="1231" t="n"/>
      <c r="P113" s="1957" t="n"/>
      <c r="Q113" s="1231" t="n"/>
      <c r="R113" s="1806" t="n"/>
      <c r="S113" s="1806" t="n"/>
      <c r="T113" s="1806" t="n"/>
      <c r="U113" s="1806" t="n"/>
      <c r="V113" s="1806" t="n"/>
      <c r="W113" s="1806" t="n"/>
      <c r="X113" s="1806" t="n"/>
      <c r="Y113" s="1806" t="n"/>
      <c r="Z113" s="1806" t="n"/>
      <c r="AA113" s="1806" t="n"/>
      <c r="AB113" s="1806" t="n"/>
      <c r="AC113" s="1806" t="n"/>
      <c r="AD113" s="1806" t="n"/>
      <c r="AE113" s="1806" t="n"/>
      <c r="AF113" s="1806" t="n"/>
      <c r="AG113" s="1806" t="n"/>
      <c r="AH113" s="1806" t="n"/>
      <c r="AI113" s="1806" t="n"/>
      <c r="AJ113" s="1806" t="n"/>
      <c r="AK113" s="1806" t="n"/>
      <c r="AL113" s="1806" t="n"/>
      <c r="AM113" s="1806" t="n"/>
    </row>
    <row r="114" ht="63" customFormat="1" customHeight="1" s="1806">
      <c r="A114" s="1858" t="inlineStr">
        <is>
          <t>PACKAGING</t>
        </is>
      </c>
      <c r="B114" s="1590" t="n"/>
      <c r="C114" s="1870" t="inlineStr">
        <is>
          <t>Scan bar code label / manifest / order</t>
        </is>
      </c>
      <c r="D114" s="1610" t="n"/>
      <c r="E114" s="1870" t="inlineStr">
        <is>
          <t>per piece</t>
        </is>
      </c>
      <c r="F114" s="1870" t="inlineStr">
        <is>
          <t>Reach for scanner</t>
        </is>
      </c>
      <c r="G114" s="1870" t="inlineStr">
        <is>
          <t>Release harness/component</t>
        </is>
      </c>
      <c r="H114" s="2006" t="n">
        <v>2.8</v>
      </c>
      <c r="I114" s="1685" t="inlineStr">
        <is>
          <t>pc</t>
        </is>
      </c>
      <c r="J114" s="1916" t="n">
        <v>1</v>
      </c>
      <c r="K114" s="1937">
        <f>+J114*H114</f>
        <v/>
      </c>
      <c r="L114" s="2028" t="n"/>
      <c r="M114" s="1231" t="n"/>
      <c r="N114" s="1344" t="n"/>
      <c r="O114" s="1806" t="n"/>
      <c r="P114" s="1957" t="n"/>
      <c r="Q114" s="1231" t="n"/>
      <c r="R114" s="1806" t="n"/>
      <c r="S114" s="1806" t="n"/>
      <c r="T114" s="1806" t="n"/>
      <c r="U114" s="1806" t="n"/>
      <c r="V114" s="1806" t="n"/>
      <c r="W114" s="1806" t="n"/>
      <c r="X114" s="1806" t="n"/>
      <c r="Y114" s="1806" t="n"/>
      <c r="Z114" s="1806" t="n"/>
      <c r="AA114" s="1806" t="n"/>
      <c r="AB114" s="1806" t="n"/>
      <c r="AC114" s="1806" t="n"/>
      <c r="AD114" s="1806" t="n"/>
      <c r="AE114" s="1806" t="n"/>
      <c r="AF114" s="1806" t="n"/>
      <c r="AG114" s="1806" t="n"/>
      <c r="AH114" s="1806" t="n"/>
      <c r="AI114" s="1806" t="n"/>
      <c r="AJ114" s="1806" t="n"/>
      <c r="AK114" s="1806" t="n"/>
      <c r="AL114" s="1806" t="n"/>
      <c r="AM114" s="1806" t="n"/>
    </row>
    <row r="115" ht="43.5" customFormat="1" customHeight="1" s="1806">
      <c r="B115" s="1297" t="n"/>
      <c r="C115" s="1537" t="inlineStr">
        <is>
          <t>Pack connector / branch in plastic bag</t>
        </is>
      </c>
      <c r="D115" s="1545" t="n"/>
      <c r="E115" s="1537" t="inlineStr">
        <is>
          <t>per bag with tie</t>
        </is>
      </c>
      <c r="F115" s="1537" t="inlineStr">
        <is>
          <t>Reach for plastic bag</t>
        </is>
      </c>
      <c r="G115" s="1537" t="inlineStr">
        <is>
          <t>Release harness</t>
        </is>
      </c>
      <c r="H115" s="2030" t="n">
        <v>10</v>
      </c>
      <c r="I115" s="2031" t="inlineStr">
        <is>
          <t>pc</t>
        </is>
      </c>
      <c r="J115" s="2032" t="n">
        <v>1</v>
      </c>
      <c r="K115" s="1965">
        <f>+J115*H115</f>
        <v/>
      </c>
      <c r="L115" s="2028" t="n"/>
      <c r="M115" s="1231" t="n"/>
      <c r="N115" s="1344" t="n"/>
      <c r="O115" s="1231" t="n"/>
      <c r="P115" s="1957" t="n"/>
      <c r="Q115" s="1231" t="n"/>
      <c r="R115" s="1806" t="n"/>
      <c r="S115" s="1806" t="n"/>
      <c r="T115" s="1806" t="n"/>
      <c r="U115" s="1806" t="n"/>
      <c r="V115" s="1806" t="n"/>
      <c r="W115" s="1806" t="n"/>
      <c r="X115" s="1806" t="n"/>
      <c r="Y115" s="1806" t="n"/>
      <c r="Z115" s="1806" t="n"/>
      <c r="AA115" s="1806" t="n"/>
      <c r="AB115" s="1806" t="n"/>
      <c r="AC115" s="1806" t="n"/>
      <c r="AD115" s="1806" t="n"/>
      <c r="AE115" s="1806" t="n"/>
      <c r="AF115" s="1806" t="n"/>
      <c r="AG115" s="1806" t="n"/>
      <c r="AH115" s="1806" t="n"/>
      <c r="AI115" s="1806" t="n"/>
      <c r="AJ115" s="1806" t="n"/>
      <c r="AK115" s="1806" t="n"/>
      <c r="AL115" s="1806" t="n"/>
      <c r="AM115" s="1806" t="n"/>
    </row>
    <row r="116" ht="37.5" customFormat="1" customHeight="1" s="1806">
      <c r="B116" s="1297" t="n"/>
      <c r="C116" s="1672" t="inlineStr">
        <is>
          <t>coil or hank for packaging and dispose to shipping box</t>
        </is>
      </c>
      <c r="D116" s="1625" t="n"/>
      <c r="E116" s="1561" t="inlineStr">
        <is>
          <t>per mm (branch length)</t>
        </is>
      </c>
      <c r="F116" s="1561" t="inlineStr">
        <is>
          <t>Reach for harness</t>
        </is>
      </c>
      <c r="G116" s="1561" t="inlineStr">
        <is>
          <t>Release harness inside shipping box</t>
        </is>
      </c>
      <c r="H116" s="1931" t="n">
        <v>0.003</v>
      </c>
      <c r="I116" s="1690" t="inlineStr">
        <is>
          <t>mm</t>
        </is>
      </c>
      <c r="J116" s="1900" t="n">
        <v>1</v>
      </c>
      <c r="K116" s="1901">
        <f>+J116*H116</f>
        <v/>
      </c>
      <c r="L116" s="2028" t="n"/>
      <c r="M116" s="1231" t="n"/>
      <c r="N116" s="1344" t="n"/>
      <c r="O116" s="1231" t="n"/>
      <c r="P116" s="1957" t="n"/>
      <c r="Q116" s="1231" t="n"/>
      <c r="R116" s="1806" t="n"/>
      <c r="S116" s="1806" t="n"/>
      <c r="T116" s="1806" t="n"/>
      <c r="U116" s="1806" t="n"/>
      <c r="V116" s="1806" t="n"/>
      <c r="W116" s="1806" t="n"/>
      <c r="X116" s="1806" t="n"/>
      <c r="Y116" s="1806" t="n"/>
      <c r="Z116" s="1806" t="n"/>
      <c r="AA116" s="1806" t="n"/>
      <c r="AB116" s="1806" t="n"/>
      <c r="AC116" s="1806" t="n"/>
      <c r="AD116" s="1806" t="n"/>
      <c r="AE116" s="1806" t="n"/>
      <c r="AF116" s="1806" t="n"/>
      <c r="AG116" s="1806" t="n"/>
      <c r="AH116" s="1806" t="n"/>
      <c r="AI116" s="1806" t="n"/>
      <c r="AJ116" s="1806" t="n"/>
      <c r="AK116" s="1806" t="n"/>
      <c r="AL116" s="1806" t="n"/>
      <c r="AM116" s="1806" t="n"/>
    </row>
    <row r="117" ht="40.5" customFormat="1" customHeight="1" s="1806">
      <c r="B117" s="1297" t="n"/>
      <c r="C117" s="1812" t="n"/>
      <c r="D117" s="1301" t="n"/>
      <c r="E117" s="1672" t="inlineStr">
        <is>
          <t>per connector (includes ring terminals)</t>
        </is>
      </c>
      <c r="F117" s="1672" t="n"/>
      <c r="G117" s="1672" t="n"/>
      <c r="H117" s="1990" t="n">
        <v>2.795</v>
      </c>
      <c r="I117" s="1694" t="inlineStr">
        <is>
          <t>pc</t>
        </is>
      </c>
      <c r="J117" s="1674" t="n">
        <v>1</v>
      </c>
      <c r="K117" s="1675">
        <f>+J117*H117</f>
        <v/>
      </c>
      <c r="L117" s="2028" t="n"/>
      <c r="M117" s="1231" t="n"/>
      <c r="N117" s="1344" t="n"/>
      <c r="O117" s="1231" t="n"/>
      <c r="P117" s="1957" t="n"/>
      <c r="Q117" s="1231" t="n"/>
      <c r="R117" s="1806" t="n"/>
      <c r="S117" s="1806" t="n"/>
      <c r="T117" s="1806" t="n"/>
      <c r="U117" s="1806" t="n"/>
      <c r="V117" s="1806" t="n"/>
      <c r="W117" s="1806" t="n"/>
      <c r="X117" s="1806" t="n"/>
      <c r="Y117" s="1806" t="n"/>
      <c r="Z117" s="1806" t="n"/>
      <c r="AA117" s="1806" t="n"/>
      <c r="AB117" s="1806" t="n"/>
      <c r="AC117" s="1806" t="n"/>
      <c r="AD117" s="1806" t="n"/>
      <c r="AE117" s="1806" t="n"/>
      <c r="AF117" s="1806" t="n"/>
      <c r="AG117" s="1806" t="n"/>
      <c r="AH117" s="1806" t="n"/>
      <c r="AI117" s="1806" t="n"/>
      <c r="AJ117" s="1806" t="n"/>
      <c r="AK117" s="1806" t="n"/>
      <c r="AL117" s="1806" t="n"/>
      <c r="AM117" s="1806" t="n"/>
    </row>
    <row r="118" ht="23.85" customFormat="1" customHeight="1" s="1806">
      <c r="B118" s="1297" t="n"/>
      <c r="C118" s="1698" t="inlineStr">
        <is>
          <t>pack harness in plastic bag</t>
        </is>
      </c>
      <c r="D118" s="1590" t="n"/>
      <c r="E118" s="1537" t="inlineStr">
        <is>
          <t>harness up to 150 wires, per bag</t>
        </is>
      </c>
      <c r="F118" s="1537" t="inlineStr">
        <is>
          <t>Reach for harness</t>
        </is>
      </c>
      <c r="G118" s="1537" t="inlineStr">
        <is>
          <t>Release harness inside plastic bag</t>
        </is>
      </c>
      <c r="H118" s="2033">
        <f>29*0.6</f>
        <v/>
      </c>
      <c r="I118" s="1665" t="inlineStr">
        <is>
          <t>pc</t>
        </is>
      </c>
      <c r="J118" s="2007" t="n"/>
      <c r="K118" s="1965">
        <f>+J118*H118</f>
        <v/>
      </c>
      <c r="L118" s="2028" t="n"/>
      <c r="M118" s="1231" t="n"/>
      <c r="N118" s="1344" t="n"/>
      <c r="O118" s="1231" t="n"/>
      <c r="P118" s="1957" t="n"/>
      <c r="Q118" s="1231" t="n"/>
      <c r="R118" s="1806" t="n"/>
      <c r="S118" s="1806" t="n"/>
      <c r="T118" s="1806" t="n"/>
      <c r="U118" s="1806" t="n"/>
      <c r="V118" s="1806" t="n"/>
      <c r="W118" s="1806" t="n"/>
      <c r="X118" s="1806" t="n"/>
      <c r="Y118" s="1806" t="n"/>
      <c r="Z118" s="1806" t="n"/>
      <c r="AA118" s="1806" t="n"/>
      <c r="AB118" s="1806" t="n"/>
      <c r="AC118" s="1806" t="n"/>
      <c r="AD118" s="1806" t="n"/>
      <c r="AE118" s="1806" t="n"/>
      <c r="AF118" s="1806" t="n"/>
      <c r="AG118" s="1806" t="n"/>
      <c r="AH118" s="1806" t="n"/>
      <c r="AI118" s="1806" t="n"/>
      <c r="AJ118" s="1806" t="n"/>
      <c r="AK118" s="1806" t="n"/>
      <c r="AL118" s="1806" t="n"/>
      <c r="AM118" s="1806" t="n"/>
    </row>
    <row r="119" ht="21" customFormat="1" customHeight="1" s="1806">
      <c r="B119" s="1297" t="n"/>
      <c r="C119" s="1544" t="n"/>
      <c r="D119" s="1545" t="n"/>
      <c r="E119" s="1561" t="inlineStr">
        <is>
          <t>harness &gt;150 wires, per bag</t>
        </is>
      </c>
      <c r="F119" s="1561" t="inlineStr">
        <is>
          <t>Reach for harness</t>
        </is>
      </c>
      <c r="G119" s="1561" t="inlineStr">
        <is>
          <t>Release harness inside plastic bag</t>
        </is>
      </c>
      <c r="H119" s="1918">
        <f>49*0.6</f>
        <v/>
      </c>
      <c r="I119" s="1690" t="inlineStr">
        <is>
          <t>pc</t>
        </is>
      </c>
      <c r="J119" s="2034" t="n"/>
      <c r="K119" s="1901">
        <f>+J119*H119</f>
        <v/>
      </c>
      <c r="L119" s="2028" t="n"/>
      <c r="M119" s="1231" t="n"/>
      <c r="N119" s="1344" t="n"/>
      <c r="O119" s="1231" t="n"/>
      <c r="P119" s="1957" t="n"/>
      <c r="Q119" s="1231" t="n"/>
      <c r="R119" s="1806" t="n"/>
      <c r="S119" s="1806" t="n"/>
      <c r="T119" s="1806" t="n"/>
      <c r="U119" s="1806" t="n"/>
      <c r="V119" s="1806" t="n"/>
      <c r="W119" s="1806" t="n"/>
      <c r="X119" s="1806" t="n"/>
      <c r="Y119" s="1806" t="n"/>
      <c r="Z119" s="1806" t="n"/>
      <c r="AA119" s="1806" t="n"/>
      <c r="AB119" s="1806" t="n"/>
      <c r="AC119" s="1806" t="n"/>
      <c r="AD119" s="1806" t="n"/>
      <c r="AE119" s="1806" t="n"/>
      <c r="AF119" s="1806" t="n"/>
      <c r="AG119" s="1806" t="n"/>
      <c r="AH119" s="1806" t="n"/>
      <c r="AI119" s="1806" t="n"/>
      <c r="AJ119" s="1806" t="n"/>
      <c r="AK119" s="1806" t="n"/>
      <c r="AL119" s="1806" t="n"/>
      <c r="AM119" s="1806" t="n"/>
    </row>
    <row r="120" ht="23.85" customFormat="1" customHeight="1" s="1806">
      <c r="B120" s="1297" t="n"/>
      <c r="C120" s="1672" t="inlineStr">
        <is>
          <t>pack harness in canvas bag</t>
        </is>
      </c>
      <c r="D120" s="1625" t="n"/>
      <c r="E120" s="1561" t="inlineStr">
        <is>
          <t>harness up to 1000 mm, per bag</t>
        </is>
      </c>
      <c r="F120" s="1561" t="inlineStr">
        <is>
          <t>Reach for harness</t>
        </is>
      </c>
      <c r="G120" s="1561" t="inlineStr">
        <is>
          <t>Release harness inside canvas bag</t>
        </is>
      </c>
      <c r="H120" s="1920" t="n">
        <v>54.6</v>
      </c>
      <c r="I120" s="1690" t="inlineStr">
        <is>
          <t>pc</t>
        </is>
      </c>
      <c r="J120" s="1900" t="n">
        <v>1</v>
      </c>
      <c r="K120" s="1901">
        <f>+J120*H120</f>
        <v/>
      </c>
      <c r="L120" s="2028" t="n"/>
      <c r="M120" s="1231" t="n"/>
      <c r="N120" s="1344" t="n"/>
      <c r="O120" s="1231" t="n"/>
      <c r="P120" s="1957" t="n"/>
      <c r="Q120" s="1231" t="n"/>
      <c r="R120" s="1806" t="n"/>
      <c r="S120" s="1806" t="n"/>
      <c r="T120" s="1806" t="n"/>
      <c r="U120" s="1806" t="n"/>
      <c r="V120" s="1806" t="n"/>
      <c r="W120" s="1806" t="n"/>
      <c r="X120" s="1806" t="n"/>
      <c r="Y120" s="1806" t="n"/>
      <c r="Z120" s="1806" t="n"/>
      <c r="AA120" s="1806" t="n"/>
      <c r="AB120" s="1806" t="n"/>
      <c r="AC120" s="1806" t="n"/>
      <c r="AD120" s="1806" t="n"/>
      <c r="AE120" s="1806" t="n"/>
      <c r="AF120" s="1806" t="n"/>
      <c r="AG120" s="1806" t="n"/>
      <c r="AH120" s="1806" t="n"/>
      <c r="AI120" s="1806" t="n"/>
      <c r="AJ120" s="1806" t="n"/>
      <c r="AK120" s="1806" t="n"/>
      <c r="AL120" s="1806" t="n"/>
      <c r="AM120" s="1806" t="n"/>
    </row>
    <row r="121" ht="23.85" customFormat="1" customHeight="1" s="1806">
      <c r="A121" s="1390" t="n"/>
      <c r="B121" s="1301" t="n"/>
      <c r="C121" s="1812" t="n"/>
      <c r="D121" s="1301" t="n"/>
      <c r="E121" s="1672" t="inlineStr">
        <is>
          <t>harness &gt;1600 mm, per bag</t>
        </is>
      </c>
      <c r="F121" s="1672" t="inlineStr">
        <is>
          <t>Reach for harness</t>
        </is>
      </c>
      <c r="G121" s="1672" t="inlineStr">
        <is>
          <t>Release harness inside canvas bag</t>
        </is>
      </c>
      <c r="H121" s="1990" t="n">
        <v>153.6</v>
      </c>
      <c r="I121" s="1694" t="inlineStr">
        <is>
          <t>pc</t>
        </is>
      </c>
      <c r="J121" s="1674" t="n">
        <v>1</v>
      </c>
      <c r="K121" s="1675">
        <f>+J121*H121</f>
        <v/>
      </c>
      <c r="L121" s="2028" t="n"/>
      <c r="M121" s="1231" t="n"/>
      <c r="N121" s="1344" t="n"/>
      <c r="O121" s="1231" t="n"/>
      <c r="P121" s="1957" t="n"/>
      <c r="Q121" s="1806" t="n"/>
      <c r="R121" s="1806" t="n"/>
      <c r="S121" s="1806" t="n"/>
      <c r="T121" s="1806" t="n"/>
      <c r="U121" s="1806" t="n"/>
      <c r="V121" s="1806" t="n"/>
      <c r="W121" s="1806" t="n"/>
      <c r="X121" s="1806" t="n"/>
      <c r="Y121" s="1806" t="n"/>
      <c r="Z121" s="1806" t="n"/>
      <c r="AA121" s="1806" t="n"/>
      <c r="AB121" s="1806" t="n"/>
      <c r="AC121" s="1806" t="n"/>
      <c r="AD121" s="1806" t="n"/>
      <c r="AE121" s="1806" t="n"/>
      <c r="AF121" s="1806" t="n"/>
      <c r="AG121" s="1806" t="n"/>
      <c r="AH121" s="1806" t="n"/>
      <c r="AI121" s="1806" t="n"/>
      <c r="AJ121" s="1806" t="n"/>
      <c r="AK121" s="1806" t="n"/>
      <c r="AL121" s="1806" t="n"/>
      <c r="AM121" s="1806" t="n"/>
    </row>
    <row r="122" ht="49.5" customFormat="1" customHeight="1" s="1806">
      <c r="A122" s="2035" t="inlineStr">
        <is>
          <t>Containment</t>
        </is>
      </c>
      <c r="B122" s="1590" t="n"/>
      <c r="C122" s="1994" t="inlineStr">
        <is>
          <t>containment if requested by Customer entire life of the product
To be used also in NA Region  for:
dimensional harness measure when customer requires it (with clips tables)</t>
        </is>
      </c>
      <c r="D122" s="1625" t="n"/>
      <c r="E122" s="1778" t="inlineStr">
        <is>
          <t>per mm (branch length)</t>
        </is>
      </c>
      <c r="F122" s="1778" t="inlineStr">
        <is>
          <t>Reach for harness</t>
        </is>
      </c>
      <c r="G122" s="1778" t="inlineStr">
        <is>
          <t>Release harness inside shipping box</t>
        </is>
      </c>
      <c r="H122" s="1932" t="n">
        <v>0.003</v>
      </c>
      <c r="I122" s="1690" t="inlineStr">
        <is>
          <t>mm</t>
        </is>
      </c>
      <c r="J122" s="1900" t="n">
        <v>1</v>
      </c>
      <c r="K122" s="1901">
        <f>+J122*H122</f>
        <v/>
      </c>
      <c r="L122" s="2028" t="n"/>
      <c r="M122" s="1231" t="n"/>
      <c r="N122" s="1344" t="n"/>
      <c r="O122" s="1231" t="n"/>
      <c r="P122" s="1957" t="n"/>
      <c r="Q122" s="1806" t="n"/>
      <c r="R122" s="1806" t="n"/>
      <c r="S122" s="1806" t="n"/>
      <c r="T122" s="1806" t="n"/>
      <c r="U122" s="1806" t="n"/>
      <c r="V122" s="1806" t="n"/>
      <c r="W122" s="1806" t="n"/>
      <c r="X122" s="1806" t="n"/>
      <c r="Y122" s="1806" t="n"/>
      <c r="Z122" s="1806" t="n"/>
      <c r="AA122" s="1806" t="n"/>
      <c r="AB122" s="1806" t="n"/>
      <c r="AC122" s="1806" t="n"/>
      <c r="AD122" s="1806" t="n"/>
      <c r="AE122" s="1806" t="n"/>
      <c r="AF122" s="1806" t="n"/>
      <c r="AG122" s="1806" t="n"/>
      <c r="AH122" s="1806" t="n"/>
      <c r="AI122" s="1806" t="n"/>
      <c r="AJ122" s="1806" t="n"/>
      <c r="AK122" s="1806" t="n"/>
      <c r="AL122" s="1806" t="n"/>
      <c r="AM122" s="1806" t="n"/>
    </row>
    <row r="123" ht="70.5" customFormat="1" customHeight="1" s="1806">
      <c r="A123" s="1390" t="n"/>
      <c r="B123" s="1301" t="n"/>
      <c r="C123" s="1812" t="n"/>
      <c r="D123" s="1301" t="n"/>
      <c r="E123" s="1994" t="inlineStr">
        <is>
          <t>per connector (includes ring terminals)</t>
        </is>
      </c>
      <c r="F123" s="1994" t="n"/>
      <c r="G123" s="1994" t="n"/>
      <c r="H123" s="2021" t="n">
        <v>2.795</v>
      </c>
      <c r="I123" s="1694" t="inlineStr">
        <is>
          <t>pc</t>
        </is>
      </c>
      <c r="J123" s="1674" t="n">
        <v>1</v>
      </c>
      <c r="K123" s="1675">
        <f>+J123*H123</f>
        <v/>
      </c>
      <c r="L123" s="2028" t="n"/>
      <c r="M123" s="1231" t="n"/>
      <c r="N123" s="1344" t="n"/>
      <c r="O123" s="1231" t="n"/>
      <c r="P123" s="1957" t="n"/>
      <c r="Q123" s="1806" t="n"/>
      <c r="R123" s="1806" t="n"/>
      <c r="S123" s="1806" t="n"/>
      <c r="T123" s="1806" t="n"/>
      <c r="U123" s="1806" t="n"/>
      <c r="V123" s="1806" t="n"/>
      <c r="W123" s="1806" t="n"/>
      <c r="X123" s="1806" t="n"/>
      <c r="Y123" s="1806" t="n"/>
      <c r="Z123" s="1806" t="n"/>
      <c r="AA123" s="1806" t="n"/>
      <c r="AB123" s="1806" t="n"/>
      <c r="AC123" s="1806" t="n"/>
      <c r="AD123" s="1806" t="n"/>
      <c r="AE123" s="1806" t="n"/>
      <c r="AF123" s="1806" t="n"/>
      <c r="AG123" s="1806" t="n"/>
      <c r="AH123" s="1806" t="n"/>
      <c r="AI123" s="1806" t="n"/>
      <c r="AJ123" s="1806" t="n"/>
      <c r="AK123" s="1806" t="n"/>
      <c r="AL123" s="1806" t="n"/>
      <c r="AM123" s="1806" t="n"/>
    </row>
    <row r="124" ht="15" customFormat="1" customHeight="1" s="1806">
      <c r="A124" s="2036" t="inlineStr">
        <is>
          <t>WHITE LINE for MQB 05C_972_627 - measured time</t>
        </is>
      </c>
      <c r="B124" s="2037" t="n"/>
      <c r="C124" s="2038" t="n"/>
      <c r="D124" s="2038" t="n"/>
      <c r="E124" s="2038" t="n"/>
      <c r="F124" s="2037" t="inlineStr">
        <is>
          <t>Specific Audi MQB</t>
        </is>
      </c>
      <c r="G124" s="2038" t="n"/>
      <c r="H124" s="2039" t="n">
        <v>2.0919918</v>
      </c>
      <c r="I124" s="2040" t="inlineStr">
        <is>
          <t>pc</t>
        </is>
      </c>
      <c r="J124" s="2041" t="n">
        <v>1</v>
      </c>
      <c r="K124" s="2042">
        <f>+J124*H124</f>
        <v/>
      </c>
      <c r="L124" s="1344" t="n"/>
      <c r="M124" s="1231" t="n"/>
      <c r="N124" s="1344" t="n"/>
      <c r="O124" s="1231" t="n"/>
      <c r="P124" s="1132" t="n"/>
      <c r="Q124" s="1132" t="n"/>
      <c r="R124" s="1132" t="n"/>
      <c r="S124" s="1132" t="n"/>
      <c r="T124" s="1132" t="n"/>
      <c r="U124" s="1132" t="n"/>
      <c r="V124" s="1132" t="n"/>
      <c r="W124" s="1132" t="n"/>
      <c r="X124" s="1132" t="n"/>
      <c r="Y124" s="1132" t="n"/>
      <c r="Z124" s="1132" t="n"/>
      <c r="AA124" s="1132" t="n"/>
      <c r="AB124" s="1132" t="n"/>
      <c r="AC124" s="1132" t="n"/>
      <c r="AD124" s="1132" t="n"/>
      <c r="AE124" s="1132" t="n"/>
      <c r="AF124" s="1132" t="n"/>
      <c r="AG124" s="1132" t="n"/>
      <c r="AH124" s="1132" t="n"/>
      <c r="AI124" s="1132" t="n"/>
      <c r="AJ124" s="1132" t="n"/>
      <c r="AK124" s="1132" t="n"/>
      <c r="AL124" s="1132" t="n"/>
      <c r="AM124" s="1132" t="n"/>
    </row>
    <row r="125" ht="23.85" customFormat="1" customHeight="1" s="1806">
      <c r="A125" s="2043" t="inlineStr">
        <is>
          <t>INSERTION &amp; TEST PLUG SEAL - STEP1 - CHOOSE THE MASK AND PUT ON CONNECTOR - measured time from  Hmili, Mejdi 28 Ian 2019 TN</t>
        </is>
      </c>
      <c r="B125" s="2044" t="n"/>
      <c r="C125" s="2044" t="n"/>
      <c r="D125" s="2044" t="n"/>
      <c r="E125" s="2045" t="n"/>
      <c r="F125" s="2046" t="inlineStr">
        <is>
          <t>Specific Opel E2XX</t>
        </is>
      </c>
      <c r="G125" s="2047" t="n"/>
      <c r="H125" s="2048" t="n">
        <v>4</v>
      </c>
      <c r="I125" s="2049" t="inlineStr">
        <is>
          <t>pc</t>
        </is>
      </c>
      <c r="J125" s="2050" t="n">
        <v>1</v>
      </c>
      <c r="K125" s="2051">
        <f>+J125*H125</f>
        <v/>
      </c>
      <c r="L125" s="1344" t="n"/>
      <c r="M125" s="1231" t="n"/>
      <c r="N125" s="1344" t="n"/>
      <c r="O125" s="1231" t="n"/>
      <c r="P125" s="1132" t="n"/>
      <c r="Q125" s="1132" t="n"/>
      <c r="R125" s="1132" t="n"/>
      <c r="S125" s="1132" t="n"/>
      <c r="T125" s="1132" t="n"/>
      <c r="U125" s="1132" t="n"/>
      <c r="V125" s="1132" t="n"/>
      <c r="W125" s="1132" t="n"/>
      <c r="X125" s="1132" t="n"/>
      <c r="Y125" s="1132" t="n"/>
      <c r="Z125" s="1132" t="n"/>
      <c r="AA125" s="1132" t="n"/>
      <c r="AB125" s="1132" t="n"/>
      <c r="AC125" s="1132" t="n"/>
      <c r="AD125" s="1132" t="n"/>
      <c r="AE125" s="1132" t="n"/>
      <c r="AF125" s="1132" t="n"/>
      <c r="AG125" s="1132" t="n"/>
      <c r="AH125" s="1132" t="n"/>
      <c r="AI125" s="1132" t="n"/>
      <c r="AJ125" s="1132" t="n"/>
      <c r="AK125" s="1132" t="n"/>
      <c r="AL125" s="1132" t="n"/>
      <c r="AM125" s="1132" t="n"/>
    </row>
    <row r="126" ht="23.85" customFormat="1" customHeight="1" s="1806">
      <c r="A126" s="2043" t="inlineStr">
        <is>
          <t>INSERTION &amp; TEST PLUG SEAL - TAKE TOOL AND CUT PLUG SEAL - measured time from  Hmili, Mejdi 28 Ian 2019 TN</t>
        </is>
      </c>
      <c r="B126" s="2044" t="n"/>
      <c r="C126" s="2044" t="n"/>
      <c r="D126" s="2044" t="n"/>
      <c r="E126" s="2045" t="n"/>
      <c r="F126" s="2046" t="inlineStr">
        <is>
          <t>Specific Opel E2XX</t>
        </is>
      </c>
      <c r="G126" s="2047" t="n"/>
      <c r="H126" s="2048" t="n">
        <v>3</v>
      </c>
      <c r="I126" s="2049" t="inlineStr">
        <is>
          <t>pc</t>
        </is>
      </c>
      <c r="J126" s="2050" t="n">
        <v>1</v>
      </c>
      <c r="K126" s="2051">
        <f>+J126*H126</f>
        <v/>
      </c>
      <c r="L126" s="1344" t="n"/>
      <c r="M126" s="1231" t="n"/>
      <c r="N126" s="1344" t="n"/>
      <c r="O126" s="1231" t="n"/>
      <c r="P126" s="1132" t="n"/>
      <c r="Q126" s="1132" t="n"/>
      <c r="R126" s="1132" t="n"/>
      <c r="S126" s="1132" t="n"/>
      <c r="T126" s="1132" t="n"/>
      <c r="U126" s="1132" t="n"/>
      <c r="V126" s="1132" t="n"/>
      <c r="W126" s="1132" t="n"/>
      <c r="X126" s="1132" t="n"/>
      <c r="Y126" s="1132" t="n"/>
      <c r="Z126" s="1132" t="n"/>
      <c r="AA126" s="1132" t="n"/>
      <c r="AB126" s="1132" t="n"/>
      <c r="AC126" s="1132" t="n"/>
      <c r="AD126" s="1132" t="n"/>
      <c r="AE126" s="1132" t="n"/>
      <c r="AF126" s="1132" t="n"/>
      <c r="AG126" s="1132" t="n"/>
      <c r="AH126" s="1132" t="n"/>
      <c r="AI126" s="1132" t="n"/>
      <c r="AJ126" s="1132" t="n"/>
      <c r="AK126" s="1132" t="n"/>
      <c r="AL126" s="1132" t="n"/>
      <c r="AM126" s="1132" t="n"/>
    </row>
    <row r="127" ht="23.85" customFormat="1" customHeight="1" s="1806">
      <c r="A127" s="2043" t="inlineStr">
        <is>
          <t>INSERTION &amp; TEST PLUG SEAL - TAKE TOOL AND CUT PLUG SEAL - measured time from  Hmili, Mejdi 28 Ian 2019 TN</t>
        </is>
      </c>
      <c r="B127" s="2044" t="n"/>
      <c r="C127" s="2044" t="n"/>
      <c r="D127" s="2044" t="n"/>
      <c r="E127" s="2045" t="n"/>
      <c r="F127" s="2046" t="inlineStr">
        <is>
          <t>Specific Opel E2XX</t>
        </is>
      </c>
      <c r="G127" s="2047" t="n"/>
      <c r="H127" s="2048" t="n">
        <v>3</v>
      </c>
      <c r="I127" s="2049" t="inlineStr">
        <is>
          <t>pc</t>
        </is>
      </c>
      <c r="J127" s="2050" t="n">
        <v>1</v>
      </c>
      <c r="K127" s="2051">
        <f>+J127*H127</f>
        <v/>
      </c>
      <c r="L127" s="1344" t="n"/>
      <c r="M127" s="1231" t="n"/>
      <c r="N127" s="1344" t="n"/>
      <c r="O127" s="1231" t="n"/>
      <c r="P127" s="1132" t="n"/>
      <c r="Q127" s="1132" t="n"/>
      <c r="R127" s="1132" t="n"/>
      <c r="S127" s="1132" t="n"/>
      <c r="T127" s="1132" t="n"/>
      <c r="U127" s="1132" t="n"/>
      <c r="V127" s="1132" t="n"/>
      <c r="W127" s="1132" t="n"/>
      <c r="X127" s="1132" t="n"/>
      <c r="Y127" s="1132" t="n"/>
      <c r="Z127" s="1132" t="n"/>
      <c r="AA127" s="1132" t="n"/>
      <c r="AB127" s="1132" t="n"/>
      <c r="AC127" s="1132" t="n"/>
      <c r="AD127" s="1132" t="n"/>
      <c r="AE127" s="1132" t="n"/>
      <c r="AF127" s="1132" t="n"/>
      <c r="AG127" s="1132" t="n"/>
      <c r="AH127" s="1132" t="n"/>
      <c r="AI127" s="1132" t="n"/>
      <c r="AJ127" s="1132" t="n"/>
      <c r="AK127" s="1132" t="n"/>
      <c r="AL127" s="1132" t="n"/>
      <c r="AM127" s="1132" t="n"/>
    </row>
    <row r="128" ht="15" customFormat="1" customHeight="1" s="1806">
      <c r="A128" s="2043" t="inlineStr">
        <is>
          <t>Marriage drawing Mega / IP / doors</t>
        </is>
      </c>
      <c r="B128" s="2044" t="n"/>
      <c r="C128" s="2044" t="n"/>
      <c r="D128" s="2044" t="n"/>
      <c r="E128" s="2045" t="n"/>
      <c r="F128" s="2046" t="inlineStr">
        <is>
          <t>Specific JLR L550 &amp; L551</t>
        </is>
      </c>
      <c r="G128" s="2047" t="n"/>
      <c r="H128" s="2048">
        <f>21.51*60</f>
        <v/>
      </c>
      <c r="I128" s="2049" t="inlineStr">
        <is>
          <t>pc</t>
        </is>
      </c>
      <c r="J128" s="2052" t="n"/>
      <c r="K128" s="2051">
        <f>+J128*H128</f>
        <v/>
      </c>
      <c r="L128" s="1344" t="n"/>
      <c r="M128" s="1231" t="n"/>
      <c r="N128" s="1344" t="n"/>
      <c r="O128" s="1231" t="n"/>
      <c r="P128" s="1132" t="n"/>
      <c r="Q128" s="1132" t="n"/>
      <c r="R128" s="1132" t="n"/>
      <c r="S128" s="1132" t="n"/>
      <c r="T128" s="1132" t="n"/>
      <c r="U128" s="1132" t="n"/>
      <c r="V128" s="1132" t="n"/>
      <c r="W128" s="1132" t="n"/>
      <c r="X128" s="1132" t="n"/>
      <c r="Y128" s="1132" t="n"/>
      <c r="Z128" s="1132" t="n"/>
      <c r="AA128" s="1132" t="n"/>
      <c r="AB128" s="1132" t="n"/>
      <c r="AC128" s="1132" t="n"/>
      <c r="AD128" s="1132" t="n"/>
      <c r="AE128" s="1132" t="n"/>
      <c r="AF128" s="1132" t="n"/>
      <c r="AG128" s="1132" t="n"/>
      <c r="AH128" s="1132" t="n"/>
      <c r="AI128" s="1132" t="n"/>
      <c r="AJ128" s="1132" t="n"/>
      <c r="AK128" s="1132" t="n"/>
      <c r="AL128" s="1132" t="n"/>
      <c r="AM128" s="1132" t="n"/>
    </row>
    <row r="129" ht="15" customFormat="1" customHeight="1" s="1806">
      <c r="I129" s="1132" t="n"/>
      <c r="J129" s="2053" t="n"/>
      <c r="K129" s="2053" t="n"/>
      <c r="L129" s="1344" t="n"/>
      <c r="M129" s="1231" t="n"/>
      <c r="N129" s="1344" t="n"/>
      <c r="O129" s="1231" t="n"/>
      <c r="P129" s="1132" t="n"/>
      <c r="Q129" s="1132" t="n"/>
      <c r="R129" s="1132" t="n"/>
      <c r="S129" s="1132" t="n"/>
      <c r="T129" s="1132" t="n"/>
      <c r="U129" s="1132" t="n"/>
      <c r="V129" s="1132" t="n"/>
      <c r="W129" s="1132" t="n"/>
      <c r="X129" s="1132" t="n"/>
      <c r="Y129" s="1132" t="n"/>
      <c r="Z129" s="1132" t="n"/>
      <c r="AA129" s="1132" t="n"/>
      <c r="AB129" s="1132" t="n"/>
      <c r="AC129" s="1132" t="n"/>
      <c r="AD129" s="1132" t="n"/>
      <c r="AE129" s="1132" t="n"/>
      <c r="AF129" s="1132" t="n"/>
      <c r="AG129" s="1132" t="n"/>
      <c r="AH129" s="1132" t="n"/>
      <c r="AI129" s="1132" t="n"/>
      <c r="AJ129" s="1132" t="n"/>
      <c r="AK129" s="1132" t="n"/>
      <c r="AL129" s="1132" t="n"/>
      <c r="AM129" s="1132" t="n"/>
    </row>
    <row r="130" ht="15" customFormat="1" customHeight="1" s="1806">
      <c r="I130" s="1132" t="n"/>
      <c r="J130" s="2053" t="n"/>
      <c r="K130" s="2053" t="n"/>
      <c r="L130" s="1344" t="n"/>
      <c r="M130" s="1132" t="n"/>
      <c r="N130" s="1344" t="n"/>
      <c r="O130" s="1231" t="n"/>
      <c r="P130" s="1132" t="n"/>
      <c r="Q130" s="1132" t="n"/>
      <c r="R130" s="1132" t="n"/>
      <c r="S130" s="1132" t="n"/>
      <c r="T130" s="1132" t="n"/>
      <c r="U130" s="1132" t="n"/>
      <c r="V130" s="1132" t="n"/>
      <c r="W130" s="1132" t="n"/>
      <c r="X130" s="1132" t="n"/>
      <c r="Y130" s="1132" t="n"/>
      <c r="Z130" s="1132" t="n"/>
      <c r="AA130" s="1132" t="n"/>
      <c r="AB130" s="1132" t="n"/>
      <c r="AC130" s="1132" t="n"/>
      <c r="AD130" s="1132" t="n"/>
      <c r="AE130" s="1132" t="n"/>
      <c r="AF130" s="1132" t="n"/>
      <c r="AG130" s="1132" t="n"/>
      <c r="AH130" s="1132" t="n"/>
      <c r="AI130" s="1132" t="n"/>
      <c r="AJ130" s="1132" t="n"/>
      <c r="AK130" s="1132" t="n"/>
      <c r="AL130" s="1132" t="n"/>
      <c r="AM130" s="1132" t="n"/>
    </row>
    <row r="131" ht="15" customFormat="1" customHeight="1" s="1806">
      <c r="I131" s="1132" t="n"/>
      <c r="J131" s="2053" t="n"/>
      <c r="K131" s="2053" t="n"/>
      <c r="L131" s="1344" t="n"/>
      <c r="M131" s="1132" t="n"/>
      <c r="N131" s="1344" t="n"/>
      <c r="O131" s="1231" t="n"/>
      <c r="P131" s="1132" t="n"/>
      <c r="Q131" s="1132" t="n"/>
      <c r="R131" s="1132" t="n"/>
      <c r="S131" s="1132" t="n"/>
      <c r="T131" s="1132" t="n"/>
      <c r="U131" s="1132" t="n"/>
      <c r="V131" s="1132" t="n"/>
      <c r="W131" s="1132" t="n"/>
      <c r="X131" s="1132" t="n"/>
      <c r="Y131" s="1132" t="n"/>
      <c r="Z131" s="1132" t="n"/>
      <c r="AA131" s="1132" t="n"/>
      <c r="AB131" s="1132" t="n"/>
      <c r="AC131" s="1132" t="n"/>
      <c r="AD131" s="1132" t="n"/>
      <c r="AE131" s="1132" t="n"/>
      <c r="AF131" s="1132" t="n"/>
      <c r="AG131" s="1132" t="n"/>
      <c r="AH131" s="1132" t="n"/>
      <c r="AI131" s="1132" t="n"/>
      <c r="AJ131" s="1132" t="n"/>
      <c r="AK131" s="1132" t="n"/>
      <c r="AL131" s="1132" t="n"/>
      <c r="AM131" s="1132" t="n"/>
    </row>
    <row r="132" ht="15" customFormat="1" customHeight="1" s="1806">
      <c r="I132" s="1132" t="n"/>
      <c r="J132" s="2053" t="n"/>
      <c r="K132" s="2053" t="n"/>
      <c r="L132" s="1344" t="n"/>
      <c r="M132" s="1132" t="n"/>
      <c r="N132" s="1344" t="n"/>
      <c r="O132" s="1231" t="n"/>
      <c r="P132" s="1132" t="n"/>
      <c r="Q132" s="1132" t="n"/>
      <c r="R132" s="1132" t="n"/>
      <c r="S132" s="1132" t="n"/>
      <c r="T132" s="1132" t="n"/>
      <c r="U132" s="1132" t="n"/>
      <c r="V132" s="1132" t="n"/>
      <c r="W132" s="1132" t="n"/>
      <c r="X132" s="1132" t="n"/>
      <c r="Y132" s="1132" t="n"/>
      <c r="Z132" s="1132" t="n"/>
      <c r="AA132" s="1132" t="n"/>
      <c r="AB132" s="1132" t="n"/>
      <c r="AC132" s="1132" t="n"/>
      <c r="AD132" s="1132" t="n"/>
      <c r="AE132" s="1132" t="n"/>
      <c r="AF132" s="1132" t="n"/>
      <c r="AG132" s="1132" t="n"/>
      <c r="AH132" s="1132" t="n"/>
      <c r="AI132" s="1132" t="n"/>
      <c r="AJ132" s="1132" t="n"/>
      <c r="AK132" s="1132" t="n"/>
      <c r="AL132" s="1132" t="n"/>
      <c r="AM132" s="1132" t="n"/>
    </row>
    <row r="133" ht="15" customFormat="1" customHeight="1" s="1806">
      <c r="I133" s="1132" t="n"/>
      <c r="J133" s="2053" t="n"/>
      <c r="K133" s="2053" t="n"/>
      <c r="L133" s="1344" t="n"/>
      <c r="M133" s="1132" t="n"/>
      <c r="N133" s="1344" t="n"/>
      <c r="O133" s="1231" t="n"/>
      <c r="P133" s="1132" t="n"/>
      <c r="Q133" s="1132" t="n"/>
      <c r="R133" s="1132" t="n"/>
      <c r="S133" s="1132" t="n"/>
      <c r="T133" s="1132" t="n"/>
      <c r="U133" s="1132" t="n"/>
      <c r="V133" s="1132" t="n"/>
      <c r="W133" s="1132" t="n"/>
      <c r="X133" s="1132" t="n"/>
      <c r="Y133" s="1132" t="n"/>
      <c r="Z133" s="1132" t="n"/>
      <c r="AA133" s="1132" t="n"/>
      <c r="AB133" s="1132" t="n"/>
      <c r="AC133" s="1132" t="n"/>
      <c r="AD133" s="1132" t="n"/>
      <c r="AE133" s="1132" t="n"/>
      <c r="AF133" s="1132" t="n"/>
      <c r="AG133" s="1132" t="n"/>
      <c r="AH133" s="1132" t="n"/>
      <c r="AI133" s="1132" t="n"/>
      <c r="AJ133" s="1132" t="n"/>
      <c r="AK133" s="1132" t="n"/>
      <c r="AL133" s="1132" t="n"/>
      <c r="AM133" s="1132" t="n"/>
    </row>
    <row r="134" ht="15" customFormat="1" customHeight="1" s="1806">
      <c r="I134" s="1132" t="n"/>
      <c r="J134" s="2053" t="n"/>
      <c r="K134" s="2053" t="n"/>
      <c r="L134" s="1344" t="n"/>
      <c r="M134" s="1132" t="n"/>
      <c r="N134" s="1344" t="n"/>
      <c r="O134" s="1231" t="n"/>
      <c r="P134" s="1132" t="n"/>
      <c r="Q134" s="1132" t="n"/>
      <c r="R134" s="1132" t="n"/>
      <c r="S134" s="1132" t="n"/>
      <c r="T134" s="1132" t="n"/>
      <c r="U134" s="1132" t="n"/>
      <c r="V134" s="1132" t="n"/>
      <c r="W134" s="1132" t="n"/>
      <c r="X134" s="1132" t="n"/>
      <c r="Y134" s="1132" t="n"/>
      <c r="Z134" s="1132" t="n"/>
      <c r="AA134" s="1132" t="n"/>
      <c r="AB134" s="1132" t="n"/>
      <c r="AC134" s="1132" t="n"/>
      <c r="AD134" s="1132" t="n"/>
      <c r="AE134" s="1132" t="n"/>
      <c r="AF134" s="1132" t="n"/>
      <c r="AG134" s="1132" t="n"/>
      <c r="AH134" s="1132" t="n"/>
      <c r="AI134" s="1132" t="n"/>
      <c r="AJ134" s="1132" t="n"/>
      <c r="AK134" s="1132" t="n"/>
      <c r="AL134" s="1132" t="n"/>
      <c r="AM134" s="1132" t="n"/>
    </row>
    <row r="135" ht="15" customFormat="1" customHeight="1" s="1806">
      <c r="I135" s="1132" t="n"/>
      <c r="J135" s="2053" t="n"/>
      <c r="K135" s="2053" t="n"/>
      <c r="L135" s="1344" t="n"/>
      <c r="M135" s="1132" t="n"/>
      <c r="N135" s="1344" t="n"/>
      <c r="O135" s="1231" t="n"/>
      <c r="P135" s="1132" t="n"/>
      <c r="Q135" s="1132" t="n"/>
      <c r="R135" s="1132" t="n"/>
      <c r="S135" s="1132" t="n"/>
      <c r="T135" s="1132" t="n"/>
      <c r="U135" s="1132" t="n"/>
      <c r="V135" s="1132" t="n"/>
      <c r="W135" s="1132" t="n"/>
      <c r="X135" s="1132" t="n"/>
      <c r="Y135" s="1132" t="n"/>
      <c r="Z135" s="1132" t="n"/>
      <c r="AA135" s="1132" t="n"/>
      <c r="AB135" s="1132" t="n"/>
      <c r="AC135" s="1132" t="n"/>
      <c r="AD135" s="1132" t="n"/>
      <c r="AE135" s="1132" t="n"/>
      <c r="AF135" s="1132" t="n"/>
      <c r="AG135" s="1132" t="n"/>
      <c r="AH135" s="1132" t="n"/>
      <c r="AI135" s="1132" t="n"/>
      <c r="AJ135" s="1132" t="n"/>
      <c r="AK135" s="1132" t="n"/>
      <c r="AL135" s="1132" t="n"/>
      <c r="AM135" s="1132" t="n"/>
    </row>
    <row r="136" ht="15" customFormat="1" customHeight="1" s="1806">
      <c r="I136" s="1132" t="n"/>
      <c r="J136" s="2053" t="n"/>
      <c r="K136" s="2053" t="n"/>
      <c r="L136" s="1344" t="n"/>
      <c r="M136" s="1132" t="n"/>
      <c r="N136" s="1344" t="n"/>
      <c r="O136" s="1231" t="n"/>
      <c r="P136" s="1132" t="n"/>
      <c r="Q136" s="1132" t="n"/>
      <c r="R136" s="1132" t="n"/>
      <c r="S136" s="1132" t="n"/>
      <c r="T136" s="1132" t="n"/>
      <c r="U136" s="1132" t="n"/>
      <c r="V136" s="1132" t="n"/>
      <c r="W136" s="1132" t="n"/>
      <c r="X136" s="1132" t="n"/>
      <c r="Y136" s="1132" t="n"/>
      <c r="Z136" s="1132" t="n"/>
      <c r="AA136" s="1132" t="n"/>
      <c r="AB136" s="1132" t="n"/>
      <c r="AC136" s="1132" t="n"/>
      <c r="AD136" s="1132" t="n"/>
      <c r="AE136" s="1132" t="n"/>
      <c r="AF136" s="1132" t="n"/>
      <c r="AG136" s="1132" t="n"/>
      <c r="AH136" s="1132" t="n"/>
      <c r="AI136" s="1132" t="n"/>
      <c r="AJ136" s="1132" t="n"/>
      <c r="AK136" s="1132" t="n"/>
      <c r="AL136" s="1132" t="n"/>
      <c r="AM136" s="1132" t="n"/>
    </row>
    <row r="137" ht="15" customFormat="1" customHeight="1" s="1806">
      <c r="I137" s="1132" t="n"/>
      <c r="J137" s="2053" t="n"/>
      <c r="K137" s="2053" t="n"/>
      <c r="L137" s="1344" t="n"/>
      <c r="M137" s="1132" t="n"/>
      <c r="N137" s="1344" t="n"/>
      <c r="O137" s="1231" t="n"/>
      <c r="P137" s="1132" t="n"/>
      <c r="Q137" s="1132" t="n"/>
      <c r="R137" s="1132" t="n"/>
      <c r="S137" s="1132" t="n"/>
      <c r="T137" s="1132" t="n"/>
      <c r="U137" s="1132" t="n"/>
      <c r="V137" s="1132" t="n"/>
      <c r="W137" s="1132" t="n"/>
      <c r="X137" s="1132" t="n"/>
      <c r="Y137" s="1132" t="n"/>
      <c r="Z137" s="1132" t="n"/>
      <c r="AA137" s="1132" t="n"/>
      <c r="AB137" s="1132" t="n"/>
      <c r="AC137" s="1132" t="n"/>
      <c r="AD137" s="1132" t="n"/>
      <c r="AE137" s="1132" t="n"/>
      <c r="AF137" s="1132" t="n"/>
      <c r="AG137" s="1132" t="n"/>
      <c r="AH137" s="1132" t="n"/>
      <c r="AI137" s="1132" t="n"/>
      <c r="AJ137" s="1132" t="n"/>
      <c r="AK137" s="1132" t="n"/>
      <c r="AL137" s="1132" t="n"/>
      <c r="AM137" s="1132" t="n"/>
    </row>
    <row r="138" ht="15" customFormat="1" customHeight="1" s="1806">
      <c r="I138" s="1132" t="n"/>
      <c r="J138" s="2053" t="n"/>
      <c r="K138" s="2053" t="n"/>
      <c r="L138" s="1344" t="n"/>
      <c r="M138" s="1132" t="n"/>
      <c r="N138" s="1344" t="n"/>
      <c r="O138" s="1231" t="n"/>
      <c r="P138" s="1132" t="n"/>
      <c r="Q138" s="1132" t="n"/>
      <c r="R138" s="1132" t="n"/>
      <c r="S138" s="1132" t="n"/>
      <c r="T138" s="1132" t="n"/>
      <c r="U138" s="1132" t="n"/>
      <c r="V138" s="1132" t="n"/>
      <c r="W138" s="1132" t="n"/>
      <c r="X138" s="1132" t="n"/>
      <c r="Y138" s="1132" t="n"/>
      <c r="Z138" s="1132" t="n"/>
      <c r="AA138" s="1132" t="n"/>
      <c r="AB138" s="1132" t="n"/>
      <c r="AC138" s="1132" t="n"/>
      <c r="AD138" s="1132" t="n"/>
      <c r="AE138" s="1132" t="n"/>
      <c r="AF138" s="1132" t="n"/>
      <c r="AG138" s="1132" t="n"/>
      <c r="AH138" s="1132" t="n"/>
      <c r="AI138" s="1132" t="n"/>
      <c r="AJ138" s="1132" t="n"/>
      <c r="AK138" s="1132" t="n"/>
      <c r="AL138" s="1132" t="n"/>
      <c r="AM138" s="1132" t="n"/>
    </row>
    <row r="139" ht="15" customFormat="1" customHeight="1" s="1806">
      <c r="I139" s="1132" t="n"/>
      <c r="J139" s="2053" t="n"/>
      <c r="K139" s="2053" t="n"/>
      <c r="L139" s="1344" t="n"/>
      <c r="M139" s="1132" t="n"/>
      <c r="N139" s="1344" t="n"/>
      <c r="O139" s="1231" t="n"/>
      <c r="P139" s="1132" t="n"/>
      <c r="Q139" s="1132" t="n"/>
      <c r="R139" s="1132" t="n"/>
      <c r="S139" s="1132" t="n"/>
      <c r="T139" s="1132" t="n"/>
      <c r="U139" s="1132" t="n"/>
      <c r="V139" s="1132" t="n"/>
      <c r="W139" s="1132" t="n"/>
      <c r="X139" s="1132" t="n"/>
      <c r="Y139" s="1132" t="n"/>
      <c r="Z139" s="1132" t="n"/>
      <c r="AA139" s="1132" t="n"/>
      <c r="AB139" s="1132" t="n"/>
      <c r="AC139" s="1132" t="n"/>
      <c r="AD139" s="1132" t="n"/>
      <c r="AE139" s="1132" t="n"/>
      <c r="AF139" s="1132" t="n"/>
      <c r="AG139" s="1132" t="n"/>
      <c r="AH139" s="1132" t="n"/>
      <c r="AI139" s="1132" t="n"/>
      <c r="AJ139" s="1132" t="n"/>
      <c r="AK139" s="1132" t="n"/>
      <c r="AL139" s="1132" t="n"/>
      <c r="AM139" s="1132" t="n"/>
    </row>
    <row r="140" ht="15" customFormat="1" customHeight="1" s="1806">
      <c r="I140" s="1132" t="n"/>
      <c r="J140" s="2053" t="n"/>
      <c r="K140" s="2053" t="n"/>
      <c r="L140" s="1344" t="n"/>
      <c r="M140" s="1132" t="n"/>
      <c r="N140" s="1344" t="n"/>
      <c r="O140" s="1231" t="n"/>
      <c r="P140" s="1132" t="n"/>
      <c r="Q140" s="1132" t="n"/>
      <c r="R140" s="1132" t="n"/>
      <c r="S140" s="1132" t="n"/>
      <c r="T140" s="1132" t="n"/>
      <c r="U140" s="1132" t="n"/>
      <c r="V140" s="1132" t="n"/>
      <c r="W140" s="1132" t="n"/>
      <c r="X140" s="1132" t="n"/>
      <c r="Y140" s="1132" t="n"/>
      <c r="Z140" s="1132" t="n"/>
      <c r="AA140" s="1132" t="n"/>
      <c r="AB140" s="1132" t="n"/>
      <c r="AC140" s="1132" t="n"/>
      <c r="AD140" s="1132" t="n"/>
      <c r="AE140" s="1132" t="n"/>
      <c r="AF140" s="1132" t="n"/>
      <c r="AG140" s="1132" t="n"/>
      <c r="AH140" s="1132" t="n"/>
      <c r="AI140" s="1132" t="n"/>
      <c r="AJ140" s="1132" t="n"/>
      <c r="AK140" s="1132" t="n"/>
      <c r="AL140" s="1132" t="n"/>
      <c r="AM140" s="1132" t="n"/>
    </row>
    <row r="141" ht="27" customFormat="1" customHeight="1" s="1806">
      <c r="A141" s="1653" t="n"/>
      <c r="B141" s="1653" t="n"/>
      <c r="C141" s="1653" t="n"/>
      <c r="D141" s="1653" t="n"/>
      <c r="E141" s="1653" t="n"/>
      <c r="F141" s="1653" t="n"/>
      <c r="G141" s="1653" t="n"/>
      <c r="H141" s="1949" t="inlineStr">
        <is>
          <t>TOTAL FA</t>
        </is>
      </c>
      <c r="J141" s="1898" t="n"/>
      <c r="K141" s="2054">
        <f>SUM(K3:K89)+SUM(K124:K127)</f>
        <v/>
      </c>
      <c r="L141" s="2028" t="n"/>
      <c r="N141" s="1344" t="n"/>
      <c r="O141" s="1231" t="n"/>
      <c r="P141" s="1957" t="n"/>
    </row>
    <row r="142" ht="24.75" customFormat="1" customHeight="1" s="1806">
      <c r="A142" s="1653" t="n"/>
      <c r="B142" s="1653" t="n"/>
      <c r="C142" s="1653" t="n"/>
      <c r="D142" s="1653" t="n"/>
      <c r="E142" s="1653" t="n"/>
      <c r="F142" s="1653" t="n"/>
      <c r="G142" s="1653" t="n"/>
      <c r="H142" s="1949" t="inlineStr">
        <is>
          <t>TOTAL TEST</t>
        </is>
      </c>
      <c r="I142" s="1806" t="n"/>
      <c r="J142" s="1898" t="n"/>
      <c r="K142" s="2054">
        <f>SUM(K90:K113)</f>
        <v/>
      </c>
      <c r="L142" s="2028" t="n"/>
      <c r="M142" s="1806" t="n"/>
      <c r="N142" s="1344" t="n"/>
      <c r="O142" s="1231" t="n"/>
      <c r="P142" s="1957" t="n"/>
      <c r="Q142" s="1806" t="n"/>
      <c r="R142" s="1806" t="n"/>
      <c r="S142" s="1806" t="n"/>
      <c r="T142" s="1806" t="n"/>
      <c r="U142" s="1806" t="n"/>
      <c r="V142" s="1806" t="n"/>
      <c r="W142" s="1806" t="n"/>
      <c r="X142" s="1806" t="n"/>
      <c r="Y142" s="1806" t="n"/>
      <c r="Z142" s="1806" t="n"/>
      <c r="AA142" s="1806" t="n"/>
      <c r="AB142" s="1806" t="n"/>
      <c r="AC142" s="1806" t="n"/>
      <c r="AD142" s="1806" t="n"/>
      <c r="AE142" s="1806" t="n"/>
      <c r="AF142" s="1806" t="n"/>
      <c r="AG142" s="1806" t="n"/>
      <c r="AH142" s="1806" t="n"/>
      <c r="AI142" s="1806" t="n"/>
      <c r="AJ142" s="1806" t="n"/>
      <c r="AK142" s="1806" t="n"/>
      <c r="AL142" s="1806" t="n"/>
      <c r="AM142" s="1806" t="n"/>
    </row>
    <row r="143" ht="24.75" customFormat="1" customHeight="1" s="1806">
      <c r="A143" s="1653" t="n"/>
      <c r="B143" s="1653" t="n"/>
      <c r="C143" s="1653" t="n"/>
      <c r="D143" s="1653" t="n"/>
      <c r="E143" s="1653" t="n"/>
      <c r="F143" s="1653" t="n"/>
      <c r="G143" s="1653" t="n"/>
      <c r="H143" s="1949" t="inlineStr">
        <is>
          <t>TOTAL P.K.</t>
        </is>
      </c>
      <c r="I143" s="1806" t="n"/>
      <c r="J143" s="1898" t="n"/>
      <c r="K143" s="2054">
        <f>SUM(K114:K123)+K128</f>
        <v/>
      </c>
      <c r="L143" s="2028" t="n"/>
      <c r="M143" s="1806" t="n"/>
      <c r="N143" s="1344" t="n"/>
      <c r="O143" s="1231" t="n"/>
      <c r="P143" s="1806" t="n"/>
      <c r="Q143" s="1806" t="n"/>
      <c r="R143" s="1806" t="n"/>
      <c r="S143" s="1806" t="n"/>
      <c r="T143" s="1806" t="n"/>
      <c r="U143" s="1806" t="n"/>
      <c r="V143" s="1806" t="n"/>
      <c r="W143" s="1806" t="n"/>
      <c r="X143" s="1806" t="n"/>
      <c r="Y143" s="1806" t="n"/>
      <c r="Z143" s="1806" t="n"/>
      <c r="AA143" s="1806" t="n"/>
      <c r="AB143" s="1806" t="n"/>
      <c r="AC143" s="1806" t="n"/>
      <c r="AD143" s="1806" t="n"/>
      <c r="AE143" s="1806" t="n"/>
      <c r="AF143" s="1806" t="n"/>
      <c r="AG143" s="1806" t="n"/>
      <c r="AH143" s="1806" t="n"/>
      <c r="AI143" s="1806" t="n"/>
      <c r="AJ143" s="1806" t="n"/>
      <c r="AK143" s="1806" t="n"/>
      <c r="AL143" s="1806" t="n"/>
      <c r="AM143" s="1806" t="n"/>
    </row>
    <row r="144" ht="15" customFormat="1" customHeight="1" s="1806">
      <c r="A144" s="1653" t="n"/>
      <c r="B144" s="1653" t="n"/>
      <c r="C144" s="1653" t="n"/>
      <c r="D144" s="1653" t="n"/>
      <c r="E144" s="1653" t="n"/>
      <c r="F144" s="1653" t="n"/>
      <c r="G144" s="1653" t="n"/>
      <c r="H144" s="2055" t="n"/>
      <c r="J144" s="1898" t="n"/>
      <c r="K144" s="1898" t="n"/>
      <c r="L144" s="2028" t="n"/>
      <c r="M144" s="1806" t="n"/>
      <c r="N144" s="1344" t="n"/>
      <c r="O144" s="1231" t="n"/>
      <c r="P144" s="1806" t="n"/>
      <c r="Q144" s="1806" t="n"/>
      <c r="R144" s="1806" t="n"/>
      <c r="S144" s="1806" t="n"/>
      <c r="T144" s="1806" t="n"/>
      <c r="U144" s="1806" t="n"/>
      <c r="V144" s="1806" t="n"/>
      <c r="W144" s="1806" t="n"/>
      <c r="X144" s="1806" t="n"/>
      <c r="Y144" s="1806" t="n"/>
      <c r="Z144" s="1806" t="n"/>
      <c r="AA144" s="1806" t="n"/>
      <c r="AB144" s="1806" t="n"/>
      <c r="AC144" s="1806" t="n"/>
      <c r="AD144" s="1806" t="n"/>
      <c r="AE144" s="1806" t="n"/>
      <c r="AF144" s="1806" t="n"/>
      <c r="AG144" s="1806" t="n"/>
      <c r="AH144" s="1806" t="n"/>
      <c r="AI144" s="1806" t="n"/>
      <c r="AJ144" s="1806" t="n"/>
      <c r="AK144" s="1806" t="n"/>
      <c r="AL144" s="1806" t="n"/>
      <c r="AM144" s="1806" t="n"/>
    </row>
    <row r="145" ht="15" customFormat="1" customHeight="1" s="1806">
      <c r="A145" s="1653" t="n"/>
      <c r="B145" s="1653" t="n"/>
      <c r="C145" s="1653" t="n"/>
      <c r="D145" s="1653" t="n"/>
      <c r="E145" s="1653" t="n"/>
      <c r="F145" s="1653" t="n"/>
      <c r="G145" s="1653" t="n"/>
      <c r="H145" s="2055" t="n"/>
      <c r="J145" s="1898" t="n"/>
      <c r="K145" s="1898" t="n"/>
      <c r="L145" s="2028" t="n"/>
      <c r="M145" s="1806" t="n"/>
      <c r="N145" s="1344" t="n"/>
      <c r="O145" s="1231" t="n"/>
      <c r="P145" s="1806" t="n"/>
      <c r="Q145" s="1806" t="n"/>
      <c r="R145" s="1806" t="n"/>
      <c r="S145" s="1806" t="n"/>
      <c r="T145" s="1806" t="n"/>
      <c r="U145" s="1806" t="n"/>
      <c r="V145" s="1806" t="n"/>
      <c r="W145" s="1806" t="n"/>
      <c r="X145" s="1806" t="n"/>
      <c r="Y145" s="1806" t="n"/>
      <c r="Z145" s="1806" t="n"/>
      <c r="AA145" s="1806" t="n"/>
      <c r="AB145" s="1806" t="n"/>
      <c r="AC145" s="1806" t="n"/>
      <c r="AD145" s="1806" t="n"/>
      <c r="AE145" s="1806" t="n"/>
      <c r="AF145" s="1806" t="n"/>
      <c r="AG145" s="1806" t="n"/>
      <c r="AH145" s="1806" t="n"/>
      <c r="AI145" s="1806" t="n"/>
      <c r="AJ145" s="1806" t="n"/>
      <c r="AK145" s="1806" t="n"/>
      <c r="AL145" s="1806" t="n"/>
      <c r="AM145" s="1806" t="n"/>
    </row>
    <row r="146" ht="15" customFormat="1" customHeight="1" s="1806">
      <c r="A146" s="1653" t="n"/>
      <c r="B146" s="1653" t="n"/>
      <c r="C146" s="1653" t="n"/>
      <c r="D146" s="1653" t="n"/>
      <c r="E146" s="1653" t="n"/>
      <c r="F146" s="1653" t="n"/>
      <c r="G146" s="1653" t="n"/>
      <c r="H146" s="2055" t="n"/>
      <c r="J146" s="1898" t="n"/>
      <c r="K146" s="1898" t="n"/>
      <c r="L146" s="1344" t="n"/>
      <c r="M146" s="1806" t="n"/>
      <c r="N146" s="1344" t="n"/>
      <c r="O146" s="1231" t="n"/>
      <c r="P146" s="1806" t="n"/>
      <c r="Q146" s="1806" t="n"/>
      <c r="R146" s="1806" t="n"/>
      <c r="S146" s="1806" t="n"/>
      <c r="T146" s="1806" t="n"/>
      <c r="U146" s="1806" t="n"/>
      <c r="V146" s="1806" t="n"/>
      <c r="W146" s="1806" t="n"/>
      <c r="X146" s="1806" t="n"/>
      <c r="Y146" s="1806" t="n"/>
      <c r="Z146" s="1806" t="n"/>
      <c r="AA146" s="1806" t="n"/>
      <c r="AB146" s="1806" t="n"/>
      <c r="AC146" s="1806" t="n"/>
      <c r="AD146" s="1806" t="n"/>
      <c r="AE146" s="1806" t="n"/>
      <c r="AF146" s="1806" t="n"/>
      <c r="AG146" s="1806" t="n"/>
      <c r="AH146" s="1806" t="n"/>
      <c r="AI146" s="1806" t="n"/>
      <c r="AJ146" s="1806" t="n"/>
      <c r="AK146" s="1806" t="n"/>
      <c r="AL146" s="1806" t="n"/>
      <c r="AM146" s="1806" t="n"/>
    </row>
    <row r="147" ht="15" customFormat="1" customHeight="1" s="1806">
      <c r="I147" s="1132" t="n"/>
      <c r="J147" s="2053" t="n"/>
      <c r="K147" s="2053" t="n"/>
      <c r="L147" s="1344" t="n"/>
      <c r="M147" s="1132" t="n"/>
      <c r="N147" s="1344" t="n"/>
      <c r="O147" s="1231" t="n"/>
      <c r="P147" s="1132" t="n"/>
      <c r="Q147" s="1132" t="n"/>
      <c r="R147" s="1132" t="n"/>
      <c r="S147" s="1132" t="n"/>
      <c r="T147" s="1132" t="n"/>
      <c r="U147" s="1132" t="n"/>
      <c r="V147" s="1132" t="n"/>
      <c r="W147" s="1132" t="n"/>
      <c r="X147" s="1132" t="n"/>
      <c r="Y147" s="1132" t="n"/>
      <c r="Z147" s="1132" t="n"/>
      <c r="AA147" s="1132" t="n"/>
      <c r="AB147" s="1132" t="n"/>
      <c r="AC147" s="1132" t="n"/>
      <c r="AD147" s="1132" t="n"/>
      <c r="AE147" s="1132" t="n"/>
      <c r="AF147" s="1132" t="n"/>
      <c r="AG147" s="1132" t="n"/>
      <c r="AH147" s="1132" t="n"/>
      <c r="AI147" s="1132" t="n"/>
      <c r="AJ147" s="1132" t="n"/>
      <c r="AK147" s="1132" t="n"/>
      <c r="AL147" s="1132" t="n"/>
      <c r="AM147" s="1132" t="n"/>
    </row>
    <row r="148" ht="15" customFormat="1" customHeight="1" s="1806">
      <c r="I148" s="1132" t="n"/>
      <c r="J148" s="2053" t="n"/>
      <c r="K148" s="2053" t="n"/>
      <c r="L148" s="1344" t="n"/>
      <c r="M148" s="1132" t="n"/>
      <c r="N148" s="1344" t="n"/>
      <c r="O148" s="1231" t="n"/>
      <c r="P148" s="1132" t="n"/>
      <c r="Q148" s="1132" t="n"/>
      <c r="R148" s="1132" t="n"/>
      <c r="S148" s="1132" t="n"/>
      <c r="T148" s="1132" t="n"/>
      <c r="U148" s="1132" t="n"/>
      <c r="V148" s="1132" t="n"/>
      <c r="W148" s="1132" t="n"/>
      <c r="X148" s="1132" t="n"/>
      <c r="Y148" s="1132" t="n"/>
      <c r="Z148" s="1132" t="n"/>
      <c r="AA148" s="1132" t="n"/>
      <c r="AB148" s="1132" t="n"/>
      <c r="AC148" s="1132" t="n"/>
      <c r="AD148" s="1132" t="n"/>
      <c r="AE148" s="1132" t="n"/>
      <c r="AF148" s="1132" t="n"/>
      <c r="AG148" s="1132" t="n"/>
      <c r="AH148" s="1132" t="n"/>
      <c r="AI148" s="1132" t="n"/>
      <c r="AJ148" s="1132" t="n"/>
      <c r="AK148" s="1132" t="n"/>
      <c r="AL148" s="1132" t="n"/>
      <c r="AM148" s="1132" t="n"/>
    </row>
    <row r="149" ht="24.75" customFormat="1" customHeight="1" s="1806">
      <c r="I149" s="1132" t="n"/>
      <c r="J149" s="2053" t="n"/>
      <c r="K149" s="2053" t="n"/>
      <c r="L149" s="1344" t="n"/>
      <c r="M149" s="1132" t="n"/>
      <c r="N149" s="1344" t="n"/>
      <c r="O149" s="1231" t="n"/>
      <c r="P149" s="1132" t="n"/>
      <c r="Q149" s="1132" t="n"/>
      <c r="R149" s="1132" t="n"/>
      <c r="S149" s="1132" t="n"/>
      <c r="T149" s="1132" t="n"/>
      <c r="U149" s="1132" t="n"/>
      <c r="V149" s="1132" t="n"/>
      <c r="W149" s="1132" t="n"/>
      <c r="X149" s="1132" t="n"/>
      <c r="Y149" s="1132" t="n"/>
      <c r="Z149" s="1132" t="n"/>
      <c r="AA149" s="1132" t="n"/>
      <c r="AB149" s="1132" t="n"/>
      <c r="AC149" s="1132" t="n"/>
      <c r="AD149" s="1132" t="n"/>
      <c r="AE149" s="1132" t="n"/>
      <c r="AF149" s="1132" t="n"/>
      <c r="AG149" s="1132" t="n"/>
      <c r="AH149" s="1132" t="n"/>
      <c r="AI149" s="1132" t="n"/>
      <c r="AJ149" s="1132" t="n"/>
      <c r="AK149" s="1132" t="n"/>
      <c r="AL149" s="1132" t="n"/>
      <c r="AM149" s="1132" t="n"/>
    </row>
    <row r="150" ht="15" customFormat="1" customHeight="1" s="1806">
      <c r="J150" s="2053" t="n"/>
      <c r="K150" s="2053" t="n"/>
      <c r="L150" s="1344" t="n"/>
      <c r="M150" s="1132" t="n"/>
      <c r="N150" s="1344" t="n"/>
      <c r="O150" s="1231" t="n"/>
      <c r="P150" s="1132" t="n"/>
      <c r="Q150" s="1132" t="n"/>
      <c r="R150" s="1132" t="n"/>
      <c r="S150" s="1132" t="n"/>
      <c r="T150" s="1132" t="n"/>
      <c r="U150" s="1132" t="n"/>
      <c r="V150" s="1132" t="n"/>
      <c r="W150" s="1132" t="n"/>
      <c r="X150" s="1132" t="n"/>
      <c r="Y150" s="1132" t="n"/>
      <c r="Z150" s="1132" t="n"/>
      <c r="AA150" s="1132" t="n"/>
      <c r="AB150" s="1132" t="n"/>
      <c r="AC150" s="1132" t="n"/>
      <c r="AD150" s="1132" t="n"/>
      <c r="AE150" s="1132" t="n"/>
      <c r="AF150" s="1132" t="n"/>
      <c r="AG150" s="1132" t="n"/>
      <c r="AH150" s="1132" t="n"/>
      <c r="AI150" s="1132" t="n"/>
      <c r="AJ150" s="1132" t="n"/>
      <c r="AK150" s="1132" t="n"/>
      <c r="AL150" s="1132" t="n"/>
      <c r="AM150" s="1132" t="n"/>
    </row>
    <row r="151" ht="15" customFormat="1" customHeight="1" s="1806">
      <c r="J151" s="2053" t="n"/>
      <c r="K151" s="2053" t="n"/>
      <c r="L151" s="1344" t="n"/>
      <c r="M151" s="1132" t="n"/>
      <c r="N151" s="1344" t="n"/>
      <c r="O151" s="1231" t="n"/>
      <c r="P151" s="1132" t="n"/>
      <c r="Q151" s="1132" t="n"/>
      <c r="R151" s="1132" t="n"/>
      <c r="S151" s="1132" t="n"/>
      <c r="T151" s="1132" t="n"/>
      <c r="U151" s="1132" t="n"/>
      <c r="V151" s="1132" t="n"/>
      <c r="W151" s="1132" t="n"/>
      <c r="X151" s="1132" t="n"/>
      <c r="Y151" s="1132" t="n"/>
      <c r="Z151" s="1132" t="n"/>
      <c r="AA151" s="1132" t="n"/>
      <c r="AB151" s="1132" t="n"/>
      <c r="AC151" s="1132" t="n"/>
      <c r="AD151" s="1132" t="n"/>
      <c r="AE151" s="1132" t="n"/>
      <c r="AF151" s="1132" t="n"/>
      <c r="AG151" s="1132" t="n"/>
      <c r="AH151" s="1132" t="n"/>
      <c r="AI151" s="1132" t="n"/>
      <c r="AJ151" s="1132" t="n"/>
      <c r="AK151" s="1132" t="n"/>
      <c r="AL151" s="1132" t="n"/>
      <c r="AM151" s="1132" t="n"/>
    </row>
    <row r="152" ht="15" customFormat="1" customHeight="1" s="1806">
      <c r="J152" s="2053" t="n"/>
      <c r="K152" s="2053" t="n"/>
      <c r="L152" s="1344" t="n"/>
      <c r="M152" s="1132" t="n"/>
      <c r="N152" s="1344" t="n"/>
      <c r="O152" s="1231" t="n"/>
      <c r="P152" s="1132" t="n"/>
      <c r="Q152" s="1132" t="n"/>
      <c r="R152" s="1132" t="n"/>
      <c r="S152" s="1132" t="n"/>
      <c r="T152" s="1132" t="n"/>
      <c r="U152" s="1132" t="n"/>
      <c r="V152" s="1132" t="n"/>
      <c r="W152" s="1132" t="n"/>
      <c r="X152" s="1132" t="n"/>
      <c r="Y152" s="1132" t="n"/>
      <c r="Z152" s="1132" t="n"/>
      <c r="AA152" s="1132" t="n"/>
      <c r="AB152" s="1132" t="n"/>
      <c r="AC152" s="1132" t="n"/>
      <c r="AD152" s="1132" t="n"/>
      <c r="AE152" s="1132" t="n"/>
      <c r="AF152" s="1132" t="n"/>
      <c r="AG152" s="1132" t="n"/>
      <c r="AH152" s="1132" t="n"/>
      <c r="AI152" s="1132" t="n"/>
      <c r="AJ152" s="1132" t="n"/>
      <c r="AK152" s="1132" t="n"/>
      <c r="AL152" s="1132" t="n"/>
      <c r="AM152" s="1132" t="n"/>
    </row>
    <row r="153" ht="15" customFormat="1" customHeight="1" s="1898">
      <c r="J153" s="2053" t="n"/>
      <c r="K153" s="2053" t="n"/>
      <c r="L153" s="1344" t="n"/>
      <c r="M153" s="1132" t="n"/>
      <c r="N153" s="1344" t="n"/>
      <c r="O153" s="1231" t="n"/>
      <c r="P153" s="1132" t="n"/>
      <c r="Q153" s="1132" t="n"/>
      <c r="R153" s="1132" t="n"/>
      <c r="S153" s="1132" t="n"/>
      <c r="T153" s="1132" t="n"/>
      <c r="U153" s="1132" t="n"/>
      <c r="V153" s="1132" t="n"/>
      <c r="W153" s="1132" t="n"/>
      <c r="X153" s="1132" t="n"/>
      <c r="Y153" s="1132" t="n"/>
      <c r="Z153" s="1132" t="n"/>
      <c r="AA153" s="1132" t="n"/>
      <c r="AB153" s="1132" t="n"/>
      <c r="AC153" s="1132" t="n"/>
      <c r="AD153" s="1132" t="n"/>
      <c r="AE153" s="1132" t="n"/>
      <c r="AF153" s="1132" t="n"/>
      <c r="AG153" s="1132" t="n"/>
      <c r="AH153" s="1132" t="n"/>
      <c r="AI153" s="1132" t="n"/>
      <c r="AJ153" s="1132" t="n"/>
      <c r="AK153" s="1132" t="n"/>
      <c r="AL153" s="1132" t="n"/>
      <c r="AM153" s="1132" t="n"/>
    </row>
    <row r="154" ht="15" customFormat="1" customHeight="1" s="1898">
      <c r="J154" s="2053" t="n"/>
      <c r="K154" s="2053" t="n"/>
      <c r="L154" s="1344" t="n"/>
      <c r="M154" s="1132" t="n"/>
      <c r="N154" s="1344" t="n"/>
      <c r="O154" s="1231" t="n"/>
      <c r="P154" s="1132" t="n"/>
      <c r="Q154" s="1132" t="n"/>
      <c r="R154" s="1132" t="n"/>
      <c r="S154" s="1132" t="n"/>
      <c r="T154" s="1132" t="n"/>
      <c r="U154" s="1132" t="n"/>
      <c r="V154" s="1132" t="n"/>
      <c r="W154" s="1132" t="n"/>
      <c r="X154" s="1132" t="n"/>
      <c r="Y154" s="1132" t="n"/>
      <c r="Z154" s="1132" t="n"/>
      <c r="AA154" s="1132" t="n"/>
      <c r="AB154" s="1132" t="n"/>
      <c r="AC154" s="1132" t="n"/>
      <c r="AD154" s="1132" t="n"/>
      <c r="AE154" s="1132" t="n"/>
      <c r="AF154" s="1132" t="n"/>
      <c r="AG154" s="1132" t="n"/>
      <c r="AH154" s="1132" t="n"/>
      <c r="AI154" s="1132" t="n"/>
      <c r="AJ154" s="1132" t="n"/>
      <c r="AK154" s="1132" t="n"/>
      <c r="AL154" s="1132" t="n"/>
      <c r="AM154" s="1132" t="n"/>
    </row>
    <row r="155" ht="15" customFormat="1" customHeight="1" s="1898">
      <c r="J155" s="2053" t="n"/>
      <c r="K155" s="2053" t="n"/>
      <c r="L155" s="1344" t="n"/>
      <c r="M155" s="1132" t="n"/>
      <c r="N155" s="1344" t="n"/>
      <c r="O155" s="1231" t="n"/>
      <c r="P155" s="1132" t="n"/>
      <c r="Q155" s="1132" t="n"/>
      <c r="R155" s="1132" t="n"/>
      <c r="S155" s="1132" t="n"/>
      <c r="T155" s="1132" t="n"/>
      <c r="U155" s="1132" t="n"/>
      <c r="V155" s="1132" t="n"/>
      <c r="W155" s="1132" t="n"/>
      <c r="X155" s="1132" t="n"/>
      <c r="Y155" s="1132" t="n"/>
      <c r="Z155" s="1132" t="n"/>
      <c r="AA155" s="1132" t="n"/>
      <c r="AB155" s="1132" t="n"/>
      <c r="AC155" s="1132" t="n"/>
      <c r="AD155" s="1132" t="n"/>
      <c r="AE155" s="1132" t="n"/>
      <c r="AF155" s="1132" t="n"/>
      <c r="AG155" s="1132" t="n"/>
      <c r="AH155" s="1132" t="n"/>
      <c r="AI155" s="1132" t="n"/>
      <c r="AJ155" s="1132" t="n"/>
      <c r="AK155" s="1132" t="n"/>
      <c r="AL155" s="1132" t="n"/>
      <c r="AM155" s="1132" t="n"/>
    </row>
    <row r="156" ht="15" customFormat="1" customHeight="1" s="1898">
      <c r="J156" s="2053" t="n"/>
      <c r="K156" s="2053" t="n"/>
      <c r="L156" s="1344" t="n"/>
      <c r="M156" s="1132" t="n"/>
      <c r="N156" s="1344" t="n"/>
      <c r="O156" s="1231" t="n"/>
      <c r="P156" s="1132" t="n"/>
      <c r="Q156" s="1132" t="n"/>
      <c r="R156" s="1132" t="n"/>
      <c r="S156" s="1132" t="n"/>
      <c r="T156" s="1132" t="n"/>
      <c r="U156" s="1132" t="n"/>
      <c r="V156" s="1132" t="n"/>
      <c r="W156" s="1132" t="n"/>
      <c r="X156" s="1132" t="n"/>
      <c r="Y156" s="1132" t="n"/>
      <c r="Z156" s="1132" t="n"/>
      <c r="AA156" s="1132" t="n"/>
      <c r="AB156" s="1132" t="n"/>
      <c r="AC156" s="1132" t="n"/>
      <c r="AD156" s="1132" t="n"/>
      <c r="AE156" s="1132" t="n"/>
      <c r="AF156" s="1132" t="n"/>
      <c r="AG156" s="1132" t="n"/>
      <c r="AH156" s="1132" t="n"/>
      <c r="AI156" s="1132" t="n"/>
      <c r="AJ156" s="1132" t="n"/>
      <c r="AK156" s="1132" t="n"/>
      <c r="AL156" s="1132" t="n"/>
      <c r="AM156" s="1132" t="n"/>
    </row>
    <row r="157" ht="25.5" customFormat="1" customHeight="1" s="1898">
      <c r="J157" s="2053" t="n"/>
      <c r="K157" s="2053" t="n"/>
      <c r="L157" s="1344" t="n"/>
      <c r="M157" s="1132" t="n"/>
      <c r="N157" s="1344" t="n"/>
      <c r="O157" s="1231" t="n"/>
      <c r="P157" s="1132" t="n"/>
      <c r="Q157" s="1132" t="n"/>
      <c r="R157" s="1132" t="n"/>
      <c r="S157" s="1132" t="n"/>
      <c r="T157" s="1132" t="n"/>
      <c r="U157" s="1132" t="n"/>
      <c r="V157" s="1132" t="n"/>
      <c r="W157" s="1132" t="n"/>
      <c r="X157" s="1132" t="n"/>
      <c r="Y157" s="1132" t="n"/>
      <c r="Z157" s="1132" t="n"/>
      <c r="AA157" s="1132" t="n"/>
      <c r="AB157" s="1132" t="n"/>
      <c r="AC157" s="1132" t="n"/>
      <c r="AD157" s="1132" t="n"/>
      <c r="AE157" s="1132" t="n"/>
      <c r="AF157" s="1132" t="n"/>
      <c r="AG157" s="1132" t="n"/>
      <c r="AH157" s="1132" t="n"/>
      <c r="AI157" s="1132" t="n"/>
      <c r="AJ157" s="1132" t="n"/>
      <c r="AK157" s="1132" t="n"/>
      <c r="AL157" s="1132" t="n"/>
      <c r="AM157" s="1132" t="n"/>
    </row>
    <row r="158" ht="15" customFormat="1" customHeight="1" s="1898">
      <c r="L158" s="1344" t="n"/>
      <c r="M158" s="1132" t="n"/>
      <c r="N158" s="1344" t="n"/>
      <c r="O158" s="1231" t="n"/>
      <c r="P158" s="1132" t="n"/>
      <c r="Q158" s="1132" t="n"/>
      <c r="R158" s="1132" t="n"/>
      <c r="S158" s="1132" t="n"/>
      <c r="T158" s="1132" t="n"/>
      <c r="U158" s="1132" t="n"/>
      <c r="V158" s="1132" t="n"/>
      <c r="W158" s="1132" t="n"/>
      <c r="X158" s="1132" t="n"/>
      <c r="Y158" s="1132" t="n"/>
      <c r="Z158" s="1132" t="n"/>
      <c r="AA158" s="1132" t="n"/>
      <c r="AB158" s="1132" t="n"/>
      <c r="AC158" s="1132" t="n"/>
      <c r="AD158" s="1132" t="n"/>
      <c r="AE158" s="1132" t="n"/>
      <c r="AF158" s="1132" t="n"/>
      <c r="AG158" s="1132" t="n"/>
      <c r="AH158" s="1132" t="n"/>
      <c r="AI158" s="1132" t="n"/>
      <c r="AJ158" s="1132" t="n"/>
      <c r="AK158" s="1132" t="n"/>
      <c r="AL158" s="1132" t="n"/>
      <c r="AM158" s="1132" t="n"/>
    </row>
    <row r="159" ht="15" customFormat="1" customHeight="1" s="1898">
      <c r="L159" s="1344" t="n"/>
      <c r="M159" s="1132" t="n"/>
      <c r="N159" s="1344" t="n"/>
      <c r="O159" s="1231" t="n"/>
      <c r="P159" s="1132" t="n"/>
      <c r="Q159" s="1132" t="n"/>
      <c r="R159" s="1132" t="n"/>
      <c r="S159" s="1132" t="n"/>
      <c r="T159" s="1132" t="n"/>
      <c r="U159" s="1132" t="n"/>
      <c r="V159" s="1132" t="n"/>
      <c r="W159" s="1132" t="n"/>
      <c r="X159" s="1132" t="n"/>
      <c r="Y159" s="1132" t="n"/>
      <c r="Z159" s="1132" t="n"/>
      <c r="AA159" s="1132" t="n"/>
      <c r="AB159" s="1132" t="n"/>
      <c r="AC159" s="1132" t="n"/>
      <c r="AD159" s="1132" t="n"/>
      <c r="AE159" s="1132" t="n"/>
      <c r="AF159" s="1132" t="n"/>
      <c r="AG159" s="1132" t="n"/>
      <c r="AH159" s="1132" t="n"/>
      <c r="AI159" s="1132" t="n"/>
      <c r="AJ159" s="1132" t="n"/>
      <c r="AK159" s="1132" t="n"/>
      <c r="AL159" s="1132" t="n"/>
      <c r="AM159" s="1132" t="n"/>
    </row>
    <row r="160" ht="15" customFormat="1" customHeight="1" s="1898">
      <c r="L160" s="1344" t="n"/>
      <c r="M160" s="1132" t="n"/>
      <c r="N160" s="1344" t="n"/>
      <c r="O160" s="1231" t="n"/>
      <c r="P160" s="1132" t="n"/>
      <c r="Q160" s="1132" t="n"/>
      <c r="R160" s="1132" t="n"/>
      <c r="S160" s="1132" t="n"/>
      <c r="T160" s="1132" t="n"/>
      <c r="U160" s="1132" t="n"/>
      <c r="V160" s="1132" t="n"/>
      <c r="W160" s="1132" t="n"/>
      <c r="X160" s="1132" t="n"/>
      <c r="Y160" s="1132" t="n"/>
      <c r="Z160" s="1132" t="n"/>
      <c r="AA160" s="1132" t="n"/>
      <c r="AB160" s="1132" t="n"/>
      <c r="AC160" s="1132" t="n"/>
      <c r="AD160" s="1132" t="n"/>
      <c r="AE160" s="1132" t="n"/>
      <c r="AF160" s="1132" t="n"/>
      <c r="AG160" s="1132" t="n"/>
      <c r="AH160" s="1132" t="n"/>
      <c r="AI160" s="1132" t="n"/>
      <c r="AJ160" s="1132" t="n"/>
      <c r="AK160" s="1132" t="n"/>
      <c r="AL160" s="1132" t="n"/>
      <c r="AM160" s="1132" t="n"/>
    </row>
    <row r="161" ht="15" customFormat="1" customHeight="1" s="1898">
      <c r="L161" s="1344" t="n"/>
      <c r="M161" s="1132" t="n"/>
      <c r="N161" s="1344" t="n"/>
      <c r="O161" s="1231" t="n"/>
      <c r="P161" s="1132" t="n"/>
      <c r="Q161" s="1132" t="n"/>
      <c r="R161" s="1132" t="n"/>
      <c r="S161" s="1132" t="n"/>
      <c r="T161" s="1132" t="n"/>
      <c r="U161" s="1132" t="n"/>
      <c r="V161" s="1132" t="n"/>
      <c r="W161" s="1132" t="n"/>
      <c r="X161" s="1132" t="n"/>
      <c r="Y161" s="1132" t="n"/>
      <c r="Z161" s="1132" t="n"/>
      <c r="AA161" s="1132" t="n"/>
      <c r="AB161" s="1132" t="n"/>
      <c r="AC161" s="1132" t="n"/>
      <c r="AD161" s="1132" t="n"/>
      <c r="AE161" s="1132" t="n"/>
      <c r="AF161" s="1132" t="n"/>
      <c r="AG161" s="1132" t="n"/>
      <c r="AH161" s="1132" t="n"/>
      <c r="AI161" s="1132" t="n"/>
      <c r="AJ161" s="1132" t="n"/>
      <c r="AK161" s="1132" t="n"/>
      <c r="AL161" s="1132" t="n"/>
      <c r="AM161" s="1132" t="n"/>
    </row>
    <row r="162" ht="15" customFormat="1" customHeight="1" s="1898">
      <c r="L162" s="1344" t="n"/>
      <c r="M162" s="1132" t="n"/>
      <c r="N162" s="1344" t="n"/>
      <c r="O162" s="1231" t="n"/>
      <c r="P162" s="1132" t="n"/>
      <c r="Q162" s="1132" t="n"/>
      <c r="R162" s="1132" t="n"/>
      <c r="S162" s="1132" t="n"/>
      <c r="T162" s="1132" t="n"/>
      <c r="U162" s="1132" t="n"/>
      <c r="V162" s="1132" t="n"/>
      <c r="W162" s="1132" t="n"/>
      <c r="X162" s="1132" t="n"/>
      <c r="Y162" s="1132" t="n"/>
      <c r="Z162" s="1132" t="n"/>
      <c r="AA162" s="1132" t="n"/>
      <c r="AB162" s="1132" t="n"/>
      <c r="AC162" s="1132" t="n"/>
      <c r="AD162" s="1132" t="n"/>
      <c r="AE162" s="1132" t="n"/>
      <c r="AF162" s="1132" t="n"/>
      <c r="AG162" s="1132" t="n"/>
      <c r="AH162" s="1132" t="n"/>
      <c r="AI162" s="1132" t="n"/>
      <c r="AJ162" s="1132" t="n"/>
      <c r="AK162" s="1132" t="n"/>
      <c r="AL162" s="1132" t="n"/>
      <c r="AM162" s="1132" t="n"/>
    </row>
    <row r="163" ht="15" customFormat="1" customHeight="1" s="1898">
      <c r="L163" s="1344" t="n"/>
      <c r="M163" s="1132" t="n"/>
      <c r="N163" s="1344" t="n"/>
      <c r="O163" s="1132" t="n"/>
      <c r="P163" s="1132" t="n"/>
      <c r="Q163" s="1132" t="n"/>
      <c r="R163" s="1132" t="n"/>
      <c r="S163" s="1132" t="n"/>
      <c r="T163" s="1132" t="n"/>
      <c r="U163" s="1132" t="n"/>
      <c r="V163" s="1132" t="n"/>
      <c r="W163" s="1132" t="n"/>
      <c r="X163" s="1132" t="n"/>
      <c r="Y163" s="1132" t="n"/>
      <c r="Z163" s="1132" t="n"/>
      <c r="AA163" s="1132" t="n"/>
      <c r="AB163" s="1132" t="n"/>
      <c r="AC163" s="1132" t="n"/>
      <c r="AD163" s="1132" t="n"/>
      <c r="AE163" s="1132" t="n"/>
      <c r="AF163" s="1132" t="n"/>
      <c r="AG163" s="1132" t="n"/>
      <c r="AH163" s="1132" t="n"/>
      <c r="AI163" s="1132" t="n"/>
      <c r="AJ163" s="1132" t="n"/>
      <c r="AK163" s="1132" t="n"/>
      <c r="AL163" s="1132" t="n"/>
      <c r="AM163" s="1132" t="n"/>
    </row>
    <row r="164" ht="15" customFormat="1" customHeight="1" s="1898">
      <c r="L164" s="1344" t="n"/>
      <c r="M164" s="1132" t="n"/>
      <c r="N164" s="1344" t="n"/>
      <c r="O164" s="1132" t="n"/>
      <c r="P164" s="1132" t="n"/>
      <c r="Q164" s="1132" t="n"/>
      <c r="R164" s="1132" t="n"/>
      <c r="S164" s="1132" t="n"/>
      <c r="T164" s="1132" t="n"/>
      <c r="U164" s="1132" t="n"/>
      <c r="V164" s="1132" t="n"/>
      <c r="W164" s="1132" t="n"/>
      <c r="X164" s="1132" t="n"/>
      <c r="Y164" s="1132" t="n"/>
      <c r="Z164" s="1132" t="n"/>
      <c r="AA164" s="1132" t="n"/>
      <c r="AB164" s="1132" t="n"/>
      <c r="AC164" s="1132" t="n"/>
      <c r="AD164" s="1132" t="n"/>
      <c r="AE164" s="1132" t="n"/>
      <c r="AF164" s="1132" t="n"/>
      <c r="AG164" s="1132" t="n"/>
      <c r="AH164" s="1132" t="n"/>
      <c r="AI164" s="1132" t="n"/>
      <c r="AJ164" s="1132" t="n"/>
      <c r="AK164" s="1132" t="n"/>
      <c r="AL164" s="1132" t="n"/>
      <c r="AM164" s="1132" t="n"/>
    </row>
    <row r="165" ht="15" customHeight="1" s="1134">
      <c r="L165" s="1344" t="n"/>
      <c r="M165" s="1132" t="n"/>
      <c r="N165" s="1344" t="n"/>
      <c r="O165" s="1132" t="n"/>
      <c r="P165" s="1132" t="n"/>
      <c r="Q165" s="1132" t="n"/>
      <c r="R165" s="1132" t="n"/>
      <c r="S165" s="1132" t="n"/>
      <c r="T165" s="1132" t="n"/>
      <c r="U165" s="1132" t="n"/>
      <c r="V165" s="1132" t="n"/>
      <c r="W165" s="1132" t="n"/>
      <c r="X165" s="1132" t="n"/>
      <c r="Y165" s="1132" t="n"/>
      <c r="Z165" s="1132" t="n"/>
      <c r="AA165" s="1132" t="n"/>
      <c r="AB165" s="1132" t="n"/>
      <c r="AC165" s="1132" t="n"/>
      <c r="AD165" s="1132" t="n"/>
      <c r="AE165" s="1132" t="n"/>
      <c r="AF165" s="1132" t="n"/>
      <c r="AG165" s="1132" t="n"/>
      <c r="AH165" s="1132" t="n"/>
      <c r="AI165" s="1132" t="n"/>
      <c r="AJ165" s="1132" t="n"/>
      <c r="AK165" s="1132" t="n"/>
      <c r="AL165" s="1132" t="n"/>
      <c r="AM165" s="1132" t="n"/>
    </row>
    <row r="166" ht="15" customHeight="1" s="1134">
      <c r="L166" s="1344" t="n"/>
      <c r="M166" s="1132" t="n"/>
      <c r="N166" s="1344" t="n"/>
      <c r="O166" s="1132" t="n"/>
      <c r="P166" s="1132" t="n"/>
      <c r="Q166" s="1132" t="n"/>
      <c r="R166" s="1132" t="n"/>
      <c r="S166" s="1132" t="n"/>
      <c r="T166" s="1132" t="n"/>
      <c r="U166" s="1132" t="n"/>
      <c r="V166" s="1132" t="n"/>
      <c r="W166" s="1132" t="n"/>
      <c r="X166" s="1132" t="n"/>
      <c r="Y166" s="1132" t="n"/>
      <c r="Z166" s="1132" t="n"/>
      <c r="AA166" s="1132" t="n"/>
      <c r="AB166" s="1132" t="n"/>
      <c r="AC166" s="1132" t="n"/>
      <c r="AD166" s="1132" t="n"/>
      <c r="AE166" s="1132" t="n"/>
      <c r="AF166" s="1132" t="n"/>
      <c r="AG166" s="1132" t="n"/>
      <c r="AH166" s="1132" t="n"/>
      <c r="AI166" s="1132" t="n"/>
      <c r="AJ166" s="1132" t="n"/>
      <c r="AK166" s="1132" t="n"/>
      <c r="AL166" s="1132" t="n"/>
      <c r="AM166" s="1132" t="n"/>
    </row>
    <row r="167" ht="15" customHeight="1" s="1134">
      <c r="L167" s="1344" t="n"/>
      <c r="M167" s="1132" t="n"/>
      <c r="N167" s="1344" t="n"/>
      <c r="O167" s="1132" t="n"/>
      <c r="P167" s="1132" t="n"/>
      <c r="Q167" s="1132" t="n"/>
      <c r="R167" s="1132" t="n"/>
      <c r="S167" s="1132" t="n"/>
      <c r="T167" s="1132" t="n"/>
      <c r="U167" s="1132" t="n"/>
      <c r="V167" s="1132" t="n"/>
      <c r="W167" s="1132" t="n"/>
      <c r="X167" s="1132" t="n"/>
      <c r="Y167" s="1132" t="n"/>
      <c r="Z167" s="1132" t="n"/>
      <c r="AA167" s="1132" t="n"/>
      <c r="AB167" s="1132" t="n"/>
      <c r="AC167" s="1132" t="n"/>
      <c r="AD167" s="1132" t="n"/>
      <c r="AE167" s="1132" t="n"/>
      <c r="AF167" s="1132" t="n"/>
      <c r="AG167" s="1132" t="n"/>
      <c r="AH167" s="1132" t="n"/>
      <c r="AI167" s="1132" t="n"/>
      <c r="AJ167" s="1132" t="n"/>
      <c r="AK167" s="1132" t="n"/>
      <c r="AL167" s="1132" t="n"/>
      <c r="AM167" s="1132" t="n"/>
    </row>
    <row r="168" ht="15" customHeight="1" s="1134">
      <c r="L168" s="1344" t="n"/>
      <c r="M168" s="1132" t="n"/>
      <c r="N168" s="1344" t="n"/>
      <c r="O168" s="1132" t="n"/>
      <c r="P168" s="1132" t="n"/>
      <c r="Q168" s="1132" t="n"/>
      <c r="R168" s="1132" t="n"/>
      <c r="S168" s="1132" t="n"/>
      <c r="T168" s="1132" t="n"/>
      <c r="U168" s="1132" t="n"/>
      <c r="V168" s="1132" t="n"/>
      <c r="W168" s="1132" t="n"/>
      <c r="X168" s="1132" t="n"/>
      <c r="Y168" s="1132" t="n"/>
      <c r="Z168" s="1132" t="n"/>
      <c r="AA168" s="1132" t="n"/>
      <c r="AB168" s="1132" t="n"/>
      <c r="AC168" s="1132" t="n"/>
      <c r="AD168" s="1132" t="n"/>
      <c r="AE168" s="1132" t="n"/>
      <c r="AF168" s="1132" t="n"/>
      <c r="AG168" s="1132" t="n"/>
      <c r="AH168" s="1132" t="n"/>
      <c r="AI168" s="1132" t="n"/>
      <c r="AJ168" s="1132" t="n"/>
      <c r="AK168" s="1132" t="n"/>
      <c r="AL168" s="1132" t="n"/>
      <c r="AM168" s="1132" t="n"/>
    </row>
    <row r="169" ht="15" customHeight="1" s="1134">
      <c r="L169" s="1344" t="n"/>
      <c r="M169" s="1132" t="n"/>
      <c r="N169" s="1344" t="n"/>
      <c r="O169" s="1132" t="n"/>
      <c r="P169" s="1132" t="n"/>
      <c r="Q169" s="1132" t="n"/>
      <c r="R169" s="1132" t="n"/>
      <c r="S169" s="1132" t="n"/>
      <c r="T169" s="1132" t="n"/>
      <c r="U169" s="1132" t="n"/>
      <c r="V169" s="1132" t="n"/>
      <c r="W169" s="1132" t="n"/>
      <c r="X169" s="1132" t="n"/>
      <c r="Y169" s="1132" t="n"/>
      <c r="Z169" s="1132" t="n"/>
      <c r="AA169" s="1132" t="n"/>
      <c r="AB169" s="1132" t="n"/>
      <c r="AC169" s="1132" t="n"/>
      <c r="AD169" s="1132" t="n"/>
      <c r="AE169" s="1132" t="n"/>
      <c r="AF169" s="1132" t="n"/>
      <c r="AG169" s="1132" t="n"/>
      <c r="AH169" s="1132" t="n"/>
      <c r="AI169" s="1132" t="n"/>
      <c r="AJ169" s="1132" t="n"/>
      <c r="AK169" s="1132" t="n"/>
      <c r="AL169" s="1132" t="n"/>
      <c r="AM169" s="1132" t="n"/>
    </row>
    <row r="170" ht="15" customHeight="1" s="1134">
      <c r="L170" s="1344" t="n"/>
      <c r="M170" s="1132" t="n"/>
      <c r="N170" s="1344" t="n"/>
      <c r="O170" s="1132" t="n"/>
      <c r="P170" s="1132" t="n"/>
      <c r="Q170" s="1132" t="n"/>
      <c r="R170" s="1132" t="n"/>
      <c r="S170" s="1132" t="n"/>
      <c r="T170" s="1132" t="n"/>
      <c r="U170" s="1132" t="n"/>
      <c r="V170" s="1132" t="n"/>
      <c r="W170" s="1132" t="n"/>
      <c r="X170" s="1132" t="n"/>
      <c r="Y170" s="1132" t="n"/>
      <c r="Z170" s="1132" t="n"/>
      <c r="AA170" s="1132" t="n"/>
      <c r="AB170" s="1132" t="n"/>
      <c r="AC170" s="1132" t="n"/>
      <c r="AD170" s="1132" t="n"/>
      <c r="AE170" s="1132" t="n"/>
      <c r="AF170" s="1132" t="n"/>
      <c r="AG170" s="1132" t="n"/>
      <c r="AH170" s="1132" t="n"/>
      <c r="AI170" s="1132" t="n"/>
      <c r="AJ170" s="1132" t="n"/>
      <c r="AK170" s="1132" t="n"/>
      <c r="AL170" s="1132" t="n"/>
      <c r="AM170" s="1132" t="n"/>
    </row>
    <row r="171" ht="15" customHeight="1" s="1134">
      <c r="L171" s="1344" t="n"/>
      <c r="M171" s="1132" t="n"/>
      <c r="N171" s="1344" t="n"/>
      <c r="O171" s="1132" t="n"/>
      <c r="P171" s="1132" t="n"/>
      <c r="Q171" s="1132" t="n"/>
      <c r="R171" s="1132" t="n"/>
      <c r="S171" s="1132" t="n"/>
      <c r="T171" s="1132" t="n"/>
      <c r="U171" s="1132" t="n"/>
      <c r="V171" s="1132" t="n"/>
      <c r="W171" s="1132" t="n"/>
      <c r="X171" s="1132" t="n"/>
      <c r="Y171" s="1132" t="n"/>
      <c r="Z171" s="1132" t="n"/>
      <c r="AA171" s="1132" t="n"/>
      <c r="AB171" s="1132" t="n"/>
      <c r="AC171" s="1132" t="n"/>
      <c r="AD171" s="1132" t="n"/>
      <c r="AE171" s="1132" t="n"/>
      <c r="AF171" s="1132" t="n"/>
      <c r="AG171" s="1132" t="n"/>
      <c r="AH171" s="1132" t="n"/>
      <c r="AI171" s="1132" t="n"/>
      <c r="AJ171" s="1132" t="n"/>
      <c r="AK171" s="1132" t="n"/>
      <c r="AL171" s="1132" t="n"/>
      <c r="AM171" s="1132" t="n"/>
    </row>
    <row r="172" ht="15" customHeight="1" s="1134">
      <c r="L172" s="1344" t="n"/>
      <c r="M172" s="1132" t="n"/>
      <c r="N172" s="1344" t="n"/>
      <c r="O172" s="1132" t="n"/>
      <c r="P172" s="1132" t="n"/>
      <c r="Q172" s="1132" t="n"/>
      <c r="R172" s="1132" t="n"/>
      <c r="S172" s="1132" t="n"/>
      <c r="T172" s="1132" t="n"/>
      <c r="U172" s="1132" t="n"/>
      <c r="V172" s="1132" t="n"/>
      <c r="W172" s="1132" t="n"/>
      <c r="X172" s="1132" t="n"/>
      <c r="Y172" s="1132" t="n"/>
      <c r="Z172" s="1132" t="n"/>
      <c r="AA172" s="1132" t="n"/>
      <c r="AB172" s="1132" t="n"/>
      <c r="AC172" s="1132" t="n"/>
      <c r="AD172" s="1132" t="n"/>
      <c r="AE172" s="1132" t="n"/>
      <c r="AF172" s="1132" t="n"/>
      <c r="AG172" s="1132" t="n"/>
      <c r="AH172" s="1132" t="n"/>
      <c r="AI172" s="1132" t="n"/>
      <c r="AJ172" s="1132" t="n"/>
      <c r="AK172" s="1132" t="n"/>
      <c r="AL172" s="1132" t="n"/>
      <c r="AM172" s="1132" t="n"/>
    </row>
    <row r="173" ht="15" customHeight="1" s="1134">
      <c r="L173" s="1344" t="n"/>
      <c r="M173" s="1132" t="n"/>
      <c r="N173" s="1344" t="n"/>
      <c r="O173" s="1132" t="n"/>
      <c r="P173" s="1132" t="n"/>
      <c r="Q173" s="1132" t="n"/>
      <c r="R173" s="1132" t="n"/>
      <c r="S173" s="1132" t="n"/>
      <c r="T173" s="1132" t="n"/>
      <c r="U173" s="1132" t="n"/>
      <c r="V173" s="1132" t="n"/>
      <c r="W173" s="1132" t="n"/>
      <c r="X173" s="1132" t="n"/>
      <c r="Y173" s="1132" t="n"/>
      <c r="Z173" s="1132" t="n"/>
      <c r="AA173" s="1132" t="n"/>
      <c r="AB173" s="1132" t="n"/>
      <c r="AC173" s="1132" t="n"/>
      <c r="AD173" s="1132" t="n"/>
      <c r="AE173" s="1132" t="n"/>
      <c r="AF173" s="1132" t="n"/>
      <c r="AG173" s="1132" t="n"/>
      <c r="AH173" s="1132" t="n"/>
      <c r="AI173" s="1132" t="n"/>
      <c r="AJ173" s="1132" t="n"/>
      <c r="AK173" s="1132" t="n"/>
      <c r="AL173" s="1132" t="n"/>
      <c r="AM173" s="1132" t="n"/>
    </row>
    <row r="174" ht="15" customHeight="1" s="1134">
      <c r="L174" s="1344" t="n"/>
      <c r="M174" s="1132" t="n"/>
      <c r="N174" s="1344" t="n"/>
      <c r="O174" s="1132" t="n"/>
      <c r="P174" s="1132" t="n"/>
      <c r="Q174" s="1132" t="n"/>
      <c r="R174" s="1132" t="n"/>
      <c r="S174" s="1132" t="n"/>
      <c r="T174" s="1132" t="n"/>
      <c r="U174" s="1132" t="n"/>
      <c r="V174" s="1132" t="n"/>
      <c r="W174" s="1132" t="n"/>
      <c r="X174" s="1132" t="n"/>
      <c r="Y174" s="1132" t="n"/>
      <c r="Z174" s="1132" t="n"/>
      <c r="AA174" s="1132" t="n"/>
      <c r="AB174" s="1132" t="n"/>
      <c r="AC174" s="1132" t="n"/>
      <c r="AD174" s="1132" t="n"/>
      <c r="AE174" s="1132" t="n"/>
      <c r="AF174" s="1132" t="n"/>
      <c r="AG174" s="1132" t="n"/>
      <c r="AH174" s="1132" t="n"/>
      <c r="AI174" s="1132" t="n"/>
      <c r="AJ174" s="1132" t="n"/>
      <c r="AK174" s="1132" t="n"/>
      <c r="AL174" s="1132" t="n"/>
      <c r="AM174" s="1132" t="n"/>
    </row>
    <row r="175" ht="15" customHeight="1" s="1134">
      <c r="L175" s="1344" t="n"/>
      <c r="M175" s="1132" t="n"/>
      <c r="N175" s="1344" t="n"/>
      <c r="O175" s="1132" t="n"/>
      <c r="P175" s="1132" t="n"/>
      <c r="Q175" s="1132" t="n"/>
      <c r="R175" s="1132" t="n"/>
      <c r="S175" s="1132" t="n"/>
      <c r="T175" s="1132" t="n"/>
      <c r="U175" s="1132" t="n"/>
      <c r="V175" s="1132" t="n"/>
      <c r="W175" s="1132" t="n"/>
      <c r="X175" s="1132" t="n"/>
      <c r="Y175" s="1132" t="n"/>
      <c r="Z175" s="1132" t="n"/>
      <c r="AA175" s="1132" t="n"/>
      <c r="AB175" s="1132" t="n"/>
      <c r="AC175" s="1132" t="n"/>
      <c r="AD175" s="1132" t="n"/>
      <c r="AE175" s="1132" t="n"/>
      <c r="AF175" s="1132" t="n"/>
      <c r="AG175" s="1132" t="n"/>
      <c r="AH175" s="1132" t="n"/>
      <c r="AI175" s="1132" t="n"/>
      <c r="AJ175" s="1132" t="n"/>
      <c r="AK175" s="1132" t="n"/>
      <c r="AL175" s="1132" t="n"/>
      <c r="AM175" s="1132" t="n"/>
    </row>
    <row r="176" ht="15" customHeight="1" s="1134">
      <c r="L176" s="1344" t="n"/>
      <c r="M176" s="1132" t="n"/>
      <c r="N176" s="1344" t="n"/>
      <c r="O176" s="1132" t="n"/>
      <c r="P176" s="1132" t="n"/>
      <c r="Q176" s="1132" t="n"/>
      <c r="R176" s="1132" t="n"/>
      <c r="S176" s="1132" t="n"/>
      <c r="T176" s="1132" t="n"/>
      <c r="U176" s="1132" t="n"/>
      <c r="V176" s="1132" t="n"/>
      <c r="W176" s="1132" t="n"/>
      <c r="X176" s="1132" t="n"/>
      <c r="Y176" s="1132" t="n"/>
      <c r="Z176" s="1132" t="n"/>
      <c r="AA176" s="1132" t="n"/>
      <c r="AB176" s="1132" t="n"/>
      <c r="AC176" s="1132" t="n"/>
      <c r="AD176" s="1132" t="n"/>
      <c r="AE176" s="1132" t="n"/>
      <c r="AF176" s="1132" t="n"/>
      <c r="AG176" s="1132" t="n"/>
      <c r="AH176" s="1132" t="n"/>
      <c r="AI176" s="1132" t="n"/>
      <c r="AJ176" s="1132" t="n"/>
      <c r="AK176" s="1132" t="n"/>
      <c r="AL176" s="1132" t="n"/>
      <c r="AM176" s="1132" t="n"/>
    </row>
    <row r="177" ht="15" customHeight="1" s="1134">
      <c r="L177" s="1344" t="n"/>
      <c r="M177" s="1132" t="n"/>
      <c r="N177" s="1344" t="n"/>
      <c r="O177" s="1132" t="n"/>
      <c r="P177" s="1132" t="n"/>
      <c r="Q177" s="1132" t="n"/>
      <c r="R177" s="1132" t="n"/>
      <c r="S177" s="1132" t="n"/>
      <c r="T177" s="1132" t="n"/>
      <c r="U177" s="1132" t="n"/>
      <c r="V177" s="1132" t="n"/>
      <c r="W177" s="1132" t="n"/>
      <c r="X177" s="1132" t="n"/>
      <c r="Y177" s="1132" t="n"/>
      <c r="Z177" s="1132" t="n"/>
      <c r="AA177" s="1132" t="n"/>
      <c r="AB177" s="1132" t="n"/>
      <c r="AC177" s="1132" t="n"/>
      <c r="AD177" s="1132" t="n"/>
      <c r="AE177" s="1132" t="n"/>
      <c r="AF177" s="1132" t="n"/>
      <c r="AG177" s="1132" t="n"/>
      <c r="AH177" s="1132" t="n"/>
      <c r="AI177" s="1132" t="n"/>
      <c r="AJ177" s="1132" t="n"/>
      <c r="AK177" s="1132" t="n"/>
      <c r="AL177" s="1132" t="n"/>
      <c r="AM177" s="1132" t="n"/>
    </row>
    <row r="178" ht="15" customHeight="1" s="1134">
      <c r="L178" s="1344" t="n"/>
      <c r="M178" s="1132" t="n"/>
      <c r="N178" s="1344" t="n"/>
      <c r="O178" s="1132" t="n"/>
      <c r="P178" s="1132" t="n"/>
      <c r="Q178" s="1132" t="n"/>
      <c r="R178" s="1132" t="n"/>
      <c r="S178" s="1132" t="n"/>
      <c r="T178" s="1132" t="n"/>
      <c r="U178" s="1132" t="n"/>
      <c r="V178" s="1132" t="n"/>
      <c r="W178" s="1132" t="n"/>
      <c r="X178" s="1132" t="n"/>
      <c r="Y178" s="1132" t="n"/>
      <c r="Z178" s="1132" t="n"/>
      <c r="AA178" s="1132" t="n"/>
      <c r="AB178" s="1132" t="n"/>
      <c r="AC178" s="1132" t="n"/>
      <c r="AD178" s="1132" t="n"/>
      <c r="AE178" s="1132" t="n"/>
      <c r="AF178" s="1132" t="n"/>
      <c r="AG178" s="1132" t="n"/>
      <c r="AH178" s="1132" t="n"/>
      <c r="AI178" s="1132" t="n"/>
      <c r="AJ178" s="1132" t="n"/>
      <c r="AK178" s="1132" t="n"/>
      <c r="AL178" s="1132" t="n"/>
      <c r="AM178" s="1132" t="n"/>
    </row>
    <row r="179" ht="15" customHeight="1" s="1134">
      <c r="L179" s="1344" t="n"/>
      <c r="M179" s="1132" t="n"/>
      <c r="N179" s="1344" t="n"/>
      <c r="O179" s="1132" t="n"/>
      <c r="P179" s="1132" t="n"/>
      <c r="Q179" s="1132" t="n"/>
      <c r="R179" s="1132" t="n"/>
      <c r="S179" s="1132" t="n"/>
      <c r="T179" s="1132" t="n"/>
      <c r="U179" s="1132" t="n"/>
      <c r="V179" s="1132" t="n"/>
      <c r="W179" s="1132" t="n"/>
      <c r="X179" s="1132" t="n"/>
      <c r="Y179" s="1132" t="n"/>
      <c r="Z179" s="1132" t="n"/>
      <c r="AA179" s="1132" t="n"/>
      <c r="AB179" s="1132" t="n"/>
      <c r="AC179" s="1132" t="n"/>
      <c r="AD179" s="1132" t="n"/>
      <c r="AE179" s="1132" t="n"/>
      <c r="AF179" s="1132" t="n"/>
      <c r="AG179" s="1132" t="n"/>
      <c r="AH179" s="1132" t="n"/>
      <c r="AI179" s="1132" t="n"/>
      <c r="AJ179" s="1132" t="n"/>
      <c r="AK179" s="1132" t="n"/>
      <c r="AL179" s="1132" t="n"/>
      <c r="AM179" s="1132" t="n"/>
    </row>
    <row r="180" ht="15" customHeight="1" s="1134">
      <c r="L180" s="1344" t="n"/>
      <c r="M180" s="1132" t="n"/>
      <c r="N180" s="1344" t="n"/>
      <c r="O180" s="1132" t="n"/>
      <c r="P180" s="1132" t="n"/>
      <c r="Q180" s="1132" t="n"/>
      <c r="R180" s="1132" t="n"/>
      <c r="S180" s="1132" t="n"/>
      <c r="T180" s="1132" t="n"/>
      <c r="U180" s="1132" t="n"/>
      <c r="V180" s="1132" t="n"/>
      <c r="W180" s="1132" t="n"/>
      <c r="X180" s="1132" t="n"/>
      <c r="Y180" s="1132" t="n"/>
      <c r="Z180" s="1132" t="n"/>
      <c r="AA180" s="1132" t="n"/>
      <c r="AB180" s="1132" t="n"/>
      <c r="AC180" s="1132" t="n"/>
      <c r="AD180" s="1132" t="n"/>
      <c r="AE180" s="1132" t="n"/>
      <c r="AF180" s="1132" t="n"/>
      <c r="AG180" s="1132" t="n"/>
      <c r="AH180" s="1132" t="n"/>
      <c r="AI180" s="1132" t="n"/>
      <c r="AJ180" s="1132" t="n"/>
      <c r="AK180" s="1132" t="n"/>
      <c r="AL180" s="1132" t="n"/>
      <c r="AM180" s="1132" t="n"/>
    </row>
    <row r="181" ht="15" customHeight="1" s="1134">
      <c r="L181" s="1344" t="n"/>
      <c r="M181" s="1132" t="n"/>
      <c r="N181" s="1344" t="n"/>
      <c r="O181" s="1132" t="n"/>
      <c r="P181" s="1132" t="n"/>
      <c r="Q181" s="1132" t="n"/>
      <c r="R181" s="1132" t="n"/>
      <c r="S181" s="1132" t="n"/>
      <c r="T181" s="1132" t="n"/>
      <c r="U181" s="1132" t="n"/>
      <c r="V181" s="1132" t="n"/>
      <c r="W181" s="1132" t="n"/>
      <c r="X181" s="1132" t="n"/>
      <c r="Y181" s="1132" t="n"/>
      <c r="Z181" s="1132" t="n"/>
      <c r="AA181" s="1132" t="n"/>
      <c r="AB181" s="1132" t="n"/>
      <c r="AC181" s="1132" t="n"/>
      <c r="AD181" s="1132" t="n"/>
      <c r="AE181" s="1132" t="n"/>
      <c r="AF181" s="1132" t="n"/>
      <c r="AG181" s="1132" t="n"/>
      <c r="AH181" s="1132" t="n"/>
      <c r="AI181" s="1132" t="n"/>
      <c r="AJ181" s="1132" t="n"/>
      <c r="AK181" s="1132" t="n"/>
      <c r="AL181" s="1132" t="n"/>
      <c r="AM181" s="1132" t="n"/>
    </row>
    <row r="182" ht="15" customHeight="1" s="1134">
      <c r="L182" s="1344" t="n"/>
      <c r="M182" s="1132" t="n"/>
      <c r="N182" s="1344" t="n"/>
      <c r="O182" s="1132" t="n"/>
      <c r="P182" s="1132" t="n"/>
      <c r="Q182" s="1132" t="n"/>
      <c r="R182" s="1132" t="n"/>
      <c r="S182" s="1132" t="n"/>
      <c r="T182" s="1132" t="n"/>
      <c r="U182" s="1132" t="n"/>
      <c r="V182" s="1132" t="n"/>
      <c r="W182" s="1132" t="n"/>
      <c r="X182" s="1132" t="n"/>
      <c r="Y182" s="1132" t="n"/>
      <c r="Z182" s="1132" t="n"/>
      <c r="AA182" s="1132" t="n"/>
      <c r="AB182" s="1132" t="n"/>
      <c r="AC182" s="1132" t="n"/>
      <c r="AD182" s="1132" t="n"/>
      <c r="AE182" s="1132" t="n"/>
      <c r="AF182" s="1132" t="n"/>
      <c r="AG182" s="1132" t="n"/>
      <c r="AH182" s="1132" t="n"/>
      <c r="AI182" s="1132" t="n"/>
      <c r="AJ182" s="1132" t="n"/>
      <c r="AK182" s="1132" t="n"/>
      <c r="AL182" s="1132" t="n"/>
      <c r="AM182" s="1132" t="n"/>
    </row>
    <row r="183" ht="15" customHeight="1" s="1134">
      <c r="L183" s="1344" t="n"/>
      <c r="M183" s="1132" t="n"/>
      <c r="N183" s="1344" t="n"/>
      <c r="O183" s="1132" t="n"/>
      <c r="P183" s="1132" t="n"/>
      <c r="Q183" s="1132" t="n"/>
      <c r="R183" s="1132" t="n"/>
      <c r="S183" s="1132" t="n"/>
      <c r="T183" s="1132" t="n"/>
      <c r="U183" s="1132" t="n"/>
      <c r="V183" s="1132" t="n"/>
      <c r="W183" s="1132" t="n"/>
      <c r="X183" s="1132" t="n"/>
      <c r="Y183" s="1132" t="n"/>
      <c r="Z183" s="1132" t="n"/>
      <c r="AA183" s="1132" t="n"/>
      <c r="AB183" s="1132" t="n"/>
      <c r="AC183" s="1132" t="n"/>
      <c r="AD183" s="1132" t="n"/>
      <c r="AE183" s="1132" t="n"/>
      <c r="AF183" s="1132" t="n"/>
      <c r="AG183" s="1132" t="n"/>
      <c r="AH183" s="1132" t="n"/>
      <c r="AI183" s="1132" t="n"/>
      <c r="AJ183" s="1132" t="n"/>
      <c r="AK183" s="1132" t="n"/>
      <c r="AL183" s="1132" t="n"/>
      <c r="AM183" s="1132" t="n"/>
    </row>
    <row r="184" ht="15" customHeight="1" s="1134">
      <c r="L184" s="1344" t="n"/>
      <c r="M184" s="1132" t="n"/>
      <c r="N184" s="1344" t="n"/>
      <c r="O184" s="1132" t="n"/>
      <c r="P184" s="1132" t="n"/>
      <c r="Q184" s="1132" t="n"/>
      <c r="R184" s="1132" t="n"/>
      <c r="S184" s="1132" t="n"/>
      <c r="T184" s="1132" t="n"/>
      <c r="U184" s="1132" t="n"/>
      <c r="V184" s="1132" t="n"/>
      <c r="W184" s="1132" t="n"/>
      <c r="X184" s="1132" t="n"/>
      <c r="Y184" s="1132" t="n"/>
      <c r="Z184" s="1132" t="n"/>
      <c r="AA184" s="1132" t="n"/>
      <c r="AB184" s="1132" t="n"/>
      <c r="AC184" s="1132" t="n"/>
      <c r="AD184" s="1132" t="n"/>
      <c r="AE184" s="1132" t="n"/>
      <c r="AF184" s="1132" t="n"/>
      <c r="AG184" s="1132" t="n"/>
      <c r="AH184" s="1132" t="n"/>
      <c r="AI184" s="1132" t="n"/>
      <c r="AJ184" s="1132" t="n"/>
      <c r="AK184" s="1132" t="n"/>
      <c r="AL184" s="1132" t="n"/>
      <c r="AM184" s="1132" t="n"/>
    </row>
    <row r="185" ht="15" customHeight="1" s="1134">
      <c r="L185" s="1344" t="n"/>
      <c r="M185" s="1132" t="n"/>
      <c r="N185" s="1344" t="n"/>
      <c r="O185" s="1132" t="n"/>
      <c r="P185" s="1132" t="n"/>
      <c r="Q185" s="1132" t="n"/>
      <c r="R185" s="1132" t="n"/>
      <c r="S185" s="1132" t="n"/>
      <c r="T185" s="1132" t="n"/>
      <c r="U185" s="1132" t="n"/>
      <c r="V185" s="1132" t="n"/>
      <c r="W185" s="1132" t="n"/>
      <c r="X185" s="1132" t="n"/>
      <c r="Y185" s="1132" t="n"/>
      <c r="Z185" s="1132" t="n"/>
      <c r="AA185" s="1132" t="n"/>
      <c r="AB185" s="1132" t="n"/>
      <c r="AC185" s="1132" t="n"/>
      <c r="AD185" s="1132" t="n"/>
      <c r="AE185" s="1132" t="n"/>
      <c r="AF185" s="1132" t="n"/>
      <c r="AG185" s="1132" t="n"/>
      <c r="AH185" s="1132" t="n"/>
      <c r="AI185" s="1132" t="n"/>
      <c r="AJ185" s="1132" t="n"/>
      <c r="AK185" s="1132" t="n"/>
      <c r="AL185" s="1132" t="n"/>
      <c r="AM185" s="1132" t="n"/>
    </row>
    <row r="186" ht="15" customHeight="1" s="1134">
      <c r="L186" s="1344" t="n"/>
      <c r="M186" s="1132" t="n"/>
      <c r="N186" s="1344" t="n"/>
      <c r="O186" s="1132" t="n"/>
      <c r="P186" s="1132" t="n"/>
      <c r="Q186" s="1132" t="n"/>
      <c r="R186" s="1132" t="n"/>
      <c r="S186" s="1132" t="n"/>
      <c r="T186" s="1132" t="n"/>
      <c r="U186" s="1132" t="n"/>
      <c r="V186" s="1132" t="n"/>
      <c r="W186" s="1132" t="n"/>
      <c r="X186" s="1132" t="n"/>
      <c r="Y186" s="1132" t="n"/>
      <c r="Z186" s="1132" t="n"/>
      <c r="AA186" s="1132" t="n"/>
      <c r="AB186" s="1132" t="n"/>
      <c r="AC186" s="1132" t="n"/>
      <c r="AD186" s="1132" t="n"/>
      <c r="AE186" s="1132" t="n"/>
      <c r="AF186" s="1132" t="n"/>
      <c r="AG186" s="1132" t="n"/>
      <c r="AH186" s="1132" t="n"/>
      <c r="AI186" s="1132" t="n"/>
      <c r="AJ186" s="1132" t="n"/>
      <c r="AK186" s="1132" t="n"/>
      <c r="AL186" s="1132" t="n"/>
      <c r="AM186" s="1132" t="n"/>
    </row>
    <row r="187" ht="15" customHeight="1" s="1134">
      <c r="L187" s="1344" t="n"/>
      <c r="M187" s="1132" t="n"/>
      <c r="N187" s="1344" t="n"/>
      <c r="O187" s="1132" t="n"/>
      <c r="P187" s="1132" t="n"/>
      <c r="Q187" s="1132" t="n"/>
      <c r="R187" s="1132" t="n"/>
      <c r="S187" s="1132" t="n"/>
      <c r="T187" s="1132" t="n"/>
      <c r="U187" s="1132" t="n"/>
      <c r="V187" s="1132" t="n"/>
      <c r="W187" s="1132" t="n"/>
      <c r="X187" s="1132" t="n"/>
      <c r="Y187" s="1132" t="n"/>
      <c r="Z187" s="1132" t="n"/>
      <c r="AA187" s="1132" t="n"/>
      <c r="AB187" s="1132" t="n"/>
      <c r="AC187" s="1132" t="n"/>
      <c r="AD187" s="1132" t="n"/>
      <c r="AE187" s="1132" t="n"/>
      <c r="AF187" s="1132" t="n"/>
      <c r="AG187" s="1132" t="n"/>
      <c r="AH187" s="1132" t="n"/>
      <c r="AI187" s="1132" t="n"/>
      <c r="AJ187" s="1132" t="n"/>
      <c r="AK187" s="1132" t="n"/>
      <c r="AL187" s="1132" t="n"/>
      <c r="AM187" s="1132" t="n"/>
    </row>
    <row r="188" ht="15" customHeight="1" s="1134">
      <c r="L188" s="1344" t="n"/>
      <c r="M188" s="1132" t="n"/>
      <c r="N188" s="1344" t="n"/>
      <c r="O188" s="1132" t="n"/>
      <c r="P188" s="1132" t="n"/>
      <c r="Q188" s="1132" t="n"/>
      <c r="R188" s="1132" t="n"/>
      <c r="S188" s="1132" t="n"/>
      <c r="T188" s="1132" t="n"/>
      <c r="U188" s="1132" t="n"/>
      <c r="V188" s="1132" t="n"/>
      <c r="W188" s="1132" t="n"/>
      <c r="X188" s="1132" t="n"/>
      <c r="Y188" s="1132" t="n"/>
      <c r="Z188" s="1132" t="n"/>
      <c r="AA188" s="1132" t="n"/>
      <c r="AB188" s="1132" t="n"/>
      <c r="AC188" s="1132" t="n"/>
      <c r="AD188" s="1132" t="n"/>
      <c r="AE188" s="1132" t="n"/>
      <c r="AF188" s="1132" t="n"/>
      <c r="AG188" s="1132" t="n"/>
      <c r="AH188" s="1132" t="n"/>
      <c r="AI188" s="1132" t="n"/>
      <c r="AJ188" s="1132" t="n"/>
      <c r="AK188" s="1132" t="n"/>
      <c r="AL188" s="1132" t="n"/>
      <c r="AM188" s="1132" t="n"/>
    </row>
    <row r="189" ht="15" customHeight="1" s="1134">
      <c r="L189" s="1344" t="n"/>
      <c r="M189" s="1132" t="n"/>
      <c r="N189" s="1344" t="n"/>
      <c r="O189" s="1132" t="n"/>
      <c r="P189" s="1132" t="n"/>
      <c r="Q189" s="1132" t="n"/>
      <c r="R189" s="1132" t="n"/>
      <c r="S189" s="1132" t="n"/>
      <c r="T189" s="1132" t="n"/>
      <c r="U189" s="1132" t="n"/>
      <c r="V189" s="1132" t="n"/>
      <c r="W189" s="1132" t="n"/>
      <c r="X189" s="1132" t="n"/>
      <c r="Y189" s="1132" t="n"/>
      <c r="Z189" s="1132" t="n"/>
      <c r="AA189" s="1132" t="n"/>
      <c r="AB189" s="1132" t="n"/>
      <c r="AC189" s="1132" t="n"/>
      <c r="AD189" s="1132" t="n"/>
      <c r="AE189" s="1132" t="n"/>
      <c r="AF189" s="1132" t="n"/>
      <c r="AG189" s="1132" t="n"/>
      <c r="AH189" s="1132" t="n"/>
      <c r="AI189" s="1132" t="n"/>
      <c r="AJ189" s="1132" t="n"/>
      <c r="AK189" s="1132" t="n"/>
      <c r="AL189" s="1132" t="n"/>
      <c r="AM189" s="1132" t="n"/>
    </row>
    <row r="190" ht="15" customHeight="1" s="1134">
      <c r="L190" s="1344" t="n"/>
      <c r="M190" s="1132" t="n"/>
      <c r="N190" s="1344" t="n"/>
      <c r="O190" s="1132" t="n"/>
      <c r="P190" s="1132" t="n"/>
      <c r="Q190" s="1132" t="n"/>
      <c r="R190" s="1132" t="n"/>
      <c r="S190" s="1132" t="n"/>
      <c r="T190" s="1132" t="n"/>
      <c r="U190" s="1132" t="n"/>
      <c r="V190" s="1132" t="n"/>
      <c r="W190" s="1132" t="n"/>
      <c r="X190" s="1132" t="n"/>
      <c r="Y190" s="1132" t="n"/>
      <c r="Z190" s="1132" t="n"/>
      <c r="AA190" s="1132" t="n"/>
      <c r="AB190" s="1132" t="n"/>
      <c r="AC190" s="1132" t="n"/>
      <c r="AD190" s="1132" t="n"/>
      <c r="AE190" s="1132" t="n"/>
      <c r="AF190" s="1132" t="n"/>
      <c r="AG190" s="1132" t="n"/>
      <c r="AH190" s="1132" t="n"/>
      <c r="AI190" s="1132" t="n"/>
      <c r="AJ190" s="1132" t="n"/>
      <c r="AK190" s="1132" t="n"/>
      <c r="AL190" s="1132" t="n"/>
      <c r="AM190" s="1132" t="n"/>
    </row>
    <row r="191" ht="15" customHeight="1" s="1134">
      <c r="L191" s="1344" t="n"/>
      <c r="M191" s="1132" t="n"/>
      <c r="N191" s="1344" t="n"/>
      <c r="O191" s="1132" t="n"/>
      <c r="P191" s="1132" t="n"/>
      <c r="Q191" s="1132" t="n"/>
      <c r="R191" s="1132" t="n"/>
      <c r="S191" s="1132" t="n"/>
      <c r="T191" s="1132" t="n"/>
      <c r="U191" s="1132" t="n"/>
      <c r="V191" s="1132" t="n"/>
      <c r="W191" s="1132" t="n"/>
      <c r="X191" s="1132" t="n"/>
      <c r="Y191" s="1132" t="n"/>
      <c r="Z191" s="1132" t="n"/>
      <c r="AA191" s="1132" t="n"/>
      <c r="AB191" s="1132" t="n"/>
      <c r="AC191" s="1132" t="n"/>
      <c r="AD191" s="1132" t="n"/>
      <c r="AE191" s="1132" t="n"/>
      <c r="AF191" s="1132" t="n"/>
      <c r="AG191" s="1132" t="n"/>
      <c r="AH191" s="1132" t="n"/>
      <c r="AI191" s="1132" t="n"/>
      <c r="AJ191" s="1132" t="n"/>
      <c r="AK191" s="1132" t="n"/>
      <c r="AL191" s="1132" t="n"/>
      <c r="AM191" s="1132" t="n"/>
    </row>
    <row r="192" ht="15" customHeight="1" s="1134">
      <c r="L192" s="1344" t="n"/>
      <c r="M192" s="1132" t="n"/>
      <c r="N192" s="1344" t="n"/>
      <c r="O192" s="1132" t="n"/>
      <c r="P192" s="1132" t="n"/>
      <c r="Q192" s="1132" t="n"/>
      <c r="R192" s="1132" t="n"/>
      <c r="S192" s="1132" t="n"/>
      <c r="T192" s="1132" t="n"/>
      <c r="U192" s="1132" t="n"/>
      <c r="V192" s="1132" t="n"/>
      <c r="W192" s="1132" t="n"/>
      <c r="X192" s="1132" t="n"/>
      <c r="Y192" s="1132" t="n"/>
      <c r="Z192" s="1132" t="n"/>
      <c r="AA192" s="1132" t="n"/>
      <c r="AB192" s="1132" t="n"/>
      <c r="AC192" s="1132" t="n"/>
      <c r="AD192" s="1132" t="n"/>
      <c r="AE192" s="1132" t="n"/>
      <c r="AF192" s="1132" t="n"/>
      <c r="AG192" s="1132" t="n"/>
      <c r="AH192" s="1132" t="n"/>
      <c r="AI192" s="1132" t="n"/>
      <c r="AJ192" s="1132" t="n"/>
      <c r="AK192" s="1132" t="n"/>
      <c r="AL192" s="1132" t="n"/>
      <c r="AM192" s="1132" t="n"/>
    </row>
    <row r="193" ht="15" customHeight="1" s="1134">
      <c r="L193" s="1344" t="n"/>
      <c r="M193" s="1132" t="n"/>
      <c r="N193" s="1344" t="n"/>
      <c r="O193" s="1132" t="n"/>
      <c r="P193" s="1132" t="n"/>
      <c r="Q193" s="1132" t="n"/>
      <c r="R193" s="1132" t="n"/>
      <c r="S193" s="1132" t="n"/>
      <c r="T193" s="1132" t="n"/>
      <c r="U193" s="1132" t="n"/>
      <c r="V193" s="1132" t="n"/>
      <c r="W193" s="1132" t="n"/>
      <c r="X193" s="1132" t="n"/>
      <c r="Y193" s="1132" t="n"/>
      <c r="Z193" s="1132" t="n"/>
      <c r="AA193" s="1132" t="n"/>
      <c r="AB193" s="1132" t="n"/>
      <c r="AC193" s="1132" t="n"/>
      <c r="AD193" s="1132" t="n"/>
      <c r="AE193" s="1132" t="n"/>
      <c r="AF193" s="1132" t="n"/>
      <c r="AG193" s="1132" t="n"/>
      <c r="AH193" s="1132" t="n"/>
      <c r="AI193" s="1132" t="n"/>
      <c r="AJ193" s="1132" t="n"/>
      <c r="AK193" s="1132" t="n"/>
      <c r="AL193" s="1132" t="n"/>
      <c r="AM193" s="1132" t="n"/>
    </row>
    <row r="194" ht="15" customHeight="1" s="1134">
      <c r="L194" s="1344" t="n"/>
      <c r="M194" s="1132" t="n"/>
      <c r="N194" s="1344" t="n"/>
      <c r="O194" s="1132" t="n"/>
      <c r="P194" s="1132" t="n"/>
      <c r="Q194" s="1132" t="n"/>
      <c r="R194" s="1132" t="n"/>
      <c r="S194" s="1132" t="n"/>
      <c r="T194" s="1132" t="n"/>
      <c r="U194" s="1132" t="n"/>
      <c r="V194" s="1132" t="n"/>
      <c r="W194" s="1132" t="n"/>
      <c r="X194" s="1132" t="n"/>
      <c r="Y194" s="1132" t="n"/>
      <c r="Z194" s="1132" t="n"/>
      <c r="AA194" s="1132" t="n"/>
      <c r="AB194" s="1132" t="n"/>
      <c r="AC194" s="1132" t="n"/>
      <c r="AD194" s="1132" t="n"/>
      <c r="AE194" s="1132" t="n"/>
      <c r="AF194" s="1132" t="n"/>
      <c r="AG194" s="1132" t="n"/>
      <c r="AH194" s="1132" t="n"/>
      <c r="AI194" s="1132" t="n"/>
      <c r="AJ194" s="1132" t="n"/>
      <c r="AK194" s="1132" t="n"/>
      <c r="AL194" s="1132" t="n"/>
      <c r="AM194" s="1132" t="n"/>
    </row>
    <row r="195" ht="15" customHeight="1" s="1134">
      <c r="L195" s="1344" t="n"/>
      <c r="M195" s="1132" t="n"/>
      <c r="N195" s="1344" t="n"/>
      <c r="O195" s="1132" t="n"/>
      <c r="P195" s="1132" t="n"/>
      <c r="Q195" s="1132" t="n"/>
      <c r="R195" s="1132" t="n"/>
      <c r="S195" s="1132" t="n"/>
      <c r="T195" s="1132" t="n"/>
      <c r="U195" s="1132" t="n"/>
      <c r="V195" s="1132" t="n"/>
      <c r="W195" s="1132" t="n"/>
      <c r="X195" s="1132" t="n"/>
      <c r="Y195" s="1132" t="n"/>
      <c r="Z195" s="1132" t="n"/>
      <c r="AA195" s="1132" t="n"/>
      <c r="AB195" s="1132" t="n"/>
      <c r="AC195" s="1132" t="n"/>
      <c r="AD195" s="1132" t="n"/>
      <c r="AE195" s="1132" t="n"/>
      <c r="AF195" s="1132" t="n"/>
      <c r="AG195" s="1132" t="n"/>
      <c r="AH195" s="1132" t="n"/>
      <c r="AI195" s="1132" t="n"/>
      <c r="AJ195" s="1132" t="n"/>
      <c r="AK195" s="1132" t="n"/>
      <c r="AL195" s="1132" t="n"/>
      <c r="AM195" s="1132" t="n"/>
    </row>
    <row r="196" ht="15" customHeight="1" s="1134">
      <c r="L196" s="1344" t="n"/>
      <c r="M196" s="1132" t="n"/>
      <c r="N196" s="1344" t="n"/>
      <c r="O196" s="1132" t="n"/>
      <c r="P196" s="1132" t="n"/>
      <c r="Q196" s="1132" t="n"/>
      <c r="R196" s="1132" t="n"/>
      <c r="S196" s="1132" t="n"/>
      <c r="T196" s="1132" t="n"/>
      <c r="U196" s="1132" t="n"/>
      <c r="V196" s="1132" t="n"/>
      <c r="W196" s="1132" t="n"/>
      <c r="X196" s="1132" t="n"/>
      <c r="Y196" s="1132" t="n"/>
      <c r="Z196" s="1132" t="n"/>
      <c r="AA196" s="1132" t="n"/>
      <c r="AB196" s="1132" t="n"/>
      <c r="AC196" s="1132" t="n"/>
      <c r="AD196" s="1132" t="n"/>
      <c r="AE196" s="1132" t="n"/>
      <c r="AF196" s="1132" t="n"/>
      <c r="AG196" s="1132" t="n"/>
      <c r="AH196" s="1132" t="n"/>
      <c r="AI196" s="1132" t="n"/>
      <c r="AJ196" s="1132" t="n"/>
      <c r="AK196" s="1132" t="n"/>
      <c r="AL196" s="1132" t="n"/>
      <c r="AM196" s="1132" t="n"/>
    </row>
    <row r="197" ht="15" customHeight="1" s="1134">
      <c r="L197" s="1344" t="n"/>
      <c r="M197" s="1132" t="n"/>
      <c r="N197" s="1344" t="n"/>
      <c r="O197" s="1132" t="n"/>
      <c r="P197" s="1132" t="n"/>
      <c r="Q197" s="1132" t="n"/>
      <c r="R197" s="1132" t="n"/>
      <c r="S197" s="1132" t="n"/>
      <c r="T197" s="1132" t="n"/>
      <c r="U197" s="1132" t="n"/>
      <c r="V197" s="1132" t="n"/>
      <c r="W197" s="1132" t="n"/>
      <c r="X197" s="1132" t="n"/>
      <c r="Y197" s="1132" t="n"/>
      <c r="Z197" s="1132" t="n"/>
      <c r="AA197" s="1132" t="n"/>
      <c r="AB197" s="1132" t="n"/>
      <c r="AC197" s="1132" t="n"/>
      <c r="AD197" s="1132" t="n"/>
      <c r="AE197" s="1132" t="n"/>
      <c r="AF197" s="1132" t="n"/>
      <c r="AG197" s="1132" t="n"/>
      <c r="AH197" s="1132" t="n"/>
      <c r="AI197" s="1132" t="n"/>
      <c r="AJ197" s="1132" t="n"/>
      <c r="AK197" s="1132" t="n"/>
      <c r="AL197" s="1132" t="n"/>
      <c r="AM197" s="1132" t="n"/>
    </row>
    <row r="198" ht="15" customHeight="1" s="1134">
      <c r="L198" s="1344" t="n"/>
      <c r="M198" s="1132" t="n"/>
      <c r="N198" s="1344" t="n"/>
      <c r="O198" s="1132" t="n"/>
      <c r="P198" s="1132" t="n"/>
      <c r="Q198" s="1132" t="n"/>
      <c r="R198" s="1132" t="n"/>
      <c r="S198" s="1132" t="n"/>
      <c r="T198" s="1132" t="n"/>
      <c r="U198" s="1132" t="n"/>
      <c r="V198" s="1132" t="n"/>
      <c r="W198" s="1132" t="n"/>
      <c r="X198" s="1132" t="n"/>
      <c r="Y198" s="1132" t="n"/>
      <c r="Z198" s="1132" t="n"/>
      <c r="AA198" s="1132" t="n"/>
      <c r="AB198" s="1132" t="n"/>
      <c r="AC198" s="1132" t="n"/>
      <c r="AD198" s="1132" t="n"/>
      <c r="AE198" s="1132" t="n"/>
      <c r="AF198" s="1132" t="n"/>
      <c r="AG198" s="1132" t="n"/>
      <c r="AH198" s="1132" t="n"/>
      <c r="AI198" s="1132" t="n"/>
      <c r="AJ198" s="1132" t="n"/>
      <c r="AK198" s="1132" t="n"/>
      <c r="AL198" s="1132" t="n"/>
      <c r="AM198" s="1132" t="n"/>
    </row>
    <row r="199" ht="15" customHeight="1" s="1134">
      <c r="L199" s="1344" t="n"/>
      <c r="M199" s="1132" t="n"/>
      <c r="N199" s="1344" t="n"/>
      <c r="O199" s="1132" t="n"/>
      <c r="P199" s="1132" t="n"/>
      <c r="Q199" s="1132" t="n"/>
      <c r="R199" s="1132" t="n"/>
      <c r="S199" s="1132" t="n"/>
      <c r="T199" s="1132" t="n"/>
      <c r="U199" s="1132" t="n"/>
      <c r="V199" s="1132" t="n"/>
      <c r="W199" s="1132" t="n"/>
      <c r="X199" s="1132" t="n"/>
      <c r="Y199" s="1132" t="n"/>
      <c r="Z199" s="1132" t="n"/>
      <c r="AA199" s="1132" t="n"/>
      <c r="AB199" s="1132" t="n"/>
      <c r="AC199" s="1132" t="n"/>
      <c r="AD199" s="1132" t="n"/>
      <c r="AE199" s="1132" t="n"/>
      <c r="AF199" s="1132" t="n"/>
      <c r="AG199" s="1132" t="n"/>
      <c r="AH199" s="1132" t="n"/>
      <c r="AI199" s="1132" t="n"/>
      <c r="AJ199" s="1132" t="n"/>
      <c r="AK199" s="1132" t="n"/>
      <c r="AL199" s="1132" t="n"/>
      <c r="AM199" s="1132" t="n"/>
    </row>
    <row r="200" ht="15" customHeight="1" s="1134">
      <c r="L200" s="1344" t="n"/>
      <c r="M200" s="1132" t="n"/>
      <c r="N200" s="1344" t="n"/>
      <c r="O200" s="1132" t="n"/>
      <c r="P200" s="1132" t="n"/>
      <c r="Q200" s="1132" t="n"/>
      <c r="R200" s="1132" t="n"/>
      <c r="S200" s="1132" t="n"/>
      <c r="T200" s="1132" t="n"/>
      <c r="U200" s="1132" t="n"/>
      <c r="V200" s="1132" t="n"/>
      <c r="W200" s="1132" t="n"/>
      <c r="X200" s="1132" t="n"/>
      <c r="Y200" s="1132" t="n"/>
      <c r="Z200" s="1132" t="n"/>
      <c r="AA200" s="1132" t="n"/>
      <c r="AB200" s="1132" t="n"/>
      <c r="AC200" s="1132" t="n"/>
      <c r="AD200" s="1132" t="n"/>
      <c r="AE200" s="1132" t="n"/>
      <c r="AF200" s="1132" t="n"/>
      <c r="AG200" s="1132" t="n"/>
      <c r="AH200" s="1132" t="n"/>
      <c r="AI200" s="1132" t="n"/>
      <c r="AJ200" s="1132" t="n"/>
      <c r="AK200" s="1132" t="n"/>
      <c r="AL200" s="1132" t="n"/>
      <c r="AM200" s="1132" t="n"/>
    </row>
    <row r="201" ht="15" customHeight="1" s="1134">
      <c r="L201" s="1344" t="n"/>
      <c r="M201" s="1132" t="n"/>
      <c r="N201" s="1344" t="n"/>
      <c r="O201" s="1132" t="n"/>
      <c r="P201" s="1132" t="n"/>
      <c r="Q201" s="1132" t="n"/>
      <c r="R201" s="1132" t="n"/>
      <c r="S201" s="1132" t="n"/>
      <c r="T201" s="1132" t="n"/>
      <c r="U201" s="1132" t="n"/>
      <c r="V201" s="1132" t="n"/>
      <c r="W201" s="1132" t="n"/>
      <c r="X201" s="1132" t="n"/>
      <c r="Y201" s="1132" t="n"/>
      <c r="Z201" s="1132" t="n"/>
      <c r="AA201" s="1132" t="n"/>
      <c r="AB201" s="1132" t="n"/>
      <c r="AC201" s="1132" t="n"/>
      <c r="AD201" s="1132" t="n"/>
      <c r="AE201" s="1132" t="n"/>
      <c r="AF201" s="1132" t="n"/>
      <c r="AG201" s="1132" t="n"/>
      <c r="AH201" s="1132" t="n"/>
      <c r="AI201" s="1132" t="n"/>
      <c r="AJ201" s="1132" t="n"/>
      <c r="AK201" s="1132" t="n"/>
      <c r="AL201" s="1132" t="n"/>
      <c r="AM201" s="1132" t="n"/>
    </row>
    <row r="202" ht="15" customHeight="1" s="1134">
      <c r="L202" s="1344" t="n"/>
      <c r="M202" s="1132" t="n"/>
      <c r="N202" s="1344" t="n"/>
      <c r="O202" s="1132" t="n"/>
      <c r="P202" s="1132" t="n"/>
      <c r="Q202" s="1132" t="n"/>
      <c r="R202" s="1132" t="n"/>
      <c r="S202" s="1132" t="n"/>
      <c r="T202" s="1132" t="n"/>
      <c r="U202" s="1132" t="n"/>
      <c r="V202" s="1132" t="n"/>
      <c r="W202" s="1132" t="n"/>
      <c r="X202" s="1132" t="n"/>
      <c r="Y202" s="1132" t="n"/>
      <c r="Z202" s="1132" t="n"/>
      <c r="AA202" s="1132" t="n"/>
      <c r="AB202" s="1132" t="n"/>
      <c r="AC202" s="1132" t="n"/>
      <c r="AD202" s="1132" t="n"/>
      <c r="AE202" s="1132" t="n"/>
      <c r="AF202" s="1132" t="n"/>
      <c r="AG202" s="1132" t="n"/>
      <c r="AH202" s="1132" t="n"/>
      <c r="AI202" s="1132" t="n"/>
      <c r="AJ202" s="1132" t="n"/>
      <c r="AK202" s="1132" t="n"/>
      <c r="AL202" s="1132" t="n"/>
      <c r="AM202" s="1132" t="n"/>
    </row>
    <row r="203" ht="15" customHeight="1" s="1134">
      <c r="L203" s="1344" t="n"/>
      <c r="M203" s="1132" t="n"/>
      <c r="N203" s="1344" t="n"/>
      <c r="O203" s="1132" t="n"/>
      <c r="P203" s="1132" t="n"/>
      <c r="Q203" s="1132" t="n"/>
      <c r="R203" s="1132" t="n"/>
      <c r="S203" s="1132" t="n"/>
      <c r="T203" s="1132" t="n"/>
      <c r="U203" s="1132" t="n"/>
      <c r="V203" s="1132" t="n"/>
      <c r="W203" s="1132" t="n"/>
      <c r="X203" s="1132" t="n"/>
      <c r="Y203" s="1132" t="n"/>
      <c r="Z203" s="1132" t="n"/>
      <c r="AA203" s="1132" t="n"/>
      <c r="AB203" s="1132" t="n"/>
      <c r="AC203" s="1132" t="n"/>
      <c r="AD203" s="1132" t="n"/>
      <c r="AE203" s="1132" t="n"/>
      <c r="AF203" s="1132" t="n"/>
      <c r="AG203" s="1132" t="n"/>
      <c r="AH203" s="1132" t="n"/>
      <c r="AI203" s="1132" t="n"/>
      <c r="AJ203" s="1132" t="n"/>
      <c r="AK203" s="1132" t="n"/>
      <c r="AL203" s="1132" t="n"/>
      <c r="AM203" s="1132" t="n"/>
    </row>
    <row r="204" ht="15" customHeight="1" s="1134">
      <c r="L204" s="1344" t="n"/>
      <c r="M204" s="1132" t="n"/>
      <c r="N204" s="1344" t="n"/>
      <c r="O204" s="1132" t="n"/>
      <c r="P204" s="1132" t="n"/>
      <c r="Q204" s="1132" t="n"/>
      <c r="R204" s="1132" t="n"/>
      <c r="S204" s="1132" t="n"/>
      <c r="T204" s="1132" t="n"/>
      <c r="U204" s="1132" t="n"/>
      <c r="V204" s="1132" t="n"/>
      <c r="W204" s="1132" t="n"/>
      <c r="X204" s="1132" t="n"/>
      <c r="Y204" s="1132" t="n"/>
      <c r="Z204" s="1132" t="n"/>
      <c r="AA204" s="1132" t="n"/>
      <c r="AB204" s="1132" t="n"/>
      <c r="AC204" s="1132" t="n"/>
      <c r="AD204" s="1132" t="n"/>
      <c r="AE204" s="1132" t="n"/>
      <c r="AF204" s="1132" t="n"/>
      <c r="AG204" s="1132" t="n"/>
      <c r="AH204" s="1132" t="n"/>
      <c r="AI204" s="1132" t="n"/>
      <c r="AJ204" s="1132" t="n"/>
      <c r="AK204" s="1132" t="n"/>
      <c r="AL204" s="1132" t="n"/>
      <c r="AM204" s="1132" t="n"/>
    </row>
    <row r="205" ht="15" customHeight="1" s="1134">
      <c r="L205" s="1344" t="n"/>
      <c r="M205" s="1132" t="n"/>
      <c r="N205" s="1344" t="n"/>
      <c r="O205" s="1132" t="n"/>
      <c r="P205" s="1132" t="n"/>
      <c r="Q205" s="1132" t="n"/>
      <c r="R205" s="1132" t="n"/>
      <c r="S205" s="1132" t="n"/>
      <c r="T205" s="1132" t="n"/>
      <c r="U205" s="1132" t="n"/>
      <c r="V205" s="1132" t="n"/>
      <c r="W205" s="1132" t="n"/>
      <c r="X205" s="1132" t="n"/>
      <c r="Y205" s="1132" t="n"/>
      <c r="Z205" s="1132" t="n"/>
      <c r="AA205" s="1132" t="n"/>
      <c r="AB205" s="1132" t="n"/>
      <c r="AC205" s="1132" t="n"/>
      <c r="AD205" s="1132" t="n"/>
      <c r="AE205" s="1132" t="n"/>
      <c r="AF205" s="1132" t="n"/>
      <c r="AG205" s="1132" t="n"/>
      <c r="AH205" s="1132" t="n"/>
      <c r="AI205" s="1132" t="n"/>
      <c r="AJ205" s="1132" t="n"/>
      <c r="AK205" s="1132" t="n"/>
      <c r="AL205" s="1132" t="n"/>
      <c r="AM205" s="1132" t="n"/>
    </row>
    <row r="206" ht="15" customHeight="1" s="1134">
      <c r="L206" s="1344" t="n"/>
      <c r="M206" s="1132" t="n"/>
      <c r="N206" s="1344" t="n"/>
      <c r="O206" s="1132" t="n"/>
      <c r="P206" s="1132" t="n"/>
      <c r="Q206" s="1132" t="n"/>
      <c r="R206" s="1132" t="n"/>
      <c r="S206" s="1132" t="n"/>
      <c r="T206" s="1132" t="n"/>
      <c r="U206" s="1132" t="n"/>
      <c r="V206" s="1132" t="n"/>
      <c r="W206" s="1132" t="n"/>
      <c r="X206" s="1132" t="n"/>
      <c r="Y206" s="1132" t="n"/>
      <c r="Z206" s="1132" t="n"/>
      <c r="AA206" s="1132" t="n"/>
      <c r="AB206" s="1132" t="n"/>
      <c r="AC206" s="1132" t="n"/>
      <c r="AD206" s="1132" t="n"/>
      <c r="AE206" s="1132" t="n"/>
      <c r="AF206" s="1132" t="n"/>
      <c r="AG206" s="1132" t="n"/>
      <c r="AH206" s="1132" t="n"/>
      <c r="AI206" s="1132" t="n"/>
      <c r="AJ206" s="1132" t="n"/>
      <c r="AK206" s="1132" t="n"/>
      <c r="AL206" s="1132" t="n"/>
      <c r="AM206" s="1132" t="n"/>
    </row>
    <row r="207" ht="15" customHeight="1" s="1134">
      <c r="L207" s="1344" t="n"/>
      <c r="M207" s="1132" t="n"/>
      <c r="N207" s="1344" t="n"/>
      <c r="O207" s="1132" t="n"/>
      <c r="P207" s="1132" t="n"/>
      <c r="Q207" s="1132" t="n"/>
      <c r="R207" s="1132" t="n"/>
      <c r="S207" s="1132" t="n"/>
      <c r="T207" s="1132" t="n"/>
      <c r="U207" s="1132" t="n"/>
      <c r="V207" s="1132" t="n"/>
      <c r="W207" s="1132" t="n"/>
      <c r="X207" s="1132" t="n"/>
      <c r="Y207" s="1132" t="n"/>
      <c r="Z207" s="1132" t="n"/>
      <c r="AA207" s="1132" t="n"/>
      <c r="AB207" s="1132" t="n"/>
      <c r="AC207" s="1132" t="n"/>
      <c r="AD207" s="1132" t="n"/>
      <c r="AE207" s="1132" t="n"/>
      <c r="AF207" s="1132" t="n"/>
      <c r="AG207" s="1132" t="n"/>
      <c r="AH207" s="1132" t="n"/>
      <c r="AI207" s="1132" t="n"/>
      <c r="AJ207" s="1132" t="n"/>
      <c r="AK207" s="1132" t="n"/>
      <c r="AL207" s="1132" t="n"/>
      <c r="AM207" s="1132" t="n"/>
    </row>
    <row r="208" ht="15" customHeight="1" s="1134">
      <c r="L208" s="1344" t="n"/>
      <c r="M208" s="1132" t="n"/>
      <c r="N208" s="1344" t="n"/>
      <c r="O208" s="1132" t="n"/>
      <c r="P208" s="1132" t="n"/>
      <c r="Q208" s="1132" t="n"/>
      <c r="R208" s="1132" t="n"/>
      <c r="S208" s="1132" t="n"/>
      <c r="T208" s="1132" t="n"/>
      <c r="U208" s="1132" t="n"/>
      <c r="V208" s="1132" t="n"/>
      <c r="W208" s="1132" t="n"/>
      <c r="X208" s="1132" t="n"/>
      <c r="Y208" s="1132" t="n"/>
      <c r="Z208" s="1132" t="n"/>
      <c r="AA208" s="1132" t="n"/>
      <c r="AB208" s="1132" t="n"/>
      <c r="AC208" s="1132" t="n"/>
      <c r="AD208" s="1132" t="n"/>
      <c r="AE208" s="1132" t="n"/>
      <c r="AF208" s="1132" t="n"/>
      <c r="AG208" s="1132" t="n"/>
      <c r="AH208" s="1132" t="n"/>
      <c r="AI208" s="1132" t="n"/>
      <c r="AJ208" s="1132" t="n"/>
      <c r="AK208" s="1132" t="n"/>
      <c r="AL208" s="1132" t="n"/>
      <c r="AM208" s="1132" t="n"/>
    </row>
    <row r="209" ht="15" customHeight="1" s="1134">
      <c r="L209" s="1344" t="n"/>
      <c r="M209" s="1132" t="n"/>
      <c r="N209" s="1344" t="n"/>
      <c r="O209" s="1132" t="n"/>
      <c r="P209" s="1132" t="n"/>
      <c r="Q209" s="1132" t="n"/>
      <c r="R209" s="1132" t="n"/>
      <c r="S209" s="1132" t="n"/>
      <c r="T209" s="1132" t="n"/>
      <c r="U209" s="1132" t="n"/>
      <c r="V209" s="1132" t="n"/>
      <c r="W209" s="1132" t="n"/>
      <c r="X209" s="1132" t="n"/>
      <c r="Y209" s="1132" t="n"/>
      <c r="Z209" s="1132" t="n"/>
      <c r="AA209" s="1132" t="n"/>
      <c r="AB209" s="1132" t="n"/>
      <c r="AC209" s="1132" t="n"/>
      <c r="AD209" s="1132" t="n"/>
      <c r="AE209" s="1132" t="n"/>
      <c r="AF209" s="1132" t="n"/>
      <c r="AG209" s="1132" t="n"/>
      <c r="AH209" s="1132" t="n"/>
      <c r="AI209" s="1132" t="n"/>
      <c r="AJ209" s="1132" t="n"/>
      <c r="AK209" s="1132" t="n"/>
      <c r="AL209" s="1132" t="n"/>
      <c r="AM209" s="1132" t="n"/>
    </row>
    <row r="210" ht="15" customHeight="1" s="1134">
      <c r="L210" s="1344" t="n"/>
      <c r="M210" s="1132" t="n"/>
      <c r="N210" s="1344" t="n"/>
      <c r="O210" s="1132" t="n"/>
      <c r="P210" s="1132" t="n"/>
      <c r="Q210" s="1132" t="n"/>
      <c r="R210" s="1132" t="n"/>
      <c r="S210" s="1132" t="n"/>
      <c r="T210" s="1132" t="n"/>
      <c r="U210" s="1132" t="n"/>
      <c r="V210" s="1132" t="n"/>
      <c r="W210" s="1132" t="n"/>
      <c r="X210" s="1132" t="n"/>
      <c r="Y210" s="1132" t="n"/>
      <c r="Z210" s="1132" t="n"/>
      <c r="AA210" s="1132" t="n"/>
      <c r="AB210" s="1132" t="n"/>
      <c r="AC210" s="1132" t="n"/>
      <c r="AD210" s="1132" t="n"/>
      <c r="AE210" s="1132" t="n"/>
      <c r="AF210" s="1132" t="n"/>
      <c r="AG210" s="1132" t="n"/>
      <c r="AH210" s="1132" t="n"/>
      <c r="AI210" s="1132" t="n"/>
      <c r="AJ210" s="1132" t="n"/>
      <c r="AK210" s="1132" t="n"/>
      <c r="AL210" s="1132" t="n"/>
      <c r="AM210" s="1132" t="n"/>
    </row>
    <row r="211" ht="15" customHeight="1" s="1134">
      <c r="L211" s="1344" t="n"/>
      <c r="M211" s="1132" t="n"/>
      <c r="N211" s="1344" t="n"/>
      <c r="O211" s="1132" t="n"/>
      <c r="P211" s="1132" t="n"/>
      <c r="Q211" s="1132" t="n"/>
      <c r="R211" s="1132" t="n"/>
      <c r="S211" s="1132" t="n"/>
      <c r="T211" s="1132" t="n"/>
      <c r="U211" s="1132" t="n"/>
      <c r="V211" s="1132" t="n"/>
      <c r="W211" s="1132" t="n"/>
      <c r="X211" s="1132" t="n"/>
      <c r="Y211" s="1132" t="n"/>
      <c r="Z211" s="1132" t="n"/>
      <c r="AA211" s="1132" t="n"/>
      <c r="AB211" s="1132" t="n"/>
      <c r="AC211" s="1132" t="n"/>
      <c r="AD211" s="1132" t="n"/>
      <c r="AE211" s="1132" t="n"/>
      <c r="AF211" s="1132" t="n"/>
      <c r="AG211" s="1132" t="n"/>
      <c r="AH211" s="1132" t="n"/>
      <c r="AI211" s="1132" t="n"/>
      <c r="AJ211" s="1132" t="n"/>
      <c r="AK211" s="1132" t="n"/>
      <c r="AL211" s="1132" t="n"/>
      <c r="AM211" s="1132" t="n"/>
    </row>
    <row r="212" ht="15" customHeight="1" s="1134">
      <c r="L212" s="1344" t="n"/>
      <c r="M212" s="1132" t="n"/>
      <c r="N212" s="1344" t="n"/>
      <c r="O212" s="1132" t="n"/>
      <c r="P212" s="1132" t="n"/>
      <c r="Q212" s="1132" t="n"/>
      <c r="R212" s="1132" t="n"/>
      <c r="S212" s="1132" t="n"/>
      <c r="T212" s="1132" t="n"/>
      <c r="U212" s="1132" t="n"/>
      <c r="V212" s="1132" t="n"/>
      <c r="W212" s="1132" t="n"/>
      <c r="X212" s="1132" t="n"/>
      <c r="Y212" s="1132" t="n"/>
      <c r="Z212" s="1132" t="n"/>
      <c r="AA212" s="1132" t="n"/>
      <c r="AB212" s="1132" t="n"/>
      <c r="AC212" s="1132" t="n"/>
      <c r="AD212" s="1132" t="n"/>
      <c r="AE212" s="1132" t="n"/>
      <c r="AF212" s="1132" t="n"/>
      <c r="AG212" s="1132" t="n"/>
      <c r="AH212" s="1132" t="n"/>
      <c r="AI212" s="1132" t="n"/>
      <c r="AJ212" s="1132" t="n"/>
      <c r="AK212" s="1132" t="n"/>
      <c r="AL212" s="1132" t="n"/>
      <c r="AM212" s="1132" t="n"/>
    </row>
    <row r="213" ht="15" customHeight="1" s="1134">
      <c r="L213" s="1344" t="n"/>
      <c r="M213" s="1132" t="n"/>
      <c r="N213" s="1344" t="n"/>
      <c r="O213" s="1132" t="n"/>
      <c r="P213" s="1132" t="n"/>
      <c r="Q213" s="1132" t="n"/>
      <c r="R213" s="1132" t="n"/>
      <c r="S213" s="1132" t="n"/>
      <c r="T213" s="1132" t="n"/>
      <c r="U213" s="1132" t="n"/>
      <c r="V213" s="1132" t="n"/>
      <c r="W213" s="1132" t="n"/>
      <c r="X213" s="1132" t="n"/>
      <c r="Y213" s="1132" t="n"/>
      <c r="Z213" s="1132" t="n"/>
      <c r="AA213" s="1132" t="n"/>
      <c r="AB213" s="1132" t="n"/>
      <c r="AC213" s="1132" t="n"/>
      <c r="AD213" s="1132" t="n"/>
      <c r="AE213" s="1132" t="n"/>
      <c r="AF213" s="1132" t="n"/>
      <c r="AG213" s="1132" t="n"/>
      <c r="AH213" s="1132" t="n"/>
      <c r="AI213" s="1132" t="n"/>
      <c r="AJ213" s="1132" t="n"/>
      <c r="AK213" s="1132" t="n"/>
      <c r="AL213" s="1132" t="n"/>
      <c r="AM213" s="1132" t="n"/>
    </row>
    <row r="214" ht="15" customHeight="1" s="1134">
      <c r="L214" s="1344" t="n"/>
      <c r="M214" s="1132" t="n"/>
      <c r="N214" s="1344" t="n"/>
      <c r="O214" s="1132" t="n"/>
      <c r="P214" s="1132" t="n"/>
      <c r="Q214" s="1132" t="n"/>
      <c r="R214" s="1132" t="n"/>
      <c r="S214" s="1132" t="n"/>
      <c r="T214" s="1132" t="n"/>
      <c r="U214" s="1132" t="n"/>
      <c r="V214" s="1132" t="n"/>
      <c r="W214" s="1132" t="n"/>
      <c r="X214" s="1132" t="n"/>
      <c r="Y214" s="1132" t="n"/>
      <c r="Z214" s="1132" t="n"/>
      <c r="AA214" s="1132" t="n"/>
      <c r="AB214" s="1132" t="n"/>
      <c r="AC214" s="1132" t="n"/>
      <c r="AD214" s="1132" t="n"/>
      <c r="AE214" s="1132" t="n"/>
      <c r="AF214" s="1132" t="n"/>
      <c r="AG214" s="1132" t="n"/>
      <c r="AH214" s="1132" t="n"/>
      <c r="AI214" s="1132" t="n"/>
      <c r="AJ214" s="1132" t="n"/>
      <c r="AK214" s="1132" t="n"/>
      <c r="AL214" s="1132" t="n"/>
      <c r="AM214" s="1132" t="n"/>
    </row>
    <row r="215" ht="15" customHeight="1" s="1134">
      <c r="L215" s="1344" t="n"/>
      <c r="M215" s="1132" t="n"/>
      <c r="N215" s="1344" t="n"/>
      <c r="O215" s="1132" t="n"/>
      <c r="P215" s="1132" t="n"/>
      <c r="Q215" s="1132" t="n"/>
      <c r="R215" s="1132" t="n"/>
      <c r="S215" s="1132" t="n"/>
      <c r="T215" s="1132" t="n"/>
      <c r="U215" s="1132" t="n"/>
      <c r="V215" s="1132" t="n"/>
      <c r="W215" s="1132" t="n"/>
      <c r="X215" s="1132" t="n"/>
      <c r="Y215" s="1132" t="n"/>
      <c r="Z215" s="1132" t="n"/>
      <c r="AA215" s="1132" t="n"/>
      <c r="AB215" s="1132" t="n"/>
      <c r="AC215" s="1132" t="n"/>
      <c r="AD215" s="1132" t="n"/>
      <c r="AE215" s="1132" t="n"/>
      <c r="AF215" s="1132" t="n"/>
      <c r="AG215" s="1132" t="n"/>
      <c r="AH215" s="1132" t="n"/>
      <c r="AI215" s="1132" t="n"/>
      <c r="AJ215" s="1132" t="n"/>
      <c r="AK215" s="1132" t="n"/>
      <c r="AL215" s="1132" t="n"/>
      <c r="AM215" s="1132" t="n"/>
    </row>
    <row r="216" ht="15" customHeight="1" s="1134">
      <c r="L216" s="1344" t="n"/>
      <c r="M216" s="1132" t="n"/>
      <c r="N216" s="1344" t="n"/>
      <c r="O216" s="1132" t="n"/>
      <c r="P216" s="1132" t="n"/>
      <c r="Q216" s="1132" t="n"/>
      <c r="R216" s="1132" t="n"/>
      <c r="S216" s="1132" t="n"/>
      <c r="T216" s="1132" t="n"/>
      <c r="U216" s="1132" t="n"/>
      <c r="V216" s="1132" t="n"/>
      <c r="W216" s="1132" t="n"/>
      <c r="X216" s="1132" t="n"/>
      <c r="Y216" s="1132" t="n"/>
      <c r="Z216" s="1132" t="n"/>
      <c r="AA216" s="1132" t="n"/>
      <c r="AB216" s="1132" t="n"/>
      <c r="AC216" s="1132" t="n"/>
      <c r="AD216" s="1132" t="n"/>
      <c r="AE216" s="1132" t="n"/>
      <c r="AF216" s="1132" t="n"/>
      <c r="AG216" s="1132" t="n"/>
      <c r="AH216" s="1132" t="n"/>
      <c r="AI216" s="1132" t="n"/>
      <c r="AJ216" s="1132" t="n"/>
      <c r="AK216" s="1132" t="n"/>
      <c r="AL216" s="1132" t="n"/>
      <c r="AM216" s="1132" t="n"/>
    </row>
    <row r="217" ht="15" customHeight="1" s="1134">
      <c r="L217" s="1344" t="n"/>
      <c r="M217" s="1132" t="n"/>
      <c r="N217" s="1344" t="n"/>
      <c r="O217" s="1132" t="n"/>
      <c r="P217" s="1132" t="n"/>
      <c r="Q217" s="1132" t="n"/>
      <c r="R217" s="1132" t="n"/>
      <c r="S217" s="1132" t="n"/>
      <c r="T217" s="1132" t="n"/>
      <c r="U217" s="1132" t="n"/>
      <c r="V217" s="1132" t="n"/>
      <c r="W217" s="1132" t="n"/>
      <c r="X217" s="1132" t="n"/>
      <c r="Y217" s="1132" t="n"/>
      <c r="Z217" s="1132" t="n"/>
      <c r="AA217" s="1132" t="n"/>
      <c r="AB217" s="1132" t="n"/>
      <c r="AC217" s="1132" t="n"/>
      <c r="AD217" s="1132" t="n"/>
      <c r="AE217" s="1132" t="n"/>
      <c r="AF217" s="1132" t="n"/>
      <c r="AG217" s="1132" t="n"/>
      <c r="AH217" s="1132" t="n"/>
      <c r="AI217" s="1132" t="n"/>
      <c r="AJ217" s="1132" t="n"/>
      <c r="AK217" s="1132" t="n"/>
      <c r="AL217" s="1132" t="n"/>
      <c r="AM217" s="1132" t="n"/>
    </row>
    <row r="218" ht="15" customFormat="1" customHeight="1" s="2056">
      <c r="L218" s="1344" t="n"/>
      <c r="M218" s="1132" t="n"/>
      <c r="N218" s="1344" t="n"/>
      <c r="O218" s="1132" t="n"/>
      <c r="P218" s="1132" t="n"/>
      <c r="Q218" s="1132" t="n"/>
      <c r="R218" s="1132" t="n"/>
      <c r="S218" s="1132" t="n"/>
      <c r="T218" s="1132" t="n"/>
      <c r="U218" s="1132" t="n"/>
      <c r="V218" s="1132" t="n"/>
      <c r="W218" s="1132" t="n"/>
      <c r="X218" s="1132" t="n"/>
      <c r="Y218" s="1132" t="n"/>
      <c r="Z218" s="1132" t="n"/>
      <c r="AA218" s="1132" t="n"/>
      <c r="AB218" s="1132" t="n"/>
      <c r="AC218" s="1132" t="n"/>
      <c r="AD218" s="1132" t="n"/>
      <c r="AE218" s="1132" t="n"/>
      <c r="AF218" s="1132" t="n"/>
      <c r="AG218" s="1132" t="n"/>
      <c r="AH218" s="1132" t="n"/>
      <c r="AI218" s="1132" t="n"/>
      <c r="AJ218" s="1132" t="n"/>
      <c r="AK218" s="1132" t="n"/>
      <c r="AL218" s="1132" t="n"/>
      <c r="AM218" s="1132" t="n"/>
    </row>
    <row r="219" ht="15" customFormat="1" customHeight="1" s="2056">
      <c r="L219" s="1344" t="n"/>
      <c r="M219" s="1132" t="n"/>
      <c r="N219" s="1344" t="n"/>
      <c r="O219" s="1132" t="n"/>
      <c r="P219" s="1132" t="n"/>
      <c r="Q219" s="1132" t="n"/>
      <c r="R219" s="1132" t="n"/>
      <c r="S219" s="1132" t="n"/>
      <c r="T219" s="1132" t="n"/>
      <c r="U219" s="1132" t="n"/>
      <c r="V219" s="1132" t="n"/>
      <c r="W219" s="1132" t="n"/>
      <c r="X219" s="1132" t="n"/>
      <c r="Y219" s="1132" t="n"/>
      <c r="Z219" s="1132" t="n"/>
      <c r="AA219" s="1132" t="n"/>
      <c r="AB219" s="1132" t="n"/>
      <c r="AC219" s="1132" t="n"/>
      <c r="AD219" s="1132" t="n"/>
      <c r="AE219" s="1132" t="n"/>
      <c r="AF219" s="1132" t="n"/>
      <c r="AG219" s="1132" t="n"/>
      <c r="AH219" s="1132" t="n"/>
      <c r="AI219" s="1132" t="n"/>
      <c r="AJ219" s="1132" t="n"/>
      <c r="AK219" s="1132" t="n"/>
      <c r="AL219" s="1132" t="n"/>
      <c r="AM219" s="1132" t="n"/>
    </row>
    <row r="220" ht="15" customHeight="1" s="1134">
      <c r="L220" s="1344" t="n"/>
      <c r="M220" s="1132" t="n"/>
      <c r="N220" s="1344" t="n"/>
      <c r="O220" s="1132" t="n"/>
      <c r="P220" s="1132" t="n"/>
      <c r="Q220" s="1132" t="n"/>
      <c r="R220" s="1132" t="n"/>
      <c r="S220" s="1132" t="n"/>
      <c r="T220" s="1132" t="n"/>
      <c r="U220" s="1132" t="n"/>
      <c r="V220" s="1132" t="n"/>
      <c r="W220" s="1132" t="n"/>
      <c r="X220" s="1132" t="n"/>
      <c r="Y220" s="1132" t="n"/>
      <c r="Z220" s="1132" t="n"/>
      <c r="AA220" s="1132" t="n"/>
      <c r="AB220" s="1132" t="n"/>
      <c r="AC220" s="1132" t="n"/>
      <c r="AD220" s="1132" t="n"/>
      <c r="AE220" s="1132" t="n"/>
      <c r="AF220" s="1132" t="n"/>
      <c r="AG220" s="1132" t="n"/>
      <c r="AH220" s="1132" t="n"/>
      <c r="AI220" s="1132" t="n"/>
      <c r="AJ220" s="1132" t="n"/>
      <c r="AK220" s="1132" t="n"/>
      <c r="AL220" s="1132" t="n"/>
      <c r="AM220" s="1132" t="n"/>
    </row>
    <row r="221" ht="15" customHeight="1" s="1134">
      <c r="L221" s="1344" t="n"/>
      <c r="M221" s="1132" t="n"/>
      <c r="N221" s="1344" t="n"/>
      <c r="O221" s="1132" t="n"/>
      <c r="P221" s="1132" t="n"/>
      <c r="Q221" s="1132" t="n"/>
      <c r="R221" s="1132" t="n"/>
      <c r="S221" s="1132" t="n"/>
      <c r="T221" s="1132" t="n"/>
      <c r="U221" s="1132" t="n"/>
      <c r="V221" s="1132" t="n"/>
      <c r="W221" s="1132" t="n"/>
      <c r="X221" s="1132" t="n"/>
      <c r="Y221" s="1132" t="n"/>
      <c r="Z221" s="1132" t="n"/>
      <c r="AA221" s="1132" t="n"/>
      <c r="AB221" s="1132" t="n"/>
      <c r="AC221" s="1132" t="n"/>
      <c r="AD221" s="1132" t="n"/>
      <c r="AE221" s="1132" t="n"/>
      <c r="AF221" s="1132" t="n"/>
      <c r="AG221" s="1132" t="n"/>
      <c r="AH221" s="1132" t="n"/>
      <c r="AI221" s="1132" t="n"/>
      <c r="AJ221" s="1132" t="n"/>
      <c r="AK221" s="1132" t="n"/>
      <c r="AL221" s="1132" t="n"/>
      <c r="AM221" s="1132" t="n"/>
    </row>
    <row r="222" ht="15" customHeight="1" s="1134">
      <c r="L222" s="1344" t="n"/>
      <c r="M222" s="1132" t="n"/>
      <c r="N222" s="1344" t="n"/>
      <c r="O222" s="1132" t="n"/>
      <c r="P222" s="1132" t="n"/>
      <c r="Q222" s="1132" t="n"/>
      <c r="R222" s="1132" t="n"/>
      <c r="S222" s="1132" t="n"/>
      <c r="T222" s="1132" t="n"/>
      <c r="U222" s="1132" t="n"/>
      <c r="V222" s="1132" t="n"/>
      <c r="W222" s="1132" t="n"/>
      <c r="X222" s="1132" t="n"/>
      <c r="Y222" s="1132" t="n"/>
      <c r="Z222" s="1132" t="n"/>
      <c r="AA222" s="1132" t="n"/>
      <c r="AB222" s="1132" t="n"/>
      <c r="AC222" s="1132" t="n"/>
      <c r="AD222" s="1132" t="n"/>
      <c r="AE222" s="1132" t="n"/>
      <c r="AF222" s="1132" t="n"/>
      <c r="AG222" s="1132" t="n"/>
      <c r="AH222" s="1132" t="n"/>
      <c r="AI222" s="1132" t="n"/>
      <c r="AJ222" s="1132" t="n"/>
      <c r="AK222" s="1132" t="n"/>
      <c r="AL222" s="1132" t="n"/>
      <c r="AM222" s="1132" t="n"/>
    </row>
    <row r="223" ht="15" customHeight="1" s="1134">
      <c r="L223" s="1344" t="n"/>
      <c r="M223" s="1132" t="n"/>
      <c r="N223" s="1344" t="n"/>
      <c r="O223" s="1132" t="n"/>
      <c r="P223" s="1132" t="n"/>
      <c r="Q223" s="1132" t="n"/>
      <c r="R223" s="1132" t="n"/>
      <c r="S223" s="1132" t="n"/>
      <c r="T223" s="1132" t="n"/>
      <c r="U223" s="1132" t="n"/>
      <c r="V223" s="1132" t="n"/>
      <c r="W223" s="1132" t="n"/>
      <c r="X223" s="1132" t="n"/>
      <c r="Y223" s="1132" t="n"/>
      <c r="Z223" s="1132" t="n"/>
      <c r="AA223" s="1132" t="n"/>
      <c r="AB223" s="1132" t="n"/>
      <c r="AC223" s="1132" t="n"/>
      <c r="AD223" s="1132" t="n"/>
      <c r="AE223" s="1132" t="n"/>
      <c r="AF223" s="1132" t="n"/>
      <c r="AG223" s="1132" t="n"/>
      <c r="AH223" s="1132" t="n"/>
      <c r="AI223" s="1132" t="n"/>
      <c r="AJ223" s="1132" t="n"/>
      <c r="AK223" s="1132" t="n"/>
      <c r="AL223" s="1132" t="n"/>
      <c r="AM223" s="1132" t="n"/>
    </row>
    <row r="224" ht="15" customHeight="1" s="1134">
      <c r="L224" s="1344" t="n"/>
      <c r="M224" s="1132" t="n"/>
      <c r="N224" s="1344" t="n"/>
      <c r="O224" s="1132" t="n"/>
      <c r="P224" s="1132" t="n"/>
      <c r="Q224" s="1132" t="n"/>
      <c r="R224" s="1132" t="n"/>
      <c r="S224" s="1132" t="n"/>
      <c r="T224" s="1132" t="n"/>
      <c r="U224" s="1132" t="n"/>
      <c r="V224" s="1132" t="n"/>
      <c r="W224" s="1132" t="n"/>
      <c r="X224" s="1132" t="n"/>
      <c r="Y224" s="1132" t="n"/>
      <c r="Z224" s="1132" t="n"/>
      <c r="AA224" s="1132" t="n"/>
      <c r="AB224" s="1132" t="n"/>
      <c r="AC224" s="1132" t="n"/>
      <c r="AD224" s="1132" t="n"/>
      <c r="AE224" s="1132" t="n"/>
      <c r="AF224" s="1132" t="n"/>
      <c r="AG224" s="1132" t="n"/>
      <c r="AH224" s="1132" t="n"/>
      <c r="AI224" s="1132" t="n"/>
      <c r="AJ224" s="1132" t="n"/>
      <c r="AK224" s="1132" t="n"/>
      <c r="AL224" s="1132" t="n"/>
      <c r="AM224" s="1132" t="n"/>
    </row>
    <row r="225" ht="15" customHeight="1" s="1134">
      <c r="L225" s="1344" t="n"/>
      <c r="M225" s="1132" t="n"/>
      <c r="N225" s="1344" t="n"/>
      <c r="O225" s="1132" t="n"/>
      <c r="P225" s="1132" t="n"/>
      <c r="Q225" s="1132" t="n"/>
      <c r="R225" s="1132" t="n"/>
      <c r="S225" s="1132" t="n"/>
      <c r="T225" s="1132" t="n"/>
      <c r="U225" s="1132" t="n"/>
      <c r="V225" s="1132" t="n"/>
      <c r="W225" s="1132" t="n"/>
      <c r="X225" s="1132" t="n"/>
      <c r="Y225" s="1132" t="n"/>
      <c r="Z225" s="1132" t="n"/>
      <c r="AA225" s="1132" t="n"/>
      <c r="AB225" s="1132" t="n"/>
      <c r="AC225" s="1132" t="n"/>
      <c r="AD225" s="1132" t="n"/>
      <c r="AE225" s="1132" t="n"/>
      <c r="AF225" s="1132" t="n"/>
      <c r="AG225" s="1132" t="n"/>
      <c r="AH225" s="1132" t="n"/>
      <c r="AI225" s="1132" t="n"/>
      <c r="AJ225" s="1132" t="n"/>
      <c r="AK225" s="1132" t="n"/>
      <c r="AL225" s="1132" t="n"/>
      <c r="AM225" s="1132" t="n"/>
    </row>
    <row r="226" ht="15" customHeight="1" s="1134">
      <c r="L226" s="1344" t="n"/>
      <c r="M226" s="1132" t="n"/>
      <c r="N226" s="1344" t="n"/>
      <c r="O226" s="1132" t="n"/>
      <c r="P226" s="1132" t="n"/>
      <c r="Q226" s="1132" t="n"/>
      <c r="R226" s="1132" t="n"/>
      <c r="S226" s="1132" t="n"/>
      <c r="T226" s="1132" t="n"/>
      <c r="U226" s="1132" t="n"/>
      <c r="V226" s="1132" t="n"/>
      <c r="W226" s="1132" t="n"/>
      <c r="X226" s="1132" t="n"/>
      <c r="Y226" s="1132" t="n"/>
      <c r="Z226" s="1132" t="n"/>
      <c r="AA226" s="1132" t="n"/>
      <c r="AB226" s="1132" t="n"/>
      <c r="AC226" s="1132" t="n"/>
      <c r="AD226" s="1132" t="n"/>
      <c r="AE226" s="1132" t="n"/>
      <c r="AF226" s="1132" t="n"/>
      <c r="AG226" s="1132" t="n"/>
      <c r="AH226" s="1132" t="n"/>
      <c r="AI226" s="1132" t="n"/>
      <c r="AJ226" s="1132" t="n"/>
      <c r="AK226" s="1132" t="n"/>
      <c r="AL226" s="1132" t="n"/>
      <c r="AM226" s="1132" t="n"/>
    </row>
    <row r="227" ht="15" customHeight="1" s="1134">
      <c r="L227" s="1344" t="n"/>
      <c r="M227" s="1132" t="n"/>
      <c r="N227" s="1344" t="n"/>
      <c r="O227" s="1132" t="n"/>
      <c r="P227" s="1132" t="n"/>
      <c r="Q227" s="1132" t="n"/>
      <c r="R227" s="1132" t="n"/>
      <c r="S227" s="1132" t="n"/>
      <c r="T227" s="1132" t="n"/>
      <c r="U227" s="1132" t="n"/>
      <c r="V227" s="1132" t="n"/>
      <c r="W227" s="1132" t="n"/>
      <c r="X227" s="1132" t="n"/>
      <c r="Y227" s="1132" t="n"/>
      <c r="Z227" s="1132" t="n"/>
      <c r="AA227" s="1132" t="n"/>
      <c r="AB227" s="1132" t="n"/>
      <c r="AC227" s="1132" t="n"/>
      <c r="AD227" s="1132" t="n"/>
      <c r="AE227" s="1132" t="n"/>
      <c r="AF227" s="1132" t="n"/>
      <c r="AG227" s="1132" t="n"/>
      <c r="AH227" s="1132" t="n"/>
      <c r="AI227" s="1132" t="n"/>
      <c r="AJ227" s="1132" t="n"/>
      <c r="AK227" s="1132" t="n"/>
      <c r="AL227" s="1132" t="n"/>
      <c r="AM227" s="1132" t="n"/>
    </row>
    <row r="228" ht="15" customHeight="1" s="1134">
      <c r="L228" s="1344" t="n"/>
      <c r="M228" s="1132" t="n"/>
      <c r="N228" s="1344" t="n"/>
      <c r="O228" s="1132" t="n"/>
      <c r="P228" s="1132" t="n"/>
      <c r="Q228" s="1132" t="n"/>
      <c r="R228" s="1132" t="n"/>
      <c r="S228" s="1132" t="n"/>
      <c r="T228" s="1132" t="n"/>
      <c r="U228" s="1132" t="n"/>
      <c r="V228" s="1132" t="n"/>
      <c r="W228" s="1132" t="n"/>
      <c r="X228" s="1132" t="n"/>
      <c r="Y228" s="1132" t="n"/>
      <c r="Z228" s="1132" t="n"/>
      <c r="AA228" s="1132" t="n"/>
      <c r="AB228" s="1132" t="n"/>
      <c r="AC228" s="1132" t="n"/>
      <c r="AD228" s="1132" t="n"/>
      <c r="AE228" s="1132" t="n"/>
      <c r="AF228" s="1132" t="n"/>
      <c r="AG228" s="1132" t="n"/>
      <c r="AH228" s="1132" t="n"/>
      <c r="AI228" s="1132" t="n"/>
      <c r="AJ228" s="1132" t="n"/>
      <c r="AK228" s="1132" t="n"/>
      <c r="AL228" s="1132" t="n"/>
      <c r="AM228" s="1132" t="n"/>
    </row>
    <row r="229" ht="15" customHeight="1" s="1134">
      <c r="L229" s="1344" t="n"/>
      <c r="M229" s="1132" t="n"/>
      <c r="N229" s="1344" t="n"/>
      <c r="O229" s="1132" t="n"/>
      <c r="P229" s="1132" t="n"/>
      <c r="Q229" s="1132" t="n"/>
      <c r="R229" s="1132" t="n"/>
      <c r="S229" s="1132" t="n"/>
      <c r="T229" s="1132" t="n"/>
      <c r="U229" s="1132" t="n"/>
      <c r="V229" s="1132" t="n"/>
      <c r="W229" s="1132" t="n"/>
      <c r="X229" s="1132" t="n"/>
      <c r="Y229" s="1132" t="n"/>
      <c r="Z229" s="1132" t="n"/>
      <c r="AA229" s="1132" t="n"/>
      <c r="AB229" s="1132" t="n"/>
      <c r="AC229" s="1132" t="n"/>
      <c r="AD229" s="1132" t="n"/>
      <c r="AE229" s="1132" t="n"/>
      <c r="AF229" s="1132" t="n"/>
      <c r="AG229" s="1132" t="n"/>
      <c r="AH229" s="1132" t="n"/>
      <c r="AI229" s="1132" t="n"/>
      <c r="AJ229" s="1132" t="n"/>
      <c r="AK229" s="1132" t="n"/>
      <c r="AL229" s="1132" t="n"/>
      <c r="AM229" s="1132" t="n"/>
    </row>
    <row r="230" ht="15" customHeight="1" s="1134">
      <c r="L230" s="1344" t="n"/>
      <c r="M230" s="1132" t="n"/>
      <c r="N230" s="1344" t="n"/>
      <c r="O230" s="1132" t="n"/>
      <c r="P230" s="1132" t="n"/>
      <c r="Q230" s="1132" t="n"/>
      <c r="R230" s="1132" t="n"/>
      <c r="S230" s="1132" t="n"/>
      <c r="T230" s="1132" t="n"/>
      <c r="U230" s="1132" t="n"/>
      <c r="V230" s="1132" t="n"/>
      <c r="W230" s="1132" t="n"/>
      <c r="X230" s="1132" t="n"/>
      <c r="Y230" s="1132" t="n"/>
      <c r="Z230" s="1132" t="n"/>
      <c r="AA230" s="1132" t="n"/>
      <c r="AB230" s="1132" t="n"/>
      <c r="AC230" s="1132" t="n"/>
      <c r="AD230" s="1132" t="n"/>
      <c r="AE230" s="1132" t="n"/>
      <c r="AF230" s="1132" t="n"/>
      <c r="AG230" s="1132" t="n"/>
      <c r="AH230" s="1132" t="n"/>
      <c r="AI230" s="1132" t="n"/>
      <c r="AJ230" s="1132" t="n"/>
      <c r="AK230" s="1132" t="n"/>
      <c r="AL230" s="1132" t="n"/>
      <c r="AM230" s="1132" t="n"/>
    </row>
    <row r="231" ht="15" customHeight="1" s="1134">
      <c r="L231" s="1344" t="n"/>
      <c r="M231" s="1132" t="n"/>
      <c r="N231" s="1344" t="n"/>
      <c r="O231" s="1132" t="n"/>
      <c r="P231" s="1132" t="n"/>
      <c r="Q231" s="1132" t="n"/>
      <c r="R231" s="1132" t="n"/>
      <c r="S231" s="1132" t="n"/>
      <c r="T231" s="1132" t="n"/>
      <c r="U231" s="1132" t="n"/>
      <c r="V231" s="1132" t="n"/>
      <c r="W231" s="1132" t="n"/>
      <c r="X231" s="1132" t="n"/>
      <c r="Y231" s="1132" t="n"/>
      <c r="Z231" s="1132" t="n"/>
      <c r="AA231" s="1132" t="n"/>
      <c r="AB231" s="1132" t="n"/>
      <c r="AC231" s="1132" t="n"/>
      <c r="AD231" s="1132" t="n"/>
      <c r="AE231" s="1132" t="n"/>
      <c r="AF231" s="1132" t="n"/>
      <c r="AG231" s="1132" t="n"/>
      <c r="AH231" s="1132" t="n"/>
      <c r="AI231" s="1132" t="n"/>
      <c r="AJ231" s="1132" t="n"/>
      <c r="AK231" s="1132" t="n"/>
      <c r="AL231" s="1132" t="n"/>
      <c r="AM231" s="1132" t="n"/>
    </row>
    <row r="232" ht="15" customHeight="1" s="1134">
      <c r="L232" s="1344" t="n"/>
      <c r="M232" s="1132" t="n"/>
      <c r="N232" s="1344" t="n"/>
      <c r="O232" s="1132" t="n"/>
      <c r="P232" s="1132" t="n"/>
      <c r="Q232" s="1132" t="n"/>
      <c r="R232" s="1132" t="n"/>
      <c r="S232" s="1132" t="n"/>
      <c r="T232" s="1132" t="n"/>
      <c r="U232" s="1132" t="n"/>
      <c r="V232" s="1132" t="n"/>
      <c r="W232" s="1132" t="n"/>
      <c r="X232" s="1132" t="n"/>
      <c r="Y232" s="1132" t="n"/>
      <c r="Z232" s="1132" t="n"/>
      <c r="AA232" s="1132" t="n"/>
      <c r="AB232" s="1132" t="n"/>
      <c r="AC232" s="1132" t="n"/>
      <c r="AD232" s="1132" t="n"/>
      <c r="AE232" s="1132" t="n"/>
      <c r="AF232" s="1132" t="n"/>
      <c r="AG232" s="1132" t="n"/>
      <c r="AH232" s="1132" t="n"/>
      <c r="AI232" s="1132" t="n"/>
      <c r="AJ232" s="1132" t="n"/>
      <c r="AK232" s="1132" t="n"/>
      <c r="AL232" s="1132" t="n"/>
      <c r="AM232" s="1132" t="n"/>
    </row>
    <row r="233" ht="15" customHeight="1" s="1134">
      <c r="L233" s="1344" t="n"/>
      <c r="M233" s="1132" t="n"/>
      <c r="N233" s="1344" t="n"/>
      <c r="O233" s="1132" t="n"/>
      <c r="P233" s="1132" t="n"/>
      <c r="Q233" s="1132" t="n"/>
      <c r="R233" s="1132" t="n"/>
      <c r="S233" s="1132" t="n"/>
      <c r="T233" s="1132" t="n"/>
      <c r="U233" s="1132" t="n"/>
      <c r="V233" s="1132" t="n"/>
      <c r="W233" s="1132" t="n"/>
      <c r="X233" s="1132" t="n"/>
      <c r="Y233" s="1132" t="n"/>
      <c r="Z233" s="1132" t="n"/>
      <c r="AA233" s="1132" t="n"/>
      <c r="AB233" s="1132" t="n"/>
      <c r="AC233" s="1132" t="n"/>
      <c r="AD233" s="1132" t="n"/>
      <c r="AE233" s="1132" t="n"/>
      <c r="AF233" s="1132" t="n"/>
      <c r="AG233" s="1132" t="n"/>
      <c r="AH233" s="1132" t="n"/>
      <c r="AI233" s="1132" t="n"/>
      <c r="AJ233" s="1132" t="n"/>
      <c r="AK233" s="1132" t="n"/>
      <c r="AL233" s="1132" t="n"/>
      <c r="AM233" s="1132" t="n"/>
    </row>
    <row r="234" ht="15" customHeight="1" s="1134">
      <c r="L234" s="1344" t="n"/>
      <c r="M234" s="1132" t="n"/>
      <c r="N234" s="1344" t="n"/>
      <c r="O234" s="1132" t="n"/>
      <c r="P234" s="1132" t="n"/>
      <c r="Q234" s="1132" t="n"/>
      <c r="R234" s="1132" t="n"/>
      <c r="S234" s="1132" t="n"/>
      <c r="T234" s="1132" t="n"/>
      <c r="U234" s="1132" t="n"/>
      <c r="V234" s="1132" t="n"/>
      <c r="W234" s="1132" t="n"/>
      <c r="X234" s="1132" t="n"/>
      <c r="Y234" s="1132" t="n"/>
      <c r="Z234" s="1132" t="n"/>
      <c r="AA234" s="1132" t="n"/>
      <c r="AB234" s="1132" t="n"/>
      <c r="AC234" s="1132" t="n"/>
      <c r="AD234" s="1132" t="n"/>
      <c r="AE234" s="1132" t="n"/>
      <c r="AF234" s="1132" t="n"/>
      <c r="AG234" s="1132" t="n"/>
      <c r="AH234" s="1132" t="n"/>
      <c r="AI234" s="1132" t="n"/>
      <c r="AJ234" s="1132" t="n"/>
      <c r="AK234" s="1132" t="n"/>
      <c r="AL234" s="1132" t="n"/>
      <c r="AM234" s="1132" t="n"/>
    </row>
    <row r="235" ht="15" customHeight="1" s="1134">
      <c r="L235" s="1344" t="n"/>
      <c r="M235" s="1132" t="n"/>
      <c r="N235" s="1344" t="n"/>
      <c r="O235" s="1132" t="n"/>
      <c r="P235" s="1132" t="n"/>
      <c r="Q235" s="1132" t="n"/>
      <c r="R235" s="1132" t="n"/>
      <c r="S235" s="1132" t="n"/>
      <c r="T235" s="1132" t="n"/>
      <c r="U235" s="1132" t="n"/>
      <c r="V235" s="1132" t="n"/>
      <c r="W235" s="1132" t="n"/>
      <c r="X235" s="1132" t="n"/>
      <c r="Y235" s="1132" t="n"/>
      <c r="Z235" s="1132" t="n"/>
      <c r="AA235" s="1132" t="n"/>
      <c r="AB235" s="1132" t="n"/>
      <c r="AC235" s="1132" t="n"/>
      <c r="AD235" s="1132" t="n"/>
      <c r="AE235" s="1132" t="n"/>
      <c r="AF235" s="1132" t="n"/>
      <c r="AG235" s="1132" t="n"/>
      <c r="AH235" s="1132" t="n"/>
      <c r="AI235" s="1132" t="n"/>
      <c r="AJ235" s="1132" t="n"/>
      <c r="AK235" s="1132" t="n"/>
      <c r="AL235" s="1132" t="n"/>
      <c r="AM235" s="1132" t="n"/>
    </row>
    <row r="236" ht="15" customHeight="1" s="1134">
      <c r="L236" s="1344" t="n"/>
      <c r="M236" s="1132" t="n"/>
      <c r="N236" s="1344" t="n"/>
      <c r="O236" s="1132" t="n"/>
      <c r="P236" s="1132" t="n"/>
      <c r="Q236" s="1132" t="n"/>
      <c r="R236" s="1132" t="n"/>
      <c r="S236" s="1132" t="n"/>
      <c r="T236" s="1132" t="n"/>
      <c r="U236" s="1132" t="n"/>
      <c r="V236" s="1132" t="n"/>
      <c r="W236" s="1132" t="n"/>
      <c r="X236" s="1132" t="n"/>
      <c r="Y236" s="1132" t="n"/>
      <c r="Z236" s="1132" t="n"/>
      <c r="AA236" s="1132" t="n"/>
      <c r="AB236" s="1132" t="n"/>
      <c r="AC236" s="1132" t="n"/>
      <c r="AD236" s="1132" t="n"/>
      <c r="AE236" s="1132" t="n"/>
      <c r="AF236" s="1132" t="n"/>
      <c r="AG236" s="1132" t="n"/>
      <c r="AH236" s="1132" t="n"/>
      <c r="AI236" s="1132" t="n"/>
      <c r="AJ236" s="1132" t="n"/>
      <c r="AK236" s="1132" t="n"/>
      <c r="AL236" s="1132" t="n"/>
      <c r="AM236" s="1132" t="n"/>
    </row>
    <row r="237" ht="15" customHeight="1" s="1134">
      <c r="L237" s="1344" t="n"/>
      <c r="M237" s="1132" t="n"/>
      <c r="N237" s="1344" t="n"/>
      <c r="O237" s="1132" t="n"/>
      <c r="P237" s="1132" t="n"/>
      <c r="Q237" s="1132" t="n"/>
      <c r="R237" s="1132" t="n"/>
      <c r="S237" s="1132" t="n"/>
      <c r="T237" s="1132" t="n"/>
      <c r="U237" s="1132" t="n"/>
      <c r="V237" s="1132" t="n"/>
      <c r="W237" s="1132" t="n"/>
      <c r="X237" s="1132" t="n"/>
      <c r="Y237" s="1132" t="n"/>
      <c r="Z237" s="1132" t="n"/>
      <c r="AA237" s="1132" t="n"/>
      <c r="AB237" s="1132" t="n"/>
      <c r="AC237" s="1132" t="n"/>
      <c r="AD237" s="1132" t="n"/>
      <c r="AE237" s="1132" t="n"/>
      <c r="AF237" s="1132" t="n"/>
      <c r="AG237" s="1132" t="n"/>
      <c r="AH237" s="1132" t="n"/>
      <c r="AI237" s="1132" t="n"/>
      <c r="AJ237" s="1132" t="n"/>
      <c r="AK237" s="1132" t="n"/>
      <c r="AL237" s="1132" t="n"/>
      <c r="AM237" s="1132" t="n"/>
    </row>
    <row r="238" ht="15" customHeight="1" s="1134">
      <c r="L238" s="1344" t="n"/>
      <c r="M238" s="1132" t="n"/>
      <c r="N238" s="1344" t="n"/>
      <c r="O238" s="1132" t="n"/>
      <c r="P238" s="1132" t="n"/>
      <c r="Q238" s="1132" t="n"/>
      <c r="R238" s="1132" t="n"/>
      <c r="S238" s="1132" t="n"/>
      <c r="T238" s="1132" t="n"/>
      <c r="U238" s="1132" t="n"/>
      <c r="V238" s="1132" t="n"/>
      <c r="W238" s="1132" t="n"/>
      <c r="X238" s="1132" t="n"/>
      <c r="Y238" s="1132" t="n"/>
      <c r="Z238" s="1132" t="n"/>
      <c r="AA238" s="1132" t="n"/>
      <c r="AB238" s="1132" t="n"/>
      <c r="AC238" s="1132" t="n"/>
      <c r="AD238" s="1132" t="n"/>
      <c r="AE238" s="1132" t="n"/>
      <c r="AF238" s="1132" t="n"/>
      <c r="AG238" s="1132" t="n"/>
      <c r="AH238" s="1132" t="n"/>
      <c r="AI238" s="1132" t="n"/>
      <c r="AJ238" s="1132" t="n"/>
      <c r="AK238" s="1132" t="n"/>
      <c r="AL238" s="1132" t="n"/>
      <c r="AM238" s="1132" t="n"/>
    </row>
    <row r="239" ht="15" customHeight="1" s="1134">
      <c r="L239" s="1344" t="n"/>
      <c r="M239" s="1132" t="n"/>
      <c r="N239" s="1344" t="n"/>
      <c r="O239" s="1132" t="n"/>
      <c r="P239" s="1132" t="n"/>
      <c r="Q239" s="1132" t="n"/>
      <c r="R239" s="1132" t="n"/>
      <c r="S239" s="1132" t="n"/>
      <c r="T239" s="1132" t="n"/>
      <c r="U239" s="1132" t="n"/>
      <c r="V239" s="1132" t="n"/>
      <c r="W239" s="1132" t="n"/>
      <c r="X239" s="1132" t="n"/>
      <c r="Y239" s="1132" t="n"/>
      <c r="Z239" s="1132" t="n"/>
      <c r="AA239" s="1132" t="n"/>
      <c r="AB239" s="1132" t="n"/>
      <c r="AC239" s="1132" t="n"/>
      <c r="AD239" s="1132" t="n"/>
      <c r="AE239" s="1132" t="n"/>
      <c r="AF239" s="1132" t="n"/>
      <c r="AG239" s="1132" t="n"/>
      <c r="AH239" s="1132" t="n"/>
      <c r="AI239" s="1132" t="n"/>
      <c r="AJ239" s="1132" t="n"/>
      <c r="AK239" s="1132" t="n"/>
      <c r="AL239" s="1132" t="n"/>
      <c r="AM239" s="1132" t="n"/>
    </row>
    <row r="240" ht="15" customHeight="1" s="1134">
      <c r="L240" s="1344" t="n"/>
      <c r="M240" s="1132" t="n"/>
      <c r="N240" s="1344" t="n"/>
      <c r="O240" s="1132" t="n"/>
      <c r="P240" s="1132" t="n"/>
      <c r="Q240" s="1132" t="n"/>
      <c r="R240" s="1132" t="n"/>
      <c r="S240" s="1132" t="n"/>
      <c r="T240" s="1132" t="n"/>
      <c r="U240" s="1132" t="n"/>
      <c r="V240" s="1132" t="n"/>
      <c r="W240" s="1132" t="n"/>
      <c r="X240" s="1132" t="n"/>
      <c r="Y240" s="1132" t="n"/>
      <c r="Z240" s="1132" t="n"/>
      <c r="AA240" s="1132" t="n"/>
      <c r="AB240" s="1132" t="n"/>
      <c r="AC240" s="1132" t="n"/>
      <c r="AD240" s="1132" t="n"/>
      <c r="AE240" s="1132" t="n"/>
      <c r="AF240" s="1132" t="n"/>
      <c r="AG240" s="1132" t="n"/>
      <c r="AH240" s="1132" t="n"/>
      <c r="AI240" s="1132" t="n"/>
      <c r="AJ240" s="1132" t="n"/>
      <c r="AK240" s="1132" t="n"/>
      <c r="AL240" s="1132" t="n"/>
      <c r="AM240" s="1132" t="n"/>
    </row>
    <row r="241" ht="15" customHeight="1" s="1134">
      <c r="L241" s="1344" t="n"/>
      <c r="M241" s="1132" t="n"/>
      <c r="N241" s="1344" t="n"/>
      <c r="O241" s="1132" t="n"/>
      <c r="P241" s="1132" t="n"/>
      <c r="Q241" s="1132" t="n"/>
      <c r="R241" s="1132" t="n"/>
      <c r="S241" s="1132" t="n"/>
      <c r="T241" s="1132" t="n"/>
      <c r="U241" s="1132" t="n"/>
      <c r="V241" s="1132" t="n"/>
      <c r="W241" s="1132" t="n"/>
      <c r="X241" s="1132" t="n"/>
      <c r="Y241" s="1132" t="n"/>
      <c r="Z241" s="1132" t="n"/>
      <c r="AA241" s="1132" t="n"/>
      <c r="AB241" s="1132" t="n"/>
      <c r="AC241" s="1132" t="n"/>
      <c r="AD241" s="1132" t="n"/>
      <c r="AE241" s="1132" t="n"/>
      <c r="AF241" s="1132" t="n"/>
      <c r="AG241" s="1132" t="n"/>
      <c r="AH241" s="1132" t="n"/>
      <c r="AI241" s="1132" t="n"/>
      <c r="AJ241" s="1132" t="n"/>
      <c r="AK241" s="1132" t="n"/>
      <c r="AL241" s="1132" t="n"/>
      <c r="AM241" s="1132" t="n"/>
    </row>
    <row r="242" ht="15" customHeight="1" s="1134">
      <c r="L242" s="1344" t="n"/>
      <c r="M242" s="1132" t="n"/>
      <c r="N242" s="1344" t="n"/>
      <c r="O242" s="1132" t="n"/>
      <c r="P242" s="1132" t="n"/>
      <c r="Q242" s="1132" t="n"/>
      <c r="R242" s="1132" t="n"/>
      <c r="S242" s="1132" t="n"/>
      <c r="T242" s="1132" t="n"/>
      <c r="U242" s="1132" t="n"/>
      <c r="V242" s="1132" t="n"/>
      <c r="W242" s="1132" t="n"/>
      <c r="X242" s="1132" t="n"/>
      <c r="Y242" s="1132" t="n"/>
      <c r="Z242" s="1132" t="n"/>
      <c r="AA242" s="1132" t="n"/>
      <c r="AB242" s="1132" t="n"/>
      <c r="AC242" s="1132" t="n"/>
      <c r="AD242" s="1132" t="n"/>
      <c r="AE242" s="1132" t="n"/>
      <c r="AF242" s="1132" t="n"/>
      <c r="AG242" s="1132" t="n"/>
      <c r="AH242" s="1132" t="n"/>
      <c r="AI242" s="1132" t="n"/>
      <c r="AJ242" s="1132" t="n"/>
      <c r="AK242" s="1132" t="n"/>
      <c r="AL242" s="1132" t="n"/>
      <c r="AM242" s="1132" t="n"/>
    </row>
    <row r="243" ht="15" customHeight="1" s="1134">
      <c r="L243" s="1344" t="n"/>
      <c r="M243" s="1132" t="n"/>
      <c r="N243" s="1344" t="n"/>
      <c r="O243" s="1132" t="n"/>
      <c r="P243" s="1132" t="n"/>
      <c r="Q243" s="1132" t="n"/>
      <c r="R243" s="1132" t="n"/>
      <c r="S243" s="1132" t="n"/>
      <c r="T243" s="1132" t="n"/>
      <c r="U243" s="1132" t="n"/>
      <c r="V243" s="1132" t="n"/>
      <c r="W243" s="1132" t="n"/>
      <c r="X243" s="1132" t="n"/>
      <c r="Y243" s="1132" t="n"/>
      <c r="Z243" s="1132" t="n"/>
      <c r="AA243" s="1132" t="n"/>
      <c r="AB243" s="1132" t="n"/>
      <c r="AC243" s="1132" t="n"/>
      <c r="AD243" s="1132" t="n"/>
      <c r="AE243" s="1132" t="n"/>
      <c r="AF243" s="1132" t="n"/>
      <c r="AG243" s="1132" t="n"/>
      <c r="AH243" s="1132" t="n"/>
      <c r="AI243" s="1132" t="n"/>
      <c r="AJ243" s="1132" t="n"/>
      <c r="AK243" s="1132" t="n"/>
      <c r="AL243" s="1132" t="n"/>
      <c r="AM243" s="1132" t="n"/>
    </row>
    <row r="244" ht="15" customHeight="1" s="1134">
      <c r="L244" s="1344" t="n"/>
      <c r="M244" s="1132" t="n"/>
      <c r="N244" s="1344" t="n"/>
      <c r="O244" s="1132" t="n"/>
      <c r="P244" s="1132" t="n"/>
      <c r="Q244" s="1132" t="n"/>
      <c r="R244" s="1132" t="n"/>
      <c r="S244" s="1132" t="n"/>
      <c r="T244" s="1132" t="n"/>
      <c r="U244" s="1132" t="n"/>
      <c r="V244" s="1132" t="n"/>
      <c r="W244" s="1132" t="n"/>
      <c r="X244" s="1132" t="n"/>
      <c r="Y244" s="1132" t="n"/>
      <c r="Z244" s="1132" t="n"/>
      <c r="AA244" s="1132" t="n"/>
      <c r="AB244" s="1132" t="n"/>
      <c r="AC244" s="1132" t="n"/>
      <c r="AD244" s="1132" t="n"/>
      <c r="AE244" s="1132" t="n"/>
      <c r="AF244" s="1132" t="n"/>
      <c r="AG244" s="1132" t="n"/>
      <c r="AH244" s="1132" t="n"/>
      <c r="AI244" s="1132" t="n"/>
      <c r="AJ244" s="1132" t="n"/>
      <c r="AK244" s="1132" t="n"/>
      <c r="AL244" s="1132" t="n"/>
      <c r="AM244" s="1132" t="n"/>
    </row>
    <row r="245" ht="15" customHeight="1" s="1134">
      <c r="L245" s="1344" t="n"/>
      <c r="M245" s="1132" t="n"/>
      <c r="N245" s="1344" t="n"/>
      <c r="O245" s="1132" t="n"/>
      <c r="P245" s="1132" t="n"/>
      <c r="Q245" s="1132" t="n"/>
      <c r="R245" s="1132" t="n"/>
      <c r="S245" s="1132" t="n"/>
      <c r="T245" s="1132" t="n"/>
      <c r="U245" s="1132" t="n"/>
      <c r="V245" s="1132" t="n"/>
      <c r="W245" s="1132" t="n"/>
      <c r="X245" s="1132" t="n"/>
      <c r="Y245" s="1132" t="n"/>
      <c r="Z245" s="1132" t="n"/>
      <c r="AA245" s="1132" t="n"/>
      <c r="AB245" s="1132" t="n"/>
      <c r="AC245" s="1132" t="n"/>
      <c r="AD245" s="1132" t="n"/>
      <c r="AE245" s="1132" t="n"/>
      <c r="AF245" s="1132" t="n"/>
      <c r="AG245" s="1132" t="n"/>
      <c r="AH245" s="1132" t="n"/>
      <c r="AI245" s="1132" t="n"/>
      <c r="AJ245" s="1132" t="n"/>
      <c r="AK245" s="1132" t="n"/>
      <c r="AL245" s="1132" t="n"/>
      <c r="AM245" s="1132" t="n"/>
    </row>
    <row r="246" ht="15" customHeight="1" s="1134">
      <c r="L246" s="1344" t="n"/>
      <c r="M246" s="1132" t="n"/>
      <c r="N246" s="1344" t="n"/>
      <c r="O246" s="1132" t="n"/>
      <c r="P246" s="1132" t="n"/>
      <c r="Q246" s="1132" t="n"/>
      <c r="R246" s="1132" t="n"/>
      <c r="S246" s="1132" t="n"/>
      <c r="T246" s="1132" t="n"/>
      <c r="U246" s="1132" t="n"/>
      <c r="V246" s="1132" t="n"/>
      <c r="W246" s="1132" t="n"/>
      <c r="X246" s="1132" t="n"/>
      <c r="Y246" s="1132" t="n"/>
      <c r="Z246" s="1132" t="n"/>
      <c r="AA246" s="1132" t="n"/>
      <c r="AB246" s="1132" t="n"/>
      <c r="AC246" s="1132" t="n"/>
      <c r="AD246" s="1132" t="n"/>
      <c r="AE246" s="1132" t="n"/>
      <c r="AF246" s="1132" t="n"/>
      <c r="AG246" s="1132" t="n"/>
      <c r="AH246" s="1132" t="n"/>
      <c r="AI246" s="1132" t="n"/>
      <c r="AJ246" s="1132" t="n"/>
      <c r="AK246" s="1132" t="n"/>
      <c r="AL246" s="1132" t="n"/>
      <c r="AM246" s="1132" t="n"/>
    </row>
    <row r="247" ht="15" customHeight="1" s="1134">
      <c r="L247" s="1344" t="n"/>
      <c r="M247" s="1132" t="n"/>
      <c r="N247" s="1344" t="n"/>
      <c r="O247" s="1132" t="n"/>
      <c r="P247" s="1132" t="n"/>
      <c r="Q247" s="1132" t="n"/>
      <c r="R247" s="1132" t="n"/>
      <c r="S247" s="1132" t="n"/>
      <c r="T247" s="1132" t="n"/>
      <c r="U247" s="1132" t="n"/>
      <c r="V247" s="1132" t="n"/>
      <c r="W247" s="1132" t="n"/>
      <c r="X247" s="1132" t="n"/>
      <c r="Y247" s="1132" t="n"/>
      <c r="Z247" s="1132" t="n"/>
      <c r="AA247" s="1132" t="n"/>
      <c r="AB247" s="1132" t="n"/>
      <c r="AC247" s="1132" t="n"/>
      <c r="AD247" s="1132" t="n"/>
      <c r="AE247" s="1132" t="n"/>
      <c r="AF247" s="1132" t="n"/>
      <c r="AG247" s="1132" t="n"/>
      <c r="AH247" s="1132" t="n"/>
      <c r="AI247" s="1132" t="n"/>
      <c r="AJ247" s="1132" t="n"/>
      <c r="AK247" s="1132" t="n"/>
      <c r="AL247" s="1132" t="n"/>
      <c r="AM247" s="1132" t="n"/>
    </row>
    <row r="248" ht="15" customHeight="1" s="1134">
      <c r="L248" s="1344" t="n"/>
      <c r="M248" s="1132" t="n"/>
      <c r="N248" s="1344" t="n"/>
      <c r="O248" s="1132" t="n"/>
      <c r="P248" s="1132" t="n"/>
      <c r="Q248" s="1132" t="n"/>
      <c r="R248" s="1132" t="n"/>
      <c r="S248" s="1132" t="n"/>
      <c r="T248" s="1132" t="n"/>
      <c r="U248" s="1132" t="n"/>
      <c r="V248" s="1132" t="n"/>
      <c r="W248" s="1132" t="n"/>
      <c r="X248" s="1132" t="n"/>
      <c r="Y248" s="1132" t="n"/>
      <c r="Z248" s="1132" t="n"/>
      <c r="AA248" s="1132" t="n"/>
      <c r="AB248" s="1132" t="n"/>
      <c r="AC248" s="1132" t="n"/>
      <c r="AD248" s="1132" t="n"/>
      <c r="AE248" s="1132" t="n"/>
      <c r="AF248" s="1132" t="n"/>
      <c r="AG248" s="1132" t="n"/>
      <c r="AH248" s="1132" t="n"/>
      <c r="AI248" s="1132" t="n"/>
      <c r="AJ248" s="1132" t="n"/>
      <c r="AK248" s="1132" t="n"/>
      <c r="AL248" s="1132" t="n"/>
      <c r="AM248" s="1132" t="n"/>
    </row>
    <row r="249" ht="15" customHeight="1" s="1134">
      <c r="L249" s="1344" t="n"/>
      <c r="M249" s="1132" t="n"/>
      <c r="N249" s="1344" t="n"/>
      <c r="O249" s="1132" t="n"/>
      <c r="P249" s="1132" t="n"/>
      <c r="Q249" s="1132" t="n"/>
      <c r="R249" s="1132" t="n"/>
      <c r="S249" s="1132" t="n"/>
      <c r="T249" s="1132" t="n"/>
      <c r="U249" s="1132" t="n"/>
      <c r="V249" s="1132" t="n"/>
      <c r="W249" s="1132" t="n"/>
      <c r="X249" s="1132" t="n"/>
      <c r="Y249" s="1132" t="n"/>
      <c r="Z249" s="1132" t="n"/>
      <c r="AA249" s="1132" t="n"/>
      <c r="AB249" s="1132" t="n"/>
      <c r="AC249" s="1132" t="n"/>
      <c r="AD249" s="1132" t="n"/>
      <c r="AE249" s="1132" t="n"/>
      <c r="AF249" s="1132" t="n"/>
      <c r="AG249" s="1132" t="n"/>
      <c r="AH249" s="1132" t="n"/>
      <c r="AI249" s="1132" t="n"/>
      <c r="AJ249" s="1132" t="n"/>
      <c r="AK249" s="1132" t="n"/>
      <c r="AL249" s="1132" t="n"/>
      <c r="AM249" s="1132" t="n"/>
    </row>
    <row r="250" ht="15" customHeight="1" s="1134">
      <c r="L250" s="1344" t="n"/>
      <c r="M250" s="1132" t="n"/>
      <c r="N250" s="1344" t="n"/>
      <c r="O250" s="1132" t="n"/>
      <c r="P250" s="1132" t="n"/>
      <c r="Q250" s="1132" t="n"/>
      <c r="R250" s="1132" t="n"/>
      <c r="S250" s="1132" t="n"/>
      <c r="T250" s="1132" t="n"/>
      <c r="U250" s="1132" t="n"/>
      <c r="V250" s="1132" t="n"/>
      <c r="W250" s="1132" t="n"/>
      <c r="X250" s="1132" t="n"/>
      <c r="Y250" s="1132" t="n"/>
      <c r="Z250" s="1132" t="n"/>
      <c r="AA250" s="1132" t="n"/>
      <c r="AB250" s="1132" t="n"/>
      <c r="AC250" s="1132" t="n"/>
      <c r="AD250" s="1132" t="n"/>
      <c r="AE250" s="1132" t="n"/>
      <c r="AF250" s="1132" t="n"/>
      <c r="AG250" s="1132" t="n"/>
      <c r="AH250" s="1132" t="n"/>
      <c r="AI250" s="1132" t="n"/>
      <c r="AJ250" s="1132" t="n"/>
      <c r="AK250" s="1132" t="n"/>
      <c r="AL250" s="1132" t="n"/>
      <c r="AM250" s="1132" t="n"/>
    </row>
    <row r="251" ht="15" customHeight="1" s="1134">
      <c r="L251" s="1344" t="n"/>
      <c r="M251" s="1132" t="n"/>
      <c r="N251" s="1344" t="n"/>
      <c r="O251" s="1132" t="n"/>
      <c r="P251" s="1132" t="n"/>
      <c r="Q251" s="1132" t="n"/>
      <c r="R251" s="1132" t="n"/>
      <c r="S251" s="1132" t="n"/>
      <c r="T251" s="1132" t="n"/>
      <c r="U251" s="1132" t="n"/>
      <c r="V251" s="1132" t="n"/>
      <c r="W251" s="1132" t="n"/>
      <c r="X251" s="1132" t="n"/>
      <c r="Y251" s="1132" t="n"/>
      <c r="Z251" s="1132" t="n"/>
      <c r="AA251" s="1132" t="n"/>
      <c r="AB251" s="1132" t="n"/>
      <c r="AC251" s="1132" t="n"/>
      <c r="AD251" s="1132" t="n"/>
      <c r="AE251" s="1132" t="n"/>
      <c r="AF251" s="1132" t="n"/>
      <c r="AG251" s="1132" t="n"/>
      <c r="AH251" s="1132" t="n"/>
      <c r="AI251" s="1132" t="n"/>
      <c r="AJ251" s="1132" t="n"/>
      <c r="AK251" s="1132" t="n"/>
      <c r="AL251" s="1132" t="n"/>
      <c r="AM251" s="1132" t="n"/>
    </row>
    <row r="252" ht="15" customHeight="1" s="1134">
      <c r="L252" s="1344" t="n"/>
      <c r="M252" s="1132" t="n"/>
      <c r="N252" s="1344" t="n"/>
      <c r="O252" s="1132" t="n"/>
      <c r="P252" s="1132" t="n"/>
      <c r="Q252" s="1132" t="n"/>
      <c r="R252" s="1132" t="n"/>
      <c r="S252" s="1132" t="n"/>
      <c r="T252" s="1132" t="n"/>
      <c r="U252" s="1132" t="n"/>
      <c r="V252" s="1132" t="n"/>
      <c r="W252" s="1132" t="n"/>
      <c r="X252" s="1132" t="n"/>
      <c r="Y252" s="1132" t="n"/>
      <c r="Z252" s="1132" t="n"/>
      <c r="AA252" s="1132" t="n"/>
      <c r="AB252" s="1132" t="n"/>
      <c r="AC252" s="1132" t="n"/>
      <c r="AD252" s="1132" t="n"/>
      <c r="AE252" s="1132" t="n"/>
      <c r="AF252" s="1132" t="n"/>
      <c r="AG252" s="1132" t="n"/>
      <c r="AH252" s="1132" t="n"/>
      <c r="AI252" s="1132" t="n"/>
      <c r="AJ252" s="1132" t="n"/>
      <c r="AK252" s="1132" t="n"/>
      <c r="AL252" s="1132" t="n"/>
      <c r="AM252" s="1132" t="n"/>
    </row>
    <row r="253" ht="15" customHeight="1" s="1134">
      <c r="L253" s="1344" t="n"/>
      <c r="M253" s="1132" t="n"/>
      <c r="N253" s="1344" t="n"/>
      <c r="O253" s="1132" t="n"/>
      <c r="P253" s="1132" t="n"/>
      <c r="Q253" s="1132" t="n"/>
      <c r="R253" s="1132" t="n"/>
      <c r="S253" s="1132" t="n"/>
      <c r="T253" s="1132" t="n"/>
      <c r="U253" s="1132" t="n"/>
      <c r="V253" s="1132" t="n"/>
      <c r="W253" s="1132" t="n"/>
      <c r="X253" s="1132" t="n"/>
      <c r="Y253" s="1132" t="n"/>
      <c r="Z253" s="1132" t="n"/>
      <c r="AA253" s="1132" t="n"/>
      <c r="AB253" s="1132" t="n"/>
      <c r="AC253" s="1132" t="n"/>
      <c r="AD253" s="1132" t="n"/>
      <c r="AE253" s="1132" t="n"/>
      <c r="AF253" s="1132" t="n"/>
      <c r="AG253" s="1132" t="n"/>
      <c r="AH253" s="1132" t="n"/>
      <c r="AI253" s="1132" t="n"/>
      <c r="AJ253" s="1132" t="n"/>
      <c r="AK253" s="1132" t="n"/>
      <c r="AL253" s="1132" t="n"/>
      <c r="AM253" s="1132" t="n"/>
    </row>
    <row r="254" ht="15" customHeight="1" s="1134">
      <c r="L254" s="1344" t="n"/>
      <c r="M254" s="1132" t="n"/>
      <c r="N254" s="1344" t="n"/>
      <c r="O254" s="1132" t="n"/>
      <c r="P254" s="1132" t="n"/>
      <c r="Q254" s="1132" t="n"/>
      <c r="R254" s="1132" t="n"/>
      <c r="S254" s="1132" t="n"/>
      <c r="T254" s="1132" t="n"/>
      <c r="U254" s="1132" t="n"/>
      <c r="V254" s="1132" t="n"/>
      <c r="W254" s="1132" t="n"/>
      <c r="X254" s="1132" t="n"/>
      <c r="Y254" s="1132" t="n"/>
      <c r="Z254" s="1132" t="n"/>
      <c r="AA254" s="1132" t="n"/>
      <c r="AB254" s="1132" t="n"/>
      <c r="AC254" s="1132" t="n"/>
      <c r="AD254" s="1132" t="n"/>
      <c r="AE254" s="1132" t="n"/>
      <c r="AF254" s="1132" t="n"/>
      <c r="AG254" s="1132" t="n"/>
      <c r="AH254" s="1132" t="n"/>
      <c r="AI254" s="1132" t="n"/>
      <c r="AJ254" s="1132" t="n"/>
      <c r="AK254" s="1132" t="n"/>
      <c r="AL254" s="1132" t="n"/>
      <c r="AM254" s="1132" t="n"/>
    </row>
    <row r="255" ht="15" customHeight="1" s="1134">
      <c r="L255" s="1344" t="n"/>
      <c r="M255" s="1132" t="n"/>
      <c r="N255" s="1344" t="n"/>
      <c r="O255" s="1132" t="n"/>
      <c r="P255" s="1132" t="n"/>
      <c r="Q255" s="1132" t="n"/>
      <c r="R255" s="1132" t="n"/>
      <c r="S255" s="1132" t="n"/>
      <c r="T255" s="1132" t="n"/>
      <c r="U255" s="1132" t="n"/>
      <c r="V255" s="1132" t="n"/>
      <c r="W255" s="1132" t="n"/>
      <c r="X255" s="1132" t="n"/>
      <c r="Y255" s="1132" t="n"/>
      <c r="Z255" s="1132" t="n"/>
      <c r="AA255" s="1132" t="n"/>
      <c r="AB255" s="1132" t="n"/>
      <c r="AC255" s="1132" t="n"/>
      <c r="AD255" s="1132" t="n"/>
      <c r="AE255" s="1132" t="n"/>
      <c r="AF255" s="1132" t="n"/>
      <c r="AG255" s="1132" t="n"/>
      <c r="AH255" s="1132" t="n"/>
      <c r="AI255" s="1132" t="n"/>
      <c r="AJ255" s="1132" t="n"/>
      <c r="AK255" s="1132" t="n"/>
      <c r="AL255" s="1132" t="n"/>
      <c r="AM255" s="1132" t="n"/>
    </row>
    <row r="256" ht="15" customHeight="1" s="1134">
      <c r="L256" s="1344" t="n"/>
      <c r="M256" s="1132" t="n"/>
      <c r="N256" s="1344" t="n"/>
      <c r="O256" s="1132" t="n"/>
      <c r="P256" s="1132" t="n"/>
      <c r="Q256" s="1132" t="n"/>
      <c r="R256" s="1132" t="n"/>
      <c r="S256" s="1132" t="n"/>
      <c r="T256" s="1132" t="n"/>
      <c r="U256" s="1132" t="n"/>
      <c r="V256" s="1132" t="n"/>
      <c r="W256" s="1132" t="n"/>
      <c r="X256" s="1132" t="n"/>
      <c r="Y256" s="1132" t="n"/>
      <c r="Z256" s="1132" t="n"/>
      <c r="AA256" s="1132" t="n"/>
      <c r="AB256" s="1132" t="n"/>
      <c r="AC256" s="1132" t="n"/>
      <c r="AD256" s="1132" t="n"/>
      <c r="AE256" s="1132" t="n"/>
      <c r="AF256" s="1132" t="n"/>
      <c r="AG256" s="1132" t="n"/>
      <c r="AH256" s="1132" t="n"/>
      <c r="AI256" s="1132" t="n"/>
      <c r="AJ256" s="1132" t="n"/>
      <c r="AK256" s="1132" t="n"/>
      <c r="AL256" s="1132" t="n"/>
      <c r="AM256" s="1132" t="n"/>
    </row>
    <row r="257" ht="15" customHeight="1" s="1134">
      <c r="L257" s="1344" t="n"/>
      <c r="M257" s="1132" t="n"/>
      <c r="N257" s="1344" t="n"/>
      <c r="O257" s="1132" t="n"/>
      <c r="P257" s="1132" t="n"/>
      <c r="Q257" s="1132" t="n"/>
      <c r="R257" s="1132" t="n"/>
      <c r="S257" s="1132" t="n"/>
      <c r="T257" s="1132" t="n"/>
      <c r="U257" s="1132" t="n"/>
      <c r="V257" s="1132" t="n"/>
      <c r="W257" s="1132" t="n"/>
      <c r="X257" s="1132" t="n"/>
      <c r="Y257" s="1132" t="n"/>
      <c r="Z257" s="1132" t="n"/>
      <c r="AA257" s="1132" t="n"/>
      <c r="AB257" s="1132" t="n"/>
      <c r="AC257" s="1132" t="n"/>
      <c r="AD257" s="1132" t="n"/>
      <c r="AE257" s="1132" t="n"/>
      <c r="AF257" s="1132" t="n"/>
      <c r="AG257" s="1132" t="n"/>
      <c r="AH257" s="1132" t="n"/>
      <c r="AI257" s="1132" t="n"/>
      <c r="AJ257" s="1132" t="n"/>
      <c r="AK257" s="1132" t="n"/>
      <c r="AL257" s="1132" t="n"/>
      <c r="AM257" s="1132" t="n"/>
    </row>
    <row r="258" ht="15" customHeight="1" s="1134">
      <c r="L258" s="1344" t="n"/>
      <c r="M258" s="1132" t="n"/>
      <c r="N258" s="1344" t="n"/>
      <c r="O258" s="1132" t="n"/>
      <c r="P258" s="1132" t="n"/>
      <c r="Q258" s="1132" t="n"/>
      <c r="R258" s="1132" t="n"/>
      <c r="S258" s="1132" t="n"/>
      <c r="T258" s="1132" t="n"/>
      <c r="U258" s="1132" t="n"/>
      <c r="V258" s="1132" t="n"/>
      <c r="W258" s="1132" t="n"/>
      <c r="X258" s="1132" t="n"/>
      <c r="Y258" s="1132" t="n"/>
      <c r="Z258" s="1132" t="n"/>
      <c r="AA258" s="1132" t="n"/>
      <c r="AB258" s="1132" t="n"/>
      <c r="AC258" s="1132" t="n"/>
      <c r="AD258" s="1132" t="n"/>
      <c r="AE258" s="1132" t="n"/>
      <c r="AF258" s="1132" t="n"/>
      <c r="AG258" s="1132" t="n"/>
      <c r="AH258" s="1132" t="n"/>
      <c r="AI258" s="1132" t="n"/>
      <c r="AJ258" s="1132" t="n"/>
      <c r="AK258" s="1132" t="n"/>
      <c r="AL258" s="1132" t="n"/>
      <c r="AM258" s="1132" t="n"/>
    </row>
    <row r="259" ht="15" customHeight="1" s="1134">
      <c r="L259" s="1344" t="n"/>
      <c r="M259" s="1132" t="n"/>
      <c r="N259" s="1344" t="n"/>
      <c r="O259" s="1132" t="n"/>
      <c r="P259" s="1132" t="n"/>
      <c r="Q259" s="1132" t="n"/>
      <c r="R259" s="1132" t="n"/>
      <c r="S259" s="1132" t="n"/>
      <c r="T259" s="1132" t="n"/>
      <c r="U259" s="1132" t="n"/>
      <c r="V259" s="1132" t="n"/>
      <c r="W259" s="1132" t="n"/>
      <c r="X259" s="1132" t="n"/>
      <c r="Y259" s="1132" t="n"/>
      <c r="Z259" s="1132" t="n"/>
      <c r="AA259" s="1132" t="n"/>
      <c r="AB259" s="1132" t="n"/>
      <c r="AC259" s="1132" t="n"/>
      <c r="AD259" s="1132" t="n"/>
      <c r="AE259" s="1132" t="n"/>
      <c r="AF259" s="1132" t="n"/>
      <c r="AG259" s="1132" t="n"/>
      <c r="AH259" s="1132" t="n"/>
      <c r="AI259" s="1132" t="n"/>
      <c r="AJ259" s="1132" t="n"/>
      <c r="AK259" s="1132" t="n"/>
      <c r="AL259" s="1132" t="n"/>
      <c r="AM259" s="1132" t="n"/>
    </row>
    <row r="260" ht="15" customHeight="1" s="1134">
      <c r="L260" s="1344" t="n"/>
      <c r="M260" s="1132" t="n"/>
      <c r="N260" s="1344" t="n"/>
      <c r="O260" s="1132" t="n"/>
      <c r="P260" s="1132" t="n"/>
      <c r="Q260" s="1132" t="n"/>
      <c r="R260" s="1132" t="n"/>
      <c r="S260" s="1132" t="n"/>
      <c r="T260" s="1132" t="n"/>
      <c r="U260" s="1132" t="n"/>
      <c r="V260" s="1132" t="n"/>
      <c r="W260" s="1132" t="n"/>
      <c r="X260" s="1132" t="n"/>
      <c r="Y260" s="1132" t="n"/>
      <c r="Z260" s="1132" t="n"/>
      <c r="AA260" s="1132" t="n"/>
      <c r="AB260" s="1132" t="n"/>
      <c r="AC260" s="1132" t="n"/>
      <c r="AD260" s="1132" t="n"/>
      <c r="AE260" s="1132" t="n"/>
      <c r="AF260" s="1132" t="n"/>
      <c r="AG260" s="1132" t="n"/>
      <c r="AH260" s="1132" t="n"/>
      <c r="AI260" s="1132" t="n"/>
      <c r="AJ260" s="1132" t="n"/>
      <c r="AK260" s="1132" t="n"/>
      <c r="AL260" s="1132" t="n"/>
      <c r="AM260" s="1132" t="n"/>
    </row>
    <row r="261" ht="15" customHeight="1" s="1134">
      <c r="L261" s="1344" t="n"/>
      <c r="M261" s="1132" t="n"/>
      <c r="N261" s="1344" t="n"/>
      <c r="O261" s="1132" t="n"/>
      <c r="P261" s="1132" t="n"/>
      <c r="Q261" s="1132" t="n"/>
      <c r="R261" s="1132" t="n"/>
      <c r="S261" s="1132" t="n"/>
      <c r="T261" s="1132" t="n"/>
      <c r="U261" s="1132" t="n"/>
      <c r="V261" s="1132" t="n"/>
      <c r="W261" s="1132" t="n"/>
      <c r="X261" s="1132" t="n"/>
      <c r="Y261" s="1132" t="n"/>
      <c r="Z261" s="1132" t="n"/>
      <c r="AA261" s="1132" t="n"/>
      <c r="AB261" s="1132" t="n"/>
      <c r="AC261" s="1132" t="n"/>
      <c r="AD261" s="1132" t="n"/>
      <c r="AE261" s="1132" t="n"/>
      <c r="AF261" s="1132" t="n"/>
      <c r="AG261" s="1132" t="n"/>
      <c r="AH261" s="1132" t="n"/>
      <c r="AI261" s="1132" t="n"/>
      <c r="AJ261" s="1132" t="n"/>
      <c r="AK261" s="1132" t="n"/>
      <c r="AL261" s="1132" t="n"/>
      <c r="AM261" s="1132" t="n"/>
    </row>
    <row r="262" ht="15" customHeight="1" s="1134">
      <c r="L262" s="1344" t="n"/>
      <c r="M262" s="1132" t="n"/>
      <c r="N262" s="1344" t="n"/>
      <c r="O262" s="1132" t="n"/>
      <c r="P262" s="1132" t="n"/>
      <c r="Q262" s="1132" t="n"/>
      <c r="R262" s="1132" t="n"/>
      <c r="S262" s="1132" t="n"/>
      <c r="T262" s="1132" t="n"/>
      <c r="U262" s="1132" t="n"/>
      <c r="V262" s="1132" t="n"/>
      <c r="W262" s="1132" t="n"/>
      <c r="X262" s="1132" t="n"/>
      <c r="Y262" s="1132" t="n"/>
      <c r="Z262" s="1132" t="n"/>
      <c r="AA262" s="1132" t="n"/>
      <c r="AB262" s="1132" t="n"/>
      <c r="AC262" s="1132" t="n"/>
      <c r="AD262" s="1132" t="n"/>
      <c r="AE262" s="1132" t="n"/>
      <c r="AF262" s="1132" t="n"/>
      <c r="AG262" s="1132" t="n"/>
      <c r="AH262" s="1132" t="n"/>
      <c r="AI262" s="1132" t="n"/>
      <c r="AJ262" s="1132" t="n"/>
      <c r="AK262" s="1132" t="n"/>
      <c r="AL262" s="1132" t="n"/>
      <c r="AM262" s="1132" t="n"/>
    </row>
    <row r="263" ht="15" customHeight="1" s="1134">
      <c r="L263" s="1344" t="n"/>
      <c r="M263" s="1132" t="n"/>
      <c r="N263" s="1344" t="n"/>
      <c r="O263" s="1132" t="n"/>
      <c r="P263" s="1132" t="n"/>
      <c r="Q263" s="1132" t="n"/>
      <c r="R263" s="1132" t="n"/>
      <c r="S263" s="1132" t="n"/>
      <c r="T263" s="1132" t="n"/>
      <c r="U263" s="1132" t="n"/>
      <c r="V263" s="1132" t="n"/>
      <c r="W263" s="1132" t="n"/>
      <c r="X263" s="1132" t="n"/>
      <c r="Y263" s="1132" t="n"/>
      <c r="Z263" s="1132" t="n"/>
      <c r="AA263" s="1132" t="n"/>
      <c r="AB263" s="1132" t="n"/>
      <c r="AC263" s="1132" t="n"/>
      <c r="AD263" s="1132" t="n"/>
      <c r="AE263" s="1132" t="n"/>
      <c r="AF263" s="1132" t="n"/>
      <c r="AG263" s="1132" t="n"/>
      <c r="AH263" s="1132" t="n"/>
      <c r="AI263" s="1132" t="n"/>
      <c r="AJ263" s="1132" t="n"/>
      <c r="AK263" s="1132" t="n"/>
      <c r="AL263" s="1132" t="n"/>
      <c r="AM263" s="1132" t="n"/>
    </row>
    <row r="264" ht="15" customHeight="1" s="1134">
      <c r="L264" s="1344" t="n"/>
      <c r="M264" s="1132" t="n"/>
      <c r="N264" s="1344" t="n"/>
      <c r="O264" s="1132" t="n"/>
      <c r="P264" s="1132" t="n"/>
      <c r="Q264" s="1132" t="n"/>
      <c r="R264" s="1132" t="n"/>
      <c r="S264" s="1132" t="n"/>
      <c r="T264" s="1132" t="n"/>
      <c r="U264" s="1132" t="n"/>
      <c r="V264" s="1132" t="n"/>
      <c r="W264" s="1132" t="n"/>
      <c r="X264" s="1132" t="n"/>
      <c r="Y264" s="1132" t="n"/>
      <c r="Z264" s="1132" t="n"/>
      <c r="AA264" s="1132" t="n"/>
      <c r="AB264" s="1132" t="n"/>
      <c r="AC264" s="1132" t="n"/>
      <c r="AD264" s="1132" t="n"/>
      <c r="AE264" s="1132" t="n"/>
      <c r="AF264" s="1132" t="n"/>
      <c r="AG264" s="1132" t="n"/>
      <c r="AH264" s="1132" t="n"/>
      <c r="AI264" s="1132" t="n"/>
      <c r="AJ264" s="1132" t="n"/>
      <c r="AK264" s="1132" t="n"/>
      <c r="AL264" s="1132" t="n"/>
      <c r="AM264" s="1132" t="n"/>
    </row>
    <row r="265" ht="15" customHeight="1" s="1134">
      <c r="L265" s="1344" t="n"/>
      <c r="M265" s="1132" t="n"/>
      <c r="N265" s="1344" t="n"/>
      <c r="O265" s="1132" t="n"/>
      <c r="P265" s="1132" t="n"/>
      <c r="Q265" s="1132" t="n"/>
      <c r="R265" s="1132" t="n"/>
      <c r="S265" s="1132" t="n"/>
      <c r="T265" s="1132" t="n"/>
      <c r="U265" s="1132" t="n"/>
      <c r="V265" s="1132" t="n"/>
      <c r="W265" s="1132" t="n"/>
      <c r="X265" s="1132" t="n"/>
      <c r="Y265" s="1132" t="n"/>
      <c r="Z265" s="1132" t="n"/>
      <c r="AA265" s="1132" t="n"/>
      <c r="AB265" s="1132" t="n"/>
      <c r="AC265" s="1132" t="n"/>
      <c r="AD265" s="1132" t="n"/>
      <c r="AE265" s="1132" t="n"/>
      <c r="AF265" s="1132" t="n"/>
      <c r="AG265" s="1132" t="n"/>
      <c r="AH265" s="1132" t="n"/>
      <c r="AI265" s="1132" t="n"/>
      <c r="AJ265" s="1132" t="n"/>
      <c r="AK265" s="1132" t="n"/>
      <c r="AL265" s="1132" t="n"/>
      <c r="AM265" s="1132" t="n"/>
    </row>
    <row r="266" ht="15" customHeight="1" s="1134">
      <c r="L266" s="1344" t="n"/>
      <c r="M266" s="1132" t="n"/>
      <c r="N266" s="1344" t="n"/>
      <c r="O266" s="1132" t="n"/>
      <c r="P266" s="1132" t="n"/>
      <c r="Q266" s="1132" t="n"/>
      <c r="R266" s="1132" t="n"/>
      <c r="S266" s="1132" t="n"/>
      <c r="T266" s="1132" t="n"/>
      <c r="U266" s="1132" t="n"/>
      <c r="V266" s="1132" t="n"/>
      <c r="W266" s="1132" t="n"/>
      <c r="X266" s="1132" t="n"/>
      <c r="Y266" s="1132" t="n"/>
      <c r="Z266" s="1132" t="n"/>
      <c r="AA266" s="1132" t="n"/>
      <c r="AB266" s="1132" t="n"/>
      <c r="AC266" s="1132" t="n"/>
      <c r="AD266" s="1132" t="n"/>
      <c r="AE266" s="1132" t="n"/>
      <c r="AF266" s="1132" t="n"/>
      <c r="AG266" s="1132" t="n"/>
      <c r="AH266" s="1132" t="n"/>
      <c r="AI266" s="1132" t="n"/>
      <c r="AJ266" s="1132" t="n"/>
      <c r="AK266" s="1132" t="n"/>
      <c r="AL266" s="1132" t="n"/>
      <c r="AM266" s="1132" t="n"/>
    </row>
    <row r="267" ht="15" customHeight="1" s="1134">
      <c r="L267" s="1344" t="n"/>
      <c r="M267" s="1132" t="n"/>
      <c r="N267" s="1344" t="n"/>
      <c r="O267" s="1132" t="n"/>
      <c r="P267" s="1132" t="n"/>
      <c r="Q267" s="1132" t="n"/>
      <c r="R267" s="1132" t="n"/>
      <c r="S267" s="1132" t="n"/>
      <c r="T267" s="1132" t="n"/>
      <c r="U267" s="1132" t="n"/>
      <c r="V267" s="1132" t="n"/>
      <c r="W267" s="1132" t="n"/>
      <c r="X267" s="1132" t="n"/>
      <c r="Y267" s="1132" t="n"/>
      <c r="Z267" s="1132" t="n"/>
      <c r="AA267" s="1132" t="n"/>
      <c r="AB267" s="1132" t="n"/>
      <c r="AC267" s="1132" t="n"/>
      <c r="AD267" s="1132" t="n"/>
      <c r="AE267" s="1132" t="n"/>
      <c r="AF267" s="1132" t="n"/>
      <c r="AG267" s="1132" t="n"/>
      <c r="AH267" s="1132" t="n"/>
      <c r="AI267" s="1132" t="n"/>
      <c r="AJ267" s="1132" t="n"/>
      <c r="AK267" s="1132" t="n"/>
      <c r="AL267" s="1132" t="n"/>
      <c r="AM267" s="1132" t="n"/>
    </row>
    <row r="268" ht="15" customHeight="1" s="1134">
      <c r="L268" s="1344" t="n"/>
      <c r="M268" s="1132" t="n"/>
      <c r="N268" s="1344" t="n"/>
      <c r="O268" s="1132" t="n"/>
      <c r="P268" s="1132" t="n"/>
      <c r="Q268" s="1132" t="n"/>
      <c r="R268" s="1132" t="n"/>
      <c r="S268" s="1132" t="n"/>
      <c r="T268" s="1132" t="n"/>
      <c r="U268" s="1132" t="n"/>
      <c r="V268" s="1132" t="n"/>
      <c r="W268" s="1132" t="n"/>
      <c r="X268" s="1132" t="n"/>
      <c r="Y268" s="1132" t="n"/>
      <c r="Z268" s="1132" t="n"/>
      <c r="AA268" s="1132" t="n"/>
      <c r="AB268" s="1132" t="n"/>
      <c r="AC268" s="1132" t="n"/>
      <c r="AD268" s="1132" t="n"/>
      <c r="AE268" s="1132" t="n"/>
      <c r="AF268" s="1132" t="n"/>
      <c r="AG268" s="1132" t="n"/>
      <c r="AH268" s="1132" t="n"/>
      <c r="AI268" s="1132" t="n"/>
      <c r="AJ268" s="1132" t="n"/>
      <c r="AK268" s="1132" t="n"/>
      <c r="AL268" s="1132" t="n"/>
      <c r="AM268" s="1132" t="n"/>
    </row>
    <row r="269" ht="15" customHeight="1" s="1134">
      <c r="L269" s="1344" t="n"/>
      <c r="M269" s="1132" t="n"/>
      <c r="N269" s="1344" t="n"/>
      <c r="O269" s="1132" t="n"/>
      <c r="P269" s="1132" t="n"/>
      <c r="Q269" s="1132" t="n"/>
      <c r="R269" s="1132" t="n"/>
      <c r="S269" s="1132" t="n"/>
      <c r="T269" s="1132" t="n"/>
      <c r="U269" s="1132" t="n"/>
      <c r="V269" s="1132" t="n"/>
      <c r="W269" s="1132" t="n"/>
      <c r="X269" s="1132" t="n"/>
      <c r="Y269" s="1132" t="n"/>
      <c r="Z269" s="1132" t="n"/>
      <c r="AA269" s="1132" t="n"/>
      <c r="AB269" s="1132" t="n"/>
      <c r="AC269" s="1132" t="n"/>
      <c r="AD269" s="1132" t="n"/>
      <c r="AE269" s="1132" t="n"/>
      <c r="AF269" s="1132" t="n"/>
      <c r="AG269" s="1132" t="n"/>
      <c r="AH269" s="1132" t="n"/>
      <c r="AI269" s="1132" t="n"/>
      <c r="AJ269" s="1132" t="n"/>
      <c r="AK269" s="1132" t="n"/>
      <c r="AL269" s="1132" t="n"/>
      <c r="AM269" s="1132" t="n"/>
    </row>
    <row r="270" ht="15" customHeight="1" s="1134">
      <c r="L270" s="1344" t="n"/>
      <c r="M270" s="1132" t="n"/>
      <c r="N270" s="1344" t="n"/>
      <c r="O270" s="1132" t="n"/>
      <c r="P270" s="1132" t="n"/>
      <c r="Q270" s="1132" t="n"/>
      <c r="R270" s="1132" t="n"/>
      <c r="S270" s="1132" t="n"/>
      <c r="T270" s="1132" t="n"/>
      <c r="U270" s="1132" t="n"/>
      <c r="V270" s="1132" t="n"/>
      <c r="W270" s="1132" t="n"/>
      <c r="X270" s="1132" t="n"/>
      <c r="Y270" s="1132" t="n"/>
      <c r="Z270" s="1132" t="n"/>
      <c r="AA270" s="1132" t="n"/>
      <c r="AB270" s="1132" t="n"/>
      <c r="AC270" s="1132" t="n"/>
      <c r="AD270" s="1132" t="n"/>
      <c r="AE270" s="1132" t="n"/>
      <c r="AF270" s="1132" t="n"/>
      <c r="AG270" s="1132" t="n"/>
      <c r="AH270" s="1132" t="n"/>
      <c r="AI270" s="1132" t="n"/>
      <c r="AJ270" s="1132" t="n"/>
      <c r="AK270" s="1132" t="n"/>
      <c r="AL270" s="1132" t="n"/>
      <c r="AM270" s="1132" t="n"/>
    </row>
    <row r="271" ht="15" customHeight="1" s="1134">
      <c r="L271" s="1344" t="n"/>
      <c r="M271" s="1132" t="n"/>
      <c r="N271" s="1344" t="n"/>
      <c r="O271" s="1132" t="n"/>
      <c r="P271" s="1132" t="n"/>
      <c r="Q271" s="1132" t="n"/>
      <c r="R271" s="1132" t="n"/>
      <c r="S271" s="1132" t="n"/>
      <c r="T271" s="1132" t="n"/>
      <c r="U271" s="1132" t="n"/>
      <c r="V271" s="1132" t="n"/>
      <c r="W271" s="1132" t="n"/>
      <c r="X271" s="1132" t="n"/>
      <c r="Y271" s="1132" t="n"/>
      <c r="Z271" s="1132" t="n"/>
      <c r="AA271" s="1132" t="n"/>
      <c r="AB271" s="1132" t="n"/>
      <c r="AC271" s="1132" t="n"/>
      <c r="AD271" s="1132" t="n"/>
      <c r="AE271" s="1132" t="n"/>
      <c r="AF271" s="1132" t="n"/>
      <c r="AG271" s="1132" t="n"/>
      <c r="AH271" s="1132" t="n"/>
      <c r="AI271" s="1132" t="n"/>
      <c r="AJ271" s="1132" t="n"/>
      <c r="AK271" s="1132" t="n"/>
      <c r="AL271" s="1132" t="n"/>
      <c r="AM271" s="1132" t="n"/>
    </row>
    <row r="272" ht="15" customHeight="1" s="1134">
      <c r="L272" s="1344" t="n"/>
      <c r="M272" s="1132" t="n"/>
      <c r="N272" s="1344" t="n"/>
      <c r="O272" s="1132" t="n"/>
      <c r="P272" s="1132" t="n"/>
      <c r="Q272" s="1132" t="n"/>
      <c r="R272" s="1132" t="n"/>
      <c r="S272" s="1132" t="n"/>
      <c r="T272" s="1132" t="n"/>
      <c r="U272" s="1132" t="n"/>
      <c r="V272" s="1132" t="n"/>
      <c r="W272" s="1132" t="n"/>
      <c r="X272" s="1132" t="n"/>
      <c r="Y272" s="1132" t="n"/>
      <c r="Z272" s="1132" t="n"/>
      <c r="AA272" s="1132" t="n"/>
      <c r="AB272" s="1132" t="n"/>
      <c r="AC272" s="1132" t="n"/>
      <c r="AD272" s="1132" t="n"/>
      <c r="AE272" s="1132" t="n"/>
      <c r="AF272" s="1132" t="n"/>
      <c r="AG272" s="1132" t="n"/>
      <c r="AH272" s="1132" t="n"/>
      <c r="AI272" s="1132" t="n"/>
      <c r="AJ272" s="1132" t="n"/>
      <c r="AK272" s="1132" t="n"/>
      <c r="AL272" s="1132" t="n"/>
      <c r="AM272" s="1132" t="n"/>
    </row>
    <row r="273" ht="15" customHeight="1" s="1134">
      <c r="L273" s="1344" t="n"/>
      <c r="M273" s="1132" t="n"/>
      <c r="N273" s="1344" t="n"/>
      <c r="O273" s="1132" t="n"/>
      <c r="P273" s="1132" t="n"/>
      <c r="Q273" s="1132" t="n"/>
      <c r="R273" s="1132" t="n"/>
      <c r="S273" s="1132" t="n"/>
      <c r="T273" s="1132" t="n"/>
      <c r="U273" s="1132" t="n"/>
      <c r="V273" s="1132" t="n"/>
      <c r="W273" s="1132" t="n"/>
      <c r="X273" s="1132" t="n"/>
      <c r="Y273" s="1132" t="n"/>
      <c r="Z273" s="1132" t="n"/>
      <c r="AA273" s="1132" t="n"/>
      <c r="AB273" s="1132" t="n"/>
      <c r="AC273" s="1132" t="n"/>
      <c r="AD273" s="1132" t="n"/>
      <c r="AE273" s="1132" t="n"/>
      <c r="AF273" s="1132" t="n"/>
      <c r="AG273" s="1132" t="n"/>
      <c r="AH273" s="1132" t="n"/>
      <c r="AI273" s="1132" t="n"/>
      <c r="AJ273" s="1132" t="n"/>
      <c r="AK273" s="1132" t="n"/>
      <c r="AL273" s="1132" t="n"/>
      <c r="AM273" s="1132" t="n"/>
    </row>
    <row r="274" ht="15" customHeight="1" s="1134">
      <c r="L274" s="1344" t="n"/>
      <c r="M274" s="1132" t="n"/>
      <c r="N274" s="1344" t="n"/>
      <c r="O274" s="1132" t="n"/>
      <c r="P274" s="1132" t="n"/>
      <c r="Q274" s="1132" t="n"/>
      <c r="R274" s="1132" t="n"/>
      <c r="S274" s="1132" t="n"/>
      <c r="T274" s="1132" t="n"/>
      <c r="U274" s="1132" t="n"/>
      <c r="V274" s="1132" t="n"/>
      <c r="W274" s="1132" t="n"/>
      <c r="X274" s="1132" t="n"/>
      <c r="Y274" s="1132" t="n"/>
      <c r="Z274" s="1132" t="n"/>
      <c r="AA274" s="1132" t="n"/>
      <c r="AB274" s="1132" t="n"/>
      <c r="AC274" s="1132" t="n"/>
      <c r="AD274" s="1132" t="n"/>
      <c r="AE274" s="1132" t="n"/>
      <c r="AF274" s="1132" t="n"/>
      <c r="AG274" s="1132" t="n"/>
      <c r="AH274" s="1132" t="n"/>
      <c r="AI274" s="1132" t="n"/>
      <c r="AJ274" s="1132" t="n"/>
      <c r="AK274" s="1132" t="n"/>
      <c r="AL274" s="1132" t="n"/>
      <c r="AM274" s="1132" t="n"/>
    </row>
    <row r="275" ht="15" customHeight="1" s="1134">
      <c r="L275" s="1344" t="n"/>
      <c r="M275" s="1132" t="n"/>
      <c r="N275" s="1344" t="n"/>
      <c r="O275" s="1132" t="n"/>
      <c r="P275" s="1132" t="n"/>
      <c r="Q275" s="1132" t="n"/>
      <c r="R275" s="1132" t="n"/>
      <c r="S275" s="1132" t="n"/>
      <c r="T275" s="1132" t="n"/>
      <c r="U275" s="1132" t="n"/>
      <c r="V275" s="1132" t="n"/>
      <c r="W275" s="1132" t="n"/>
      <c r="X275" s="1132" t="n"/>
      <c r="Y275" s="1132" t="n"/>
      <c r="Z275" s="1132" t="n"/>
      <c r="AA275" s="1132" t="n"/>
      <c r="AB275" s="1132" t="n"/>
      <c r="AC275" s="1132" t="n"/>
      <c r="AD275" s="1132" t="n"/>
      <c r="AE275" s="1132" t="n"/>
      <c r="AF275" s="1132" t="n"/>
      <c r="AG275" s="1132" t="n"/>
      <c r="AH275" s="1132" t="n"/>
      <c r="AI275" s="1132" t="n"/>
      <c r="AJ275" s="1132" t="n"/>
      <c r="AK275" s="1132" t="n"/>
      <c r="AL275" s="1132" t="n"/>
      <c r="AM275" s="1132" t="n"/>
    </row>
    <row r="276" ht="15" customHeight="1" s="1134">
      <c r="L276" s="1344" t="n"/>
      <c r="M276" s="1132" t="n"/>
      <c r="N276" s="1344" t="n"/>
      <c r="O276" s="1132" t="n"/>
      <c r="P276" s="1132" t="n"/>
      <c r="Q276" s="1132" t="n"/>
      <c r="R276" s="1132" t="n"/>
      <c r="S276" s="1132" t="n"/>
      <c r="T276" s="1132" t="n"/>
      <c r="U276" s="1132" t="n"/>
      <c r="V276" s="1132" t="n"/>
      <c r="W276" s="1132" t="n"/>
      <c r="X276" s="1132" t="n"/>
      <c r="Y276" s="1132" t="n"/>
      <c r="Z276" s="1132" t="n"/>
      <c r="AA276" s="1132" t="n"/>
      <c r="AB276" s="1132" t="n"/>
      <c r="AC276" s="1132" t="n"/>
      <c r="AD276" s="1132" t="n"/>
      <c r="AE276" s="1132" t="n"/>
      <c r="AF276" s="1132" t="n"/>
      <c r="AG276" s="1132" t="n"/>
      <c r="AH276" s="1132" t="n"/>
      <c r="AI276" s="1132" t="n"/>
      <c r="AJ276" s="1132" t="n"/>
      <c r="AK276" s="1132" t="n"/>
      <c r="AL276" s="1132" t="n"/>
      <c r="AM276" s="1132" t="n"/>
    </row>
    <row r="277" ht="15" customHeight="1" s="1134">
      <c r="L277" s="1344" t="n"/>
      <c r="M277" s="1132" t="n"/>
      <c r="N277" s="1344" t="n"/>
      <c r="O277" s="1132" t="n"/>
      <c r="P277" s="1132" t="n"/>
      <c r="Q277" s="1132" t="n"/>
      <c r="R277" s="1132" t="n"/>
      <c r="S277" s="1132" t="n"/>
      <c r="T277" s="1132" t="n"/>
      <c r="U277" s="1132" t="n"/>
      <c r="V277" s="1132" t="n"/>
      <c r="W277" s="1132" t="n"/>
      <c r="X277" s="1132" t="n"/>
      <c r="Y277" s="1132" t="n"/>
      <c r="Z277" s="1132" t="n"/>
      <c r="AA277" s="1132" t="n"/>
      <c r="AB277" s="1132" t="n"/>
      <c r="AC277" s="1132" t="n"/>
      <c r="AD277" s="1132" t="n"/>
      <c r="AE277" s="1132" t="n"/>
      <c r="AF277" s="1132" t="n"/>
      <c r="AG277" s="1132" t="n"/>
      <c r="AH277" s="1132" t="n"/>
      <c r="AI277" s="1132" t="n"/>
      <c r="AJ277" s="1132" t="n"/>
      <c r="AK277" s="1132" t="n"/>
      <c r="AL277" s="1132" t="n"/>
      <c r="AM277" s="1132" t="n"/>
    </row>
    <row r="278" ht="15" customHeight="1" s="1134">
      <c r="L278" s="1344" t="n"/>
      <c r="M278" s="1132" t="n"/>
      <c r="N278" s="1344" t="n"/>
      <c r="O278" s="1132" t="n"/>
      <c r="P278" s="1132" t="n"/>
      <c r="Q278" s="1132" t="n"/>
      <c r="R278" s="1132" t="n"/>
      <c r="S278" s="1132" t="n"/>
      <c r="T278" s="1132" t="n"/>
      <c r="U278" s="1132" t="n"/>
      <c r="V278" s="1132" t="n"/>
      <c r="W278" s="1132" t="n"/>
      <c r="X278" s="1132" t="n"/>
      <c r="Y278" s="1132" t="n"/>
      <c r="Z278" s="1132" t="n"/>
      <c r="AA278" s="1132" t="n"/>
      <c r="AB278" s="1132" t="n"/>
      <c r="AC278" s="1132" t="n"/>
      <c r="AD278" s="1132" t="n"/>
      <c r="AE278" s="1132" t="n"/>
      <c r="AF278" s="1132" t="n"/>
      <c r="AG278" s="1132" t="n"/>
      <c r="AH278" s="1132" t="n"/>
      <c r="AI278" s="1132" t="n"/>
      <c r="AJ278" s="1132" t="n"/>
      <c r="AK278" s="1132" t="n"/>
      <c r="AL278" s="1132" t="n"/>
      <c r="AM278" s="1132" t="n"/>
    </row>
    <row r="279" ht="15" customHeight="1" s="1134">
      <c r="L279" s="1344" t="n"/>
      <c r="M279" s="1132" t="n"/>
      <c r="N279" s="1344" t="n"/>
      <c r="O279" s="1132" t="n"/>
      <c r="P279" s="1132" t="n"/>
      <c r="Q279" s="1132" t="n"/>
      <c r="R279" s="1132" t="n"/>
      <c r="S279" s="1132" t="n"/>
      <c r="T279" s="1132" t="n"/>
      <c r="U279" s="1132" t="n"/>
      <c r="V279" s="1132" t="n"/>
      <c r="W279" s="1132" t="n"/>
      <c r="X279" s="1132" t="n"/>
      <c r="Y279" s="1132" t="n"/>
      <c r="Z279" s="1132" t="n"/>
      <c r="AA279" s="1132" t="n"/>
      <c r="AB279" s="1132" t="n"/>
      <c r="AC279" s="1132" t="n"/>
      <c r="AD279" s="1132" t="n"/>
      <c r="AE279" s="1132" t="n"/>
      <c r="AF279" s="1132" t="n"/>
      <c r="AG279" s="1132" t="n"/>
      <c r="AH279" s="1132" t="n"/>
      <c r="AI279" s="1132" t="n"/>
      <c r="AJ279" s="1132" t="n"/>
      <c r="AK279" s="1132" t="n"/>
      <c r="AL279" s="1132" t="n"/>
      <c r="AM279" s="1132" t="n"/>
    </row>
    <row r="280" ht="15" customHeight="1" s="1134">
      <c r="L280" s="1344" t="n"/>
      <c r="M280" s="1132" t="n"/>
      <c r="N280" s="1344" t="n"/>
      <c r="O280" s="1132" t="n"/>
      <c r="P280" s="1132" t="n"/>
      <c r="Q280" s="1132" t="n"/>
      <c r="R280" s="1132" t="n"/>
      <c r="S280" s="1132" t="n"/>
      <c r="T280" s="1132" t="n"/>
      <c r="U280" s="1132" t="n"/>
      <c r="V280" s="1132" t="n"/>
      <c r="W280" s="1132" t="n"/>
      <c r="X280" s="1132" t="n"/>
      <c r="Y280" s="1132" t="n"/>
      <c r="Z280" s="1132" t="n"/>
      <c r="AA280" s="1132" t="n"/>
      <c r="AB280" s="1132" t="n"/>
      <c r="AC280" s="1132" t="n"/>
      <c r="AD280" s="1132" t="n"/>
      <c r="AE280" s="1132" t="n"/>
      <c r="AF280" s="1132" t="n"/>
      <c r="AG280" s="1132" t="n"/>
      <c r="AH280" s="1132" t="n"/>
      <c r="AI280" s="1132" t="n"/>
      <c r="AJ280" s="1132" t="n"/>
      <c r="AK280" s="1132" t="n"/>
      <c r="AL280" s="1132" t="n"/>
      <c r="AM280" s="1132" t="n"/>
    </row>
    <row r="281" ht="15" customHeight="1" s="1134">
      <c r="L281" s="1344" t="n"/>
      <c r="M281" s="1132" t="n"/>
      <c r="N281" s="1344" t="n"/>
      <c r="O281" s="1132" t="n"/>
      <c r="P281" s="1132" t="n"/>
      <c r="Q281" s="1132" t="n"/>
      <c r="R281" s="1132" t="n"/>
      <c r="S281" s="1132" t="n"/>
      <c r="T281" s="1132" t="n"/>
      <c r="U281" s="1132" t="n"/>
      <c r="V281" s="1132" t="n"/>
      <c r="W281" s="1132" t="n"/>
      <c r="X281" s="1132" t="n"/>
      <c r="Y281" s="1132" t="n"/>
      <c r="Z281" s="1132" t="n"/>
      <c r="AA281" s="1132" t="n"/>
      <c r="AB281" s="1132" t="n"/>
      <c r="AC281" s="1132" t="n"/>
      <c r="AD281" s="1132" t="n"/>
      <c r="AE281" s="1132" t="n"/>
      <c r="AF281" s="1132" t="n"/>
      <c r="AG281" s="1132" t="n"/>
      <c r="AH281" s="1132" t="n"/>
      <c r="AI281" s="1132" t="n"/>
      <c r="AJ281" s="1132" t="n"/>
      <c r="AK281" s="1132" t="n"/>
      <c r="AL281" s="1132" t="n"/>
      <c r="AM281" s="1132" t="n"/>
    </row>
    <row r="282" ht="15" customHeight="1" s="1134">
      <c r="L282" s="1344" t="n"/>
      <c r="M282" s="1132" t="n"/>
      <c r="N282" s="1344" t="n"/>
      <c r="O282" s="1132" t="n"/>
      <c r="P282" s="1132" t="n"/>
      <c r="Q282" s="1132" t="n"/>
      <c r="R282" s="1132" t="n"/>
      <c r="S282" s="1132" t="n"/>
      <c r="T282" s="1132" t="n"/>
      <c r="U282" s="1132" t="n"/>
      <c r="V282" s="1132" t="n"/>
      <c r="W282" s="1132" t="n"/>
      <c r="X282" s="1132" t="n"/>
      <c r="Y282" s="1132" t="n"/>
      <c r="Z282" s="1132" t="n"/>
      <c r="AA282" s="1132" t="n"/>
      <c r="AB282" s="1132" t="n"/>
      <c r="AC282" s="1132" t="n"/>
      <c r="AD282" s="1132" t="n"/>
      <c r="AE282" s="1132" t="n"/>
      <c r="AF282" s="1132" t="n"/>
      <c r="AG282" s="1132" t="n"/>
      <c r="AH282" s="1132" t="n"/>
      <c r="AI282" s="1132" t="n"/>
      <c r="AJ282" s="1132" t="n"/>
      <c r="AK282" s="1132" t="n"/>
      <c r="AL282" s="1132" t="n"/>
      <c r="AM282" s="1132" t="n"/>
    </row>
    <row r="283" ht="15" customHeight="1" s="1134">
      <c r="L283" s="1344" t="n"/>
      <c r="M283" s="1132" t="n"/>
      <c r="N283" s="1344" t="n"/>
      <c r="O283" s="1132" t="n"/>
      <c r="P283" s="1132" t="n"/>
      <c r="Q283" s="1132" t="n"/>
      <c r="R283" s="1132" t="n"/>
      <c r="S283" s="1132" t="n"/>
      <c r="T283" s="1132" t="n"/>
      <c r="U283" s="1132" t="n"/>
      <c r="V283" s="1132" t="n"/>
      <c r="W283" s="1132" t="n"/>
      <c r="X283" s="1132" t="n"/>
      <c r="Y283" s="1132" t="n"/>
      <c r="Z283" s="1132" t="n"/>
      <c r="AA283" s="1132" t="n"/>
      <c r="AB283" s="1132" t="n"/>
      <c r="AC283" s="1132" t="n"/>
      <c r="AD283" s="1132" t="n"/>
      <c r="AE283" s="1132" t="n"/>
      <c r="AF283" s="1132" t="n"/>
      <c r="AG283" s="1132" t="n"/>
      <c r="AH283" s="1132" t="n"/>
      <c r="AI283" s="1132" t="n"/>
      <c r="AJ283" s="1132" t="n"/>
      <c r="AK283" s="1132" t="n"/>
      <c r="AL283" s="1132" t="n"/>
      <c r="AM283" s="1132" t="n"/>
    </row>
    <row r="284" ht="12.75" customHeight="1" s="1134">
      <c r="A284" s="1132" t="n"/>
      <c r="B284" s="1132" t="n"/>
      <c r="C284" s="1132" t="n"/>
      <c r="D284" s="1132" t="n"/>
      <c r="E284" s="1132" t="n"/>
      <c r="F284" s="1132" t="n"/>
      <c r="G284" s="1132" t="n"/>
      <c r="H284" s="1132" t="n"/>
      <c r="I284" s="1132" t="n"/>
      <c r="J284" s="1132" t="n"/>
      <c r="K284" s="1132" t="n"/>
      <c r="L284" s="1344" t="n"/>
      <c r="M284" s="1132" t="n"/>
      <c r="N284" s="1344" t="n"/>
      <c r="O284" s="1132" t="n"/>
      <c r="P284" s="1132" t="n"/>
      <c r="Q284" s="1132" t="n"/>
      <c r="R284" s="1132" t="n"/>
      <c r="S284" s="1132" t="n"/>
      <c r="T284" s="1132" t="n"/>
      <c r="U284" s="1132" t="n"/>
      <c r="V284" s="1132" t="n"/>
      <c r="W284" s="1132" t="n"/>
      <c r="X284" s="1132" t="n"/>
      <c r="Y284" s="1132" t="n"/>
      <c r="Z284" s="1132" t="n"/>
      <c r="AA284" s="1132" t="n"/>
      <c r="AB284" s="1132" t="n"/>
      <c r="AC284" s="1132" t="n"/>
      <c r="AD284" s="1132" t="n"/>
      <c r="AE284" s="1132" t="n"/>
      <c r="AF284" s="1132" t="n"/>
      <c r="AG284" s="1132" t="n"/>
      <c r="AH284" s="1132" t="n"/>
      <c r="AI284" s="1132" t="n"/>
      <c r="AJ284" s="1132" t="n"/>
      <c r="AK284" s="1132" t="n"/>
      <c r="AL284" s="1132" t="n"/>
      <c r="AM284" s="1132" t="n"/>
      <c r="AN284" s="1132" t="n"/>
      <c r="AO284" s="1132" t="n"/>
      <c r="AP284" s="1132" t="n"/>
      <c r="AQ284" s="1132" t="n"/>
      <c r="AR284" s="1132" t="n"/>
      <c r="AS284" s="1132" t="n"/>
      <c r="AT284" s="1132" t="n"/>
      <c r="AU284" s="1132" t="n"/>
      <c r="AV284" s="1132" t="n"/>
      <c r="AW284" s="1132" t="n"/>
      <c r="AX284" s="1132" t="n"/>
      <c r="AY284" s="1132" t="n"/>
      <c r="AZ284" s="1132" t="n"/>
      <c r="BA284" s="1132" t="n"/>
      <c r="BB284" s="1132" t="n"/>
      <c r="BC284" s="1132" t="n"/>
      <c r="BD284" s="1132" t="n"/>
      <c r="BE284" s="1132" t="n"/>
      <c r="BF284" s="1132" t="n"/>
      <c r="BG284" s="1132" t="n"/>
      <c r="BH284" s="1132" t="n"/>
      <c r="BI284" s="1132" t="n"/>
      <c r="BJ284" s="1132" t="n"/>
      <c r="BK284" s="1132" t="n"/>
      <c r="BL284" s="1132" t="n"/>
      <c r="BM284" s="1132" t="n"/>
      <c r="BN284" s="1132" t="n"/>
      <c r="BO284" s="1132" t="n"/>
      <c r="BP284" s="1132" t="n"/>
      <c r="BQ284" s="1132" t="n"/>
      <c r="BR284" s="1132" t="n"/>
      <c r="BS284" s="1132" t="n"/>
      <c r="BT284" s="1132" t="n"/>
      <c r="BU284" s="1132" t="n"/>
      <c r="BV284" s="1132" t="n"/>
      <c r="BW284" s="1132" t="n"/>
      <c r="BX284" s="1132" t="n"/>
      <c r="BY284" s="1132" t="n"/>
      <c r="BZ284" s="1132" t="n"/>
      <c r="CA284" s="1132" t="n"/>
      <c r="CB284" s="1132" t="n"/>
      <c r="CC284" s="1132" t="n"/>
      <c r="CD284" s="1132" t="n"/>
      <c r="CE284" s="1132" t="n"/>
      <c r="CF284" s="1132" t="n"/>
      <c r="CG284" s="1132" t="n"/>
      <c r="CH284" s="1132" t="n"/>
      <c r="CI284" s="1132" t="n"/>
      <c r="CJ284" s="1132" t="n"/>
      <c r="CK284" s="1132" t="n"/>
      <c r="CL284" s="1132" t="n"/>
      <c r="CM284" s="1132" t="n"/>
      <c r="CN284" s="1132" t="n"/>
      <c r="CO284" s="1132" t="n"/>
      <c r="CP284" s="1132" t="n"/>
      <c r="CQ284" s="1132" t="n"/>
      <c r="CR284" s="1132" t="n"/>
      <c r="CS284" s="1132" t="n"/>
      <c r="CT284" s="1132" t="n"/>
      <c r="CU284" s="1132" t="n"/>
      <c r="CV284" s="1132" t="n"/>
      <c r="CW284" s="1132" t="n"/>
      <c r="CX284" s="1132" t="n"/>
      <c r="CY284" s="1132" t="n"/>
      <c r="CZ284" s="1132" t="n"/>
      <c r="DA284" s="1132" t="n"/>
      <c r="DB284" s="1132" t="n"/>
      <c r="DC284" s="1132" t="n"/>
      <c r="DD284" s="1132" t="n"/>
      <c r="DE284" s="1132" t="n"/>
      <c r="DF284" s="1132" t="n"/>
      <c r="DG284" s="1132" t="n"/>
      <c r="DH284" s="1132" t="n"/>
      <c r="DI284" s="1132" t="n"/>
      <c r="DJ284" s="1132" t="n"/>
      <c r="DK284" s="1132" t="n"/>
      <c r="DL284" s="1132" t="n"/>
      <c r="DM284" s="1132" t="n"/>
      <c r="DN284" s="1132" t="n"/>
      <c r="DO284" s="1132" t="n"/>
      <c r="DP284" s="1132" t="n"/>
      <c r="DQ284" s="1132" t="n"/>
      <c r="DR284" s="1132" t="n"/>
      <c r="DS284" s="1132" t="n"/>
      <c r="DT284" s="1132" t="n"/>
      <c r="DU284" s="1132" t="n"/>
      <c r="DV284" s="1132" t="n"/>
      <c r="DW284" s="1132" t="n"/>
      <c r="DX284" s="1132" t="n"/>
      <c r="DY284" s="1132" t="n"/>
      <c r="DZ284" s="1132" t="n"/>
      <c r="EA284" s="1132" t="n"/>
      <c r="EB284" s="1132" t="n"/>
      <c r="EC284" s="1132" t="n"/>
      <c r="ED284" s="1132" t="n"/>
      <c r="EE284" s="1132" t="n"/>
      <c r="EF284" s="1132" t="n"/>
      <c r="EG284" s="1132" t="n"/>
      <c r="EH284" s="1132" t="n"/>
      <c r="EI284" s="1132" t="n"/>
      <c r="EJ284" s="1132" t="n"/>
      <c r="EK284" s="1132" t="n"/>
      <c r="EL284" s="1132" t="n"/>
      <c r="EM284" s="1132" t="n"/>
      <c r="EN284" s="1132" t="n"/>
      <c r="EO284" s="1132" t="n"/>
      <c r="EP284" s="1132" t="n"/>
      <c r="EQ284" s="1132" t="n"/>
      <c r="ER284" s="1132" t="n"/>
      <c r="ES284" s="1132" t="n"/>
      <c r="ET284" s="1132" t="n"/>
      <c r="EU284" s="1132" t="n"/>
      <c r="EV284" s="1132" t="n"/>
      <c r="EW284" s="1132" t="n"/>
      <c r="EX284" s="1132" t="n"/>
      <c r="EY284" s="1132" t="n"/>
      <c r="EZ284" s="1132" t="n"/>
      <c r="FA284" s="1132" t="n"/>
      <c r="FB284" s="1132" t="n"/>
      <c r="FC284" s="1132" t="n"/>
      <c r="FD284" s="1132" t="n"/>
      <c r="FE284" s="1132" t="n"/>
      <c r="FF284" s="1132" t="n"/>
      <c r="FG284" s="1132" t="n"/>
      <c r="FH284" s="1132" t="n"/>
      <c r="FI284" s="1132" t="n"/>
      <c r="FJ284" s="1132" t="n"/>
      <c r="FK284" s="1132" t="n"/>
      <c r="FL284" s="1132" t="n"/>
      <c r="FM284" s="1132" t="n"/>
      <c r="FN284" s="1132" t="n"/>
      <c r="FO284" s="1132" t="n"/>
      <c r="FP284" s="1132" t="n"/>
      <c r="FQ284" s="1132" t="n"/>
      <c r="FR284" s="1132" t="n"/>
      <c r="FS284" s="1132" t="n"/>
      <c r="FT284" s="1132" t="n"/>
      <c r="FU284" s="1132" t="n"/>
      <c r="FV284" s="1132" t="n"/>
      <c r="FW284" s="1132" t="n"/>
      <c r="FX284" s="1132" t="n"/>
      <c r="FY284" s="1132" t="n"/>
      <c r="FZ284" s="1132" t="n"/>
      <c r="GA284" s="1132" t="n"/>
      <c r="GB284" s="1132" t="n"/>
      <c r="GC284" s="1132" t="n"/>
      <c r="GD284" s="1132" t="n"/>
      <c r="GE284" s="1132" t="n"/>
      <c r="GF284" s="1132" t="n"/>
      <c r="GG284" s="1132" t="n"/>
      <c r="GH284" s="1132" t="n"/>
      <c r="GI284" s="1132" t="n"/>
      <c r="GJ284" s="1132" t="n"/>
      <c r="GK284" s="1132" t="n"/>
      <c r="GL284" s="1132" t="n"/>
      <c r="GM284" s="1132" t="n"/>
      <c r="GN284" s="1132" t="n"/>
      <c r="GO284" s="1132" t="n"/>
      <c r="GP284" s="1132" t="n"/>
      <c r="GQ284" s="1132" t="n"/>
      <c r="GR284" s="1132" t="n"/>
      <c r="GS284" s="1132" t="n"/>
      <c r="GT284" s="1132" t="n"/>
      <c r="GU284" s="1132" t="n"/>
      <c r="GV284" s="1132" t="n"/>
      <c r="GW284" s="1132" t="n"/>
      <c r="GX284" s="1132" t="n"/>
      <c r="GY284" s="1132" t="n"/>
      <c r="GZ284" s="1132" t="n"/>
      <c r="HA284" s="1132" t="n"/>
      <c r="HB284" s="1132" t="n"/>
      <c r="HC284" s="1132" t="n"/>
      <c r="HD284" s="1132" t="n"/>
      <c r="HE284" s="1132" t="n"/>
      <c r="HF284" s="1132" t="n"/>
      <c r="HG284" s="1132" t="n"/>
      <c r="HH284" s="1132" t="n"/>
      <c r="HI284" s="1132" t="n"/>
      <c r="HJ284" s="1132" t="n"/>
      <c r="HK284" s="1132" t="n"/>
      <c r="HL284" s="1132" t="n"/>
      <c r="HM284" s="1132" t="n"/>
      <c r="HN284" s="1132" t="n"/>
      <c r="HO284" s="1132" t="n"/>
      <c r="HP284" s="1132" t="n"/>
      <c r="HQ284" s="1132" t="n"/>
      <c r="HR284" s="1132" t="n"/>
      <c r="HS284" s="1132" t="n"/>
      <c r="HT284" s="1132" t="n"/>
      <c r="HU284" s="1132" t="n"/>
      <c r="HV284" s="1132" t="n"/>
      <c r="HW284" s="1132" t="n"/>
      <c r="HX284" s="1132" t="n"/>
      <c r="HY284" s="1132" t="n"/>
      <c r="HZ284" s="1132" t="n"/>
      <c r="IA284" s="1132" t="n"/>
      <c r="IB284" s="1132" t="n"/>
      <c r="IC284" s="1132" t="n"/>
      <c r="ID284" s="1132" t="n"/>
      <c r="IE284" s="1132" t="n"/>
      <c r="IF284" s="1132" t="n"/>
      <c r="IG284" s="1132" t="n"/>
      <c r="IH284" s="1132" t="n"/>
      <c r="II284" s="1132" t="n"/>
      <c r="IJ284" s="1132" t="n"/>
      <c r="IK284" s="1132" t="n"/>
      <c r="IL284" s="1132" t="n"/>
      <c r="IM284" s="1132" t="n"/>
      <c r="IN284" s="1132" t="n"/>
      <c r="IO284" s="1132" t="n"/>
      <c r="IP284" s="1132" t="n"/>
      <c r="IQ284" s="1132" t="n"/>
      <c r="IR284" s="1132" t="n"/>
      <c r="IS284" s="1132" t="n"/>
      <c r="IT284" s="1132" t="n"/>
      <c r="IU284" s="1132" t="n"/>
      <c r="IV284" s="1132" t="n"/>
      <c r="IW284" s="1132" t="n"/>
      <c r="IX284" s="1132" t="n"/>
      <c r="IY284" s="1132" t="n"/>
      <c r="IZ284" s="1132" t="n"/>
      <c r="JA284" s="1132" t="n"/>
      <c r="JB284" s="1132" t="n"/>
      <c r="JC284" s="1132" t="n"/>
      <c r="JD284" s="1132" t="n"/>
      <c r="JE284" s="1132" t="n"/>
      <c r="JF284" s="1132" t="n"/>
      <c r="JG284" s="1132" t="n"/>
      <c r="JH284" s="1132" t="n"/>
      <c r="JI284" s="1132" t="n"/>
      <c r="JJ284" s="1132" t="n"/>
      <c r="JK284" s="1132" t="n"/>
      <c r="JL284" s="1132" t="n"/>
      <c r="JM284" s="1132" t="n"/>
      <c r="JN284" s="1132" t="n"/>
      <c r="JO284" s="1132" t="n"/>
      <c r="JP284" s="1132" t="n"/>
      <c r="JQ284" s="1132" t="n"/>
      <c r="JR284" s="1132" t="n"/>
      <c r="JS284" s="1132" t="n"/>
      <c r="JT284" s="1132" t="n"/>
      <c r="JU284" s="1132" t="n"/>
      <c r="JV284" s="1132" t="n"/>
      <c r="JW284" s="1132" t="n"/>
      <c r="JX284" s="1132" t="n"/>
      <c r="JY284" s="1132" t="n"/>
      <c r="JZ284" s="1132" t="n"/>
      <c r="KA284" s="1132" t="n"/>
      <c r="KB284" s="1132" t="n"/>
      <c r="KC284" s="1132" t="n"/>
      <c r="KD284" s="1132" t="n"/>
      <c r="KE284" s="1132" t="n"/>
      <c r="KF284" s="1132" t="n"/>
      <c r="KG284" s="1132" t="n"/>
      <c r="KH284" s="1132" t="n"/>
      <c r="KI284" s="1132" t="n"/>
      <c r="KJ284" s="1132" t="n"/>
      <c r="KK284" s="1132" t="n"/>
      <c r="KL284" s="1132" t="n"/>
      <c r="KM284" s="1132" t="n"/>
      <c r="KN284" s="1132" t="n"/>
      <c r="KO284" s="1132" t="n"/>
      <c r="KP284" s="1132" t="n"/>
      <c r="KQ284" s="1132" t="n"/>
      <c r="KR284" s="1132" t="n"/>
      <c r="KS284" s="1132" t="n"/>
      <c r="KT284" s="1132" t="n"/>
      <c r="KU284" s="1132" t="n"/>
      <c r="KV284" s="1132" t="n"/>
      <c r="KW284" s="1132" t="n"/>
      <c r="KX284" s="1132" t="n"/>
      <c r="KY284" s="1132" t="n"/>
      <c r="KZ284" s="1132" t="n"/>
      <c r="LA284" s="1132" t="n"/>
      <c r="LB284" s="1132" t="n"/>
      <c r="LC284" s="1132" t="n"/>
      <c r="LD284" s="1132" t="n"/>
      <c r="LE284" s="1132" t="n"/>
      <c r="LF284" s="1132" t="n"/>
      <c r="LG284" s="1132" t="n"/>
      <c r="LH284" s="1132" t="n"/>
      <c r="LI284" s="1132" t="n"/>
      <c r="LJ284" s="1132" t="n"/>
      <c r="LK284" s="1132" t="n"/>
      <c r="LL284" s="1132" t="n"/>
      <c r="LM284" s="1132" t="n"/>
      <c r="LN284" s="1132" t="n"/>
      <c r="LO284" s="1132" t="n"/>
      <c r="LP284" s="1132" t="n"/>
      <c r="LQ284" s="1132" t="n"/>
      <c r="LR284" s="1132" t="n"/>
      <c r="LS284" s="1132" t="n"/>
      <c r="LT284" s="1132" t="n"/>
      <c r="LU284" s="1132" t="n"/>
      <c r="LV284" s="1132" t="n"/>
      <c r="LW284" s="1132" t="n"/>
      <c r="LX284" s="1132" t="n"/>
      <c r="LY284" s="1132" t="n"/>
      <c r="LZ284" s="1132" t="n"/>
      <c r="MA284" s="1132" t="n"/>
      <c r="MB284" s="1132" t="n"/>
      <c r="MC284" s="1132" t="n"/>
      <c r="MD284" s="1132" t="n"/>
      <c r="ME284" s="1132" t="n"/>
      <c r="MF284" s="1132" t="n"/>
      <c r="MG284" s="1132" t="n"/>
      <c r="MH284" s="1132" t="n"/>
      <c r="MI284" s="1132" t="n"/>
      <c r="MJ284" s="1132" t="n"/>
      <c r="MK284" s="1132" t="n"/>
      <c r="ML284" s="1132" t="n"/>
      <c r="MM284" s="1132" t="n"/>
      <c r="MN284" s="1132" t="n"/>
      <c r="MO284" s="1132" t="n"/>
      <c r="MP284" s="1132" t="n"/>
      <c r="MQ284" s="1132" t="n"/>
      <c r="MR284" s="1132" t="n"/>
      <c r="MS284" s="1132" t="n"/>
      <c r="MT284" s="1132" t="n"/>
      <c r="MU284" s="1132" t="n"/>
      <c r="MV284" s="1132" t="n"/>
      <c r="MW284" s="1132" t="n"/>
      <c r="MX284" s="1132" t="n"/>
      <c r="MY284" s="1132" t="n"/>
      <c r="MZ284" s="1132" t="n"/>
      <c r="NA284" s="1132" t="n"/>
      <c r="NB284" s="1132" t="n"/>
      <c r="NC284" s="1132" t="n"/>
      <c r="ND284" s="1132" t="n"/>
      <c r="NE284" s="1132" t="n"/>
      <c r="NF284" s="1132" t="n"/>
      <c r="NG284" s="1132" t="n"/>
      <c r="NH284" s="1132" t="n"/>
      <c r="NI284" s="1132" t="n"/>
      <c r="NJ284" s="1132" t="n"/>
      <c r="NK284" s="1132" t="n"/>
      <c r="NL284" s="1132" t="n"/>
      <c r="NM284" s="1132" t="n"/>
      <c r="NN284" s="1132" t="n"/>
      <c r="NO284" s="1132" t="n"/>
      <c r="NP284" s="1132" t="n"/>
      <c r="NQ284" s="1132" t="n"/>
      <c r="NR284" s="1132" t="n"/>
      <c r="NS284" s="1132" t="n"/>
      <c r="NT284" s="1132" t="n"/>
      <c r="NU284" s="1132" t="n"/>
      <c r="NV284" s="1132" t="n"/>
      <c r="NW284" s="1132" t="n"/>
      <c r="NX284" s="1132" t="n"/>
      <c r="NY284" s="1132" t="n"/>
      <c r="NZ284" s="1132" t="n"/>
      <c r="OA284" s="1132" t="n"/>
      <c r="OB284" s="1132" t="n"/>
      <c r="OC284" s="1132" t="n"/>
      <c r="OD284" s="1132" t="n"/>
      <c r="OE284" s="1132" t="n"/>
      <c r="OF284" s="1132" t="n"/>
      <c r="OG284" s="1132" t="n"/>
      <c r="OH284" s="1132" t="n"/>
      <c r="OI284" s="1132" t="n"/>
      <c r="OJ284" s="1132" t="n"/>
      <c r="OK284" s="1132" t="n"/>
      <c r="OL284" s="1132" t="n"/>
      <c r="OM284" s="1132" t="n"/>
      <c r="ON284" s="1132" t="n"/>
      <c r="OO284" s="1132" t="n"/>
      <c r="OP284" s="1132" t="n"/>
      <c r="OQ284" s="1132" t="n"/>
      <c r="OR284" s="1132" t="n"/>
      <c r="OS284" s="1132" t="n"/>
      <c r="OT284" s="1132" t="n"/>
      <c r="OU284" s="1132" t="n"/>
      <c r="OV284" s="1132" t="n"/>
      <c r="OW284" s="1132" t="n"/>
      <c r="OX284" s="1132" t="n"/>
      <c r="OY284" s="1132" t="n"/>
      <c r="OZ284" s="1132" t="n"/>
      <c r="PA284" s="1132" t="n"/>
      <c r="PB284" s="1132" t="n"/>
      <c r="PC284" s="1132" t="n"/>
      <c r="PD284" s="1132" t="n"/>
      <c r="PE284" s="1132" t="n"/>
      <c r="PF284" s="1132" t="n"/>
      <c r="PG284" s="1132" t="n"/>
      <c r="PH284" s="1132" t="n"/>
      <c r="PI284" s="1132" t="n"/>
      <c r="PJ284" s="1132" t="n"/>
      <c r="PK284" s="1132" t="n"/>
      <c r="PL284" s="1132" t="n"/>
      <c r="PM284" s="1132" t="n"/>
      <c r="PN284" s="1132" t="n"/>
      <c r="PO284" s="1132" t="n"/>
      <c r="PP284" s="1132" t="n"/>
      <c r="PQ284" s="1132" t="n"/>
      <c r="PR284" s="1132" t="n"/>
      <c r="PS284" s="1132" t="n"/>
      <c r="PT284" s="1132" t="n"/>
      <c r="PU284" s="1132" t="n"/>
      <c r="PV284" s="1132" t="n"/>
      <c r="PW284" s="1132" t="n"/>
      <c r="PX284" s="1132" t="n"/>
      <c r="PY284" s="1132" t="n"/>
      <c r="PZ284" s="1132" t="n"/>
      <c r="QA284" s="1132" t="n"/>
      <c r="QB284" s="1132" t="n"/>
      <c r="QC284" s="1132" t="n"/>
      <c r="QD284" s="1132" t="n"/>
      <c r="QE284" s="1132" t="n"/>
      <c r="QF284" s="1132" t="n"/>
      <c r="QG284" s="1132" t="n"/>
      <c r="QH284" s="1132" t="n"/>
      <c r="QI284" s="1132" t="n"/>
      <c r="QJ284" s="1132" t="n"/>
      <c r="QK284" s="1132" t="n"/>
      <c r="QL284" s="1132" t="n"/>
      <c r="QM284" s="1132" t="n"/>
      <c r="QN284" s="1132" t="n"/>
      <c r="QO284" s="1132" t="n"/>
      <c r="QP284" s="1132" t="n"/>
      <c r="QQ284" s="1132" t="n"/>
      <c r="QR284" s="1132" t="n"/>
      <c r="QS284" s="1132" t="n"/>
      <c r="QT284" s="1132" t="n"/>
      <c r="QU284" s="1132" t="n"/>
      <c r="QV284" s="1132" t="n"/>
      <c r="QW284" s="1132" t="n"/>
      <c r="QX284" s="1132" t="n"/>
      <c r="QY284" s="1132" t="n"/>
      <c r="QZ284" s="1132" t="n"/>
      <c r="RA284" s="1132" t="n"/>
      <c r="RB284" s="1132" t="n"/>
      <c r="RC284" s="1132" t="n"/>
      <c r="RD284" s="1132" t="n"/>
      <c r="RE284" s="1132" t="n"/>
      <c r="RF284" s="1132" t="n"/>
      <c r="RG284" s="1132" t="n"/>
      <c r="RH284" s="1132" t="n"/>
      <c r="RI284" s="1132" t="n"/>
      <c r="RJ284" s="1132" t="n"/>
      <c r="RK284" s="1132" t="n"/>
      <c r="RL284" s="1132" t="n"/>
      <c r="RM284" s="1132" t="n"/>
      <c r="RN284" s="1132" t="n"/>
      <c r="RO284" s="1132" t="n"/>
      <c r="RP284" s="1132" t="n"/>
      <c r="RQ284" s="1132" t="n"/>
      <c r="RR284" s="1132" t="n"/>
      <c r="RS284" s="1132" t="n"/>
      <c r="RT284" s="1132" t="n"/>
      <c r="RU284" s="1132" t="n"/>
      <c r="RV284" s="1132" t="n"/>
      <c r="RW284" s="1132" t="n"/>
      <c r="RX284" s="1132" t="n"/>
      <c r="RY284" s="1132" t="n"/>
      <c r="RZ284" s="1132" t="n"/>
      <c r="SA284" s="1132" t="n"/>
      <c r="SB284" s="1132" t="n"/>
      <c r="SC284" s="1132" t="n"/>
      <c r="SD284" s="1132" t="n"/>
      <c r="SE284" s="1132" t="n"/>
      <c r="SF284" s="1132" t="n"/>
      <c r="SG284" s="1132" t="n"/>
      <c r="SH284" s="1132" t="n"/>
      <c r="SI284" s="1132" t="n"/>
      <c r="SJ284" s="1132" t="n"/>
      <c r="SK284" s="1132" t="n"/>
      <c r="SL284" s="1132" t="n"/>
      <c r="SM284" s="1132" t="n"/>
      <c r="SN284" s="1132" t="n"/>
      <c r="SO284" s="1132" t="n"/>
      <c r="SP284" s="1132" t="n"/>
      <c r="SQ284" s="1132" t="n"/>
      <c r="SR284" s="1132" t="n"/>
      <c r="SS284" s="1132" t="n"/>
      <c r="ST284" s="1132" t="n"/>
      <c r="SU284" s="1132" t="n"/>
      <c r="SV284" s="1132" t="n"/>
      <c r="SW284" s="1132" t="n"/>
      <c r="SX284" s="1132" t="n"/>
      <c r="SY284" s="1132" t="n"/>
      <c r="SZ284" s="1132" t="n"/>
      <c r="TA284" s="1132" t="n"/>
      <c r="TB284" s="1132" t="n"/>
      <c r="TC284" s="1132" t="n"/>
      <c r="TD284" s="1132" t="n"/>
      <c r="TE284" s="1132" t="n"/>
      <c r="TF284" s="1132" t="n"/>
      <c r="TG284" s="1132" t="n"/>
      <c r="TH284" s="1132" t="n"/>
      <c r="TI284" s="1132" t="n"/>
      <c r="TJ284" s="1132" t="n"/>
      <c r="TK284" s="1132" t="n"/>
      <c r="TL284" s="1132" t="n"/>
      <c r="TM284" s="1132" t="n"/>
      <c r="TN284" s="1132" t="n"/>
      <c r="TO284" s="1132" t="n"/>
      <c r="TP284" s="1132" t="n"/>
      <c r="TQ284" s="1132" t="n"/>
      <c r="TR284" s="1132" t="n"/>
      <c r="TS284" s="1132" t="n"/>
      <c r="TT284" s="1132" t="n"/>
      <c r="TU284" s="1132" t="n"/>
      <c r="TV284" s="1132" t="n"/>
      <c r="TW284" s="1132" t="n"/>
      <c r="TX284" s="1132" t="n"/>
      <c r="TY284" s="1132" t="n"/>
      <c r="TZ284" s="1132" t="n"/>
      <c r="UA284" s="1132" t="n"/>
      <c r="UB284" s="1132" t="n"/>
      <c r="UC284" s="1132" t="n"/>
      <c r="UD284" s="1132" t="n"/>
      <c r="UE284" s="1132" t="n"/>
      <c r="UF284" s="1132" t="n"/>
      <c r="UG284" s="1132" t="n"/>
      <c r="UH284" s="1132" t="n"/>
      <c r="UI284" s="1132" t="n"/>
      <c r="UJ284" s="1132" t="n"/>
      <c r="UK284" s="1132" t="n"/>
      <c r="UL284" s="1132" t="n"/>
      <c r="UM284" s="1132" t="n"/>
      <c r="UN284" s="1132" t="n"/>
      <c r="UO284" s="1132" t="n"/>
      <c r="UP284" s="1132" t="n"/>
      <c r="UQ284" s="1132" t="n"/>
      <c r="UR284" s="1132" t="n"/>
      <c r="US284" s="1132" t="n"/>
      <c r="UT284" s="1132" t="n"/>
      <c r="UU284" s="1132" t="n"/>
      <c r="UV284" s="1132" t="n"/>
      <c r="UW284" s="1132" t="n"/>
      <c r="UX284" s="1132" t="n"/>
      <c r="UY284" s="1132" t="n"/>
      <c r="UZ284" s="1132" t="n"/>
      <c r="VA284" s="1132" t="n"/>
      <c r="VB284" s="1132" t="n"/>
      <c r="VC284" s="1132" t="n"/>
      <c r="VD284" s="1132" t="n"/>
      <c r="VE284" s="1132" t="n"/>
      <c r="VF284" s="1132" t="n"/>
      <c r="VG284" s="1132" t="n"/>
      <c r="VH284" s="1132" t="n"/>
      <c r="VI284" s="1132" t="n"/>
      <c r="VJ284" s="1132" t="n"/>
      <c r="VK284" s="1132" t="n"/>
      <c r="VL284" s="1132" t="n"/>
      <c r="VM284" s="1132" t="n"/>
      <c r="VN284" s="1132" t="n"/>
      <c r="VO284" s="1132" t="n"/>
      <c r="VP284" s="1132" t="n"/>
      <c r="VQ284" s="1132" t="n"/>
      <c r="VR284" s="1132" t="n"/>
      <c r="VS284" s="1132" t="n"/>
      <c r="VT284" s="1132" t="n"/>
      <c r="VU284" s="1132" t="n"/>
      <c r="VV284" s="1132" t="n"/>
      <c r="VW284" s="1132" t="n"/>
      <c r="VX284" s="1132" t="n"/>
      <c r="VY284" s="1132" t="n"/>
      <c r="VZ284" s="1132" t="n"/>
      <c r="WA284" s="1132" t="n"/>
      <c r="WB284" s="1132" t="n"/>
      <c r="WC284" s="1132" t="n"/>
      <c r="WD284" s="1132" t="n"/>
      <c r="WE284" s="1132" t="n"/>
      <c r="WF284" s="1132" t="n"/>
      <c r="WG284" s="1132" t="n"/>
      <c r="WH284" s="1132" t="n"/>
      <c r="WI284" s="1132" t="n"/>
      <c r="WJ284" s="1132" t="n"/>
      <c r="WK284" s="1132" t="n"/>
      <c r="WL284" s="1132" t="n"/>
      <c r="WM284" s="1132" t="n"/>
      <c r="WN284" s="1132" t="n"/>
      <c r="WO284" s="1132" t="n"/>
      <c r="WP284" s="1132" t="n"/>
      <c r="WQ284" s="1132" t="n"/>
      <c r="WR284" s="1132" t="n"/>
      <c r="WS284" s="1132" t="n"/>
      <c r="WT284" s="1132" t="n"/>
      <c r="WU284" s="1132" t="n"/>
      <c r="WV284" s="1132" t="n"/>
      <c r="WW284" s="1132" t="n"/>
      <c r="WX284" s="1132" t="n"/>
      <c r="WY284" s="1132" t="n"/>
      <c r="WZ284" s="1132" t="n"/>
      <c r="XA284" s="1132" t="n"/>
      <c r="XB284" s="1132" t="n"/>
      <c r="XC284" s="1132" t="n"/>
      <c r="XD284" s="1132" t="n"/>
      <c r="XE284" s="1132" t="n"/>
      <c r="XF284" s="1132" t="n"/>
      <c r="XG284" s="1132" t="n"/>
      <c r="XH284" s="1132" t="n"/>
      <c r="XI284" s="1132" t="n"/>
      <c r="XJ284" s="1132" t="n"/>
      <c r="XK284" s="1132" t="n"/>
      <c r="XL284" s="1132" t="n"/>
      <c r="XM284" s="1132" t="n"/>
      <c r="XN284" s="1132" t="n"/>
      <c r="XO284" s="1132" t="n"/>
      <c r="XP284" s="1132" t="n"/>
      <c r="XQ284" s="1132" t="n"/>
      <c r="XR284" s="1132" t="n"/>
      <c r="XS284" s="1132" t="n"/>
      <c r="XT284" s="1132" t="n"/>
      <c r="XU284" s="1132" t="n"/>
      <c r="XV284" s="1132" t="n"/>
      <c r="XW284" s="1132" t="n"/>
      <c r="XX284" s="1132" t="n"/>
      <c r="XY284" s="1132" t="n"/>
      <c r="XZ284" s="1132" t="n"/>
      <c r="YA284" s="1132" t="n"/>
      <c r="YB284" s="1132" t="n"/>
      <c r="YC284" s="1132" t="n"/>
      <c r="YD284" s="1132" t="n"/>
      <c r="YE284" s="1132" t="n"/>
      <c r="YF284" s="1132" t="n"/>
      <c r="YG284" s="1132" t="n"/>
      <c r="YH284" s="1132" t="n"/>
      <c r="YI284" s="1132" t="n"/>
      <c r="YJ284" s="1132" t="n"/>
      <c r="YK284" s="1132" t="n"/>
      <c r="YL284" s="1132" t="n"/>
      <c r="YM284" s="1132" t="n"/>
      <c r="YN284" s="1132" t="n"/>
      <c r="YO284" s="1132" t="n"/>
      <c r="YP284" s="1132" t="n"/>
      <c r="YQ284" s="1132" t="n"/>
      <c r="YR284" s="1132" t="n"/>
      <c r="YS284" s="1132" t="n"/>
      <c r="YT284" s="1132" t="n"/>
      <c r="YU284" s="1132" t="n"/>
      <c r="YV284" s="1132" t="n"/>
      <c r="YW284" s="1132" t="n"/>
      <c r="YX284" s="1132" t="n"/>
      <c r="YY284" s="1132" t="n"/>
      <c r="YZ284" s="1132" t="n"/>
      <c r="ZA284" s="1132" t="n"/>
      <c r="ZB284" s="1132" t="n"/>
      <c r="ZC284" s="1132" t="n"/>
      <c r="ZD284" s="1132" t="n"/>
      <c r="ZE284" s="1132" t="n"/>
      <c r="ZF284" s="1132" t="n"/>
      <c r="ZG284" s="1132" t="n"/>
      <c r="ZH284" s="1132" t="n"/>
      <c r="ZI284" s="1132" t="n"/>
      <c r="ZJ284" s="1132" t="n"/>
      <c r="ZK284" s="1132" t="n"/>
      <c r="ZL284" s="1132" t="n"/>
      <c r="ZM284" s="1132" t="n"/>
      <c r="ZN284" s="1132" t="n"/>
      <c r="ZO284" s="1132" t="n"/>
      <c r="ZP284" s="1132" t="n"/>
      <c r="ZQ284" s="1132" t="n"/>
      <c r="ZR284" s="1132" t="n"/>
      <c r="ZS284" s="1132" t="n"/>
      <c r="ZT284" s="1132" t="n"/>
      <c r="ZU284" s="1132" t="n"/>
      <c r="ZV284" s="1132" t="n"/>
      <c r="ZW284" s="1132" t="n"/>
      <c r="ZX284" s="1132" t="n"/>
      <c r="ZY284" s="1132" t="n"/>
      <c r="ZZ284" s="1132" t="n"/>
      <c r="AAA284" s="1132" t="n"/>
      <c r="AAB284" s="1132" t="n"/>
      <c r="AAC284" s="1132" t="n"/>
      <c r="AAD284" s="1132" t="n"/>
      <c r="AAE284" s="1132" t="n"/>
      <c r="AAF284" s="1132" t="n"/>
      <c r="AAG284" s="1132" t="n"/>
      <c r="AAH284" s="1132" t="n"/>
      <c r="AAI284" s="1132" t="n"/>
      <c r="AAJ284" s="1132" t="n"/>
      <c r="AAK284" s="1132" t="n"/>
      <c r="AAL284" s="1132" t="n"/>
      <c r="AAM284" s="1132" t="n"/>
      <c r="AAN284" s="1132" t="n"/>
      <c r="AAO284" s="1132" t="n"/>
      <c r="AAP284" s="1132" t="n"/>
      <c r="AAQ284" s="1132" t="n"/>
      <c r="AAR284" s="1132" t="n"/>
      <c r="AAS284" s="1132" t="n"/>
      <c r="AAT284" s="1132" t="n"/>
      <c r="AAU284" s="1132" t="n"/>
      <c r="AAV284" s="1132" t="n"/>
      <c r="AAW284" s="1132" t="n"/>
      <c r="AAX284" s="1132" t="n"/>
      <c r="AAY284" s="1132" t="n"/>
      <c r="AAZ284" s="1132" t="n"/>
      <c r="ABA284" s="1132" t="n"/>
      <c r="ABB284" s="1132" t="n"/>
      <c r="ABC284" s="1132" t="n"/>
      <c r="ABD284" s="1132" t="n"/>
      <c r="ABE284" s="1132" t="n"/>
      <c r="ABF284" s="1132" t="n"/>
      <c r="ABG284" s="1132" t="n"/>
      <c r="ABH284" s="1132" t="n"/>
      <c r="ABI284" s="1132" t="n"/>
      <c r="ABJ284" s="1132" t="n"/>
      <c r="ABK284" s="1132" t="n"/>
      <c r="ABL284" s="1132" t="n"/>
      <c r="ABM284" s="1132" t="n"/>
      <c r="ABN284" s="1132" t="n"/>
      <c r="ABO284" s="1132" t="n"/>
      <c r="ABP284" s="1132" t="n"/>
      <c r="ABQ284" s="1132" t="n"/>
      <c r="ABR284" s="1132" t="n"/>
      <c r="ABS284" s="1132" t="n"/>
      <c r="ABT284" s="1132" t="n"/>
      <c r="ABU284" s="1132" t="n"/>
      <c r="ABV284" s="1132" t="n"/>
      <c r="ABW284" s="1132" t="n"/>
      <c r="ABX284" s="1132" t="n"/>
      <c r="ABY284" s="1132" t="n"/>
      <c r="ABZ284" s="1132" t="n"/>
      <c r="ACA284" s="1132" t="n"/>
      <c r="ACB284" s="1132" t="n"/>
      <c r="ACC284" s="1132" t="n"/>
      <c r="ACD284" s="1132" t="n"/>
      <c r="ACE284" s="1132" t="n"/>
      <c r="ACF284" s="1132" t="n"/>
      <c r="ACG284" s="1132" t="n"/>
      <c r="ACH284" s="1132" t="n"/>
      <c r="ACI284" s="1132" t="n"/>
      <c r="ACJ284" s="1132" t="n"/>
      <c r="ACK284" s="1132" t="n"/>
      <c r="ACL284" s="1132" t="n"/>
      <c r="ACM284" s="1132" t="n"/>
      <c r="ACN284" s="1132" t="n"/>
      <c r="ACO284" s="1132" t="n"/>
      <c r="ACP284" s="1132" t="n"/>
      <c r="ACQ284" s="1132" t="n"/>
      <c r="ACR284" s="1132" t="n"/>
      <c r="ACS284" s="1132" t="n"/>
      <c r="ACT284" s="1132" t="n"/>
      <c r="ACU284" s="1132" t="n"/>
      <c r="ACV284" s="1132" t="n"/>
      <c r="ACW284" s="1132" t="n"/>
      <c r="ACX284" s="1132" t="n"/>
      <c r="ACY284" s="1132" t="n"/>
      <c r="ACZ284" s="1132" t="n"/>
      <c r="ADA284" s="1132" t="n"/>
      <c r="ADB284" s="1132" t="n"/>
      <c r="ADC284" s="1132" t="n"/>
      <c r="ADD284" s="1132" t="n"/>
      <c r="ADE284" s="1132" t="n"/>
      <c r="ADF284" s="1132" t="n"/>
      <c r="ADG284" s="1132" t="n"/>
      <c r="ADH284" s="1132" t="n"/>
      <c r="ADI284" s="1132" t="n"/>
      <c r="ADJ284" s="1132" t="n"/>
      <c r="ADK284" s="1132" t="n"/>
      <c r="ADL284" s="1132" t="n"/>
      <c r="ADM284" s="1132" t="n"/>
      <c r="ADN284" s="1132" t="n"/>
      <c r="ADO284" s="1132" t="n"/>
      <c r="ADP284" s="1132" t="n"/>
      <c r="ADQ284" s="1132" t="n"/>
      <c r="ADR284" s="1132" t="n"/>
      <c r="ADS284" s="1132" t="n"/>
      <c r="ADT284" s="1132" t="n"/>
      <c r="ADU284" s="1132" t="n"/>
      <c r="ADV284" s="1132" t="n"/>
      <c r="ADW284" s="1132" t="n"/>
      <c r="ADX284" s="1132" t="n"/>
      <c r="ADY284" s="1132" t="n"/>
      <c r="ADZ284" s="1132" t="n"/>
      <c r="AEA284" s="1132" t="n"/>
      <c r="AEB284" s="1132" t="n"/>
      <c r="AEC284" s="1132" t="n"/>
      <c r="AED284" s="1132" t="n"/>
      <c r="AEE284" s="1132" t="n"/>
      <c r="AEF284" s="1132" t="n"/>
      <c r="AEG284" s="1132" t="n"/>
      <c r="AEH284" s="1132" t="n"/>
      <c r="AEI284" s="1132" t="n"/>
      <c r="AEJ284" s="1132" t="n"/>
      <c r="AEK284" s="1132" t="n"/>
      <c r="AEL284" s="1132" t="n"/>
      <c r="AEM284" s="1132" t="n"/>
      <c r="AEN284" s="1132" t="n"/>
      <c r="AEO284" s="1132" t="n"/>
      <c r="AEP284" s="1132" t="n"/>
      <c r="AEQ284" s="1132" t="n"/>
      <c r="AER284" s="1132" t="n"/>
      <c r="AES284" s="1132" t="n"/>
      <c r="AET284" s="1132" t="n"/>
      <c r="AEU284" s="1132" t="n"/>
      <c r="AEV284" s="1132" t="n"/>
      <c r="AEW284" s="1132" t="n"/>
      <c r="AEX284" s="1132" t="n"/>
      <c r="AEY284" s="1132" t="n"/>
      <c r="AEZ284" s="1132" t="n"/>
      <c r="AFA284" s="1132" t="n"/>
      <c r="AFB284" s="1132" t="n"/>
      <c r="AFC284" s="1132" t="n"/>
      <c r="AFD284" s="1132" t="n"/>
      <c r="AFE284" s="1132" t="n"/>
      <c r="AFF284" s="1132" t="n"/>
      <c r="AFG284" s="1132" t="n"/>
      <c r="AFH284" s="1132" t="n"/>
      <c r="AFI284" s="1132" t="n"/>
      <c r="AFJ284" s="1132" t="n"/>
      <c r="AFK284" s="1132" t="n"/>
      <c r="AFL284" s="1132" t="n"/>
      <c r="AFM284" s="1132" t="n"/>
      <c r="AFN284" s="1132" t="n"/>
      <c r="AFO284" s="1132" t="n"/>
      <c r="AFP284" s="1132" t="n"/>
      <c r="AFQ284" s="1132" t="n"/>
      <c r="AFR284" s="1132" t="n"/>
      <c r="AFS284" s="1132" t="n"/>
      <c r="AFT284" s="1132" t="n"/>
      <c r="AFU284" s="1132" t="n"/>
      <c r="AFV284" s="1132" t="n"/>
      <c r="AFW284" s="1132" t="n"/>
      <c r="AFX284" s="1132" t="n"/>
      <c r="AFY284" s="1132" t="n"/>
      <c r="AFZ284" s="1132" t="n"/>
      <c r="AGA284" s="1132" t="n"/>
      <c r="AGB284" s="1132" t="n"/>
      <c r="AGC284" s="1132" t="n"/>
      <c r="AGD284" s="1132" t="n"/>
      <c r="AGE284" s="1132" t="n"/>
      <c r="AGF284" s="1132" t="n"/>
      <c r="AGG284" s="1132" t="n"/>
      <c r="AGH284" s="1132" t="n"/>
      <c r="AGI284" s="1132" t="n"/>
      <c r="AGJ284" s="1132" t="n"/>
      <c r="AGK284" s="1132" t="n"/>
      <c r="AGL284" s="1132" t="n"/>
      <c r="AGM284" s="1132" t="n"/>
      <c r="AGN284" s="1132" t="n"/>
      <c r="AGO284" s="1132" t="n"/>
      <c r="AGP284" s="1132" t="n"/>
      <c r="AGQ284" s="1132" t="n"/>
      <c r="AGR284" s="1132" t="n"/>
      <c r="AGS284" s="1132" t="n"/>
      <c r="AGT284" s="1132" t="n"/>
      <c r="AGU284" s="1132" t="n"/>
      <c r="AGV284" s="1132" t="n"/>
      <c r="AGW284" s="1132" t="n"/>
      <c r="AGX284" s="1132" t="n"/>
      <c r="AGY284" s="1132" t="n"/>
      <c r="AGZ284" s="1132" t="n"/>
      <c r="AHA284" s="1132" t="n"/>
      <c r="AHB284" s="1132" t="n"/>
      <c r="AHC284" s="1132" t="n"/>
      <c r="AHD284" s="1132" t="n"/>
      <c r="AHE284" s="1132" t="n"/>
      <c r="AHF284" s="1132" t="n"/>
      <c r="AHG284" s="1132" t="n"/>
      <c r="AHH284" s="1132" t="n"/>
      <c r="AHI284" s="1132" t="n"/>
      <c r="AHJ284" s="1132" t="n"/>
      <c r="AHK284" s="1132" t="n"/>
      <c r="AHL284" s="1132" t="n"/>
      <c r="AHM284" s="1132" t="n"/>
      <c r="AHN284" s="1132" t="n"/>
      <c r="AHO284" s="1132" t="n"/>
      <c r="AHP284" s="1132" t="n"/>
      <c r="AHQ284" s="1132" t="n"/>
      <c r="AHR284" s="1132" t="n"/>
      <c r="AHS284" s="1132" t="n"/>
      <c r="AHT284" s="1132" t="n"/>
      <c r="AHU284" s="1132" t="n"/>
      <c r="AHV284" s="1132" t="n"/>
      <c r="AHW284" s="1132" t="n"/>
      <c r="AHX284" s="1132" t="n"/>
      <c r="AHY284" s="1132" t="n"/>
      <c r="AHZ284" s="1132" t="n"/>
      <c r="AIA284" s="1132" t="n"/>
      <c r="AIB284" s="1132" t="n"/>
      <c r="AIC284" s="1132" t="n"/>
      <c r="AID284" s="1132" t="n"/>
      <c r="AIE284" s="1132" t="n"/>
      <c r="AIF284" s="1132" t="n"/>
      <c r="AIG284" s="1132" t="n"/>
      <c r="AIH284" s="1132" t="n"/>
      <c r="AII284" s="1132" t="n"/>
      <c r="AIJ284" s="1132" t="n"/>
      <c r="AIK284" s="1132" t="n"/>
      <c r="AIL284" s="1132" t="n"/>
      <c r="AIM284" s="1132" t="n"/>
      <c r="AIN284" s="1132" t="n"/>
      <c r="AIO284" s="1132" t="n"/>
      <c r="AIP284" s="1132" t="n"/>
      <c r="AIQ284" s="1132" t="n"/>
      <c r="AIR284" s="1132" t="n"/>
      <c r="AIS284" s="1132" t="n"/>
      <c r="AIT284" s="1132" t="n"/>
      <c r="AIU284" s="1132" t="n"/>
      <c r="AIV284" s="1132" t="n"/>
      <c r="AIW284" s="1132" t="n"/>
      <c r="AIX284" s="1132" t="n"/>
      <c r="AIY284" s="1132" t="n"/>
      <c r="AIZ284" s="1132" t="n"/>
      <c r="AJA284" s="1132" t="n"/>
      <c r="AJB284" s="1132" t="n"/>
      <c r="AJC284" s="1132" t="n"/>
      <c r="AJD284" s="1132" t="n"/>
      <c r="AJE284" s="1132" t="n"/>
      <c r="AJF284" s="1132" t="n"/>
      <c r="AJG284" s="1132" t="n"/>
      <c r="AJH284" s="1132" t="n"/>
      <c r="AJI284" s="1132" t="n"/>
      <c r="AJJ284" s="1132" t="n"/>
      <c r="AJK284" s="1132" t="n"/>
      <c r="AJL284" s="1132" t="n"/>
      <c r="AJM284" s="1132" t="n"/>
      <c r="AJN284" s="1132" t="n"/>
      <c r="AJO284" s="1132" t="n"/>
      <c r="AJP284" s="1132" t="n"/>
      <c r="AJQ284" s="1132" t="n"/>
      <c r="AJR284" s="1132" t="n"/>
      <c r="AJS284" s="1132" t="n"/>
      <c r="AJT284" s="1132" t="n"/>
      <c r="AJU284" s="1132" t="n"/>
      <c r="AJV284" s="1132" t="n"/>
      <c r="AJW284" s="1132" t="n"/>
      <c r="AJX284" s="1132" t="n"/>
      <c r="AJY284" s="1132" t="n"/>
      <c r="AJZ284" s="1132" t="n"/>
      <c r="AKA284" s="1132" t="n"/>
      <c r="AKB284" s="1132" t="n"/>
      <c r="AKC284" s="1132" t="n"/>
      <c r="AKD284" s="1132" t="n"/>
      <c r="AKE284" s="1132" t="n"/>
      <c r="AKF284" s="1132" t="n"/>
      <c r="AKG284" s="1132" t="n"/>
      <c r="AKH284" s="1132" t="n"/>
      <c r="AKI284" s="1132" t="n"/>
      <c r="AKJ284" s="1132" t="n"/>
      <c r="AKK284" s="1132" t="n"/>
      <c r="AKL284" s="1132" t="n"/>
      <c r="AKM284" s="1132" t="n"/>
      <c r="AKN284" s="1132" t="n"/>
      <c r="AKO284" s="1132" t="n"/>
      <c r="AKP284" s="1132" t="n"/>
      <c r="AKQ284" s="1132" t="n"/>
      <c r="AKR284" s="1132" t="n"/>
      <c r="AKS284" s="1132" t="n"/>
      <c r="AKT284" s="1132" t="n"/>
      <c r="AKU284" s="1132" t="n"/>
      <c r="AKV284" s="1132" t="n"/>
      <c r="AKW284" s="1132" t="n"/>
      <c r="AKX284" s="1132" t="n"/>
      <c r="AKY284" s="1132" t="n"/>
      <c r="AKZ284" s="1132" t="n"/>
      <c r="ALA284" s="1132" t="n"/>
      <c r="ALB284" s="1132" t="n"/>
      <c r="ALC284" s="1132" t="n"/>
      <c r="ALD284" s="1132" t="n"/>
      <c r="ALE284" s="1132" t="n"/>
      <c r="ALF284" s="1132" t="n"/>
      <c r="ALG284" s="1132" t="n"/>
      <c r="ALH284" s="1132" t="n"/>
      <c r="ALI284" s="1132" t="n"/>
      <c r="ALJ284" s="1132" t="n"/>
      <c r="ALK284" s="1132" t="n"/>
      <c r="ALL284" s="1132" t="n"/>
      <c r="ALM284" s="1132" t="n"/>
      <c r="ALN284" s="1132" t="n"/>
      <c r="ALO284" s="1132" t="n"/>
      <c r="ALP284" s="1132" t="n"/>
      <c r="ALQ284" s="1132" t="n"/>
      <c r="ALR284" s="1132" t="n"/>
      <c r="ALS284" s="1132" t="n"/>
      <c r="ALT284" s="1132" t="n"/>
      <c r="ALU284" s="1132" t="n"/>
      <c r="ALV284" s="1132" t="n"/>
      <c r="ALW284" s="1132" t="n"/>
      <c r="ALX284" s="1132" t="n"/>
      <c r="ALY284" s="1132" t="n"/>
      <c r="ALZ284" s="1132" t="n"/>
      <c r="AMA284" s="1132" t="n"/>
      <c r="AMB284" s="1132" t="n"/>
      <c r="AMC284" s="1132" t="n"/>
      <c r="AMD284" s="1132" t="n"/>
      <c r="AME284" s="1132" t="n"/>
      <c r="AMF284" s="1132" t="n"/>
      <c r="AMG284" s="1132" t="n"/>
      <c r="AMH284" s="1132" t="n"/>
      <c r="AMI284" s="1132" t="n"/>
      <c r="AMJ284" s="1132" t="n"/>
      <c r="AMK284" s="1132" t="n"/>
      <c r="AML284" s="1132" t="n"/>
      <c r="AMM284" s="1132" t="n"/>
      <c r="AMN284" s="1132" t="n"/>
      <c r="AMO284" s="1132" t="n"/>
      <c r="AMP284" s="1132" t="n"/>
      <c r="AMQ284" s="1132" t="n"/>
      <c r="AMR284" s="1132" t="n"/>
      <c r="AMS284" s="1132" t="n"/>
      <c r="AMT284" s="1132" t="n"/>
      <c r="AMU284" s="1132" t="n"/>
      <c r="AMV284" s="1132" t="n"/>
      <c r="AMW284" s="1132" t="n"/>
      <c r="AMX284" s="1132" t="n"/>
      <c r="AMY284" s="1132" t="n"/>
      <c r="AMZ284" s="1132" t="n"/>
      <c r="ANA284" s="1132" t="n"/>
      <c r="ANB284" s="1132" t="n"/>
      <c r="ANC284" s="1132" t="n"/>
      <c r="AND284" s="1132" t="n"/>
      <c r="ANE284" s="1132" t="n"/>
      <c r="ANF284" s="1132" t="n"/>
      <c r="ANG284" s="1132" t="n"/>
      <c r="ANH284" s="1132" t="n"/>
      <c r="ANI284" s="1132" t="n"/>
      <c r="ANJ284" s="1132" t="n"/>
      <c r="ANK284" s="1132" t="n"/>
      <c r="ANL284" s="1132" t="n"/>
      <c r="ANM284" s="1132" t="n"/>
      <c r="ANN284" s="1132" t="n"/>
      <c r="ANO284" s="1132" t="n"/>
      <c r="ANP284" s="1132" t="n"/>
      <c r="ANQ284" s="1132" t="n"/>
      <c r="ANR284" s="1132" t="n"/>
      <c r="ANS284" s="1132" t="n"/>
      <c r="ANT284" s="1132" t="n"/>
      <c r="ANU284" s="1132" t="n"/>
      <c r="ANV284" s="1132" t="n"/>
      <c r="ANW284" s="1132" t="n"/>
      <c r="ANX284" s="1132" t="n"/>
      <c r="ANY284" s="1132" t="n"/>
      <c r="ANZ284" s="1132" t="n"/>
      <c r="AOA284" s="1132" t="n"/>
      <c r="AOB284" s="1132" t="n"/>
      <c r="AOC284" s="1132" t="n"/>
      <c r="AOD284" s="1132" t="n"/>
      <c r="AOE284" s="1132" t="n"/>
      <c r="AOF284" s="1132" t="n"/>
      <c r="AOG284" s="1132" t="n"/>
      <c r="AOH284" s="1132" t="n"/>
      <c r="AOI284" s="1132" t="n"/>
      <c r="AOJ284" s="1132" t="n"/>
      <c r="AOK284" s="1132" t="n"/>
      <c r="AOL284" s="1132" t="n"/>
      <c r="AOM284" s="1132" t="n"/>
      <c r="AON284" s="1132" t="n"/>
      <c r="AOO284" s="1132" t="n"/>
      <c r="AOP284" s="1132" t="n"/>
      <c r="AOQ284" s="1132" t="n"/>
      <c r="AOR284" s="1132" t="n"/>
      <c r="AOS284" s="1132" t="n"/>
      <c r="AOT284" s="1132" t="n"/>
      <c r="AOU284" s="1132" t="n"/>
      <c r="AOV284" s="1132" t="n"/>
      <c r="AOW284" s="1132" t="n"/>
      <c r="AOX284" s="1132" t="n"/>
      <c r="AOY284" s="1132" t="n"/>
      <c r="AOZ284" s="1132" t="n"/>
      <c r="APA284" s="1132" t="n"/>
      <c r="APB284" s="1132" t="n"/>
      <c r="APC284" s="1132" t="n"/>
      <c r="APD284" s="1132" t="n"/>
      <c r="APE284" s="1132" t="n"/>
      <c r="APF284" s="1132" t="n"/>
      <c r="APG284" s="1132" t="n"/>
      <c r="APH284" s="1132" t="n"/>
      <c r="API284" s="1132" t="n"/>
      <c r="APJ284" s="1132" t="n"/>
      <c r="APK284" s="1132" t="n"/>
      <c r="APL284" s="1132" t="n"/>
      <c r="APM284" s="1132" t="n"/>
      <c r="APN284" s="1132" t="n"/>
      <c r="APO284" s="1132" t="n"/>
      <c r="APP284" s="1132" t="n"/>
      <c r="APQ284" s="1132" t="n"/>
      <c r="APR284" s="1132" t="n"/>
      <c r="APS284" s="1132" t="n"/>
      <c r="APT284" s="1132" t="n"/>
      <c r="APU284" s="1132" t="n"/>
      <c r="APV284" s="1132" t="n"/>
      <c r="APW284" s="1132" t="n"/>
      <c r="APX284" s="1132" t="n"/>
      <c r="APY284" s="1132" t="n"/>
      <c r="APZ284" s="1132" t="n"/>
      <c r="AQA284" s="1132" t="n"/>
      <c r="AQB284" s="1132" t="n"/>
      <c r="AQC284" s="1132" t="n"/>
      <c r="AQD284" s="1132" t="n"/>
      <c r="AQE284" s="1132" t="n"/>
      <c r="AQF284" s="1132" t="n"/>
      <c r="AQG284" s="1132" t="n"/>
      <c r="AQH284" s="1132" t="n"/>
      <c r="AQI284" s="1132" t="n"/>
      <c r="AQJ284" s="1132" t="n"/>
      <c r="AQK284" s="1132" t="n"/>
      <c r="AQL284" s="1132" t="n"/>
      <c r="AQM284" s="1132" t="n"/>
      <c r="AQN284" s="1132" t="n"/>
      <c r="AQO284" s="1132" t="n"/>
      <c r="AQP284" s="1132" t="n"/>
      <c r="AQQ284" s="1132" t="n"/>
      <c r="AQR284" s="1132" t="n"/>
      <c r="AQS284" s="1132" t="n"/>
      <c r="AQT284" s="1132" t="n"/>
      <c r="AQU284" s="1132" t="n"/>
      <c r="AQV284" s="1132" t="n"/>
      <c r="AQW284" s="1132" t="n"/>
      <c r="AQX284" s="1132" t="n"/>
      <c r="AQY284" s="1132" t="n"/>
      <c r="AQZ284" s="1132" t="n"/>
      <c r="ARA284" s="1132" t="n"/>
      <c r="ARB284" s="1132" t="n"/>
      <c r="ARC284" s="1132" t="n"/>
      <c r="ARD284" s="1132" t="n"/>
      <c r="ARE284" s="1132" t="n"/>
      <c r="ARF284" s="1132" t="n"/>
      <c r="ARG284" s="1132" t="n"/>
      <c r="ARH284" s="1132" t="n"/>
      <c r="ARI284" s="1132" t="n"/>
      <c r="ARJ284" s="1132" t="n"/>
      <c r="ARK284" s="1132" t="n"/>
      <c r="ARL284" s="1132" t="n"/>
      <c r="ARM284" s="1132" t="n"/>
      <c r="ARN284" s="1132" t="n"/>
      <c r="ARO284" s="1132" t="n"/>
      <c r="ARP284" s="1132" t="n"/>
      <c r="ARQ284" s="1132" t="n"/>
      <c r="ARR284" s="1132" t="n"/>
      <c r="ARS284" s="1132" t="n"/>
      <c r="ART284" s="1132" t="n"/>
      <c r="ARU284" s="1132" t="n"/>
      <c r="ARV284" s="1132" t="n"/>
      <c r="ARW284" s="1132" t="n"/>
      <c r="ARX284" s="1132" t="n"/>
      <c r="ARY284" s="1132" t="n"/>
      <c r="ARZ284" s="1132" t="n"/>
      <c r="ASA284" s="1132" t="n"/>
      <c r="ASB284" s="1132" t="n"/>
      <c r="ASC284" s="1132" t="n"/>
      <c r="ASD284" s="1132" t="n"/>
      <c r="ASE284" s="1132" t="n"/>
      <c r="ASF284" s="1132" t="n"/>
      <c r="ASG284" s="1132" t="n"/>
      <c r="ASH284" s="1132" t="n"/>
      <c r="ASI284" s="1132" t="n"/>
      <c r="ASJ284" s="1132" t="n"/>
      <c r="ASK284" s="1132" t="n"/>
      <c r="ASL284" s="1132" t="n"/>
      <c r="ASM284" s="1132" t="n"/>
      <c r="ASN284" s="1132" t="n"/>
      <c r="ASO284" s="1132" t="n"/>
      <c r="ASP284" s="1132" t="n"/>
      <c r="ASQ284" s="1132" t="n"/>
      <c r="ASR284" s="1132" t="n"/>
      <c r="ASS284" s="1132" t="n"/>
      <c r="AST284" s="1132" t="n"/>
      <c r="ASU284" s="1132" t="n"/>
      <c r="ASV284" s="1132" t="n"/>
      <c r="ASW284" s="1132" t="n"/>
      <c r="ASX284" s="1132" t="n"/>
      <c r="ASY284" s="1132" t="n"/>
      <c r="ASZ284" s="1132" t="n"/>
      <c r="ATA284" s="1132" t="n"/>
      <c r="ATB284" s="1132" t="n"/>
      <c r="ATC284" s="1132" t="n"/>
      <c r="ATD284" s="1132" t="n"/>
      <c r="ATE284" s="1132" t="n"/>
      <c r="ATF284" s="1132" t="n"/>
      <c r="ATG284" s="1132" t="n"/>
      <c r="ATH284" s="1132" t="n"/>
      <c r="ATI284" s="1132" t="n"/>
      <c r="ATJ284" s="1132" t="n"/>
      <c r="ATK284" s="1132" t="n"/>
      <c r="ATL284" s="1132" t="n"/>
      <c r="ATM284" s="1132" t="n"/>
      <c r="ATN284" s="1132" t="n"/>
      <c r="ATO284" s="1132" t="n"/>
      <c r="ATP284" s="1132" t="n"/>
      <c r="ATQ284" s="1132" t="n"/>
      <c r="ATR284" s="1132" t="n"/>
      <c r="ATS284" s="1132" t="n"/>
      <c r="ATT284" s="1132" t="n"/>
      <c r="ATU284" s="1132" t="n"/>
      <c r="ATV284" s="1132" t="n"/>
      <c r="ATW284" s="1132" t="n"/>
      <c r="ATX284" s="1132" t="n"/>
      <c r="ATY284" s="1132" t="n"/>
      <c r="ATZ284" s="1132" t="n"/>
      <c r="AUA284" s="1132" t="n"/>
      <c r="AUB284" s="1132" t="n"/>
      <c r="AUC284" s="1132" t="n"/>
      <c r="AUD284" s="1132" t="n"/>
      <c r="AUE284" s="1132" t="n"/>
      <c r="AUF284" s="1132" t="n"/>
      <c r="AUG284" s="1132" t="n"/>
      <c r="AUH284" s="1132" t="n"/>
      <c r="AUI284" s="1132" t="n"/>
      <c r="AUJ284" s="1132" t="n"/>
      <c r="AUK284" s="1132" t="n"/>
      <c r="AUL284" s="1132" t="n"/>
      <c r="AUM284" s="1132" t="n"/>
      <c r="AUN284" s="1132" t="n"/>
      <c r="AUO284" s="1132" t="n"/>
      <c r="AUP284" s="1132" t="n"/>
      <c r="AUQ284" s="1132" t="n"/>
      <c r="AUR284" s="1132" t="n"/>
      <c r="AUS284" s="1132" t="n"/>
      <c r="AUT284" s="1132" t="n"/>
      <c r="AUU284" s="1132" t="n"/>
      <c r="AUV284" s="1132" t="n"/>
      <c r="AUW284" s="1132" t="n"/>
      <c r="AUX284" s="1132" t="n"/>
      <c r="AUY284" s="1132" t="n"/>
      <c r="AUZ284" s="1132" t="n"/>
      <c r="AVA284" s="1132" t="n"/>
      <c r="AVB284" s="1132" t="n"/>
      <c r="AVC284" s="1132" t="n"/>
      <c r="AVD284" s="1132" t="n"/>
      <c r="AVE284" s="1132" t="n"/>
      <c r="AVF284" s="1132" t="n"/>
      <c r="AVG284" s="1132" t="n"/>
      <c r="AVH284" s="1132" t="n"/>
      <c r="AVI284" s="1132" t="n"/>
      <c r="AVJ284" s="1132" t="n"/>
      <c r="AVK284" s="1132" t="n"/>
      <c r="AVL284" s="1132" t="n"/>
      <c r="AVM284" s="1132" t="n"/>
      <c r="AVN284" s="1132" t="n"/>
      <c r="AVO284" s="1132" t="n"/>
      <c r="AVP284" s="1132" t="n"/>
      <c r="AVQ284" s="1132" t="n"/>
      <c r="AVR284" s="1132" t="n"/>
      <c r="AVS284" s="1132" t="n"/>
      <c r="AVT284" s="1132" t="n"/>
      <c r="AVU284" s="1132" t="n"/>
      <c r="AVV284" s="1132" t="n"/>
      <c r="AVW284" s="1132" t="n"/>
      <c r="AVX284" s="1132" t="n"/>
      <c r="AVY284" s="1132" t="n"/>
      <c r="AVZ284" s="1132" t="n"/>
      <c r="AWA284" s="1132" t="n"/>
      <c r="AWB284" s="1132" t="n"/>
      <c r="AWC284" s="1132" t="n"/>
      <c r="AWD284" s="1132" t="n"/>
      <c r="AWE284" s="1132" t="n"/>
      <c r="AWF284" s="1132" t="n"/>
      <c r="AWG284" s="1132" t="n"/>
      <c r="AWH284" s="1132" t="n"/>
      <c r="AWI284" s="1132" t="n"/>
      <c r="AWJ284" s="1132" t="n"/>
      <c r="AWK284" s="1132" t="n"/>
      <c r="AWL284" s="1132" t="n"/>
      <c r="AWM284" s="1132" t="n"/>
      <c r="AWN284" s="1132" t="n"/>
      <c r="AWO284" s="1132" t="n"/>
      <c r="AWP284" s="1132" t="n"/>
      <c r="AWQ284" s="1132" t="n"/>
      <c r="AWR284" s="1132" t="n"/>
      <c r="AWS284" s="1132" t="n"/>
      <c r="AWT284" s="1132" t="n"/>
      <c r="AWU284" s="1132" t="n"/>
      <c r="AWV284" s="1132" t="n"/>
      <c r="AWW284" s="1132" t="n"/>
      <c r="AWX284" s="1132" t="n"/>
      <c r="AWY284" s="1132" t="n"/>
      <c r="AWZ284" s="1132" t="n"/>
      <c r="AXA284" s="1132" t="n"/>
      <c r="AXB284" s="1132" t="n"/>
      <c r="AXC284" s="1132" t="n"/>
      <c r="AXD284" s="1132" t="n"/>
      <c r="AXE284" s="1132" t="n"/>
      <c r="AXF284" s="1132" t="n"/>
      <c r="AXG284" s="1132" t="n"/>
      <c r="AXH284" s="1132" t="n"/>
      <c r="AXI284" s="1132" t="n"/>
      <c r="AXJ284" s="1132" t="n"/>
      <c r="AXK284" s="1132" t="n"/>
      <c r="AXL284" s="1132" t="n"/>
      <c r="AXM284" s="1132" t="n"/>
      <c r="AXN284" s="1132" t="n"/>
      <c r="AXO284" s="1132" t="n"/>
      <c r="AXP284" s="1132" t="n"/>
      <c r="AXQ284" s="1132" t="n"/>
      <c r="AXR284" s="1132" t="n"/>
      <c r="AXS284" s="1132" t="n"/>
      <c r="AXT284" s="1132" t="n"/>
      <c r="AXU284" s="1132" t="n"/>
      <c r="AXV284" s="1132" t="n"/>
      <c r="AXW284" s="1132" t="n"/>
      <c r="AXX284" s="1132" t="n"/>
      <c r="AXY284" s="1132" t="n"/>
      <c r="AXZ284" s="1132" t="n"/>
      <c r="AYA284" s="1132" t="n"/>
      <c r="AYB284" s="1132" t="n"/>
      <c r="AYC284" s="1132" t="n"/>
      <c r="AYD284" s="1132" t="n"/>
      <c r="AYE284" s="1132" t="n"/>
      <c r="AYF284" s="1132" t="n"/>
      <c r="AYG284" s="1132" t="n"/>
      <c r="AYH284" s="1132" t="n"/>
      <c r="AYI284" s="1132" t="n"/>
      <c r="AYJ284" s="1132" t="n"/>
      <c r="AYK284" s="1132" t="n"/>
      <c r="AYL284" s="1132" t="n"/>
      <c r="AYM284" s="1132" t="n"/>
      <c r="AYN284" s="1132" t="n"/>
      <c r="AYO284" s="1132" t="n"/>
      <c r="AYP284" s="1132" t="n"/>
      <c r="AYQ284" s="1132" t="n"/>
      <c r="AYR284" s="1132" t="n"/>
      <c r="AYS284" s="1132" t="n"/>
      <c r="AYT284" s="1132" t="n"/>
      <c r="AYU284" s="1132" t="n"/>
      <c r="AYV284" s="1132" t="n"/>
      <c r="AYW284" s="1132" t="n"/>
      <c r="AYX284" s="1132" t="n"/>
      <c r="AYY284" s="1132" t="n"/>
      <c r="AYZ284" s="1132" t="n"/>
      <c r="AZA284" s="1132" t="n"/>
      <c r="AZB284" s="1132" t="n"/>
      <c r="AZC284" s="1132" t="n"/>
      <c r="AZD284" s="1132" t="n"/>
      <c r="AZE284" s="1132" t="n"/>
      <c r="AZF284" s="1132" t="n"/>
      <c r="AZG284" s="1132" t="n"/>
      <c r="AZH284" s="1132" t="n"/>
      <c r="AZI284" s="1132" t="n"/>
      <c r="AZJ284" s="1132" t="n"/>
      <c r="AZK284" s="1132" t="n"/>
      <c r="AZL284" s="1132" t="n"/>
      <c r="AZM284" s="1132" t="n"/>
      <c r="AZN284" s="1132" t="n"/>
      <c r="AZO284" s="1132" t="n"/>
      <c r="AZP284" s="1132" t="n"/>
      <c r="AZQ284" s="1132" t="n"/>
      <c r="AZR284" s="1132" t="n"/>
      <c r="AZS284" s="1132" t="n"/>
      <c r="AZT284" s="1132" t="n"/>
      <c r="AZU284" s="1132" t="n"/>
      <c r="AZV284" s="1132" t="n"/>
      <c r="AZW284" s="1132" t="n"/>
      <c r="AZX284" s="1132" t="n"/>
      <c r="AZY284" s="1132" t="n"/>
      <c r="AZZ284" s="1132" t="n"/>
      <c r="BAA284" s="1132" t="n"/>
      <c r="BAB284" s="1132" t="n"/>
      <c r="BAC284" s="1132" t="n"/>
      <c r="BAD284" s="1132" t="n"/>
      <c r="BAE284" s="1132" t="n"/>
      <c r="BAF284" s="1132" t="n"/>
      <c r="BAG284" s="1132" t="n"/>
      <c r="BAH284" s="1132" t="n"/>
      <c r="BAI284" s="1132" t="n"/>
      <c r="BAJ284" s="1132" t="n"/>
      <c r="BAK284" s="1132" t="n"/>
      <c r="BAL284" s="1132" t="n"/>
      <c r="BAM284" s="1132" t="n"/>
      <c r="BAN284" s="1132" t="n"/>
      <c r="BAO284" s="1132" t="n"/>
      <c r="BAP284" s="1132" t="n"/>
      <c r="BAQ284" s="1132" t="n"/>
      <c r="BAR284" s="1132" t="n"/>
      <c r="BAS284" s="1132" t="n"/>
      <c r="BAT284" s="1132" t="n"/>
      <c r="BAU284" s="1132" t="n"/>
      <c r="BAV284" s="1132" t="n"/>
      <c r="BAW284" s="1132" t="n"/>
      <c r="BAX284" s="1132" t="n"/>
      <c r="BAY284" s="1132" t="n"/>
      <c r="BAZ284" s="1132" t="n"/>
      <c r="BBA284" s="1132" t="n"/>
      <c r="BBB284" s="1132" t="n"/>
      <c r="BBC284" s="1132" t="n"/>
      <c r="BBD284" s="1132" t="n"/>
      <c r="BBE284" s="1132" t="n"/>
      <c r="BBF284" s="1132" t="n"/>
      <c r="BBG284" s="1132" t="n"/>
      <c r="BBH284" s="1132" t="n"/>
      <c r="BBI284" s="1132" t="n"/>
      <c r="BBJ284" s="1132" t="n"/>
      <c r="BBK284" s="1132" t="n"/>
      <c r="BBL284" s="1132" t="n"/>
      <c r="BBM284" s="1132" t="n"/>
      <c r="BBN284" s="1132" t="n"/>
      <c r="BBO284" s="1132" t="n"/>
      <c r="BBP284" s="1132" t="n"/>
      <c r="BBQ284" s="1132" t="n"/>
      <c r="BBR284" s="1132" t="n"/>
      <c r="BBS284" s="1132" t="n"/>
      <c r="BBT284" s="1132" t="n"/>
      <c r="BBU284" s="1132" t="n"/>
      <c r="BBV284" s="1132" t="n"/>
      <c r="BBW284" s="1132" t="n"/>
      <c r="BBX284" s="1132" t="n"/>
      <c r="BBY284" s="1132" t="n"/>
      <c r="BBZ284" s="1132" t="n"/>
      <c r="BCA284" s="1132" t="n"/>
      <c r="BCB284" s="1132" t="n"/>
      <c r="BCC284" s="1132" t="n"/>
      <c r="BCD284" s="1132" t="n"/>
      <c r="BCE284" s="1132" t="n"/>
      <c r="BCF284" s="1132" t="n"/>
      <c r="BCG284" s="1132" t="n"/>
      <c r="BCH284" s="1132" t="n"/>
      <c r="BCI284" s="1132" t="n"/>
      <c r="BCJ284" s="1132" t="n"/>
      <c r="BCK284" s="1132" t="n"/>
      <c r="BCL284" s="1132" t="n"/>
      <c r="BCM284" s="1132" t="n"/>
      <c r="BCN284" s="1132" t="n"/>
      <c r="BCO284" s="1132" t="n"/>
      <c r="BCP284" s="1132" t="n"/>
      <c r="BCQ284" s="1132" t="n"/>
      <c r="BCR284" s="1132" t="n"/>
      <c r="BCS284" s="1132" t="n"/>
      <c r="BCT284" s="1132" t="n"/>
      <c r="BCU284" s="1132" t="n"/>
      <c r="BCV284" s="1132" t="n"/>
      <c r="BCW284" s="1132" t="n"/>
      <c r="BCX284" s="1132" t="n"/>
      <c r="BCY284" s="1132" t="n"/>
      <c r="BCZ284" s="1132" t="n"/>
      <c r="BDA284" s="1132" t="n"/>
      <c r="BDB284" s="1132" t="n"/>
      <c r="BDC284" s="1132" t="n"/>
      <c r="BDD284" s="1132" t="n"/>
      <c r="BDE284" s="1132" t="n"/>
      <c r="BDF284" s="1132" t="n"/>
      <c r="BDG284" s="1132" t="n"/>
      <c r="BDH284" s="1132" t="n"/>
      <c r="BDI284" s="1132" t="n"/>
      <c r="BDJ284" s="1132" t="n"/>
      <c r="BDK284" s="1132" t="n"/>
      <c r="BDL284" s="1132" t="n"/>
      <c r="BDM284" s="1132" t="n"/>
      <c r="BDN284" s="1132" t="n"/>
      <c r="BDO284" s="1132" t="n"/>
      <c r="BDP284" s="1132" t="n"/>
      <c r="BDQ284" s="1132" t="n"/>
      <c r="BDR284" s="1132" t="n"/>
      <c r="BDS284" s="1132" t="n"/>
      <c r="BDT284" s="1132" t="n"/>
      <c r="BDU284" s="1132" t="n"/>
      <c r="BDV284" s="1132" t="n"/>
      <c r="BDW284" s="1132" t="n"/>
      <c r="BDX284" s="1132" t="n"/>
      <c r="BDY284" s="1132" t="n"/>
      <c r="BDZ284" s="1132" t="n"/>
      <c r="BEA284" s="1132" t="n"/>
      <c r="BEB284" s="1132" t="n"/>
      <c r="BEC284" s="1132" t="n"/>
      <c r="BED284" s="1132" t="n"/>
      <c r="BEE284" s="1132" t="n"/>
      <c r="BEF284" s="1132" t="n"/>
      <c r="BEG284" s="1132" t="n"/>
      <c r="BEH284" s="1132" t="n"/>
      <c r="BEI284" s="1132" t="n"/>
      <c r="BEJ284" s="1132" t="n"/>
      <c r="BEK284" s="1132" t="n"/>
      <c r="BEL284" s="1132" t="n"/>
      <c r="BEM284" s="1132" t="n"/>
      <c r="BEN284" s="1132" t="n"/>
      <c r="BEO284" s="1132" t="n"/>
      <c r="BEP284" s="1132" t="n"/>
      <c r="BEQ284" s="1132" t="n"/>
      <c r="BER284" s="1132" t="n"/>
      <c r="BES284" s="1132" t="n"/>
      <c r="BET284" s="1132" t="n"/>
      <c r="BEU284" s="1132" t="n"/>
      <c r="BEV284" s="1132" t="n"/>
      <c r="BEW284" s="1132" t="n"/>
      <c r="BEX284" s="1132" t="n"/>
      <c r="BEY284" s="1132" t="n"/>
      <c r="BEZ284" s="1132" t="n"/>
      <c r="BFA284" s="1132" t="n"/>
      <c r="BFB284" s="1132" t="n"/>
      <c r="BFC284" s="1132" t="n"/>
      <c r="BFD284" s="1132" t="n"/>
      <c r="BFE284" s="1132" t="n"/>
      <c r="BFF284" s="1132" t="n"/>
      <c r="BFG284" s="1132" t="n"/>
      <c r="BFH284" s="1132" t="n"/>
      <c r="BFI284" s="1132" t="n"/>
      <c r="BFJ284" s="1132" t="n"/>
      <c r="BFK284" s="1132" t="n"/>
      <c r="BFL284" s="1132" t="n"/>
      <c r="BFM284" s="1132" t="n"/>
      <c r="BFN284" s="1132" t="n"/>
      <c r="BFO284" s="1132" t="n"/>
      <c r="BFP284" s="1132" t="n"/>
      <c r="BFQ284" s="1132" t="n"/>
      <c r="BFR284" s="1132" t="n"/>
      <c r="BFS284" s="1132" t="n"/>
      <c r="BFT284" s="1132" t="n"/>
      <c r="BFU284" s="1132" t="n"/>
      <c r="BFV284" s="1132" t="n"/>
      <c r="BFW284" s="1132" t="n"/>
      <c r="BFX284" s="1132" t="n"/>
      <c r="BFY284" s="1132" t="n"/>
      <c r="BFZ284" s="1132" t="n"/>
      <c r="BGA284" s="1132" t="n"/>
      <c r="BGB284" s="1132" t="n"/>
      <c r="BGC284" s="1132" t="n"/>
      <c r="BGD284" s="1132" t="n"/>
      <c r="BGE284" s="1132" t="n"/>
      <c r="BGF284" s="1132" t="n"/>
      <c r="BGG284" s="1132" t="n"/>
      <c r="BGH284" s="1132" t="n"/>
      <c r="BGI284" s="1132" t="n"/>
      <c r="BGJ284" s="1132" t="n"/>
      <c r="BGK284" s="1132" t="n"/>
      <c r="BGL284" s="1132" t="n"/>
      <c r="BGM284" s="1132" t="n"/>
      <c r="BGN284" s="1132" t="n"/>
      <c r="BGO284" s="1132" t="n"/>
      <c r="BGP284" s="1132" t="n"/>
      <c r="BGQ284" s="1132" t="n"/>
      <c r="BGR284" s="1132" t="n"/>
      <c r="BGS284" s="1132" t="n"/>
      <c r="BGT284" s="1132" t="n"/>
      <c r="BGU284" s="1132" t="n"/>
      <c r="BGV284" s="1132" t="n"/>
      <c r="BGW284" s="1132" t="n"/>
      <c r="BGX284" s="1132" t="n"/>
      <c r="BGY284" s="1132" t="n"/>
      <c r="BGZ284" s="1132" t="n"/>
      <c r="BHA284" s="1132" t="n"/>
      <c r="BHB284" s="1132" t="n"/>
      <c r="BHC284" s="1132" t="n"/>
      <c r="BHD284" s="1132" t="n"/>
      <c r="BHE284" s="1132" t="n"/>
      <c r="BHF284" s="1132" t="n"/>
      <c r="BHG284" s="1132" t="n"/>
      <c r="BHH284" s="1132" t="n"/>
      <c r="BHI284" s="1132" t="n"/>
      <c r="BHJ284" s="1132" t="n"/>
      <c r="BHK284" s="1132" t="n"/>
      <c r="BHL284" s="1132" t="n"/>
      <c r="BHM284" s="1132" t="n"/>
      <c r="BHN284" s="1132" t="n"/>
      <c r="BHO284" s="1132" t="n"/>
      <c r="BHP284" s="1132" t="n"/>
      <c r="BHQ284" s="1132" t="n"/>
      <c r="BHR284" s="1132" t="n"/>
      <c r="BHS284" s="1132" t="n"/>
      <c r="BHT284" s="1132" t="n"/>
      <c r="BHU284" s="1132" t="n"/>
      <c r="BHV284" s="1132" t="n"/>
      <c r="BHW284" s="1132" t="n"/>
      <c r="BHX284" s="1132" t="n"/>
      <c r="BHY284" s="1132" t="n"/>
      <c r="BHZ284" s="1132" t="n"/>
      <c r="BIA284" s="1132" t="n"/>
      <c r="BIB284" s="1132" t="n"/>
      <c r="BIC284" s="1132" t="n"/>
      <c r="BID284" s="1132" t="n"/>
      <c r="BIE284" s="1132" t="n"/>
      <c r="BIF284" s="1132" t="n"/>
      <c r="BIG284" s="1132" t="n"/>
      <c r="BIH284" s="1132" t="n"/>
      <c r="BII284" s="1132" t="n"/>
      <c r="BIJ284" s="1132" t="n"/>
      <c r="BIK284" s="1132" t="n"/>
      <c r="BIL284" s="1132" t="n"/>
      <c r="BIM284" s="1132" t="n"/>
      <c r="BIN284" s="1132" t="n"/>
      <c r="BIO284" s="1132" t="n"/>
      <c r="BIP284" s="1132" t="n"/>
      <c r="BIQ284" s="1132" t="n"/>
      <c r="BIR284" s="1132" t="n"/>
      <c r="BIS284" s="1132" t="n"/>
      <c r="BIT284" s="1132" t="n"/>
      <c r="BIU284" s="1132" t="n"/>
      <c r="BIV284" s="1132" t="n"/>
      <c r="BIW284" s="1132" t="n"/>
      <c r="BIX284" s="1132" t="n"/>
      <c r="BIY284" s="1132" t="n"/>
      <c r="BIZ284" s="1132" t="n"/>
      <c r="BJA284" s="1132" t="n"/>
      <c r="BJB284" s="1132" t="n"/>
      <c r="BJC284" s="1132" t="n"/>
      <c r="BJD284" s="1132" t="n"/>
      <c r="BJE284" s="1132" t="n"/>
      <c r="BJF284" s="1132" t="n"/>
      <c r="BJG284" s="1132" t="n"/>
      <c r="BJH284" s="1132" t="n"/>
      <c r="BJI284" s="1132" t="n"/>
      <c r="BJJ284" s="1132" t="n"/>
      <c r="BJK284" s="1132" t="n"/>
      <c r="BJL284" s="1132" t="n"/>
      <c r="BJM284" s="1132" t="n"/>
      <c r="BJN284" s="1132" t="n"/>
      <c r="BJO284" s="1132" t="n"/>
      <c r="BJP284" s="1132" t="n"/>
      <c r="BJQ284" s="1132" t="n"/>
      <c r="BJR284" s="1132" t="n"/>
      <c r="BJS284" s="1132" t="n"/>
      <c r="BJT284" s="1132" t="n"/>
      <c r="BJU284" s="1132" t="n"/>
      <c r="BJV284" s="1132" t="n"/>
      <c r="BJW284" s="1132" t="n"/>
      <c r="BJX284" s="1132" t="n"/>
      <c r="BJY284" s="1132" t="n"/>
      <c r="BJZ284" s="1132" t="n"/>
      <c r="BKA284" s="1132" t="n"/>
      <c r="BKB284" s="1132" t="n"/>
      <c r="BKC284" s="1132" t="n"/>
      <c r="BKD284" s="1132" t="n"/>
      <c r="BKE284" s="1132" t="n"/>
      <c r="BKF284" s="1132" t="n"/>
      <c r="BKG284" s="1132" t="n"/>
      <c r="BKH284" s="1132" t="n"/>
      <c r="BKI284" s="1132" t="n"/>
      <c r="BKJ284" s="1132" t="n"/>
      <c r="BKK284" s="1132" t="n"/>
      <c r="BKL284" s="1132" t="n"/>
      <c r="BKM284" s="1132" t="n"/>
      <c r="BKN284" s="1132" t="n"/>
      <c r="BKO284" s="1132" t="n"/>
      <c r="BKP284" s="1132" t="n"/>
      <c r="BKQ284" s="1132" t="n"/>
      <c r="BKR284" s="1132" t="n"/>
      <c r="BKS284" s="1132" t="n"/>
      <c r="BKT284" s="1132" t="n"/>
      <c r="BKU284" s="1132" t="n"/>
      <c r="BKV284" s="1132" t="n"/>
      <c r="BKW284" s="1132" t="n"/>
      <c r="BKX284" s="1132" t="n"/>
      <c r="BKY284" s="1132" t="n"/>
      <c r="BKZ284" s="1132" t="n"/>
      <c r="BLA284" s="1132" t="n"/>
      <c r="BLB284" s="1132" t="n"/>
      <c r="BLC284" s="1132" t="n"/>
      <c r="BLD284" s="1132" t="n"/>
      <c r="BLE284" s="1132" t="n"/>
      <c r="BLF284" s="1132" t="n"/>
      <c r="BLG284" s="1132" t="n"/>
      <c r="BLH284" s="1132" t="n"/>
      <c r="BLI284" s="1132" t="n"/>
      <c r="BLJ284" s="1132" t="n"/>
      <c r="BLK284" s="1132" t="n"/>
      <c r="BLL284" s="1132" t="n"/>
      <c r="BLM284" s="1132" t="n"/>
      <c r="BLN284" s="1132" t="n"/>
      <c r="BLO284" s="1132" t="n"/>
      <c r="BLP284" s="1132" t="n"/>
      <c r="BLQ284" s="1132" t="n"/>
      <c r="BLR284" s="1132" t="n"/>
      <c r="BLS284" s="1132" t="n"/>
      <c r="BLT284" s="1132" t="n"/>
      <c r="BLU284" s="1132" t="n"/>
      <c r="BLV284" s="1132" t="n"/>
      <c r="BLW284" s="1132" t="n"/>
      <c r="BLX284" s="1132" t="n"/>
      <c r="BLY284" s="1132" t="n"/>
      <c r="BLZ284" s="1132" t="n"/>
      <c r="BMA284" s="1132" t="n"/>
      <c r="BMB284" s="1132" t="n"/>
      <c r="BMC284" s="1132" t="n"/>
      <c r="BMD284" s="1132" t="n"/>
      <c r="BME284" s="1132" t="n"/>
      <c r="BMF284" s="1132" t="n"/>
      <c r="BMG284" s="1132" t="n"/>
      <c r="BMH284" s="1132" t="n"/>
      <c r="BMI284" s="1132" t="n"/>
      <c r="BMJ284" s="1132" t="n"/>
      <c r="BMK284" s="1132" t="n"/>
      <c r="BML284" s="1132" t="n"/>
      <c r="BMM284" s="1132" t="n"/>
      <c r="BMN284" s="1132" t="n"/>
      <c r="BMO284" s="1132" t="n"/>
      <c r="BMP284" s="1132" t="n"/>
      <c r="BMQ284" s="1132" t="n"/>
      <c r="BMR284" s="1132" t="n"/>
      <c r="BMS284" s="1132" t="n"/>
      <c r="BMT284" s="1132" t="n"/>
      <c r="BMU284" s="1132" t="n"/>
      <c r="BMV284" s="1132" t="n"/>
      <c r="BMW284" s="1132" t="n"/>
      <c r="BMX284" s="1132" t="n"/>
      <c r="BMY284" s="1132" t="n"/>
      <c r="BMZ284" s="1132" t="n"/>
      <c r="BNA284" s="1132" t="n"/>
      <c r="BNB284" s="1132" t="n"/>
      <c r="BNC284" s="1132" t="n"/>
      <c r="BND284" s="1132" t="n"/>
      <c r="BNE284" s="1132" t="n"/>
      <c r="BNF284" s="1132" t="n"/>
      <c r="BNG284" s="1132" t="n"/>
      <c r="BNH284" s="1132" t="n"/>
      <c r="BNI284" s="1132" t="n"/>
      <c r="BNJ284" s="1132" t="n"/>
      <c r="BNK284" s="1132" t="n"/>
      <c r="BNL284" s="1132" t="n"/>
      <c r="BNM284" s="1132" t="n"/>
      <c r="BNN284" s="1132" t="n"/>
      <c r="BNO284" s="1132" t="n"/>
      <c r="BNP284" s="1132" t="n"/>
      <c r="BNQ284" s="1132" t="n"/>
      <c r="BNR284" s="1132" t="n"/>
      <c r="BNS284" s="1132" t="n"/>
      <c r="BNT284" s="1132" t="n"/>
      <c r="BNU284" s="1132" t="n"/>
      <c r="BNV284" s="1132" t="n"/>
      <c r="BNW284" s="1132" t="n"/>
      <c r="BNX284" s="1132" t="n"/>
      <c r="BNY284" s="1132" t="n"/>
      <c r="BNZ284" s="1132" t="n"/>
      <c r="BOA284" s="1132" t="n"/>
      <c r="BOB284" s="1132" t="n"/>
      <c r="BOC284" s="1132" t="n"/>
      <c r="BOD284" s="1132" t="n"/>
      <c r="BOE284" s="1132" t="n"/>
      <c r="BOF284" s="1132" t="n"/>
      <c r="BOG284" s="1132" t="n"/>
      <c r="BOH284" s="1132" t="n"/>
      <c r="BOI284" s="1132" t="n"/>
      <c r="BOJ284" s="1132" t="n"/>
      <c r="BOK284" s="1132" t="n"/>
      <c r="BOL284" s="1132" t="n"/>
      <c r="BOM284" s="1132" t="n"/>
      <c r="BON284" s="1132" t="n"/>
      <c r="BOO284" s="1132" t="n"/>
      <c r="BOP284" s="1132" t="n"/>
      <c r="BOQ284" s="1132" t="n"/>
      <c r="BOR284" s="1132" t="n"/>
      <c r="BOS284" s="1132" t="n"/>
      <c r="BOT284" s="1132" t="n"/>
      <c r="BOU284" s="1132" t="n"/>
      <c r="BOV284" s="1132" t="n"/>
      <c r="BOW284" s="1132" t="n"/>
      <c r="BOX284" s="1132" t="n"/>
      <c r="BOY284" s="1132" t="n"/>
      <c r="BOZ284" s="1132" t="n"/>
      <c r="BPA284" s="1132" t="n"/>
      <c r="BPB284" s="1132" t="n"/>
      <c r="BPC284" s="1132" t="n"/>
      <c r="BPD284" s="1132" t="n"/>
      <c r="BPE284" s="1132" t="n"/>
      <c r="BPF284" s="1132" t="n"/>
      <c r="BPG284" s="1132" t="n"/>
      <c r="BPH284" s="1132" t="n"/>
      <c r="BPI284" s="1132" t="n"/>
      <c r="BPJ284" s="1132" t="n"/>
      <c r="BPK284" s="1132" t="n"/>
      <c r="BPL284" s="1132" t="n"/>
      <c r="BPM284" s="1132" t="n"/>
      <c r="BPN284" s="1132" t="n"/>
      <c r="BPO284" s="1132" t="n"/>
      <c r="BPP284" s="1132" t="n"/>
      <c r="BPQ284" s="1132" t="n"/>
      <c r="BPR284" s="1132" t="n"/>
      <c r="BPS284" s="1132" t="n"/>
      <c r="BPT284" s="1132" t="n"/>
      <c r="BPU284" s="1132" t="n"/>
      <c r="BPV284" s="1132" t="n"/>
      <c r="BPW284" s="1132" t="n"/>
      <c r="BPX284" s="1132" t="n"/>
      <c r="BPY284" s="1132" t="n"/>
      <c r="BPZ284" s="1132" t="n"/>
      <c r="BQA284" s="1132" t="n"/>
      <c r="BQB284" s="1132" t="n"/>
      <c r="BQC284" s="1132" t="n"/>
      <c r="BQD284" s="1132" t="n"/>
      <c r="BQE284" s="1132" t="n"/>
      <c r="BQF284" s="1132" t="n"/>
      <c r="BQG284" s="1132" t="n"/>
      <c r="BQH284" s="1132" t="n"/>
      <c r="BQI284" s="1132" t="n"/>
      <c r="BQJ284" s="1132" t="n"/>
      <c r="BQK284" s="1132" t="n"/>
      <c r="BQL284" s="1132" t="n"/>
      <c r="BQM284" s="1132" t="n"/>
      <c r="BQN284" s="1132" t="n"/>
      <c r="BQO284" s="1132" t="n"/>
      <c r="BQP284" s="1132" t="n"/>
      <c r="BQQ284" s="1132" t="n"/>
      <c r="BQR284" s="1132" t="n"/>
      <c r="BQS284" s="1132" t="n"/>
      <c r="BQT284" s="1132" t="n"/>
      <c r="BQU284" s="1132" t="n"/>
      <c r="BQV284" s="1132" t="n"/>
      <c r="BQW284" s="1132" t="n"/>
      <c r="BQX284" s="1132" t="n"/>
      <c r="BQY284" s="1132" t="n"/>
      <c r="BQZ284" s="1132" t="n"/>
      <c r="BRA284" s="1132" t="n"/>
      <c r="BRB284" s="1132" t="n"/>
      <c r="BRC284" s="1132" t="n"/>
      <c r="BRD284" s="1132" t="n"/>
      <c r="BRE284" s="1132" t="n"/>
      <c r="BRF284" s="1132" t="n"/>
      <c r="BRG284" s="1132" t="n"/>
      <c r="BRH284" s="1132" t="n"/>
      <c r="BRI284" s="1132" t="n"/>
      <c r="BRJ284" s="1132" t="n"/>
      <c r="BRK284" s="1132" t="n"/>
      <c r="BRL284" s="1132" t="n"/>
      <c r="BRM284" s="1132" t="n"/>
      <c r="BRN284" s="1132" t="n"/>
      <c r="BRO284" s="1132" t="n"/>
      <c r="BRP284" s="1132" t="n"/>
      <c r="BRQ284" s="1132" t="n"/>
      <c r="BRR284" s="1132" t="n"/>
      <c r="BRS284" s="1132" t="n"/>
      <c r="BRT284" s="1132" t="n"/>
      <c r="BRU284" s="1132" t="n"/>
      <c r="BRV284" s="1132" t="n"/>
      <c r="BRW284" s="1132" t="n"/>
      <c r="BRX284" s="1132" t="n"/>
      <c r="BRY284" s="1132" t="n"/>
      <c r="BRZ284" s="1132" t="n"/>
      <c r="BSA284" s="1132" t="n"/>
      <c r="BSB284" s="1132" t="n"/>
      <c r="BSC284" s="1132" t="n"/>
      <c r="BSD284" s="1132" t="n"/>
      <c r="BSE284" s="1132" t="n"/>
      <c r="BSF284" s="1132" t="n"/>
      <c r="BSG284" s="1132" t="n"/>
      <c r="BSH284" s="1132" t="n"/>
      <c r="BSI284" s="1132" t="n"/>
      <c r="BSJ284" s="1132" t="n"/>
      <c r="BSK284" s="1132" t="n"/>
      <c r="BSL284" s="1132" t="n"/>
      <c r="BSM284" s="1132" t="n"/>
      <c r="BSN284" s="1132" t="n"/>
      <c r="BSO284" s="1132" t="n"/>
      <c r="BSP284" s="1132" t="n"/>
      <c r="BSQ284" s="1132" t="n"/>
      <c r="BSR284" s="1132" t="n"/>
      <c r="BSS284" s="1132" t="n"/>
      <c r="BST284" s="1132" t="n"/>
      <c r="BSU284" s="1132" t="n"/>
      <c r="BSV284" s="1132" t="n"/>
      <c r="BSW284" s="1132" t="n"/>
      <c r="BSX284" s="1132" t="n"/>
      <c r="BSY284" s="1132" t="n"/>
      <c r="BSZ284" s="1132" t="n"/>
      <c r="BTA284" s="1132" t="n"/>
      <c r="BTB284" s="1132" t="n"/>
      <c r="BTC284" s="1132" t="n"/>
      <c r="BTD284" s="1132" t="n"/>
      <c r="BTE284" s="1132" t="n"/>
      <c r="BTF284" s="1132" t="n"/>
      <c r="BTG284" s="1132" t="n"/>
      <c r="BTH284" s="1132" t="n"/>
      <c r="BTI284" s="1132" t="n"/>
      <c r="BTJ284" s="1132" t="n"/>
      <c r="BTK284" s="1132" t="n"/>
      <c r="BTL284" s="1132" t="n"/>
      <c r="BTM284" s="1132" t="n"/>
      <c r="BTN284" s="1132" t="n"/>
      <c r="BTO284" s="1132" t="n"/>
      <c r="BTP284" s="1132" t="n"/>
      <c r="BTQ284" s="1132" t="n"/>
      <c r="BTR284" s="1132" t="n"/>
      <c r="BTS284" s="1132" t="n"/>
      <c r="BTT284" s="1132" t="n"/>
      <c r="BTU284" s="1132" t="n"/>
      <c r="BTV284" s="1132" t="n"/>
      <c r="BTW284" s="1132" t="n"/>
      <c r="BTX284" s="1132" t="n"/>
      <c r="BTY284" s="1132" t="n"/>
      <c r="BTZ284" s="1132" t="n"/>
      <c r="BUA284" s="1132" t="n"/>
      <c r="BUB284" s="1132" t="n"/>
      <c r="BUC284" s="1132" t="n"/>
      <c r="BUD284" s="1132" t="n"/>
      <c r="BUE284" s="1132" t="n"/>
      <c r="BUF284" s="1132" t="n"/>
      <c r="BUG284" s="1132" t="n"/>
      <c r="BUH284" s="1132" t="n"/>
      <c r="BUI284" s="1132" t="n"/>
      <c r="BUJ284" s="1132" t="n"/>
      <c r="BUK284" s="1132" t="n"/>
      <c r="BUL284" s="1132" t="n"/>
      <c r="BUM284" s="1132" t="n"/>
      <c r="BUN284" s="1132" t="n"/>
      <c r="BUO284" s="1132" t="n"/>
      <c r="BUP284" s="1132" t="n"/>
      <c r="BUQ284" s="1132" t="n"/>
      <c r="BUR284" s="1132" t="n"/>
      <c r="BUS284" s="1132" t="n"/>
      <c r="BUT284" s="1132" t="n"/>
      <c r="BUU284" s="1132" t="n"/>
      <c r="BUV284" s="1132" t="n"/>
      <c r="BUW284" s="1132" t="n"/>
      <c r="BUX284" s="1132" t="n"/>
      <c r="BUY284" s="1132" t="n"/>
      <c r="BUZ284" s="1132" t="n"/>
      <c r="BVA284" s="1132" t="n"/>
      <c r="BVB284" s="1132" t="n"/>
      <c r="BVC284" s="1132" t="n"/>
      <c r="BVD284" s="1132" t="n"/>
      <c r="BVE284" s="1132" t="n"/>
      <c r="BVF284" s="1132" t="n"/>
      <c r="BVG284" s="1132" t="n"/>
      <c r="BVH284" s="1132" t="n"/>
      <c r="BVI284" s="1132" t="n"/>
      <c r="BVJ284" s="1132" t="n"/>
      <c r="BVK284" s="1132" t="n"/>
      <c r="BVL284" s="1132" t="n"/>
      <c r="BVM284" s="1132" t="n"/>
      <c r="BVN284" s="1132" t="n"/>
      <c r="BVO284" s="1132" t="n"/>
      <c r="BVP284" s="1132" t="n"/>
      <c r="BVQ284" s="1132" t="n"/>
      <c r="BVR284" s="1132" t="n"/>
      <c r="BVS284" s="1132" t="n"/>
      <c r="BVT284" s="1132" t="n"/>
      <c r="BVU284" s="1132" t="n"/>
      <c r="BVV284" s="1132" t="n"/>
      <c r="BVW284" s="1132" t="n"/>
      <c r="BVX284" s="1132" t="n"/>
      <c r="BVY284" s="1132" t="n"/>
      <c r="BVZ284" s="1132" t="n"/>
      <c r="BWA284" s="1132" t="n"/>
      <c r="BWB284" s="1132" t="n"/>
      <c r="BWC284" s="1132" t="n"/>
      <c r="BWD284" s="1132" t="n"/>
      <c r="BWE284" s="1132" t="n"/>
      <c r="BWF284" s="1132" t="n"/>
      <c r="BWG284" s="1132" t="n"/>
      <c r="BWH284" s="1132" t="n"/>
      <c r="BWI284" s="1132" t="n"/>
      <c r="BWJ284" s="1132" t="n"/>
      <c r="BWK284" s="1132" t="n"/>
      <c r="BWL284" s="1132" t="n"/>
      <c r="BWM284" s="1132" t="n"/>
      <c r="BWN284" s="1132" t="n"/>
      <c r="BWO284" s="1132" t="n"/>
      <c r="BWP284" s="1132" t="n"/>
      <c r="BWQ284" s="1132" t="n"/>
      <c r="BWR284" s="1132" t="n"/>
      <c r="BWS284" s="1132" t="n"/>
      <c r="BWT284" s="1132" t="n"/>
      <c r="BWU284" s="1132" t="n"/>
      <c r="BWV284" s="1132" t="n"/>
      <c r="BWW284" s="1132" t="n"/>
      <c r="BWX284" s="1132" t="n"/>
      <c r="BWY284" s="1132" t="n"/>
      <c r="BWZ284" s="1132" t="n"/>
      <c r="BXA284" s="1132" t="n"/>
      <c r="BXB284" s="1132" t="n"/>
      <c r="BXC284" s="1132" t="n"/>
      <c r="BXD284" s="1132" t="n"/>
      <c r="BXE284" s="1132" t="n"/>
      <c r="BXF284" s="1132" t="n"/>
      <c r="BXG284" s="1132" t="n"/>
      <c r="BXH284" s="1132" t="n"/>
      <c r="BXI284" s="1132" t="n"/>
      <c r="BXJ284" s="1132" t="n"/>
      <c r="BXK284" s="1132" t="n"/>
      <c r="BXL284" s="1132" t="n"/>
      <c r="BXM284" s="1132" t="n"/>
      <c r="BXN284" s="1132" t="n"/>
      <c r="BXO284" s="1132" t="n"/>
      <c r="BXP284" s="1132" t="n"/>
      <c r="BXQ284" s="1132" t="n"/>
      <c r="BXR284" s="1132" t="n"/>
      <c r="BXS284" s="1132" t="n"/>
      <c r="BXT284" s="1132" t="n"/>
      <c r="BXU284" s="1132" t="n"/>
      <c r="BXV284" s="1132" t="n"/>
      <c r="BXW284" s="1132" t="n"/>
      <c r="BXX284" s="1132" t="n"/>
      <c r="BXY284" s="1132" t="n"/>
      <c r="BXZ284" s="1132" t="n"/>
      <c r="BYA284" s="1132" t="n"/>
      <c r="BYB284" s="1132" t="n"/>
      <c r="BYC284" s="1132" t="n"/>
      <c r="BYD284" s="1132" t="n"/>
      <c r="BYE284" s="1132" t="n"/>
      <c r="BYF284" s="1132" t="n"/>
      <c r="BYG284" s="1132" t="n"/>
      <c r="BYH284" s="1132" t="n"/>
      <c r="BYI284" s="1132" t="n"/>
      <c r="BYJ284" s="1132" t="n"/>
      <c r="BYK284" s="1132" t="n"/>
      <c r="BYL284" s="1132" t="n"/>
      <c r="BYM284" s="1132" t="n"/>
      <c r="BYN284" s="1132" t="n"/>
      <c r="BYO284" s="1132" t="n"/>
      <c r="BYP284" s="1132" t="n"/>
      <c r="BYQ284" s="1132" t="n"/>
      <c r="BYR284" s="1132" t="n"/>
      <c r="BYS284" s="1132" t="n"/>
      <c r="BYT284" s="1132" t="n"/>
      <c r="BYU284" s="1132" t="n"/>
      <c r="BYV284" s="1132" t="n"/>
      <c r="BYW284" s="1132" t="n"/>
      <c r="BYX284" s="1132" t="n"/>
      <c r="BYY284" s="1132" t="n"/>
      <c r="BYZ284" s="1132" t="n"/>
      <c r="BZA284" s="1132" t="n"/>
      <c r="BZB284" s="1132" t="n"/>
      <c r="BZC284" s="1132" t="n"/>
      <c r="BZD284" s="1132" t="n"/>
      <c r="BZE284" s="1132" t="n"/>
      <c r="BZF284" s="1132" t="n"/>
      <c r="BZG284" s="1132" t="n"/>
      <c r="BZH284" s="1132" t="n"/>
      <c r="BZI284" s="1132" t="n"/>
      <c r="BZJ284" s="1132" t="n"/>
      <c r="BZK284" s="1132" t="n"/>
      <c r="BZL284" s="1132" t="n"/>
      <c r="BZM284" s="1132" t="n"/>
      <c r="BZN284" s="1132" t="n"/>
      <c r="BZO284" s="1132" t="n"/>
      <c r="BZP284" s="1132" t="n"/>
      <c r="BZQ284" s="1132" t="n"/>
      <c r="BZR284" s="1132" t="n"/>
      <c r="BZS284" s="1132" t="n"/>
      <c r="BZT284" s="1132" t="n"/>
      <c r="BZU284" s="1132" t="n"/>
      <c r="BZV284" s="1132" t="n"/>
      <c r="BZW284" s="1132" t="n"/>
      <c r="BZX284" s="1132" t="n"/>
      <c r="BZY284" s="1132" t="n"/>
      <c r="BZZ284" s="1132" t="n"/>
      <c r="CAA284" s="1132" t="n"/>
      <c r="CAB284" s="1132" t="n"/>
      <c r="CAC284" s="1132" t="n"/>
      <c r="CAD284" s="1132" t="n"/>
      <c r="CAE284" s="1132" t="n"/>
      <c r="CAF284" s="1132" t="n"/>
      <c r="CAG284" s="1132" t="n"/>
      <c r="CAH284" s="1132" t="n"/>
      <c r="CAI284" s="1132" t="n"/>
      <c r="CAJ284" s="1132" t="n"/>
      <c r="CAK284" s="1132" t="n"/>
      <c r="CAL284" s="1132" t="n"/>
      <c r="CAM284" s="1132" t="n"/>
      <c r="CAN284" s="1132" t="n"/>
      <c r="CAO284" s="1132" t="n"/>
      <c r="CAP284" s="1132" t="n"/>
      <c r="CAQ284" s="1132" t="n"/>
      <c r="CAR284" s="1132" t="n"/>
      <c r="CAS284" s="1132" t="n"/>
      <c r="CAT284" s="1132" t="n"/>
      <c r="CAU284" s="1132" t="n"/>
      <c r="CAV284" s="1132" t="n"/>
      <c r="CAW284" s="1132" t="n"/>
      <c r="CAX284" s="1132" t="n"/>
      <c r="CAY284" s="1132" t="n"/>
      <c r="CAZ284" s="1132" t="n"/>
      <c r="CBA284" s="1132" t="n"/>
      <c r="CBB284" s="1132" t="n"/>
      <c r="CBC284" s="1132" t="n"/>
      <c r="CBD284" s="1132" t="n"/>
      <c r="CBE284" s="1132" t="n"/>
      <c r="CBF284" s="1132" t="n"/>
      <c r="CBG284" s="1132" t="n"/>
      <c r="CBH284" s="1132" t="n"/>
      <c r="CBI284" s="1132" t="n"/>
      <c r="CBJ284" s="1132" t="n"/>
      <c r="CBK284" s="1132" t="n"/>
      <c r="CBL284" s="1132" t="n"/>
      <c r="CBM284" s="1132" t="n"/>
      <c r="CBN284" s="1132" t="n"/>
      <c r="CBO284" s="1132" t="n"/>
      <c r="CBP284" s="1132" t="n"/>
      <c r="CBQ284" s="1132" t="n"/>
      <c r="CBR284" s="1132" t="n"/>
      <c r="CBS284" s="1132" t="n"/>
      <c r="CBT284" s="1132" t="n"/>
      <c r="CBU284" s="1132" t="n"/>
      <c r="CBV284" s="1132" t="n"/>
      <c r="CBW284" s="1132" t="n"/>
      <c r="CBX284" s="1132" t="n"/>
      <c r="CBY284" s="1132" t="n"/>
      <c r="CBZ284" s="1132" t="n"/>
      <c r="CCA284" s="1132" t="n"/>
      <c r="CCB284" s="1132" t="n"/>
      <c r="CCC284" s="1132" t="n"/>
      <c r="CCD284" s="1132" t="n"/>
      <c r="CCE284" s="1132" t="n"/>
      <c r="CCF284" s="1132" t="n"/>
      <c r="CCG284" s="1132" t="n"/>
      <c r="CCH284" s="1132" t="n"/>
      <c r="CCI284" s="1132" t="n"/>
      <c r="CCJ284" s="1132" t="n"/>
      <c r="CCK284" s="1132" t="n"/>
      <c r="CCL284" s="1132" t="n"/>
      <c r="CCM284" s="1132" t="n"/>
      <c r="CCN284" s="1132" t="n"/>
      <c r="CCO284" s="1132" t="n"/>
      <c r="CCP284" s="1132" t="n"/>
      <c r="CCQ284" s="1132" t="n"/>
      <c r="CCR284" s="1132" t="n"/>
      <c r="CCS284" s="1132" t="n"/>
      <c r="CCT284" s="1132" t="n"/>
      <c r="CCU284" s="1132" t="n"/>
      <c r="CCV284" s="1132" t="n"/>
      <c r="CCW284" s="1132" t="n"/>
      <c r="CCX284" s="1132" t="n"/>
      <c r="CCY284" s="1132" t="n"/>
      <c r="CCZ284" s="1132" t="n"/>
      <c r="CDA284" s="1132" t="n"/>
      <c r="CDB284" s="1132" t="n"/>
      <c r="CDC284" s="1132" t="n"/>
      <c r="CDD284" s="1132" t="n"/>
      <c r="CDE284" s="1132" t="n"/>
      <c r="CDF284" s="1132" t="n"/>
      <c r="CDG284" s="1132" t="n"/>
      <c r="CDH284" s="1132" t="n"/>
      <c r="CDI284" s="1132" t="n"/>
      <c r="CDJ284" s="1132" t="n"/>
      <c r="CDK284" s="1132" t="n"/>
      <c r="CDL284" s="1132" t="n"/>
      <c r="CDM284" s="1132" t="n"/>
      <c r="CDN284" s="1132" t="n"/>
      <c r="CDO284" s="1132" t="n"/>
      <c r="CDP284" s="1132" t="n"/>
      <c r="CDQ284" s="1132" t="n"/>
      <c r="CDR284" s="1132" t="n"/>
      <c r="CDS284" s="1132" t="n"/>
      <c r="CDT284" s="1132" t="n"/>
      <c r="CDU284" s="1132" t="n"/>
      <c r="CDV284" s="1132" t="n"/>
      <c r="CDW284" s="1132" t="n"/>
      <c r="CDX284" s="1132" t="n"/>
      <c r="CDY284" s="1132" t="n"/>
      <c r="CDZ284" s="1132" t="n"/>
      <c r="CEA284" s="1132" t="n"/>
      <c r="CEB284" s="1132" t="n"/>
      <c r="CEC284" s="1132" t="n"/>
      <c r="CED284" s="1132" t="n"/>
      <c r="CEE284" s="1132" t="n"/>
      <c r="CEF284" s="1132" t="n"/>
      <c r="CEG284" s="1132" t="n"/>
      <c r="CEH284" s="1132" t="n"/>
      <c r="CEI284" s="1132" t="n"/>
      <c r="CEJ284" s="1132" t="n"/>
      <c r="CEK284" s="1132" t="n"/>
      <c r="CEL284" s="1132" t="n"/>
      <c r="CEM284" s="1132" t="n"/>
      <c r="CEN284" s="1132" t="n"/>
      <c r="CEO284" s="1132" t="n"/>
      <c r="CEP284" s="1132" t="n"/>
      <c r="CEQ284" s="1132" t="n"/>
      <c r="CER284" s="1132" t="n"/>
      <c r="CES284" s="1132" t="n"/>
      <c r="CET284" s="1132" t="n"/>
      <c r="CEU284" s="1132" t="n"/>
      <c r="CEV284" s="1132" t="n"/>
      <c r="CEW284" s="1132" t="n"/>
      <c r="CEX284" s="1132" t="n"/>
      <c r="CEY284" s="1132" t="n"/>
      <c r="CEZ284" s="1132" t="n"/>
      <c r="CFA284" s="1132" t="n"/>
      <c r="CFB284" s="1132" t="n"/>
      <c r="CFC284" s="1132" t="n"/>
      <c r="CFD284" s="1132" t="n"/>
      <c r="CFE284" s="1132" t="n"/>
      <c r="CFF284" s="1132" t="n"/>
      <c r="CFG284" s="1132" t="n"/>
      <c r="CFH284" s="1132" t="n"/>
      <c r="CFI284" s="1132" t="n"/>
      <c r="CFJ284" s="1132" t="n"/>
      <c r="CFK284" s="1132" t="n"/>
      <c r="CFL284" s="1132" t="n"/>
      <c r="CFM284" s="1132" t="n"/>
      <c r="CFN284" s="1132" t="n"/>
      <c r="CFO284" s="1132" t="n"/>
      <c r="CFP284" s="1132" t="n"/>
      <c r="CFQ284" s="1132" t="n"/>
      <c r="CFR284" s="1132" t="n"/>
      <c r="CFS284" s="1132" t="n"/>
      <c r="CFT284" s="1132" t="n"/>
      <c r="CFU284" s="1132" t="n"/>
      <c r="CFV284" s="1132" t="n"/>
      <c r="CFW284" s="1132" t="n"/>
      <c r="CFX284" s="1132" t="n"/>
      <c r="CFY284" s="1132" t="n"/>
      <c r="CFZ284" s="1132" t="n"/>
      <c r="CGA284" s="1132" t="n"/>
      <c r="CGB284" s="1132" t="n"/>
      <c r="CGC284" s="1132" t="n"/>
      <c r="CGD284" s="1132" t="n"/>
      <c r="CGE284" s="1132" t="n"/>
      <c r="CGF284" s="1132" t="n"/>
      <c r="CGG284" s="1132" t="n"/>
      <c r="CGH284" s="1132" t="n"/>
      <c r="CGI284" s="1132" t="n"/>
      <c r="CGJ284" s="1132" t="n"/>
      <c r="CGK284" s="1132" t="n"/>
      <c r="CGL284" s="1132" t="n"/>
      <c r="CGM284" s="1132" t="n"/>
      <c r="CGN284" s="1132" t="n"/>
      <c r="CGO284" s="1132" t="n"/>
      <c r="CGP284" s="1132" t="n"/>
      <c r="CGQ284" s="1132" t="n"/>
      <c r="CGR284" s="1132" t="n"/>
      <c r="CGS284" s="1132" t="n"/>
      <c r="CGT284" s="1132" t="n"/>
      <c r="CGU284" s="1132" t="n"/>
      <c r="CGV284" s="1132" t="n"/>
      <c r="CGW284" s="1132" t="n"/>
      <c r="CGX284" s="1132" t="n"/>
      <c r="CGY284" s="1132" t="n"/>
      <c r="CGZ284" s="1132" t="n"/>
      <c r="CHA284" s="1132" t="n"/>
      <c r="CHB284" s="1132" t="n"/>
      <c r="CHC284" s="1132" t="n"/>
      <c r="CHD284" s="1132" t="n"/>
      <c r="CHE284" s="1132" t="n"/>
      <c r="CHF284" s="1132" t="n"/>
      <c r="CHG284" s="1132" t="n"/>
      <c r="CHH284" s="1132" t="n"/>
      <c r="CHI284" s="1132" t="n"/>
      <c r="CHJ284" s="1132" t="n"/>
      <c r="CHK284" s="1132" t="n"/>
      <c r="CHL284" s="1132" t="n"/>
      <c r="CHM284" s="1132" t="n"/>
      <c r="CHN284" s="1132" t="n"/>
      <c r="CHO284" s="1132" t="n"/>
      <c r="CHP284" s="1132" t="n"/>
      <c r="CHQ284" s="1132" t="n"/>
      <c r="CHR284" s="1132" t="n"/>
      <c r="CHS284" s="1132" t="n"/>
      <c r="CHT284" s="1132" t="n"/>
      <c r="CHU284" s="1132" t="n"/>
      <c r="CHV284" s="1132" t="n"/>
      <c r="CHW284" s="1132" t="n"/>
      <c r="CHX284" s="1132" t="n"/>
      <c r="CHY284" s="1132" t="n"/>
      <c r="CHZ284" s="1132" t="n"/>
      <c r="CIA284" s="1132" t="n"/>
      <c r="CIB284" s="1132" t="n"/>
      <c r="CIC284" s="1132" t="n"/>
      <c r="CID284" s="1132" t="n"/>
      <c r="CIE284" s="1132" t="n"/>
      <c r="CIF284" s="1132" t="n"/>
      <c r="CIG284" s="1132" t="n"/>
      <c r="CIH284" s="1132" t="n"/>
      <c r="CII284" s="1132" t="n"/>
      <c r="CIJ284" s="1132" t="n"/>
      <c r="CIK284" s="1132" t="n"/>
      <c r="CIL284" s="1132" t="n"/>
      <c r="CIM284" s="1132" t="n"/>
      <c r="CIN284" s="1132" t="n"/>
      <c r="CIO284" s="1132" t="n"/>
      <c r="CIP284" s="1132" t="n"/>
      <c r="CIQ284" s="1132" t="n"/>
      <c r="CIR284" s="1132" t="n"/>
      <c r="CIS284" s="1132" t="n"/>
      <c r="CIT284" s="1132" t="n"/>
      <c r="CIU284" s="1132" t="n"/>
      <c r="CIV284" s="1132" t="n"/>
      <c r="CIW284" s="1132" t="n"/>
      <c r="CIX284" s="1132" t="n"/>
      <c r="CIY284" s="1132" t="n"/>
      <c r="CIZ284" s="1132" t="n"/>
      <c r="CJA284" s="1132" t="n"/>
      <c r="CJB284" s="1132" t="n"/>
      <c r="CJC284" s="1132" t="n"/>
      <c r="CJD284" s="1132" t="n"/>
      <c r="CJE284" s="1132" t="n"/>
      <c r="CJF284" s="1132" t="n"/>
      <c r="CJG284" s="1132" t="n"/>
      <c r="CJH284" s="1132" t="n"/>
      <c r="CJI284" s="1132" t="n"/>
      <c r="CJJ284" s="1132" t="n"/>
      <c r="CJK284" s="1132" t="n"/>
      <c r="CJL284" s="1132" t="n"/>
      <c r="CJM284" s="1132" t="n"/>
      <c r="CJN284" s="1132" t="n"/>
      <c r="CJO284" s="1132" t="n"/>
      <c r="CJP284" s="1132" t="n"/>
      <c r="CJQ284" s="1132" t="n"/>
      <c r="CJR284" s="1132" t="n"/>
      <c r="CJS284" s="1132" t="n"/>
      <c r="CJT284" s="1132" t="n"/>
      <c r="CJU284" s="1132" t="n"/>
      <c r="CJV284" s="1132" t="n"/>
      <c r="CJW284" s="1132" t="n"/>
      <c r="CJX284" s="1132" t="n"/>
      <c r="CJY284" s="1132" t="n"/>
      <c r="CJZ284" s="1132" t="n"/>
      <c r="CKA284" s="1132" t="n"/>
      <c r="CKB284" s="1132" t="n"/>
      <c r="CKC284" s="1132" t="n"/>
      <c r="CKD284" s="1132" t="n"/>
      <c r="CKE284" s="1132" t="n"/>
      <c r="CKF284" s="1132" t="n"/>
      <c r="CKG284" s="1132" t="n"/>
      <c r="CKH284" s="1132" t="n"/>
      <c r="CKI284" s="1132" t="n"/>
      <c r="CKJ284" s="1132" t="n"/>
      <c r="CKK284" s="1132" t="n"/>
      <c r="CKL284" s="1132" t="n"/>
      <c r="CKM284" s="1132" t="n"/>
      <c r="CKN284" s="1132" t="n"/>
      <c r="CKO284" s="1132" t="n"/>
      <c r="CKP284" s="1132" t="n"/>
      <c r="CKQ284" s="1132" t="n"/>
      <c r="CKR284" s="1132" t="n"/>
      <c r="CKS284" s="1132" t="n"/>
      <c r="CKT284" s="1132" t="n"/>
      <c r="CKU284" s="1132" t="n"/>
      <c r="CKV284" s="1132" t="n"/>
      <c r="CKW284" s="1132" t="n"/>
      <c r="CKX284" s="1132" t="n"/>
      <c r="CKY284" s="1132" t="n"/>
      <c r="CKZ284" s="1132" t="n"/>
      <c r="CLA284" s="1132" t="n"/>
      <c r="CLB284" s="1132" t="n"/>
      <c r="CLC284" s="1132" t="n"/>
      <c r="CLD284" s="1132" t="n"/>
      <c r="CLE284" s="1132" t="n"/>
      <c r="CLF284" s="1132" t="n"/>
      <c r="CLG284" s="1132" t="n"/>
      <c r="CLH284" s="1132" t="n"/>
      <c r="CLI284" s="1132" t="n"/>
      <c r="CLJ284" s="1132" t="n"/>
      <c r="CLK284" s="1132" t="n"/>
      <c r="CLL284" s="1132" t="n"/>
      <c r="CLM284" s="1132" t="n"/>
      <c r="CLN284" s="1132" t="n"/>
      <c r="CLO284" s="1132" t="n"/>
      <c r="CLP284" s="1132" t="n"/>
      <c r="CLQ284" s="1132" t="n"/>
      <c r="CLR284" s="1132" t="n"/>
      <c r="CLS284" s="1132" t="n"/>
      <c r="CLT284" s="1132" t="n"/>
      <c r="CLU284" s="1132" t="n"/>
      <c r="CLV284" s="1132" t="n"/>
      <c r="CLW284" s="1132" t="n"/>
      <c r="CLX284" s="1132" t="n"/>
      <c r="CLY284" s="1132" t="n"/>
      <c r="CLZ284" s="1132" t="n"/>
      <c r="CMA284" s="1132" t="n"/>
      <c r="CMB284" s="1132" t="n"/>
      <c r="CMC284" s="1132" t="n"/>
      <c r="CMD284" s="1132" t="n"/>
      <c r="CME284" s="1132" t="n"/>
      <c r="CMF284" s="1132" t="n"/>
      <c r="CMG284" s="1132" t="n"/>
      <c r="CMH284" s="1132" t="n"/>
      <c r="CMI284" s="1132" t="n"/>
      <c r="CMJ284" s="1132" t="n"/>
      <c r="CMK284" s="1132" t="n"/>
      <c r="CML284" s="1132" t="n"/>
      <c r="CMM284" s="1132" t="n"/>
      <c r="CMN284" s="1132" t="n"/>
      <c r="CMO284" s="1132" t="n"/>
      <c r="CMP284" s="1132" t="n"/>
      <c r="CMQ284" s="1132" t="n"/>
      <c r="CMR284" s="1132" t="n"/>
      <c r="CMS284" s="1132" t="n"/>
      <c r="CMT284" s="1132" t="n"/>
      <c r="CMU284" s="1132" t="n"/>
      <c r="CMV284" s="1132" t="n"/>
      <c r="CMW284" s="1132" t="n"/>
      <c r="CMX284" s="1132" t="n"/>
      <c r="CMY284" s="1132" t="n"/>
      <c r="CMZ284" s="1132" t="n"/>
      <c r="CNA284" s="1132" t="n"/>
      <c r="CNB284" s="1132" t="n"/>
      <c r="CNC284" s="1132" t="n"/>
      <c r="CND284" s="1132" t="n"/>
      <c r="CNE284" s="1132" t="n"/>
      <c r="CNF284" s="1132" t="n"/>
      <c r="CNG284" s="1132" t="n"/>
      <c r="CNH284" s="1132" t="n"/>
      <c r="CNI284" s="1132" t="n"/>
      <c r="CNJ284" s="1132" t="n"/>
      <c r="CNK284" s="1132" t="n"/>
      <c r="CNL284" s="1132" t="n"/>
      <c r="CNM284" s="1132" t="n"/>
      <c r="CNN284" s="1132" t="n"/>
      <c r="CNO284" s="1132" t="n"/>
      <c r="CNP284" s="1132" t="n"/>
      <c r="CNQ284" s="1132" t="n"/>
      <c r="CNR284" s="1132" t="n"/>
      <c r="CNS284" s="1132" t="n"/>
      <c r="CNT284" s="1132" t="n"/>
      <c r="CNU284" s="1132" t="n"/>
      <c r="CNV284" s="1132" t="n"/>
      <c r="CNW284" s="1132" t="n"/>
      <c r="CNX284" s="1132" t="n"/>
      <c r="CNY284" s="1132" t="n"/>
      <c r="CNZ284" s="1132" t="n"/>
      <c r="COA284" s="1132" t="n"/>
      <c r="COB284" s="1132" t="n"/>
      <c r="COC284" s="1132" t="n"/>
      <c r="COD284" s="1132" t="n"/>
      <c r="COE284" s="1132" t="n"/>
      <c r="COF284" s="1132" t="n"/>
      <c r="COG284" s="1132" t="n"/>
      <c r="COH284" s="1132" t="n"/>
      <c r="COI284" s="1132" t="n"/>
      <c r="COJ284" s="1132" t="n"/>
      <c r="COK284" s="1132" t="n"/>
      <c r="COL284" s="1132" t="n"/>
      <c r="COM284" s="1132" t="n"/>
      <c r="CON284" s="1132" t="n"/>
      <c r="COO284" s="1132" t="n"/>
      <c r="COP284" s="1132" t="n"/>
      <c r="COQ284" s="1132" t="n"/>
      <c r="COR284" s="1132" t="n"/>
      <c r="COS284" s="1132" t="n"/>
      <c r="COT284" s="1132" t="n"/>
      <c r="COU284" s="1132" t="n"/>
      <c r="COV284" s="1132" t="n"/>
      <c r="COW284" s="1132" t="n"/>
      <c r="COX284" s="1132" t="n"/>
      <c r="COY284" s="1132" t="n"/>
      <c r="COZ284" s="1132" t="n"/>
      <c r="CPA284" s="1132" t="n"/>
      <c r="CPB284" s="1132" t="n"/>
      <c r="CPC284" s="1132" t="n"/>
      <c r="CPD284" s="1132" t="n"/>
      <c r="CPE284" s="1132" t="n"/>
      <c r="CPF284" s="1132" t="n"/>
      <c r="CPG284" s="1132" t="n"/>
      <c r="CPH284" s="1132" t="n"/>
      <c r="CPI284" s="1132" t="n"/>
      <c r="CPJ284" s="1132" t="n"/>
      <c r="CPK284" s="1132" t="n"/>
      <c r="CPL284" s="1132" t="n"/>
      <c r="CPM284" s="1132" t="n"/>
      <c r="CPN284" s="1132" t="n"/>
      <c r="CPO284" s="1132" t="n"/>
      <c r="CPP284" s="1132" t="n"/>
      <c r="CPQ284" s="1132" t="n"/>
      <c r="CPR284" s="1132" t="n"/>
      <c r="CPS284" s="1132" t="n"/>
      <c r="CPT284" s="1132" t="n"/>
      <c r="CPU284" s="1132" t="n"/>
      <c r="CPV284" s="1132" t="n"/>
      <c r="CPW284" s="1132" t="n"/>
      <c r="CPX284" s="1132" t="n"/>
      <c r="CPY284" s="1132" t="n"/>
      <c r="CPZ284" s="1132" t="n"/>
      <c r="CQA284" s="1132" t="n"/>
      <c r="CQB284" s="1132" t="n"/>
      <c r="CQC284" s="1132" t="n"/>
      <c r="CQD284" s="1132" t="n"/>
      <c r="CQE284" s="1132" t="n"/>
      <c r="CQF284" s="1132" t="n"/>
      <c r="CQG284" s="1132" t="n"/>
      <c r="CQH284" s="1132" t="n"/>
      <c r="CQI284" s="1132" t="n"/>
      <c r="CQJ284" s="1132" t="n"/>
      <c r="CQK284" s="1132" t="n"/>
      <c r="CQL284" s="1132" t="n"/>
      <c r="CQM284" s="1132" t="n"/>
      <c r="CQN284" s="1132" t="n"/>
      <c r="CQO284" s="1132" t="n"/>
      <c r="CQP284" s="1132" t="n"/>
      <c r="CQQ284" s="1132" t="n"/>
      <c r="CQR284" s="1132" t="n"/>
      <c r="CQS284" s="1132" t="n"/>
      <c r="CQT284" s="1132" t="n"/>
      <c r="CQU284" s="1132" t="n"/>
      <c r="CQV284" s="1132" t="n"/>
      <c r="CQW284" s="1132" t="n"/>
      <c r="CQX284" s="1132" t="n"/>
      <c r="CQY284" s="1132" t="n"/>
      <c r="CQZ284" s="1132" t="n"/>
      <c r="CRA284" s="1132" t="n"/>
      <c r="CRB284" s="1132" t="n"/>
      <c r="CRC284" s="1132" t="n"/>
      <c r="CRD284" s="1132" t="n"/>
      <c r="CRE284" s="1132" t="n"/>
      <c r="CRF284" s="1132" t="n"/>
      <c r="CRG284" s="1132" t="n"/>
      <c r="CRH284" s="1132" t="n"/>
      <c r="CRI284" s="1132" t="n"/>
      <c r="CRJ284" s="1132" t="n"/>
      <c r="CRK284" s="1132" t="n"/>
      <c r="CRL284" s="1132" t="n"/>
      <c r="CRM284" s="1132" t="n"/>
      <c r="CRN284" s="1132" t="n"/>
      <c r="CRO284" s="1132" t="n"/>
      <c r="CRP284" s="1132" t="n"/>
      <c r="CRQ284" s="1132" t="n"/>
      <c r="CRR284" s="1132" t="n"/>
      <c r="CRS284" s="1132" t="n"/>
      <c r="CRT284" s="1132" t="n"/>
      <c r="CRU284" s="1132" t="n"/>
      <c r="CRV284" s="1132" t="n"/>
      <c r="CRW284" s="1132" t="n"/>
      <c r="CRX284" s="1132" t="n"/>
      <c r="CRY284" s="1132" t="n"/>
      <c r="CRZ284" s="1132" t="n"/>
      <c r="CSA284" s="1132" t="n"/>
      <c r="CSB284" s="1132" t="n"/>
      <c r="CSC284" s="1132" t="n"/>
      <c r="CSD284" s="1132" t="n"/>
      <c r="CSE284" s="1132" t="n"/>
      <c r="CSF284" s="1132" t="n"/>
      <c r="CSG284" s="1132" t="n"/>
      <c r="CSH284" s="1132" t="n"/>
      <c r="CSI284" s="1132" t="n"/>
      <c r="CSJ284" s="1132" t="n"/>
      <c r="CSK284" s="1132" t="n"/>
      <c r="CSL284" s="1132" t="n"/>
      <c r="CSM284" s="1132" t="n"/>
      <c r="CSN284" s="1132" t="n"/>
      <c r="CSO284" s="1132" t="n"/>
      <c r="CSP284" s="1132" t="n"/>
      <c r="CSQ284" s="1132" t="n"/>
      <c r="CSR284" s="1132" t="n"/>
      <c r="CSS284" s="1132" t="n"/>
      <c r="CST284" s="1132" t="n"/>
      <c r="CSU284" s="1132" t="n"/>
      <c r="CSV284" s="1132" t="n"/>
      <c r="CSW284" s="1132" t="n"/>
      <c r="CSX284" s="1132" t="n"/>
      <c r="CSY284" s="1132" t="n"/>
      <c r="CSZ284" s="1132" t="n"/>
      <c r="CTA284" s="1132" t="n"/>
      <c r="CTB284" s="1132" t="n"/>
      <c r="CTC284" s="1132" t="n"/>
      <c r="CTD284" s="1132" t="n"/>
      <c r="CTE284" s="1132" t="n"/>
      <c r="CTF284" s="1132" t="n"/>
      <c r="CTG284" s="1132" t="n"/>
      <c r="CTH284" s="1132" t="n"/>
      <c r="CTI284" s="1132" t="n"/>
      <c r="CTJ284" s="1132" t="n"/>
      <c r="CTK284" s="1132" t="n"/>
      <c r="CTL284" s="1132" t="n"/>
      <c r="CTM284" s="1132" t="n"/>
      <c r="CTN284" s="1132" t="n"/>
      <c r="CTO284" s="1132" t="n"/>
      <c r="CTP284" s="1132" t="n"/>
      <c r="CTQ284" s="1132" t="n"/>
      <c r="CTR284" s="1132" t="n"/>
      <c r="CTS284" s="1132" t="n"/>
      <c r="CTT284" s="1132" t="n"/>
      <c r="CTU284" s="1132" t="n"/>
      <c r="CTV284" s="1132" t="n"/>
      <c r="CTW284" s="1132" t="n"/>
      <c r="CTX284" s="1132" t="n"/>
      <c r="CTY284" s="1132" t="n"/>
      <c r="CTZ284" s="1132" t="n"/>
      <c r="CUA284" s="1132" t="n"/>
      <c r="CUB284" s="1132" t="n"/>
      <c r="CUC284" s="1132" t="n"/>
      <c r="CUD284" s="1132" t="n"/>
      <c r="CUE284" s="1132" t="n"/>
      <c r="CUF284" s="1132" t="n"/>
      <c r="CUG284" s="1132" t="n"/>
      <c r="CUH284" s="1132" t="n"/>
      <c r="CUI284" s="1132" t="n"/>
      <c r="CUJ284" s="1132" t="n"/>
      <c r="CUK284" s="1132" t="n"/>
      <c r="CUL284" s="1132" t="n"/>
      <c r="CUM284" s="1132" t="n"/>
      <c r="CUN284" s="1132" t="n"/>
      <c r="CUO284" s="1132" t="n"/>
      <c r="CUP284" s="1132" t="n"/>
      <c r="CUQ284" s="1132" t="n"/>
      <c r="CUR284" s="1132" t="n"/>
      <c r="CUS284" s="1132" t="n"/>
      <c r="CUT284" s="1132" t="n"/>
      <c r="CUU284" s="1132" t="n"/>
      <c r="CUV284" s="1132" t="n"/>
      <c r="CUW284" s="1132" t="n"/>
      <c r="CUX284" s="1132" t="n"/>
      <c r="CUY284" s="1132" t="n"/>
      <c r="CUZ284" s="1132" t="n"/>
      <c r="CVA284" s="1132" t="n"/>
      <c r="CVB284" s="1132" t="n"/>
      <c r="CVC284" s="1132" t="n"/>
      <c r="CVD284" s="1132" t="n"/>
      <c r="CVE284" s="1132" t="n"/>
      <c r="CVF284" s="1132" t="n"/>
      <c r="CVG284" s="1132" t="n"/>
      <c r="CVH284" s="1132" t="n"/>
      <c r="CVI284" s="1132" t="n"/>
      <c r="CVJ284" s="1132" t="n"/>
      <c r="CVK284" s="1132" t="n"/>
      <c r="CVL284" s="1132" t="n"/>
      <c r="CVM284" s="1132" t="n"/>
      <c r="CVN284" s="1132" t="n"/>
      <c r="CVO284" s="1132" t="n"/>
      <c r="CVP284" s="1132" t="n"/>
      <c r="CVQ284" s="1132" t="n"/>
      <c r="CVR284" s="1132" t="n"/>
      <c r="CVS284" s="1132" t="n"/>
      <c r="CVT284" s="1132" t="n"/>
      <c r="CVU284" s="1132" t="n"/>
      <c r="CVV284" s="1132" t="n"/>
      <c r="CVW284" s="1132" t="n"/>
      <c r="CVX284" s="1132" t="n"/>
      <c r="CVY284" s="1132" t="n"/>
      <c r="CVZ284" s="1132" t="n"/>
      <c r="CWA284" s="1132" t="n"/>
      <c r="CWB284" s="1132" t="n"/>
      <c r="CWC284" s="1132" t="n"/>
      <c r="CWD284" s="1132" t="n"/>
      <c r="CWE284" s="1132" t="n"/>
      <c r="CWF284" s="1132" t="n"/>
      <c r="CWG284" s="1132" t="n"/>
      <c r="CWH284" s="1132" t="n"/>
      <c r="CWI284" s="1132" t="n"/>
      <c r="CWJ284" s="1132" t="n"/>
      <c r="CWK284" s="1132" t="n"/>
      <c r="CWL284" s="1132" t="n"/>
      <c r="CWM284" s="1132" t="n"/>
      <c r="CWN284" s="1132" t="n"/>
      <c r="CWO284" s="1132" t="n"/>
      <c r="CWP284" s="1132" t="n"/>
      <c r="CWQ284" s="1132" t="n"/>
      <c r="CWR284" s="1132" t="n"/>
      <c r="CWS284" s="1132" t="n"/>
      <c r="CWT284" s="1132" t="n"/>
      <c r="CWU284" s="1132" t="n"/>
      <c r="CWV284" s="1132" t="n"/>
      <c r="CWW284" s="1132" t="n"/>
      <c r="CWX284" s="1132" t="n"/>
      <c r="CWY284" s="1132" t="n"/>
      <c r="CWZ284" s="1132" t="n"/>
      <c r="CXA284" s="1132" t="n"/>
      <c r="CXB284" s="1132" t="n"/>
      <c r="CXC284" s="1132" t="n"/>
      <c r="CXD284" s="1132" t="n"/>
      <c r="CXE284" s="1132" t="n"/>
      <c r="CXF284" s="1132" t="n"/>
      <c r="CXG284" s="1132" t="n"/>
      <c r="CXH284" s="1132" t="n"/>
      <c r="CXI284" s="1132" t="n"/>
      <c r="CXJ284" s="1132" t="n"/>
      <c r="CXK284" s="1132" t="n"/>
      <c r="CXL284" s="1132" t="n"/>
      <c r="CXM284" s="1132" t="n"/>
      <c r="CXN284" s="1132" t="n"/>
      <c r="CXO284" s="1132" t="n"/>
      <c r="CXP284" s="1132" t="n"/>
      <c r="CXQ284" s="1132" t="n"/>
      <c r="CXR284" s="1132" t="n"/>
      <c r="CXS284" s="1132" t="n"/>
      <c r="CXT284" s="1132" t="n"/>
      <c r="CXU284" s="1132" t="n"/>
      <c r="CXV284" s="1132" t="n"/>
      <c r="CXW284" s="1132" t="n"/>
      <c r="CXX284" s="1132" t="n"/>
      <c r="CXY284" s="1132" t="n"/>
      <c r="CXZ284" s="1132" t="n"/>
      <c r="CYA284" s="1132" t="n"/>
      <c r="CYB284" s="1132" t="n"/>
      <c r="CYC284" s="1132" t="n"/>
      <c r="CYD284" s="1132" t="n"/>
      <c r="CYE284" s="1132" t="n"/>
      <c r="CYF284" s="1132" t="n"/>
      <c r="CYG284" s="1132" t="n"/>
      <c r="CYH284" s="1132" t="n"/>
      <c r="CYI284" s="1132" t="n"/>
      <c r="CYJ284" s="1132" t="n"/>
      <c r="CYK284" s="1132" t="n"/>
      <c r="CYL284" s="1132" t="n"/>
      <c r="CYM284" s="1132" t="n"/>
      <c r="CYN284" s="1132" t="n"/>
      <c r="CYO284" s="1132" t="n"/>
      <c r="CYP284" s="1132" t="n"/>
      <c r="CYQ284" s="1132" t="n"/>
      <c r="CYR284" s="1132" t="n"/>
      <c r="CYS284" s="1132" t="n"/>
      <c r="CYT284" s="1132" t="n"/>
      <c r="CYU284" s="1132" t="n"/>
      <c r="CYV284" s="1132" t="n"/>
      <c r="CYW284" s="1132" t="n"/>
      <c r="CYX284" s="1132" t="n"/>
      <c r="CYY284" s="1132" t="n"/>
      <c r="CYZ284" s="1132" t="n"/>
      <c r="CZA284" s="1132" t="n"/>
      <c r="CZB284" s="1132" t="n"/>
      <c r="CZC284" s="1132" t="n"/>
      <c r="CZD284" s="1132" t="n"/>
      <c r="CZE284" s="1132" t="n"/>
      <c r="CZF284" s="1132" t="n"/>
      <c r="CZG284" s="1132" t="n"/>
      <c r="CZH284" s="1132" t="n"/>
      <c r="CZI284" s="1132" t="n"/>
      <c r="CZJ284" s="1132" t="n"/>
      <c r="CZK284" s="1132" t="n"/>
      <c r="CZL284" s="1132" t="n"/>
      <c r="CZM284" s="1132" t="n"/>
      <c r="CZN284" s="1132" t="n"/>
      <c r="CZO284" s="1132" t="n"/>
      <c r="CZP284" s="1132" t="n"/>
      <c r="CZQ284" s="1132" t="n"/>
      <c r="CZR284" s="1132" t="n"/>
      <c r="CZS284" s="1132" t="n"/>
      <c r="CZT284" s="1132" t="n"/>
      <c r="CZU284" s="1132" t="n"/>
      <c r="CZV284" s="1132" t="n"/>
      <c r="CZW284" s="1132" t="n"/>
      <c r="CZX284" s="1132" t="n"/>
      <c r="CZY284" s="1132" t="n"/>
      <c r="CZZ284" s="1132" t="n"/>
      <c r="DAA284" s="1132" t="n"/>
      <c r="DAB284" s="1132" t="n"/>
      <c r="DAC284" s="1132" t="n"/>
      <c r="DAD284" s="1132" t="n"/>
      <c r="DAE284" s="1132" t="n"/>
      <c r="DAF284" s="1132" t="n"/>
      <c r="DAG284" s="1132" t="n"/>
      <c r="DAH284" s="1132" t="n"/>
      <c r="DAI284" s="1132" t="n"/>
      <c r="DAJ284" s="1132" t="n"/>
      <c r="DAK284" s="1132" t="n"/>
      <c r="DAL284" s="1132" t="n"/>
      <c r="DAM284" s="1132" t="n"/>
      <c r="DAN284" s="1132" t="n"/>
      <c r="DAO284" s="1132" t="n"/>
      <c r="DAP284" s="1132" t="n"/>
      <c r="DAQ284" s="1132" t="n"/>
      <c r="DAR284" s="1132" t="n"/>
      <c r="DAS284" s="1132" t="n"/>
      <c r="DAT284" s="1132" t="n"/>
      <c r="DAU284" s="1132" t="n"/>
      <c r="DAV284" s="1132" t="n"/>
      <c r="DAW284" s="1132" t="n"/>
      <c r="DAX284" s="1132" t="n"/>
      <c r="DAY284" s="1132" t="n"/>
      <c r="DAZ284" s="1132" t="n"/>
      <c r="DBA284" s="1132" t="n"/>
      <c r="DBB284" s="1132" t="n"/>
      <c r="DBC284" s="1132" t="n"/>
      <c r="DBD284" s="1132" t="n"/>
      <c r="DBE284" s="1132" t="n"/>
      <c r="DBF284" s="1132" t="n"/>
      <c r="DBG284" s="1132" t="n"/>
      <c r="DBH284" s="1132" t="n"/>
      <c r="DBI284" s="1132" t="n"/>
      <c r="DBJ284" s="1132" t="n"/>
      <c r="DBK284" s="1132" t="n"/>
      <c r="DBL284" s="1132" t="n"/>
      <c r="DBM284" s="1132" t="n"/>
      <c r="DBN284" s="1132" t="n"/>
      <c r="DBO284" s="1132" t="n"/>
      <c r="DBP284" s="1132" t="n"/>
      <c r="DBQ284" s="1132" t="n"/>
      <c r="DBR284" s="1132" t="n"/>
      <c r="DBS284" s="1132" t="n"/>
      <c r="DBT284" s="1132" t="n"/>
      <c r="DBU284" s="1132" t="n"/>
      <c r="DBV284" s="1132" t="n"/>
      <c r="DBW284" s="1132" t="n"/>
      <c r="DBX284" s="1132" t="n"/>
      <c r="DBY284" s="1132" t="n"/>
      <c r="DBZ284" s="1132" t="n"/>
      <c r="DCA284" s="1132" t="n"/>
      <c r="DCB284" s="1132" t="n"/>
      <c r="DCC284" s="1132" t="n"/>
      <c r="DCD284" s="1132" t="n"/>
      <c r="DCE284" s="1132" t="n"/>
      <c r="DCF284" s="1132" t="n"/>
      <c r="DCG284" s="1132" t="n"/>
      <c r="DCH284" s="1132" t="n"/>
      <c r="DCI284" s="1132" t="n"/>
      <c r="DCJ284" s="1132" t="n"/>
      <c r="DCK284" s="1132" t="n"/>
      <c r="DCL284" s="1132" t="n"/>
      <c r="DCM284" s="1132" t="n"/>
      <c r="DCN284" s="1132" t="n"/>
      <c r="DCO284" s="1132" t="n"/>
      <c r="DCP284" s="1132" t="n"/>
      <c r="DCQ284" s="1132" t="n"/>
      <c r="DCR284" s="1132" t="n"/>
      <c r="DCS284" s="1132" t="n"/>
      <c r="DCT284" s="1132" t="n"/>
      <c r="DCU284" s="1132" t="n"/>
      <c r="DCV284" s="1132" t="n"/>
      <c r="DCW284" s="1132" t="n"/>
      <c r="DCX284" s="1132" t="n"/>
      <c r="DCY284" s="1132" t="n"/>
      <c r="DCZ284" s="1132" t="n"/>
      <c r="DDA284" s="1132" t="n"/>
      <c r="DDB284" s="1132" t="n"/>
      <c r="DDC284" s="1132" t="n"/>
      <c r="DDD284" s="1132" t="n"/>
      <c r="DDE284" s="1132" t="n"/>
      <c r="DDF284" s="1132" t="n"/>
      <c r="DDG284" s="1132" t="n"/>
      <c r="DDH284" s="1132" t="n"/>
      <c r="DDI284" s="1132" t="n"/>
      <c r="DDJ284" s="1132" t="n"/>
      <c r="DDK284" s="1132" t="n"/>
      <c r="DDL284" s="1132" t="n"/>
      <c r="DDM284" s="1132" t="n"/>
      <c r="DDN284" s="1132" t="n"/>
      <c r="DDO284" s="1132" t="n"/>
      <c r="DDP284" s="1132" t="n"/>
      <c r="DDQ284" s="1132" t="n"/>
      <c r="DDR284" s="1132" t="n"/>
      <c r="DDS284" s="1132" t="n"/>
      <c r="DDT284" s="1132" t="n"/>
      <c r="DDU284" s="1132" t="n"/>
      <c r="DDV284" s="1132" t="n"/>
      <c r="DDW284" s="1132" t="n"/>
      <c r="DDX284" s="1132" t="n"/>
      <c r="DDY284" s="1132" t="n"/>
      <c r="DDZ284" s="1132" t="n"/>
      <c r="DEA284" s="1132" t="n"/>
      <c r="DEB284" s="1132" t="n"/>
      <c r="DEC284" s="1132" t="n"/>
      <c r="DED284" s="1132" t="n"/>
      <c r="DEE284" s="1132" t="n"/>
      <c r="DEF284" s="1132" t="n"/>
      <c r="DEG284" s="1132" t="n"/>
      <c r="DEH284" s="1132" t="n"/>
      <c r="DEI284" s="1132" t="n"/>
      <c r="DEJ284" s="1132" t="n"/>
      <c r="DEK284" s="1132" t="n"/>
      <c r="DEL284" s="1132" t="n"/>
      <c r="DEM284" s="1132" t="n"/>
      <c r="DEN284" s="1132" t="n"/>
      <c r="DEO284" s="1132" t="n"/>
      <c r="DEP284" s="1132" t="n"/>
      <c r="DEQ284" s="1132" t="n"/>
      <c r="DER284" s="1132" t="n"/>
      <c r="DES284" s="1132" t="n"/>
      <c r="DET284" s="1132" t="n"/>
      <c r="DEU284" s="1132" t="n"/>
      <c r="DEV284" s="1132" t="n"/>
      <c r="DEW284" s="1132" t="n"/>
      <c r="DEX284" s="1132" t="n"/>
      <c r="DEY284" s="1132" t="n"/>
      <c r="DEZ284" s="1132" t="n"/>
      <c r="DFA284" s="1132" t="n"/>
      <c r="DFB284" s="1132" t="n"/>
      <c r="DFC284" s="1132" t="n"/>
      <c r="DFD284" s="1132" t="n"/>
      <c r="DFE284" s="1132" t="n"/>
      <c r="DFF284" s="1132" t="n"/>
      <c r="DFG284" s="1132" t="n"/>
      <c r="DFH284" s="1132" t="n"/>
      <c r="DFI284" s="1132" t="n"/>
      <c r="DFJ284" s="1132" t="n"/>
      <c r="DFK284" s="1132" t="n"/>
      <c r="DFL284" s="1132" t="n"/>
      <c r="DFM284" s="1132" t="n"/>
      <c r="DFN284" s="1132" t="n"/>
      <c r="DFO284" s="1132" t="n"/>
      <c r="DFP284" s="1132" t="n"/>
      <c r="DFQ284" s="1132" t="n"/>
      <c r="DFR284" s="1132" t="n"/>
      <c r="DFS284" s="1132" t="n"/>
      <c r="DFT284" s="1132" t="n"/>
      <c r="DFU284" s="1132" t="n"/>
      <c r="DFV284" s="1132" t="n"/>
      <c r="DFW284" s="1132" t="n"/>
      <c r="DFX284" s="1132" t="n"/>
      <c r="DFY284" s="1132" t="n"/>
      <c r="DFZ284" s="1132" t="n"/>
      <c r="DGA284" s="1132" t="n"/>
      <c r="DGB284" s="1132" t="n"/>
      <c r="DGC284" s="1132" t="n"/>
      <c r="DGD284" s="1132" t="n"/>
      <c r="DGE284" s="1132" t="n"/>
      <c r="DGF284" s="1132" t="n"/>
      <c r="DGG284" s="1132" t="n"/>
      <c r="DGH284" s="1132" t="n"/>
      <c r="DGI284" s="1132" t="n"/>
      <c r="DGJ284" s="1132" t="n"/>
      <c r="DGK284" s="1132" t="n"/>
      <c r="DGL284" s="1132" t="n"/>
      <c r="DGM284" s="1132" t="n"/>
      <c r="DGN284" s="1132" t="n"/>
      <c r="DGO284" s="1132" t="n"/>
      <c r="DGP284" s="1132" t="n"/>
      <c r="DGQ284" s="1132" t="n"/>
      <c r="DGR284" s="1132" t="n"/>
      <c r="DGS284" s="1132" t="n"/>
      <c r="DGT284" s="1132" t="n"/>
      <c r="DGU284" s="1132" t="n"/>
      <c r="DGV284" s="1132" t="n"/>
      <c r="DGW284" s="1132" t="n"/>
      <c r="DGX284" s="1132" t="n"/>
      <c r="DGY284" s="1132" t="n"/>
      <c r="DGZ284" s="1132" t="n"/>
      <c r="DHA284" s="1132" t="n"/>
      <c r="DHB284" s="1132" t="n"/>
      <c r="DHC284" s="1132" t="n"/>
      <c r="DHD284" s="1132" t="n"/>
      <c r="DHE284" s="1132" t="n"/>
      <c r="DHF284" s="1132" t="n"/>
      <c r="DHG284" s="1132" t="n"/>
      <c r="DHH284" s="1132" t="n"/>
      <c r="DHI284" s="1132" t="n"/>
      <c r="DHJ284" s="1132" t="n"/>
      <c r="DHK284" s="1132" t="n"/>
      <c r="DHL284" s="1132" t="n"/>
      <c r="DHM284" s="1132" t="n"/>
      <c r="DHN284" s="1132" t="n"/>
      <c r="DHO284" s="1132" t="n"/>
      <c r="DHP284" s="1132" t="n"/>
      <c r="DHQ284" s="1132" t="n"/>
      <c r="DHR284" s="1132" t="n"/>
      <c r="DHS284" s="1132" t="n"/>
      <c r="DHT284" s="1132" t="n"/>
      <c r="DHU284" s="1132" t="n"/>
      <c r="DHV284" s="1132" t="n"/>
      <c r="DHW284" s="1132" t="n"/>
      <c r="DHX284" s="1132" t="n"/>
      <c r="DHY284" s="1132" t="n"/>
      <c r="DHZ284" s="1132" t="n"/>
      <c r="DIA284" s="1132" t="n"/>
      <c r="DIB284" s="1132" t="n"/>
      <c r="DIC284" s="1132" t="n"/>
      <c r="DID284" s="1132" t="n"/>
      <c r="DIE284" s="1132" t="n"/>
      <c r="DIF284" s="1132" t="n"/>
      <c r="DIG284" s="1132" t="n"/>
      <c r="DIH284" s="1132" t="n"/>
      <c r="DII284" s="1132" t="n"/>
      <c r="DIJ284" s="1132" t="n"/>
      <c r="DIK284" s="1132" t="n"/>
      <c r="DIL284" s="1132" t="n"/>
      <c r="DIM284" s="1132" t="n"/>
      <c r="DIN284" s="1132" t="n"/>
      <c r="DIO284" s="1132" t="n"/>
      <c r="DIP284" s="1132" t="n"/>
      <c r="DIQ284" s="1132" t="n"/>
      <c r="DIR284" s="1132" t="n"/>
      <c r="DIS284" s="1132" t="n"/>
      <c r="DIT284" s="1132" t="n"/>
      <c r="DIU284" s="1132" t="n"/>
      <c r="DIV284" s="1132" t="n"/>
      <c r="DIW284" s="1132" t="n"/>
      <c r="DIX284" s="1132" t="n"/>
      <c r="DIY284" s="1132" t="n"/>
      <c r="DIZ284" s="1132" t="n"/>
      <c r="DJA284" s="1132" t="n"/>
      <c r="DJB284" s="1132" t="n"/>
      <c r="DJC284" s="1132" t="n"/>
      <c r="DJD284" s="1132" t="n"/>
      <c r="DJE284" s="1132" t="n"/>
      <c r="DJF284" s="1132" t="n"/>
      <c r="DJG284" s="1132" t="n"/>
      <c r="DJH284" s="1132" t="n"/>
      <c r="DJI284" s="1132" t="n"/>
      <c r="DJJ284" s="1132" t="n"/>
      <c r="DJK284" s="1132" t="n"/>
      <c r="DJL284" s="1132" t="n"/>
      <c r="DJM284" s="1132" t="n"/>
      <c r="DJN284" s="1132" t="n"/>
      <c r="DJO284" s="1132" t="n"/>
      <c r="DJP284" s="1132" t="n"/>
      <c r="DJQ284" s="1132" t="n"/>
      <c r="DJR284" s="1132" t="n"/>
      <c r="DJS284" s="1132" t="n"/>
      <c r="DJT284" s="1132" t="n"/>
      <c r="DJU284" s="1132" t="n"/>
      <c r="DJV284" s="1132" t="n"/>
      <c r="DJW284" s="1132" t="n"/>
      <c r="DJX284" s="1132" t="n"/>
      <c r="DJY284" s="1132" t="n"/>
      <c r="DJZ284" s="1132" t="n"/>
      <c r="DKA284" s="1132" t="n"/>
      <c r="DKB284" s="1132" t="n"/>
      <c r="DKC284" s="1132" t="n"/>
      <c r="DKD284" s="1132" t="n"/>
      <c r="DKE284" s="1132" t="n"/>
      <c r="DKF284" s="1132" t="n"/>
      <c r="DKG284" s="1132" t="n"/>
      <c r="DKH284" s="1132" t="n"/>
      <c r="DKI284" s="1132" t="n"/>
      <c r="DKJ284" s="1132" t="n"/>
      <c r="DKK284" s="1132" t="n"/>
      <c r="DKL284" s="1132" t="n"/>
      <c r="DKM284" s="1132" t="n"/>
      <c r="DKN284" s="1132" t="n"/>
      <c r="DKO284" s="1132" t="n"/>
      <c r="DKP284" s="1132" t="n"/>
      <c r="DKQ284" s="1132" t="n"/>
      <c r="DKR284" s="1132" t="n"/>
      <c r="DKS284" s="1132" t="n"/>
      <c r="DKT284" s="1132" t="n"/>
      <c r="DKU284" s="1132" t="n"/>
      <c r="DKV284" s="1132" t="n"/>
      <c r="DKW284" s="1132" t="n"/>
      <c r="DKX284" s="1132" t="n"/>
      <c r="DKY284" s="1132" t="n"/>
      <c r="DKZ284" s="1132" t="n"/>
      <c r="DLA284" s="1132" t="n"/>
      <c r="DLB284" s="1132" t="n"/>
      <c r="DLC284" s="1132" t="n"/>
      <c r="DLD284" s="1132" t="n"/>
      <c r="DLE284" s="1132" t="n"/>
      <c r="DLF284" s="1132" t="n"/>
      <c r="DLG284" s="1132" t="n"/>
      <c r="DLH284" s="1132" t="n"/>
      <c r="DLI284" s="1132" t="n"/>
      <c r="DLJ284" s="1132" t="n"/>
      <c r="DLK284" s="1132" t="n"/>
      <c r="DLL284" s="1132" t="n"/>
      <c r="DLM284" s="1132" t="n"/>
      <c r="DLN284" s="1132" t="n"/>
      <c r="DLO284" s="1132" t="n"/>
      <c r="DLP284" s="1132" t="n"/>
      <c r="DLQ284" s="1132" t="n"/>
      <c r="DLR284" s="1132" t="n"/>
      <c r="DLS284" s="1132" t="n"/>
      <c r="DLT284" s="1132" t="n"/>
      <c r="DLU284" s="1132" t="n"/>
      <c r="DLV284" s="1132" t="n"/>
      <c r="DLW284" s="1132" t="n"/>
      <c r="DLX284" s="1132" t="n"/>
      <c r="DLY284" s="1132" t="n"/>
      <c r="DLZ284" s="1132" t="n"/>
      <c r="DMA284" s="1132" t="n"/>
      <c r="DMB284" s="1132" t="n"/>
      <c r="DMC284" s="1132" t="n"/>
      <c r="DMD284" s="1132" t="n"/>
      <c r="DME284" s="1132" t="n"/>
      <c r="DMF284" s="1132" t="n"/>
      <c r="DMG284" s="1132" t="n"/>
      <c r="DMH284" s="1132" t="n"/>
      <c r="DMI284" s="1132" t="n"/>
      <c r="DMJ284" s="1132" t="n"/>
      <c r="DMK284" s="1132" t="n"/>
      <c r="DML284" s="1132" t="n"/>
      <c r="DMM284" s="1132" t="n"/>
      <c r="DMN284" s="1132" t="n"/>
      <c r="DMO284" s="1132" t="n"/>
      <c r="DMP284" s="1132" t="n"/>
      <c r="DMQ284" s="1132" t="n"/>
      <c r="DMR284" s="1132" t="n"/>
      <c r="DMS284" s="1132" t="n"/>
      <c r="DMT284" s="1132" t="n"/>
      <c r="DMU284" s="1132" t="n"/>
      <c r="DMV284" s="1132" t="n"/>
      <c r="DMW284" s="1132" t="n"/>
      <c r="DMX284" s="1132" t="n"/>
      <c r="DMY284" s="1132" t="n"/>
      <c r="DMZ284" s="1132" t="n"/>
      <c r="DNA284" s="1132" t="n"/>
      <c r="DNB284" s="1132" t="n"/>
      <c r="DNC284" s="1132" t="n"/>
      <c r="DND284" s="1132" t="n"/>
      <c r="DNE284" s="1132" t="n"/>
      <c r="DNF284" s="1132" t="n"/>
      <c r="DNG284" s="1132" t="n"/>
      <c r="DNH284" s="1132" t="n"/>
      <c r="DNI284" s="1132" t="n"/>
      <c r="DNJ284" s="1132" t="n"/>
      <c r="DNK284" s="1132" t="n"/>
      <c r="DNL284" s="1132" t="n"/>
      <c r="DNM284" s="1132" t="n"/>
      <c r="DNN284" s="1132" t="n"/>
      <c r="DNO284" s="1132" t="n"/>
      <c r="DNP284" s="1132" t="n"/>
      <c r="DNQ284" s="1132" t="n"/>
      <c r="DNR284" s="1132" t="n"/>
      <c r="DNS284" s="1132" t="n"/>
      <c r="DNT284" s="1132" t="n"/>
      <c r="DNU284" s="1132" t="n"/>
      <c r="DNV284" s="1132" t="n"/>
      <c r="DNW284" s="1132" t="n"/>
      <c r="DNX284" s="1132" t="n"/>
      <c r="DNY284" s="1132" t="n"/>
      <c r="DNZ284" s="1132" t="n"/>
      <c r="DOA284" s="1132" t="n"/>
      <c r="DOB284" s="1132" t="n"/>
      <c r="DOC284" s="1132" t="n"/>
      <c r="DOD284" s="1132" t="n"/>
      <c r="DOE284" s="1132" t="n"/>
      <c r="DOF284" s="1132" t="n"/>
      <c r="DOG284" s="1132" t="n"/>
      <c r="DOH284" s="1132" t="n"/>
      <c r="DOI284" s="1132" t="n"/>
      <c r="DOJ284" s="1132" t="n"/>
      <c r="DOK284" s="1132" t="n"/>
      <c r="DOL284" s="1132" t="n"/>
      <c r="DOM284" s="1132" t="n"/>
      <c r="DON284" s="1132" t="n"/>
      <c r="DOO284" s="1132" t="n"/>
      <c r="DOP284" s="1132" t="n"/>
      <c r="DOQ284" s="1132" t="n"/>
      <c r="DOR284" s="1132" t="n"/>
      <c r="DOS284" s="1132" t="n"/>
      <c r="DOT284" s="1132" t="n"/>
      <c r="DOU284" s="1132" t="n"/>
      <c r="DOV284" s="1132" t="n"/>
      <c r="DOW284" s="1132" t="n"/>
      <c r="DOX284" s="1132" t="n"/>
      <c r="DOY284" s="1132" t="n"/>
      <c r="DOZ284" s="1132" t="n"/>
      <c r="DPA284" s="1132" t="n"/>
      <c r="DPB284" s="1132" t="n"/>
      <c r="DPC284" s="1132" t="n"/>
      <c r="DPD284" s="1132" t="n"/>
      <c r="DPE284" s="1132" t="n"/>
      <c r="DPF284" s="1132" t="n"/>
      <c r="DPG284" s="1132" t="n"/>
      <c r="DPH284" s="1132" t="n"/>
      <c r="DPI284" s="1132" t="n"/>
      <c r="DPJ284" s="1132" t="n"/>
      <c r="DPK284" s="1132" t="n"/>
      <c r="DPL284" s="1132" t="n"/>
      <c r="DPM284" s="1132" t="n"/>
      <c r="DPN284" s="1132" t="n"/>
      <c r="DPO284" s="1132" t="n"/>
      <c r="DPP284" s="1132" t="n"/>
      <c r="DPQ284" s="1132" t="n"/>
      <c r="DPR284" s="1132" t="n"/>
      <c r="DPS284" s="1132" t="n"/>
      <c r="DPT284" s="1132" t="n"/>
      <c r="DPU284" s="1132" t="n"/>
      <c r="DPV284" s="1132" t="n"/>
      <c r="DPW284" s="1132" t="n"/>
      <c r="DPX284" s="1132" t="n"/>
      <c r="DPY284" s="1132" t="n"/>
      <c r="DPZ284" s="1132" t="n"/>
      <c r="DQA284" s="1132" t="n"/>
      <c r="DQB284" s="1132" t="n"/>
      <c r="DQC284" s="1132" t="n"/>
      <c r="DQD284" s="1132" t="n"/>
      <c r="DQE284" s="1132" t="n"/>
      <c r="DQF284" s="1132" t="n"/>
      <c r="DQG284" s="1132" t="n"/>
      <c r="DQH284" s="1132" t="n"/>
      <c r="DQI284" s="1132" t="n"/>
      <c r="DQJ284" s="1132" t="n"/>
      <c r="DQK284" s="1132" t="n"/>
      <c r="DQL284" s="1132" t="n"/>
      <c r="DQM284" s="1132" t="n"/>
      <c r="DQN284" s="1132" t="n"/>
      <c r="DQO284" s="1132" t="n"/>
      <c r="DQP284" s="1132" t="n"/>
      <c r="DQQ284" s="1132" t="n"/>
      <c r="DQR284" s="1132" t="n"/>
      <c r="DQS284" s="1132" t="n"/>
      <c r="DQT284" s="1132" t="n"/>
      <c r="DQU284" s="1132" t="n"/>
      <c r="DQV284" s="1132" t="n"/>
      <c r="DQW284" s="1132" t="n"/>
      <c r="DQX284" s="1132" t="n"/>
      <c r="DQY284" s="1132" t="n"/>
      <c r="DQZ284" s="1132" t="n"/>
      <c r="DRA284" s="1132" t="n"/>
      <c r="DRB284" s="1132" t="n"/>
      <c r="DRC284" s="1132" t="n"/>
      <c r="DRD284" s="1132" t="n"/>
      <c r="DRE284" s="1132" t="n"/>
      <c r="DRF284" s="1132" t="n"/>
      <c r="DRG284" s="1132" t="n"/>
      <c r="DRH284" s="1132" t="n"/>
      <c r="DRI284" s="1132" t="n"/>
      <c r="DRJ284" s="1132" t="n"/>
      <c r="DRK284" s="1132" t="n"/>
      <c r="DRL284" s="1132" t="n"/>
      <c r="DRM284" s="1132" t="n"/>
      <c r="DRN284" s="1132" t="n"/>
      <c r="DRO284" s="1132" t="n"/>
      <c r="DRP284" s="1132" t="n"/>
      <c r="DRQ284" s="1132" t="n"/>
      <c r="DRR284" s="1132" t="n"/>
      <c r="DRS284" s="1132" t="n"/>
      <c r="DRT284" s="1132" t="n"/>
      <c r="DRU284" s="1132" t="n"/>
      <c r="DRV284" s="1132" t="n"/>
      <c r="DRW284" s="1132" t="n"/>
      <c r="DRX284" s="1132" t="n"/>
      <c r="DRY284" s="1132" t="n"/>
      <c r="DRZ284" s="1132" t="n"/>
      <c r="DSA284" s="1132" t="n"/>
      <c r="DSB284" s="1132" t="n"/>
      <c r="DSC284" s="1132" t="n"/>
      <c r="DSD284" s="1132" t="n"/>
      <c r="DSE284" s="1132" t="n"/>
      <c r="DSF284" s="1132" t="n"/>
      <c r="DSG284" s="1132" t="n"/>
      <c r="DSH284" s="1132" t="n"/>
      <c r="DSI284" s="1132" t="n"/>
      <c r="DSJ284" s="1132" t="n"/>
      <c r="DSK284" s="1132" t="n"/>
      <c r="DSL284" s="1132" t="n"/>
      <c r="DSM284" s="1132" t="n"/>
      <c r="DSN284" s="1132" t="n"/>
      <c r="DSO284" s="1132" t="n"/>
      <c r="DSP284" s="1132" t="n"/>
      <c r="DSQ284" s="1132" t="n"/>
      <c r="DSR284" s="1132" t="n"/>
      <c r="DSS284" s="1132" t="n"/>
      <c r="DST284" s="1132" t="n"/>
      <c r="DSU284" s="1132" t="n"/>
      <c r="DSV284" s="1132" t="n"/>
      <c r="DSW284" s="1132" t="n"/>
      <c r="DSX284" s="1132" t="n"/>
      <c r="DSY284" s="1132" t="n"/>
      <c r="DSZ284" s="1132" t="n"/>
      <c r="DTA284" s="1132" t="n"/>
      <c r="DTB284" s="1132" t="n"/>
      <c r="DTC284" s="1132" t="n"/>
      <c r="DTD284" s="1132" t="n"/>
      <c r="DTE284" s="1132" t="n"/>
      <c r="DTF284" s="1132" t="n"/>
      <c r="DTG284" s="1132" t="n"/>
      <c r="DTH284" s="1132" t="n"/>
      <c r="DTI284" s="1132" t="n"/>
      <c r="DTJ284" s="1132" t="n"/>
      <c r="DTK284" s="1132" t="n"/>
      <c r="DTL284" s="1132" t="n"/>
      <c r="DTM284" s="1132" t="n"/>
      <c r="DTN284" s="1132" t="n"/>
      <c r="DTO284" s="1132" t="n"/>
      <c r="DTP284" s="1132" t="n"/>
      <c r="DTQ284" s="1132" t="n"/>
      <c r="DTR284" s="1132" t="n"/>
      <c r="DTS284" s="1132" t="n"/>
      <c r="DTT284" s="1132" t="n"/>
      <c r="DTU284" s="1132" t="n"/>
      <c r="DTV284" s="1132" t="n"/>
      <c r="DTW284" s="1132" t="n"/>
      <c r="DTX284" s="1132" t="n"/>
      <c r="DTY284" s="1132" t="n"/>
      <c r="DTZ284" s="1132" t="n"/>
      <c r="DUA284" s="1132" t="n"/>
      <c r="DUB284" s="1132" t="n"/>
      <c r="DUC284" s="1132" t="n"/>
      <c r="DUD284" s="1132" t="n"/>
      <c r="DUE284" s="1132" t="n"/>
      <c r="DUF284" s="1132" t="n"/>
      <c r="DUG284" s="1132" t="n"/>
      <c r="DUH284" s="1132" t="n"/>
      <c r="DUI284" s="1132" t="n"/>
      <c r="DUJ284" s="1132" t="n"/>
      <c r="DUK284" s="1132" t="n"/>
      <c r="DUL284" s="1132" t="n"/>
      <c r="DUM284" s="1132" t="n"/>
      <c r="DUN284" s="1132" t="n"/>
      <c r="DUO284" s="1132" t="n"/>
      <c r="DUP284" s="1132" t="n"/>
      <c r="DUQ284" s="1132" t="n"/>
      <c r="DUR284" s="1132" t="n"/>
      <c r="DUS284" s="1132" t="n"/>
      <c r="DUT284" s="1132" t="n"/>
      <c r="DUU284" s="1132" t="n"/>
      <c r="DUV284" s="1132" t="n"/>
      <c r="DUW284" s="1132" t="n"/>
      <c r="DUX284" s="1132" t="n"/>
      <c r="DUY284" s="1132" t="n"/>
      <c r="DUZ284" s="1132" t="n"/>
      <c r="DVA284" s="1132" t="n"/>
      <c r="DVB284" s="1132" t="n"/>
      <c r="DVC284" s="1132" t="n"/>
      <c r="DVD284" s="1132" t="n"/>
      <c r="DVE284" s="1132" t="n"/>
      <c r="DVF284" s="1132" t="n"/>
      <c r="DVG284" s="1132" t="n"/>
      <c r="DVH284" s="1132" t="n"/>
      <c r="DVI284" s="1132" t="n"/>
      <c r="DVJ284" s="1132" t="n"/>
      <c r="DVK284" s="1132" t="n"/>
      <c r="DVL284" s="1132" t="n"/>
      <c r="DVM284" s="1132" t="n"/>
      <c r="DVN284" s="1132" t="n"/>
      <c r="DVO284" s="1132" t="n"/>
      <c r="DVP284" s="1132" t="n"/>
      <c r="DVQ284" s="1132" t="n"/>
      <c r="DVR284" s="1132" t="n"/>
      <c r="DVS284" s="1132" t="n"/>
      <c r="DVT284" s="1132" t="n"/>
      <c r="DVU284" s="1132" t="n"/>
      <c r="DVV284" s="1132" t="n"/>
      <c r="DVW284" s="1132" t="n"/>
      <c r="DVX284" s="1132" t="n"/>
      <c r="DVY284" s="1132" t="n"/>
      <c r="DVZ284" s="1132" t="n"/>
      <c r="DWA284" s="1132" t="n"/>
      <c r="DWB284" s="1132" t="n"/>
      <c r="DWC284" s="1132" t="n"/>
      <c r="DWD284" s="1132" t="n"/>
      <c r="DWE284" s="1132" t="n"/>
      <c r="DWF284" s="1132" t="n"/>
      <c r="DWG284" s="1132" t="n"/>
      <c r="DWH284" s="1132" t="n"/>
      <c r="DWI284" s="1132" t="n"/>
      <c r="DWJ284" s="1132" t="n"/>
      <c r="DWK284" s="1132" t="n"/>
      <c r="DWL284" s="1132" t="n"/>
      <c r="DWM284" s="1132" t="n"/>
      <c r="DWN284" s="1132" t="n"/>
      <c r="DWO284" s="1132" t="n"/>
      <c r="DWP284" s="1132" t="n"/>
      <c r="DWQ284" s="1132" t="n"/>
      <c r="DWR284" s="1132" t="n"/>
      <c r="DWS284" s="1132" t="n"/>
      <c r="DWT284" s="1132" t="n"/>
      <c r="DWU284" s="1132" t="n"/>
      <c r="DWV284" s="1132" t="n"/>
      <c r="DWW284" s="1132" t="n"/>
      <c r="DWX284" s="1132" t="n"/>
      <c r="DWY284" s="1132" t="n"/>
      <c r="DWZ284" s="1132" t="n"/>
      <c r="DXA284" s="1132" t="n"/>
      <c r="DXB284" s="1132" t="n"/>
      <c r="DXC284" s="1132" t="n"/>
      <c r="DXD284" s="1132" t="n"/>
      <c r="DXE284" s="1132" t="n"/>
      <c r="DXF284" s="1132" t="n"/>
      <c r="DXG284" s="1132" t="n"/>
      <c r="DXH284" s="1132" t="n"/>
      <c r="DXI284" s="1132" t="n"/>
      <c r="DXJ284" s="1132" t="n"/>
      <c r="DXK284" s="1132" t="n"/>
      <c r="DXL284" s="1132" t="n"/>
      <c r="DXM284" s="1132" t="n"/>
      <c r="DXN284" s="1132" t="n"/>
      <c r="DXO284" s="1132" t="n"/>
      <c r="DXP284" s="1132" t="n"/>
      <c r="DXQ284" s="1132" t="n"/>
      <c r="DXR284" s="1132" t="n"/>
      <c r="DXS284" s="1132" t="n"/>
      <c r="DXT284" s="1132" t="n"/>
      <c r="DXU284" s="1132" t="n"/>
      <c r="DXV284" s="1132" t="n"/>
      <c r="DXW284" s="1132" t="n"/>
      <c r="DXX284" s="1132" t="n"/>
      <c r="DXY284" s="1132" t="n"/>
      <c r="DXZ284" s="1132" t="n"/>
      <c r="DYA284" s="1132" t="n"/>
      <c r="DYB284" s="1132" t="n"/>
      <c r="DYC284" s="1132" t="n"/>
      <c r="DYD284" s="1132" t="n"/>
      <c r="DYE284" s="1132" t="n"/>
      <c r="DYF284" s="1132" t="n"/>
      <c r="DYG284" s="1132" t="n"/>
      <c r="DYH284" s="1132" t="n"/>
      <c r="DYI284" s="1132" t="n"/>
      <c r="DYJ284" s="1132" t="n"/>
      <c r="DYK284" s="1132" t="n"/>
      <c r="DYL284" s="1132" t="n"/>
      <c r="DYM284" s="1132" t="n"/>
      <c r="DYN284" s="1132" t="n"/>
      <c r="DYO284" s="1132" t="n"/>
      <c r="DYP284" s="1132" t="n"/>
      <c r="DYQ284" s="1132" t="n"/>
      <c r="DYR284" s="1132" t="n"/>
      <c r="DYS284" s="1132" t="n"/>
      <c r="DYT284" s="1132" t="n"/>
      <c r="DYU284" s="1132" t="n"/>
      <c r="DYV284" s="1132" t="n"/>
      <c r="DYW284" s="1132" t="n"/>
      <c r="DYX284" s="1132" t="n"/>
      <c r="DYY284" s="1132" t="n"/>
      <c r="DYZ284" s="1132" t="n"/>
      <c r="DZA284" s="1132" t="n"/>
      <c r="DZB284" s="1132" t="n"/>
      <c r="DZC284" s="1132" t="n"/>
      <c r="DZD284" s="1132" t="n"/>
      <c r="DZE284" s="1132" t="n"/>
      <c r="DZF284" s="1132" t="n"/>
      <c r="DZG284" s="1132" t="n"/>
      <c r="DZH284" s="1132" t="n"/>
      <c r="DZI284" s="1132" t="n"/>
      <c r="DZJ284" s="1132" t="n"/>
      <c r="DZK284" s="1132" t="n"/>
      <c r="DZL284" s="1132" t="n"/>
      <c r="DZM284" s="1132" t="n"/>
      <c r="DZN284" s="1132" t="n"/>
      <c r="DZO284" s="1132" t="n"/>
      <c r="DZP284" s="1132" t="n"/>
      <c r="DZQ284" s="1132" t="n"/>
      <c r="DZR284" s="1132" t="n"/>
      <c r="DZS284" s="1132" t="n"/>
      <c r="DZT284" s="1132" t="n"/>
      <c r="DZU284" s="1132" t="n"/>
      <c r="DZV284" s="1132" t="n"/>
      <c r="DZW284" s="1132" t="n"/>
      <c r="DZX284" s="1132" t="n"/>
      <c r="DZY284" s="1132" t="n"/>
      <c r="DZZ284" s="1132" t="n"/>
      <c r="EAA284" s="1132" t="n"/>
      <c r="EAB284" s="1132" t="n"/>
      <c r="EAC284" s="1132" t="n"/>
      <c r="EAD284" s="1132" t="n"/>
      <c r="EAE284" s="1132" t="n"/>
      <c r="EAF284" s="1132" t="n"/>
      <c r="EAG284" s="1132" t="n"/>
      <c r="EAH284" s="1132" t="n"/>
      <c r="EAI284" s="1132" t="n"/>
      <c r="EAJ284" s="1132" t="n"/>
      <c r="EAK284" s="1132" t="n"/>
      <c r="EAL284" s="1132" t="n"/>
      <c r="EAM284" s="1132" t="n"/>
      <c r="EAN284" s="1132" t="n"/>
      <c r="EAO284" s="1132" t="n"/>
      <c r="EAP284" s="1132" t="n"/>
      <c r="EAQ284" s="1132" t="n"/>
      <c r="EAR284" s="1132" t="n"/>
      <c r="EAS284" s="1132" t="n"/>
      <c r="EAT284" s="1132" t="n"/>
      <c r="EAU284" s="1132" t="n"/>
      <c r="EAV284" s="1132" t="n"/>
      <c r="EAW284" s="1132" t="n"/>
      <c r="EAX284" s="1132" t="n"/>
      <c r="EAY284" s="1132" t="n"/>
      <c r="EAZ284" s="1132" t="n"/>
      <c r="EBA284" s="1132" t="n"/>
      <c r="EBB284" s="1132" t="n"/>
      <c r="EBC284" s="1132" t="n"/>
      <c r="EBD284" s="1132" t="n"/>
      <c r="EBE284" s="1132" t="n"/>
      <c r="EBF284" s="1132" t="n"/>
      <c r="EBG284" s="1132" t="n"/>
      <c r="EBH284" s="1132" t="n"/>
      <c r="EBI284" s="1132" t="n"/>
      <c r="EBJ284" s="1132" t="n"/>
      <c r="EBK284" s="1132" t="n"/>
      <c r="EBL284" s="1132" t="n"/>
      <c r="EBM284" s="1132" t="n"/>
      <c r="EBN284" s="1132" t="n"/>
      <c r="EBO284" s="1132" t="n"/>
      <c r="EBP284" s="1132" t="n"/>
      <c r="EBQ284" s="1132" t="n"/>
      <c r="EBR284" s="1132" t="n"/>
      <c r="EBS284" s="1132" t="n"/>
      <c r="EBT284" s="1132" t="n"/>
      <c r="EBU284" s="1132" t="n"/>
      <c r="EBV284" s="1132" t="n"/>
      <c r="EBW284" s="1132" t="n"/>
      <c r="EBX284" s="1132" t="n"/>
      <c r="EBY284" s="1132" t="n"/>
      <c r="EBZ284" s="1132" t="n"/>
      <c r="ECA284" s="1132" t="n"/>
      <c r="ECB284" s="1132" t="n"/>
      <c r="ECC284" s="1132" t="n"/>
      <c r="ECD284" s="1132" t="n"/>
      <c r="ECE284" s="1132" t="n"/>
      <c r="ECF284" s="1132" t="n"/>
      <c r="ECG284" s="1132" t="n"/>
      <c r="ECH284" s="1132" t="n"/>
      <c r="ECI284" s="1132" t="n"/>
      <c r="ECJ284" s="1132" t="n"/>
      <c r="ECK284" s="1132" t="n"/>
      <c r="ECL284" s="1132" t="n"/>
      <c r="ECM284" s="1132" t="n"/>
      <c r="ECN284" s="1132" t="n"/>
      <c r="ECO284" s="1132" t="n"/>
      <c r="ECP284" s="1132" t="n"/>
      <c r="ECQ284" s="1132" t="n"/>
      <c r="ECR284" s="1132" t="n"/>
      <c r="ECS284" s="1132" t="n"/>
      <c r="ECT284" s="1132" t="n"/>
      <c r="ECU284" s="1132" t="n"/>
      <c r="ECV284" s="1132" t="n"/>
      <c r="ECW284" s="1132" t="n"/>
      <c r="ECX284" s="1132" t="n"/>
      <c r="ECY284" s="1132" t="n"/>
      <c r="ECZ284" s="1132" t="n"/>
      <c r="EDA284" s="1132" t="n"/>
      <c r="EDB284" s="1132" t="n"/>
      <c r="EDC284" s="1132" t="n"/>
      <c r="EDD284" s="1132" t="n"/>
      <c r="EDE284" s="1132" t="n"/>
      <c r="EDF284" s="1132" t="n"/>
      <c r="EDG284" s="1132" t="n"/>
      <c r="EDH284" s="1132" t="n"/>
      <c r="EDI284" s="1132" t="n"/>
      <c r="EDJ284" s="1132" t="n"/>
      <c r="EDK284" s="1132" t="n"/>
      <c r="EDL284" s="1132" t="n"/>
      <c r="EDM284" s="1132" t="n"/>
      <c r="EDN284" s="1132" t="n"/>
      <c r="EDO284" s="1132" t="n"/>
      <c r="EDP284" s="1132" t="n"/>
      <c r="EDQ284" s="1132" t="n"/>
      <c r="EDR284" s="1132" t="n"/>
      <c r="EDS284" s="1132" t="n"/>
      <c r="EDT284" s="1132" t="n"/>
      <c r="EDU284" s="1132" t="n"/>
      <c r="EDV284" s="1132" t="n"/>
      <c r="EDW284" s="1132" t="n"/>
      <c r="EDX284" s="1132" t="n"/>
      <c r="EDY284" s="1132" t="n"/>
      <c r="EDZ284" s="1132" t="n"/>
      <c r="EEA284" s="1132" t="n"/>
      <c r="EEB284" s="1132" t="n"/>
      <c r="EEC284" s="1132" t="n"/>
      <c r="EED284" s="1132" t="n"/>
      <c r="EEE284" s="1132" t="n"/>
      <c r="EEF284" s="1132" t="n"/>
      <c r="EEG284" s="1132" t="n"/>
      <c r="EEH284" s="1132" t="n"/>
      <c r="EEI284" s="1132" t="n"/>
      <c r="EEJ284" s="1132" t="n"/>
      <c r="EEK284" s="1132" t="n"/>
      <c r="EEL284" s="1132" t="n"/>
      <c r="EEM284" s="1132" t="n"/>
      <c r="EEN284" s="1132" t="n"/>
      <c r="EEO284" s="1132" t="n"/>
      <c r="EEP284" s="1132" t="n"/>
      <c r="EEQ284" s="1132" t="n"/>
      <c r="EER284" s="1132" t="n"/>
      <c r="EES284" s="1132" t="n"/>
      <c r="EET284" s="1132" t="n"/>
      <c r="EEU284" s="1132" t="n"/>
      <c r="EEV284" s="1132" t="n"/>
      <c r="EEW284" s="1132" t="n"/>
      <c r="EEX284" s="1132" t="n"/>
      <c r="EEY284" s="1132" t="n"/>
      <c r="EEZ284" s="1132" t="n"/>
      <c r="EFA284" s="1132" t="n"/>
      <c r="EFB284" s="1132" t="n"/>
      <c r="EFC284" s="1132" t="n"/>
      <c r="EFD284" s="1132" t="n"/>
      <c r="EFE284" s="1132" t="n"/>
      <c r="EFF284" s="1132" t="n"/>
      <c r="EFG284" s="1132" t="n"/>
      <c r="EFH284" s="1132" t="n"/>
      <c r="EFI284" s="1132" t="n"/>
      <c r="EFJ284" s="1132" t="n"/>
      <c r="EFK284" s="1132" t="n"/>
      <c r="EFL284" s="1132" t="n"/>
      <c r="EFM284" s="1132" t="n"/>
      <c r="EFN284" s="1132" t="n"/>
      <c r="EFO284" s="1132" t="n"/>
      <c r="EFP284" s="1132" t="n"/>
      <c r="EFQ284" s="1132" t="n"/>
      <c r="EFR284" s="1132" t="n"/>
      <c r="EFS284" s="1132" t="n"/>
      <c r="EFT284" s="1132" t="n"/>
      <c r="EFU284" s="1132" t="n"/>
      <c r="EFV284" s="1132" t="n"/>
      <c r="EFW284" s="1132" t="n"/>
      <c r="EFX284" s="1132" t="n"/>
      <c r="EFY284" s="1132" t="n"/>
      <c r="EFZ284" s="1132" t="n"/>
      <c r="EGA284" s="1132" t="n"/>
      <c r="EGB284" s="1132" t="n"/>
      <c r="EGC284" s="1132" t="n"/>
      <c r="EGD284" s="1132" t="n"/>
      <c r="EGE284" s="1132" t="n"/>
      <c r="EGF284" s="1132" t="n"/>
      <c r="EGG284" s="1132" t="n"/>
      <c r="EGH284" s="1132" t="n"/>
      <c r="EGI284" s="1132" t="n"/>
      <c r="EGJ284" s="1132" t="n"/>
      <c r="EGK284" s="1132" t="n"/>
      <c r="EGL284" s="1132" t="n"/>
      <c r="EGM284" s="1132" t="n"/>
      <c r="EGN284" s="1132" t="n"/>
      <c r="EGO284" s="1132" t="n"/>
      <c r="EGP284" s="1132" t="n"/>
      <c r="EGQ284" s="1132" t="n"/>
      <c r="EGR284" s="1132" t="n"/>
      <c r="EGS284" s="1132" t="n"/>
      <c r="EGT284" s="1132" t="n"/>
      <c r="EGU284" s="1132" t="n"/>
      <c r="EGV284" s="1132" t="n"/>
      <c r="EGW284" s="1132" t="n"/>
      <c r="EGX284" s="1132" t="n"/>
      <c r="EGY284" s="1132" t="n"/>
      <c r="EGZ284" s="1132" t="n"/>
      <c r="EHA284" s="1132" t="n"/>
      <c r="EHB284" s="1132" t="n"/>
      <c r="EHC284" s="1132" t="n"/>
      <c r="EHD284" s="1132" t="n"/>
      <c r="EHE284" s="1132" t="n"/>
      <c r="EHF284" s="1132" t="n"/>
      <c r="EHG284" s="1132" t="n"/>
      <c r="EHH284" s="1132" t="n"/>
      <c r="EHI284" s="1132" t="n"/>
      <c r="EHJ284" s="1132" t="n"/>
      <c r="EHK284" s="1132" t="n"/>
      <c r="EHL284" s="1132" t="n"/>
      <c r="EHM284" s="1132" t="n"/>
      <c r="EHN284" s="1132" t="n"/>
      <c r="EHO284" s="1132" t="n"/>
      <c r="EHP284" s="1132" t="n"/>
      <c r="EHQ284" s="1132" t="n"/>
      <c r="EHR284" s="1132" t="n"/>
      <c r="EHS284" s="1132" t="n"/>
      <c r="EHT284" s="1132" t="n"/>
      <c r="EHU284" s="1132" t="n"/>
      <c r="EHV284" s="1132" t="n"/>
      <c r="EHW284" s="1132" t="n"/>
      <c r="EHX284" s="1132" t="n"/>
      <c r="EHY284" s="1132" t="n"/>
      <c r="EHZ284" s="1132" t="n"/>
      <c r="EIA284" s="1132" t="n"/>
      <c r="EIB284" s="1132" t="n"/>
      <c r="EIC284" s="1132" t="n"/>
      <c r="EID284" s="1132" t="n"/>
      <c r="EIE284" s="1132" t="n"/>
      <c r="EIF284" s="1132" t="n"/>
      <c r="EIG284" s="1132" t="n"/>
      <c r="EIH284" s="1132" t="n"/>
      <c r="EII284" s="1132" t="n"/>
      <c r="EIJ284" s="1132" t="n"/>
      <c r="EIK284" s="1132" t="n"/>
      <c r="EIL284" s="1132" t="n"/>
      <c r="EIM284" s="1132" t="n"/>
      <c r="EIN284" s="1132" t="n"/>
      <c r="EIO284" s="1132" t="n"/>
      <c r="EIP284" s="1132" t="n"/>
      <c r="EIQ284" s="1132" t="n"/>
      <c r="EIR284" s="1132" t="n"/>
      <c r="EIS284" s="1132" t="n"/>
      <c r="EIT284" s="1132" t="n"/>
      <c r="EIU284" s="1132" t="n"/>
      <c r="EIV284" s="1132" t="n"/>
      <c r="EIW284" s="1132" t="n"/>
      <c r="EIX284" s="1132" t="n"/>
      <c r="EIY284" s="1132" t="n"/>
      <c r="EIZ284" s="1132" t="n"/>
      <c r="EJA284" s="1132" t="n"/>
      <c r="EJB284" s="1132" t="n"/>
      <c r="EJC284" s="1132" t="n"/>
      <c r="EJD284" s="1132" t="n"/>
      <c r="EJE284" s="1132" t="n"/>
      <c r="EJF284" s="1132" t="n"/>
      <c r="EJG284" s="1132" t="n"/>
      <c r="EJH284" s="1132" t="n"/>
      <c r="EJI284" s="1132" t="n"/>
      <c r="EJJ284" s="1132" t="n"/>
      <c r="EJK284" s="1132" t="n"/>
      <c r="EJL284" s="1132" t="n"/>
      <c r="EJM284" s="1132" t="n"/>
      <c r="EJN284" s="1132" t="n"/>
      <c r="EJO284" s="1132" t="n"/>
      <c r="EJP284" s="1132" t="n"/>
      <c r="EJQ284" s="1132" t="n"/>
      <c r="EJR284" s="1132" t="n"/>
      <c r="EJS284" s="1132" t="n"/>
      <c r="EJT284" s="1132" t="n"/>
      <c r="EJU284" s="1132" t="n"/>
      <c r="EJV284" s="1132" t="n"/>
      <c r="EJW284" s="1132" t="n"/>
      <c r="EJX284" s="1132" t="n"/>
      <c r="EJY284" s="1132" t="n"/>
      <c r="EJZ284" s="1132" t="n"/>
      <c r="EKA284" s="1132" t="n"/>
      <c r="EKB284" s="1132" t="n"/>
      <c r="EKC284" s="1132" t="n"/>
      <c r="EKD284" s="1132" t="n"/>
      <c r="EKE284" s="1132" t="n"/>
      <c r="EKF284" s="1132" t="n"/>
      <c r="EKG284" s="1132" t="n"/>
      <c r="EKH284" s="1132" t="n"/>
      <c r="EKI284" s="1132" t="n"/>
      <c r="EKJ284" s="1132" t="n"/>
      <c r="EKK284" s="1132" t="n"/>
      <c r="EKL284" s="1132" t="n"/>
      <c r="EKM284" s="1132" t="n"/>
      <c r="EKN284" s="1132" t="n"/>
      <c r="EKO284" s="1132" t="n"/>
      <c r="EKP284" s="1132" t="n"/>
      <c r="EKQ284" s="1132" t="n"/>
      <c r="EKR284" s="1132" t="n"/>
      <c r="EKS284" s="1132" t="n"/>
      <c r="EKT284" s="1132" t="n"/>
      <c r="EKU284" s="1132" t="n"/>
      <c r="EKV284" s="1132" t="n"/>
      <c r="EKW284" s="1132" t="n"/>
      <c r="EKX284" s="1132" t="n"/>
      <c r="EKY284" s="1132" t="n"/>
      <c r="EKZ284" s="1132" t="n"/>
      <c r="ELA284" s="1132" t="n"/>
      <c r="ELB284" s="1132" t="n"/>
      <c r="ELC284" s="1132" t="n"/>
      <c r="ELD284" s="1132" t="n"/>
      <c r="ELE284" s="1132" t="n"/>
      <c r="ELF284" s="1132" t="n"/>
      <c r="ELG284" s="1132" t="n"/>
      <c r="ELH284" s="1132" t="n"/>
      <c r="ELI284" s="1132" t="n"/>
      <c r="ELJ284" s="1132" t="n"/>
      <c r="ELK284" s="1132" t="n"/>
      <c r="ELL284" s="1132" t="n"/>
      <c r="ELM284" s="1132" t="n"/>
      <c r="ELN284" s="1132" t="n"/>
      <c r="ELO284" s="1132" t="n"/>
      <c r="ELP284" s="1132" t="n"/>
      <c r="ELQ284" s="1132" t="n"/>
      <c r="ELR284" s="1132" t="n"/>
      <c r="ELS284" s="1132" t="n"/>
      <c r="ELT284" s="1132" t="n"/>
      <c r="ELU284" s="1132" t="n"/>
      <c r="ELV284" s="1132" t="n"/>
      <c r="ELW284" s="1132" t="n"/>
      <c r="ELX284" s="1132" t="n"/>
      <c r="ELY284" s="1132" t="n"/>
      <c r="ELZ284" s="1132" t="n"/>
      <c r="EMA284" s="1132" t="n"/>
      <c r="EMB284" s="1132" t="n"/>
      <c r="EMC284" s="1132" t="n"/>
      <c r="EMD284" s="1132" t="n"/>
      <c r="EME284" s="1132" t="n"/>
      <c r="EMF284" s="1132" t="n"/>
      <c r="EMG284" s="1132" t="n"/>
      <c r="EMH284" s="1132" t="n"/>
      <c r="EMI284" s="1132" t="n"/>
      <c r="EMJ284" s="1132" t="n"/>
      <c r="EMK284" s="1132" t="n"/>
      <c r="EML284" s="1132" t="n"/>
      <c r="EMM284" s="1132" t="n"/>
      <c r="EMN284" s="1132" t="n"/>
      <c r="EMO284" s="1132" t="n"/>
      <c r="EMP284" s="1132" t="n"/>
      <c r="EMQ284" s="1132" t="n"/>
      <c r="EMR284" s="1132" t="n"/>
      <c r="EMS284" s="1132" t="n"/>
      <c r="EMT284" s="1132" t="n"/>
      <c r="EMU284" s="1132" t="n"/>
      <c r="EMV284" s="1132" t="n"/>
      <c r="EMW284" s="1132" t="n"/>
      <c r="EMX284" s="1132" t="n"/>
      <c r="EMY284" s="1132" t="n"/>
      <c r="EMZ284" s="1132" t="n"/>
      <c r="ENA284" s="1132" t="n"/>
      <c r="ENB284" s="1132" t="n"/>
      <c r="ENC284" s="1132" t="n"/>
      <c r="END284" s="1132" t="n"/>
      <c r="ENE284" s="1132" t="n"/>
      <c r="ENF284" s="1132" t="n"/>
      <c r="ENG284" s="1132" t="n"/>
      <c r="ENH284" s="1132" t="n"/>
      <c r="ENI284" s="1132" t="n"/>
      <c r="ENJ284" s="1132" t="n"/>
      <c r="ENK284" s="1132" t="n"/>
      <c r="ENL284" s="1132" t="n"/>
      <c r="ENM284" s="1132" t="n"/>
      <c r="ENN284" s="1132" t="n"/>
      <c r="ENO284" s="1132" t="n"/>
      <c r="ENP284" s="1132" t="n"/>
      <c r="ENQ284" s="1132" t="n"/>
      <c r="ENR284" s="1132" t="n"/>
      <c r="ENS284" s="1132" t="n"/>
      <c r="ENT284" s="1132" t="n"/>
      <c r="ENU284" s="1132" t="n"/>
      <c r="ENV284" s="1132" t="n"/>
      <c r="ENW284" s="1132" t="n"/>
      <c r="ENX284" s="1132" t="n"/>
      <c r="ENY284" s="1132" t="n"/>
      <c r="ENZ284" s="1132" t="n"/>
      <c r="EOA284" s="1132" t="n"/>
      <c r="EOB284" s="1132" t="n"/>
      <c r="EOC284" s="1132" t="n"/>
      <c r="EOD284" s="1132" t="n"/>
      <c r="EOE284" s="1132" t="n"/>
      <c r="EOF284" s="1132" t="n"/>
      <c r="EOG284" s="1132" t="n"/>
      <c r="EOH284" s="1132" t="n"/>
      <c r="EOI284" s="1132" t="n"/>
      <c r="EOJ284" s="1132" t="n"/>
      <c r="EOK284" s="1132" t="n"/>
      <c r="EOL284" s="1132" t="n"/>
      <c r="EOM284" s="1132" t="n"/>
      <c r="EON284" s="1132" t="n"/>
      <c r="EOO284" s="1132" t="n"/>
      <c r="EOP284" s="1132" t="n"/>
      <c r="EOQ284" s="1132" t="n"/>
      <c r="EOR284" s="1132" t="n"/>
      <c r="EOS284" s="1132" t="n"/>
      <c r="EOT284" s="1132" t="n"/>
      <c r="EOU284" s="1132" t="n"/>
      <c r="EOV284" s="1132" t="n"/>
      <c r="EOW284" s="1132" t="n"/>
      <c r="EOX284" s="1132" t="n"/>
      <c r="EOY284" s="1132" t="n"/>
      <c r="EOZ284" s="1132" t="n"/>
      <c r="EPA284" s="1132" t="n"/>
      <c r="EPB284" s="1132" t="n"/>
      <c r="EPC284" s="1132" t="n"/>
      <c r="EPD284" s="1132" t="n"/>
      <c r="EPE284" s="1132" t="n"/>
      <c r="EPF284" s="1132" t="n"/>
      <c r="EPG284" s="1132" t="n"/>
      <c r="EPH284" s="1132" t="n"/>
      <c r="EPI284" s="1132" t="n"/>
      <c r="EPJ284" s="1132" t="n"/>
      <c r="EPK284" s="1132" t="n"/>
      <c r="EPL284" s="1132" t="n"/>
      <c r="EPM284" s="1132" t="n"/>
      <c r="EPN284" s="1132" t="n"/>
      <c r="EPO284" s="1132" t="n"/>
      <c r="EPP284" s="1132" t="n"/>
      <c r="EPQ284" s="1132" t="n"/>
      <c r="EPR284" s="1132" t="n"/>
      <c r="EPS284" s="1132" t="n"/>
      <c r="EPT284" s="1132" t="n"/>
      <c r="EPU284" s="1132" t="n"/>
      <c r="EPV284" s="1132" t="n"/>
      <c r="EPW284" s="1132" t="n"/>
      <c r="EPX284" s="1132" t="n"/>
      <c r="EPY284" s="1132" t="n"/>
      <c r="EPZ284" s="1132" t="n"/>
      <c r="EQA284" s="1132" t="n"/>
      <c r="EQB284" s="1132" t="n"/>
      <c r="EQC284" s="1132" t="n"/>
      <c r="EQD284" s="1132" t="n"/>
      <c r="EQE284" s="1132" t="n"/>
      <c r="EQF284" s="1132" t="n"/>
      <c r="EQG284" s="1132" t="n"/>
      <c r="EQH284" s="1132" t="n"/>
      <c r="EQI284" s="1132" t="n"/>
      <c r="EQJ284" s="1132" t="n"/>
      <c r="EQK284" s="1132" t="n"/>
      <c r="EQL284" s="1132" t="n"/>
      <c r="EQM284" s="1132" t="n"/>
      <c r="EQN284" s="1132" t="n"/>
      <c r="EQO284" s="1132" t="n"/>
      <c r="EQP284" s="1132" t="n"/>
      <c r="EQQ284" s="1132" t="n"/>
      <c r="EQR284" s="1132" t="n"/>
      <c r="EQS284" s="1132" t="n"/>
      <c r="EQT284" s="1132" t="n"/>
      <c r="EQU284" s="1132" t="n"/>
      <c r="EQV284" s="1132" t="n"/>
      <c r="EQW284" s="1132" t="n"/>
      <c r="EQX284" s="1132" t="n"/>
      <c r="EQY284" s="1132" t="n"/>
      <c r="EQZ284" s="1132" t="n"/>
      <c r="ERA284" s="1132" t="n"/>
      <c r="ERB284" s="1132" t="n"/>
      <c r="ERC284" s="1132" t="n"/>
      <c r="ERD284" s="1132" t="n"/>
      <c r="ERE284" s="1132" t="n"/>
      <c r="ERF284" s="1132" t="n"/>
      <c r="ERG284" s="1132" t="n"/>
      <c r="ERH284" s="1132" t="n"/>
      <c r="ERI284" s="1132" t="n"/>
      <c r="ERJ284" s="1132" t="n"/>
      <c r="ERK284" s="1132" t="n"/>
      <c r="ERL284" s="1132" t="n"/>
      <c r="ERM284" s="1132" t="n"/>
      <c r="ERN284" s="1132" t="n"/>
      <c r="ERO284" s="1132" t="n"/>
      <c r="ERP284" s="1132" t="n"/>
      <c r="ERQ284" s="1132" t="n"/>
      <c r="ERR284" s="1132" t="n"/>
      <c r="ERS284" s="1132" t="n"/>
      <c r="ERT284" s="1132" t="n"/>
      <c r="ERU284" s="1132" t="n"/>
      <c r="ERV284" s="1132" t="n"/>
      <c r="ERW284" s="1132" t="n"/>
      <c r="ERX284" s="1132" t="n"/>
      <c r="ERY284" s="1132" t="n"/>
      <c r="ERZ284" s="1132" t="n"/>
      <c r="ESA284" s="1132" t="n"/>
      <c r="ESB284" s="1132" t="n"/>
      <c r="ESC284" s="1132" t="n"/>
      <c r="ESD284" s="1132" t="n"/>
      <c r="ESE284" s="1132" t="n"/>
      <c r="ESF284" s="1132" t="n"/>
      <c r="ESG284" s="1132" t="n"/>
      <c r="ESH284" s="1132" t="n"/>
      <c r="ESI284" s="1132" t="n"/>
      <c r="ESJ284" s="1132" t="n"/>
      <c r="ESK284" s="1132" t="n"/>
      <c r="ESL284" s="1132" t="n"/>
      <c r="ESM284" s="1132" t="n"/>
      <c r="ESN284" s="1132" t="n"/>
      <c r="ESO284" s="1132" t="n"/>
      <c r="ESP284" s="1132" t="n"/>
      <c r="ESQ284" s="1132" t="n"/>
      <c r="ESR284" s="1132" t="n"/>
      <c r="ESS284" s="1132" t="n"/>
      <c r="EST284" s="1132" t="n"/>
      <c r="ESU284" s="1132" t="n"/>
      <c r="ESV284" s="1132" t="n"/>
      <c r="ESW284" s="1132" t="n"/>
      <c r="ESX284" s="1132" t="n"/>
      <c r="ESY284" s="1132" t="n"/>
      <c r="ESZ284" s="1132" t="n"/>
      <c r="ETA284" s="1132" t="n"/>
      <c r="ETB284" s="1132" t="n"/>
      <c r="ETC284" s="1132" t="n"/>
      <c r="ETD284" s="1132" t="n"/>
      <c r="ETE284" s="1132" t="n"/>
      <c r="ETF284" s="1132" t="n"/>
      <c r="ETG284" s="1132" t="n"/>
      <c r="ETH284" s="1132" t="n"/>
      <c r="ETI284" s="1132" t="n"/>
      <c r="ETJ284" s="1132" t="n"/>
      <c r="ETK284" s="1132" t="n"/>
      <c r="ETL284" s="1132" t="n"/>
      <c r="ETM284" s="1132" t="n"/>
      <c r="ETN284" s="1132" t="n"/>
      <c r="ETO284" s="1132" t="n"/>
      <c r="ETP284" s="1132" t="n"/>
      <c r="ETQ284" s="1132" t="n"/>
      <c r="ETR284" s="1132" t="n"/>
      <c r="ETS284" s="1132" t="n"/>
      <c r="ETT284" s="1132" t="n"/>
      <c r="ETU284" s="1132" t="n"/>
      <c r="ETV284" s="1132" t="n"/>
      <c r="ETW284" s="1132" t="n"/>
      <c r="ETX284" s="1132" t="n"/>
      <c r="ETY284" s="1132" t="n"/>
      <c r="ETZ284" s="1132" t="n"/>
      <c r="EUA284" s="1132" t="n"/>
      <c r="EUB284" s="1132" t="n"/>
      <c r="EUC284" s="1132" t="n"/>
      <c r="EUD284" s="1132" t="n"/>
      <c r="EUE284" s="1132" t="n"/>
      <c r="EUF284" s="1132" t="n"/>
      <c r="EUG284" s="1132" t="n"/>
      <c r="EUH284" s="1132" t="n"/>
      <c r="EUI284" s="1132" t="n"/>
      <c r="EUJ284" s="1132" t="n"/>
      <c r="EUK284" s="1132" t="n"/>
      <c r="EUL284" s="1132" t="n"/>
      <c r="EUM284" s="1132" t="n"/>
      <c r="EUN284" s="1132" t="n"/>
      <c r="EUO284" s="1132" t="n"/>
      <c r="EUP284" s="1132" t="n"/>
      <c r="EUQ284" s="1132" t="n"/>
      <c r="EUR284" s="1132" t="n"/>
      <c r="EUS284" s="1132" t="n"/>
      <c r="EUT284" s="1132" t="n"/>
      <c r="EUU284" s="1132" t="n"/>
      <c r="EUV284" s="1132" t="n"/>
      <c r="EUW284" s="1132" t="n"/>
      <c r="EUX284" s="1132" t="n"/>
      <c r="EUY284" s="1132" t="n"/>
      <c r="EUZ284" s="1132" t="n"/>
      <c r="EVA284" s="1132" t="n"/>
      <c r="EVB284" s="1132" t="n"/>
      <c r="EVC284" s="1132" t="n"/>
      <c r="EVD284" s="1132" t="n"/>
      <c r="EVE284" s="1132" t="n"/>
      <c r="EVF284" s="1132" t="n"/>
      <c r="EVG284" s="1132" t="n"/>
      <c r="EVH284" s="1132" t="n"/>
      <c r="EVI284" s="1132" t="n"/>
      <c r="EVJ284" s="1132" t="n"/>
      <c r="EVK284" s="1132" t="n"/>
      <c r="EVL284" s="1132" t="n"/>
      <c r="EVM284" s="1132" t="n"/>
      <c r="EVN284" s="1132" t="n"/>
      <c r="EVO284" s="1132" t="n"/>
      <c r="EVP284" s="1132" t="n"/>
      <c r="EVQ284" s="1132" t="n"/>
      <c r="EVR284" s="1132" t="n"/>
      <c r="EVS284" s="1132" t="n"/>
      <c r="EVT284" s="1132" t="n"/>
      <c r="EVU284" s="1132" t="n"/>
      <c r="EVV284" s="1132" t="n"/>
      <c r="EVW284" s="1132" t="n"/>
      <c r="EVX284" s="1132" t="n"/>
      <c r="EVY284" s="1132" t="n"/>
      <c r="EVZ284" s="1132" t="n"/>
      <c r="EWA284" s="1132" t="n"/>
      <c r="EWB284" s="1132" t="n"/>
      <c r="EWC284" s="1132" t="n"/>
      <c r="EWD284" s="1132" t="n"/>
      <c r="EWE284" s="1132" t="n"/>
      <c r="EWF284" s="1132" t="n"/>
      <c r="EWG284" s="1132" t="n"/>
      <c r="EWH284" s="1132" t="n"/>
      <c r="EWI284" s="1132" t="n"/>
      <c r="EWJ284" s="1132" t="n"/>
      <c r="EWK284" s="1132" t="n"/>
      <c r="EWL284" s="1132" t="n"/>
      <c r="EWM284" s="1132" t="n"/>
      <c r="EWN284" s="1132" t="n"/>
      <c r="EWO284" s="1132" t="n"/>
      <c r="EWP284" s="1132" t="n"/>
      <c r="EWQ284" s="1132" t="n"/>
      <c r="EWR284" s="1132" t="n"/>
      <c r="EWS284" s="1132" t="n"/>
      <c r="EWT284" s="1132" t="n"/>
      <c r="EWU284" s="1132" t="n"/>
      <c r="EWV284" s="1132" t="n"/>
      <c r="EWW284" s="1132" t="n"/>
      <c r="EWX284" s="1132" t="n"/>
      <c r="EWY284" s="1132" t="n"/>
      <c r="EWZ284" s="1132" t="n"/>
      <c r="EXA284" s="1132" t="n"/>
      <c r="EXB284" s="1132" t="n"/>
      <c r="EXC284" s="1132" t="n"/>
      <c r="EXD284" s="1132" t="n"/>
      <c r="EXE284" s="1132" t="n"/>
      <c r="EXF284" s="1132" t="n"/>
      <c r="EXG284" s="1132" t="n"/>
      <c r="EXH284" s="1132" t="n"/>
      <c r="EXI284" s="1132" t="n"/>
      <c r="EXJ284" s="1132" t="n"/>
      <c r="EXK284" s="1132" t="n"/>
      <c r="EXL284" s="1132" t="n"/>
      <c r="EXM284" s="1132" t="n"/>
      <c r="EXN284" s="1132" t="n"/>
      <c r="EXO284" s="1132" t="n"/>
      <c r="EXP284" s="1132" t="n"/>
      <c r="EXQ284" s="1132" t="n"/>
      <c r="EXR284" s="1132" t="n"/>
      <c r="EXS284" s="1132" t="n"/>
      <c r="EXT284" s="1132" t="n"/>
      <c r="EXU284" s="1132" t="n"/>
      <c r="EXV284" s="1132" t="n"/>
      <c r="EXW284" s="1132" t="n"/>
      <c r="EXX284" s="1132" t="n"/>
      <c r="EXY284" s="1132" t="n"/>
      <c r="EXZ284" s="1132" t="n"/>
      <c r="EYA284" s="1132" t="n"/>
      <c r="EYB284" s="1132" t="n"/>
      <c r="EYC284" s="1132" t="n"/>
      <c r="EYD284" s="1132" t="n"/>
      <c r="EYE284" s="1132" t="n"/>
      <c r="EYF284" s="1132" t="n"/>
      <c r="EYG284" s="1132" t="n"/>
      <c r="EYH284" s="1132" t="n"/>
      <c r="EYI284" s="1132" t="n"/>
      <c r="EYJ284" s="1132" t="n"/>
      <c r="EYK284" s="1132" t="n"/>
      <c r="EYL284" s="1132" t="n"/>
      <c r="EYM284" s="1132" t="n"/>
      <c r="EYN284" s="1132" t="n"/>
      <c r="EYO284" s="1132" t="n"/>
      <c r="EYP284" s="1132" t="n"/>
      <c r="EYQ284" s="1132" t="n"/>
      <c r="EYR284" s="1132" t="n"/>
      <c r="EYS284" s="1132" t="n"/>
      <c r="EYT284" s="1132" t="n"/>
      <c r="EYU284" s="1132" t="n"/>
      <c r="EYV284" s="1132" t="n"/>
      <c r="EYW284" s="1132" t="n"/>
      <c r="EYX284" s="1132" t="n"/>
      <c r="EYY284" s="1132" t="n"/>
      <c r="EYZ284" s="1132" t="n"/>
      <c r="EZA284" s="1132" t="n"/>
      <c r="EZB284" s="1132" t="n"/>
      <c r="EZC284" s="1132" t="n"/>
      <c r="EZD284" s="1132" t="n"/>
      <c r="EZE284" s="1132" t="n"/>
      <c r="EZF284" s="1132" t="n"/>
      <c r="EZG284" s="1132" t="n"/>
      <c r="EZH284" s="1132" t="n"/>
      <c r="EZI284" s="1132" t="n"/>
      <c r="EZJ284" s="1132" t="n"/>
      <c r="EZK284" s="1132" t="n"/>
      <c r="EZL284" s="1132" t="n"/>
      <c r="EZM284" s="1132" t="n"/>
      <c r="EZN284" s="1132" t="n"/>
      <c r="EZO284" s="1132" t="n"/>
      <c r="EZP284" s="1132" t="n"/>
      <c r="EZQ284" s="1132" t="n"/>
      <c r="EZR284" s="1132" t="n"/>
      <c r="EZS284" s="1132" t="n"/>
      <c r="EZT284" s="1132" t="n"/>
      <c r="EZU284" s="1132" t="n"/>
      <c r="EZV284" s="1132" t="n"/>
      <c r="EZW284" s="1132" t="n"/>
      <c r="EZX284" s="1132" t="n"/>
      <c r="EZY284" s="1132" t="n"/>
      <c r="EZZ284" s="1132" t="n"/>
      <c r="FAA284" s="1132" t="n"/>
      <c r="FAB284" s="1132" t="n"/>
      <c r="FAC284" s="1132" t="n"/>
      <c r="FAD284" s="1132" t="n"/>
      <c r="FAE284" s="1132" t="n"/>
      <c r="FAF284" s="1132" t="n"/>
      <c r="FAG284" s="1132" t="n"/>
      <c r="FAH284" s="1132" t="n"/>
      <c r="FAI284" s="1132" t="n"/>
      <c r="FAJ284" s="1132" t="n"/>
      <c r="FAK284" s="1132" t="n"/>
      <c r="FAL284" s="1132" t="n"/>
      <c r="FAM284" s="1132" t="n"/>
      <c r="FAN284" s="1132" t="n"/>
      <c r="FAO284" s="1132" t="n"/>
      <c r="FAP284" s="1132" t="n"/>
      <c r="FAQ284" s="1132" t="n"/>
      <c r="FAR284" s="1132" t="n"/>
      <c r="FAS284" s="1132" t="n"/>
      <c r="FAT284" s="1132" t="n"/>
      <c r="FAU284" s="1132" t="n"/>
      <c r="FAV284" s="1132" t="n"/>
      <c r="FAW284" s="1132" t="n"/>
      <c r="FAX284" s="1132" t="n"/>
      <c r="FAY284" s="1132" t="n"/>
      <c r="FAZ284" s="1132" t="n"/>
      <c r="FBA284" s="1132" t="n"/>
      <c r="FBB284" s="1132" t="n"/>
      <c r="FBC284" s="1132" t="n"/>
      <c r="FBD284" s="1132" t="n"/>
      <c r="FBE284" s="1132" t="n"/>
      <c r="FBF284" s="1132" t="n"/>
      <c r="FBG284" s="1132" t="n"/>
      <c r="FBH284" s="1132" t="n"/>
      <c r="FBI284" s="1132" t="n"/>
      <c r="FBJ284" s="1132" t="n"/>
      <c r="FBK284" s="1132" t="n"/>
      <c r="FBL284" s="1132" t="n"/>
      <c r="FBM284" s="1132" t="n"/>
      <c r="FBN284" s="1132" t="n"/>
      <c r="FBO284" s="1132" t="n"/>
      <c r="FBP284" s="1132" t="n"/>
      <c r="FBQ284" s="1132" t="n"/>
      <c r="FBR284" s="1132" t="n"/>
      <c r="FBS284" s="1132" t="n"/>
      <c r="FBT284" s="1132" t="n"/>
      <c r="FBU284" s="1132" t="n"/>
      <c r="FBV284" s="1132" t="n"/>
      <c r="FBW284" s="1132" t="n"/>
      <c r="FBX284" s="1132" t="n"/>
      <c r="FBY284" s="1132" t="n"/>
      <c r="FBZ284" s="1132" t="n"/>
      <c r="FCA284" s="1132" t="n"/>
      <c r="FCB284" s="1132" t="n"/>
      <c r="FCC284" s="1132" t="n"/>
      <c r="FCD284" s="1132" t="n"/>
      <c r="FCE284" s="1132" t="n"/>
      <c r="FCF284" s="1132" t="n"/>
      <c r="FCG284" s="1132" t="n"/>
      <c r="FCH284" s="1132" t="n"/>
      <c r="FCI284" s="1132" t="n"/>
      <c r="FCJ284" s="1132" t="n"/>
      <c r="FCK284" s="1132" t="n"/>
      <c r="FCL284" s="1132" t="n"/>
      <c r="FCM284" s="1132" t="n"/>
      <c r="FCN284" s="1132" t="n"/>
      <c r="FCO284" s="1132" t="n"/>
      <c r="FCP284" s="1132" t="n"/>
      <c r="FCQ284" s="1132" t="n"/>
      <c r="FCR284" s="1132" t="n"/>
      <c r="FCS284" s="1132" t="n"/>
      <c r="FCT284" s="1132" t="n"/>
      <c r="FCU284" s="1132" t="n"/>
      <c r="FCV284" s="1132" t="n"/>
      <c r="FCW284" s="1132" t="n"/>
      <c r="FCX284" s="1132" t="n"/>
      <c r="FCY284" s="1132" t="n"/>
      <c r="FCZ284" s="1132" t="n"/>
      <c r="FDA284" s="1132" t="n"/>
      <c r="FDB284" s="1132" t="n"/>
      <c r="FDC284" s="1132" t="n"/>
      <c r="FDD284" s="1132" t="n"/>
      <c r="FDE284" s="1132" t="n"/>
      <c r="FDF284" s="1132" t="n"/>
      <c r="FDG284" s="1132" t="n"/>
      <c r="FDH284" s="1132" t="n"/>
      <c r="FDI284" s="1132" t="n"/>
      <c r="FDJ284" s="1132" t="n"/>
      <c r="FDK284" s="1132" t="n"/>
      <c r="FDL284" s="1132" t="n"/>
      <c r="FDM284" s="1132" t="n"/>
      <c r="FDN284" s="1132" t="n"/>
      <c r="FDO284" s="1132" t="n"/>
      <c r="FDP284" s="1132" t="n"/>
      <c r="FDQ284" s="1132" t="n"/>
      <c r="FDR284" s="1132" t="n"/>
      <c r="FDS284" s="1132" t="n"/>
      <c r="FDT284" s="1132" t="n"/>
      <c r="FDU284" s="1132" t="n"/>
      <c r="FDV284" s="1132" t="n"/>
      <c r="FDW284" s="1132" t="n"/>
      <c r="FDX284" s="1132" t="n"/>
      <c r="FDY284" s="1132" t="n"/>
      <c r="FDZ284" s="1132" t="n"/>
      <c r="FEA284" s="1132" t="n"/>
      <c r="FEB284" s="1132" t="n"/>
      <c r="FEC284" s="1132" t="n"/>
      <c r="FED284" s="1132" t="n"/>
      <c r="FEE284" s="1132" t="n"/>
      <c r="FEF284" s="1132" t="n"/>
      <c r="FEG284" s="1132" t="n"/>
      <c r="FEH284" s="1132" t="n"/>
      <c r="FEI284" s="1132" t="n"/>
      <c r="FEJ284" s="1132" t="n"/>
      <c r="FEK284" s="1132" t="n"/>
      <c r="FEL284" s="1132" t="n"/>
      <c r="FEM284" s="1132" t="n"/>
      <c r="FEN284" s="1132" t="n"/>
      <c r="FEO284" s="1132" t="n"/>
      <c r="FEP284" s="1132" t="n"/>
      <c r="FEQ284" s="1132" t="n"/>
      <c r="FER284" s="1132" t="n"/>
      <c r="FES284" s="1132" t="n"/>
      <c r="FET284" s="1132" t="n"/>
      <c r="FEU284" s="1132" t="n"/>
      <c r="FEV284" s="1132" t="n"/>
      <c r="FEW284" s="1132" t="n"/>
      <c r="FEX284" s="1132" t="n"/>
      <c r="FEY284" s="1132" t="n"/>
      <c r="FEZ284" s="1132" t="n"/>
      <c r="FFA284" s="1132" t="n"/>
      <c r="FFB284" s="1132" t="n"/>
      <c r="FFC284" s="1132" t="n"/>
      <c r="FFD284" s="1132" t="n"/>
      <c r="FFE284" s="1132" t="n"/>
      <c r="FFF284" s="1132" t="n"/>
      <c r="FFG284" s="1132" t="n"/>
      <c r="FFH284" s="1132" t="n"/>
      <c r="FFI284" s="1132" t="n"/>
      <c r="FFJ284" s="1132" t="n"/>
      <c r="FFK284" s="1132" t="n"/>
      <c r="FFL284" s="1132" t="n"/>
      <c r="FFM284" s="1132" t="n"/>
      <c r="FFN284" s="1132" t="n"/>
      <c r="FFO284" s="1132" t="n"/>
      <c r="FFP284" s="1132" t="n"/>
      <c r="FFQ284" s="1132" t="n"/>
      <c r="FFR284" s="1132" t="n"/>
      <c r="FFS284" s="1132" t="n"/>
      <c r="FFT284" s="1132" t="n"/>
      <c r="FFU284" s="1132" t="n"/>
      <c r="FFV284" s="1132" t="n"/>
      <c r="FFW284" s="1132" t="n"/>
      <c r="FFX284" s="1132" t="n"/>
      <c r="FFY284" s="1132" t="n"/>
      <c r="FFZ284" s="1132" t="n"/>
      <c r="FGA284" s="1132" t="n"/>
      <c r="FGB284" s="1132" t="n"/>
      <c r="FGC284" s="1132" t="n"/>
      <c r="FGD284" s="1132" t="n"/>
      <c r="FGE284" s="1132" t="n"/>
      <c r="FGF284" s="1132" t="n"/>
      <c r="FGG284" s="1132" t="n"/>
      <c r="FGH284" s="1132" t="n"/>
      <c r="FGI284" s="1132" t="n"/>
      <c r="FGJ284" s="1132" t="n"/>
      <c r="FGK284" s="1132" t="n"/>
      <c r="FGL284" s="1132" t="n"/>
      <c r="FGM284" s="1132" t="n"/>
      <c r="FGN284" s="1132" t="n"/>
      <c r="FGO284" s="1132" t="n"/>
      <c r="FGP284" s="1132" t="n"/>
      <c r="FGQ284" s="1132" t="n"/>
      <c r="FGR284" s="1132" t="n"/>
      <c r="FGS284" s="1132" t="n"/>
      <c r="FGT284" s="1132" t="n"/>
      <c r="FGU284" s="1132" t="n"/>
      <c r="FGV284" s="1132" t="n"/>
      <c r="FGW284" s="1132" t="n"/>
      <c r="FGX284" s="1132" t="n"/>
      <c r="FGY284" s="1132" t="n"/>
      <c r="FGZ284" s="1132" t="n"/>
      <c r="FHA284" s="1132" t="n"/>
      <c r="FHB284" s="1132" t="n"/>
      <c r="FHC284" s="1132" t="n"/>
      <c r="FHD284" s="1132" t="n"/>
      <c r="FHE284" s="1132" t="n"/>
      <c r="FHF284" s="1132" t="n"/>
      <c r="FHG284" s="1132" t="n"/>
      <c r="FHH284" s="1132" t="n"/>
      <c r="FHI284" s="1132" t="n"/>
      <c r="FHJ284" s="1132" t="n"/>
      <c r="FHK284" s="1132" t="n"/>
      <c r="FHL284" s="1132" t="n"/>
      <c r="FHM284" s="1132" t="n"/>
      <c r="FHN284" s="1132" t="n"/>
      <c r="FHO284" s="1132" t="n"/>
      <c r="FHP284" s="1132" t="n"/>
      <c r="FHQ284" s="1132" t="n"/>
      <c r="FHR284" s="1132" t="n"/>
      <c r="FHS284" s="1132" t="n"/>
      <c r="FHT284" s="1132" t="n"/>
      <c r="FHU284" s="1132" t="n"/>
      <c r="FHV284" s="1132" t="n"/>
      <c r="FHW284" s="1132" t="n"/>
      <c r="FHX284" s="1132" t="n"/>
      <c r="FHY284" s="1132" t="n"/>
      <c r="FHZ284" s="1132" t="n"/>
      <c r="FIA284" s="1132" t="n"/>
      <c r="FIB284" s="1132" t="n"/>
      <c r="FIC284" s="1132" t="n"/>
      <c r="FID284" s="1132" t="n"/>
      <c r="FIE284" s="1132" t="n"/>
      <c r="FIF284" s="1132" t="n"/>
      <c r="FIG284" s="1132" t="n"/>
      <c r="FIH284" s="1132" t="n"/>
      <c r="FII284" s="1132" t="n"/>
      <c r="FIJ284" s="1132" t="n"/>
      <c r="FIK284" s="1132" t="n"/>
      <c r="FIL284" s="1132" t="n"/>
      <c r="FIM284" s="1132" t="n"/>
      <c r="FIN284" s="1132" t="n"/>
      <c r="FIO284" s="1132" t="n"/>
      <c r="FIP284" s="1132" t="n"/>
      <c r="FIQ284" s="1132" t="n"/>
      <c r="FIR284" s="1132" t="n"/>
      <c r="FIS284" s="1132" t="n"/>
      <c r="FIT284" s="1132" t="n"/>
      <c r="FIU284" s="1132" t="n"/>
      <c r="FIV284" s="1132" t="n"/>
      <c r="FIW284" s="1132" t="n"/>
      <c r="FIX284" s="1132" t="n"/>
      <c r="FIY284" s="1132" t="n"/>
      <c r="FIZ284" s="1132" t="n"/>
      <c r="FJA284" s="1132" t="n"/>
      <c r="FJB284" s="1132" t="n"/>
      <c r="FJC284" s="1132" t="n"/>
      <c r="FJD284" s="1132" t="n"/>
      <c r="FJE284" s="1132" t="n"/>
      <c r="FJF284" s="1132" t="n"/>
      <c r="FJG284" s="1132" t="n"/>
      <c r="FJH284" s="1132" t="n"/>
      <c r="FJI284" s="1132" t="n"/>
      <c r="FJJ284" s="1132" t="n"/>
      <c r="FJK284" s="1132" t="n"/>
      <c r="FJL284" s="1132" t="n"/>
      <c r="FJM284" s="1132" t="n"/>
      <c r="FJN284" s="1132" t="n"/>
      <c r="FJO284" s="1132" t="n"/>
      <c r="FJP284" s="1132" t="n"/>
      <c r="FJQ284" s="1132" t="n"/>
      <c r="FJR284" s="1132" t="n"/>
      <c r="FJS284" s="1132" t="n"/>
      <c r="FJT284" s="1132" t="n"/>
      <c r="FJU284" s="1132" t="n"/>
      <c r="FJV284" s="1132" t="n"/>
      <c r="FJW284" s="1132" t="n"/>
      <c r="FJX284" s="1132" t="n"/>
      <c r="FJY284" s="1132" t="n"/>
      <c r="FJZ284" s="1132" t="n"/>
      <c r="FKA284" s="1132" t="n"/>
      <c r="FKB284" s="1132" t="n"/>
      <c r="FKC284" s="1132" t="n"/>
      <c r="FKD284" s="1132" t="n"/>
      <c r="FKE284" s="1132" t="n"/>
      <c r="FKF284" s="1132" t="n"/>
      <c r="FKG284" s="1132" t="n"/>
      <c r="FKH284" s="1132" t="n"/>
      <c r="FKI284" s="1132" t="n"/>
      <c r="FKJ284" s="1132" t="n"/>
      <c r="FKK284" s="1132" t="n"/>
      <c r="FKL284" s="1132" t="n"/>
      <c r="FKM284" s="1132" t="n"/>
      <c r="FKN284" s="1132" t="n"/>
      <c r="FKO284" s="1132" t="n"/>
      <c r="FKP284" s="1132" t="n"/>
      <c r="FKQ284" s="1132" t="n"/>
      <c r="FKR284" s="1132" t="n"/>
      <c r="FKS284" s="1132" t="n"/>
      <c r="FKT284" s="1132" t="n"/>
      <c r="FKU284" s="1132" t="n"/>
      <c r="FKV284" s="1132" t="n"/>
      <c r="FKW284" s="1132" t="n"/>
      <c r="FKX284" s="1132" t="n"/>
      <c r="FKY284" s="1132" t="n"/>
      <c r="FKZ284" s="1132" t="n"/>
      <c r="FLA284" s="1132" t="n"/>
      <c r="FLB284" s="1132" t="n"/>
      <c r="FLC284" s="1132" t="n"/>
      <c r="FLD284" s="1132" t="n"/>
      <c r="FLE284" s="1132" t="n"/>
      <c r="FLF284" s="1132" t="n"/>
      <c r="FLG284" s="1132" t="n"/>
      <c r="FLH284" s="1132" t="n"/>
      <c r="FLI284" s="1132" t="n"/>
      <c r="FLJ284" s="1132" t="n"/>
      <c r="FLK284" s="1132" t="n"/>
      <c r="FLL284" s="1132" t="n"/>
      <c r="FLM284" s="1132" t="n"/>
      <c r="FLN284" s="1132" t="n"/>
      <c r="FLO284" s="1132" t="n"/>
      <c r="FLP284" s="1132" t="n"/>
      <c r="FLQ284" s="1132" t="n"/>
      <c r="FLR284" s="1132" t="n"/>
      <c r="FLS284" s="1132" t="n"/>
      <c r="FLT284" s="1132" t="n"/>
      <c r="FLU284" s="1132" t="n"/>
      <c r="FLV284" s="1132" t="n"/>
      <c r="FLW284" s="1132" t="n"/>
      <c r="FLX284" s="1132" t="n"/>
      <c r="FLY284" s="1132" t="n"/>
      <c r="FLZ284" s="1132" t="n"/>
      <c r="FMA284" s="1132" t="n"/>
      <c r="FMB284" s="1132" t="n"/>
      <c r="FMC284" s="1132" t="n"/>
      <c r="FMD284" s="1132" t="n"/>
      <c r="FME284" s="1132" t="n"/>
      <c r="FMF284" s="1132" t="n"/>
      <c r="FMG284" s="1132" t="n"/>
      <c r="FMH284" s="1132" t="n"/>
      <c r="FMI284" s="1132" t="n"/>
      <c r="FMJ284" s="1132" t="n"/>
      <c r="FMK284" s="1132" t="n"/>
      <c r="FML284" s="1132" t="n"/>
      <c r="FMM284" s="1132" t="n"/>
      <c r="FMN284" s="1132" t="n"/>
      <c r="FMO284" s="1132" t="n"/>
      <c r="FMP284" s="1132" t="n"/>
      <c r="FMQ284" s="1132" t="n"/>
      <c r="FMR284" s="1132" t="n"/>
      <c r="FMS284" s="1132" t="n"/>
      <c r="FMT284" s="1132" t="n"/>
      <c r="FMU284" s="1132" t="n"/>
      <c r="FMV284" s="1132" t="n"/>
      <c r="FMW284" s="1132" t="n"/>
      <c r="FMX284" s="1132" t="n"/>
      <c r="FMY284" s="1132" t="n"/>
      <c r="FMZ284" s="1132" t="n"/>
      <c r="FNA284" s="1132" t="n"/>
      <c r="FNB284" s="1132" t="n"/>
      <c r="FNC284" s="1132" t="n"/>
      <c r="FND284" s="1132" t="n"/>
      <c r="FNE284" s="1132" t="n"/>
      <c r="FNF284" s="1132" t="n"/>
      <c r="FNG284" s="1132" t="n"/>
      <c r="FNH284" s="1132" t="n"/>
      <c r="FNI284" s="1132" t="n"/>
      <c r="FNJ284" s="1132" t="n"/>
      <c r="FNK284" s="1132" t="n"/>
      <c r="FNL284" s="1132" t="n"/>
      <c r="FNM284" s="1132" t="n"/>
      <c r="FNN284" s="1132" t="n"/>
      <c r="FNO284" s="1132" t="n"/>
      <c r="FNP284" s="1132" t="n"/>
      <c r="FNQ284" s="1132" t="n"/>
      <c r="FNR284" s="1132" t="n"/>
      <c r="FNS284" s="1132" t="n"/>
      <c r="FNT284" s="1132" t="n"/>
      <c r="FNU284" s="1132" t="n"/>
      <c r="FNV284" s="1132" t="n"/>
      <c r="FNW284" s="1132" t="n"/>
      <c r="FNX284" s="1132" t="n"/>
      <c r="FNY284" s="1132" t="n"/>
      <c r="FNZ284" s="1132" t="n"/>
      <c r="FOA284" s="1132" t="n"/>
      <c r="FOB284" s="1132" t="n"/>
      <c r="FOC284" s="1132" t="n"/>
      <c r="FOD284" s="1132" t="n"/>
      <c r="FOE284" s="1132" t="n"/>
      <c r="FOF284" s="1132" t="n"/>
      <c r="FOG284" s="1132" t="n"/>
      <c r="FOH284" s="1132" t="n"/>
      <c r="FOI284" s="1132" t="n"/>
      <c r="FOJ284" s="1132" t="n"/>
      <c r="FOK284" s="1132" t="n"/>
      <c r="FOL284" s="1132" t="n"/>
      <c r="FOM284" s="1132" t="n"/>
      <c r="FON284" s="1132" t="n"/>
      <c r="FOO284" s="1132" t="n"/>
      <c r="FOP284" s="1132" t="n"/>
      <c r="FOQ284" s="1132" t="n"/>
      <c r="FOR284" s="1132" t="n"/>
      <c r="FOS284" s="1132" t="n"/>
      <c r="FOT284" s="1132" t="n"/>
      <c r="FOU284" s="1132" t="n"/>
      <c r="FOV284" s="1132" t="n"/>
      <c r="FOW284" s="1132" t="n"/>
      <c r="FOX284" s="1132" t="n"/>
      <c r="FOY284" s="1132" t="n"/>
      <c r="FOZ284" s="1132" t="n"/>
      <c r="FPA284" s="1132" t="n"/>
      <c r="FPB284" s="1132" t="n"/>
      <c r="FPC284" s="1132" t="n"/>
      <c r="FPD284" s="1132" t="n"/>
      <c r="FPE284" s="1132" t="n"/>
      <c r="FPF284" s="1132" t="n"/>
      <c r="FPG284" s="1132" t="n"/>
      <c r="FPH284" s="1132" t="n"/>
      <c r="FPI284" s="1132" t="n"/>
      <c r="FPJ284" s="1132" t="n"/>
      <c r="FPK284" s="1132" t="n"/>
      <c r="FPL284" s="1132" t="n"/>
      <c r="FPM284" s="1132" t="n"/>
      <c r="FPN284" s="1132" t="n"/>
      <c r="FPO284" s="1132" t="n"/>
      <c r="FPP284" s="1132" t="n"/>
      <c r="FPQ284" s="1132" t="n"/>
      <c r="FPR284" s="1132" t="n"/>
      <c r="FPS284" s="1132" t="n"/>
      <c r="FPT284" s="1132" t="n"/>
      <c r="FPU284" s="1132" t="n"/>
      <c r="FPV284" s="1132" t="n"/>
      <c r="FPW284" s="1132" t="n"/>
      <c r="FPX284" s="1132" t="n"/>
      <c r="FPY284" s="1132" t="n"/>
      <c r="FPZ284" s="1132" t="n"/>
      <c r="FQA284" s="1132" t="n"/>
      <c r="FQB284" s="1132" t="n"/>
      <c r="FQC284" s="1132" t="n"/>
      <c r="FQD284" s="1132" t="n"/>
      <c r="FQE284" s="1132" t="n"/>
      <c r="FQF284" s="1132" t="n"/>
      <c r="FQG284" s="1132" t="n"/>
      <c r="FQH284" s="1132" t="n"/>
      <c r="FQI284" s="1132" t="n"/>
      <c r="FQJ284" s="1132" t="n"/>
      <c r="FQK284" s="1132" t="n"/>
      <c r="FQL284" s="1132" t="n"/>
      <c r="FQM284" s="1132" t="n"/>
      <c r="FQN284" s="1132" t="n"/>
      <c r="FQO284" s="1132" t="n"/>
      <c r="FQP284" s="1132" t="n"/>
      <c r="FQQ284" s="1132" t="n"/>
      <c r="FQR284" s="1132" t="n"/>
      <c r="FQS284" s="1132" t="n"/>
      <c r="FQT284" s="1132" t="n"/>
      <c r="FQU284" s="1132" t="n"/>
      <c r="FQV284" s="1132" t="n"/>
      <c r="FQW284" s="1132" t="n"/>
      <c r="FQX284" s="1132" t="n"/>
      <c r="FQY284" s="1132" t="n"/>
      <c r="FQZ284" s="1132" t="n"/>
      <c r="FRA284" s="1132" t="n"/>
      <c r="FRB284" s="1132" t="n"/>
      <c r="FRC284" s="1132" t="n"/>
      <c r="FRD284" s="1132" t="n"/>
      <c r="FRE284" s="1132" t="n"/>
      <c r="FRF284" s="1132" t="n"/>
      <c r="FRG284" s="1132" t="n"/>
      <c r="FRH284" s="1132" t="n"/>
      <c r="FRI284" s="1132" t="n"/>
      <c r="FRJ284" s="1132" t="n"/>
      <c r="FRK284" s="1132" t="n"/>
      <c r="FRL284" s="1132" t="n"/>
      <c r="FRM284" s="1132" t="n"/>
      <c r="FRN284" s="1132" t="n"/>
      <c r="FRO284" s="1132" t="n"/>
      <c r="FRP284" s="1132" t="n"/>
      <c r="FRQ284" s="1132" t="n"/>
      <c r="FRR284" s="1132" t="n"/>
      <c r="FRS284" s="1132" t="n"/>
      <c r="FRT284" s="1132" t="n"/>
      <c r="FRU284" s="1132" t="n"/>
      <c r="FRV284" s="1132" t="n"/>
      <c r="FRW284" s="1132" t="n"/>
      <c r="FRX284" s="1132" t="n"/>
      <c r="FRY284" s="1132" t="n"/>
      <c r="FRZ284" s="1132" t="n"/>
      <c r="FSA284" s="1132" t="n"/>
      <c r="FSB284" s="1132" t="n"/>
      <c r="FSC284" s="1132" t="n"/>
      <c r="FSD284" s="1132" t="n"/>
      <c r="FSE284" s="1132" t="n"/>
      <c r="FSF284" s="1132" t="n"/>
      <c r="FSG284" s="1132" t="n"/>
      <c r="FSH284" s="1132" t="n"/>
      <c r="FSI284" s="1132" t="n"/>
      <c r="FSJ284" s="1132" t="n"/>
      <c r="FSK284" s="1132" t="n"/>
      <c r="FSL284" s="1132" t="n"/>
      <c r="FSM284" s="1132" t="n"/>
      <c r="FSN284" s="1132" t="n"/>
      <c r="FSO284" s="1132" t="n"/>
      <c r="FSP284" s="1132" t="n"/>
      <c r="FSQ284" s="1132" t="n"/>
      <c r="FSR284" s="1132" t="n"/>
      <c r="FSS284" s="1132" t="n"/>
      <c r="FST284" s="1132" t="n"/>
      <c r="FSU284" s="1132" t="n"/>
      <c r="FSV284" s="1132" t="n"/>
      <c r="FSW284" s="1132" t="n"/>
      <c r="FSX284" s="1132" t="n"/>
      <c r="FSY284" s="1132" t="n"/>
      <c r="FSZ284" s="1132" t="n"/>
      <c r="FTA284" s="1132" t="n"/>
      <c r="FTB284" s="1132" t="n"/>
      <c r="FTC284" s="1132" t="n"/>
      <c r="FTD284" s="1132" t="n"/>
      <c r="FTE284" s="1132" t="n"/>
      <c r="FTF284" s="1132" t="n"/>
      <c r="FTG284" s="1132" t="n"/>
      <c r="FTH284" s="1132" t="n"/>
      <c r="FTI284" s="1132" t="n"/>
      <c r="FTJ284" s="1132" t="n"/>
      <c r="FTK284" s="1132" t="n"/>
      <c r="FTL284" s="1132" t="n"/>
      <c r="FTM284" s="1132" t="n"/>
      <c r="FTN284" s="1132" t="n"/>
      <c r="FTO284" s="1132" t="n"/>
      <c r="FTP284" s="1132" t="n"/>
      <c r="FTQ284" s="1132" t="n"/>
      <c r="FTR284" s="1132" t="n"/>
      <c r="FTS284" s="1132" t="n"/>
      <c r="FTT284" s="1132" t="n"/>
      <c r="FTU284" s="1132" t="n"/>
      <c r="FTV284" s="1132" t="n"/>
      <c r="FTW284" s="1132" t="n"/>
      <c r="FTX284" s="1132" t="n"/>
      <c r="FTY284" s="1132" t="n"/>
      <c r="FTZ284" s="1132" t="n"/>
      <c r="FUA284" s="1132" t="n"/>
      <c r="FUB284" s="1132" t="n"/>
      <c r="FUC284" s="1132" t="n"/>
      <c r="FUD284" s="1132" t="n"/>
      <c r="FUE284" s="1132" t="n"/>
      <c r="FUF284" s="1132" t="n"/>
      <c r="FUG284" s="1132" t="n"/>
      <c r="FUH284" s="1132" t="n"/>
      <c r="FUI284" s="1132" t="n"/>
      <c r="FUJ284" s="1132" t="n"/>
      <c r="FUK284" s="1132" t="n"/>
      <c r="FUL284" s="1132" t="n"/>
      <c r="FUM284" s="1132" t="n"/>
      <c r="FUN284" s="1132" t="n"/>
      <c r="FUO284" s="1132" t="n"/>
      <c r="FUP284" s="1132" t="n"/>
      <c r="FUQ284" s="1132" t="n"/>
      <c r="FUR284" s="1132" t="n"/>
      <c r="FUS284" s="1132" t="n"/>
      <c r="FUT284" s="1132" t="n"/>
      <c r="FUU284" s="1132" t="n"/>
      <c r="FUV284" s="1132" t="n"/>
      <c r="FUW284" s="1132" t="n"/>
      <c r="FUX284" s="1132" t="n"/>
      <c r="FUY284" s="1132" t="n"/>
      <c r="FUZ284" s="1132" t="n"/>
      <c r="FVA284" s="1132" t="n"/>
      <c r="FVB284" s="1132" t="n"/>
      <c r="FVC284" s="1132" t="n"/>
      <c r="FVD284" s="1132" t="n"/>
      <c r="FVE284" s="1132" t="n"/>
      <c r="FVF284" s="1132" t="n"/>
      <c r="FVG284" s="1132" t="n"/>
      <c r="FVH284" s="1132" t="n"/>
      <c r="FVI284" s="1132" t="n"/>
      <c r="FVJ284" s="1132" t="n"/>
      <c r="FVK284" s="1132" t="n"/>
      <c r="FVL284" s="1132" t="n"/>
      <c r="FVM284" s="1132" t="n"/>
      <c r="FVN284" s="1132" t="n"/>
      <c r="FVO284" s="1132" t="n"/>
      <c r="FVP284" s="1132" t="n"/>
      <c r="FVQ284" s="1132" t="n"/>
      <c r="FVR284" s="1132" t="n"/>
      <c r="FVS284" s="1132" t="n"/>
      <c r="FVT284" s="1132" t="n"/>
      <c r="FVU284" s="1132" t="n"/>
      <c r="FVV284" s="1132" t="n"/>
      <c r="FVW284" s="1132" t="n"/>
      <c r="FVX284" s="1132" t="n"/>
      <c r="FVY284" s="1132" t="n"/>
      <c r="FVZ284" s="1132" t="n"/>
      <c r="FWA284" s="1132" t="n"/>
      <c r="FWB284" s="1132" t="n"/>
      <c r="FWC284" s="1132" t="n"/>
      <c r="FWD284" s="1132" t="n"/>
      <c r="FWE284" s="1132" t="n"/>
      <c r="FWF284" s="1132" t="n"/>
      <c r="FWG284" s="1132" t="n"/>
      <c r="FWH284" s="1132" t="n"/>
      <c r="FWI284" s="1132" t="n"/>
      <c r="FWJ284" s="1132" t="n"/>
      <c r="FWK284" s="1132" t="n"/>
      <c r="FWL284" s="1132" t="n"/>
      <c r="FWM284" s="1132" t="n"/>
      <c r="FWN284" s="1132" t="n"/>
      <c r="FWO284" s="1132" t="n"/>
      <c r="FWP284" s="1132" t="n"/>
      <c r="FWQ284" s="1132" t="n"/>
      <c r="FWR284" s="1132" t="n"/>
      <c r="FWS284" s="1132" t="n"/>
      <c r="FWT284" s="1132" t="n"/>
      <c r="FWU284" s="1132" t="n"/>
      <c r="FWV284" s="1132" t="n"/>
      <c r="FWW284" s="1132" t="n"/>
      <c r="FWX284" s="1132" t="n"/>
      <c r="FWY284" s="1132" t="n"/>
      <c r="FWZ284" s="1132" t="n"/>
      <c r="FXA284" s="1132" t="n"/>
      <c r="FXB284" s="1132" t="n"/>
      <c r="FXC284" s="1132" t="n"/>
      <c r="FXD284" s="1132" t="n"/>
      <c r="FXE284" s="1132" t="n"/>
      <c r="FXF284" s="1132" t="n"/>
      <c r="FXG284" s="1132" t="n"/>
      <c r="FXH284" s="1132" t="n"/>
      <c r="FXI284" s="1132" t="n"/>
      <c r="FXJ284" s="1132" t="n"/>
      <c r="FXK284" s="1132" t="n"/>
      <c r="FXL284" s="1132" t="n"/>
      <c r="FXM284" s="1132" t="n"/>
      <c r="FXN284" s="1132" t="n"/>
      <c r="FXO284" s="1132" t="n"/>
      <c r="FXP284" s="1132" t="n"/>
      <c r="FXQ284" s="1132" t="n"/>
      <c r="FXR284" s="1132" t="n"/>
      <c r="FXS284" s="1132" t="n"/>
      <c r="FXT284" s="1132" t="n"/>
      <c r="FXU284" s="1132" t="n"/>
      <c r="FXV284" s="1132" t="n"/>
      <c r="FXW284" s="1132" t="n"/>
      <c r="FXX284" s="1132" t="n"/>
      <c r="FXY284" s="1132" t="n"/>
      <c r="FXZ284" s="1132" t="n"/>
      <c r="FYA284" s="1132" t="n"/>
      <c r="FYB284" s="1132" t="n"/>
      <c r="FYC284" s="1132" t="n"/>
      <c r="FYD284" s="1132" t="n"/>
      <c r="FYE284" s="1132" t="n"/>
      <c r="FYF284" s="1132" t="n"/>
      <c r="FYG284" s="1132" t="n"/>
      <c r="FYH284" s="1132" t="n"/>
      <c r="FYI284" s="1132" t="n"/>
      <c r="FYJ284" s="1132" t="n"/>
      <c r="FYK284" s="1132" t="n"/>
      <c r="FYL284" s="1132" t="n"/>
      <c r="FYM284" s="1132" t="n"/>
      <c r="FYN284" s="1132" t="n"/>
      <c r="FYO284" s="1132" t="n"/>
      <c r="FYP284" s="1132" t="n"/>
      <c r="FYQ284" s="1132" t="n"/>
      <c r="FYR284" s="1132" t="n"/>
      <c r="FYS284" s="1132" t="n"/>
      <c r="FYT284" s="1132" t="n"/>
      <c r="FYU284" s="1132" t="n"/>
      <c r="FYV284" s="1132" t="n"/>
      <c r="FYW284" s="1132" t="n"/>
      <c r="FYX284" s="1132" t="n"/>
      <c r="FYY284" s="1132" t="n"/>
      <c r="FYZ284" s="1132" t="n"/>
      <c r="FZA284" s="1132" t="n"/>
      <c r="FZB284" s="1132" t="n"/>
      <c r="FZC284" s="1132" t="n"/>
      <c r="FZD284" s="1132" t="n"/>
      <c r="FZE284" s="1132" t="n"/>
      <c r="FZF284" s="1132" t="n"/>
      <c r="FZG284" s="1132" t="n"/>
      <c r="FZH284" s="1132" t="n"/>
      <c r="FZI284" s="1132" t="n"/>
      <c r="FZJ284" s="1132" t="n"/>
      <c r="FZK284" s="1132" t="n"/>
      <c r="FZL284" s="1132" t="n"/>
      <c r="FZM284" s="1132" t="n"/>
      <c r="FZN284" s="1132" t="n"/>
      <c r="FZO284" s="1132" t="n"/>
      <c r="FZP284" s="1132" t="n"/>
      <c r="FZQ284" s="1132" t="n"/>
      <c r="FZR284" s="1132" t="n"/>
      <c r="FZS284" s="1132" t="n"/>
      <c r="FZT284" s="1132" t="n"/>
      <c r="FZU284" s="1132" t="n"/>
      <c r="FZV284" s="1132" t="n"/>
      <c r="FZW284" s="1132" t="n"/>
      <c r="FZX284" s="1132" t="n"/>
      <c r="FZY284" s="1132" t="n"/>
      <c r="FZZ284" s="1132" t="n"/>
      <c r="GAA284" s="1132" t="n"/>
      <c r="GAB284" s="1132" t="n"/>
      <c r="GAC284" s="1132" t="n"/>
      <c r="GAD284" s="1132" t="n"/>
      <c r="GAE284" s="1132" t="n"/>
      <c r="GAF284" s="1132" t="n"/>
      <c r="GAG284" s="1132" t="n"/>
      <c r="GAH284" s="1132" t="n"/>
      <c r="GAI284" s="1132" t="n"/>
      <c r="GAJ284" s="1132" t="n"/>
      <c r="GAK284" s="1132" t="n"/>
      <c r="GAL284" s="1132" t="n"/>
      <c r="GAM284" s="1132" t="n"/>
      <c r="GAN284" s="1132" t="n"/>
      <c r="GAO284" s="1132" t="n"/>
      <c r="GAP284" s="1132" t="n"/>
      <c r="GAQ284" s="1132" t="n"/>
      <c r="GAR284" s="1132" t="n"/>
      <c r="GAS284" s="1132" t="n"/>
      <c r="GAT284" s="1132" t="n"/>
      <c r="GAU284" s="1132" t="n"/>
      <c r="GAV284" s="1132" t="n"/>
      <c r="GAW284" s="1132" t="n"/>
      <c r="GAX284" s="1132" t="n"/>
      <c r="GAY284" s="1132" t="n"/>
      <c r="GAZ284" s="1132" t="n"/>
      <c r="GBA284" s="1132" t="n"/>
      <c r="GBB284" s="1132" t="n"/>
      <c r="GBC284" s="1132" t="n"/>
      <c r="GBD284" s="1132" t="n"/>
      <c r="GBE284" s="1132" t="n"/>
      <c r="GBF284" s="1132" t="n"/>
      <c r="GBG284" s="1132" t="n"/>
      <c r="GBH284" s="1132" t="n"/>
      <c r="GBI284" s="1132" t="n"/>
      <c r="GBJ284" s="1132" t="n"/>
      <c r="GBK284" s="1132" t="n"/>
      <c r="GBL284" s="1132" t="n"/>
      <c r="GBM284" s="1132" t="n"/>
      <c r="GBN284" s="1132" t="n"/>
      <c r="GBO284" s="1132" t="n"/>
      <c r="GBP284" s="1132" t="n"/>
      <c r="GBQ284" s="1132" t="n"/>
      <c r="GBR284" s="1132" t="n"/>
      <c r="GBS284" s="1132" t="n"/>
      <c r="GBT284" s="1132" t="n"/>
      <c r="GBU284" s="1132" t="n"/>
      <c r="GBV284" s="1132" t="n"/>
      <c r="GBW284" s="1132" t="n"/>
      <c r="GBX284" s="1132" t="n"/>
      <c r="GBY284" s="1132" t="n"/>
      <c r="GBZ284" s="1132" t="n"/>
      <c r="GCA284" s="1132" t="n"/>
      <c r="GCB284" s="1132" t="n"/>
      <c r="GCC284" s="1132" t="n"/>
      <c r="GCD284" s="1132" t="n"/>
      <c r="GCE284" s="1132" t="n"/>
      <c r="GCF284" s="1132" t="n"/>
      <c r="GCG284" s="1132" t="n"/>
      <c r="GCH284" s="1132" t="n"/>
      <c r="GCI284" s="1132" t="n"/>
      <c r="GCJ284" s="1132" t="n"/>
      <c r="GCK284" s="1132" t="n"/>
      <c r="GCL284" s="1132" t="n"/>
      <c r="GCM284" s="1132" t="n"/>
      <c r="GCN284" s="1132" t="n"/>
      <c r="GCO284" s="1132" t="n"/>
      <c r="GCP284" s="1132" t="n"/>
      <c r="GCQ284" s="1132" t="n"/>
      <c r="GCR284" s="1132" t="n"/>
      <c r="GCS284" s="1132" t="n"/>
      <c r="GCT284" s="1132" t="n"/>
      <c r="GCU284" s="1132" t="n"/>
      <c r="GCV284" s="1132" t="n"/>
      <c r="GCW284" s="1132" t="n"/>
      <c r="GCX284" s="1132" t="n"/>
      <c r="GCY284" s="1132" t="n"/>
      <c r="GCZ284" s="1132" t="n"/>
      <c r="GDA284" s="1132" t="n"/>
      <c r="GDB284" s="1132" t="n"/>
      <c r="GDC284" s="1132" t="n"/>
      <c r="GDD284" s="1132" t="n"/>
      <c r="GDE284" s="1132" t="n"/>
      <c r="GDF284" s="1132" t="n"/>
      <c r="GDG284" s="1132" t="n"/>
      <c r="GDH284" s="1132" t="n"/>
      <c r="GDI284" s="1132" t="n"/>
      <c r="GDJ284" s="1132" t="n"/>
      <c r="GDK284" s="1132" t="n"/>
      <c r="GDL284" s="1132" t="n"/>
      <c r="GDM284" s="1132" t="n"/>
      <c r="GDN284" s="1132" t="n"/>
      <c r="GDO284" s="1132" t="n"/>
      <c r="GDP284" s="1132" t="n"/>
      <c r="GDQ284" s="1132" t="n"/>
      <c r="GDR284" s="1132" t="n"/>
      <c r="GDS284" s="1132" t="n"/>
      <c r="GDT284" s="1132" t="n"/>
      <c r="GDU284" s="1132" t="n"/>
      <c r="GDV284" s="1132" t="n"/>
      <c r="GDW284" s="1132" t="n"/>
      <c r="GDX284" s="1132" t="n"/>
      <c r="GDY284" s="1132" t="n"/>
      <c r="GDZ284" s="1132" t="n"/>
      <c r="GEA284" s="1132" t="n"/>
      <c r="GEB284" s="1132" t="n"/>
      <c r="GEC284" s="1132" t="n"/>
      <c r="GED284" s="1132" t="n"/>
      <c r="GEE284" s="1132" t="n"/>
      <c r="GEF284" s="1132" t="n"/>
      <c r="GEG284" s="1132" t="n"/>
      <c r="GEH284" s="1132" t="n"/>
      <c r="GEI284" s="1132" t="n"/>
      <c r="GEJ284" s="1132" t="n"/>
      <c r="GEK284" s="1132" t="n"/>
      <c r="GEL284" s="1132" t="n"/>
      <c r="GEM284" s="1132" t="n"/>
      <c r="GEN284" s="1132" t="n"/>
      <c r="GEO284" s="1132" t="n"/>
      <c r="GEP284" s="1132" t="n"/>
      <c r="GEQ284" s="1132" t="n"/>
      <c r="GER284" s="1132" t="n"/>
      <c r="GES284" s="1132" t="n"/>
      <c r="GET284" s="1132" t="n"/>
      <c r="GEU284" s="1132" t="n"/>
      <c r="GEV284" s="1132" t="n"/>
      <c r="GEW284" s="1132" t="n"/>
      <c r="GEX284" s="1132" t="n"/>
      <c r="GEY284" s="1132" t="n"/>
      <c r="GEZ284" s="1132" t="n"/>
      <c r="GFA284" s="1132" t="n"/>
      <c r="GFB284" s="1132" t="n"/>
      <c r="GFC284" s="1132" t="n"/>
      <c r="GFD284" s="1132" t="n"/>
      <c r="GFE284" s="1132" t="n"/>
      <c r="GFF284" s="1132" t="n"/>
      <c r="GFG284" s="1132" t="n"/>
      <c r="GFH284" s="1132" t="n"/>
      <c r="GFI284" s="1132" t="n"/>
      <c r="GFJ284" s="1132" t="n"/>
      <c r="GFK284" s="1132" t="n"/>
      <c r="GFL284" s="1132" t="n"/>
      <c r="GFM284" s="1132" t="n"/>
      <c r="GFN284" s="1132" t="n"/>
      <c r="GFO284" s="1132" t="n"/>
      <c r="GFP284" s="1132" t="n"/>
      <c r="GFQ284" s="1132" t="n"/>
      <c r="GFR284" s="1132" t="n"/>
      <c r="GFS284" s="1132" t="n"/>
      <c r="GFT284" s="1132" t="n"/>
      <c r="GFU284" s="1132" t="n"/>
      <c r="GFV284" s="1132" t="n"/>
      <c r="GFW284" s="1132" t="n"/>
      <c r="GFX284" s="1132" t="n"/>
      <c r="GFY284" s="1132" t="n"/>
      <c r="GFZ284" s="1132" t="n"/>
      <c r="GGA284" s="1132" t="n"/>
      <c r="GGB284" s="1132" t="n"/>
      <c r="GGC284" s="1132" t="n"/>
      <c r="GGD284" s="1132" t="n"/>
      <c r="GGE284" s="1132" t="n"/>
      <c r="GGF284" s="1132" t="n"/>
      <c r="GGG284" s="1132" t="n"/>
      <c r="GGH284" s="1132" t="n"/>
      <c r="GGI284" s="1132" t="n"/>
      <c r="GGJ284" s="1132" t="n"/>
      <c r="GGK284" s="1132" t="n"/>
      <c r="GGL284" s="1132" t="n"/>
      <c r="GGM284" s="1132" t="n"/>
      <c r="GGN284" s="1132" t="n"/>
      <c r="GGO284" s="1132" t="n"/>
      <c r="GGP284" s="1132" t="n"/>
      <c r="GGQ284" s="1132" t="n"/>
      <c r="GGR284" s="1132" t="n"/>
      <c r="GGS284" s="1132" t="n"/>
      <c r="GGT284" s="1132" t="n"/>
      <c r="GGU284" s="1132" t="n"/>
      <c r="GGV284" s="1132" t="n"/>
      <c r="GGW284" s="1132" t="n"/>
      <c r="GGX284" s="1132" t="n"/>
      <c r="GGY284" s="1132" t="n"/>
      <c r="GGZ284" s="1132" t="n"/>
      <c r="GHA284" s="1132" t="n"/>
      <c r="GHB284" s="1132" t="n"/>
      <c r="GHC284" s="1132" t="n"/>
      <c r="GHD284" s="1132" t="n"/>
      <c r="GHE284" s="1132" t="n"/>
      <c r="GHF284" s="1132" t="n"/>
      <c r="GHG284" s="1132" t="n"/>
      <c r="GHH284" s="1132" t="n"/>
      <c r="GHI284" s="1132" t="n"/>
      <c r="GHJ284" s="1132" t="n"/>
      <c r="GHK284" s="1132" t="n"/>
      <c r="GHL284" s="1132" t="n"/>
      <c r="GHM284" s="1132" t="n"/>
      <c r="GHN284" s="1132" t="n"/>
      <c r="GHO284" s="1132" t="n"/>
      <c r="GHP284" s="1132" t="n"/>
      <c r="GHQ284" s="1132" t="n"/>
      <c r="GHR284" s="1132" t="n"/>
      <c r="GHS284" s="1132" t="n"/>
      <c r="GHT284" s="1132" t="n"/>
      <c r="GHU284" s="1132" t="n"/>
      <c r="GHV284" s="1132" t="n"/>
      <c r="GHW284" s="1132" t="n"/>
      <c r="GHX284" s="1132" t="n"/>
      <c r="GHY284" s="1132" t="n"/>
      <c r="GHZ284" s="1132" t="n"/>
      <c r="GIA284" s="1132" t="n"/>
      <c r="GIB284" s="1132" t="n"/>
      <c r="GIC284" s="1132" t="n"/>
      <c r="GID284" s="1132" t="n"/>
      <c r="GIE284" s="1132" t="n"/>
      <c r="GIF284" s="1132" t="n"/>
      <c r="GIG284" s="1132" t="n"/>
      <c r="GIH284" s="1132" t="n"/>
      <c r="GII284" s="1132" t="n"/>
      <c r="GIJ284" s="1132" t="n"/>
      <c r="GIK284" s="1132" t="n"/>
      <c r="GIL284" s="1132" t="n"/>
      <c r="GIM284" s="1132" t="n"/>
      <c r="GIN284" s="1132" t="n"/>
      <c r="GIO284" s="1132" t="n"/>
      <c r="GIP284" s="1132" t="n"/>
      <c r="GIQ284" s="1132" t="n"/>
      <c r="GIR284" s="1132" t="n"/>
      <c r="GIS284" s="1132" t="n"/>
      <c r="GIT284" s="1132" t="n"/>
      <c r="GIU284" s="1132" t="n"/>
      <c r="GIV284" s="1132" t="n"/>
      <c r="GIW284" s="1132" t="n"/>
      <c r="GIX284" s="1132" t="n"/>
      <c r="GIY284" s="1132" t="n"/>
      <c r="GIZ284" s="1132" t="n"/>
      <c r="GJA284" s="1132" t="n"/>
      <c r="GJB284" s="1132" t="n"/>
      <c r="GJC284" s="1132" t="n"/>
      <c r="GJD284" s="1132" t="n"/>
      <c r="GJE284" s="1132" t="n"/>
      <c r="GJF284" s="1132" t="n"/>
      <c r="GJG284" s="1132" t="n"/>
      <c r="GJH284" s="1132" t="n"/>
      <c r="GJI284" s="1132" t="n"/>
      <c r="GJJ284" s="1132" t="n"/>
      <c r="GJK284" s="1132" t="n"/>
      <c r="GJL284" s="1132" t="n"/>
      <c r="GJM284" s="1132" t="n"/>
      <c r="GJN284" s="1132" t="n"/>
      <c r="GJO284" s="1132" t="n"/>
      <c r="GJP284" s="1132" t="n"/>
      <c r="GJQ284" s="1132" t="n"/>
      <c r="GJR284" s="1132" t="n"/>
      <c r="GJS284" s="1132" t="n"/>
      <c r="GJT284" s="1132" t="n"/>
      <c r="GJU284" s="1132" t="n"/>
      <c r="GJV284" s="1132" t="n"/>
      <c r="GJW284" s="1132" t="n"/>
      <c r="GJX284" s="1132" t="n"/>
      <c r="GJY284" s="1132" t="n"/>
      <c r="GJZ284" s="1132" t="n"/>
      <c r="GKA284" s="1132" t="n"/>
      <c r="GKB284" s="1132" t="n"/>
      <c r="GKC284" s="1132" t="n"/>
      <c r="GKD284" s="1132" t="n"/>
      <c r="GKE284" s="1132" t="n"/>
      <c r="GKF284" s="1132" t="n"/>
      <c r="GKG284" s="1132" t="n"/>
      <c r="GKH284" s="1132" t="n"/>
      <c r="GKI284" s="1132" t="n"/>
      <c r="GKJ284" s="1132" t="n"/>
      <c r="GKK284" s="1132" t="n"/>
      <c r="GKL284" s="1132" t="n"/>
      <c r="GKM284" s="1132" t="n"/>
      <c r="GKN284" s="1132" t="n"/>
      <c r="GKO284" s="1132" t="n"/>
      <c r="GKP284" s="1132" t="n"/>
      <c r="GKQ284" s="1132" t="n"/>
      <c r="GKR284" s="1132" t="n"/>
      <c r="GKS284" s="1132" t="n"/>
      <c r="GKT284" s="1132" t="n"/>
      <c r="GKU284" s="1132" t="n"/>
      <c r="GKV284" s="1132" t="n"/>
      <c r="GKW284" s="1132" t="n"/>
      <c r="GKX284" s="1132" t="n"/>
      <c r="GKY284" s="1132" t="n"/>
      <c r="GKZ284" s="1132" t="n"/>
      <c r="GLA284" s="1132" t="n"/>
      <c r="GLB284" s="1132" t="n"/>
      <c r="GLC284" s="1132" t="n"/>
      <c r="GLD284" s="1132" t="n"/>
      <c r="GLE284" s="1132" t="n"/>
      <c r="GLF284" s="1132" t="n"/>
      <c r="GLG284" s="1132" t="n"/>
      <c r="GLH284" s="1132" t="n"/>
      <c r="GLI284" s="1132" t="n"/>
      <c r="GLJ284" s="1132" t="n"/>
      <c r="GLK284" s="1132" t="n"/>
      <c r="GLL284" s="1132" t="n"/>
      <c r="GLM284" s="1132" t="n"/>
      <c r="GLN284" s="1132" t="n"/>
      <c r="GLO284" s="1132" t="n"/>
      <c r="GLP284" s="1132" t="n"/>
      <c r="GLQ284" s="1132" t="n"/>
      <c r="GLR284" s="1132" t="n"/>
      <c r="GLS284" s="1132" t="n"/>
      <c r="GLT284" s="1132" t="n"/>
      <c r="GLU284" s="1132" t="n"/>
      <c r="GLV284" s="1132" t="n"/>
      <c r="GLW284" s="1132" t="n"/>
      <c r="GLX284" s="1132" t="n"/>
      <c r="GLY284" s="1132" t="n"/>
      <c r="GLZ284" s="1132" t="n"/>
      <c r="GMA284" s="1132" t="n"/>
      <c r="GMB284" s="1132" t="n"/>
      <c r="GMC284" s="1132" t="n"/>
      <c r="GMD284" s="1132" t="n"/>
      <c r="GME284" s="1132" t="n"/>
      <c r="GMF284" s="1132" t="n"/>
      <c r="GMG284" s="1132" t="n"/>
      <c r="GMH284" s="1132" t="n"/>
      <c r="GMI284" s="1132" t="n"/>
      <c r="GMJ284" s="1132" t="n"/>
      <c r="GMK284" s="1132" t="n"/>
      <c r="GML284" s="1132" t="n"/>
      <c r="GMM284" s="1132" t="n"/>
      <c r="GMN284" s="1132" t="n"/>
      <c r="GMO284" s="1132" t="n"/>
      <c r="GMP284" s="1132" t="n"/>
      <c r="GMQ284" s="1132" t="n"/>
      <c r="GMR284" s="1132" t="n"/>
      <c r="GMS284" s="1132" t="n"/>
      <c r="GMT284" s="1132" t="n"/>
      <c r="GMU284" s="1132" t="n"/>
      <c r="GMV284" s="1132" t="n"/>
      <c r="GMW284" s="1132" t="n"/>
      <c r="GMX284" s="1132" t="n"/>
      <c r="GMY284" s="1132" t="n"/>
      <c r="GMZ284" s="1132" t="n"/>
      <c r="GNA284" s="1132" t="n"/>
      <c r="GNB284" s="1132" t="n"/>
      <c r="GNC284" s="1132" t="n"/>
      <c r="GND284" s="1132" t="n"/>
      <c r="GNE284" s="1132" t="n"/>
      <c r="GNF284" s="1132" t="n"/>
      <c r="GNG284" s="1132" t="n"/>
      <c r="GNH284" s="1132" t="n"/>
      <c r="GNI284" s="1132" t="n"/>
      <c r="GNJ284" s="1132" t="n"/>
      <c r="GNK284" s="1132" t="n"/>
      <c r="GNL284" s="1132" t="n"/>
      <c r="GNM284" s="1132" t="n"/>
      <c r="GNN284" s="1132" t="n"/>
      <c r="GNO284" s="1132" t="n"/>
      <c r="GNP284" s="1132" t="n"/>
      <c r="GNQ284" s="1132" t="n"/>
      <c r="GNR284" s="1132" t="n"/>
      <c r="GNS284" s="1132" t="n"/>
      <c r="GNT284" s="1132" t="n"/>
      <c r="GNU284" s="1132" t="n"/>
      <c r="GNV284" s="1132" t="n"/>
      <c r="GNW284" s="1132" t="n"/>
      <c r="GNX284" s="1132" t="n"/>
      <c r="GNY284" s="1132" t="n"/>
      <c r="GNZ284" s="1132" t="n"/>
      <c r="GOA284" s="1132" t="n"/>
      <c r="GOB284" s="1132" t="n"/>
      <c r="GOC284" s="1132" t="n"/>
      <c r="GOD284" s="1132" t="n"/>
      <c r="GOE284" s="1132" t="n"/>
      <c r="GOF284" s="1132" t="n"/>
      <c r="GOG284" s="1132" t="n"/>
      <c r="GOH284" s="1132" t="n"/>
      <c r="GOI284" s="1132" t="n"/>
      <c r="GOJ284" s="1132" t="n"/>
      <c r="GOK284" s="1132" t="n"/>
      <c r="GOL284" s="1132" t="n"/>
      <c r="GOM284" s="1132" t="n"/>
      <c r="GON284" s="1132" t="n"/>
      <c r="GOO284" s="1132" t="n"/>
      <c r="GOP284" s="1132" t="n"/>
      <c r="GOQ284" s="1132" t="n"/>
      <c r="GOR284" s="1132" t="n"/>
      <c r="GOS284" s="1132" t="n"/>
      <c r="GOT284" s="1132" t="n"/>
      <c r="GOU284" s="1132" t="n"/>
      <c r="GOV284" s="1132" t="n"/>
      <c r="GOW284" s="1132" t="n"/>
      <c r="GOX284" s="1132" t="n"/>
      <c r="GOY284" s="1132" t="n"/>
      <c r="GOZ284" s="1132" t="n"/>
      <c r="GPA284" s="1132" t="n"/>
      <c r="GPB284" s="1132" t="n"/>
      <c r="GPC284" s="1132" t="n"/>
      <c r="GPD284" s="1132" t="n"/>
      <c r="GPE284" s="1132" t="n"/>
      <c r="GPF284" s="1132" t="n"/>
      <c r="GPG284" s="1132" t="n"/>
      <c r="GPH284" s="1132" t="n"/>
      <c r="GPI284" s="1132" t="n"/>
      <c r="GPJ284" s="1132" t="n"/>
      <c r="GPK284" s="1132" t="n"/>
      <c r="GPL284" s="1132" t="n"/>
      <c r="GPM284" s="1132" t="n"/>
      <c r="GPN284" s="1132" t="n"/>
      <c r="GPO284" s="1132" t="n"/>
      <c r="GPP284" s="1132" t="n"/>
      <c r="GPQ284" s="1132" t="n"/>
      <c r="GPR284" s="1132" t="n"/>
      <c r="GPS284" s="1132" t="n"/>
      <c r="GPT284" s="1132" t="n"/>
      <c r="GPU284" s="1132" t="n"/>
      <c r="GPV284" s="1132" t="n"/>
      <c r="GPW284" s="1132" t="n"/>
      <c r="GPX284" s="1132" t="n"/>
      <c r="GPY284" s="1132" t="n"/>
      <c r="GPZ284" s="1132" t="n"/>
      <c r="GQA284" s="1132" t="n"/>
      <c r="GQB284" s="1132" t="n"/>
      <c r="GQC284" s="1132" t="n"/>
      <c r="GQD284" s="1132" t="n"/>
      <c r="GQE284" s="1132" t="n"/>
      <c r="GQF284" s="1132" t="n"/>
      <c r="GQG284" s="1132" t="n"/>
      <c r="GQH284" s="1132" t="n"/>
      <c r="GQI284" s="1132" t="n"/>
      <c r="GQJ284" s="1132" t="n"/>
      <c r="GQK284" s="1132" t="n"/>
      <c r="GQL284" s="1132" t="n"/>
      <c r="GQM284" s="1132" t="n"/>
      <c r="GQN284" s="1132" t="n"/>
      <c r="GQO284" s="1132" t="n"/>
      <c r="GQP284" s="1132" t="n"/>
      <c r="GQQ284" s="1132" t="n"/>
      <c r="GQR284" s="1132" t="n"/>
      <c r="GQS284" s="1132" t="n"/>
      <c r="GQT284" s="1132" t="n"/>
      <c r="GQU284" s="1132" t="n"/>
      <c r="GQV284" s="1132" t="n"/>
      <c r="GQW284" s="1132" t="n"/>
      <c r="GQX284" s="1132" t="n"/>
      <c r="GQY284" s="1132" t="n"/>
      <c r="GQZ284" s="1132" t="n"/>
      <c r="GRA284" s="1132" t="n"/>
      <c r="GRB284" s="1132" t="n"/>
      <c r="GRC284" s="1132" t="n"/>
      <c r="GRD284" s="1132" t="n"/>
      <c r="GRE284" s="1132" t="n"/>
      <c r="GRF284" s="1132" t="n"/>
      <c r="GRG284" s="1132" t="n"/>
      <c r="GRH284" s="1132" t="n"/>
      <c r="GRI284" s="1132" t="n"/>
      <c r="GRJ284" s="1132" t="n"/>
      <c r="GRK284" s="1132" t="n"/>
      <c r="GRL284" s="1132" t="n"/>
      <c r="GRM284" s="1132" t="n"/>
      <c r="GRN284" s="1132" t="n"/>
      <c r="GRO284" s="1132" t="n"/>
      <c r="GRP284" s="1132" t="n"/>
      <c r="GRQ284" s="1132" t="n"/>
      <c r="GRR284" s="1132" t="n"/>
      <c r="GRS284" s="1132" t="n"/>
      <c r="GRT284" s="1132" t="n"/>
      <c r="GRU284" s="1132" t="n"/>
      <c r="GRV284" s="1132" t="n"/>
      <c r="GRW284" s="1132" t="n"/>
      <c r="GRX284" s="1132" t="n"/>
      <c r="GRY284" s="1132" t="n"/>
      <c r="GRZ284" s="1132" t="n"/>
      <c r="GSA284" s="1132" t="n"/>
      <c r="GSB284" s="1132" t="n"/>
      <c r="GSC284" s="1132" t="n"/>
      <c r="GSD284" s="1132" t="n"/>
      <c r="GSE284" s="1132" t="n"/>
      <c r="GSF284" s="1132" t="n"/>
      <c r="GSG284" s="1132" t="n"/>
      <c r="GSH284" s="1132" t="n"/>
      <c r="GSI284" s="1132" t="n"/>
      <c r="GSJ284" s="1132" t="n"/>
      <c r="GSK284" s="1132" t="n"/>
      <c r="GSL284" s="1132" t="n"/>
      <c r="GSM284" s="1132" t="n"/>
      <c r="GSN284" s="1132" t="n"/>
      <c r="GSO284" s="1132" t="n"/>
      <c r="GSP284" s="1132" t="n"/>
      <c r="GSQ284" s="1132" t="n"/>
      <c r="GSR284" s="1132" t="n"/>
      <c r="GSS284" s="1132" t="n"/>
      <c r="GST284" s="1132" t="n"/>
      <c r="GSU284" s="1132" t="n"/>
      <c r="GSV284" s="1132" t="n"/>
      <c r="GSW284" s="1132" t="n"/>
      <c r="GSX284" s="1132" t="n"/>
      <c r="GSY284" s="1132" t="n"/>
      <c r="GSZ284" s="1132" t="n"/>
      <c r="GTA284" s="1132" t="n"/>
      <c r="GTB284" s="1132" t="n"/>
      <c r="GTC284" s="1132" t="n"/>
      <c r="GTD284" s="1132" t="n"/>
      <c r="GTE284" s="1132" t="n"/>
      <c r="GTF284" s="1132" t="n"/>
      <c r="GTG284" s="1132" t="n"/>
      <c r="GTH284" s="1132" t="n"/>
      <c r="GTI284" s="1132" t="n"/>
      <c r="GTJ284" s="1132" t="n"/>
      <c r="GTK284" s="1132" t="n"/>
      <c r="GTL284" s="1132" t="n"/>
      <c r="GTM284" s="1132" t="n"/>
      <c r="GTN284" s="1132" t="n"/>
      <c r="GTO284" s="1132" t="n"/>
      <c r="GTP284" s="1132" t="n"/>
      <c r="GTQ284" s="1132" t="n"/>
      <c r="GTR284" s="1132" t="n"/>
      <c r="GTS284" s="1132" t="n"/>
      <c r="GTT284" s="1132" t="n"/>
      <c r="GTU284" s="1132" t="n"/>
      <c r="GTV284" s="1132" t="n"/>
      <c r="GTW284" s="1132" t="n"/>
      <c r="GTX284" s="1132" t="n"/>
      <c r="GTY284" s="1132" t="n"/>
      <c r="GTZ284" s="1132" t="n"/>
      <c r="GUA284" s="1132" t="n"/>
      <c r="GUB284" s="1132" t="n"/>
      <c r="GUC284" s="1132" t="n"/>
      <c r="GUD284" s="1132" t="n"/>
      <c r="GUE284" s="1132" t="n"/>
      <c r="GUF284" s="1132" t="n"/>
      <c r="GUG284" s="1132" t="n"/>
      <c r="GUH284" s="1132" t="n"/>
      <c r="GUI284" s="1132" t="n"/>
      <c r="GUJ284" s="1132" t="n"/>
      <c r="GUK284" s="1132" t="n"/>
      <c r="GUL284" s="1132" t="n"/>
      <c r="GUM284" s="1132" t="n"/>
      <c r="GUN284" s="1132" t="n"/>
      <c r="GUO284" s="1132" t="n"/>
      <c r="GUP284" s="1132" t="n"/>
      <c r="GUQ284" s="1132" t="n"/>
      <c r="GUR284" s="1132" t="n"/>
      <c r="GUS284" s="1132" t="n"/>
      <c r="GUT284" s="1132" t="n"/>
      <c r="GUU284" s="1132" t="n"/>
      <c r="GUV284" s="1132" t="n"/>
      <c r="GUW284" s="1132" t="n"/>
      <c r="GUX284" s="1132" t="n"/>
      <c r="GUY284" s="1132" t="n"/>
      <c r="GUZ284" s="1132" t="n"/>
      <c r="GVA284" s="1132" t="n"/>
      <c r="GVB284" s="1132" t="n"/>
      <c r="GVC284" s="1132" t="n"/>
      <c r="GVD284" s="1132" t="n"/>
      <c r="GVE284" s="1132" t="n"/>
      <c r="GVF284" s="1132" t="n"/>
      <c r="GVG284" s="1132" t="n"/>
      <c r="GVH284" s="1132" t="n"/>
      <c r="GVI284" s="1132" t="n"/>
      <c r="GVJ284" s="1132" t="n"/>
      <c r="GVK284" s="1132" t="n"/>
      <c r="GVL284" s="1132" t="n"/>
      <c r="GVM284" s="1132" t="n"/>
      <c r="GVN284" s="1132" t="n"/>
      <c r="GVO284" s="1132" t="n"/>
      <c r="GVP284" s="1132" t="n"/>
      <c r="GVQ284" s="1132" t="n"/>
      <c r="GVR284" s="1132" t="n"/>
      <c r="GVS284" s="1132" t="n"/>
      <c r="GVT284" s="1132" t="n"/>
      <c r="GVU284" s="1132" t="n"/>
      <c r="GVV284" s="1132" t="n"/>
      <c r="GVW284" s="1132" t="n"/>
      <c r="GVX284" s="1132" t="n"/>
      <c r="GVY284" s="1132" t="n"/>
      <c r="GVZ284" s="1132" t="n"/>
      <c r="GWA284" s="1132" t="n"/>
      <c r="GWB284" s="1132" t="n"/>
      <c r="GWC284" s="1132" t="n"/>
      <c r="GWD284" s="1132" t="n"/>
      <c r="GWE284" s="1132" t="n"/>
      <c r="GWF284" s="1132" t="n"/>
      <c r="GWG284" s="1132" t="n"/>
      <c r="GWH284" s="1132" t="n"/>
      <c r="GWI284" s="1132" t="n"/>
      <c r="GWJ284" s="1132" t="n"/>
      <c r="GWK284" s="1132" t="n"/>
      <c r="GWL284" s="1132" t="n"/>
      <c r="GWM284" s="1132" t="n"/>
      <c r="GWN284" s="1132" t="n"/>
      <c r="GWO284" s="1132" t="n"/>
      <c r="GWP284" s="1132" t="n"/>
      <c r="GWQ284" s="1132" t="n"/>
      <c r="GWR284" s="1132" t="n"/>
      <c r="GWS284" s="1132" t="n"/>
      <c r="GWT284" s="1132" t="n"/>
      <c r="GWU284" s="1132" t="n"/>
      <c r="GWV284" s="1132" t="n"/>
      <c r="GWW284" s="1132" t="n"/>
      <c r="GWX284" s="1132" t="n"/>
      <c r="GWY284" s="1132" t="n"/>
      <c r="GWZ284" s="1132" t="n"/>
      <c r="GXA284" s="1132" t="n"/>
      <c r="GXB284" s="1132" t="n"/>
      <c r="GXC284" s="1132" t="n"/>
      <c r="GXD284" s="1132" t="n"/>
      <c r="GXE284" s="1132" t="n"/>
      <c r="GXF284" s="1132" t="n"/>
      <c r="GXG284" s="1132" t="n"/>
      <c r="GXH284" s="1132" t="n"/>
      <c r="GXI284" s="1132" t="n"/>
      <c r="GXJ284" s="1132" t="n"/>
      <c r="GXK284" s="1132" t="n"/>
      <c r="GXL284" s="1132" t="n"/>
      <c r="GXM284" s="1132" t="n"/>
      <c r="GXN284" s="1132" t="n"/>
      <c r="GXO284" s="1132" t="n"/>
      <c r="GXP284" s="1132" t="n"/>
      <c r="GXQ284" s="1132" t="n"/>
      <c r="GXR284" s="1132" t="n"/>
      <c r="GXS284" s="1132" t="n"/>
      <c r="GXT284" s="1132" t="n"/>
      <c r="GXU284" s="1132" t="n"/>
      <c r="GXV284" s="1132" t="n"/>
      <c r="GXW284" s="1132" t="n"/>
      <c r="GXX284" s="1132" t="n"/>
      <c r="GXY284" s="1132" t="n"/>
      <c r="GXZ284" s="1132" t="n"/>
      <c r="GYA284" s="1132" t="n"/>
      <c r="GYB284" s="1132" t="n"/>
      <c r="GYC284" s="1132" t="n"/>
      <c r="GYD284" s="1132" t="n"/>
      <c r="GYE284" s="1132" t="n"/>
      <c r="GYF284" s="1132" t="n"/>
      <c r="GYG284" s="1132" t="n"/>
      <c r="GYH284" s="1132" t="n"/>
      <c r="GYI284" s="1132" t="n"/>
      <c r="GYJ284" s="1132" t="n"/>
      <c r="GYK284" s="1132" t="n"/>
      <c r="GYL284" s="1132" t="n"/>
      <c r="GYM284" s="1132" t="n"/>
      <c r="GYN284" s="1132" t="n"/>
      <c r="GYO284" s="1132" t="n"/>
      <c r="GYP284" s="1132" t="n"/>
      <c r="GYQ284" s="1132" t="n"/>
      <c r="GYR284" s="1132" t="n"/>
      <c r="GYS284" s="1132" t="n"/>
      <c r="GYT284" s="1132" t="n"/>
      <c r="GYU284" s="1132" t="n"/>
      <c r="GYV284" s="1132" t="n"/>
      <c r="GYW284" s="1132" t="n"/>
      <c r="GYX284" s="1132" t="n"/>
      <c r="GYY284" s="1132" t="n"/>
      <c r="GYZ284" s="1132" t="n"/>
      <c r="GZA284" s="1132" t="n"/>
      <c r="GZB284" s="1132" t="n"/>
      <c r="GZC284" s="1132" t="n"/>
      <c r="GZD284" s="1132" t="n"/>
      <c r="GZE284" s="1132" t="n"/>
      <c r="GZF284" s="1132" t="n"/>
      <c r="GZG284" s="1132" t="n"/>
      <c r="GZH284" s="1132" t="n"/>
      <c r="GZI284" s="1132" t="n"/>
      <c r="GZJ284" s="1132" t="n"/>
      <c r="GZK284" s="1132" t="n"/>
      <c r="GZL284" s="1132" t="n"/>
      <c r="GZM284" s="1132" t="n"/>
      <c r="GZN284" s="1132" t="n"/>
      <c r="GZO284" s="1132" t="n"/>
      <c r="GZP284" s="1132" t="n"/>
      <c r="GZQ284" s="1132" t="n"/>
      <c r="GZR284" s="1132" t="n"/>
      <c r="GZS284" s="1132" t="n"/>
      <c r="GZT284" s="1132" t="n"/>
      <c r="GZU284" s="1132" t="n"/>
      <c r="GZV284" s="1132" t="n"/>
      <c r="GZW284" s="1132" t="n"/>
      <c r="GZX284" s="1132" t="n"/>
      <c r="GZY284" s="1132" t="n"/>
      <c r="GZZ284" s="1132" t="n"/>
      <c r="HAA284" s="1132" t="n"/>
      <c r="HAB284" s="1132" t="n"/>
      <c r="HAC284" s="1132" t="n"/>
      <c r="HAD284" s="1132" t="n"/>
      <c r="HAE284" s="1132" t="n"/>
      <c r="HAF284" s="1132" t="n"/>
      <c r="HAG284" s="1132" t="n"/>
      <c r="HAH284" s="1132" t="n"/>
      <c r="HAI284" s="1132" t="n"/>
      <c r="HAJ284" s="1132" t="n"/>
      <c r="HAK284" s="1132" t="n"/>
      <c r="HAL284" s="1132" t="n"/>
      <c r="HAM284" s="1132" t="n"/>
      <c r="HAN284" s="1132" t="n"/>
      <c r="HAO284" s="1132" t="n"/>
      <c r="HAP284" s="1132" t="n"/>
      <c r="HAQ284" s="1132" t="n"/>
      <c r="HAR284" s="1132" t="n"/>
      <c r="HAS284" s="1132" t="n"/>
      <c r="HAT284" s="1132" t="n"/>
      <c r="HAU284" s="1132" t="n"/>
      <c r="HAV284" s="1132" t="n"/>
      <c r="HAW284" s="1132" t="n"/>
      <c r="HAX284" s="1132" t="n"/>
      <c r="HAY284" s="1132" t="n"/>
      <c r="HAZ284" s="1132" t="n"/>
      <c r="HBA284" s="1132" t="n"/>
      <c r="HBB284" s="1132" t="n"/>
      <c r="HBC284" s="1132" t="n"/>
      <c r="HBD284" s="1132" t="n"/>
      <c r="HBE284" s="1132" t="n"/>
      <c r="HBF284" s="1132" t="n"/>
      <c r="HBG284" s="1132" t="n"/>
      <c r="HBH284" s="1132" t="n"/>
      <c r="HBI284" s="1132" t="n"/>
      <c r="HBJ284" s="1132" t="n"/>
      <c r="HBK284" s="1132" t="n"/>
      <c r="HBL284" s="1132" t="n"/>
      <c r="HBM284" s="1132" t="n"/>
      <c r="HBN284" s="1132" t="n"/>
      <c r="HBO284" s="1132" t="n"/>
      <c r="HBP284" s="1132" t="n"/>
      <c r="HBQ284" s="1132" t="n"/>
      <c r="HBR284" s="1132" t="n"/>
      <c r="HBS284" s="1132" t="n"/>
      <c r="HBT284" s="1132" t="n"/>
      <c r="HBU284" s="1132" t="n"/>
      <c r="HBV284" s="1132" t="n"/>
      <c r="HBW284" s="1132" t="n"/>
      <c r="HBX284" s="1132" t="n"/>
      <c r="HBY284" s="1132" t="n"/>
      <c r="HBZ284" s="1132" t="n"/>
      <c r="HCA284" s="1132" t="n"/>
      <c r="HCB284" s="1132" t="n"/>
      <c r="HCC284" s="1132" t="n"/>
      <c r="HCD284" s="1132" t="n"/>
      <c r="HCE284" s="1132" t="n"/>
      <c r="HCF284" s="1132" t="n"/>
      <c r="HCG284" s="1132" t="n"/>
      <c r="HCH284" s="1132" t="n"/>
      <c r="HCI284" s="1132" t="n"/>
      <c r="HCJ284" s="1132" t="n"/>
      <c r="HCK284" s="1132" t="n"/>
      <c r="HCL284" s="1132" t="n"/>
      <c r="HCM284" s="1132" t="n"/>
      <c r="HCN284" s="1132" t="n"/>
      <c r="HCO284" s="1132" t="n"/>
      <c r="HCP284" s="1132" t="n"/>
      <c r="HCQ284" s="1132" t="n"/>
      <c r="HCR284" s="1132" t="n"/>
      <c r="HCS284" s="1132" t="n"/>
      <c r="HCT284" s="1132" t="n"/>
      <c r="HCU284" s="1132" t="n"/>
      <c r="HCV284" s="1132" t="n"/>
      <c r="HCW284" s="1132" t="n"/>
      <c r="HCX284" s="1132" t="n"/>
      <c r="HCY284" s="1132" t="n"/>
      <c r="HCZ284" s="1132" t="n"/>
      <c r="HDA284" s="1132" t="n"/>
      <c r="HDB284" s="1132" t="n"/>
      <c r="HDC284" s="1132" t="n"/>
      <c r="HDD284" s="1132" t="n"/>
      <c r="HDE284" s="1132" t="n"/>
      <c r="HDF284" s="1132" t="n"/>
      <c r="HDG284" s="1132" t="n"/>
      <c r="HDH284" s="1132" t="n"/>
      <c r="HDI284" s="1132" t="n"/>
      <c r="HDJ284" s="1132" t="n"/>
      <c r="HDK284" s="1132" t="n"/>
      <c r="HDL284" s="1132" t="n"/>
      <c r="HDM284" s="1132" t="n"/>
      <c r="HDN284" s="1132" t="n"/>
      <c r="HDO284" s="1132" t="n"/>
      <c r="HDP284" s="1132" t="n"/>
      <c r="HDQ284" s="1132" t="n"/>
      <c r="HDR284" s="1132" t="n"/>
      <c r="HDS284" s="1132" t="n"/>
      <c r="HDT284" s="1132" t="n"/>
      <c r="HDU284" s="1132" t="n"/>
      <c r="HDV284" s="1132" t="n"/>
      <c r="HDW284" s="1132" t="n"/>
      <c r="HDX284" s="1132" t="n"/>
      <c r="HDY284" s="1132" t="n"/>
      <c r="HDZ284" s="1132" t="n"/>
      <c r="HEA284" s="1132" t="n"/>
      <c r="HEB284" s="1132" t="n"/>
      <c r="HEC284" s="1132" t="n"/>
      <c r="HED284" s="1132" t="n"/>
      <c r="HEE284" s="1132" t="n"/>
      <c r="HEF284" s="1132" t="n"/>
      <c r="HEG284" s="1132" t="n"/>
      <c r="HEH284" s="1132" t="n"/>
      <c r="HEI284" s="1132" t="n"/>
      <c r="HEJ284" s="1132" t="n"/>
      <c r="HEK284" s="1132" t="n"/>
      <c r="HEL284" s="1132" t="n"/>
      <c r="HEM284" s="1132" t="n"/>
      <c r="HEN284" s="1132" t="n"/>
      <c r="HEO284" s="1132" t="n"/>
      <c r="HEP284" s="1132" t="n"/>
      <c r="HEQ284" s="1132" t="n"/>
      <c r="HER284" s="1132" t="n"/>
      <c r="HES284" s="1132" t="n"/>
      <c r="HET284" s="1132" t="n"/>
      <c r="HEU284" s="1132" t="n"/>
      <c r="HEV284" s="1132" t="n"/>
      <c r="HEW284" s="1132" t="n"/>
      <c r="HEX284" s="1132" t="n"/>
      <c r="HEY284" s="1132" t="n"/>
      <c r="HEZ284" s="1132" t="n"/>
      <c r="HFA284" s="1132" t="n"/>
      <c r="HFB284" s="1132" t="n"/>
      <c r="HFC284" s="1132" t="n"/>
      <c r="HFD284" s="1132" t="n"/>
      <c r="HFE284" s="1132" t="n"/>
      <c r="HFF284" s="1132" t="n"/>
      <c r="HFG284" s="1132" t="n"/>
      <c r="HFH284" s="1132" t="n"/>
      <c r="HFI284" s="1132" t="n"/>
      <c r="HFJ284" s="1132" t="n"/>
      <c r="HFK284" s="1132" t="n"/>
      <c r="HFL284" s="1132" t="n"/>
      <c r="HFM284" s="1132" t="n"/>
      <c r="HFN284" s="1132" t="n"/>
      <c r="HFO284" s="1132" t="n"/>
      <c r="HFP284" s="1132" t="n"/>
      <c r="HFQ284" s="1132" t="n"/>
      <c r="HFR284" s="1132" t="n"/>
      <c r="HFS284" s="1132" t="n"/>
      <c r="HFT284" s="1132" t="n"/>
      <c r="HFU284" s="1132" t="n"/>
      <c r="HFV284" s="1132" t="n"/>
      <c r="HFW284" s="1132" t="n"/>
      <c r="HFX284" s="1132" t="n"/>
      <c r="HFY284" s="1132" t="n"/>
      <c r="HFZ284" s="1132" t="n"/>
      <c r="HGA284" s="1132" t="n"/>
      <c r="HGB284" s="1132" t="n"/>
      <c r="HGC284" s="1132" t="n"/>
      <c r="HGD284" s="1132" t="n"/>
      <c r="HGE284" s="1132" t="n"/>
      <c r="HGF284" s="1132" t="n"/>
      <c r="HGG284" s="1132" t="n"/>
      <c r="HGH284" s="1132" t="n"/>
      <c r="HGI284" s="1132" t="n"/>
      <c r="HGJ284" s="1132" t="n"/>
      <c r="HGK284" s="1132" t="n"/>
      <c r="HGL284" s="1132" t="n"/>
      <c r="HGM284" s="1132" t="n"/>
      <c r="HGN284" s="1132" t="n"/>
      <c r="HGO284" s="1132" t="n"/>
      <c r="HGP284" s="1132" t="n"/>
      <c r="HGQ284" s="1132" t="n"/>
      <c r="HGR284" s="1132" t="n"/>
      <c r="HGS284" s="1132" t="n"/>
      <c r="HGT284" s="1132" t="n"/>
      <c r="HGU284" s="1132" t="n"/>
      <c r="HGV284" s="1132" t="n"/>
      <c r="HGW284" s="1132" t="n"/>
      <c r="HGX284" s="1132" t="n"/>
      <c r="HGY284" s="1132" t="n"/>
      <c r="HGZ284" s="1132" t="n"/>
      <c r="HHA284" s="1132" t="n"/>
      <c r="HHB284" s="1132" t="n"/>
      <c r="HHC284" s="1132" t="n"/>
      <c r="HHD284" s="1132" t="n"/>
      <c r="HHE284" s="1132" t="n"/>
      <c r="HHF284" s="1132" t="n"/>
      <c r="HHG284" s="1132" t="n"/>
      <c r="HHH284" s="1132" t="n"/>
      <c r="HHI284" s="1132" t="n"/>
      <c r="HHJ284" s="1132" t="n"/>
      <c r="HHK284" s="1132" t="n"/>
      <c r="HHL284" s="1132" t="n"/>
      <c r="HHM284" s="1132" t="n"/>
      <c r="HHN284" s="1132" t="n"/>
      <c r="HHO284" s="1132" t="n"/>
      <c r="HHP284" s="1132" t="n"/>
      <c r="HHQ284" s="1132" t="n"/>
      <c r="HHR284" s="1132" t="n"/>
      <c r="HHS284" s="1132" t="n"/>
      <c r="HHT284" s="1132" t="n"/>
      <c r="HHU284" s="1132" t="n"/>
      <c r="HHV284" s="1132" t="n"/>
      <c r="HHW284" s="1132" t="n"/>
      <c r="HHX284" s="1132" t="n"/>
      <c r="HHY284" s="1132" t="n"/>
      <c r="HHZ284" s="1132" t="n"/>
      <c r="HIA284" s="1132" t="n"/>
      <c r="HIB284" s="1132" t="n"/>
      <c r="HIC284" s="1132" t="n"/>
      <c r="HID284" s="1132" t="n"/>
      <c r="HIE284" s="1132" t="n"/>
      <c r="HIF284" s="1132" t="n"/>
      <c r="HIG284" s="1132" t="n"/>
      <c r="HIH284" s="1132" t="n"/>
      <c r="HII284" s="1132" t="n"/>
      <c r="HIJ284" s="1132" t="n"/>
      <c r="HIK284" s="1132" t="n"/>
      <c r="HIL284" s="1132" t="n"/>
      <c r="HIM284" s="1132" t="n"/>
      <c r="HIN284" s="1132" t="n"/>
      <c r="HIO284" s="1132" t="n"/>
      <c r="HIP284" s="1132" t="n"/>
      <c r="HIQ284" s="1132" t="n"/>
      <c r="HIR284" s="1132" t="n"/>
      <c r="HIS284" s="1132" t="n"/>
      <c r="HIT284" s="1132" t="n"/>
      <c r="HIU284" s="1132" t="n"/>
      <c r="HIV284" s="1132" t="n"/>
      <c r="HIW284" s="1132" t="n"/>
      <c r="HIX284" s="1132" t="n"/>
      <c r="HIY284" s="1132" t="n"/>
      <c r="HIZ284" s="1132" t="n"/>
      <c r="HJA284" s="1132" t="n"/>
      <c r="HJB284" s="1132" t="n"/>
      <c r="HJC284" s="1132" t="n"/>
      <c r="HJD284" s="1132" t="n"/>
      <c r="HJE284" s="1132" t="n"/>
      <c r="HJF284" s="1132" t="n"/>
      <c r="HJG284" s="1132" t="n"/>
      <c r="HJH284" s="1132" t="n"/>
      <c r="HJI284" s="1132" t="n"/>
      <c r="HJJ284" s="1132" t="n"/>
      <c r="HJK284" s="1132" t="n"/>
      <c r="HJL284" s="1132" t="n"/>
      <c r="HJM284" s="1132" t="n"/>
      <c r="HJN284" s="1132" t="n"/>
      <c r="HJO284" s="1132" t="n"/>
      <c r="HJP284" s="1132" t="n"/>
      <c r="HJQ284" s="1132" t="n"/>
      <c r="HJR284" s="1132" t="n"/>
      <c r="HJS284" s="1132" t="n"/>
      <c r="HJT284" s="1132" t="n"/>
      <c r="HJU284" s="1132" t="n"/>
      <c r="HJV284" s="1132" t="n"/>
      <c r="HJW284" s="1132" t="n"/>
      <c r="HJX284" s="1132" t="n"/>
      <c r="HJY284" s="1132" t="n"/>
      <c r="HJZ284" s="1132" t="n"/>
      <c r="HKA284" s="1132" t="n"/>
      <c r="HKB284" s="1132" t="n"/>
      <c r="HKC284" s="1132" t="n"/>
      <c r="HKD284" s="1132" t="n"/>
      <c r="HKE284" s="1132" t="n"/>
      <c r="HKF284" s="1132" t="n"/>
      <c r="HKG284" s="1132" t="n"/>
      <c r="HKH284" s="1132" t="n"/>
      <c r="HKI284" s="1132" t="n"/>
      <c r="HKJ284" s="1132" t="n"/>
      <c r="HKK284" s="1132" t="n"/>
      <c r="HKL284" s="1132" t="n"/>
      <c r="HKM284" s="1132" t="n"/>
      <c r="HKN284" s="1132" t="n"/>
      <c r="HKO284" s="1132" t="n"/>
      <c r="HKP284" s="1132" t="n"/>
      <c r="HKQ284" s="1132" t="n"/>
      <c r="HKR284" s="1132" t="n"/>
      <c r="HKS284" s="1132" t="n"/>
      <c r="HKT284" s="1132" t="n"/>
      <c r="HKU284" s="1132" t="n"/>
      <c r="HKV284" s="1132" t="n"/>
      <c r="HKW284" s="1132" t="n"/>
      <c r="HKX284" s="1132" t="n"/>
      <c r="HKY284" s="1132" t="n"/>
      <c r="HKZ284" s="1132" t="n"/>
      <c r="HLA284" s="1132" t="n"/>
      <c r="HLB284" s="1132" t="n"/>
      <c r="HLC284" s="1132" t="n"/>
      <c r="HLD284" s="1132" t="n"/>
      <c r="HLE284" s="1132" t="n"/>
      <c r="HLF284" s="1132" t="n"/>
      <c r="HLG284" s="1132" t="n"/>
      <c r="HLH284" s="1132" t="n"/>
      <c r="HLI284" s="1132" t="n"/>
      <c r="HLJ284" s="1132" t="n"/>
      <c r="HLK284" s="1132" t="n"/>
      <c r="HLL284" s="1132" t="n"/>
      <c r="HLM284" s="1132" t="n"/>
      <c r="HLN284" s="1132" t="n"/>
      <c r="HLO284" s="1132" t="n"/>
      <c r="HLP284" s="1132" t="n"/>
      <c r="HLQ284" s="1132" t="n"/>
      <c r="HLR284" s="1132" t="n"/>
      <c r="HLS284" s="1132" t="n"/>
      <c r="HLT284" s="1132" t="n"/>
      <c r="HLU284" s="1132" t="n"/>
      <c r="HLV284" s="1132" t="n"/>
      <c r="HLW284" s="1132" t="n"/>
      <c r="HLX284" s="1132" t="n"/>
      <c r="HLY284" s="1132" t="n"/>
      <c r="HLZ284" s="1132" t="n"/>
      <c r="HMA284" s="1132" t="n"/>
      <c r="HMB284" s="1132" t="n"/>
      <c r="HMC284" s="1132" t="n"/>
      <c r="HMD284" s="1132" t="n"/>
      <c r="HME284" s="1132" t="n"/>
      <c r="HMF284" s="1132" t="n"/>
      <c r="HMG284" s="1132" t="n"/>
      <c r="HMH284" s="1132" t="n"/>
      <c r="HMI284" s="1132" t="n"/>
      <c r="HMJ284" s="1132" t="n"/>
      <c r="HMK284" s="1132" t="n"/>
      <c r="HML284" s="1132" t="n"/>
      <c r="HMM284" s="1132" t="n"/>
      <c r="HMN284" s="1132" t="n"/>
      <c r="HMO284" s="1132" t="n"/>
      <c r="HMP284" s="1132" t="n"/>
      <c r="HMQ284" s="1132" t="n"/>
      <c r="HMR284" s="1132" t="n"/>
      <c r="HMS284" s="1132" t="n"/>
      <c r="HMT284" s="1132" t="n"/>
      <c r="HMU284" s="1132" t="n"/>
      <c r="HMV284" s="1132" t="n"/>
      <c r="HMW284" s="1132" t="n"/>
      <c r="HMX284" s="1132" t="n"/>
      <c r="HMY284" s="1132" t="n"/>
      <c r="HMZ284" s="1132" t="n"/>
      <c r="HNA284" s="1132" t="n"/>
      <c r="HNB284" s="1132" t="n"/>
      <c r="HNC284" s="1132" t="n"/>
      <c r="HND284" s="1132" t="n"/>
      <c r="HNE284" s="1132" t="n"/>
      <c r="HNF284" s="1132" t="n"/>
      <c r="HNG284" s="1132" t="n"/>
      <c r="HNH284" s="1132" t="n"/>
      <c r="HNI284" s="1132" t="n"/>
      <c r="HNJ284" s="1132" t="n"/>
      <c r="HNK284" s="1132" t="n"/>
      <c r="HNL284" s="1132" t="n"/>
      <c r="HNM284" s="1132" t="n"/>
      <c r="HNN284" s="1132" t="n"/>
      <c r="HNO284" s="1132" t="n"/>
      <c r="HNP284" s="1132" t="n"/>
      <c r="HNQ284" s="1132" t="n"/>
      <c r="HNR284" s="1132" t="n"/>
      <c r="HNS284" s="1132" t="n"/>
      <c r="HNT284" s="1132" t="n"/>
      <c r="HNU284" s="1132" t="n"/>
      <c r="HNV284" s="1132" t="n"/>
      <c r="HNW284" s="1132" t="n"/>
      <c r="HNX284" s="1132" t="n"/>
      <c r="HNY284" s="1132" t="n"/>
      <c r="HNZ284" s="1132" t="n"/>
      <c r="HOA284" s="1132" t="n"/>
      <c r="HOB284" s="1132" t="n"/>
      <c r="HOC284" s="1132" t="n"/>
      <c r="HOD284" s="1132" t="n"/>
      <c r="HOE284" s="1132" t="n"/>
      <c r="HOF284" s="1132" t="n"/>
      <c r="HOG284" s="1132" t="n"/>
      <c r="HOH284" s="1132" t="n"/>
      <c r="HOI284" s="1132" t="n"/>
      <c r="HOJ284" s="1132" t="n"/>
      <c r="HOK284" s="1132" t="n"/>
      <c r="HOL284" s="1132" t="n"/>
      <c r="HOM284" s="1132" t="n"/>
      <c r="HON284" s="1132" t="n"/>
      <c r="HOO284" s="1132" t="n"/>
      <c r="HOP284" s="1132" t="n"/>
      <c r="HOQ284" s="1132" t="n"/>
      <c r="HOR284" s="1132" t="n"/>
      <c r="HOS284" s="1132" t="n"/>
      <c r="HOT284" s="1132" t="n"/>
      <c r="HOU284" s="1132" t="n"/>
      <c r="HOV284" s="1132" t="n"/>
      <c r="HOW284" s="1132" t="n"/>
      <c r="HOX284" s="1132" t="n"/>
      <c r="HOY284" s="1132" t="n"/>
      <c r="HOZ284" s="1132" t="n"/>
      <c r="HPA284" s="1132" t="n"/>
      <c r="HPB284" s="1132" t="n"/>
      <c r="HPC284" s="1132" t="n"/>
      <c r="HPD284" s="1132" t="n"/>
      <c r="HPE284" s="1132" t="n"/>
      <c r="HPF284" s="1132" t="n"/>
      <c r="HPG284" s="1132" t="n"/>
      <c r="HPH284" s="1132" t="n"/>
      <c r="HPI284" s="1132" t="n"/>
      <c r="HPJ284" s="1132" t="n"/>
      <c r="HPK284" s="1132" t="n"/>
      <c r="HPL284" s="1132" t="n"/>
      <c r="HPM284" s="1132" t="n"/>
      <c r="HPN284" s="1132" t="n"/>
      <c r="HPO284" s="1132" t="n"/>
      <c r="HPP284" s="1132" t="n"/>
      <c r="HPQ284" s="1132" t="n"/>
      <c r="HPR284" s="1132" t="n"/>
      <c r="HPS284" s="1132" t="n"/>
      <c r="HPT284" s="1132" t="n"/>
      <c r="HPU284" s="1132" t="n"/>
      <c r="HPV284" s="1132" t="n"/>
      <c r="HPW284" s="1132" t="n"/>
      <c r="HPX284" s="1132" t="n"/>
      <c r="HPY284" s="1132" t="n"/>
      <c r="HPZ284" s="1132" t="n"/>
      <c r="HQA284" s="1132" t="n"/>
      <c r="HQB284" s="1132" t="n"/>
      <c r="HQC284" s="1132" t="n"/>
      <c r="HQD284" s="1132" t="n"/>
      <c r="HQE284" s="1132" t="n"/>
      <c r="HQF284" s="1132" t="n"/>
      <c r="HQG284" s="1132" t="n"/>
      <c r="HQH284" s="1132" t="n"/>
      <c r="HQI284" s="1132" t="n"/>
      <c r="HQJ284" s="1132" t="n"/>
      <c r="HQK284" s="1132" t="n"/>
      <c r="HQL284" s="1132" t="n"/>
      <c r="HQM284" s="1132" t="n"/>
      <c r="HQN284" s="1132" t="n"/>
      <c r="HQO284" s="1132" t="n"/>
      <c r="HQP284" s="1132" t="n"/>
      <c r="HQQ284" s="1132" t="n"/>
      <c r="HQR284" s="1132" t="n"/>
      <c r="HQS284" s="1132" t="n"/>
      <c r="HQT284" s="1132" t="n"/>
      <c r="HQU284" s="1132" t="n"/>
      <c r="HQV284" s="1132" t="n"/>
      <c r="HQW284" s="1132" t="n"/>
      <c r="HQX284" s="1132" t="n"/>
      <c r="HQY284" s="1132" t="n"/>
      <c r="HQZ284" s="1132" t="n"/>
      <c r="HRA284" s="1132" t="n"/>
      <c r="HRB284" s="1132" t="n"/>
      <c r="HRC284" s="1132" t="n"/>
      <c r="HRD284" s="1132" t="n"/>
      <c r="HRE284" s="1132" t="n"/>
      <c r="HRF284" s="1132" t="n"/>
      <c r="HRG284" s="1132" t="n"/>
      <c r="HRH284" s="1132" t="n"/>
      <c r="HRI284" s="1132" t="n"/>
      <c r="HRJ284" s="1132" t="n"/>
      <c r="HRK284" s="1132" t="n"/>
      <c r="HRL284" s="1132" t="n"/>
      <c r="HRM284" s="1132" t="n"/>
      <c r="HRN284" s="1132" t="n"/>
      <c r="HRO284" s="1132" t="n"/>
      <c r="HRP284" s="1132" t="n"/>
      <c r="HRQ284" s="1132" t="n"/>
      <c r="HRR284" s="1132" t="n"/>
      <c r="HRS284" s="1132" t="n"/>
      <c r="HRT284" s="1132" t="n"/>
      <c r="HRU284" s="1132" t="n"/>
      <c r="HRV284" s="1132" t="n"/>
      <c r="HRW284" s="1132" t="n"/>
      <c r="HRX284" s="1132" t="n"/>
      <c r="HRY284" s="1132" t="n"/>
      <c r="HRZ284" s="1132" t="n"/>
      <c r="HSA284" s="1132" t="n"/>
      <c r="HSB284" s="1132" t="n"/>
      <c r="HSC284" s="1132" t="n"/>
      <c r="HSD284" s="1132" t="n"/>
      <c r="HSE284" s="1132" t="n"/>
      <c r="HSF284" s="1132" t="n"/>
      <c r="HSG284" s="1132" t="n"/>
      <c r="HSH284" s="1132" t="n"/>
      <c r="HSI284" s="1132" t="n"/>
      <c r="HSJ284" s="1132" t="n"/>
      <c r="HSK284" s="1132" t="n"/>
      <c r="HSL284" s="1132" t="n"/>
      <c r="HSM284" s="1132" t="n"/>
      <c r="HSN284" s="1132" t="n"/>
      <c r="HSO284" s="1132" t="n"/>
      <c r="HSP284" s="1132" t="n"/>
      <c r="HSQ284" s="1132" t="n"/>
      <c r="HSR284" s="1132" t="n"/>
      <c r="HSS284" s="1132" t="n"/>
      <c r="HST284" s="1132" t="n"/>
      <c r="HSU284" s="1132" t="n"/>
      <c r="HSV284" s="1132" t="n"/>
      <c r="HSW284" s="1132" t="n"/>
      <c r="HSX284" s="1132" t="n"/>
      <c r="HSY284" s="1132" t="n"/>
      <c r="HSZ284" s="1132" t="n"/>
      <c r="HTA284" s="1132" t="n"/>
      <c r="HTB284" s="1132" t="n"/>
      <c r="HTC284" s="1132" t="n"/>
      <c r="HTD284" s="1132" t="n"/>
      <c r="HTE284" s="1132" t="n"/>
      <c r="HTF284" s="1132" t="n"/>
      <c r="HTG284" s="1132" t="n"/>
      <c r="HTH284" s="1132" t="n"/>
      <c r="HTI284" s="1132" t="n"/>
      <c r="HTJ284" s="1132" t="n"/>
      <c r="HTK284" s="1132" t="n"/>
      <c r="HTL284" s="1132" t="n"/>
      <c r="HTM284" s="1132" t="n"/>
      <c r="HTN284" s="1132" t="n"/>
      <c r="HTO284" s="1132" t="n"/>
      <c r="HTP284" s="1132" t="n"/>
      <c r="HTQ284" s="1132" t="n"/>
      <c r="HTR284" s="1132" t="n"/>
      <c r="HTS284" s="1132" t="n"/>
      <c r="HTT284" s="1132" t="n"/>
      <c r="HTU284" s="1132" t="n"/>
      <c r="HTV284" s="1132" t="n"/>
      <c r="HTW284" s="1132" t="n"/>
      <c r="HTX284" s="1132" t="n"/>
      <c r="HTY284" s="1132" t="n"/>
      <c r="HTZ284" s="1132" t="n"/>
      <c r="HUA284" s="1132" t="n"/>
      <c r="HUB284" s="1132" t="n"/>
      <c r="HUC284" s="1132" t="n"/>
      <c r="HUD284" s="1132" t="n"/>
      <c r="HUE284" s="1132" t="n"/>
      <c r="HUF284" s="1132" t="n"/>
      <c r="HUG284" s="1132" t="n"/>
      <c r="HUH284" s="1132" t="n"/>
      <c r="HUI284" s="1132" t="n"/>
      <c r="HUJ284" s="1132" t="n"/>
      <c r="HUK284" s="1132" t="n"/>
      <c r="HUL284" s="1132" t="n"/>
      <c r="HUM284" s="1132" t="n"/>
      <c r="HUN284" s="1132" t="n"/>
      <c r="HUO284" s="1132" t="n"/>
      <c r="HUP284" s="1132" t="n"/>
      <c r="HUQ284" s="1132" t="n"/>
      <c r="HUR284" s="1132" t="n"/>
      <c r="HUS284" s="1132" t="n"/>
      <c r="HUT284" s="1132" t="n"/>
      <c r="HUU284" s="1132" t="n"/>
      <c r="HUV284" s="1132" t="n"/>
      <c r="HUW284" s="1132" t="n"/>
      <c r="HUX284" s="1132" t="n"/>
      <c r="HUY284" s="1132" t="n"/>
      <c r="HUZ284" s="1132" t="n"/>
      <c r="HVA284" s="1132" t="n"/>
      <c r="HVB284" s="1132" t="n"/>
      <c r="HVC284" s="1132" t="n"/>
      <c r="HVD284" s="1132" t="n"/>
      <c r="HVE284" s="1132" t="n"/>
      <c r="HVF284" s="1132" t="n"/>
      <c r="HVG284" s="1132" t="n"/>
      <c r="HVH284" s="1132" t="n"/>
      <c r="HVI284" s="1132" t="n"/>
      <c r="HVJ284" s="1132" t="n"/>
      <c r="HVK284" s="1132" t="n"/>
      <c r="HVL284" s="1132" t="n"/>
      <c r="HVM284" s="1132" t="n"/>
      <c r="HVN284" s="1132" t="n"/>
      <c r="HVO284" s="1132" t="n"/>
      <c r="HVP284" s="1132" t="n"/>
      <c r="HVQ284" s="1132" t="n"/>
      <c r="HVR284" s="1132" t="n"/>
      <c r="HVS284" s="1132" t="n"/>
      <c r="HVT284" s="1132" t="n"/>
      <c r="HVU284" s="1132" t="n"/>
      <c r="HVV284" s="1132" t="n"/>
      <c r="HVW284" s="1132" t="n"/>
      <c r="HVX284" s="1132" t="n"/>
      <c r="HVY284" s="1132" t="n"/>
      <c r="HVZ284" s="1132" t="n"/>
      <c r="HWA284" s="1132" t="n"/>
      <c r="HWB284" s="1132" t="n"/>
      <c r="HWC284" s="1132" t="n"/>
      <c r="HWD284" s="1132" t="n"/>
      <c r="HWE284" s="1132" t="n"/>
      <c r="HWF284" s="1132" t="n"/>
      <c r="HWG284" s="1132" t="n"/>
      <c r="HWH284" s="1132" t="n"/>
      <c r="HWI284" s="1132" t="n"/>
      <c r="HWJ284" s="1132" t="n"/>
      <c r="HWK284" s="1132" t="n"/>
      <c r="HWL284" s="1132" t="n"/>
      <c r="HWM284" s="1132" t="n"/>
      <c r="HWN284" s="1132" t="n"/>
      <c r="HWO284" s="1132" t="n"/>
      <c r="HWP284" s="1132" t="n"/>
      <c r="HWQ284" s="1132" t="n"/>
      <c r="HWR284" s="1132" t="n"/>
      <c r="HWS284" s="1132" t="n"/>
      <c r="HWT284" s="1132" t="n"/>
      <c r="HWU284" s="1132" t="n"/>
      <c r="HWV284" s="1132" t="n"/>
      <c r="HWW284" s="1132" t="n"/>
      <c r="HWX284" s="1132" t="n"/>
      <c r="HWY284" s="1132" t="n"/>
      <c r="HWZ284" s="1132" t="n"/>
      <c r="HXA284" s="1132" t="n"/>
      <c r="HXB284" s="1132" t="n"/>
      <c r="HXC284" s="1132" t="n"/>
      <c r="HXD284" s="1132" t="n"/>
      <c r="HXE284" s="1132" t="n"/>
      <c r="HXF284" s="1132" t="n"/>
      <c r="HXG284" s="1132" t="n"/>
      <c r="HXH284" s="1132" t="n"/>
      <c r="HXI284" s="1132" t="n"/>
      <c r="HXJ284" s="1132" t="n"/>
      <c r="HXK284" s="1132" t="n"/>
      <c r="HXL284" s="1132" t="n"/>
      <c r="HXM284" s="1132" t="n"/>
      <c r="HXN284" s="1132" t="n"/>
      <c r="HXO284" s="1132" t="n"/>
      <c r="HXP284" s="1132" t="n"/>
      <c r="HXQ284" s="1132" t="n"/>
      <c r="HXR284" s="1132" t="n"/>
      <c r="HXS284" s="1132" t="n"/>
      <c r="HXT284" s="1132" t="n"/>
      <c r="HXU284" s="1132" t="n"/>
      <c r="HXV284" s="1132" t="n"/>
      <c r="HXW284" s="1132" t="n"/>
      <c r="HXX284" s="1132" t="n"/>
      <c r="HXY284" s="1132" t="n"/>
      <c r="HXZ284" s="1132" t="n"/>
      <c r="HYA284" s="1132" t="n"/>
      <c r="HYB284" s="1132" t="n"/>
      <c r="HYC284" s="1132" t="n"/>
      <c r="HYD284" s="1132" t="n"/>
      <c r="HYE284" s="1132" t="n"/>
      <c r="HYF284" s="1132" t="n"/>
      <c r="HYG284" s="1132" t="n"/>
      <c r="HYH284" s="1132" t="n"/>
      <c r="HYI284" s="1132" t="n"/>
      <c r="HYJ284" s="1132" t="n"/>
      <c r="HYK284" s="1132" t="n"/>
      <c r="HYL284" s="1132" t="n"/>
      <c r="HYM284" s="1132" t="n"/>
      <c r="HYN284" s="1132" t="n"/>
      <c r="HYO284" s="1132" t="n"/>
      <c r="HYP284" s="1132" t="n"/>
      <c r="HYQ284" s="1132" t="n"/>
      <c r="HYR284" s="1132" t="n"/>
      <c r="HYS284" s="1132" t="n"/>
      <c r="HYT284" s="1132" t="n"/>
      <c r="HYU284" s="1132" t="n"/>
      <c r="HYV284" s="1132" t="n"/>
      <c r="HYW284" s="1132" t="n"/>
      <c r="HYX284" s="1132" t="n"/>
      <c r="HYY284" s="1132" t="n"/>
      <c r="HYZ284" s="1132" t="n"/>
      <c r="HZA284" s="1132" t="n"/>
      <c r="HZB284" s="1132" t="n"/>
      <c r="HZC284" s="1132" t="n"/>
      <c r="HZD284" s="1132" t="n"/>
      <c r="HZE284" s="1132" t="n"/>
      <c r="HZF284" s="1132" t="n"/>
      <c r="HZG284" s="1132" t="n"/>
      <c r="HZH284" s="1132" t="n"/>
      <c r="HZI284" s="1132" t="n"/>
      <c r="HZJ284" s="1132" t="n"/>
      <c r="HZK284" s="1132" t="n"/>
      <c r="HZL284" s="1132" t="n"/>
      <c r="HZM284" s="1132" t="n"/>
      <c r="HZN284" s="1132" t="n"/>
      <c r="HZO284" s="1132" t="n"/>
      <c r="HZP284" s="1132" t="n"/>
      <c r="HZQ284" s="1132" t="n"/>
      <c r="HZR284" s="1132" t="n"/>
      <c r="HZS284" s="1132" t="n"/>
      <c r="HZT284" s="1132" t="n"/>
      <c r="HZU284" s="1132" t="n"/>
      <c r="HZV284" s="1132" t="n"/>
      <c r="HZW284" s="1132" t="n"/>
      <c r="HZX284" s="1132" t="n"/>
      <c r="HZY284" s="1132" t="n"/>
      <c r="HZZ284" s="1132" t="n"/>
      <c r="IAA284" s="1132" t="n"/>
      <c r="IAB284" s="1132" t="n"/>
      <c r="IAC284" s="1132" t="n"/>
      <c r="IAD284" s="1132" t="n"/>
      <c r="IAE284" s="1132" t="n"/>
      <c r="IAF284" s="1132" t="n"/>
      <c r="IAG284" s="1132" t="n"/>
      <c r="IAH284" s="1132" t="n"/>
      <c r="IAI284" s="1132" t="n"/>
      <c r="IAJ284" s="1132" t="n"/>
      <c r="IAK284" s="1132" t="n"/>
      <c r="IAL284" s="1132" t="n"/>
      <c r="IAM284" s="1132" t="n"/>
      <c r="IAN284" s="1132" t="n"/>
      <c r="IAO284" s="1132" t="n"/>
      <c r="IAP284" s="1132" t="n"/>
      <c r="IAQ284" s="1132" t="n"/>
      <c r="IAR284" s="1132" t="n"/>
      <c r="IAS284" s="1132" t="n"/>
      <c r="IAT284" s="1132" t="n"/>
      <c r="IAU284" s="1132" t="n"/>
      <c r="IAV284" s="1132" t="n"/>
      <c r="IAW284" s="1132" t="n"/>
      <c r="IAX284" s="1132" t="n"/>
      <c r="IAY284" s="1132" t="n"/>
      <c r="IAZ284" s="1132" t="n"/>
      <c r="IBA284" s="1132" t="n"/>
      <c r="IBB284" s="1132" t="n"/>
      <c r="IBC284" s="1132" t="n"/>
      <c r="IBD284" s="1132" t="n"/>
      <c r="IBE284" s="1132" t="n"/>
      <c r="IBF284" s="1132" t="n"/>
      <c r="IBG284" s="1132" t="n"/>
      <c r="IBH284" s="1132" t="n"/>
      <c r="IBI284" s="1132" t="n"/>
      <c r="IBJ284" s="1132" t="n"/>
      <c r="IBK284" s="1132" t="n"/>
      <c r="IBL284" s="1132" t="n"/>
      <c r="IBM284" s="1132" t="n"/>
      <c r="IBN284" s="1132" t="n"/>
      <c r="IBO284" s="1132" t="n"/>
      <c r="IBP284" s="1132" t="n"/>
      <c r="IBQ284" s="1132" t="n"/>
      <c r="IBR284" s="1132" t="n"/>
      <c r="IBS284" s="1132" t="n"/>
      <c r="IBT284" s="1132" t="n"/>
      <c r="IBU284" s="1132" t="n"/>
      <c r="IBV284" s="1132" t="n"/>
      <c r="IBW284" s="1132" t="n"/>
      <c r="IBX284" s="1132" t="n"/>
      <c r="IBY284" s="1132" t="n"/>
      <c r="IBZ284" s="1132" t="n"/>
      <c r="ICA284" s="1132" t="n"/>
      <c r="ICB284" s="1132" t="n"/>
      <c r="ICC284" s="1132" t="n"/>
      <c r="ICD284" s="1132" t="n"/>
      <c r="ICE284" s="1132" t="n"/>
      <c r="ICF284" s="1132" t="n"/>
      <c r="ICG284" s="1132" t="n"/>
      <c r="ICH284" s="1132" t="n"/>
      <c r="ICI284" s="1132" t="n"/>
      <c r="ICJ284" s="1132" t="n"/>
      <c r="ICK284" s="1132" t="n"/>
      <c r="ICL284" s="1132" t="n"/>
      <c r="ICM284" s="1132" t="n"/>
      <c r="ICN284" s="1132" t="n"/>
      <c r="ICO284" s="1132" t="n"/>
      <c r="ICP284" s="1132" t="n"/>
      <c r="ICQ284" s="1132" t="n"/>
      <c r="ICR284" s="1132" t="n"/>
      <c r="ICS284" s="1132" t="n"/>
      <c r="ICT284" s="1132" t="n"/>
      <c r="ICU284" s="1132" t="n"/>
      <c r="ICV284" s="1132" t="n"/>
      <c r="ICW284" s="1132" t="n"/>
      <c r="ICX284" s="1132" t="n"/>
      <c r="ICY284" s="1132" t="n"/>
      <c r="ICZ284" s="1132" t="n"/>
      <c r="IDA284" s="1132" t="n"/>
      <c r="IDB284" s="1132" t="n"/>
      <c r="IDC284" s="1132" t="n"/>
      <c r="IDD284" s="1132" t="n"/>
      <c r="IDE284" s="1132" t="n"/>
      <c r="IDF284" s="1132" t="n"/>
      <c r="IDG284" s="1132" t="n"/>
      <c r="IDH284" s="1132" t="n"/>
      <c r="IDI284" s="1132" t="n"/>
      <c r="IDJ284" s="1132" t="n"/>
      <c r="IDK284" s="1132" t="n"/>
      <c r="IDL284" s="1132" t="n"/>
      <c r="IDM284" s="1132" t="n"/>
      <c r="IDN284" s="1132" t="n"/>
      <c r="IDO284" s="1132" t="n"/>
      <c r="IDP284" s="1132" t="n"/>
      <c r="IDQ284" s="1132" t="n"/>
      <c r="IDR284" s="1132" t="n"/>
      <c r="IDS284" s="1132" t="n"/>
      <c r="IDT284" s="1132" t="n"/>
      <c r="IDU284" s="1132" t="n"/>
      <c r="IDV284" s="1132" t="n"/>
      <c r="IDW284" s="1132" t="n"/>
      <c r="IDX284" s="1132" t="n"/>
      <c r="IDY284" s="1132" t="n"/>
      <c r="IDZ284" s="1132" t="n"/>
      <c r="IEA284" s="1132" t="n"/>
      <c r="IEB284" s="1132" t="n"/>
      <c r="IEC284" s="1132" t="n"/>
      <c r="IED284" s="1132" t="n"/>
      <c r="IEE284" s="1132" t="n"/>
      <c r="IEF284" s="1132" t="n"/>
      <c r="IEG284" s="1132" t="n"/>
      <c r="IEH284" s="1132" t="n"/>
      <c r="IEI284" s="1132" t="n"/>
      <c r="IEJ284" s="1132" t="n"/>
      <c r="IEK284" s="1132" t="n"/>
      <c r="IEL284" s="1132" t="n"/>
      <c r="IEM284" s="1132" t="n"/>
      <c r="IEN284" s="1132" t="n"/>
      <c r="IEO284" s="1132" t="n"/>
      <c r="IEP284" s="1132" t="n"/>
      <c r="IEQ284" s="1132" t="n"/>
      <c r="IER284" s="1132" t="n"/>
      <c r="IES284" s="1132" t="n"/>
      <c r="IET284" s="1132" t="n"/>
      <c r="IEU284" s="1132" t="n"/>
      <c r="IEV284" s="1132" t="n"/>
      <c r="IEW284" s="1132" t="n"/>
      <c r="IEX284" s="1132" t="n"/>
      <c r="IEY284" s="1132" t="n"/>
      <c r="IEZ284" s="1132" t="n"/>
      <c r="IFA284" s="1132" t="n"/>
      <c r="IFB284" s="1132" t="n"/>
      <c r="IFC284" s="1132" t="n"/>
      <c r="IFD284" s="1132" t="n"/>
      <c r="IFE284" s="1132" t="n"/>
      <c r="IFF284" s="1132" t="n"/>
      <c r="IFG284" s="1132" t="n"/>
      <c r="IFH284" s="1132" t="n"/>
      <c r="IFI284" s="1132" t="n"/>
      <c r="IFJ284" s="1132" t="n"/>
      <c r="IFK284" s="1132" t="n"/>
      <c r="IFL284" s="1132" t="n"/>
      <c r="IFM284" s="1132" t="n"/>
      <c r="IFN284" s="1132" t="n"/>
      <c r="IFO284" s="1132" t="n"/>
      <c r="IFP284" s="1132" t="n"/>
      <c r="IFQ284" s="1132" t="n"/>
      <c r="IFR284" s="1132" t="n"/>
      <c r="IFS284" s="1132" t="n"/>
      <c r="IFT284" s="1132" t="n"/>
      <c r="IFU284" s="1132" t="n"/>
      <c r="IFV284" s="1132" t="n"/>
      <c r="IFW284" s="1132" t="n"/>
      <c r="IFX284" s="1132" t="n"/>
      <c r="IFY284" s="1132" t="n"/>
      <c r="IFZ284" s="1132" t="n"/>
      <c r="IGA284" s="1132" t="n"/>
      <c r="IGB284" s="1132" t="n"/>
      <c r="IGC284" s="1132" t="n"/>
      <c r="IGD284" s="1132" t="n"/>
      <c r="IGE284" s="1132" t="n"/>
      <c r="IGF284" s="1132" t="n"/>
      <c r="IGG284" s="1132" t="n"/>
      <c r="IGH284" s="1132" t="n"/>
      <c r="IGI284" s="1132" t="n"/>
      <c r="IGJ284" s="1132" t="n"/>
      <c r="IGK284" s="1132" t="n"/>
      <c r="IGL284" s="1132" t="n"/>
      <c r="IGM284" s="1132" t="n"/>
      <c r="IGN284" s="1132" t="n"/>
      <c r="IGO284" s="1132" t="n"/>
      <c r="IGP284" s="1132" t="n"/>
      <c r="IGQ284" s="1132" t="n"/>
      <c r="IGR284" s="1132" t="n"/>
      <c r="IGS284" s="1132" t="n"/>
      <c r="IGT284" s="1132" t="n"/>
      <c r="IGU284" s="1132" t="n"/>
      <c r="IGV284" s="1132" t="n"/>
      <c r="IGW284" s="1132" t="n"/>
      <c r="IGX284" s="1132" t="n"/>
      <c r="IGY284" s="1132" t="n"/>
      <c r="IGZ284" s="1132" t="n"/>
      <c r="IHA284" s="1132" t="n"/>
      <c r="IHB284" s="1132" t="n"/>
      <c r="IHC284" s="1132" t="n"/>
      <c r="IHD284" s="1132" t="n"/>
      <c r="IHE284" s="1132" t="n"/>
      <c r="IHF284" s="1132" t="n"/>
      <c r="IHG284" s="1132" t="n"/>
      <c r="IHH284" s="1132" t="n"/>
      <c r="IHI284" s="1132" t="n"/>
      <c r="IHJ284" s="1132" t="n"/>
      <c r="IHK284" s="1132" t="n"/>
      <c r="IHL284" s="1132" t="n"/>
      <c r="IHM284" s="1132" t="n"/>
      <c r="IHN284" s="1132" t="n"/>
      <c r="IHO284" s="1132" t="n"/>
      <c r="IHP284" s="1132" t="n"/>
      <c r="IHQ284" s="1132" t="n"/>
      <c r="IHR284" s="1132" t="n"/>
      <c r="IHS284" s="1132" t="n"/>
      <c r="IHT284" s="1132" t="n"/>
      <c r="IHU284" s="1132" t="n"/>
      <c r="IHV284" s="1132" t="n"/>
      <c r="IHW284" s="1132" t="n"/>
      <c r="IHX284" s="1132" t="n"/>
      <c r="IHY284" s="1132" t="n"/>
      <c r="IHZ284" s="1132" t="n"/>
      <c r="IIA284" s="1132" t="n"/>
      <c r="IIB284" s="1132" t="n"/>
      <c r="IIC284" s="1132" t="n"/>
      <c r="IID284" s="1132" t="n"/>
      <c r="IIE284" s="1132" t="n"/>
      <c r="IIF284" s="1132" t="n"/>
      <c r="IIG284" s="1132" t="n"/>
      <c r="IIH284" s="1132" t="n"/>
      <c r="III284" s="1132" t="n"/>
      <c r="IIJ284" s="1132" t="n"/>
      <c r="IIK284" s="1132" t="n"/>
      <c r="IIL284" s="1132" t="n"/>
      <c r="IIM284" s="1132" t="n"/>
      <c r="IIN284" s="1132" t="n"/>
      <c r="IIO284" s="1132" t="n"/>
      <c r="IIP284" s="1132" t="n"/>
      <c r="IIQ284" s="1132" t="n"/>
      <c r="IIR284" s="1132" t="n"/>
      <c r="IIS284" s="1132" t="n"/>
      <c r="IIT284" s="1132" t="n"/>
      <c r="IIU284" s="1132" t="n"/>
      <c r="IIV284" s="1132" t="n"/>
      <c r="IIW284" s="1132" t="n"/>
      <c r="IIX284" s="1132" t="n"/>
      <c r="IIY284" s="1132" t="n"/>
      <c r="IIZ284" s="1132" t="n"/>
      <c r="IJA284" s="1132" t="n"/>
      <c r="IJB284" s="1132" t="n"/>
      <c r="IJC284" s="1132" t="n"/>
      <c r="IJD284" s="1132" t="n"/>
      <c r="IJE284" s="1132" t="n"/>
      <c r="IJF284" s="1132" t="n"/>
      <c r="IJG284" s="1132" t="n"/>
      <c r="IJH284" s="1132" t="n"/>
      <c r="IJI284" s="1132" t="n"/>
      <c r="IJJ284" s="1132" t="n"/>
      <c r="IJK284" s="1132" t="n"/>
      <c r="IJL284" s="1132" t="n"/>
      <c r="IJM284" s="1132" t="n"/>
      <c r="IJN284" s="1132" t="n"/>
      <c r="IJO284" s="1132" t="n"/>
      <c r="IJP284" s="1132" t="n"/>
      <c r="IJQ284" s="1132" t="n"/>
      <c r="IJR284" s="1132" t="n"/>
      <c r="IJS284" s="1132" t="n"/>
      <c r="IJT284" s="1132" t="n"/>
      <c r="IJU284" s="1132" t="n"/>
      <c r="IJV284" s="1132" t="n"/>
      <c r="IJW284" s="1132" t="n"/>
      <c r="IJX284" s="1132" t="n"/>
      <c r="IJY284" s="1132" t="n"/>
      <c r="IJZ284" s="1132" t="n"/>
      <c r="IKA284" s="1132" t="n"/>
      <c r="IKB284" s="1132" t="n"/>
      <c r="IKC284" s="1132" t="n"/>
      <c r="IKD284" s="1132" t="n"/>
      <c r="IKE284" s="1132" t="n"/>
      <c r="IKF284" s="1132" t="n"/>
      <c r="IKG284" s="1132" t="n"/>
      <c r="IKH284" s="1132" t="n"/>
      <c r="IKI284" s="1132" t="n"/>
      <c r="IKJ284" s="1132" t="n"/>
      <c r="IKK284" s="1132" t="n"/>
      <c r="IKL284" s="1132" t="n"/>
      <c r="IKM284" s="1132" t="n"/>
      <c r="IKN284" s="1132" t="n"/>
      <c r="IKO284" s="1132" t="n"/>
      <c r="IKP284" s="1132" t="n"/>
      <c r="IKQ284" s="1132" t="n"/>
      <c r="IKR284" s="1132" t="n"/>
      <c r="IKS284" s="1132" t="n"/>
      <c r="IKT284" s="1132" t="n"/>
      <c r="IKU284" s="1132" t="n"/>
      <c r="IKV284" s="1132" t="n"/>
      <c r="IKW284" s="1132" t="n"/>
      <c r="IKX284" s="1132" t="n"/>
      <c r="IKY284" s="1132" t="n"/>
      <c r="IKZ284" s="1132" t="n"/>
      <c r="ILA284" s="1132" t="n"/>
      <c r="ILB284" s="1132" t="n"/>
      <c r="ILC284" s="1132" t="n"/>
      <c r="ILD284" s="1132" t="n"/>
      <c r="ILE284" s="1132" t="n"/>
      <c r="ILF284" s="1132" t="n"/>
      <c r="ILG284" s="1132" t="n"/>
      <c r="ILH284" s="1132" t="n"/>
      <c r="ILI284" s="1132" t="n"/>
      <c r="ILJ284" s="1132" t="n"/>
      <c r="ILK284" s="1132" t="n"/>
      <c r="ILL284" s="1132" t="n"/>
      <c r="ILM284" s="1132" t="n"/>
      <c r="ILN284" s="1132" t="n"/>
      <c r="ILO284" s="1132" t="n"/>
      <c r="ILP284" s="1132" t="n"/>
      <c r="ILQ284" s="1132" t="n"/>
      <c r="ILR284" s="1132" t="n"/>
      <c r="ILS284" s="1132" t="n"/>
      <c r="ILT284" s="1132" t="n"/>
      <c r="ILU284" s="1132" t="n"/>
      <c r="ILV284" s="1132" t="n"/>
      <c r="ILW284" s="1132" t="n"/>
      <c r="ILX284" s="1132" t="n"/>
      <c r="ILY284" s="1132" t="n"/>
      <c r="ILZ284" s="1132" t="n"/>
      <c r="IMA284" s="1132" t="n"/>
      <c r="IMB284" s="1132" t="n"/>
      <c r="IMC284" s="1132" t="n"/>
      <c r="IMD284" s="1132" t="n"/>
      <c r="IME284" s="1132" t="n"/>
      <c r="IMF284" s="1132" t="n"/>
      <c r="IMG284" s="1132" t="n"/>
      <c r="IMH284" s="1132" t="n"/>
      <c r="IMI284" s="1132" t="n"/>
      <c r="IMJ284" s="1132" t="n"/>
      <c r="IMK284" s="1132" t="n"/>
      <c r="IML284" s="1132" t="n"/>
      <c r="IMM284" s="1132" t="n"/>
      <c r="IMN284" s="1132" t="n"/>
      <c r="IMO284" s="1132" t="n"/>
      <c r="IMP284" s="1132" t="n"/>
      <c r="IMQ284" s="1132" t="n"/>
      <c r="IMR284" s="1132" t="n"/>
      <c r="IMS284" s="1132" t="n"/>
      <c r="IMT284" s="1132" t="n"/>
      <c r="IMU284" s="1132" t="n"/>
      <c r="IMV284" s="1132" t="n"/>
      <c r="IMW284" s="1132" t="n"/>
      <c r="IMX284" s="1132" t="n"/>
      <c r="IMY284" s="1132" t="n"/>
      <c r="IMZ284" s="1132" t="n"/>
      <c r="INA284" s="1132" t="n"/>
      <c r="INB284" s="1132" t="n"/>
      <c r="INC284" s="1132" t="n"/>
      <c r="IND284" s="1132" t="n"/>
      <c r="INE284" s="1132" t="n"/>
      <c r="INF284" s="1132" t="n"/>
      <c r="ING284" s="1132" t="n"/>
      <c r="INH284" s="1132" t="n"/>
      <c r="INI284" s="1132" t="n"/>
      <c r="INJ284" s="1132" t="n"/>
      <c r="INK284" s="1132" t="n"/>
      <c r="INL284" s="1132" t="n"/>
      <c r="INM284" s="1132" t="n"/>
      <c r="INN284" s="1132" t="n"/>
      <c r="INO284" s="1132" t="n"/>
      <c r="INP284" s="1132" t="n"/>
      <c r="INQ284" s="1132" t="n"/>
      <c r="INR284" s="1132" t="n"/>
      <c r="INS284" s="1132" t="n"/>
      <c r="INT284" s="1132" t="n"/>
      <c r="INU284" s="1132" t="n"/>
      <c r="INV284" s="1132" t="n"/>
      <c r="INW284" s="1132" t="n"/>
      <c r="INX284" s="1132" t="n"/>
      <c r="INY284" s="1132" t="n"/>
      <c r="INZ284" s="1132" t="n"/>
      <c r="IOA284" s="1132" t="n"/>
      <c r="IOB284" s="1132" t="n"/>
      <c r="IOC284" s="1132" t="n"/>
      <c r="IOD284" s="1132" t="n"/>
      <c r="IOE284" s="1132" t="n"/>
      <c r="IOF284" s="1132" t="n"/>
      <c r="IOG284" s="1132" t="n"/>
      <c r="IOH284" s="1132" t="n"/>
      <c r="IOI284" s="1132" t="n"/>
      <c r="IOJ284" s="1132" t="n"/>
      <c r="IOK284" s="1132" t="n"/>
      <c r="IOL284" s="1132" t="n"/>
      <c r="IOM284" s="1132" t="n"/>
      <c r="ION284" s="1132" t="n"/>
      <c r="IOO284" s="1132" t="n"/>
      <c r="IOP284" s="1132" t="n"/>
      <c r="IOQ284" s="1132" t="n"/>
      <c r="IOR284" s="1132" t="n"/>
      <c r="IOS284" s="1132" t="n"/>
      <c r="IOT284" s="1132" t="n"/>
      <c r="IOU284" s="1132" t="n"/>
      <c r="IOV284" s="1132" t="n"/>
      <c r="IOW284" s="1132" t="n"/>
      <c r="IOX284" s="1132" t="n"/>
      <c r="IOY284" s="1132" t="n"/>
      <c r="IOZ284" s="1132" t="n"/>
      <c r="IPA284" s="1132" t="n"/>
      <c r="IPB284" s="1132" t="n"/>
      <c r="IPC284" s="1132" t="n"/>
      <c r="IPD284" s="1132" t="n"/>
      <c r="IPE284" s="1132" t="n"/>
      <c r="IPF284" s="1132" t="n"/>
      <c r="IPG284" s="1132" t="n"/>
      <c r="IPH284" s="1132" t="n"/>
      <c r="IPI284" s="1132" t="n"/>
      <c r="IPJ284" s="1132" t="n"/>
      <c r="IPK284" s="1132" t="n"/>
      <c r="IPL284" s="1132" t="n"/>
      <c r="IPM284" s="1132" t="n"/>
      <c r="IPN284" s="1132" t="n"/>
      <c r="IPO284" s="1132" t="n"/>
      <c r="IPP284" s="1132" t="n"/>
      <c r="IPQ284" s="1132" t="n"/>
      <c r="IPR284" s="1132" t="n"/>
      <c r="IPS284" s="1132" t="n"/>
      <c r="IPT284" s="1132" t="n"/>
      <c r="IPU284" s="1132" t="n"/>
      <c r="IPV284" s="1132" t="n"/>
      <c r="IPW284" s="1132" t="n"/>
      <c r="IPX284" s="1132" t="n"/>
      <c r="IPY284" s="1132" t="n"/>
      <c r="IPZ284" s="1132" t="n"/>
      <c r="IQA284" s="1132" t="n"/>
      <c r="IQB284" s="1132" t="n"/>
      <c r="IQC284" s="1132" t="n"/>
      <c r="IQD284" s="1132" t="n"/>
      <c r="IQE284" s="1132" t="n"/>
      <c r="IQF284" s="1132" t="n"/>
      <c r="IQG284" s="1132" t="n"/>
      <c r="IQH284" s="1132" t="n"/>
      <c r="IQI284" s="1132" t="n"/>
      <c r="IQJ284" s="1132" t="n"/>
      <c r="IQK284" s="1132" t="n"/>
      <c r="IQL284" s="1132" t="n"/>
      <c r="IQM284" s="1132" t="n"/>
      <c r="IQN284" s="1132" t="n"/>
      <c r="IQO284" s="1132" t="n"/>
      <c r="IQP284" s="1132" t="n"/>
      <c r="IQQ284" s="1132" t="n"/>
      <c r="IQR284" s="1132" t="n"/>
      <c r="IQS284" s="1132" t="n"/>
      <c r="IQT284" s="1132" t="n"/>
      <c r="IQU284" s="1132" t="n"/>
      <c r="IQV284" s="1132" t="n"/>
      <c r="IQW284" s="1132" t="n"/>
      <c r="IQX284" s="1132" t="n"/>
      <c r="IQY284" s="1132" t="n"/>
      <c r="IQZ284" s="1132" t="n"/>
      <c r="IRA284" s="1132" t="n"/>
      <c r="IRB284" s="1132" t="n"/>
      <c r="IRC284" s="1132" t="n"/>
      <c r="IRD284" s="1132" t="n"/>
      <c r="IRE284" s="1132" t="n"/>
      <c r="IRF284" s="1132" t="n"/>
      <c r="IRG284" s="1132" t="n"/>
      <c r="IRH284" s="1132" t="n"/>
      <c r="IRI284" s="1132" t="n"/>
      <c r="IRJ284" s="1132" t="n"/>
      <c r="IRK284" s="1132" t="n"/>
      <c r="IRL284" s="1132" t="n"/>
      <c r="IRM284" s="1132" t="n"/>
      <c r="IRN284" s="1132" t="n"/>
      <c r="IRO284" s="1132" t="n"/>
      <c r="IRP284" s="1132" t="n"/>
      <c r="IRQ284" s="1132" t="n"/>
      <c r="IRR284" s="1132" t="n"/>
      <c r="IRS284" s="1132" t="n"/>
      <c r="IRT284" s="1132" t="n"/>
      <c r="IRU284" s="1132" t="n"/>
      <c r="IRV284" s="1132" t="n"/>
      <c r="IRW284" s="1132" t="n"/>
      <c r="IRX284" s="1132" t="n"/>
      <c r="IRY284" s="1132" t="n"/>
      <c r="IRZ284" s="1132" t="n"/>
      <c r="ISA284" s="1132" t="n"/>
      <c r="ISB284" s="1132" t="n"/>
      <c r="ISC284" s="1132" t="n"/>
      <c r="ISD284" s="1132" t="n"/>
      <c r="ISE284" s="1132" t="n"/>
      <c r="ISF284" s="1132" t="n"/>
      <c r="ISG284" s="1132" t="n"/>
      <c r="ISH284" s="1132" t="n"/>
      <c r="ISI284" s="1132" t="n"/>
      <c r="ISJ284" s="1132" t="n"/>
      <c r="ISK284" s="1132" t="n"/>
      <c r="ISL284" s="1132" t="n"/>
      <c r="ISM284" s="1132" t="n"/>
      <c r="ISN284" s="1132" t="n"/>
      <c r="ISO284" s="1132" t="n"/>
      <c r="ISP284" s="1132" t="n"/>
      <c r="ISQ284" s="1132" t="n"/>
      <c r="ISR284" s="1132" t="n"/>
      <c r="ISS284" s="1132" t="n"/>
      <c r="IST284" s="1132" t="n"/>
      <c r="ISU284" s="1132" t="n"/>
      <c r="ISV284" s="1132" t="n"/>
      <c r="ISW284" s="1132" t="n"/>
      <c r="ISX284" s="1132" t="n"/>
      <c r="ISY284" s="1132" t="n"/>
      <c r="ISZ284" s="1132" t="n"/>
      <c r="ITA284" s="1132" t="n"/>
      <c r="ITB284" s="1132" t="n"/>
      <c r="ITC284" s="1132" t="n"/>
      <c r="ITD284" s="1132" t="n"/>
      <c r="ITE284" s="1132" t="n"/>
      <c r="ITF284" s="1132" t="n"/>
      <c r="ITG284" s="1132" t="n"/>
      <c r="ITH284" s="1132" t="n"/>
      <c r="ITI284" s="1132" t="n"/>
      <c r="ITJ284" s="1132" t="n"/>
      <c r="ITK284" s="1132" t="n"/>
      <c r="ITL284" s="1132" t="n"/>
      <c r="ITM284" s="1132" t="n"/>
      <c r="ITN284" s="1132" t="n"/>
      <c r="ITO284" s="1132" t="n"/>
      <c r="ITP284" s="1132" t="n"/>
      <c r="ITQ284" s="1132" t="n"/>
      <c r="ITR284" s="1132" t="n"/>
      <c r="ITS284" s="1132" t="n"/>
      <c r="ITT284" s="1132" t="n"/>
      <c r="ITU284" s="1132" t="n"/>
      <c r="ITV284" s="1132" t="n"/>
      <c r="ITW284" s="1132" t="n"/>
      <c r="ITX284" s="1132" t="n"/>
      <c r="ITY284" s="1132" t="n"/>
      <c r="ITZ284" s="1132" t="n"/>
      <c r="IUA284" s="1132" t="n"/>
      <c r="IUB284" s="1132" t="n"/>
      <c r="IUC284" s="1132" t="n"/>
      <c r="IUD284" s="1132" t="n"/>
      <c r="IUE284" s="1132" t="n"/>
      <c r="IUF284" s="1132" t="n"/>
      <c r="IUG284" s="1132" t="n"/>
      <c r="IUH284" s="1132" t="n"/>
      <c r="IUI284" s="1132" t="n"/>
      <c r="IUJ284" s="1132" t="n"/>
      <c r="IUK284" s="1132" t="n"/>
      <c r="IUL284" s="1132" t="n"/>
      <c r="IUM284" s="1132" t="n"/>
      <c r="IUN284" s="1132" t="n"/>
      <c r="IUO284" s="1132" t="n"/>
      <c r="IUP284" s="1132" t="n"/>
      <c r="IUQ284" s="1132" t="n"/>
      <c r="IUR284" s="1132" t="n"/>
      <c r="IUS284" s="1132" t="n"/>
      <c r="IUT284" s="1132" t="n"/>
      <c r="IUU284" s="1132" t="n"/>
      <c r="IUV284" s="1132" t="n"/>
      <c r="IUW284" s="1132" t="n"/>
      <c r="IUX284" s="1132" t="n"/>
      <c r="IUY284" s="1132" t="n"/>
      <c r="IUZ284" s="1132" t="n"/>
      <c r="IVA284" s="1132" t="n"/>
      <c r="IVB284" s="1132" t="n"/>
      <c r="IVC284" s="1132" t="n"/>
      <c r="IVD284" s="1132" t="n"/>
      <c r="IVE284" s="1132" t="n"/>
      <c r="IVF284" s="1132" t="n"/>
      <c r="IVG284" s="1132" t="n"/>
      <c r="IVH284" s="1132" t="n"/>
      <c r="IVI284" s="1132" t="n"/>
      <c r="IVJ284" s="1132" t="n"/>
      <c r="IVK284" s="1132" t="n"/>
      <c r="IVL284" s="1132" t="n"/>
      <c r="IVM284" s="1132" t="n"/>
      <c r="IVN284" s="1132" t="n"/>
      <c r="IVO284" s="1132" t="n"/>
      <c r="IVP284" s="1132" t="n"/>
      <c r="IVQ284" s="1132" t="n"/>
      <c r="IVR284" s="1132" t="n"/>
      <c r="IVS284" s="1132" t="n"/>
      <c r="IVT284" s="1132" t="n"/>
      <c r="IVU284" s="1132" t="n"/>
      <c r="IVV284" s="1132" t="n"/>
      <c r="IVW284" s="1132" t="n"/>
      <c r="IVX284" s="1132" t="n"/>
      <c r="IVY284" s="1132" t="n"/>
      <c r="IVZ284" s="1132" t="n"/>
      <c r="IWA284" s="1132" t="n"/>
      <c r="IWB284" s="1132" t="n"/>
      <c r="IWC284" s="1132" t="n"/>
      <c r="IWD284" s="1132" t="n"/>
      <c r="IWE284" s="1132" t="n"/>
      <c r="IWF284" s="1132" t="n"/>
      <c r="IWG284" s="1132" t="n"/>
      <c r="IWH284" s="1132" t="n"/>
      <c r="IWI284" s="1132" t="n"/>
      <c r="IWJ284" s="1132" t="n"/>
      <c r="IWK284" s="1132" t="n"/>
      <c r="IWL284" s="1132" t="n"/>
      <c r="IWM284" s="1132" t="n"/>
      <c r="IWN284" s="1132" t="n"/>
      <c r="IWO284" s="1132" t="n"/>
      <c r="IWP284" s="1132" t="n"/>
      <c r="IWQ284" s="1132" t="n"/>
      <c r="IWR284" s="1132" t="n"/>
      <c r="IWS284" s="1132" t="n"/>
      <c r="IWT284" s="1132" t="n"/>
      <c r="IWU284" s="1132" t="n"/>
      <c r="IWV284" s="1132" t="n"/>
      <c r="IWW284" s="1132" t="n"/>
      <c r="IWX284" s="1132" t="n"/>
      <c r="IWY284" s="1132" t="n"/>
      <c r="IWZ284" s="1132" t="n"/>
      <c r="IXA284" s="1132" t="n"/>
      <c r="IXB284" s="1132" t="n"/>
      <c r="IXC284" s="1132" t="n"/>
      <c r="IXD284" s="1132" t="n"/>
      <c r="IXE284" s="1132" t="n"/>
      <c r="IXF284" s="1132" t="n"/>
      <c r="IXG284" s="1132" t="n"/>
      <c r="IXH284" s="1132" t="n"/>
      <c r="IXI284" s="1132" t="n"/>
      <c r="IXJ284" s="1132" t="n"/>
      <c r="IXK284" s="1132" t="n"/>
      <c r="IXL284" s="1132" t="n"/>
      <c r="IXM284" s="1132" t="n"/>
      <c r="IXN284" s="1132" t="n"/>
      <c r="IXO284" s="1132" t="n"/>
      <c r="IXP284" s="1132" t="n"/>
      <c r="IXQ284" s="1132" t="n"/>
      <c r="IXR284" s="1132" t="n"/>
      <c r="IXS284" s="1132" t="n"/>
      <c r="IXT284" s="1132" t="n"/>
      <c r="IXU284" s="1132" t="n"/>
      <c r="IXV284" s="1132" t="n"/>
      <c r="IXW284" s="1132" t="n"/>
      <c r="IXX284" s="1132" t="n"/>
      <c r="IXY284" s="1132" t="n"/>
      <c r="IXZ284" s="1132" t="n"/>
      <c r="IYA284" s="1132" t="n"/>
      <c r="IYB284" s="1132" t="n"/>
      <c r="IYC284" s="1132" t="n"/>
      <c r="IYD284" s="1132" t="n"/>
      <c r="IYE284" s="1132" t="n"/>
      <c r="IYF284" s="1132" t="n"/>
      <c r="IYG284" s="1132" t="n"/>
      <c r="IYH284" s="1132" t="n"/>
      <c r="IYI284" s="1132" t="n"/>
      <c r="IYJ284" s="1132" t="n"/>
      <c r="IYK284" s="1132" t="n"/>
      <c r="IYL284" s="1132" t="n"/>
      <c r="IYM284" s="1132" t="n"/>
      <c r="IYN284" s="1132" t="n"/>
      <c r="IYO284" s="1132" t="n"/>
      <c r="IYP284" s="1132" t="n"/>
      <c r="IYQ284" s="1132" t="n"/>
      <c r="IYR284" s="1132" t="n"/>
      <c r="IYS284" s="1132" t="n"/>
      <c r="IYT284" s="1132" t="n"/>
      <c r="IYU284" s="1132" t="n"/>
      <c r="IYV284" s="1132" t="n"/>
      <c r="IYW284" s="1132" t="n"/>
      <c r="IYX284" s="1132" t="n"/>
      <c r="IYY284" s="1132" t="n"/>
      <c r="IYZ284" s="1132" t="n"/>
      <c r="IZA284" s="1132" t="n"/>
      <c r="IZB284" s="1132" t="n"/>
      <c r="IZC284" s="1132" t="n"/>
      <c r="IZD284" s="1132" t="n"/>
      <c r="IZE284" s="1132" t="n"/>
      <c r="IZF284" s="1132" t="n"/>
      <c r="IZG284" s="1132" t="n"/>
      <c r="IZH284" s="1132" t="n"/>
      <c r="IZI284" s="1132" t="n"/>
      <c r="IZJ284" s="1132" t="n"/>
      <c r="IZK284" s="1132" t="n"/>
      <c r="IZL284" s="1132" t="n"/>
      <c r="IZM284" s="1132" t="n"/>
      <c r="IZN284" s="1132" t="n"/>
      <c r="IZO284" s="1132" t="n"/>
      <c r="IZP284" s="1132" t="n"/>
      <c r="IZQ284" s="1132" t="n"/>
      <c r="IZR284" s="1132" t="n"/>
      <c r="IZS284" s="1132" t="n"/>
      <c r="IZT284" s="1132" t="n"/>
      <c r="IZU284" s="1132" t="n"/>
      <c r="IZV284" s="1132" t="n"/>
      <c r="IZW284" s="1132" t="n"/>
      <c r="IZX284" s="1132" t="n"/>
      <c r="IZY284" s="1132" t="n"/>
      <c r="IZZ284" s="1132" t="n"/>
      <c r="JAA284" s="1132" t="n"/>
      <c r="JAB284" s="1132" t="n"/>
      <c r="JAC284" s="1132" t="n"/>
      <c r="JAD284" s="1132" t="n"/>
      <c r="JAE284" s="1132" t="n"/>
      <c r="JAF284" s="1132" t="n"/>
      <c r="JAG284" s="1132" t="n"/>
      <c r="JAH284" s="1132" t="n"/>
      <c r="JAI284" s="1132" t="n"/>
      <c r="JAJ284" s="1132" t="n"/>
      <c r="JAK284" s="1132" t="n"/>
      <c r="JAL284" s="1132" t="n"/>
      <c r="JAM284" s="1132" t="n"/>
      <c r="JAN284" s="1132" t="n"/>
      <c r="JAO284" s="1132" t="n"/>
      <c r="JAP284" s="1132" t="n"/>
      <c r="JAQ284" s="1132" t="n"/>
      <c r="JAR284" s="1132" t="n"/>
      <c r="JAS284" s="1132" t="n"/>
      <c r="JAT284" s="1132" t="n"/>
      <c r="JAU284" s="1132" t="n"/>
      <c r="JAV284" s="1132" t="n"/>
      <c r="JAW284" s="1132" t="n"/>
      <c r="JAX284" s="1132" t="n"/>
      <c r="JAY284" s="1132" t="n"/>
      <c r="JAZ284" s="1132" t="n"/>
      <c r="JBA284" s="1132" t="n"/>
      <c r="JBB284" s="1132" t="n"/>
      <c r="JBC284" s="1132" t="n"/>
      <c r="JBD284" s="1132" t="n"/>
      <c r="JBE284" s="1132" t="n"/>
      <c r="JBF284" s="1132" t="n"/>
      <c r="JBG284" s="1132" t="n"/>
      <c r="JBH284" s="1132" t="n"/>
      <c r="JBI284" s="1132" t="n"/>
      <c r="JBJ284" s="1132" t="n"/>
      <c r="JBK284" s="1132" t="n"/>
      <c r="JBL284" s="1132" t="n"/>
      <c r="JBM284" s="1132" t="n"/>
      <c r="JBN284" s="1132" t="n"/>
      <c r="JBO284" s="1132" t="n"/>
      <c r="JBP284" s="1132" t="n"/>
      <c r="JBQ284" s="1132" t="n"/>
      <c r="JBR284" s="1132" t="n"/>
      <c r="JBS284" s="1132" t="n"/>
      <c r="JBT284" s="1132" t="n"/>
      <c r="JBU284" s="1132" t="n"/>
      <c r="JBV284" s="1132" t="n"/>
      <c r="JBW284" s="1132" t="n"/>
      <c r="JBX284" s="1132" t="n"/>
      <c r="JBY284" s="1132" t="n"/>
      <c r="JBZ284" s="1132" t="n"/>
      <c r="JCA284" s="1132" t="n"/>
      <c r="JCB284" s="1132" t="n"/>
      <c r="JCC284" s="1132" t="n"/>
      <c r="JCD284" s="1132" t="n"/>
      <c r="JCE284" s="1132" t="n"/>
      <c r="JCF284" s="1132" t="n"/>
      <c r="JCG284" s="1132" t="n"/>
      <c r="JCH284" s="1132" t="n"/>
      <c r="JCI284" s="1132" t="n"/>
      <c r="JCJ284" s="1132" t="n"/>
      <c r="JCK284" s="1132" t="n"/>
      <c r="JCL284" s="1132" t="n"/>
      <c r="JCM284" s="1132" t="n"/>
      <c r="JCN284" s="1132" t="n"/>
      <c r="JCO284" s="1132" t="n"/>
      <c r="JCP284" s="1132" t="n"/>
      <c r="JCQ284" s="1132" t="n"/>
      <c r="JCR284" s="1132" t="n"/>
      <c r="JCS284" s="1132" t="n"/>
      <c r="JCT284" s="1132" t="n"/>
      <c r="JCU284" s="1132" t="n"/>
      <c r="JCV284" s="1132" t="n"/>
      <c r="JCW284" s="1132" t="n"/>
      <c r="JCX284" s="1132" t="n"/>
      <c r="JCY284" s="1132" t="n"/>
      <c r="JCZ284" s="1132" t="n"/>
      <c r="JDA284" s="1132" t="n"/>
      <c r="JDB284" s="1132" t="n"/>
      <c r="JDC284" s="1132" t="n"/>
      <c r="JDD284" s="1132" t="n"/>
      <c r="JDE284" s="1132" t="n"/>
      <c r="JDF284" s="1132" t="n"/>
      <c r="JDG284" s="1132" t="n"/>
      <c r="JDH284" s="1132" t="n"/>
      <c r="JDI284" s="1132" t="n"/>
      <c r="JDJ284" s="1132" t="n"/>
      <c r="JDK284" s="1132" t="n"/>
      <c r="JDL284" s="1132" t="n"/>
      <c r="JDM284" s="1132" t="n"/>
      <c r="JDN284" s="1132" t="n"/>
      <c r="JDO284" s="1132" t="n"/>
      <c r="JDP284" s="1132" t="n"/>
      <c r="JDQ284" s="1132" t="n"/>
      <c r="JDR284" s="1132" t="n"/>
      <c r="JDS284" s="1132" t="n"/>
      <c r="JDT284" s="1132" t="n"/>
      <c r="JDU284" s="1132" t="n"/>
      <c r="JDV284" s="1132" t="n"/>
      <c r="JDW284" s="1132" t="n"/>
      <c r="JDX284" s="1132" t="n"/>
      <c r="JDY284" s="1132" t="n"/>
      <c r="JDZ284" s="1132" t="n"/>
      <c r="JEA284" s="1132" t="n"/>
      <c r="JEB284" s="1132" t="n"/>
      <c r="JEC284" s="1132" t="n"/>
      <c r="JED284" s="1132" t="n"/>
      <c r="JEE284" s="1132" t="n"/>
      <c r="JEF284" s="1132" t="n"/>
      <c r="JEG284" s="1132" t="n"/>
      <c r="JEH284" s="1132" t="n"/>
      <c r="JEI284" s="1132" t="n"/>
      <c r="JEJ284" s="1132" t="n"/>
      <c r="JEK284" s="1132" t="n"/>
      <c r="JEL284" s="1132" t="n"/>
      <c r="JEM284" s="1132" t="n"/>
      <c r="JEN284" s="1132" t="n"/>
      <c r="JEO284" s="1132" t="n"/>
      <c r="JEP284" s="1132" t="n"/>
      <c r="JEQ284" s="1132" t="n"/>
      <c r="JER284" s="1132" t="n"/>
      <c r="JES284" s="1132" t="n"/>
      <c r="JET284" s="1132" t="n"/>
      <c r="JEU284" s="1132" t="n"/>
      <c r="JEV284" s="1132" t="n"/>
      <c r="JEW284" s="1132" t="n"/>
      <c r="JEX284" s="1132" t="n"/>
      <c r="JEY284" s="1132" t="n"/>
      <c r="JEZ284" s="1132" t="n"/>
      <c r="JFA284" s="1132" t="n"/>
      <c r="JFB284" s="1132" t="n"/>
      <c r="JFC284" s="1132" t="n"/>
      <c r="JFD284" s="1132" t="n"/>
      <c r="JFE284" s="1132" t="n"/>
      <c r="JFF284" s="1132" t="n"/>
      <c r="JFG284" s="1132" t="n"/>
      <c r="JFH284" s="1132" t="n"/>
      <c r="JFI284" s="1132" t="n"/>
      <c r="JFJ284" s="1132" t="n"/>
      <c r="JFK284" s="1132" t="n"/>
      <c r="JFL284" s="1132" t="n"/>
      <c r="JFM284" s="1132" t="n"/>
      <c r="JFN284" s="1132" t="n"/>
      <c r="JFO284" s="1132" t="n"/>
      <c r="JFP284" s="1132" t="n"/>
      <c r="JFQ284" s="1132" t="n"/>
      <c r="JFR284" s="1132" t="n"/>
      <c r="JFS284" s="1132" t="n"/>
      <c r="JFT284" s="1132" t="n"/>
      <c r="JFU284" s="1132" t="n"/>
      <c r="JFV284" s="1132" t="n"/>
      <c r="JFW284" s="1132" t="n"/>
      <c r="JFX284" s="1132" t="n"/>
      <c r="JFY284" s="1132" t="n"/>
      <c r="JFZ284" s="1132" t="n"/>
      <c r="JGA284" s="1132" t="n"/>
      <c r="JGB284" s="1132" t="n"/>
      <c r="JGC284" s="1132" t="n"/>
      <c r="JGD284" s="1132" t="n"/>
      <c r="JGE284" s="1132" t="n"/>
      <c r="JGF284" s="1132" t="n"/>
      <c r="JGG284" s="1132" t="n"/>
      <c r="JGH284" s="1132" t="n"/>
      <c r="JGI284" s="1132" t="n"/>
      <c r="JGJ284" s="1132" t="n"/>
      <c r="JGK284" s="1132" t="n"/>
      <c r="JGL284" s="1132" t="n"/>
      <c r="JGM284" s="1132" t="n"/>
      <c r="JGN284" s="1132" t="n"/>
      <c r="JGO284" s="1132" t="n"/>
      <c r="JGP284" s="1132" t="n"/>
      <c r="JGQ284" s="1132" t="n"/>
      <c r="JGR284" s="1132" t="n"/>
      <c r="JGS284" s="1132" t="n"/>
      <c r="JGT284" s="1132" t="n"/>
      <c r="JGU284" s="1132" t="n"/>
      <c r="JGV284" s="1132" t="n"/>
      <c r="JGW284" s="1132" t="n"/>
      <c r="JGX284" s="1132" t="n"/>
      <c r="JGY284" s="1132" t="n"/>
      <c r="JGZ284" s="1132" t="n"/>
      <c r="JHA284" s="1132" t="n"/>
      <c r="JHB284" s="1132" t="n"/>
      <c r="JHC284" s="1132" t="n"/>
      <c r="JHD284" s="1132" t="n"/>
      <c r="JHE284" s="1132" t="n"/>
      <c r="JHF284" s="1132" t="n"/>
      <c r="JHG284" s="1132" t="n"/>
      <c r="JHH284" s="1132" t="n"/>
      <c r="JHI284" s="1132" t="n"/>
      <c r="JHJ284" s="1132" t="n"/>
      <c r="JHK284" s="1132" t="n"/>
      <c r="JHL284" s="1132" t="n"/>
      <c r="JHM284" s="1132" t="n"/>
      <c r="JHN284" s="1132" t="n"/>
      <c r="JHO284" s="1132" t="n"/>
      <c r="JHP284" s="1132" t="n"/>
      <c r="JHQ284" s="1132" t="n"/>
      <c r="JHR284" s="1132" t="n"/>
      <c r="JHS284" s="1132" t="n"/>
      <c r="JHT284" s="1132" t="n"/>
      <c r="JHU284" s="1132" t="n"/>
      <c r="JHV284" s="1132" t="n"/>
      <c r="JHW284" s="1132" t="n"/>
      <c r="JHX284" s="1132" t="n"/>
      <c r="JHY284" s="1132" t="n"/>
      <c r="JHZ284" s="1132" t="n"/>
      <c r="JIA284" s="1132" t="n"/>
      <c r="JIB284" s="1132" t="n"/>
      <c r="JIC284" s="1132" t="n"/>
      <c r="JID284" s="1132" t="n"/>
      <c r="JIE284" s="1132" t="n"/>
      <c r="JIF284" s="1132" t="n"/>
      <c r="JIG284" s="1132" t="n"/>
      <c r="JIH284" s="1132" t="n"/>
      <c r="JII284" s="1132" t="n"/>
      <c r="JIJ284" s="1132" t="n"/>
      <c r="JIK284" s="1132" t="n"/>
      <c r="JIL284" s="1132" t="n"/>
      <c r="JIM284" s="1132" t="n"/>
      <c r="JIN284" s="1132" t="n"/>
      <c r="JIO284" s="1132" t="n"/>
      <c r="JIP284" s="1132" t="n"/>
      <c r="JIQ284" s="1132" t="n"/>
      <c r="JIR284" s="1132" t="n"/>
      <c r="JIS284" s="1132" t="n"/>
      <c r="JIT284" s="1132" t="n"/>
      <c r="JIU284" s="1132" t="n"/>
      <c r="JIV284" s="1132" t="n"/>
      <c r="JIW284" s="1132" t="n"/>
      <c r="JIX284" s="1132" t="n"/>
      <c r="JIY284" s="1132" t="n"/>
      <c r="JIZ284" s="1132" t="n"/>
      <c r="JJA284" s="1132" t="n"/>
      <c r="JJB284" s="1132" t="n"/>
      <c r="JJC284" s="1132" t="n"/>
      <c r="JJD284" s="1132" t="n"/>
      <c r="JJE284" s="1132" t="n"/>
      <c r="JJF284" s="1132" t="n"/>
      <c r="JJG284" s="1132" t="n"/>
      <c r="JJH284" s="1132" t="n"/>
      <c r="JJI284" s="1132" t="n"/>
      <c r="JJJ284" s="1132" t="n"/>
      <c r="JJK284" s="1132" t="n"/>
      <c r="JJL284" s="1132" t="n"/>
      <c r="JJM284" s="1132" t="n"/>
      <c r="JJN284" s="1132" t="n"/>
      <c r="JJO284" s="1132" t="n"/>
      <c r="JJP284" s="1132" t="n"/>
      <c r="JJQ284" s="1132" t="n"/>
      <c r="JJR284" s="1132" t="n"/>
      <c r="JJS284" s="1132" t="n"/>
      <c r="JJT284" s="1132" t="n"/>
      <c r="JJU284" s="1132" t="n"/>
      <c r="JJV284" s="1132" t="n"/>
      <c r="JJW284" s="1132" t="n"/>
      <c r="JJX284" s="1132" t="n"/>
      <c r="JJY284" s="1132" t="n"/>
      <c r="JJZ284" s="1132" t="n"/>
      <c r="JKA284" s="1132" t="n"/>
      <c r="JKB284" s="1132" t="n"/>
      <c r="JKC284" s="1132" t="n"/>
      <c r="JKD284" s="1132" t="n"/>
      <c r="JKE284" s="1132" t="n"/>
      <c r="JKF284" s="1132" t="n"/>
      <c r="JKG284" s="1132" t="n"/>
      <c r="JKH284" s="1132" t="n"/>
      <c r="JKI284" s="1132" t="n"/>
      <c r="JKJ284" s="1132" t="n"/>
      <c r="JKK284" s="1132" t="n"/>
      <c r="JKL284" s="1132" t="n"/>
      <c r="JKM284" s="1132" t="n"/>
      <c r="JKN284" s="1132" t="n"/>
      <c r="JKO284" s="1132" t="n"/>
      <c r="JKP284" s="1132" t="n"/>
      <c r="JKQ284" s="1132" t="n"/>
      <c r="JKR284" s="1132" t="n"/>
      <c r="JKS284" s="1132" t="n"/>
      <c r="JKT284" s="1132" t="n"/>
      <c r="JKU284" s="1132" t="n"/>
      <c r="JKV284" s="1132" t="n"/>
      <c r="JKW284" s="1132" t="n"/>
      <c r="JKX284" s="1132" t="n"/>
      <c r="JKY284" s="1132" t="n"/>
      <c r="JKZ284" s="1132" t="n"/>
      <c r="JLA284" s="1132" t="n"/>
      <c r="JLB284" s="1132" t="n"/>
      <c r="JLC284" s="1132" t="n"/>
      <c r="JLD284" s="1132" t="n"/>
      <c r="JLE284" s="1132" t="n"/>
      <c r="JLF284" s="1132" t="n"/>
      <c r="JLG284" s="1132" t="n"/>
      <c r="JLH284" s="1132" t="n"/>
      <c r="JLI284" s="1132" t="n"/>
      <c r="JLJ284" s="1132" t="n"/>
      <c r="JLK284" s="1132" t="n"/>
      <c r="JLL284" s="1132" t="n"/>
      <c r="JLM284" s="1132" t="n"/>
      <c r="JLN284" s="1132" t="n"/>
      <c r="JLO284" s="1132" t="n"/>
      <c r="JLP284" s="1132" t="n"/>
      <c r="JLQ284" s="1132" t="n"/>
      <c r="JLR284" s="1132" t="n"/>
      <c r="JLS284" s="1132" t="n"/>
      <c r="JLT284" s="1132" t="n"/>
      <c r="JLU284" s="1132" t="n"/>
      <c r="JLV284" s="1132" t="n"/>
      <c r="JLW284" s="1132" t="n"/>
      <c r="JLX284" s="1132" t="n"/>
      <c r="JLY284" s="1132" t="n"/>
      <c r="JLZ284" s="1132" t="n"/>
      <c r="JMA284" s="1132" t="n"/>
      <c r="JMB284" s="1132" t="n"/>
      <c r="JMC284" s="1132" t="n"/>
      <c r="JMD284" s="1132" t="n"/>
      <c r="JME284" s="1132" t="n"/>
      <c r="JMF284" s="1132" t="n"/>
      <c r="JMG284" s="1132" t="n"/>
      <c r="JMH284" s="1132" t="n"/>
      <c r="JMI284" s="1132" t="n"/>
      <c r="JMJ284" s="1132" t="n"/>
      <c r="JMK284" s="1132" t="n"/>
      <c r="JML284" s="1132" t="n"/>
      <c r="JMM284" s="1132" t="n"/>
      <c r="JMN284" s="1132" t="n"/>
      <c r="JMO284" s="1132" t="n"/>
      <c r="JMP284" s="1132" t="n"/>
      <c r="JMQ284" s="1132" t="n"/>
      <c r="JMR284" s="1132" t="n"/>
      <c r="JMS284" s="1132" t="n"/>
      <c r="JMT284" s="1132" t="n"/>
      <c r="JMU284" s="1132" t="n"/>
      <c r="JMV284" s="1132" t="n"/>
      <c r="JMW284" s="1132" t="n"/>
      <c r="JMX284" s="1132" t="n"/>
      <c r="JMY284" s="1132" t="n"/>
      <c r="JMZ284" s="1132" t="n"/>
      <c r="JNA284" s="1132" t="n"/>
      <c r="JNB284" s="1132" t="n"/>
      <c r="JNC284" s="1132" t="n"/>
      <c r="JND284" s="1132" t="n"/>
      <c r="JNE284" s="1132" t="n"/>
      <c r="JNF284" s="1132" t="n"/>
      <c r="JNG284" s="1132" t="n"/>
      <c r="JNH284" s="1132" t="n"/>
      <c r="JNI284" s="1132" t="n"/>
      <c r="JNJ284" s="1132" t="n"/>
      <c r="JNK284" s="1132" t="n"/>
      <c r="JNL284" s="1132" t="n"/>
      <c r="JNM284" s="1132" t="n"/>
      <c r="JNN284" s="1132" t="n"/>
      <c r="JNO284" s="1132" t="n"/>
      <c r="JNP284" s="1132" t="n"/>
      <c r="JNQ284" s="1132" t="n"/>
      <c r="JNR284" s="1132" t="n"/>
      <c r="JNS284" s="1132" t="n"/>
      <c r="JNT284" s="1132" t="n"/>
      <c r="JNU284" s="1132" t="n"/>
      <c r="JNV284" s="1132" t="n"/>
      <c r="JNW284" s="1132" t="n"/>
      <c r="JNX284" s="1132" t="n"/>
      <c r="JNY284" s="1132" t="n"/>
      <c r="JNZ284" s="1132" t="n"/>
      <c r="JOA284" s="1132" t="n"/>
      <c r="JOB284" s="1132" t="n"/>
      <c r="JOC284" s="1132" t="n"/>
      <c r="JOD284" s="1132" t="n"/>
      <c r="JOE284" s="1132" t="n"/>
      <c r="JOF284" s="1132" t="n"/>
      <c r="JOG284" s="1132" t="n"/>
      <c r="JOH284" s="1132" t="n"/>
      <c r="JOI284" s="1132" t="n"/>
      <c r="JOJ284" s="1132" t="n"/>
      <c r="JOK284" s="1132" t="n"/>
      <c r="JOL284" s="1132" t="n"/>
      <c r="JOM284" s="1132" t="n"/>
      <c r="JON284" s="1132" t="n"/>
      <c r="JOO284" s="1132" t="n"/>
      <c r="JOP284" s="1132" t="n"/>
      <c r="JOQ284" s="1132" t="n"/>
      <c r="JOR284" s="1132" t="n"/>
      <c r="JOS284" s="1132" t="n"/>
      <c r="JOT284" s="1132" t="n"/>
      <c r="JOU284" s="1132" t="n"/>
      <c r="JOV284" s="1132" t="n"/>
      <c r="JOW284" s="1132" t="n"/>
      <c r="JOX284" s="1132" t="n"/>
      <c r="JOY284" s="1132" t="n"/>
      <c r="JOZ284" s="1132" t="n"/>
      <c r="JPA284" s="1132" t="n"/>
      <c r="JPB284" s="1132" t="n"/>
      <c r="JPC284" s="1132" t="n"/>
      <c r="JPD284" s="1132" t="n"/>
      <c r="JPE284" s="1132" t="n"/>
      <c r="JPF284" s="1132" t="n"/>
      <c r="JPG284" s="1132" t="n"/>
      <c r="JPH284" s="1132" t="n"/>
      <c r="JPI284" s="1132" t="n"/>
      <c r="JPJ284" s="1132" t="n"/>
      <c r="JPK284" s="1132" t="n"/>
      <c r="JPL284" s="1132" t="n"/>
      <c r="JPM284" s="1132" t="n"/>
      <c r="JPN284" s="1132" t="n"/>
      <c r="JPO284" s="1132" t="n"/>
      <c r="JPP284" s="1132" t="n"/>
      <c r="JPQ284" s="1132" t="n"/>
      <c r="JPR284" s="1132" t="n"/>
      <c r="JPS284" s="1132" t="n"/>
      <c r="JPT284" s="1132" t="n"/>
      <c r="JPU284" s="1132" t="n"/>
      <c r="JPV284" s="1132" t="n"/>
      <c r="JPW284" s="1132" t="n"/>
      <c r="JPX284" s="1132" t="n"/>
      <c r="JPY284" s="1132" t="n"/>
      <c r="JPZ284" s="1132" t="n"/>
      <c r="JQA284" s="1132" t="n"/>
      <c r="JQB284" s="1132" t="n"/>
      <c r="JQC284" s="1132" t="n"/>
      <c r="JQD284" s="1132" t="n"/>
      <c r="JQE284" s="1132" t="n"/>
      <c r="JQF284" s="1132" t="n"/>
      <c r="JQG284" s="1132" t="n"/>
      <c r="JQH284" s="1132" t="n"/>
      <c r="JQI284" s="1132" t="n"/>
      <c r="JQJ284" s="1132" t="n"/>
      <c r="JQK284" s="1132" t="n"/>
      <c r="JQL284" s="1132" t="n"/>
      <c r="JQM284" s="1132" t="n"/>
      <c r="JQN284" s="1132" t="n"/>
      <c r="JQO284" s="1132" t="n"/>
      <c r="JQP284" s="1132" t="n"/>
      <c r="JQQ284" s="1132" t="n"/>
      <c r="JQR284" s="1132" t="n"/>
      <c r="JQS284" s="1132" t="n"/>
      <c r="JQT284" s="1132" t="n"/>
      <c r="JQU284" s="1132" t="n"/>
      <c r="JQV284" s="1132" t="n"/>
      <c r="JQW284" s="1132" t="n"/>
      <c r="JQX284" s="1132" t="n"/>
      <c r="JQY284" s="1132" t="n"/>
      <c r="JQZ284" s="1132" t="n"/>
      <c r="JRA284" s="1132" t="n"/>
      <c r="JRB284" s="1132" t="n"/>
      <c r="JRC284" s="1132" t="n"/>
      <c r="JRD284" s="1132" t="n"/>
      <c r="JRE284" s="1132" t="n"/>
      <c r="JRF284" s="1132" t="n"/>
      <c r="JRG284" s="1132" t="n"/>
      <c r="JRH284" s="1132" t="n"/>
      <c r="JRI284" s="1132" t="n"/>
      <c r="JRJ284" s="1132" t="n"/>
      <c r="JRK284" s="1132" t="n"/>
      <c r="JRL284" s="1132" t="n"/>
      <c r="JRM284" s="1132" t="n"/>
      <c r="JRN284" s="1132" t="n"/>
      <c r="JRO284" s="1132" t="n"/>
      <c r="JRP284" s="1132" t="n"/>
      <c r="JRQ284" s="1132" t="n"/>
      <c r="JRR284" s="1132" t="n"/>
      <c r="JRS284" s="1132" t="n"/>
      <c r="JRT284" s="1132" t="n"/>
      <c r="JRU284" s="1132" t="n"/>
      <c r="JRV284" s="1132" t="n"/>
      <c r="JRW284" s="1132" t="n"/>
      <c r="JRX284" s="1132" t="n"/>
      <c r="JRY284" s="1132" t="n"/>
      <c r="JRZ284" s="1132" t="n"/>
      <c r="JSA284" s="1132" t="n"/>
      <c r="JSB284" s="1132" t="n"/>
      <c r="JSC284" s="1132" t="n"/>
      <c r="JSD284" s="1132" t="n"/>
      <c r="JSE284" s="1132" t="n"/>
      <c r="JSF284" s="1132" t="n"/>
      <c r="JSG284" s="1132" t="n"/>
      <c r="JSH284" s="1132" t="n"/>
      <c r="JSI284" s="1132" t="n"/>
      <c r="JSJ284" s="1132" t="n"/>
      <c r="JSK284" s="1132" t="n"/>
      <c r="JSL284" s="1132" t="n"/>
      <c r="JSM284" s="1132" t="n"/>
      <c r="JSN284" s="1132" t="n"/>
      <c r="JSO284" s="1132" t="n"/>
      <c r="JSP284" s="1132" t="n"/>
      <c r="JSQ284" s="1132" t="n"/>
      <c r="JSR284" s="1132" t="n"/>
      <c r="JSS284" s="1132" t="n"/>
      <c r="JST284" s="1132" t="n"/>
      <c r="JSU284" s="1132" t="n"/>
      <c r="JSV284" s="1132" t="n"/>
      <c r="JSW284" s="1132" t="n"/>
      <c r="JSX284" s="1132" t="n"/>
      <c r="JSY284" s="1132" t="n"/>
      <c r="JSZ284" s="1132" t="n"/>
      <c r="JTA284" s="1132" t="n"/>
      <c r="JTB284" s="1132" t="n"/>
      <c r="JTC284" s="1132" t="n"/>
      <c r="JTD284" s="1132" t="n"/>
      <c r="JTE284" s="1132" t="n"/>
      <c r="JTF284" s="1132" t="n"/>
      <c r="JTG284" s="1132" t="n"/>
      <c r="JTH284" s="1132" t="n"/>
      <c r="JTI284" s="1132" t="n"/>
      <c r="JTJ284" s="1132" t="n"/>
      <c r="JTK284" s="1132" t="n"/>
      <c r="JTL284" s="1132" t="n"/>
      <c r="JTM284" s="1132" t="n"/>
      <c r="JTN284" s="1132" t="n"/>
      <c r="JTO284" s="1132" t="n"/>
      <c r="JTP284" s="1132" t="n"/>
      <c r="JTQ284" s="1132" t="n"/>
      <c r="JTR284" s="1132" t="n"/>
      <c r="JTS284" s="1132" t="n"/>
      <c r="JTT284" s="1132" t="n"/>
      <c r="JTU284" s="1132" t="n"/>
      <c r="JTV284" s="1132" t="n"/>
      <c r="JTW284" s="1132" t="n"/>
      <c r="JTX284" s="1132" t="n"/>
      <c r="JTY284" s="1132" t="n"/>
      <c r="JTZ284" s="1132" t="n"/>
      <c r="JUA284" s="1132" t="n"/>
      <c r="JUB284" s="1132" t="n"/>
      <c r="JUC284" s="1132" t="n"/>
      <c r="JUD284" s="1132" t="n"/>
      <c r="JUE284" s="1132" t="n"/>
      <c r="JUF284" s="1132" t="n"/>
      <c r="JUG284" s="1132" t="n"/>
      <c r="JUH284" s="1132" t="n"/>
      <c r="JUI284" s="1132" t="n"/>
      <c r="JUJ284" s="1132" t="n"/>
      <c r="JUK284" s="1132" t="n"/>
      <c r="JUL284" s="1132" t="n"/>
      <c r="JUM284" s="1132" t="n"/>
      <c r="JUN284" s="1132" t="n"/>
      <c r="JUO284" s="1132" t="n"/>
      <c r="JUP284" s="1132" t="n"/>
      <c r="JUQ284" s="1132" t="n"/>
      <c r="JUR284" s="1132" t="n"/>
      <c r="JUS284" s="1132" t="n"/>
      <c r="JUT284" s="1132" t="n"/>
      <c r="JUU284" s="1132" t="n"/>
      <c r="JUV284" s="1132" t="n"/>
      <c r="JUW284" s="1132" t="n"/>
      <c r="JUX284" s="1132" t="n"/>
      <c r="JUY284" s="1132" t="n"/>
      <c r="JUZ284" s="1132" t="n"/>
      <c r="JVA284" s="1132" t="n"/>
      <c r="JVB284" s="1132" t="n"/>
      <c r="JVC284" s="1132" t="n"/>
      <c r="JVD284" s="1132" t="n"/>
      <c r="JVE284" s="1132" t="n"/>
      <c r="JVF284" s="1132" t="n"/>
      <c r="JVG284" s="1132" t="n"/>
      <c r="JVH284" s="1132" t="n"/>
      <c r="JVI284" s="1132" t="n"/>
      <c r="JVJ284" s="1132" t="n"/>
      <c r="JVK284" s="1132" t="n"/>
      <c r="JVL284" s="1132" t="n"/>
      <c r="JVM284" s="1132" t="n"/>
      <c r="JVN284" s="1132" t="n"/>
      <c r="JVO284" s="1132" t="n"/>
      <c r="JVP284" s="1132" t="n"/>
      <c r="JVQ284" s="1132" t="n"/>
      <c r="JVR284" s="1132" t="n"/>
      <c r="JVS284" s="1132" t="n"/>
      <c r="JVT284" s="1132" t="n"/>
      <c r="JVU284" s="1132" t="n"/>
      <c r="JVV284" s="1132" t="n"/>
      <c r="JVW284" s="1132" t="n"/>
      <c r="JVX284" s="1132" t="n"/>
      <c r="JVY284" s="1132" t="n"/>
      <c r="JVZ284" s="1132" t="n"/>
      <c r="JWA284" s="1132" t="n"/>
      <c r="JWB284" s="1132" t="n"/>
      <c r="JWC284" s="1132" t="n"/>
      <c r="JWD284" s="1132" t="n"/>
      <c r="JWE284" s="1132" t="n"/>
      <c r="JWF284" s="1132" t="n"/>
      <c r="JWG284" s="1132" t="n"/>
      <c r="JWH284" s="1132" t="n"/>
      <c r="JWI284" s="1132" t="n"/>
      <c r="JWJ284" s="1132" t="n"/>
      <c r="JWK284" s="1132" t="n"/>
      <c r="JWL284" s="1132" t="n"/>
      <c r="JWM284" s="1132" t="n"/>
      <c r="JWN284" s="1132" t="n"/>
      <c r="JWO284" s="1132" t="n"/>
      <c r="JWP284" s="1132" t="n"/>
      <c r="JWQ284" s="1132" t="n"/>
      <c r="JWR284" s="1132" t="n"/>
      <c r="JWS284" s="1132" t="n"/>
      <c r="JWT284" s="1132" t="n"/>
      <c r="JWU284" s="1132" t="n"/>
      <c r="JWV284" s="1132" t="n"/>
      <c r="JWW284" s="1132" t="n"/>
      <c r="JWX284" s="1132" t="n"/>
      <c r="JWY284" s="1132" t="n"/>
      <c r="JWZ284" s="1132" t="n"/>
      <c r="JXA284" s="1132" t="n"/>
      <c r="JXB284" s="1132" t="n"/>
      <c r="JXC284" s="1132" t="n"/>
      <c r="JXD284" s="1132" t="n"/>
      <c r="JXE284" s="1132" t="n"/>
      <c r="JXF284" s="1132" t="n"/>
      <c r="JXG284" s="1132" t="n"/>
      <c r="JXH284" s="1132" t="n"/>
      <c r="JXI284" s="1132" t="n"/>
      <c r="JXJ284" s="1132" t="n"/>
      <c r="JXK284" s="1132" t="n"/>
      <c r="JXL284" s="1132" t="n"/>
      <c r="JXM284" s="1132" t="n"/>
      <c r="JXN284" s="1132" t="n"/>
      <c r="JXO284" s="1132" t="n"/>
      <c r="JXP284" s="1132" t="n"/>
      <c r="JXQ284" s="1132" t="n"/>
      <c r="JXR284" s="1132" t="n"/>
      <c r="JXS284" s="1132" t="n"/>
      <c r="JXT284" s="1132" t="n"/>
      <c r="JXU284" s="1132" t="n"/>
      <c r="JXV284" s="1132" t="n"/>
      <c r="JXW284" s="1132" t="n"/>
      <c r="JXX284" s="1132" t="n"/>
      <c r="JXY284" s="1132" t="n"/>
      <c r="JXZ284" s="1132" t="n"/>
      <c r="JYA284" s="1132" t="n"/>
      <c r="JYB284" s="1132" t="n"/>
      <c r="JYC284" s="1132" t="n"/>
      <c r="JYD284" s="1132" t="n"/>
      <c r="JYE284" s="1132" t="n"/>
      <c r="JYF284" s="1132" t="n"/>
      <c r="JYG284" s="1132" t="n"/>
      <c r="JYH284" s="1132" t="n"/>
      <c r="JYI284" s="1132" t="n"/>
      <c r="JYJ284" s="1132" t="n"/>
      <c r="JYK284" s="1132" t="n"/>
      <c r="JYL284" s="1132" t="n"/>
      <c r="JYM284" s="1132" t="n"/>
      <c r="JYN284" s="1132" t="n"/>
      <c r="JYO284" s="1132" t="n"/>
      <c r="JYP284" s="1132" t="n"/>
      <c r="JYQ284" s="1132" t="n"/>
      <c r="JYR284" s="1132" t="n"/>
      <c r="JYS284" s="1132" t="n"/>
      <c r="JYT284" s="1132" t="n"/>
      <c r="JYU284" s="1132" t="n"/>
      <c r="JYV284" s="1132" t="n"/>
      <c r="JYW284" s="1132" t="n"/>
      <c r="JYX284" s="1132" t="n"/>
      <c r="JYY284" s="1132" t="n"/>
      <c r="JYZ284" s="1132" t="n"/>
      <c r="JZA284" s="1132" t="n"/>
      <c r="JZB284" s="1132" t="n"/>
      <c r="JZC284" s="1132" t="n"/>
      <c r="JZD284" s="1132" t="n"/>
      <c r="JZE284" s="1132" t="n"/>
      <c r="JZF284" s="1132" t="n"/>
      <c r="JZG284" s="1132" t="n"/>
      <c r="JZH284" s="1132" t="n"/>
      <c r="JZI284" s="1132" t="n"/>
      <c r="JZJ284" s="1132" t="n"/>
      <c r="JZK284" s="1132" t="n"/>
      <c r="JZL284" s="1132" t="n"/>
      <c r="JZM284" s="1132" t="n"/>
      <c r="JZN284" s="1132" t="n"/>
      <c r="JZO284" s="1132" t="n"/>
      <c r="JZP284" s="1132" t="n"/>
      <c r="JZQ284" s="1132" t="n"/>
      <c r="JZR284" s="1132" t="n"/>
      <c r="JZS284" s="1132" t="n"/>
      <c r="JZT284" s="1132" t="n"/>
      <c r="JZU284" s="1132" t="n"/>
      <c r="JZV284" s="1132" t="n"/>
      <c r="JZW284" s="1132" t="n"/>
      <c r="JZX284" s="1132" t="n"/>
      <c r="JZY284" s="1132" t="n"/>
      <c r="JZZ284" s="1132" t="n"/>
      <c r="KAA284" s="1132" t="n"/>
      <c r="KAB284" s="1132" t="n"/>
      <c r="KAC284" s="1132" t="n"/>
      <c r="KAD284" s="1132" t="n"/>
      <c r="KAE284" s="1132" t="n"/>
      <c r="KAF284" s="1132" t="n"/>
      <c r="KAG284" s="1132" t="n"/>
      <c r="KAH284" s="1132" t="n"/>
      <c r="KAI284" s="1132" t="n"/>
      <c r="KAJ284" s="1132" t="n"/>
      <c r="KAK284" s="1132" t="n"/>
      <c r="KAL284" s="1132" t="n"/>
      <c r="KAM284" s="1132" t="n"/>
      <c r="KAN284" s="1132" t="n"/>
      <c r="KAO284" s="1132" t="n"/>
      <c r="KAP284" s="1132" t="n"/>
      <c r="KAQ284" s="1132" t="n"/>
      <c r="KAR284" s="1132" t="n"/>
      <c r="KAS284" s="1132" t="n"/>
      <c r="KAT284" s="1132" t="n"/>
      <c r="KAU284" s="1132" t="n"/>
      <c r="KAV284" s="1132" t="n"/>
      <c r="KAW284" s="1132" t="n"/>
      <c r="KAX284" s="1132" t="n"/>
      <c r="KAY284" s="1132" t="n"/>
      <c r="KAZ284" s="1132" t="n"/>
      <c r="KBA284" s="1132" t="n"/>
      <c r="KBB284" s="1132" t="n"/>
      <c r="KBC284" s="1132" t="n"/>
      <c r="KBD284" s="1132" t="n"/>
      <c r="KBE284" s="1132" t="n"/>
      <c r="KBF284" s="1132" t="n"/>
      <c r="KBG284" s="1132" t="n"/>
      <c r="KBH284" s="1132" t="n"/>
      <c r="KBI284" s="1132" t="n"/>
      <c r="KBJ284" s="1132" t="n"/>
      <c r="KBK284" s="1132" t="n"/>
      <c r="KBL284" s="1132" t="n"/>
      <c r="KBM284" s="1132" t="n"/>
      <c r="KBN284" s="1132" t="n"/>
      <c r="KBO284" s="1132" t="n"/>
      <c r="KBP284" s="1132" t="n"/>
      <c r="KBQ284" s="1132" t="n"/>
      <c r="KBR284" s="1132" t="n"/>
      <c r="KBS284" s="1132" t="n"/>
      <c r="KBT284" s="1132" t="n"/>
      <c r="KBU284" s="1132" t="n"/>
      <c r="KBV284" s="1132" t="n"/>
      <c r="KBW284" s="1132" t="n"/>
      <c r="KBX284" s="1132" t="n"/>
      <c r="KBY284" s="1132" t="n"/>
      <c r="KBZ284" s="1132" t="n"/>
      <c r="KCA284" s="1132" t="n"/>
      <c r="KCB284" s="1132" t="n"/>
      <c r="KCC284" s="1132" t="n"/>
      <c r="KCD284" s="1132" t="n"/>
      <c r="KCE284" s="1132" t="n"/>
      <c r="KCF284" s="1132" t="n"/>
      <c r="KCG284" s="1132" t="n"/>
      <c r="KCH284" s="1132" t="n"/>
      <c r="KCI284" s="1132" t="n"/>
      <c r="KCJ284" s="1132" t="n"/>
      <c r="KCK284" s="1132" t="n"/>
      <c r="KCL284" s="1132" t="n"/>
      <c r="KCM284" s="1132" t="n"/>
      <c r="KCN284" s="1132" t="n"/>
      <c r="KCO284" s="1132" t="n"/>
      <c r="KCP284" s="1132" t="n"/>
      <c r="KCQ284" s="1132" t="n"/>
      <c r="KCR284" s="1132" t="n"/>
      <c r="KCS284" s="1132" t="n"/>
      <c r="KCT284" s="1132" t="n"/>
      <c r="KCU284" s="1132" t="n"/>
      <c r="KCV284" s="1132" t="n"/>
      <c r="KCW284" s="1132" t="n"/>
      <c r="KCX284" s="1132" t="n"/>
      <c r="KCY284" s="1132" t="n"/>
      <c r="KCZ284" s="1132" t="n"/>
      <c r="KDA284" s="1132" t="n"/>
      <c r="KDB284" s="1132" t="n"/>
      <c r="KDC284" s="1132" t="n"/>
      <c r="KDD284" s="1132" t="n"/>
      <c r="KDE284" s="1132" t="n"/>
      <c r="KDF284" s="1132" t="n"/>
      <c r="KDG284" s="1132" t="n"/>
      <c r="KDH284" s="1132" t="n"/>
      <c r="KDI284" s="1132" t="n"/>
      <c r="KDJ284" s="1132" t="n"/>
      <c r="KDK284" s="1132" t="n"/>
      <c r="KDL284" s="1132" t="n"/>
      <c r="KDM284" s="1132" t="n"/>
      <c r="KDN284" s="1132" t="n"/>
      <c r="KDO284" s="1132" t="n"/>
      <c r="KDP284" s="1132" t="n"/>
      <c r="KDQ284" s="1132" t="n"/>
      <c r="KDR284" s="1132" t="n"/>
      <c r="KDS284" s="1132" t="n"/>
      <c r="KDT284" s="1132" t="n"/>
      <c r="KDU284" s="1132" t="n"/>
      <c r="KDV284" s="1132" t="n"/>
      <c r="KDW284" s="1132" t="n"/>
      <c r="KDX284" s="1132" t="n"/>
      <c r="KDY284" s="1132" t="n"/>
      <c r="KDZ284" s="1132" t="n"/>
      <c r="KEA284" s="1132" t="n"/>
      <c r="KEB284" s="1132" t="n"/>
      <c r="KEC284" s="1132" t="n"/>
      <c r="KED284" s="1132" t="n"/>
      <c r="KEE284" s="1132" t="n"/>
      <c r="KEF284" s="1132" t="n"/>
      <c r="KEG284" s="1132" t="n"/>
      <c r="KEH284" s="1132" t="n"/>
      <c r="KEI284" s="1132" t="n"/>
      <c r="KEJ284" s="1132" t="n"/>
      <c r="KEK284" s="1132" t="n"/>
      <c r="KEL284" s="1132" t="n"/>
      <c r="KEM284" s="1132" t="n"/>
      <c r="KEN284" s="1132" t="n"/>
      <c r="KEO284" s="1132" t="n"/>
      <c r="KEP284" s="1132" t="n"/>
      <c r="KEQ284" s="1132" t="n"/>
      <c r="KER284" s="1132" t="n"/>
      <c r="KES284" s="1132" t="n"/>
      <c r="KET284" s="1132" t="n"/>
      <c r="KEU284" s="1132" t="n"/>
      <c r="KEV284" s="1132" t="n"/>
      <c r="KEW284" s="1132" t="n"/>
      <c r="KEX284" s="1132" t="n"/>
      <c r="KEY284" s="1132" t="n"/>
      <c r="KEZ284" s="1132" t="n"/>
      <c r="KFA284" s="1132" t="n"/>
      <c r="KFB284" s="1132" t="n"/>
      <c r="KFC284" s="1132" t="n"/>
      <c r="KFD284" s="1132" t="n"/>
      <c r="KFE284" s="1132" t="n"/>
      <c r="KFF284" s="1132" t="n"/>
      <c r="KFG284" s="1132" t="n"/>
      <c r="KFH284" s="1132" t="n"/>
      <c r="KFI284" s="1132" t="n"/>
      <c r="KFJ284" s="1132" t="n"/>
      <c r="KFK284" s="1132" t="n"/>
      <c r="KFL284" s="1132" t="n"/>
      <c r="KFM284" s="1132" t="n"/>
      <c r="KFN284" s="1132" t="n"/>
      <c r="KFO284" s="1132" t="n"/>
      <c r="KFP284" s="1132" t="n"/>
      <c r="KFQ284" s="1132" t="n"/>
      <c r="KFR284" s="1132" t="n"/>
      <c r="KFS284" s="1132" t="n"/>
      <c r="KFT284" s="1132" t="n"/>
      <c r="KFU284" s="1132" t="n"/>
      <c r="KFV284" s="1132" t="n"/>
      <c r="KFW284" s="1132" t="n"/>
      <c r="KFX284" s="1132" t="n"/>
      <c r="KFY284" s="1132" t="n"/>
      <c r="KFZ284" s="1132" t="n"/>
      <c r="KGA284" s="1132" t="n"/>
      <c r="KGB284" s="1132" t="n"/>
      <c r="KGC284" s="1132" t="n"/>
      <c r="KGD284" s="1132" t="n"/>
      <c r="KGE284" s="1132" t="n"/>
      <c r="KGF284" s="1132" t="n"/>
      <c r="KGG284" s="1132" t="n"/>
      <c r="KGH284" s="1132" t="n"/>
      <c r="KGI284" s="1132" t="n"/>
      <c r="KGJ284" s="1132" t="n"/>
      <c r="KGK284" s="1132" t="n"/>
      <c r="KGL284" s="1132" t="n"/>
      <c r="KGM284" s="1132" t="n"/>
      <c r="KGN284" s="1132" t="n"/>
      <c r="KGO284" s="1132" t="n"/>
      <c r="KGP284" s="1132" t="n"/>
      <c r="KGQ284" s="1132" t="n"/>
      <c r="KGR284" s="1132" t="n"/>
      <c r="KGS284" s="1132" t="n"/>
      <c r="KGT284" s="1132" t="n"/>
      <c r="KGU284" s="1132" t="n"/>
      <c r="KGV284" s="1132" t="n"/>
      <c r="KGW284" s="1132" t="n"/>
      <c r="KGX284" s="1132" t="n"/>
      <c r="KGY284" s="1132" t="n"/>
      <c r="KGZ284" s="1132" t="n"/>
      <c r="KHA284" s="1132" t="n"/>
      <c r="KHB284" s="1132" t="n"/>
      <c r="KHC284" s="1132" t="n"/>
      <c r="KHD284" s="1132" t="n"/>
      <c r="KHE284" s="1132" t="n"/>
      <c r="KHF284" s="1132" t="n"/>
      <c r="KHG284" s="1132" t="n"/>
      <c r="KHH284" s="1132" t="n"/>
      <c r="KHI284" s="1132" t="n"/>
      <c r="KHJ284" s="1132" t="n"/>
      <c r="KHK284" s="1132" t="n"/>
      <c r="KHL284" s="1132" t="n"/>
      <c r="KHM284" s="1132" t="n"/>
      <c r="KHN284" s="1132" t="n"/>
      <c r="KHO284" s="1132" t="n"/>
      <c r="KHP284" s="1132" t="n"/>
      <c r="KHQ284" s="1132" t="n"/>
      <c r="KHR284" s="1132" t="n"/>
      <c r="KHS284" s="1132" t="n"/>
      <c r="KHT284" s="1132" t="n"/>
      <c r="KHU284" s="1132" t="n"/>
      <c r="KHV284" s="1132" t="n"/>
      <c r="KHW284" s="1132" t="n"/>
      <c r="KHX284" s="1132" t="n"/>
      <c r="KHY284" s="1132" t="n"/>
      <c r="KHZ284" s="1132" t="n"/>
      <c r="KIA284" s="1132" t="n"/>
      <c r="KIB284" s="1132" t="n"/>
      <c r="KIC284" s="1132" t="n"/>
      <c r="KID284" s="1132" t="n"/>
      <c r="KIE284" s="1132" t="n"/>
      <c r="KIF284" s="1132" t="n"/>
      <c r="KIG284" s="1132" t="n"/>
      <c r="KIH284" s="1132" t="n"/>
      <c r="KII284" s="1132" t="n"/>
      <c r="KIJ284" s="1132" t="n"/>
      <c r="KIK284" s="1132" t="n"/>
      <c r="KIL284" s="1132" t="n"/>
      <c r="KIM284" s="1132" t="n"/>
      <c r="KIN284" s="1132" t="n"/>
      <c r="KIO284" s="1132" t="n"/>
      <c r="KIP284" s="1132" t="n"/>
      <c r="KIQ284" s="1132" t="n"/>
      <c r="KIR284" s="1132" t="n"/>
      <c r="KIS284" s="1132" t="n"/>
      <c r="KIT284" s="1132" t="n"/>
      <c r="KIU284" s="1132" t="n"/>
      <c r="KIV284" s="1132" t="n"/>
      <c r="KIW284" s="1132" t="n"/>
      <c r="KIX284" s="1132" t="n"/>
      <c r="KIY284" s="1132" t="n"/>
      <c r="KIZ284" s="1132" t="n"/>
      <c r="KJA284" s="1132" t="n"/>
      <c r="KJB284" s="1132" t="n"/>
      <c r="KJC284" s="1132" t="n"/>
      <c r="KJD284" s="1132" t="n"/>
      <c r="KJE284" s="1132" t="n"/>
      <c r="KJF284" s="1132" t="n"/>
      <c r="KJG284" s="1132" t="n"/>
      <c r="KJH284" s="1132" t="n"/>
      <c r="KJI284" s="1132" t="n"/>
      <c r="KJJ284" s="1132" t="n"/>
      <c r="KJK284" s="1132" t="n"/>
      <c r="KJL284" s="1132" t="n"/>
      <c r="KJM284" s="1132" t="n"/>
      <c r="KJN284" s="1132" t="n"/>
      <c r="KJO284" s="1132" t="n"/>
      <c r="KJP284" s="1132" t="n"/>
      <c r="KJQ284" s="1132" t="n"/>
      <c r="KJR284" s="1132" t="n"/>
      <c r="KJS284" s="1132" t="n"/>
      <c r="KJT284" s="1132" t="n"/>
      <c r="KJU284" s="1132" t="n"/>
      <c r="KJV284" s="1132" t="n"/>
      <c r="KJW284" s="1132" t="n"/>
      <c r="KJX284" s="1132" t="n"/>
      <c r="KJY284" s="1132" t="n"/>
      <c r="KJZ284" s="1132" t="n"/>
      <c r="KKA284" s="1132" t="n"/>
      <c r="KKB284" s="1132" t="n"/>
      <c r="KKC284" s="1132" t="n"/>
      <c r="KKD284" s="1132" t="n"/>
      <c r="KKE284" s="1132" t="n"/>
      <c r="KKF284" s="1132" t="n"/>
      <c r="KKG284" s="1132" t="n"/>
      <c r="KKH284" s="1132" t="n"/>
      <c r="KKI284" s="1132" t="n"/>
      <c r="KKJ284" s="1132" t="n"/>
      <c r="KKK284" s="1132" t="n"/>
      <c r="KKL284" s="1132" t="n"/>
      <c r="KKM284" s="1132" t="n"/>
      <c r="KKN284" s="1132" t="n"/>
      <c r="KKO284" s="1132" t="n"/>
      <c r="KKP284" s="1132" t="n"/>
      <c r="KKQ284" s="1132" t="n"/>
      <c r="KKR284" s="1132" t="n"/>
      <c r="KKS284" s="1132" t="n"/>
      <c r="KKT284" s="1132" t="n"/>
      <c r="KKU284" s="1132" t="n"/>
      <c r="KKV284" s="1132" t="n"/>
      <c r="KKW284" s="1132" t="n"/>
      <c r="KKX284" s="1132" t="n"/>
      <c r="KKY284" s="1132" t="n"/>
      <c r="KKZ284" s="1132" t="n"/>
      <c r="KLA284" s="1132" t="n"/>
      <c r="KLB284" s="1132" t="n"/>
      <c r="KLC284" s="1132" t="n"/>
      <c r="KLD284" s="1132" t="n"/>
      <c r="KLE284" s="1132" t="n"/>
      <c r="KLF284" s="1132" t="n"/>
      <c r="KLG284" s="1132" t="n"/>
      <c r="KLH284" s="1132" t="n"/>
      <c r="KLI284" s="1132" t="n"/>
      <c r="KLJ284" s="1132" t="n"/>
      <c r="KLK284" s="1132" t="n"/>
      <c r="KLL284" s="1132" t="n"/>
      <c r="KLM284" s="1132" t="n"/>
      <c r="KLN284" s="1132" t="n"/>
      <c r="KLO284" s="1132" t="n"/>
      <c r="KLP284" s="1132" t="n"/>
      <c r="KLQ284" s="1132" t="n"/>
      <c r="KLR284" s="1132" t="n"/>
      <c r="KLS284" s="1132" t="n"/>
      <c r="KLT284" s="1132" t="n"/>
      <c r="KLU284" s="1132" t="n"/>
      <c r="KLV284" s="1132" t="n"/>
      <c r="KLW284" s="1132" t="n"/>
      <c r="KLX284" s="1132" t="n"/>
      <c r="KLY284" s="1132" t="n"/>
      <c r="KLZ284" s="1132" t="n"/>
      <c r="KMA284" s="1132" t="n"/>
      <c r="KMB284" s="1132" t="n"/>
      <c r="KMC284" s="1132" t="n"/>
      <c r="KMD284" s="1132" t="n"/>
      <c r="KME284" s="1132" t="n"/>
      <c r="KMF284" s="1132" t="n"/>
      <c r="KMG284" s="1132" t="n"/>
      <c r="KMH284" s="1132" t="n"/>
      <c r="KMI284" s="1132" t="n"/>
      <c r="KMJ284" s="1132" t="n"/>
      <c r="KMK284" s="1132" t="n"/>
      <c r="KML284" s="1132" t="n"/>
      <c r="KMM284" s="1132" t="n"/>
      <c r="KMN284" s="1132" t="n"/>
      <c r="KMO284" s="1132" t="n"/>
      <c r="KMP284" s="1132" t="n"/>
      <c r="KMQ284" s="1132" t="n"/>
      <c r="KMR284" s="1132" t="n"/>
      <c r="KMS284" s="1132" t="n"/>
      <c r="KMT284" s="1132" t="n"/>
      <c r="KMU284" s="1132" t="n"/>
      <c r="KMV284" s="1132" t="n"/>
      <c r="KMW284" s="1132" t="n"/>
      <c r="KMX284" s="1132" t="n"/>
      <c r="KMY284" s="1132" t="n"/>
      <c r="KMZ284" s="1132" t="n"/>
      <c r="KNA284" s="1132" t="n"/>
      <c r="KNB284" s="1132" t="n"/>
      <c r="KNC284" s="1132" t="n"/>
      <c r="KND284" s="1132" t="n"/>
      <c r="KNE284" s="1132" t="n"/>
      <c r="KNF284" s="1132" t="n"/>
      <c r="KNG284" s="1132" t="n"/>
      <c r="KNH284" s="1132" t="n"/>
      <c r="KNI284" s="1132" t="n"/>
      <c r="KNJ284" s="1132" t="n"/>
      <c r="KNK284" s="1132" t="n"/>
      <c r="KNL284" s="1132" t="n"/>
      <c r="KNM284" s="1132" t="n"/>
      <c r="KNN284" s="1132" t="n"/>
      <c r="KNO284" s="1132" t="n"/>
      <c r="KNP284" s="1132" t="n"/>
      <c r="KNQ284" s="1132" t="n"/>
      <c r="KNR284" s="1132" t="n"/>
      <c r="KNS284" s="1132" t="n"/>
      <c r="KNT284" s="1132" t="n"/>
      <c r="KNU284" s="1132" t="n"/>
      <c r="KNV284" s="1132" t="n"/>
      <c r="KNW284" s="1132" t="n"/>
      <c r="KNX284" s="1132" t="n"/>
      <c r="KNY284" s="1132" t="n"/>
      <c r="KNZ284" s="1132" t="n"/>
      <c r="KOA284" s="1132" t="n"/>
      <c r="KOB284" s="1132" t="n"/>
      <c r="KOC284" s="1132" t="n"/>
      <c r="KOD284" s="1132" t="n"/>
      <c r="KOE284" s="1132" t="n"/>
      <c r="KOF284" s="1132" t="n"/>
      <c r="KOG284" s="1132" t="n"/>
      <c r="KOH284" s="1132" t="n"/>
      <c r="KOI284" s="1132" t="n"/>
      <c r="KOJ284" s="1132" t="n"/>
      <c r="KOK284" s="1132" t="n"/>
      <c r="KOL284" s="1132" t="n"/>
      <c r="KOM284" s="1132" t="n"/>
      <c r="KON284" s="1132" t="n"/>
      <c r="KOO284" s="1132" t="n"/>
      <c r="KOP284" s="1132" t="n"/>
      <c r="KOQ284" s="1132" t="n"/>
      <c r="KOR284" s="1132" t="n"/>
      <c r="KOS284" s="1132" t="n"/>
      <c r="KOT284" s="1132" t="n"/>
      <c r="KOU284" s="1132" t="n"/>
      <c r="KOV284" s="1132" t="n"/>
      <c r="KOW284" s="1132" t="n"/>
      <c r="KOX284" s="1132" t="n"/>
      <c r="KOY284" s="1132" t="n"/>
      <c r="KOZ284" s="1132" t="n"/>
      <c r="KPA284" s="1132" t="n"/>
      <c r="KPB284" s="1132" t="n"/>
      <c r="KPC284" s="1132" t="n"/>
      <c r="KPD284" s="1132" t="n"/>
      <c r="KPE284" s="1132" t="n"/>
      <c r="KPF284" s="1132" t="n"/>
      <c r="KPG284" s="1132" t="n"/>
      <c r="KPH284" s="1132" t="n"/>
      <c r="KPI284" s="1132" t="n"/>
      <c r="KPJ284" s="1132" t="n"/>
      <c r="KPK284" s="1132" t="n"/>
      <c r="KPL284" s="1132" t="n"/>
      <c r="KPM284" s="1132" t="n"/>
      <c r="KPN284" s="1132" t="n"/>
      <c r="KPO284" s="1132" t="n"/>
      <c r="KPP284" s="1132" t="n"/>
      <c r="KPQ284" s="1132" t="n"/>
      <c r="KPR284" s="1132" t="n"/>
      <c r="KPS284" s="1132" t="n"/>
      <c r="KPT284" s="1132" t="n"/>
      <c r="KPU284" s="1132" t="n"/>
      <c r="KPV284" s="1132" t="n"/>
      <c r="KPW284" s="1132" t="n"/>
      <c r="KPX284" s="1132" t="n"/>
      <c r="KPY284" s="1132" t="n"/>
      <c r="KPZ284" s="1132" t="n"/>
      <c r="KQA284" s="1132" t="n"/>
      <c r="KQB284" s="1132" t="n"/>
      <c r="KQC284" s="1132" t="n"/>
      <c r="KQD284" s="1132" t="n"/>
      <c r="KQE284" s="1132" t="n"/>
      <c r="KQF284" s="1132" t="n"/>
      <c r="KQG284" s="1132" t="n"/>
      <c r="KQH284" s="1132" t="n"/>
      <c r="KQI284" s="1132" t="n"/>
      <c r="KQJ284" s="1132" t="n"/>
      <c r="KQK284" s="1132" t="n"/>
      <c r="KQL284" s="1132" t="n"/>
      <c r="KQM284" s="1132" t="n"/>
      <c r="KQN284" s="1132" t="n"/>
      <c r="KQO284" s="1132" t="n"/>
      <c r="KQP284" s="1132" t="n"/>
      <c r="KQQ284" s="1132" t="n"/>
      <c r="KQR284" s="1132" t="n"/>
      <c r="KQS284" s="1132" t="n"/>
      <c r="KQT284" s="1132" t="n"/>
      <c r="KQU284" s="1132" t="n"/>
      <c r="KQV284" s="1132" t="n"/>
      <c r="KQW284" s="1132" t="n"/>
      <c r="KQX284" s="1132" t="n"/>
      <c r="KQY284" s="1132" t="n"/>
      <c r="KQZ284" s="1132" t="n"/>
      <c r="KRA284" s="1132" t="n"/>
      <c r="KRB284" s="1132" t="n"/>
      <c r="KRC284" s="1132" t="n"/>
      <c r="KRD284" s="1132" t="n"/>
      <c r="KRE284" s="1132" t="n"/>
      <c r="KRF284" s="1132" t="n"/>
      <c r="KRG284" s="1132" t="n"/>
      <c r="KRH284" s="1132" t="n"/>
      <c r="KRI284" s="1132" t="n"/>
      <c r="KRJ284" s="1132" t="n"/>
      <c r="KRK284" s="1132" t="n"/>
      <c r="KRL284" s="1132" t="n"/>
      <c r="KRM284" s="1132" t="n"/>
      <c r="KRN284" s="1132" t="n"/>
      <c r="KRO284" s="1132" t="n"/>
      <c r="KRP284" s="1132" t="n"/>
      <c r="KRQ284" s="1132" t="n"/>
      <c r="KRR284" s="1132" t="n"/>
      <c r="KRS284" s="1132" t="n"/>
      <c r="KRT284" s="1132" t="n"/>
      <c r="KRU284" s="1132" t="n"/>
      <c r="KRV284" s="1132" t="n"/>
      <c r="KRW284" s="1132" t="n"/>
      <c r="KRX284" s="1132" t="n"/>
      <c r="KRY284" s="1132" t="n"/>
      <c r="KRZ284" s="1132" t="n"/>
      <c r="KSA284" s="1132" t="n"/>
      <c r="KSB284" s="1132" t="n"/>
      <c r="KSC284" s="1132" t="n"/>
      <c r="KSD284" s="1132" t="n"/>
      <c r="KSE284" s="1132" t="n"/>
      <c r="KSF284" s="1132" t="n"/>
      <c r="KSG284" s="1132" t="n"/>
      <c r="KSH284" s="1132" t="n"/>
      <c r="KSI284" s="1132" t="n"/>
      <c r="KSJ284" s="1132" t="n"/>
      <c r="KSK284" s="1132" t="n"/>
      <c r="KSL284" s="1132" t="n"/>
      <c r="KSM284" s="1132" t="n"/>
      <c r="KSN284" s="1132" t="n"/>
      <c r="KSO284" s="1132" t="n"/>
      <c r="KSP284" s="1132" t="n"/>
      <c r="KSQ284" s="1132" t="n"/>
      <c r="KSR284" s="1132" t="n"/>
      <c r="KSS284" s="1132" t="n"/>
      <c r="KST284" s="1132" t="n"/>
      <c r="KSU284" s="1132" t="n"/>
      <c r="KSV284" s="1132" t="n"/>
      <c r="KSW284" s="1132" t="n"/>
      <c r="KSX284" s="1132" t="n"/>
      <c r="KSY284" s="1132" t="n"/>
      <c r="KSZ284" s="1132" t="n"/>
      <c r="KTA284" s="1132" t="n"/>
      <c r="KTB284" s="1132" t="n"/>
      <c r="KTC284" s="1132" t="n"/>
      <c r="KTD284" s="1132" t="n"/>
      <c r="KTE284" s="1132" t="n"/>
      <c r="KTF284" s="1132" t="n"/>
      <c r="KTG284" s="1132" t="n"/>
      <c r="KTH284" s="1132" t="n"/>
      <c r="KTI284" s="1132" t="n"/>
      <c r="KTJ284" s="1132" t="n"/>
      <c r="KTK284" s="1132" t="n"/>
      <c r="KTL284" s="1132" t="n"/>
      <c r="KTM284" s="1132" t="n"/>
      <c r="KTN284" s="1132" t="n"/>
      <c r="KTO284" s="1132" t="n"/>
      <c r="KTP284" s="1132" t="n"/>
      <c r="KTQ284" s="1132" t="n"/>
      <c r="KTR284" s="1132" t="n"/>
      <c r="KTS284" s="1132" t="n"/>
      <c r="KTT284" s="1132" t="n"/>
      <c r="KTU284" s="1132" t="n"/>
      <c r="KTV284" s="1132" t="n"/>
      <c r="KTW284" s="1132" t="n"/>
      <c r="KTX284" s="1132" t="n"/>
      <c r="KTY284" s="1132" t="n"/>
      <c r="KTZ284" s="1132" t="n"/>
      <c r="KUA284" s="1132" t="n"/>
      <c r="KUB284" s="1132" t="n"/>
      <c r="KUC284" s="1132" t="n"/>
      <c r="KUD284" s="1132" t="n"/>
      <c r="KUE284" s="1132" t="n"/>
      <c r="KUF284" s="1132" t="n"/>
      <c r="KUG284" s="1132" t="n"/>
      <c r="KUH284" s="1132" t="n"/>
      <c r="KUI284" s="1132" t="n"/>
      <c r="KUJ284" s="1132" t="n"/>
      <c r="KUK284" s="1132" t="n"/>
      <c r="KUL284" s="1132" t="n"/>
      <c r="KUM284" s="1132" t="n"/>
      <c r="KUN284" s="1132" t="n"/>
      <c r="KUO284" s="1132" t="n"/>
      <c r="KUP284" s="1132" t="n"/>
      <c r="KUQ284" s="1132" t="n"/>
      <c r="KUR284" s="1132" t="n"/>
      <c r="KUS284" s="1132" t="n"/>
      <c r="KUT284" s="1132" t="n"/>
      <c r="KUU284" s="1132" t="n"/>
      <c r="KUV284" s="1132" t="n"/>
      <c r="KUW284" s="1132" t="n"/>
      <c r="KUX284" s="1132" t="n"/>
      <c r="KUY284" s="1132" t="n"/>
      <c r="KUZ284" s="1132" t="n"/>
      <c r="KVA284" s="1132" t="n"/>
      <c r="KVB284" s="1132" t="n"/>
      <c r="KVC284" s="1132" t="n"/>
      <c r="KVD284" s="1132" t="n"/>
      <c r="KVE284" s="1132" t="n"/>
      <c r="KVF284" s="1132" t="n"/>
      <c r="KVG284" s="1132" t="n"/>
      <c r="KVH284" s="1132" t="n"/>
      <c r="KVI284" s="1132" t="n"/>
      <c r="KVJ284" s="1132" t="n"/>
      <c r="KVK284" s="1132" t="n"/>
      <c r="KVL284" s="1132" t="n"/>
      <c r="KVM284" s="1132" t="n"/>
      <c r="KVN284" s="1132" t="n"/>
      <c r="KVO284" s="1132" t="n"/>
      <c r="KVP284" s="1132" t="n"/>
      <c r="KVQ284" s="1132" t="n"/>
      <c r="KVR284" s="1132" t="n"/>
      <c r="KVS284" s="1132" t="n"/>
      <c r="KVT284" s="1132" t="n"/>
      <c r="KVU284" s="1132" t="n"/>
      <c r="KVV284" s="1132" t="n"/>
      <c r="KVW284" s="1132" t="n"/>
      <c r="KVX284" s="1132" t="n"/>
      <c r="KVY284" s="1132" t="n"/>
      <c r="KVZ284" s="1132" t="n"/>
      <c r="KWA284" s="1132" t="n"/>
      <c r="KWB284" s="1132" t="n"/>
      <c r="KWC284" s="1132" t="n"/>
      <c r="KWD284" s="1132" t="n"/>
      <c r="KWE284" s="1132" t="n"/>
      <c r="KWF284" s="1132" t="n"/>
      <c r="KWG284" s="1132" t="n"/>
      <c r="KWH284" s="1132" t="n"/>
      <c r="KWI284" s="1132" t="n"/>
      <c r="KWJ284" s="1132" t="n"/>
      <c r="KWK284" s="1132" t="n"/>
      <c r="KWL284" s="1132" t="n"/>
      <c r="KWM284" s="1132" t="n"/>
      <c r="KWN284" s="1132" t="n"/>
      <c r="KWO284" s="1132" t="n"/>
      <c r="KWP284" s="1132" t="n"/>
      <c r="KWQ284" s="1132" t="n"/>
      <c r="KWR284" s="1132" t="n"/>
      <c r="KWS284" s="1132" t="n"/>
      <c r="KWT284" s="1132" t="n"/>
      <c r="KWU284" s="1132" t="n"/>
      <c r="KWV284" s="1132" t="n"/>
      <c r="KWW284" s="1132" t="n"/>
      <c r="KWX284" s="1132" t="n"/>
      <c r="KWY284" s="1132" t="n"/>
      <c r="KWZ284" s="1132" t="n"/>
      <c r="KXA284" s="1132" t="n"/>
      <c r="KXB284" s="1132" t="n"/>
      <c r="KXC284" s="1132" t="n"/>
      <c r="KXD284" s="1132" t="n"/>
      <c r="KXE284" s="1132" t="n"/>
      <c r="KXF284" s="1132" t="n"/>
      <c r="KXG284" s="1132" t="n"/>
      <c r="KXH284" s="1132" t="n"/>
      <c r="KXI284" s="1132" t="n"/>
      <c r="KXJ284" s="1132" t="n"/>
      <c r="KXK284" s="1132" t="n"/>
      <c r="KXL284" s="1132" t="n"/>
      <c r="KXM284" s="1132" t="n"/>
      <c r="KXN284" s="1132" t="n"/>
      <c r="KXO284" s="1132" t="n"/>
      <c r="KXP284" s="1132" t="n"/>
      <c r="KXQ284" s="1132" t="n"/>
      <c r="KXR284" s="1132" t="n"/>
      <c r="KXS284" s="1132" t="n"/>
      <c r="KXT284" s="1132" t="n"/>
      <c r="KXU284" s="1132" t="n"/>
      <c r="KXV284" s="1132" t="n"/>
      <c r="KXW284" s="1132" t="n"/>
      <c r="KXX284" s="1132" t="n"/>
      <c r="KXY284" s="1132" t="n"/>
      <c r="KXZ284" s="1132" t="n"/>
      <c r="KYA284" s="1132" t="n"/>
      <c r="KYB284" s="1132" t="n"/>
      <c r="KYC284" s="1132" t="n"/>
      <c r="KYD284" s="1132" t="n"/>
      <c r="KYE284" s="1132" t="n"/>
      <c r="KYF284" s="1132" t="n"/>
      <c r="KYG284" s="1132" t="n"/>
      <c r="KYH284" s="1132" t="n"/>
      <c r="KYI284" s="1132" t="n"/>
      <c r="KYJ284" s="1132" t="n"/>
      <c r="KYK284" s="1132" t="n"/>
      <c r="KYL284" s="1132" t="n"/>
      <c r="KYM284" s="1132" t="n"/>
      <c r="KYN284" s="1132" t="n"/>
      <c r="KYO284" s="1132" t="n"/>
      <c r="KYP284" s="1132" t="n"/>
      <c r="KYQ284" s="1132" t="n"/>
      <c r="KYR284" s="1132" t="n"/>
      <c r="KYS284" s="1132" t="n"/>
      <c r="KYT284" s="1132" t="n"/>
      <c r="KYU284" s="1132" t="n"/>
      <c r="KYV284" s="1132" t="n"/>
      <c r="KYW284" s="1132" t="n"/>
      <c r="KYX284" s="1132" t="n"/>
      <c r="KYY284" s="1132" t="n"/>
      <c r="KYZ284" s="1132" t="n"/>
      <c r="KZA284" s="1132" t="n"/>
      <c r="KZB284" s="1132" t="n"/>
      <c r="KZC284" s="1132" t="n"/>
      <c r="KZD284" s="1132" t="n"/>
      <c r="KZE284" s="1132" t="n"/>
      <c r="KZF284" s="1132" t="n"/>
      <c r="KZG284" s="1132" t="n"/>
      <c r="KZH284" s="1132" t="n"/>
      <c r="KZI284" s="1132" t="n"/>
      <c r="KZJ284" s="1132" t="n"/>
      <c r="KZK284" s="1132" t="n"/>
      <c r="KZL284" s="1132" t="n"/>
      <c r="KZM284" s="1132" t="n"/>
      <c r="KZN284" s="1132" t="n"/>
      <c r="KZO284" s="1132" t="n"/>
      <c r="KZP284" s="1132" t="n"/>
      <c r="KZQ284" s="1132" t="n"/>
      <c r="KZR284" s="1132" t="n"/>
      <c r="KZS284" s="1132" t="n"/>
      <c r="KZT284" s="1132" t="n"/>
      <c r="KZU284" s="1132" t="n"/>
      <c r="KZV284" s="1132" t="n"/>
      <c r="KZW284" s="1132" t="n"/>
      <c r="KZX284" s="1132" t="n"/>
      <c r="KZY284" s="1132" t="n"/>
      <c r="KZZ284" s="1132" t="n"/>
      <c r="LAA284" s="1132" t="n"/>
      <c r="LAB284" s="1132" t="n"/>
      <c r="LAC284" s="1132" t="n"/>
      <c r="LAD284" s="1132" t="n"/>
      <c r="LAE284" s="1132" t="n"/>
      <c r="LAF284" s="1132" t="n"/>
      <c r="LAG284" s="1132" t="n"/>
      <c r="LAH284" s="1132" t="n"/>
      <c r="LAI284" s="1132" t="n"/>
      <c r="LAJ284" s="1132" t="n"/>
      <c r="LAK284" s="1132" t="n"/>
      <c r="LAL284" s="1132" t="n"/>
      <c r="LAM284" s="1132" t="n"/>
      <c r="LAN284" s="1132" t="n"/>
      <c r="LAO284" s="1132" t="n"/>
      <c r="LAP284" s="1132" t="n"/>
      <c r="LAQ284" s="1132" t="n"/>
      <c r="LAR284" s="1132" t="n"/>
      <c r="LAS284" s="1132" t="n"/>
      <c r="LAT284" s="1132" t="n"/>
      <c r="LAU284" s="1132" t="n"/>
      <c r="LAV284" s="1132" t="n"/>
      <c r="LAW284" s="1132" t="n"/>
      <c r="LAX284" s="1132" t="n"/>
      <c r="LAY284" s="1132" t="n"/>
      <c r="LAZ284" s="1132" t="n"/>
      <c r="LBA284" s="1132" t="n"/>
      <c r="LBB284" s="1132" t="n"/>
      <c r="LBC284" s="1132" t="n"/>
      <c r="LBD284" s="1132" t="n"/>
      <c r="LBE284" s="1132" t="n"/>
      <c r="LBF284" s="1132" t="n"/>
      <c r="LBG284" s="1132" t="n"/>
      <c r="LBH284" s="1132" t="n"/>
      <c r="LBI284" s="1132" t="n"/>
      <c r="LBJ284" s="1132" t="n"/>
      <c r="LBK284" s="1132" t="n"/>
      <c r="LBL284" s="1132" t="n"/>
      <c r="LBM284" s="1132" t="n"/>
      <c r="LBN284" s="1132" t="n"/>
      <c r="LBO284" s="1132" t="n"/>
      <c r="LBP284" s="1132" t="n"/>
      <c r="LBQ284" s="1132" t="n"/>
      <c r="LBR284" s="1132" t="n"/>
      <c r="LBS284" s="1132" t="n"/>
      <c r="LBT284" s="1132" t="n"/>
      <c r="LBU284" s="1132" t="n"/>
      <c r="LBV284" s="1132" t="n"/>
      <c r="LBW284" s="1132" t="n"/>
      <c r="LBX284" s="1132" t="n"/>
      <c r="LBY284" s="1132" t="n"/>
      <c r="LBZ284" s="1132" t="n"/>
      <c r="LCA284" s="1132" t="n"/>
      <c r="LCB284" s="1132" t="n"/>
      <c r="LCC284" s="1132" t="n"/>
      <c r="LCD284" s="1132" t="n"/>
      <c r="LCE284" s="1132" t="n"/>
      <c r="LCF284" s="1132" t="n"/>
      <c r="LCG284" s="1132" t="n"/>
      <c r="LCH284" s="1132" t="n"/>
      <c r="LCI284" s="1132" t="n"/>
      <c r="LCJ284" s="1132" t="n"/>
      <c r="LCK284" s="1132" t="n"/>
      <c r="LCL284" s="1132" t="n"/>
      <c r="LCM284" s="1132" t="n"/>
      <c r="LCN284" s="1132" t="n"/>
      <c r="LCO284" s="1132" t="n"/>
      <c r="LCP284" s="1132" t="n"/>
      <c r="LCQ284" s="1132" t="n"/>
      <c r="LCR284" s="1132" t="n"/>
      <c r="LCS284" s="1132" t="n"/>
      <c r="LCT284" s="1132" t="n"/>
      <c r="LCU284" s="1132" t="n"/>
      <c r="LCV284" s="1132" t="n"/>
      <c r="LCW284" s="1132" t="n"/>
      <c r="LCX284" s="1132" t="n"/>
      <c r="LCY284" s="1132" t="n"/>
      <c r="LCZ284" s="1132" t="n"/>
      <c r="LDA284" s="1132" t="n"/>
      <c r="LDB284" s="1132" t="n"/>
      <c r="LDC284" s="1132" t="n"/>
      <c r="LDD284" s="1132" t="n"/>
      <c r="LDE284" s="1132" t="n"/>
      <c r="LDF284" s="1132" t="n"/>
      <c r="LDG284" s="1132" t="n"/>
      <c r="LDH284" s="1132" t="n"/>
      <c r="LDI284" s="1132" t="n"/>
      <c r="LDJ284" s="1132" t="n"/>
      <c r="LDK284" s="1132" t="n"/>
      <c r="LDL284" s="1132" t="n"/>
      <c r="LDM284" s="1132" t="n"/>
      <c r="LDN284" s="1132" t="n"/>
      <c r="LDO284" s="1132" t="n"/>
      <c r="LDP284" s="1132" t="n"/>
      <c r="LDQ284" s="1132" t="n"/>
      <c r="LDR284" s="1132" t="n"/>
      <c r="LDS284" s="1132" t="n"/>
      <c r="LDT284" s="1132" t="n"/>
      <c r="LDU284" s="1132" t="n"/>
      <c r="LDV284" s="1132" t="n"/>
      <c r="LDW284" s="1132" t="n"/>
      <c r="LDX284" s="1132" t="n"/>
      <c r="LDY284" s="1132" t="n"/>
      <c r="LDZ284" s="1132" t="n"/>
      <c r="LEA284" s="1132" t="n"/>
      <c r="LEB284" s="1132" t="n"/>
      <c r="LEC284" s="1132" t="n"/>
      <c r="LED284" s="1132" t="n"/>
      <c r="LEE284" s="1132" t="n"/>
      <c r="LEF284" s="1132" t="n"/>
      <c r="LEG284" s="1132" t="n"/>
      <c r="LEH284" s="1132" t="n"/>
      <c r="LEI284" s="1132" t="n"/>
      <c r="LEJ284" s="1132" t="n"/>
      <c r="LEK284" s="1132" t="n"/>
      <c r="LEL284" s="1132" t="n"/>
      <c r="LEM284" s="1132" t="n"/>
      <c r="LEN284" s="1132" t="n"/>
      <c r="LEO284" s="1132" t="n"/>
      <c r="LEP284" s="1132" t="n"/>
      <c r="LEQ284" s="1132" t="n"/>
      <c r="LER284" s="1132" t="n"/>
      <c r="LES284" s="1132" t="n"/>
      <c r="LET284" s="1132" t="n"/>
      <c r="LEU284" s="1132" t="n"/>
      <c r="LEV284" s="1132" t="n"/>
      <c r="LEW284" s="1132" t="n"/>
      <c r="LEX284" s="1132" t="n"/>
      <c r="LEY284" s="1132" t="n"/>
      <c r="LEZ284" s="1132" t="n"/>
      <c r="LFA284" s="1132" t="n"/>
      <c r="LFB284" s="1132" t="n"/>
      <c r="LFC284" s="1132" t="n"/>
      <c r="LFD284" s="1132" t="n"/>
      <c r="LFE284" s="1132" t="n"/>
      <c r="LFF284" s="1132" t="n"/>
      <c r="LFG284" s="1132" t="n"/>
      <c r="LFH284" s="1132" t="n"/>
      <c r="LFI284" s="1132" t="n"/>
      <c r="LFJ284" s="1132" t="n"/>
      <c r="LFK284" s="1132" t="n"/>
      <c r="LFL284" s="1132" t="n"/>
      <c r="LFM284" s="1132" t="n"/>
      <c r="LFN284" s="1132" t="n"/>
      <c r="LFO284" s="1132" t="n"/>
      <c r="LFP284" s="1132" t="n"/>
      <c r="LFQ284" s="1132" t="n"/>
      <c r="LFR284" s="1132" t="n"/>
      <c r="LFS284" s="1132" t="n"/>
      <c r="LFT284" s="1132" t="n"/>
      <c r="LFU284" s="1132" t="n"/>
      <c r="LFV284" s="1132" t="n"/>
      <c r="LFW284" s="1132" t="n"/>
      <c r="LFX284" s="1132" t="n"/>
      <c r="LFY284" s="1132" t="n"/>
      <c r="LFZ284" s="1132" t="n"/>
      <c r="LGA284" s="1132" t="n"/>
      <c r="LGB284" s="1132" t="n"/>
      <c r="LGC284" s="1132" t="n"/>
      <c r="LGD284" s="1132" t="n"/>
      <c r="LGE284" s="1132" t="n"/>
      <c r="LGF284" s="1132" t="n"/>
      <c r="LGG284" s="1132" t="n"/>
      <c r="LGH284" s="1132" t="n"/>
      <c r="LGI284" s="1132" t="n"/>
      <c r="LGJ284" s="1132" t="n"/>
      <c r="LGK284" s="1132" t="n"/>
      <c r="LGL284" s="1132" t="n"/>
      <c r="LGM284" s="1132" t="n"/>
      <c r="LGN284" s="1132" t="n"/>
      <c r="LGO284" s="1132" t="n"/>
      <c r="LGP284" s="1132" t="n"/>
      <c r="LGQ284" s="1132" t="n"/>
      <c r="LGR284" s="1132" t="n"/>
      <c r="LGS284" s="1132" t="n"/>
      <c r="LGT284" s="1132" t="n"/>
      <c r="LGU284" s="1132" t="n"/>
      <c r="LGV284" s="1132" t="n"/>
      <c r="LGW284" s="1132" t="n"/>
      <c r="LGX284" s="1132" t="n"/>
      <c r="LGY284" s="1132" t="n"/>
      <c r="LGZ284" s="1132" t="n"/>
      <c r="LHA284" s="1132" t="n"/>
      <c r="LHB284" s="1132" t="n"/>
      <c r="LHC284" s="1132" t="n"/>
      <c r="LHD284" s="1132" t="n"/>
      <c r="LHE284" s="1132" t="n"/>
      <c r="LHF284" s="1132" t="n"/>
      <c r="LHG284" s="1132" t="n"/>
      <c r="LHH284" s="1132" t="n"/>
      <c r="LHI284" s="1132" t="n"/>
      <c r="LHJ284" s="1132" t="n"/>
      <c r="LHK284" s="1132" t="n"/>
      <c r="LHL284" s="1132" t="n"/>
      <c r="LHM284" s="1132" t="n"/>
      <c r="LHN284" s="1132" t="n"/>
      <c r="LHO284" s="1132" t="n"/>
      <c r="LHP284" s="1132" t="n"/>
      <c r="LHQ284" s="1132" t="n"/>
      <c r="LHR284" s="1132" t="n"/>
      <c r="LHS284" s="1132" t="n"/>
      <c r="LHT284" s="1132" t="n"/>
      <c r="LHU284" s="1132" t="n"/>
      <c r="LHV284" s="1132" t="n"/>
      <c r="LHW284" s="1132" t="n"/>
      <c r="LHX284" s="1132" t="n"/>
      <c r="LHY284" s="1132" t="n"/>
      <c r="LHZ284" s="1132" t="n"/>
      <c r="LIA284" s="1132" t="n"/>
      <c r="LIB284" s="1132" t="n"/>
      <c r="LIC284" s="1132" t="n"/>
      <c r="LID284" s="1132" t="n"/>
      <c r="LIE284" s="1132" t="n"/>
      <c r="LIF284" s="1132" t="n"/>
      <c r="LIG284" s="1132" t="n"/>
      <c r="LIH284" s="1132" t="n"/>
      <c r="LII284" s="1132" t="n"/>
      <c r="LIJ284" s="1132" t="n"/>
      <c r="LIK284" s="1132" t="n"/>
      <c r="LIL284" s="1132" t="n"/>
      <c r="LIM284" s="1132" t="n"/>
      <c r="LIN284" s="1132" t="n"/>
      <c r="LIO284" s="1132" t="n"/>
      <c r="LIP284" s="1132" t="n"/>
      <c r="LIQ284" s="1132" t="n"/>
      <c r="LIR284" s="1132" t="n"/>
      <c r="LIS284" s="1132" t="n"/>
      <c r="LIT284" s="1132" t="n"/>
      <c r="LIU284" s="1132" t="n"/>
      <c r="LIV284" s="1132" t="n"/>
      <c r="LIW284" s="1132" t="n"/>
      <c r="LIX284" s="1132" t="n"/>
      <c r="LIY284" s="1132" t="n"/>
      <c r="LIZ284" s="1132" t="n"/>
      <c r="LJA284" s="1132" t="n"/>
      <c r="LJB284" s="1132" t="n"/>
      <c r="LJC284" s="1132" t="n"/>
      <c r="LJD284" s="1132" t="n"/>
      <c r="LJE284" s="1132" t="n"/>
      <c r="LJF284" s="1132" t="n"/>
      <c r="LJG284" s="1132" t="n"/>
      <c r="LJH284" s="1132" t="n"/>
      <c r="LJI284" s="1132" t="n"/>
      <c r="LJJ284" s="1132" t="n"/>
      <c r="LJK284" s="1132" t="n"/>
      <c r="LJL284" s="1132" t="n"/>
      <c r="LJM284" s="1132" t="n"/>
      <c r="LJN284" s="1132" t="n"/>
      <c r="LJO284" s="1132" t="n"/>
      <c r="LJP284" s="1132" t="n"/>
      <c r="LJQ284" s="1132" t="n"/>
      <c r="LJR284" s="1132" t="n"/>
      <c r="LJS284" s="1132" t="n"/>
      <c r="LJT284" s="1132" t="n"/>
      <c r="LJU284" s="1132" t="n"/>
      <c r="LJV284" s="1132" t="n"/>
      <c r="LJW284" s="1132" t="n"/>
      <c r="LJX284" s="1132" t="n"/>
      <c r="LJY284" s="1132" t="n"/>
      <c r="LJZ284" s="1132" t="n"/>
      <c r="LKA284" s="1132" t="n"/>
      <c r="LKB284" s="1132" t="n"/>
      <c r="LKC284" s="1132" t="n"/>
      <c r="LKD284" s="1132" t="n"/>
      <c r="LKE284" s="1132" t="n"/>
      <c r="LKF284" s="1132" t="n"/>
      <c r="LKG284" s="1132" t="n"/>
      <c r="LKH284" s="1132" t="n"/>
      <c r="LKI284" s="1132" t="n"/>
      <c r="LKJ284" s="1132" t="n"/>
      <c r="LKK284" s="1132" t="n"/>
      <c r="LKL284" s="1132" t="n"/>
      <c r="LKM284" s="1132" t="n"/>
      <c r="LKN284" s="1132" t="n"/>
      <c r="LKO284" s="1132" t="n"/>
      <c r="LKP284" s="1132" t="n"/>
      <c r="LKQ284" s="1132" t="n"/>
      <c r="LKR284" s="1132" t="n"/>
      <c r="LKS284" s="1132" t="n"/>
      <c r="LKT284" s="1132" t="n"/>
      <c r="LKU284" s="1132" t="n"/>
      <c r="LKV284" s="1132" t="n"/>
      <c r="LKW284" s="1132" t="n"/>
      <c r="LKX284" s="1132" t="n"/>
      <c r="LKY284" s="1132" t="n"/>
      <c r="LKZ284" s="1132" t="n"/>
      <c r="LLA284" s="1132" t="n"/>
      <c r="LLB284" s="1132" t="n"/>
      <c r="LLC284" s="1132" t="n"/>
      <c r="LLD284" s="1132" t="n"/>
      <c r="LLE284" s="1132" t="n"/>
      <c r="LLF284" s="1132" t="n"/>
      <c r="LLG284" s="1132" t="n"/>
      <c r="LLH284" s="1132" t="n"/>
      <c r="LLI284" s="1132" t="n"/>
      <c r="LLJ284" s="1132" t="n"/>
      <c r="LLK284" s="1132" t="n"/>
      <c r="LLL284" s="1132" t="n"/>
      <c r="LLM284" s="1132" t="n"/>
      <c r="LLN284" s="1132" t="n"/>
      <c r="LLO284" s="1132" t="n"/>
      <c r="LLP284" s="1132" t="n"/>
      <c r="LLQ284" s="1132" t="n"/>
      <c r="LLR284" s="1132" t="n"/>
      <c r="LLS284" s="1132" t="n"/>
      <c r="LLT284" s="1132" t="n"/>
      <c r="LLU284" s="1132" t="n"/>
      <c r="LLV284" s="1132" t="n"/>
      <c r="LLW284" s="1132" t="n"/>
      <c r="LLX284" s="1132" t="n"/>
      <c r="LLY284" s="1132" t="n"/>
      <c r="LLZ284" s="1132" t="n"/>
      <c r="LMA284" s="1132" t="n"/>
      <c r="LMB284" s="1132" t="n"/>
      <c r="LMC284" s="1132" t="n"/>
      <c r="LMD284" s="1132" t="n"/>
      <c r="LME284" s="1132" t="n"/>
      <c r="LMF284" s="1132" t="n"/>
      <c r="LMG284" s="1132" t="n"/>
      <c r="LMH284" s="1132" t="n"/>
      <c r="LMI284" s="1132" t="n"/>
      <c r="LMJ284" s="1132" t="n"/>
      <c r="LMK284" s="1132" t="n"/>
      <c r="LML284" s="1132" t="n"/>
      <c r="LMM284" s="1132" t="n"/>
      <c r="LMN284" s="1132" t="n"/>
      <c r="LMO284" s="1132" t="n"/>
      <c r="LMP284" s="1132" t="n"/>
      <c r="LMQ284" s="1132" t="n"/>
      <c r="LMR284" s="1132" t="n"/>
      <c r="LMS284" s="1132" t="n"/>
      <c r="LMT284" s="1132" t="n"/>
      <c r="LMU284" s="1132" t="n"/>
      <c r="LMV284" s="1132" t="n"/>
      <c r="LMW284" s="1132" t="n"/>
      <c r="LMX284" s="1132" t="n"/>
      <c r="LMY284" s="1132" t="n"/>
      <c r="LMZ284" s="1132" t="n"/>
      <c r="LNA284" s="1132" t="n"/>
      <c r="LNB284" s="1132" t="n"/>
      <c r="LNC284" s="1132" t="n"/>
      <c r="LND284" s="1132" t="n"/>
      <c r="LNE284" s="1132" t="n"/>
      <c r="LNF284" s="1132" t="n"/>
      <c r="LNG284" s="1132" t="n"/>
      <c r="LNH284" s="1132" t="n"/>
      <c r="LNI284" s="1132" t="n"/>
      <c r="LNJ284" s="1132" t="n"/>
      <c r="LNK284" s="1132" t="n"/>
      <c r="LNL284" s="1132" t="n"/>
      <c r="LNM284" s="1132" t="n"/>
      <c r="LNN284" s="1132" t="n"/>
      <c r="LNO284" s="1132" t="n"/>
      <c r="LNP284" s="1132" t="n"/>
      <c r="LNQ284" s="1132" t="n"/>
      <c r="LNR284" s="1132" t="n"/>
      <c r="LNS284" s="1132" t="n"/>
      <c r="LNT284" s="1132" t="n"/>
      <c r="LNU284" s="1132" t="n"/>
      <c r="LNV284" s="1132" t="n"/>
      <c r="LNW284" s="1132" t="n"/>
      <c r="LNX284" s="1132" t="n"/>
      <c r="LNY284" s="1132" t="n"/>
      <c r="LNZ284" s="1132" t="n"/>
      <c r="LOA284" s="1132" t="n"/>
      <c r="LOB284" s="1132" t="n"/>
      <c r="LOC284" s="1132" t="n"/>
      <c r="LOD284" s="1132" t="n"/>
      <c r="LOE284" s="1132" t="n"/>
      <c r="LOF284" s="1132" t="n"/>
      <c r="LOG284" s="1132" t="n"/>
      <c r="LOH284" s="1132" t="n"/>
      <c r="LOI284" s="1132" t="n"/>
      <c r="LOJ284" s="1132" t="n"/>
      <c r="LOK284" s="1132" t="n"/>
      <c r="LOL284" s="1132" t="n"/>
      <c r="LOM284" s="1132" t="n"/>
      <c r="LON284" s="1132" t="n"/>
      <c r="LOO284" s="1132" t="n"/>
      <c r="LOP284" s="1132" t="n"/>
      <c r="LOQ284" s="1132" t="n"/>
      <c r="LOR284" s="1132" t="n"/>
      <c r="LOS284" s="1132" t="n"/>
      <c r="LOT284" s="1132" t="n"/>
      <c r="LOU284" s="1132" t="n"/>
      <c r="LOV284" s="1132" t="n"/>
      <c r="LOW284" s="1132" t="n"/>
      <c r="LOX284" s="1132" t="n"/>
      <c r="LOY284" s="1132" t="n"/>
      <c r="LOZ284" s="1132" t="n"/>
      <c r="LPA284" s="1132" t="n"/>
      <c r="LPB284" s="1132" t="n"/>
      <c r="LPC284" s="1132" t="n"/>
      <c r="LPD284" s="1132" t="n"/>
      <c r="LPE284" s="1132" t="n"/>
      <c r="LPF284" s="1132" t="n"/>
      <c r="LPG284" s="1132" t="n"/>
      <c r="LPH284" s="1132" t="n"/>
      <c r="LPI284" s="1132" t="n"/>
      <c r="LPJ284" s="1132" t="n"/>
      <c r="LPK284" s="1132" t="n"/>
      <c r="LPL284" s="1132" t="n"/>
      <c r="LPM284" s="1132" t="n"/>
      <c r="LPN284" s="1132" t="n"/>
      <c r="LPO284" s="1132" t="n"/>
      <c r="LPP284" s="1132" t="n"/>
      <c r="LPQ284" s="1132" t="n"/>
      <c r="LPR284" s="1132" t="n"/>
      <c r="LPS284" s="1132" t="n"/>
      <c r="LPT284" s="1132" t="n"/>
      <c r="LPU284" s="1132" t="n"/>
      <c r="LPV284" s="1132" t="n"/>
      <c r="LPW284" s="1132" t="n"/>
      <c r="LPX284" s="1132" t="n"/>
      <c r="LPY284" s="1132" t="n"/>
      <c r="LPZ284" s="1132" t="n"/>
      <c r="LQA284" s="1132" t="n"/>
      <c r="LQB284" s="1132" t="n"/>
      <c r="LQC284" s="1132" t="n"/>
      <c r="LQD284" s="1132" t="n"/>
      <c r="LQE284" s="1132" t="n"/>
      <c r="LQF284" s="1132" t="n"/>
      <c r="LQG284" s="1132" t="n"/>
      <c r="LQH284" s="1132" t="n"/>
      <c r="LQI284" s="1132" t="n"/>
      <c r="LQJ284" s="1132" t="n"/>
      <c r="LQK284" s="1132" t="n"/>
      <c r="LQL284" s="1132" t="n"/>
      <c r="LQM284" s="1132" t="n"/>
      <c r="LQN284" s="1132" t="n"/>
      <c r="LQO284" s="1132" t="n"/>
      <c r="LQP284" s="1132" t="n"/>
      <c r="LQQ284" s="1132" t="n"/>
      <c r="LQR284" s="1132" t="n"/>
      <c r="LQS284" s="1132" t="n"/>
      <c r="LQT284" s="1132" t="n"/>
      <c r="LQU284" s="1132" t="n"/>
      <c r="LQV284" s="1132" t="n"/>
      <c r="LQW284" s="1132" t="n"/>
      <c r="LQX284" s="1132" t="n"/>
      <c r="LQY284" s="1132" t="n"/>
      <c r="LQZ284" s="1132" t="n"/>
      <c r="LRA284" s="1132" t="n"/>
      <c r="LRB284" s="1132" t="n"/>
      <c r="LRC284" s="1132" t="n"/>
      <c r="LRD284" s="1132" t="n"/>
      <c r="LRE284" s="1132" t="n"/>
      <c r="LRF284" s="1132" t="n"/>
      <c r="LRG284" s="1132" t="n"/>
      <c r="LRH284" s="1132" t="n"/>
      <c r="LRI284" s="1132" t="n"/>
      <c r="LRJ284" s="1132" t="n"/>
      <c r="LRK284" s="1132" t="n"/>
      <c r="LRL284" s="1132" t="n"/>
      <c r="LRM284" s="1132" t="n"/>
      <c r="LRN284" s="1132" t="n"/>
      <c r="LRO284" s="1132" t="n"/>
      <c r="LRP284" s="1132" t="n"/>
      <c r="LRQ284" s="1132" t="n"/>
      <c r="LRR284" s="1132" t="n"/>
      <c r="LRS284" s="1132" t="n"/>
      <c r="LRT284" s="1132" t="n"/>
      <c r="LRU284" s="1132" t="n"/>
      <c r="LRV284" s="1132" t="n"/>
      <c r="LRW284" s="1132" t="n"/>
      <c r="LRX284" s="1132" t="n"/>
      <c r="LRY284" s="1132" t="n"/>
      <c r="LRZ284" s="1132" t="n"/>
      <c r="LSA284" s="1132" t="n"/>
      <c r="LSB284" s="1132" t="n"/>
      <c r="LSC284" s="1132" t="n"/>
      <c r="LSD284" s="1132" t="n"/>
      <c r="LSE284" s="1132" t="n"/>
      <c r="LSF284" s="1132" t="n"/>
      <c r="LSG284" s="1132" t="n"/>
      <c r="LSH284" s="1132" t="n"/>
      <c r="LSI284" s="1132" t="n"/>
      <c r="LSJ284" s="1132" t="n"/>
      <c r="LSK284" s="1132" t="n"/>
      <c r="LSL284" s="1132" t="n"/>
      <c r="LSM284" s="1132" t="n"/>
      <c r="LSN284" s="1132" t="n"/>
      <c r="LSO284" s="1132" t="n"/>
      <c r="LSP284" s="1132" t="n"/>
      <c r="LSQ284" s="1132" t="n"/>
      <c r="LSR284" s="1132" t="n"/>
      <c r="LSS284" s="1132" t="n"/>
      <c r="LST284" s="1132" t="n"/>
      <c r="LSU284" s="1132" t="n"/>
      <c r="LSV284" s="1132" t="n"/>
      <c r="LSW284" s="1132" t="n"/>
      <c r="LSX284" s="1132" t="n"/>
      <c r="LSY284" s="1132" t="n"/>
      <c r="LSZ284" s="1132" t="n"/>
      <c r="LTA284" s="1132" t="n"/>
      <c r="LTB284" s="1132" t="n"/>
      <c r="LTC284" s="1132" t="n"/>
      <c r="LTD284" s="1132" t="n"/>
      <c r="LTE284" s="1132" t="n"/>
      <c r="LTF284" s="1132" t="n"/>
      <c r="LTG284" s="1132" t="n"/>
      <c r="LTH284" s="1132" t="n"/>
      <c r="LTI284" s="1132" t="n"/>
      <c r="LTJ284" s="1132" t="n"/>
      <c r="LTK284" s="1132" t="n"/>
      <c r="LTL284" s="1132" t="n"/>
      <c r="LTM284" s="1132" t="n"/>
      <c r="LTN284" s="1132" t="n"/>
      <c r="LTO284" s="1132" t="n"/>
      <c r="LTP284" s="1132" t="n"/>
      <c r="LTQ284" s="1132" t="n"/>
      <c r="LTR284" s="1132" t="n"/>
      <c r="LTS284" s="1132" t="n"/>
      <c r="LTT284" s="1132" t="n"/>
      <c r="LTU284" s="1132" t="n"/>
      <c r="LTV284" s="1132" t="n"/>
      <c r="LTW284" s="1132" t="n"/>
      <c r="LTX284" s="1132" t="n"/>
      <c r="LTY284" s="1132" t="n"/>
      <c r="LTZ284" s="1132" t="n"/>
      <c r="LUA284" s="1132" t="n"/>
      <c r="LUB284" s="1132" t="n"/>
      <c r="LUC284" s="1132" t="n"/>
      <c r="LUD284" s="1132" t="n"/>
      <c r="LUE284" s="1132" t="n"/>
      <c r="LUF284" s="1132" t="n"/>
      <c r="LUG284" s="1132" t="n"/>
      <c r="LUH284" s="1132" t="n"/>
      <c r="LUI284" s="1132" t="n"/>
      <c r="LUJ284" s="1132" t="n"/>
      <c r="LUK284" s="1132" t="n"/>
      <c r="LUL284" s="1132" t="n"/>
      <c r="LUM284" s="1132" t="n"/>
      <c r="LUN284" s="1132" t="n"/>
      <c r="LUO284" s="1132" t="n"/>
      <c r="LUP284" s="1132" t="n"/>
      <c r="LUQ284" s="1132" t="n"/>
      <c r="LUR284" s="1132" t="n"/>
      <c r="LUS284" s="1132" t="n"/>
      <c r="LUT284" s="1132" t="n"/>
      <c r="LUU284" s="1132" t="n"/>
      <c r="LUV284" s="1132" t="n"/>
      <c r="LUW284" s="1132" t="n"/>
      <c r="LUX284" s="1132" t="n"/>
      <c r="LUY284" s="1132" t="n"/>
      <c r="LUZ284" s="1132" t="n"/>
      <c r="LVA284" s="1132" t="n"/>
      <c r="LVB284" s="1132" t="n"/>
      <c r="LVC284" s="1132" t="n"/>
      <c r="LVD284" s="1132" t="n"/>
      <c r="LVE284" s="1132" t="n"/>
      <c r="LVF284" s="1132" t="n"/>
      <c r="LVG284" s="1132" t="n"/>
      <c r="LVH284" s="1132" t="n"/>
      <c r="LVI284" s="1132" t="n"/>
      <c r="LVJ284" s="1132" t="n"/>
      <c r="LVK284" s="1132" t="n"/>
      <c r="LVL284" s="1132" t="n"/>
      <c r="LVM284" s="1132" t="n"/>
      <c r="LVN284" s="1132" t="n"/>
      <c r="LVO284" s="1132" t="n"/>
      <c r="LVP284" s="1132" t="n"/>
      <c r="LVQ284" s="1132" t="n"/>
      <c r="LVR284" s="1132" t="n"/>
      <c r="LVS284" s="1132" t="n"/>
      <c r="LVT284" s="1132" t="n"/>
      <c r="LVU284" s="1132" t="n"/>
      <c r="LVV284" s="1132" t="n"/>
      <c r="LVW284" s="1132" t="n"/>
      <c r="LVX284" s="1132" t="n"/>
      <c r="LVY284" s="1132" t="n"/>
      <c r="LVZ284" s="1132" t="n"/>
      <c r="LWA284" s="1132" t="n"/>
      <c r="LWB284" s="1132" t="n"/>
      <c r="LWC284" s="1132" t="n"/>
      <c r="LWD284" s="1132" t="n"/>
      <c r="LWE284" s="1132" t="n"/>
      <c r="LWF284" s="1132" t="n"/>
      <c r="LWG284" s="1132" t="n"/>
      <c r="LWH284" s="1132" t="n"/>
      <c r="LWI284" s="1132" t="n"/>
      <c r="LWJ284" s="1132" t="n"/>
      <c r="LWK284" s="1132" t="n"/>
      <c r="LWL284" s="1132" t="n"/>
      <c r="LWM284" s="1132" t="n"/>
      <c r="LWN284" s="1132" t="n"/>
      <c r="LWO284" s="1132" t="n"/>
      <c r="LWP284" s="1132" t="n"/>
      <c r="LWQ284" s="1132" t="n"/>
      <c r="LWR284" s="1132" t="n"/>
      <c r="LWS284" s="1132" t="n"/>
      <c r="LWT284" s="1132" t="n"/>
      <c r="LWU284" s="1132" t="n"/>
      <c r="LWV284" s="1132" t="n"/>
      <c r="LWW284" s="1132" t="n"/>
      <c r="LWX284" s="1132" t="n"/>
      <c r="LWY284" s="1132" t="n"/>
      <c r="LWZ284" s="1132" t="n"/>
      <c r="LXA284" s="1132" t="n"/>
      <c r="LXB284" s="1132" t="n"/>
      <c r="LXC284" s="1132" t="n"/>
      <c r="LXD284" s="1132" t="n"/>
      <c r="LXE284" s="1132" t="n"/>
      <c r="LXF284" s="1132" t="n"/>
      <c r="LXG284" s="1132" t="n"/>
      <c r="LXH284" s="1132" t="n"/>
      <c r="LXI284" s="1132" t="n"/>
      <c r="LXJ284" s="1132" t="n"/>
      <c r="LXK284" s="1132" t="n"/>
      <c r="LXL284" s="1132" t="n"/>
      <c r="LXM284" s="1132" t="n"/>
      <c r="LXN284" s="1132" t="n"/>
      <c r="LXO284" s="1132" t="n"/>
      <c r="LXP284" s="1132" t="n"/>
      <c r="LXQ284" s="1132" t="n"/>
      <c r="LXR284" s="1132" t="n"/>
      <c r="LXS284" s="1132" t="n"/>
      <c r="LXT284" s="1132" t="n"/>
      <c r="LXU284" s="1132" t="n"/>
      <c r="LXV284" s="1132" t="n"/>
      <c r="LXW284" s="1132" t="n"/>
      <c r="LXX284" s="1132" t="n"/>
      <c r="LXY284" s="1132" t="n"/>
      <c r="LXZ284" s="1132" t="n"/>
      <c r="LYA284" s="1132" t="n"/>
      <c r="LYB284" s="1132" t="n"/>
      <c r="LYC284" s="1132" t="n"/>
      <c r="LYD284" s="1132" t="n"/>
      <c r="LYE284" s="1132" t="n"/>
      <c r="LYF284" s="1132" t="n"/>
      <c r="LYG284" s="1132" t="n"/>
      <c r="LYH284" s="1132" t="n"/>
      <c r="LYI284" s="1132" t="n"/>
      <c r="LYJ284" s="1132" t="n"/>
      <c r="LYK284" s="1132" t="n"/>
      <c r="LYL284" s="1132" t="n"/>
      <c r="LYM284" s="1132" t="n"/>
      <c r="LYN284" s="1132" t="n"/>
      <c r="LYO284" s="1132" t="n"/>
      <c r="LYP284" s="1132" t="n"/>
      <c r="LYQ284" s="1132" t="n"/>
      <c r="LYR284" s="1132" t="n"/>
      <c r="LYS284" s="1132" t="n"/>
      <c r="LYT284" s="1132" t="n"/>
      <c r="LYU284" s="1132" t="n"/>
      <c r="LYV284" s="1132" t="n"/>
      <c r="LYW284" s="1132" t="n"/>
      <c r="LYX284" s="1132" t="n"/>
      <c r="LYY284" s="1132" t="n"/>
      <c r="LYZ284" s="1132" t="n"/>
      <c r="LZA284" s="1132" t="n"/>
      <c r="LZB284" s="1132" t="n"/>
      <c r="LZC284" s="1132" t="n"/>
      <c r="LZD284" s="1132" t="n"/>
      <c r="LZE284" s="1132" t="n"/>
      <c r="LZF284" s="1132" t="n"/>
      <c r="LZG284" s="1132" t="n"/>
      <c r="LZH284" s="1132" t="n"/>
      <c r="LZI284" s="1132" t="n"/>
      <c r="LZJ284" s="1132" t="n"/>
      <c r="LZK284" s="1132" t="n"/>
      <c r="LZL284" s="1132" t="n"/>
      <c r="LZM284" s="1132" t="n"/>
      <c r="LZN284" s="1132" t="n"/>
      <c r="LZO284" s="1132" t="n"/>
      <c r="LZP284" s="1132" t="n"/>
      <c r="LZQ284" s="1132" t="n"/>
      <c r="LZR284" s="1132" t="n"/>
      <c r="LZS284" s="1132" t="n"/>
      <c r="LZT284" s="1132" t="n"/>
      <c r="LZU284" s="1132" t="n"/>
      <c r="LZV284" s="1132" t="n"/>
      <c r="LZW284" s="1132" t="n"/>
      <c r="LZX284" s="1132" t="n"/>
      <c r="LZY284" s="1132" t="n"/>
      <c r="LZZ284" s="1132" t="n"/>
      <c r="MAA284" s="1132" t="n"/>
      <c r="MAB284" s="1132" t="n"/>
      <c r="MAC284" s="1132" t="n"/>
      <c r="MAD284" s="1132" t="n"/>
      <c r="MAE284" s="1132" t="n"/>
      <c r="MAF284" s="1132" t="n"/>
      <c r="MAG284" s="1132" t="n"/>
      <c r="MAH284" s="1132" t="n"/>
      <c r="MAI284" s="1132" t="n"/>
      <c r="MAJ284" s="1132" t="n"/>
      <c r="MAK284" s="1132" t="n"/>
      <c r="MAL284" s="1132" t="n"/>
      <c r="MAM284" s="1132" t="n"/>
      <c r="MAN284" s="1132" t="n"/>
      <c r="MAO284" s="1132" t="n"/>
      <c r="MAP284" s="1132" t="n"/>
      <c r="MAQ284" s="1132" t="n"/>
      <c r="MAR284" s="1132" t="n"/>
      <c r="MAS284" s="1132" t="n"/>
      <c r="MAT284" s="1132" t="n"/>
      <c r="MAU284" s="1132" t="n"/>
      <c r="MAV284" s="1132" t="n"/>
      <c r="MAW284" s="1132" t="n"/>
      <c r="MAX284" s="1132" t="n"/>
      <c r="MAY284" s="1132" t="n"/>
      <c r="MAZ284" s="1132" t="n"/>
      <c r="MBA284" s="1132" t="n"/>
      <c r="MBB284" s="1132" t="n"/>
      <c r="MBC284" s="1132" t="n"/>
      <c r="MBD284" s="1132" t="n"/>
      <c r="MBE284" s="1132" t="n"/>
      <c r="MBF284" s="1132" t="n"/>
      <c r="MBG284" s="1132" t="n"/>
      <c r="MBH284" s="1132" t="n"/>
      <c r="MBI284" s="1132" t="n"/>
      <c r="MBJ284" s="1132" t="n"/>
      <c r="MBK284" s="1132" t="n"/>
      <c r="MBL284" s="1132" t="n"/>
      <c r="MBM284" s="1132" t="n"/>
      <c r="MBN284" s="1132" t="n"/>
      <c r="MBO284" s="1132" t="n"/>
      <c r="MBP284" s="1132" t="n"/>
      <c r="MBQ284" s="1132" t="n"/>
      <c r="MBR284" s="1132" t="n"/>
      <c r="MBS284" s="1132" t="n"/>
      <c r="MBT284" s="1132" t="n"/>
      <c r="MBU284" s="1132" t="n"/>
      <c r="MBV284" s="1132" t="n"/>
      <c r="MBW284" s="1132" t="n"/>
      <c r="MBX284" s="1132" t="n"/>
      <c r="MBY284" s="1132" t="n"/>
      <c r="MBZ284" s="1132" t="n"/>
      <c r="MCA284" s="1132" t="n"/>
      <c r="MCB284" s="1132" t="n"/>
      <c r="MCC284" s="1132" t="n"/>
      <c r="MCD284" s="1132" t="n"/>
      <c r="MCE284" s="1132" t="n"/>
      <c r="MCF284" s="1132" t="n"/>
      <c r="MCG284" s="1132" t="n"/>
      <c r="MCH284" s="1132" t="n"/>
      <c r="MCI284" s="1132" t="n"/>
      <c r="MCJ284" s="1132" t="n"/>
      <c r="MCK284" s="1132" t="n"/>
      <c r="MCL284" s="1132" t="n"/>
      <c r="MCM284" s="1132" t="n"/>
      <c r="MCN284" s="1132" t="n"/>
      <c r="MCO284" s="1132" t="n"/>
      <c r="MCP284" s="1132" t="n"/>
      <c r="MCQ284" s="1132" t="n"/>
      <c r="MCR284" s="1132" t="n"/>
      <c r="MCS284" s="1132" t="n"/>
      <c r="MCT284" s="1132" t="n"/>
      <c r="MCU284" s="1132" t="n"/>
      <c r="MCV284" s="1132" t="n"/>
      <c r="MCW284" s="1132" t="n"/>
      <c r="MCX284" s="1132" t="n"/>
      <c r="MCY284" s="1132" t="n"/>
      <c r="MCZ284" s="1132" t="n"/>
      <c r="MDA284" s="1132" t="n"/>
      <c r="MDB284" s="1132" t="n"/>
      <c r="MDC284" s="1132" t="n"/>
      <c r="MDD284" s="1132" t="n"/>
      <c r="MDE284" s="1132" t="n"/>
      <c r="MDF284" s="1132" t="n"/>
      <c r="MDG284" s="1132" t="n"/>
      <c r="MDH284" s="1132" t="n"/>
      <c r="MDI284" s="1132" t="n"/>
      <c r="MDJ284" s="1132" t="n"/>
      <c r="MDK284" s="1132" t="n"/>
      <c r="MDL284" s="1132" t="n"/>
      <c r="MDM284" s="1132" t="n"/>
      <c r="MDN284" s="1132" t="n"/>
      <c r="MDO284" s="1132" t="n"/>
      <c r="MDP284" s="1132" t="n"/>
      <c r="MDQ284" s="1132" t="n"/>
      <c r="MDR284" s="1132" t="n"/>
      <c r="MDS284" s="1132" t="n"/>
      <c r="MDT284" s="1132" t="n"/>
      <c r="MDU284" s="1132" t="n"/>
      <c r="MDV284" s="1132" t="n"/>
      <c r="MDW284" s="1132" t="n"/>
      <c r="MDX284" s="1132" t="n"/>
      <c r="MDY284" s="1132" t="n"/>
      <c r="MDZ284" s="1132" t="n"/>
      <c r="MEA284" s="1132" t="n"/>
      <c r="MEB284" s="1132" t="n"/>
      <c r="MEC284" s="1132" t="n"/>
      <c r="MED284" s="1132" t="n"/>
      <c r="MEE284" s="1132" t="n"/>
      <c r="MEF284" s="1132" t="n"/>
      <c r="MEG284" s="1132" t="n"/>
      <c r="MEH284" s="1132" t="n"/>
      <c r="MEI284" s="1132" t="n"/>
      <c r="MEJ284" s="1132" t="n"/>
      <c r="MEK284" s="1132" t="n"/>
      <c r="MEL284" s="1132" t="n"/>
      <c r="MEM284" s="1132" t="n"/>
      <c r="MEN284" s="1132" t="n"/>
      <c r="MEO284" s="1132" t="n"/>
      <c r="MEP284" s="1132" t="n"/>
      <c r="MEQ284" s="1132" t="n"/>
      <c r="MER284" s="1132" t="n"/>
      <c r="MES284" s="1132" t="n"/>
      <c r="MET284" s="1132" t="n"/>
      <c r="MEU284" s="1132" t="n"/>
      <c r="MEV284" s="1132" t="n"/>
      <c r="MEW284" s="1132" t="n"/>
      <c r="MEX284" s="1132" t="n"/>
      <c r="MEY284" s="1132" t="n"/>
      <c r="MEZ284" s="1132" t="n"/>
      <c r="MFA284" s="1132" t="n"/>
      <c r="MFB284" s="1132" t="n"/>
      <c r="MFC284" s="1132" t="n"/>
      <c r="MFD284" s="1132" t="n"/>
      <c r="MFE284" s="1132" t="n"/>
      <c r="MFF284" s="1132" t="n"/>
      <c r="MFG284" s="1132" t="n"/>
      <c r="MFH284" s="1132" t="n"/>
      <c r="MFI284" s="1132" t="n"/>
      <c r="MFJ284" s="1132" t="n"/>
      <c r="MFK284" s="1132" t="n"/>
      <c r="MFL284" s="1132" t="n"/>
      <c r="MFM284" s="1132" t="n"/>
      <c r="MFN284" s="1132" t="n"/>
      <c r="MFO284" s="1132" t="n"/>
      <c r="MFP284" s="1132" t="n"/>
      <c r="MFQ284" s="1132" t="n"/>
      <c r="MFR284" s="1132" t="n"/>
      <c r="MFS284" s="1132" t="n"/>
      <c r="MFT284" s="1132" t="n"/>
      <c r="MFU284" s="1132" t="n"/>
      <c r="MFV284" s="1132" t="n"/>
      <c r="MFW284" s="1132" t="n"/>
      <c r="MFX284" s="1132" t="n"/>
      <c r="MFY284" s="1132" t="n"/>
      <c r="MFZ284" s="1132" t="n"/>
      <c r="MGA284" s="1132" t="n"/>
      <c r="MGB284" s="1132" t="n"/>
      <c r="MGC284" s="1132" t="n"/>
      <c r="MGD284" s="1132" t="n"/>
      <c r="MGE284" s="1132" t="n"/>
      <c r="MGF284" s="1132" t="n"/>
      <c r="MGG284" s="1132" t="n"/>
      <c r="MGH284" s="1132" t="n"/>
      <c r="MGI284" s="1132" t="n"/>
      <c r="MGJ284" s="1132" t="n"/>
      <c r="MGK284" s="1132" t="n"/>
      <c r="MGL284" s="1132" t="n"/>
      <c r="MGM284" s="1132" t="n"/>
      <c r="MGN284" s="1132" t="n"/>
      <c r="MGO284" s="1132" t="n"/>
      <c r="MGP284" s="1132" t="n"/>
      <c r="MGQ284" s="1132" t="n"/>
      <c r="MGR284" s="1132" t="n"/>
      <c r="MGS284" s="1132" t="n"/>
      <c r="MGT284" s="1132" t="n"/>
      <c r="MGU284" s="1132" t="n"/>
      <c r="MGV284" s="1132" t="n"/>
      <c r="MGW284" s="1132" t="n"/>
      <c r="MGX284" s="1132" t="n"/>
      <c r="MGY284" s="1132" t="n"/>
      <c r="MGZ284" s="1132" t="n"/>
      <c r="MHA284" s="1132" t="n"/>
      <c r="MHB284" s="1132" t="n"/>
      <c r="MHC284" s="1132" t="n"/>
      <c r="MHD284" s="1132" t="n"/>
      <c r="MHE284" s="1132" t="n"/>
      <c r="MHF284" s="1132" t="n"/>
      <c r="MHG284" s="1132" t="n"/>
      <c r="MHH284" s="1132" t="n"/>
      <c r="MHI284" s="1132" t="n"/>
      <c r="MHJ284" s="1132" t="n"/>
      <c r="MHK284" s="1132" t="n"/>
      <c r="MHL284" s="1132" t="n"/>
      <c r="MHM284" s="1132" t="n"/>
      <c r="MHN284" s="1132" t="n"/>
      <c r="MHO284" s="1132" t="n"/>
      <c r="MHP284" s="1132" t="n"/>
      <c r="MHQ284" s="1132" t="n"/>
      <c r="MHR284" s="1132" t="n"/>
      <c r="MHS284" s="1132" t="n"/>
      <c r="MHT284" s="1132" t="n"/>
      <c r="MHU284" s="1132" t="n"/>
      <c r="MHV284" s="1132" t="n"/>
      <c r="MHW284" s="1132" t="n"/>
      <c r="MHX284" s="1132" t="n"/>
      <c r="MHY284" s="1132" t="n"/>
      <c r="MHZ284" s="1132" t="n"/>
      <c r="MIA284" s="1132" t="n"/>
      <c r="MIB284" s="1132" t="n"/>
      <c r="MIC284" s="1132" t="n"/>
      <c r="MID284" s="1132" t="n"/>
      <c r="MIE284" s="1132" t="n"/>
      <c r="MIF284" s="1132" t="n"/>
      <c r="MIG284" s="1132" t="n"/>
      <c r="MIH284" s="1132" t="n"/>
      <c r="MII284" s="1132" t="n"/>
      <c r="MIJ284" s="1132" t="n"/>
      <c r="MIK284" s="1132" t="n"/>
      <c r="MIL284" s="1132" t="n"/>
      <c r="MIM284" s="1132" t="n"/>
      <c r="MIN284" s="1132" t="n"/>
      <c r="MIO284" s="1132" t="n"/>
      <c r="MIP284" s="1132" t="n"/>
      <c r="MIQ284" s="1132" t="n"/>
      <c r="MIR284" s="1132" t="n"/>
      <c r="MIS284" s="1132" t="n"/>
      <c r="MIT284" s="1132" t="n"/>
      <c r="MIU284" s="1132" t="n"/>
      <c r="MIV284" s="1132" t="n"/>
      <c r="MIW284" s="1132" t="n"/>
      <c r="MIX284" s="1132" t="n"/>
      <c r="MIY284" s="1132" t="n"/>
      <c r="MIZ284" s="1132" t="n"/>
      <c r="MJA284" s="1132" t="n"/>
      <c r="MJB284" s="1132" t="n"/>
      <c r="MJC284" s="1132" t="n"/>
      <c r="MJD284" s="1132" t="n"/>
      <c r="MJE284" s="1132" t="n"/>
      <c r="MJF284" s="1132" t="n"/>
      <c r="MJG284" s="1132" t="n"/>
      <c r="MJH284" s="1132" t="n"/>
      <c r="MJI284" s="1132" t="n"/>
      <c r="MJJ284" s="1132" t="n"/>
      <c r="MJK284" s="1132" t="n"/>
      <c r="MJL284" s="1132" t="n"/>
      <c r="MJM284" s="1132" t="n"/>
      <c r="MJN284" s="1132" t="n"/>
      <c r="MJO284" s="1132" t="n"/>
      <c r="MJP284" s="1132" t="n"/>
      <c r="MJQ284" s="1132" t="n"/>
      <c r="MJR284" s="1132" t="n"/>
      <c r="MJS284" s="1132" t="n"/>
      <c r="MJT284" s="1132" t="n"/>
      <c r="MJU284" s="1132" t="n"/>
      <c r="MJV284" s="1132" t="n"/>
      <c r="MJW284" s="1132" t="n"/>
      <c r="MJX284" s="1132" t="n"/>
      <c r="MJY284" s="1132" t="n"/>
      <c r="MJZ284" s="1132" t="n"/>
      <c r="MKA284" s="1132" t="n"/>
      <c r="MKB284" s="1132" t="n"/>
      <c r="MKC284" s="1132" t="n"/>
      <c r="MKD284" s="1132" t="n"/>
      <c r="MKE284" s="1132" t="n"/>
      <c r="MKF284" s="1132" t="n"/>
      <c r="MKG284" s="1132" t="n"/>
      <c r="MKH284" s="1132" t="n"/>
      <c r="MKI284" s="1132" t="n"/>
      <c r="MKJ284" s="1132" t="n"/>
      <c r="MKK284" s="1132" t="n"/>
      <c r="MKL284" s="1132" t="n"/>
      <c r="MKM284" s="1132" t="n"/>
      <c r="MKN284" s="1132" t="n"/>
      <c r="MKO284" s="1132" t="n"/>
      <c r="MKP284" s="1132" t="n"/>
      <c r="MKQ284" s="1132" t="n"/>
      <c r="MKR284" s="1132" t="n"/>
      <c r="MKS284" s="1132" t="n"/>
      <c r="MKT284" s="1132" t="n"/>
      <c r="MKU284" s="1132" t="n"/>
      <c r="MKV284" s="1132" t="n"/>
      <c r="MKW284" s="1132" t="n"/>
      <c r="MKX284" s="1132" t="n"/>
      <c r="MKY284" s="1132" t="n"/>
      <c r="MKZ284" s="1132" t="n"/>
      <c r="MLA284" s="1132" t="n"/>
      <c r="MLB284" s="1132" t="n"/>
      <c r="MLC284" s="1132" t="n"/>
      <c r="MLD284" s="1132" t="n"/>
      <c r="MLE284" s="1132" t="n"/>
      <c r="MLF284" s="1132" t="n"/>
      <c r="MLG284" s="1132" t="n"/>
      <c r="MLH284" s="1132" t="n"/>
      <c r="MLI284" s="1132" t="n"/>
      <c r="MLJ284" s="1132" t="n"/>
      <c r="MLK284" s="1132" t="n"/>
      <c r="MLL284" s="1132" t="n"/>
      <c r="MLM284" s="1132" t="n"/>
      <c r="MLN284" s="1132" t="n"/>
      <c r="MLO284" s="1132" t="n"/>
      <c r="MLP284" s="1132" t="n"/>
      <c r="MLQ284" s="1132" t="n"/>
      <c r="MLR284" s="1132" t="n"/>
      <c r="MLS284" s="1132" t="n"/>
      <c r="MLT284" s="1132" t="n"/>
      <c r="MLU284" s="1132" t="n"/>
      <c r="MLV284" s="1132" t="n"/>
      <c r="MLW284" s="1132" t="n"/>
      <c r="MLX284" s="1132" t="n"/>
      <c r="MLY284" s="1132" t="n"/>
      <c r="MLZ284" s="1132" t="n"/>
      <c r="MMA284" s="1132" t="n"/>
      <c r="MMB284" s="1132" t="n"/>
      <c r="MMC284" s="1132" t="n"/>
      <c r="MMD284" s="1132" t="n"/>
      <c r="MME284" s="1132" t="n"/>
      <c r="MMF284" s="1132" t="n"/>
      <c r="MMG284" s="1132" t="n"/>
      <c r="MMH284" s="1132" t="n"/>
      <c r="MMI284" s="1132" t="n"/>
      <c r="MMJ284" s="1132" t="n"/>
      <c r="MMK284" s="1132" t="n"/>
      <c r="MML284" s="1132" t="n"/>
      <c r="MMM284" s="1132" t="n"/>
      <c r="MMN284" s="1132" t="n"/>
      <c r="MMO284" s="1132" t="n"/>
      <c r="MMP284" s="1132" t="n"/>
      <c r="MMQ284" s="1132" t="n"/>
      <c r="MMR284" s="1132" t="n"/>
      <c r="MMS284" s="1132" t="n"/>
      <c r="MMT284" s="1132" t="n"/>
      <c r="MMU284" s="1132" t="n"/>
      <c r="MMV284" s="1132" t="n"/>
      <c r="MMW284" s="1132" t="n"/>
      <c r="MMX284" s="1132" t="n"/>
      <c r="MMY284" s="1132" t="n"/>
      <c r="MMZ284" s="1132" t="n"/>
      <c r="MNA284" s="1132" t="n"/>
      <c r="MNB284" s="1132" t="n"/>
      <c r="MNC284" s="1132" t="n"/>
      <c r="MND284" s="1132" t="n"/>
      <c r="MNE284" s="1132" t="n"/>
      <c r="MNF284" s="1132" t="n"/>
      <c r="MNG284" s="1132" t="n"/>
      <c r="MNH284" s="1132" t="n"/>
      <c r="MNI284" s="1132" t="n"/>
      <c r="MNJ284" s="1132" t="n"/>
      <c r="MNK284" s="1132" t="n"/>
      <c r="MNL284" s="1132" t="n"/>
      <c r="MNM284" s="1132" t="n"/>
      <c r="MNN284" s="1132" t="n"/>
      <c r="MNO284" s="1132" t="n"/>
      <c r="MNP284" s="1132" t="n"/>
      <c r="MNQ284" s="1132" t="n"/>
      <c r="MNR284" s="1132" t="n"/>
      <c r="MNS284" s="1132" t="n"/>
      <c r="MNT284" s="1132" t="n"/>
      <c r="MNU284" s="1132" t="n"/>
      <c r="MNV284" s="1132" t="n"/>
      <c r="MNW284" s="1132" t="n"/>
      <c r="MNX284" s="1132" t="n"/>
      <c r="MNY284" s="1132" t="n"/>
      <c r="MNZ284" s="1132" t="n"/>
      <c r="MOA284" s="1132" t="n"/>
      <c r="MOB284" s="1132" t="n"/>
      <c r="MOC284" s="1132" t="n"/>
      <c r="MOD284" s="1132" t="n"/>
      <c r="MOE284" s="1132" t="n"/>
      <c r="MOF284" s="1132" t="n"/>
      <c r="MOG284" s="1132" t="n"/>
      <c r="MOH284" s="1132" t="n"/>
      <c r="MOI284" s="1132" t="n"/>
      <c r="MOJ284" s="1132" t="n"/>
      <c r="MOK284" s="1132" t="n"/>
      <c r="MOL284" s="1132" t="n"/>
      <c r="MOM284" s="1132" t="n"/>
      <c r="MON284" s="1132" t="n"/>
      <c r="MOO284" s="1132" t="n"/>
      <c r="MOP284" s="1132" t="n"/>
      <c r="MOQ284" s="1132" t="n"/>
      <c r="MOR284" s="1132" t="n"/>
      <c r="MOS284" s="1132" t="n"/>
      <c r="MOT284" s="1132" t="n"/>
      <c r="MOU284" s="1132" t="n"/>
      <c r="MOV284" s="1132" t="n"/>
      <c r="MOW284" s="1132" t="n"/>
      <c r="MOX284" s="1132" t="n"/>
      <c r="MOY284" s="1132" t="n"/>
      <c r="MOZ284" s="1132" t="n"/>
      <c r="MPA284" s="1132" t="n"/>
      <c r="MPB284" s="1132" t="n"/>
      <c r="MPC284" s="1132" t="n"/>
      <c r="MPD284" s="1132" t="n"/>
      <c r="MPE284" s="1132" t="n"/>
      <c r="MPF284" s="1132" t="n"/>
      <c r="MPG284" s="1132" t="n"/>
      <c r="MPH284" s="1132" t="n"/>
      <c r="MPI284" s="1132" t="n"/>
      <c r="MPJ284" s="1132" t="n"/>
      <c r="MPK284" s="1132" t="n"/>
      <c r="MPL284" s="1132" t="n"/>
      <c r="MPM284" s="1132" t="n"/>
      <c r="MPN284" s="1132" t="n"/>
      <c r="MPO284" s="1132" t="n"/>
      <c r="MPP284" s="1132" t="n"/>
      <c r="MPQ284" s="1132" t="n"/>
      <c r="MPR284" s="1132" t="n"/>
      <c r="MPS284" s="1132" t="n"/>
      <c r="MPT284" s="1132" t="n"/>
      <c r="MPU284" s="1132" t="n"/>
      <c r="MPV284" s="1132" t="n"/>
      <c r="MPW284" s="1132" t="n"/>
      <c r="MPX284" s="1132" t="n"/>
      <c r="MPY284" s="1132" t="n"/>
      <c r="MPZ284" s="1132" t="n"/>
      <c r="MQA284" s="1132" t="n"/>
      <c r="MQB284" s="1132" t="n"/>
      <c r="MQC284" s="1132" t="n"/>
      <c r="MQD284" s="1132" t="n"/>
      <c r="MQE284" s="1132" t="n"/>
      <c r="MQF284" s="1132" t="n"/>
      <c r="MQG284" s="1132" t="n"/>
      <c r="MQH284" s="1132" t="n"/>
      <c r="MQI284" s="1132" t="n"/>
      <c r="MQJ284" s="1132" t="n"/>
      <c r="MQK284" s="1132" t="n"/>
      <c r="MQL284" s="1132" t="n"/>
      <c r="MQM284" s="1132" t="n"/>
      <c r="MQN284" s="1132" t="n"/>
      <c r="MQO284" s="1132" t="n"/>
      <c r="MQP284" s="1132" t="n"/>
      <c r="MQQ284" s="1132" t="n"/>
      <c r="MQR284" s="1132" t="n"/>
      <c r="MQS284" s="1132" t="n"/>
      <c r="MQT284" s="1132" t="n"/>
      <c r="MQU284" s="1132" t="n"/>
      <c r="MQV284" s="1132" t="n"/>
      <c r="MQW284" s="1132" t="n"/>
      <c r="MQX284" s="1132" t="n"/>
      <c r="MQY284" s="1132" t="n"/>
      <c r="MQZ284" s="1132" t="n"/>
      <c r="MRA284" s="1132" t="n"/>
      <c r="MRB284" s="1132" t="n"/>
      <c r="MRC284" s="1132" t="n"/>
      <c r="MRD284" s="1132" t="n"/>
      <c r="MRE284" s="1132" t="n"/>
      <c r="MRF284" s="1132" t="n"/>
      <c r="MRG284" s="1132" t="n"/>
      <c r="MRH284" s="1132" t="n"/>
      <c r="MRI284" s="1132" t="n"/>
      <c r="MRJ284" s="1132" t="n"/>
      <c r="MRK284" s="1132" t="n"/>
      <c r="MRL284" s="1132" t="n"/>
      <c r="MRM284" s="1132" t="n"/>
      <c r="MRN284" s="1132" t="n"/>
      <c r="MRO284" s="1132" t="n"/>
      <c r="MRP284" s="1132" t="n"/>
      <c r="MRQ284" s="1132" t="n"/>
      <c r="MRR284" s="1132" t="n"/>
      <c r="MRS284" s="1132" t="n"/>
      <c r="MRT284" s="1132" t="n"/>
      <c r="MRU284" s="1132" t="n"/>
      <c r="MRV284" s="1132" t="n"/>
      <c r="MRW284" s="1132" t="n"/>
      <c r="MRX284" s="1132" t="n"/>
      <c r="MRY284" s="1132" t="n"/>
      <c r="MRZ284" s="1132" t="n"/>
      <c r="MSA284" s="1132" t="n"/>
      <c r="MSB284" s="1132" t="n"/>
      <c r="MSC284" s="1132" t="n"/>
      <c r="MSD284" s="1132" t="n"/>
      <c r="MSE284" s="1132" t="n"/>
      <c r="MSF284" s="1132" t="n"/>
      <c r="MSG284" s="1132" t="n"/>
      <c r="MSH284" s="1132" t="n"/>
      <c r="MSI284" s="1132" t="n"/>
      <c r="MSJ284" s="1132" t="n"/>
      <c r="MSK284" s="1132" t="n"/>
      <c r="MSL284" s="1132" t="n"/>
      <c r="MSM284" s="1132" t="n"/>
      <c r="MSN284" s="1132" t="n"/>
      <c r="MSO284" s="1132" t="n"/>
      <c r="MSP284" s="1132" t="n"/>
      <c r="MSQ284" s="1132" t="n"/>
      <c r="MSR284" s="1132" t="n"/>
      <c r="MSS284" s="1132" t="n"/>
      <c r="MST284" s="1132" t="n"/>
      <c r="MSU284" s="1132" t="n"/>
      <c r="MSV284" s="1132" t="n"/>
      <c r="MSW284" s="1132" t="n"/>
      <c r="MSX284" s="1132" t="n"/>
      <c r="MSY284" s="1132" t="n"/>
      <c r="MSZ284" s="1132" t="n"/>
      <c r="MTA284" s="1132" t="n"/>
      <c r="MTB284" s="1132" t="n"/>
      <c r="MTC284" s="1132" t="n"/>
      <c r="MTD284" s="1132" t="n"/>
      <c r="MTE284" s="1132" t="n"/>
      <c r="MTF284" s="1132" t="n"/>
      <c r="MTG284" s="1132" t="n"/>
      <c r="MTH284" s="1132" t="n"/>
      <c r="MTI284" s="1132" t="n"/>
      <c r="MTJ284" s="1132" t="n"/>
      <c r="MTK284" s="1132" t="n"/>
      <c r="MTL284" s="1132" t="n"/>
      <c r="MTM284" s="1132" t="n"/>
      <c r="MTN284" s="1132" t="n"/>
      <c r="MTO284" s="1132" t="n"/>
      <c r="MTP284" s="1132" t="n"/>
      <c r="MTQ284" s="1132" t="n"/>
      <c r="MTR284" s="1132" t="n"/>
      <c r="MTS284" s="1132" t="n"/>
      <c r="MTT284" s="1132" t="n"/>
      <c r="MTU284" s="1132" t="n"/>
      <c r="MTV284" s="1132" t="n"/>
      <c r="MTW284" s="1132" t="n"/>
      <c r="MTX284" s="1132" t="n"/>
      <c r="MTY284" s="1132" t="n"/>
      <c r="MTZ284" s="1132" t="n"/>
      <c r="MUA284" s="1132" t="n"/>
      <c r="MUB284" s="1132" t="n"/>
      <c r="MUC284" s="1132" t="n"/>
      <c r="MUD284" s="1132" t="n"/>
      <c r="MUE284" s="1132" t="n"/>
      <c r="MUF284" s="1132" t="n"/>
      <c r="MUG284" s="1132" t="n"/>
      <c r="MUH284" s="1132" t="n"/>
      <c r="MUI284" s="1132" t="n"/>
      <c r="MUJ284" s="1132" t="n"/>
      <c r="MUK284" s="1132" t="n"/>
      <c r="MUL284" s="1132" t="n"/>
      <c r="MUM284" s="1132" t="n"/>
      <c r="MUN284" s="1132" t="n"/>
      <c r="MUO284" s="1132" t="n"/>
      <c r="MUP284" s="1132" t="n"/>
      <c r="MUQ284" s="1132" t="n"/>
      <c r="MUR284" s="1132" t="n"/>
      <c r="MUS284" s="1132" t="n"/>
      <c r="MUT284" s="1132" t="n"/>
      <c r="MUU284" s="1132" t="n"/>
      <c r="MUV284" s="1132" t="n"/>
      <c r="MUW284" s="1132" t="n"/>
      <c r="MUX284" s="1132" t="n"/>
      <c r="MUY284" s="1132" t="n"/>
      <c r="MUZ284" s="1132" t="n"/>
      <c r="MVA284" s="1132" t="n"/>
      <c r="MVB284" s="1132" t="n"/>
      <c r="MVC284" s="1132" t="n"/>
      <c r="MVD284" s="1132" t="n"/>
      <c r="MVE284" s="1132" t="n"/>
      <c r="MVF284" s="1132" t="n"/>
      <c r="MVG284" s="1132" t="n"/>
      <c r="MVH284" s="1132" t="n"/>
      <c r="MVI284" s="1132" t="n"/>
      <c r="MVJ284" s="1132" t="n"/>
      <c r="MVK284" s="1132" t="n"/>
      <c r="MVL284" s="1132" t="n"/>
      <c r="MVM284" s="1132" t="n"/>
      <c r="MVN284" s="1132" t="n"/>
      <c r="MVO284" s="1132" t="n"/>
      <c r="MVP284" s="1132" t="n"/>
      <c r="MVQ284" s="1132" t="n"/>
      <c r="MVR284" s="1132" t="n"/>
      <c r="MVS284" s="1132" t="n"/>
      <c r="MVT284" s="1132" t="n"/>
      <c r="MVU284" s="1132" t="n"/>
      <c r="MVV284" s="1132" t="n"/>
      <c r="MVW284" s="1132" t="n"/>
      <c r="MVX284" s="1132" t="n"/>
      <c r="MVY284" s="1132" t="n"/>
      <c r="MVZ284" s="1132" t="n"/>
      <c r="MWA284" s="1132" t="n"/>
      <c r="MWB284" s="1132" t="n"/>
      <c r="MWC284" s="1132" t="n"/>
      <c r="MWD284" s="1132" t="n"/>
      <c r="MWE284" s="1132" t="n"/>
      <c r="MWF284" s="1132" t="n"/>
      <c r="MWG284" s="1132" t="n"/>
      <c r="MWH284" s="1132" t="n"/>
      <c r="MWI284" s="1132" t="n"/>
      <c r="MWJ284" s="1132" t="n"/>
      <c r="MWK284" s="1132" t="n"/>
      <c r="MWL284" s="1132" t="n"/>
      <c r="MWM284" s="1132" t="n"/>
      <c r="MWN284" s="1132" t="n"/>
      <c r="MWO284" s="1132" t="n"/>
      <c r="MWP284" s="1132" t="n"/>
      <c r="MWQ284" s="1132" t="n"/>
      <c r="MWR284" s="1132" t="n"/>
      <c r="MWS284" s="1132" t="n"/>
      <c r="MWT284" s="1132" t="n"/>
      <c r="MWU284" s="1132" t="n"/>
      <c r="MWV284" s="1132" t="n"/>
      <c r="MWW284" s="1132" t="n"/>
      <c r="MWX284" s="1132" t="n"/>
      <c r="MWY284" s="1132" t="n"/>
      <c r="MWZ284" s="1132" t="n"/>
      <c r="MXA284" s="1132" t="n"/>
      <c r="MXB284" s="1132" t="n"/>
      <c r="MXC284" s="1132" t="n"/>
      <c r="MXD284" s="1132" t="n"/>
      <c r="MXE284" s="1132" t="n"/>
      <c r="MXF284" s="1132" t="n"/>
      <c r="MXG284" s="1132" t="n"/>
      <c r="MXH284" s="1132" t="n"/>
      <c r="MXI284" s="1132" t="n"/>
      <c r="MXJ284" s="1132" t="n"/>
      <c r="MXK284" s="1132" t="n"/>
      <c r="MXL284" s="1132" t="n"/>
      <c r="MXM284" s="1132" t="n"/>
      <c r="MXN284" s="1132" t="n"/>
      <c r="MXO284" s="1132" t="n"/>
      <c r="MXP284" s="1132" t="n"/>
      <c r="MXQ284" s="1132" t="n"/>
      <c r="MXR284" s="1132" t="n"/>
      <c r="MXS284" s="1132" t="n"/>
      <c r="MXT284" s="1132" t="n"/>
      <c r="MXU284" s="1132" t="n"/>
      <c r="MXV284" s="1132" t="n"/>
      <c r="MXW284" s="1132" t="n"/>
      <c r="MXX284" s="1132" t="n"/>
      <c r="MXY284" s="1132" t="n"/>
      <c r="MXZ284" s="1132" t="n"/>
      <c r="MYA284" s="1132" t="n"/>
      <c r="MYB284" s="1132" t="n"/>
      <c r="MYC284" s="1132" t="n"/>
      <c r="MYD284" s="1132" t="n"/>
      <c r="MYE284" s="1132" t="n"/>
      <c r="MYF284" s="1132" t="n"/>
      <c r="MYG284" s="1132" t="n"/>
      <c r="MYH284" s="1132" t="n"/>
      <c r="MYI284" s="1132" t="n"/>
      <c r="MYJ284" s="1132" t="n"/>
      <c r="MYK284" s="1132" t="n"/>
      <c r="MYL284" s="1132" t="n"/>
      <c r="MYM284" s="1132" t="n"/>
      <c r="MYN284" s="1132" t="n"/>
      <c r="MYO284" s="1132" t="n"/>
      <c r="MYP284" s="1132" t="n"/>
      <c r="MYQ284" s="1132" t="n"/>
      <c r="MYR284" s="1132" t="n"/>
      <c r="MYS284" s="1132" t="n"/>
      <c r="MYT284" s="1132" t="n"/>
      <c r="MYU284" s="1132" t="n"/>
      <c r="MYV284" s="1132" t="n"/>
      <c r="MYW284" s="1132" t="n"/>
      <c r="MYX284" s="1132" t="n"/>
      <c r="MYY284" s="1132" t="n"/>
      <c r="MYZ284" s="1132" t="n"/>
      <c r="MZA284" s="1132" t="n"/>
      <c r="MZB284" s="1132" t="n"/>
      <c r="MZC284" s="1132" t="n"/>
      <c r="MZD284" s="1132" t="n"/>
      <c r="MZE284" s="1132" t="n"/>
      <c r="MZF284" s="1132" t="n"/>
      <c r="MZG284" s="1132" t="n"/>
      <c r="MZH284" s="1132" t="n"/>
      <c r="MZI284" s="1132" t="n"/>
      <c r="MZJ284" s="1132" t="n"/>
      <c r="MZK284" s="1132" t="n"/>
      <c r="MZL284" s="1132" t="n"/>
      <c r="MZM284" s="1132" t="n"/>
      <c r="MZN284" s="1132" t="n"/>
      <c r="MZO284" s="1132" t="n"/>
      <c r="MZP284" s="1132" t="n"/>
      <c r="MZQ284" s="1132" t="n"/>
      <c r="MZR284" s="1132" t="n"/>
      <c r="MZS284" s="1132" t="n"/>
      <c r="MZT284" s="1132" t="n"/>
      <c r="MZU284" s="1132" t="n"/>
      <c r="MZV284" s="1132" t="n"/>
      <c r="MZW284" s="1132" t="n"/>
      <c r="MZX284" s="1132" t="n"/>
      <c r="MZY284" s="1132" t="n"/>
      <c r="MZZ284" s="1132" t="n"/>
      <c r="NAA284" s="1132" t="n"/>
      <c r="NAB284" s="1132" t="n"/>
      <c r="NAC284" s="1132" t="n"/>
      <c r="NAD284" s="1132" t="n"/>
      <c r="NAE284" s="1132" t="n"/>
      <c r="NAF284" s="1132" t="n"/>
      <c r="NAG284" s="1132" t="n"/>
      <c r="NAH284" s="1132" t="n"/>
      <c r="NAI284" s="1132" t="n"/>
      <c r="NAJ284" s="1132" t="n"/>
      <c r="NAK284" s="1132" t="n"/>
      <c r="NAL284" s="1132" t="n"/>
      <c r="NAM284" s="1132" t="n"/>
      <c r="NAN284" s="1132" t="n"/>
      <c r="NAO284" s="1132" t="n"/>
      <c r="NAP284" s="1132" t="n"/>
      <c r="NAQ284" s="1132" t="n"/>
      <c r="NAR284" s="1132" t="n"/>
      <c r="NAS284" s="1132" t="n"/>
      <c r="NAT284" s="1132" t="n"/>
      <c r="NAU284" s="1132" t="n"/>
      <c r="NAV284" s="1132" t="n"/>
      <c r="NAW284" s="1132" t="n"/>
      <c r="NAX284" s="1132" t="n"/>
      <c r="NAY284" s="1132" t="n"/>
      <c r="NAZ284" s="1132" t="n"/>
      <c r="NBA284" s="1132" t="n"/>
      <c r="NBB284" s="1132" t="n"/>
      <c r="NBC284" s="1132" t="n"/>
      <c r="NBD284" s="1132" t="n"/>
      <c r="NBE284" s="1132" t="n"/>
      <c r="NBF284" s="1132" t="n"/>
      <c r="NBG284" s="1132" t="n"/>
      <c r="NBH284" s="1132" t="n"/>
      <c r="NBI284" s="1132" t="n"/>
      <c r="NBJ284" s="1132" t="n"/>
      <c r="NBK284" s="1132" t="n"/>
      <c r="NBL284" s="1132" t="n"/>
      <c r="NBM284" s="1132" t="n"/>
      <c r="NBN284" s="1132" t="n"/>
      <c r="NBO284" s="1132" t="n"/>
      <c r="NBP284" s="1132" t="n"/>
      <c r="NBQ284" s="1132" t="n"/>
      <c r="NBR284" s="1132" t="n"/>
      <c r="NBS284" s="1132" t="n"/>
      <c r="NBT284" s="1132" t="n"/>
      <c r="NBU284" s="1132" t="n"/>
      <c r="NBV284" s="1132" t="n"/>
      <c r="NBW284" s="1132" t="n"/>
      <c r="NBX284" s="1132" t="n"/>
      <c r="NBY284" s="1132" t="n"/>
      <c r="NBZ284" s="1132" t="n"/>
      <c r="NCA284" s="1132" t="n"/>
      <c r="NCB284" s="1132" t="n"/>
      <c r="NCC284" s="1132" t="n"/>
      <c r="NCD284" s="1132" t="n"/>
      <c r="NCE284" s="1132" t="n"/>
      <c r="NCF284" s="1132" t="n"/>
      <c r="NCG284" s="1132" t="n"/>
      <c r="NCH284" s="1132" t="n"/>
      <c r="NCI284" s="1132" t="n"/>
      <c r="NCJ284" s="1132" t="n"/>
      <c r="NCK284" s="1132" t="n"/>
      <c r="NCL284" s="1132" t="n"/>
      <c r="NCM284" s="1132" t="n"/>
      <c r="NCN284" s="1132" t="n"/>
      <c r="NCO284" s="1132" t="n"/>
      <c r="NCP284" s="1132" t="n"/>
      <c r="NCQ284" s="1132" t="n"/>
      <c r="NCR284" s="1132" t="n"/>
      <c r="NCS284" s="1132" t="n"/>
      <c r="NCT284" s="1132" t="n"/>
      <c r="NCU284" s="1132" t="n"/>
      <c r="NCV284" s="1132" t="n"/>
      <c r="NCW284" s="1132" t="n"/>
      <c r="NCX284" s="1132" t="n"/>
      <c r="NCY284" s="1132" t="n"/>
      <c r="NCZ284" s="1132" t="n"/>
      <c r="NDA284" s="1132" t="n"/>
      <c r="NDB284" s="1132" t="n"/>
      <c r="NDC284" s="1132" t="n"/>
      <c r="NDD284" s="1132" t="n"/>
      <c r="NDE284" s="1132" t="n"/>
      <c r="NDF284" s="1132" t="n"/>
      <c r="NDG284" s="1132" t="n"/>
      <c r="NDH284" s="1132" t="n"/>
      <c r="NDI284" s="1132" t="n"/>
      <c r="NDJ284" s="1132" t="n"/>
      <c r="NDK284" s="1132" t="n"/>
      <c r="NDL284" s="1132" t="n"/>
      <c r="NDM284" s="1132" t="n"/>
      <c r="NDN284" s="1132" t="n"/>
      <c r="NDO284" s="1132" t="n"/>
      <c r="NDP284" s="1132" t="n"/>
      <c r="NDQ284" s="1132" t="n"/>
      <c r="NDR284" s="1132" t="n"/>
      <c r="NDS284" s="1132" t="n"/>
      <c r="NDT284" s="1132" t="n"/>
      <c r="NDU284" s="1132" t="n"/>
      <c r="NDV284" s="1132" t="n"/>
      <c r="NDW284" s="1132" t="n"/>
      <c r="NDX284" s="1132" t="n"/>
      <c r="NDY284" s="1132" t="n"/>
      <c r="NDZ284" s="1132" t="n"/>
      <c r="NEA284" s="1132" t="n"/>
      <c r="NEB284" s="1132" t="n"/>
      <c r="NEC284" s="1132" t="n"/>
      <c r="NED284" s="1132" t="n"/>
      <c r="NEE284" s="1132" t="n"/>
      <c r="NEF284" s="1132" t="n"/>
      <c r="NEG284" s="1132" t="n"/>
      <c r="NEH284" s="1132" t="n"/>
      <c r="NEI284" s="1132" t="n"/>
      <c r="NEJ284" s="1132" t="n"/>
      <c r="NEK284" s="1132" t="n"/>
      <c r="NEL284" s="1132" t="n"/>
      <c r="NEM284" s="1132" t="n"/>
      <c r="NEN284" s="1132" t="n"/>
      <c r="NEO284" s="1132" t="n"/>
      <c r="NEP284" s="1132" t="n"/>
      <c r="NEQ284" s="1132" t="n"/>
      <c r="NER284" s="1132" t="n"/>
      <c r="NES284" s="1132" t="n"/>
      <c r="NET284" s="1132" t="n"/>
      <c r="NEU284" s="1132" t="n"/>
      <c r="NEV284" s="1132" t="n"/>
      <c r="NEW284" s="1132" t="n"/>
      <c r="NEX284" s="1132" t="n"/>
      <c r="NEY284" s="1132" t="n"/>
      <c r="NEZ284" s="1132" t="n"/>
      <c r="NFA284" s="1132" t="n"/>
      <c r="NFB284" s="1132" t="n"/>
      <c r="NFC284" s="1132" t="n"/>
      <c r="NFD284" s="1132" t="n"/>
      <c r="NFE284" s="1132" t="n"/>
      <c r="NFF284" s="1132" t="n"/>
      <c r="NFG284" s="1132" t="n"/>
      <c r="NFH284" s="1132" t="n"/>
      <c r="NFI284" s="1132" t="n"/>
      <c r="NFJ284" s="1132" t="n"/>
      <c r="NFK284" s="1132" t="n"/>
      <c r="NFL284" s="1132" t="n"/>
      <c r="NFM284" s="1132" t="n"/>
      <c r="NFN284" s="1132" t="n"/>
      <c r="NFO284" s="1132" t="n"/>
      <c r="NFP284" s="1132" t="n"/>
      <c r="NFQ284" s="1132" t="n"/>
      <c r="NFR284" s="1132" t="n"/>
      <c r="NFS284" s="1132" t="n"/>
      <c r="NFT284" s="1132" t="n"/>
      <c r="NFU284" s="1132" t="n"/>
      <c r="NFV284" s="1132" t="n"/>
      <c r="NFW284" s="1132" t="n"/>
      <c r="NFX284" s="1132" t="n"/>
      <c r="NFY284" s="1132" t="n"/>
      <c r="NFZ284" s="1132" t="n"/>
      <c r="NGA284" s="1132" t="n"/>
      <c r="NGB284" s="1132" t="n"/>
      <c r="NGC284" s="1132" t="n"/>
      <c r="NGD284" s="1132" t="n"/>
      <c r="NGE284" s="1132" t="n"/>
      <c r="NGF284" s="1132" t="n"/>
      <c r="NGG284" s="1132" t="n"/>
      <c r="NGH284" s="1132" t="n"/>
      <c r="NGI284" s="1132" t="n"/>
      <c r="NGJ284" s="1132" t="n"/>
      <c r="NGK284" s="1132" t="n"/>
      <c r="NGL284" s="1132" t="n"/>
      <c r="NGM284" s="1132" t="n"/>
      <c r="NGN284" s="1132" t="n"/>
      <c r="NGO284" s="1132" t="n"/>
      <c r="NGP284" s="1132" t="n"/>
      <c r="NGQ284" s="1132" t="n"/>
      <c r="NGR284" s="1132" t="n"/>
      <c r="NGS284" s="1132" t="n"/>
      <c r="NGT284" s="1132" t="n"/>
      <c r="NGU284" s="1132" t="n"/>
      <c r="NGV284" s="1132" t="n"/>
      <c r="NGW284" s="1132" t="n"/>
      <c r="NGX284" s="1132" t="n"/>
      <c r="NGY284" s="1132" t="n"/>
      <c r="NGZ284" s="1132" t="n"/>
      <c r="NHA284" s="1132" t="n"/>
      <c r="NHB284" s="1132" t="n"/>
      <c r="NHC284" s="1132" t="n"/>
      <c r="NHD284" s="1132" t="n"/>
      <c r="NHE284" s="1132" t="n"/>
      <c r="NHF284" s="1132" t="n"/>
      <c r="NHG284" s="1132" t="n"/>
      <c r="NHH284" s="1132" t="n"/>
      <c r="NHI284" s="1132" t="n"/>
      <c r="NHJ284" s="1132" t="n"/>
      <c r="NHK284" s="1132" t="n"/>
      <c r="NHL284" s="1132" t="n"/>
      <c r="NHM284" s="1132" t="n"/>
      <c r="NHN284" s="1132" t="n"/>
      <c r="NHO284" s="1132" t="n"/>
      <c r="NHP284" s="1132" t="n"/>
      <c r="NHQ284" s="1132" t="n"/>
      <c r="NHR284" s="1132" t="n"/>
      <c r="NHS284" s="1132" t="n"/>
      <c r="NHT284" s="1132" t="n"/>
      <c r="NHU284" s="1132" t="n"/>
      <c r="NHV284" s="1132" t="n"/>
      <c r="NHW284" s="1132" t="n"/>
      <c r="NHX284" s="1132" t="n"/>
      <c r="NHY284" s="1132" t="n"/>
      <c r="NHZ284" s="1132" t="n"/>
      <c r="NIA284" s="1132" t="n"/>
      <c r="NIB284" s="1132" t="n"/>
      <c r="NIC284" s="1132" t="n"/>
      <c r="NID284" s="1132" t="n"/>
      <c r="NIE284" s="1132" t="n"/>
      <c r="NIF284" s="1132" t="n"/>
      <c r="NIG284" s="1132" t="n"/>
      <c r="NIH284" s="1132" t="n"/>
      <c r="NII284" s="1132" t="n"/>
      <c r="NIJ284" s="1132" t="n"/>
      <c r="NIK284" s="1132" t="n"/>
      <c r="NIL284" s="1132" t="n"/>
      <c r="NIM284" s="1132" t="n"/>
      <c r="NIN284" s="1132" t="n"/>
      <c r="NIO284" s="1132" t="n"/>
      <c r="NIP284" s="1132" t="n"/>
      <c r="NIQ284" s="1132" t="n"/>
      <c r="NIR284" s="1132" t="n"/>
      <c r="NIS284" s="1132" t="n"/>
      <c r="NIT284" s="1132" t="n"/>
      <c r="NIU284" s="1132" t="n"/>
      <c r="NIV284" s="1132" t="n"/>
      <c r="NIW284" s="1132" t="n"/>
      <c r="NIX284" s="1132" t="n"/>
      <c r="NIY284" s="1132" t="n"/>
      <c r="NIZ284" s="1132" t="n"/>
      <c r="NJA284" s="1132" t="n"/>
      <c r="NJB284" s="1132" t="n"/>
      <c r="NJC284" s="1132" t="n"/>
      <c r="NJD284" s="1132" t="n"/>
      <c r="NJE284" s="1132" t="n"/>
      <c r="NJF284" s="1132" t="n"/>
      <c r="NJG284" s="1132" t="n"/>
      <c r="NJH284" s="1132" t="n"/>
      <c r="NJI284" s="1132" t="n"/>
      <c r="NJJ284" s="1132" t="n"/>
      <c r="NJK284" s="1132" t="n"/>
      <c r="NJL284" s="1132" t="n"/>
      <c r="NJM284" s="1132" t="n"/>
      <c r="NJN284" s="1132" t="n"/>
      <c r="NJO284" s="1132" t="n"/>
      <c r="NJP284" s="1132" t="n"/>
      <c r="NJQ284" s="1132" t="n"/>
      <c r="NJR284" s="1132" t="n"/>
      <c r="NJS284" s="1132" t="n"/>
      <c r="NJT284" s="1132" t="n"/>
      <c r="NJU284" s="1132" t="n"/>
      <c r="NJV284" s="1132" t="n"/>
      <c r="NJW284" s="1132" t="n"/>
      <c r="NJX284" s="1132" t="n"/>
      <c r="NJY284" s="1132" t="n"/>
      <c r="NJZ284" s="1132" t="n"/>
      <c r="NKA284" s="1132" t="n"/>
      <c r="NKB284" s="1132" t="n"/>
      <c r="NKC284" s="1132" t="n"/>
      <c r="NKD284" s="1132" t="n"/>
      <c r="NKE284" s="1132" t="n"/>
      <c r="NKF284" s="1132" t="n"/>
      <c r="NKG284" s="1132" t="n"/>
      <c r="NKH284" s="1132" t="n"/>
      <c r="NKI284" s="1132" t="n"/>
      <c r="NKJ284" s="1132" t="n"/>
      <c r="NKK284" s="1132" t="n"/>
      <c r="NKL284" s="1132" t="n"/>
      <c r="NKM284" s="1132" t="n"/>
      <c r="NKN284" s="1132" t="n"/>
      <c r="NKO284" s="1132" t="n"/>
      <c r="NKP284" s="1132" t="n"/>
      <c r="NKQ284" s="1132" t="n"/>
      <c r="NKR284" s="1132" t="n"/>
      <c r="NKS284" s="1132" t="n"/>
      <c r="NKT284" s="1132" t="n"/>
      <c r="NKU284" s="1132" t="n"/>
      <c r="NKV284" s="1132" t="n"/>
      <c r="NKW284" s="1132" t="n"/>
      <c r="NKX284" s="1132" t="n"/>
      <c r="NKY284" s="1132" t="n"/>
      <c r="NKZ284" s="1132" t="n"/>
      <c r="NLA284" s="1132" t="n"/>
      <c r="NLB284" s="1132" t="n"/>
      <c r="NLC284" s="1132" t="n"/>
      <c r="NLD284" s="1132" t="n"/>
      <c r="NLE284" s="1132" t="n"/>
      <c r="NLF284" s="1132" t="n"/>
      <c r="NLG284" s="1132" t="n"/>
      <c r="NLH284" s="1132" t="n"/>
      <c r="NLI284" s="1132" t="n"/>
      <c r="NLJ284" s="1132" t="n"/>
      <c r="NLK284" s="1132" t="n"/>
      <c r="NLL284" s="1132" t="n"/>
      <c r="NLM284" s="1132" t="n"/>
      <c r="NLN284" s="1132" t="n"/>
      <c r="NLO284" s="1132" t="n"/>
      <c r="NLP284" s="1132" t="n"/>
      <c r="NLQ284" s="1132" t="n"/>
      <c r="NLR284" s="1132" t="n"/>
      <c r="NLS284" s="1132" t="n"/>
      <c r="NLT284" s="1132" t="n"/>
      <c r="NLU284" s="1132" t="n"/>
      <c r="NLV284" s="1132" t="n"/>
      <c r="NLW284" s="1132" t="n"/>
      <c r="NLX284" s="1132" t="n"/>
      <c r="NLY284" s="1132" t="n"/>
      <c r="NLZ284" s="1132" t="n"/>
      <c r="NMA284" s="1132" t="n"/>
      <c r="NMB284" s="1132" t="n"/>
      <c r="NMC284" s="1132" t="n"/>
      <c r="NMD284" s="1132" t="n"/>
      <c r="NME284" s="1132" t="n"/>
      <c r="NMF284" s="1132" t="n"/>
      <c r="NMG284" s="1132" t="n"/>
      <c r="NMH284" s="1132" t="n"/>
      <c r="NMI284" s="1132" t="n"/>
      <c r="NMJ284" s="1132" t="n"/>
      <c r="NMK284" s="1132" t="n"/>
      <c r="NML284" s="1132" t="n"/>
      <c r="NMM284" s="1132" t="n"/>
      <c r="NMN284" s="1132" t="n"/>
      <c r="NMO284" s="1132" t="n"/>
      <c r="NMP284" s="1132" t="n"/>
      <c r="NMQ284" s="1132" t="n"/>
      <c r="NMR284" s="1132" t="n"/>
      <c r="NMS284" s="1132" t="n"/>
      <c r="NMT284" s="1132" t="n"/>
      <c r="NMU284" s="1132" t="n"/>
      <c r="NMV284" s="1132" t="n"/>
      <c r="NMW284" s="1132" t="n"/>
      <c r="NMX284" s="1132" t="n"/>
      <c r="NMY284" s="1132" t="n"/>
      <c r="NMZ284" s="1132" t="n"/>
      <c r="NNA284" s="1132" t="n"/>
      <c r="NNB284" s="1132" t="n"/>
      <c r="NNC284" s="1132" t="n"/>
      <c r="NND284" s="1132" t="n"/>
      <c r="NNE284" s="1132" t="n"/>
      <c r="NNF284" s="1132" t="n"/>
      <c r="NNG284" s="1132" t="n"/>
      <c r="NNH284" s="1132" t="n"/>
      <c r="NNI284" s="1132" t="n"/>
      <c r="NNJ284" s="1132" t="n"/>
      <c r="NNK284" s="1132" t="n"/>
      <c r="NNL284" s="1132" t="n"/>
      <c r="NNM284" s="1132" t="n"/>
      <c r="NNN284" s="1132" t="n"/>
      <c r="NNO284" s="1132" t="n"/>
      <c r="NNP284" s="1132" t="n"/>
      <c r="NNQ284" s="1132" t="n"/>
      <c r="NNR284" s="1132" t="n"/>
      <c r="NNS284" s="1132" t="n"/>
      <c r="NNT284" s="1132" t="n"/>
      <c r="NNU284" s="1132" t="n"/>
      <c r="NNV284" s="1132" t="n"/>
      <c r="NNW284" s="1132" t="n"/>
      <c r="NNX284" s="1132" t="n"/>
      <c r="NNY284" s="1132" t="n"/>
      <c r="NNZ284" s="1132" t="n"/>
      <c r="NOA284" s="1132" t="n"/>
      <c r="NOB284" s="1132" t="n"/>
      <c r="NOC284" s="1132" t="n"/>
      <c r="NOD284" s="1132" t="n"/>
      <c r="NOE284" s="1132" t="n"/>
      <c r="NOF284" s="1132" t="n"/>
      <c r="NOG284" s="1132" t="n"/>
      <c r="NOH284" s="1132" t="n"/>
      <c r="NOI284" s="1132" t="n"/>
      <c r="NOJ284" s="1132" t="n"/>
      <c r="NOK284" s="1132" t="n"/>
      <c r="NOL284" s="1132" t="n"/>
      <c r="NOM284" s="1132" t="n"/>
      <c r="NON284" s="1132" t="n"/>
      <c r="NOO284" s="1132" t="n"/>
      <c r="NOP284" s="1132" t="n"/>
      <c r="NOQ284" s="1132" t="n"/>
      <c r="NOR284" s="1132" t="n"/>
      <c r="NOS284" s="1132" t="n"/>
      <c r="NOT284" s="1132" t="n"/>
      <c r="NOU284" s="1132" t="n"/>
      <c r="NOV284" s="1132" t="n"/>
      <c r="NOW284" s="1132" t="n"/>
      <c r="NOX284" s="1132" t="n"/>
      <c r="NOY284" s="1132" t="n"/>
      <c r="NOZ284" s="1132" t="n"/>
      <c r="NPA284" s="1132" t="n"/>
      <c r="NPB284" s="1132" t="n"/>
      <c r="NPC284" s="1132" t="n"/>
      <c r="NPD284" s="1132" t="n"/>
      <c r="NPE284" s="1132" t="n"/>
      <c r="NPF284" s="1132" t="n"/>
      <c r="NPG284" s="1132" t="n"/>
      <c r="NPH284" s="1132" t="n"/>
      <c r="NPI284" s="1132" t="n"/>
      <c r="NPJ284" s="1132" t="n"/>
      <c r="NPK284" s="1132" t="n"/>
      <c r="NPL284" s="1132" t="n"/>
      <c r="NPM284" s="1132" t="n"/>
      <c r="NPN284" s="1132" t="n"/>
      <c r="NPO284" s="1132" t="n"/>
      <c r="NPP284" s="1132" t="n"/>
      <c r="NPQ284" s="1132" t="n"/>
      <c r="NPR284" s="1132" t="n"/>
      <c r="NPS284" s="1132" t="n"/>
      <c r="NPT284" s="1132" t="n"/>
      <c r="NPU284" s="1132" t="n"/>
      <c r="NPV284" s="1132" t="n"/>
      <c r="NPW284" s="1132" t="n"/>
      <c r="NPX284" s="1132" t="n"/>
      <c r="NPY284" s="1132" t="n"/>
      <c r="NPZ284" s="1132" t="n"/>
      <c r="NQA284" s="1132" t="n"/>
      <c r="NQB284" s="1132" t="n"/>
      <c r="NQC284" s="1132" t="n"/>
      <c r="NQD284" s="1132" t="n"/>
      <c r="NQE284" s="1132" t="n"/>
      <c r="NQF284" s="1132" t="n"/>
      <c r="NQG284" s="1132" t="n"/>
      <c r="NQH284" s="1132" t="n"/>
      <c r="NQI284" s="1132" t="n"/>
      <c r="NQJ284" s="1132" t="n"/>
      <c r="NQK284" s="1132" t="n"/>
      <c r="NQL284" s="1132" t="n"/>
      <c r="NQM284" s="1132" t="n"/>
      <c r="NQN284" s="1132" t="n"/>
      <c r="NQO284" s="1132" t="n"/>
      <c r="NQP284" s="1132" t="n"/>
      <c r="NQQ284" s="1132" t="n"/>
      <c r="NQR284" s="1132" t="n"/>
      <c r="NQS284" s="1132" t="n"/>
      <c r="NQT284" s="1132" t="n"/>
      <c r="NQU284" s="1132" t="n"/>
      <c r="NQV284" s="1132" t="n"/>
      <c r="NQW284" s="1132" t="n"/>
      <c r="NQX284" s="1132" t="n"/>
      <c r="NQY284" s="1132" t="n"/>
      <c r="NQZ284" s="1132" t="n"/>
      <c r="NRA284" s="1132" t="n"/>
      <c r="NRB284" s="1132" t="n"/>
      <c r="NRC284" s="1132" t="n"/>
      <c r="NRD284" s="1132" t="n"/>
      <c r="NRE284" s="1132" t="n"/>
      <c r="NRF284" s="1132" t="n"/>
      <c r="NRG284" s="1132" t="n"/>
      <c r="NRH284" s="1132" t="n"/>
      <c r="NRI284" s="1132" t="n"/>
      <c r="NRJ284" s="1132" t="n"/>
      <c r="NRK284" s="1132" t="n"/>
      <c r="NRL284" s="1132" t="n"/>
      <c r="NRM284" s="1132" t="n"/>
      <c r="NRN284" s="1132" t="n"/>
      <c r="NRO284" s="1132" t="n"/>
      <c r="NRP284" s="1132" t="n"/>
      <c r="NRQ284" s="1132" t="n"/>
      <c r="NRR284" s="1132" t="n"/>
      <c r="NRS284" s="1132" t="n"/>
      <c r="NRT284" s="1132" t="n"/>
      <c r="NRU284" s="1132" t="n"/>
      <c r="NRV284" s="1132" t="n"/>
      <c r="NRW284" s="1132" t="n"/>
      <c r="NRX284" s="1132" t="n"/>
      <c r="NRY284" s="1132" t="n"/>
      <c r="NRZ284" s="1132" t="n"/>
      <c r="NSA284" s="1132" t="n"/>
      <c r="NSB284" s="1132" t="n"/>
      <c r="NSC284" s="1132" t="n"/>
      <c r="NSD284" s="1132" t="n"/>
      <c r="NSE284" s="1132" t="n"/>
      <c r="NSF284" s="1132" t="n"/>
      <c r="NSG284" s="1132" t="n"/>
      <c r="NSH284" s="1132" t="n"/>
      <c r="NSI284" s="1132" t="n"/>
      <c r="NSJ284" s="1132" t="n"/>
      <c r="NSK284" s="1132" t="n"/>
      <c r="NSL284" s="1132" t="n"/>
      <c r="NSM284" s="1132" t="n"/>
      <c r="NSN284" s="1132" t="n"/>
      <c r="NSO284" s="1132" t="n"/>
      <c r="NSP284" s="1132" t="n"/>
      <c r="NSQ284" s="1132" t="n"/>
      <c r="NSR284" s="1132" t="n"/>
      <c r="NSS284" s="1132" t="n"/>
      <c r="NST284" s="1132" t="n"/>
      <c r="NSU284" s="1132" t="n"/>
      <c r="NSV284" s="1132" t="n"/>
      <c r="NSW284" s="1132" t="n"/>
      <c r="NSX284" s="1132" t="n"/>
      <c r="NSY284" s="1132" t="n"/>
      <c r="NSZ284" s="1132" t="n"/>
      <c r="NTA284" s="1132" t="n"/>
      <c r="NTB284" s="1132" t="n"/>
      <c r="NTC284" s="1132" t="n"/>
      <c r="NTD284" s="1132" t="n"/>
      <c r="NTE284" s="1132" t="n"/>
      <c r="NTF284" s="1132" t="n"/>
      <c r="NTG284" s="1132" t="n"/>
      <c r="NTH284" s="1132" t="n"/>
      <c r="NTI284" s="1132" t="n"/>
      <c r="NTJ284" s="1132" t="n"/>
      <c r="NTK284" s="1132" t="n"/>
      <c r="NTL284" s="1132" t="n"/>
      <c r="NTM284" s="1132" t="n"/>
      <c r="NTN284" s="1132" t="n"/>
      <c r="NTO284" s="1132" t="n"/>
      <c r="NTP284" s="1132" t="n"/>
      <c r="NTQ284" s="1132" t="n"/>
      <c r="NTR284" s="1132" t="n"/>
      <c r="NTS284" s="1132" t="n"/>
      <c r="NTT284" s="1132" t="n"/>
      <c r="NTU284" s="1132" t="n"/>
      <c r="NTV284" s="1132" t="n"/>
      <c r="NTW284" s="1132" t="n"/>
      <c r="NTX284" s="1132" t="n"/>
      <c r="NTY284" s="1132" t="n"/>
      <c r="NTZ284" s="1132" t="n"/>
      <c r="NUA284" s="1132" t="n"/>
      <c r="NUB284" s="1132" t="n"/>
      <c r="NUC284" s="1132" t="n"/>
      <c r="NUD284" s="1132" t="n"/>
      <c r="NUE284" s="1132" t="n"/>
      <c r="NUF284" s="1132" t="n"/>
      <c r="NUG284" s="1132" t="n"/>
      <c r="NUH284" s="1132" t="n"/>
      <c r="NUI284" s="1132" t="n"/>
      <c r="NUJ284" s="1132" t="n"/>
      <c r="NUK284" s="1132" t="n"/>
      <c r="NUL284" s="1132" t="n"/>
      <c r="NUM284" s="1132" t="n"/>
      <c r="NUN284" s="1132" t="n"/>
      <c r="NUO284" s="1132" t="n"/>
      <c r="NUP284" s="1132" t="n"/>
      <c r="NUQ284" s="1132" t="n"/>
      <c r="NUR284" s="1132" t="n"/>
      <c r="NUS284" s="1132" t="n"/>
      <c r="NUT284" s="1132" t="n"/>
      <c r="NUU284" s="1132" t="n"/>
      <c r="NUV284" s="1132" t="n"/>
      <c r="NUW284" s="1132" t="n"/>
      <c r="NUX284" s="1132" t="n"/>
      <c r="NUY284" s="1132" t="n"/>
      <c r="NUZ284" s="1132" t="n"/>
      <c r="NVA284" s="1132" t="n"/>
      <c r="NVB284" s="1132" t="n"/>
      <c r="NVC284" s="1132" t="n"/>
      <c r="NVD284" s="1132" t="n"/>
      <c r="NVE284" s="1132" t="n"/>
      <c r="NVF284" s="1132" t="n"/>
      <c r="NVG284" s="1132" t="n"/>
      <c r="NVH284" s="1132" t="n"/>
      <c r="NVI284" s="1132" t="n"/>
      <c r="NVJ284" s="1132" t="n"/>
      <c r="NVK284" s="1132" t="n"/>
      <c r="NVL284" s="1132" t="n"/>
      <c r="NVM284" s="1132" t="n"/>
      <c r="NVN284" s="1132" t="n"/>
      <c r="NVO284" s="1132" t="n"/>
      <c r="NVP284" s="1132" t="n"/>
      <c r="NVQ284" s="1132" t="n"/>
      <c r="NVR284" s="1132" t="n"/>
      <c r="NVS284" s="1132" t="n"/>
      <c r="NVT284" s="1132" t="n"/>
      <c r="NVU284" s="1132" t="n"/>
      <c r="NVV284" s="1132" t="n"/>
      <c r="NVW284" s="1132" t="n"/>
      <c r="NVX284" s="1132" t="n"/>
      <c r="NVY284" s="1132" t="n"/>
      <c r="NVZ284" s="1132" t="n"/>
      <c r="NWA284" s="1132" t="n"/>
      <c r="NWB284" s="1132" t="n"/>
      <c r="NWC284" s="1132" t="n"/>
      <c r="NWD284" s="1132" t="n"/>
      <c r="NWE284" s="1132" t="n"/>
      <c r="NWF284" s="1132" t="n"/>
      <c r="NWG284" s="1132" t="n"/>
      <c r="NWH284" s="1132" t="n"/>
      <c r="NWI284" s="1132" t="n"/>
      <c r="NWJ284" s="1132" t="n"/>
      <c r="NWK284" s="1132" t="n"/>
      <c r="NWL284" s="1132" t="n"/>
      <c r="NWM284" s="1132" t="n"/>
      <c r="NWN284" s="1132" t="n"/>
      <c r="NWO284" s="1132" t="n"/>
      <c r="NWP284" s="1132" t="n"/>
      <c r="NWQ284" s="1132" t="n"/>
      <c r="NWR284" s="1132" t="n"/>
      <c r="NWS284" s="1132" t="n"/>
      <c r="NWT284" s="1132" t="n"/>
      <c r="NWU284" s="1132" t="n"/>
      <c r="NWV284" s="1132" t="n"/>
      <c r="NWW284" s="1132" t="n"/>
      <c r="NWX284" s="1132" t="n"/>
      <c r="NWY284" s="1132" t="n"/>
      <c r="NWZ284" s="1132" t="n"/>
      <c r="NXA284" s="1132" t="n"/>
      <c r="NXB284" s="1132" t="n"/>
      <c r="NXC284" s="1132" t="n"/>
      <c r="NXD284" s="1132" t="n"/>
      <c r="NXE284" s="1132" t="n"/>
      <c r="NXF284" s="1132" t="n"/>
      <c r="NXG284" s="1132" t="n"/>
      <c r="NXH284" s="1132" t="n"/>
      <c r="NXI284" s="1132" t="n"/>
      <c r="NXJ284" s="1132" t="n"/>
      <c r="NXK284" s="1132" t="n"/>
      <c r="NXL284" s="1132" t="n"/>
      <c r="NXM284" s="1132" t="n"/>
      <c r="NXN284" s="1132" t="n"/>
      <c r="NXO284" s="1132" t="n"/>
      <c r="NXP284" s="1132" t="n"/>
      <c r="NXQ284" s="1132" t="n"/>
      <c r="NXR284" s="1132" t="n"/>
      <c r="NXS284" s="1132" t="n"/>
      <c r="NXT284" s="1132" t="n"/>
      <c r="NXU284" s="1132" t="n"/>
      <c r="NXV284" s="1132" t="n"/>
      <c r="NXW284" s="1132" t="n"/>
      <c r="NXX284" s="1132" t="n"/>
      <c r="NXY284" s="1132" t="n"/>
      <c r="NXZ284" s="1132" t="n"/>
      <c r="NYA284" s="1132" t="n"/>
      <c r="NYB284" s="1132" t="n"/>
      <c r="NYC284" s="1132" t="n"/>
      <c r="NYD284" s="1132" t="n"/>
      <c r="NYE284" s="1132" t="n"/>
      <c r="NYF284" s="1132" t="n"/>
      <c r="NYG284" s="1132" t="n"/>
      <c r="NYH284" s="1132" t="n"/>
      <c r="NYI284" s="1132" t="n"/>
      <c r="NYJ284" s="1132" t="n"/>
      <c r="NYK284" s="1132" t="n"/>
      <c r="NYL284" s="1132" t="n"/>
      <c r="NYM284" s="1132" t="n"/>
      <c r="NYN284" s="1132" t="n"/>
      <c r="NYO284" s="1132" t="n"/>
      <c r="NYP284" s="1132" t="n"/>
      <c r="NYQ284" s="1132" t="n"/>
      <c r="NYR284" s="1132" t="n"/>
      <c r="NYS284" s="1132" t="n"/>
      <c r="NYT284" s="1132" t="n"/>
      <c r="NYU284" s="1132" t="n"/>
      <c r="NYV284" s="1132" t="n"/>
      <c r="NYW284" s="1132" t="n"/>
      <c r="NYX284" s="1132" t="n"/>
      <c r="NYY284" s="1132" t="n"/>
      <c r="NYZ284" s="1132" t="n"/>
      <c r="NZA284" s="1132" t="n"/>
      <c r="NZB284" s="1132" t="n"/>
      <c r="NZC284" s="1132" t="n"/>
      <c r="NZD284" s="1132" t="n"/>
      <c r="NZE284" s="1132" t="n"/>
      <c r="NZF284" s="1132" t="n"/>
      <c r="NZG284" s="1132" t="n"/>
      <c r="NZH284" s="1132" t="n"/>
      <c r="NZI284" s="1132" t="n"/>
      <c r="NZJ284" s="1132" t="n"/>
      <c r="NZK284" s="1132" t="n"/>
      <c r="NZL284" s="1132" t="n"/>
      <c r="NZM284" s="1132" t="n"/>
      <c r="NZN284" s="1132" t="n"/>
      <c r="NZO284" s="1132" t="n"/>
      <c r="NZP284" s="1132" t="n"/>
      <c r="NZQ284" s="1132" t="n"/>
      <c r="NZR284" s="1132" t="n"/>
      <c r="NZS284" s="1132" t="n"/>
      <c r="NZT284" s="1132" t="n"/>
      <c r="NZU284" s="1132" t="n"/>
      <c r="NZV284" s="1132" t="n"/>
      <c r="NZW284" s="1132" t="n"/>
      <c r="NZX284" s="1132" t="n"/>
      <c r="NZY284" s="1132" t="n"/>
      <c r="NZZ284" s="1132" t="n"/>
      <c r="OAA284" s="1132" t="n"/>
      <c r="OAB284" s="1132" t="n"/>
      <c r="OAC284" s="1132" t="n"/>
      <c r="OAD284" s="1132" t="n"/>
      <c r="OAE284" s="1132" t="n"/>
      <c r="OAF284" s="1132" t="n"/>
      <c r="OAG284" s="1132" t="n"/>
      <c r="OAH284" s="1132" t="n"/>
      <c r="OAI284" s="1132" t="n"/>
      <c r="OAJ284" s="1132" t="n"/>
      <c r="OAK284" s="1132" t="n"/>
      <c r="OAL284" s="1132" t="n"/>
      <c r="OAM284" s="1132" t="n"/>
      <c r="OAN284" s="1132" t="n"/>
      <c r="OAO284" s="1132" t="n"/>
      <c r="OAP284" s="1132" t="n"/>
      <c r="OAQ284" s="1132" t="n"/>
      <c r="OAR284" s="1132" t="n"/>
      <c r="OAS284" s="1132" t="n"/>
      <c r="OAT284" s="1132" t="n"/>
      <c r="OAU284" s="1132" t="n"/>
      <c r="OAV284" s="1132" t="n"/>
      <c r="OAW284" s="1132" t="n"/>
      <c r="OAX284" s="1132" t="n"/>
      <c r="OAY284" s="1132" t="n"/>
      <c r="OAZ284" s="1132" t="n"/>
      <c r="OBA284" s="1132" t="n"/>
      <c r="OBB284" s="1132" t="n"/>
      <c r="OBC284" s="1132" t="n"/>
      <c r="OBD284" s="1132" t="n"/>
      <c r="OBE284" s="1132" t="n"/>
      <c r="OBF284" s="1132" t="n"/>
      <c r="OBG284" s="1132" t="n"/>
      <c r="OBH284" s="1132" t="n"/>
      <c r="OBI284" s="1132" t="n"/>
      <c r="OBJ284" s="1132" t="n"/>
      <c r="OBK284" s="1132" t="n"/>
      <c r="OBL284" s="1132" t="n"/>
      <c r="OBM284" s="1132" t="n"/>
      <c r="OBN284" s="1132" t="n"/>
      <c r="OBO284" s="1132" t="n"/>
      <c r="OBP284" s="1132" t="n"/>
      <c r="OBQ284" s="1132" t="n"/>
      <c r="OBR284" s="1132" t="n"/>
      <c r="OBS284" s="1132" t="n"/>
      <c r="OBT284" s="1132" t="n"/>
      <c r="OBU284" s="1132" t="n"/>
      <c r="OBV284" s="1132" t="n"/>
      <c r="OBW284" s="1132" t="n"/>
      <c r="OBX284" s="1132" t="n"/>
      <c r="OBY284" s="1132" t="n"/>
      <c r="OBZ284" s="1132" t="n"/>
      <c r="OCA284" s="1132" t="n"/>
      <c r="OCB284" s="1132" t="n"/>
      <c r="OCC284" s="1132" t="n"/>
      <c r="OCD284" s="1132" t="n"/>
      <c r="OCE284" s="1132" t="n"/>
      <c r="OCF284" s="1132" t="n"/>
      <c r="OCG284" s="1132" t="n"/>
      <c r="OCH284" s="1132" t="n"/>
      <c r="OCI284" s="1132" t="n"/>
      <c r="OCJ284" s="1132" t="n"/>
      <c r="OCK284" s="1132" t="n"/>
      <c r="OCL284" s="1132" t="n"/>
      <c r="OCM284" s="1132" t="n"/>
      <c r="OCN284" s="1132" t="n"/>
      <c r="OCO284" s="1132" t="n"/>
      <c r="OCP284" s="1132" t="n"/>
      <c r="OCQ284" s="1132" t="n"/>
      <c r="OCR284" s="1132" t="n"/>
      <c r="OCS284" s="1132" t="n"/>
      <c r="OCT284" s="1132" t="n"/>
      <c r="OCU284" s="1132" t="n"/>
      <c r="OCV284" s="1132" t="n"/>
      <c r="OCW284" s="1132" t="n"/>
      <c r="OCX284" s="1132" t="n"/>
      <c r="OCY284" s="1132" t="n"/>
      <c r="OCZ284" s="1132" t="n"/>
      <c r="ODA284" s="1132" t="n"/>
      <c r="ODB284" s="1132" t="n"/>
      <c r="ODC284" s="1132" t="n"/>
      <c r="ODD284" s="1132" t="n"/>
      <c r="ODE284" s="1132" t="n"/>
      <c r="ODF284" s="1132" t="n"/>
      <c r="ODG284" s="1132" t="n"/>
      <c r="ODH284" s="1132" t="n"/>
      <c r="ODI284" s="1132" t="n"/>
      <c r="ODJ284" s="1132" t="n"/>
      <c r="ODK284" s="1132" t="n"/>
      <c r="ODL284" s="1132" t="n"/>
      <c r="ODM284" s="1132" t="n"/>
      <c r="ODN284" s="1132" t="n"/>
      <c r="ODO284" s="1132" t="n"/>
      <c r="ODP284" s="1132" t="n"/>
      <c r="ODQ284" s="1132" t="n"/>
      <c r="ODR284" s="1132" t="n"/>
      <c r="ODS284" s="1132" t="n"/>
      <c r="ODT284" s="1132" t="n"/>
      <c r="ODU284" s="1132" t="n"/>
      <c r="ODV284" s="1132" t="n"/>
      <c r="ODW284" s="1132" t="n"/>
      <c r="ODX284" s="1132" t="n"/>
      <c r="ODY284" s="1132" t="n"/>
      <c r="ODZ284" s="1132" t="n"/>
      <c r="OEA284" s="1132" t="n"/>
      <c r="OEB284" s="1132" t="n"/>
      <c r="OEC284" s="1132" t="n"/>
      <c r="OED284" s="1132" t="n"/>
      <c r="OEE284" s="1132" t="n"/>
      <c r="OEF284" s="1132" t="n"/>
      <c r="OEG284" s="1132" t="n"/>
      <c r="OEH284" s="1132" t="n"/>
      <c r="OEI284" s="1132" t="n"/>
      <c r="OEJ284" s="1132" t="n"/>
      <c r="OEK284" s="1132" t="n"/>
      <c r="OEL284" s="1132" t="n"/>
      <c r="OEM284" s="1132" t="n"/>
      <c r="OEN284" s="1132" t="n"/>
      <c r="OEO284" s="1132" t="n"/>
      <c r="OEP284" s="1132" t="n"/>
      <c r="OEQ284" s="1132" t="n"/>
      <c r="OER284" s="1132" t="n"/>
      <c r="OES284" s="1132" t="n"/>
      <c r="OET284" s="1132" t="n"/>
      <c r="OEU284" s="1132" t="n"/>
      <c r="OEV284" s="1132" t="n"/>
      <c r="OEW284" s="1132" t="n"/>
      <c r="OEX284" s="1132" t="n"/>
      <c r="OEY284" s="1132" t="n"/>
      <c r="OEZ284" s="1132" t="n"/>
      <c r="OFA284" s="1132" t="n"/>
      <c r="OFB284" s="1132" t="n"/>
      <c r="OFC284" s="1132" t="n"/>
      <c r="OFD284" s="1132" t="n"/>
      <c r="OFE284" s="1132" t="n"/>
      <c r="OFF284" s="1132" t="n"/>
      <c r="OFG284" s="1132" t="n"/>
      <c r="OFH284" s="1132" t="n"/>
      <c r="OFI284" s="1132" t="n"/>
      <c r="OFJ284" s="1132" t="n"/>
      <c r="OFK284" s="1132" t="n"/>
      <c r="OFL284" s="1132" t="n"/>
      <c r="OFM284" s="1132" t="n"/>
      <c r="OFN284" s="1132" t="n"/>
      <c r="OFO284" s="1132" t="n"/>
      <c r="OFP284" s="1132" t="n"/>
      <c r="OFQ284" s="1132" t="n"/>
      <c r="OFR284" s="1132" t="n"/>
      <c r="OFS284" s="1132" t="n"/>
      <c r="OFT284" s="1132" t="n"/>
      <c r="OFU284" s="1132" t="n"/>
      <c r="OFV284" s="1132" t="n"/>
      <c r="OFW284" s="1132" t="n"/>
      <c r="OFX284" s="1132" t="n"/>
      <c r="OFY284" s="1132" t="n"/>
      <c r="OFZ284" s="1132" t="n"/>
      <c r="OGA284" s="1132" t="n"/>
      <c r="OGB284" s="1132" t="n"/>
      <c r="OGC284" s="1132" t="n"/>
      <c r="OGD284" s="1132" t="n"/>
      <c r="OGE284" s="1132" t="n"/>
      <c r="OGF284" s="1132" t="n"/>
      <c r="OGG284" s="1132" t="n"/>
      <c r="OGH284" s="1132" t="n"/>
      <c r="OGI284" s="1132" t="n"/>
      <c r="OGJ284" s="1132" t="n"/>
      <c r="OGK284" s="1132" t="n"/>
      <c r="OGL284" s="1132" t="n"/>
      <c r="OGM284" s="1132" t="n"/>
      <c r="OGN284" s="1132" t="n"/>
      <c r="OGO284" s="1132" t="n"/>
      <c r="OGP284" s="1132" t="n"/>
      <c r="OGQ284" s="1132" t="n"/>
      <c r="OGR284" s="1132" t="n"/>
      <c r="OGS284" s="1132" t="n"/>
      <c r="OGT284" s="1132" t="n"/>
      <c r="OGU284" s="1132" t="n"/>
      <c r="OGV284" s="1132" t="n"/>
      <c r="OGW284" s="1132" t="n"/>
      <c r="OGX284" s="1132" t="n"/>
      <c r="OGY284" s="1132" t="n"/>
      <c r="OGZ284" s="1132" t="n"/>
      <c r="OHA284" s="1132" t="n"/>
      <c r="OHB284" s="1132" t="n"/>
      <c r="OHC284" s="1132" t="n"/>
      <c r="OHD284" s="1132" t="n"/>
      <c r="OHE284" s="1132" t="n"/>
      <c r="OHF284" s="1132" t="n"/>
      <c r="OHG284" s="1132" t="n"/>
      <c r="OHH284" s="1132" t="n"/>
      <c r="OHI284" s="1132" t="n"/>
      <c r="OHJ284" s="1132" t="n"/>
      <c r="OHK284" s="1132" t="n"/>
      <c r="OHL284" s="1132" t="n"/>
      <c r="OHM284" s="1132" t="n"/>
      <c r="OHN284" s="1132" t="n"/>
      <c r="OHO284" s="1132" t="n"/>
      <c r="OHP284" s="1132" t="n"/>
      <c r="OHQ284" s="1132" t="n"/>
      <c r="OHR284" s="1132" t="n"/>
      <c r="OHS284" s="1132" t="n"/>
      <c r="OHT284" s="1132" t="n"/>
      <c r="OHU284" s="1132" t="n"/>
      <c r="OHV284" s="1132" t="n"/>
      <c r="OHW284" s="1132" t="n"/>
      <c r="OHX284" s="1132" t="n"/>
      <c r="OHY284" s="1132" t="n"/>
      <c r="OHZ284" s="1132" t="n"/>
      <c r="OIA284" s="1132" t="n"/>
      <c r="OIB284" s="1132" t="n"/>
      <c r="OIC284" s="1132" t="n"/>
      <c r="OID284" s="1132" t="n"/>
      <c r="OIE284" s="1132" t="n"/>
      <c r="OIF284" s="1132" t="n"/>
      <c r="OIG284" s="1132" t="n"/>
      <c r="OIH284" s="1132" t="n"/>
      <c r="OII284" s="1132" t="n"/>
      <c r="OIJ284" s="1132" t="n"/>
      <c r="OIK284" s="1132" t="n"/>
      <c r="OIL284" s="1132" t="n"/>
      <c r="OIM284" s="1132" t="n"/>
      <c r="OIN284" s="1132" t="n"/>
      <c r="OIO284" s="1132" t="n"/>
      <c r="OIP284" s="1132" t="n"/>
      <c r="OIQ284" s="1132" t="n"/>
      <c r="OIR284" s="1132" t="n"/>
      <c r="OIS284" s="1132" t="n"/>
      <c r="OIT284" s="1132" t="n"/>
      <c r="OIU284" s="1132" t="n"/>
      <c r="OIV284" s="1132" t="n"/>
      <c r="OIW284" s="1132" t="n"/>
      <c r="OIX284" s="1132" t="n"/>
      <c r="OIY284" s="1132" t="n"/>
      <c r="OIZ284" s="1132" t="n"/>
      <c r="OJA284" s="1132" t="n"/>
      <c r="OJB284" s="1132" t="n"/>
      <c r="OJC284" s="1132" t="n"/>
      <c r="OJD284" s="1132" t="n"/>
      <c r="OJE284" s="1132" t="n"/>
      <c r="OJF284" s="1132" t="n"/>
      <c r="OJG284" s="1132" t="n"/>
      <c r="OJH284" s="1132" t="n"/>
      <c r="OJI284" s="1132" t="n"/>
      <c r="OJJ284" s="1132" t="n"/>
      <c r="OJK284" s="1132" t="n"/>
      <c r="OJL284" s="1132" t="n"/>
      <c r="OJM284" s="1132" t="n"/>
      <c r="OJN284" s="1132" t="n"/>
      <c r="OJO284" s="1132" t="n"/>
      <c r="OJP284" s="1132" t="n"/>
      <c r="OJQ284" s="1132" t="n"/>
      <c r="OJR284" s="1132" t="n"/>
      <c r="OJS284" s="1132" t="n"/>
      <c r="OJT284" s="1132" t="n"/>
      <c r="OJU284" s="1132" t="n"/>
      <c r="OJV284" s="1132" t="n"/>
      <c r="OJW284" s="1132" t="n"/>
      <c r="OJX284" s="1132" t="n"/>
      <c r="OJY284" s="1132" t="n"/>
      <c r="OJZ284" s="1132" t="n"/>
      <c r="OKA284" s="1132" t="n"/>
      <c r="OKB284" s="1132" t="n"/>
      <c r="OKC284" s="1132" t="n"/>
      <c r="OKD284" s="1132" t="n"/>
      <c r="OKE284" s="1132" t="n"/>
      <c r="OKF284" s="1132" t="n"/>
      <c r="OKG284" s="1132" t="n"/>
      <c r="OKH284" s="1132" t="n"/>
      <c r="OKI284" s="1132" t="n"/>
      <c r="OKJ284" s="1132" t="n"/>
      <c r="OKK284" s="1132" t="n"/>
      <c r="OKL284" s="1132" t="n"/>
      <c r="OKM284" s="1132" t="n"/>
      <c r="OKN284" s="1132" t="n"/>
      <c r="OKO284" s="1132" t="n"/>
      <c r="OKP284" s="1132" t="n"/>
      <c r="OKQ284" s="1132" t="n"/>
      <c r="OKR284" s="1132" t="n"/>
      <c r="OKS284" s="1132" t="n"/>
      <c r="OKT284" s="1132" t="n"/>
      <c r="OKU284" s="1132" t="n"/>
      <c r="OKV284" s="1132" t="n"/>
      <c r="OKW284" s="1132" t="n"/>
      <c r="OKX284" s="1132" t="n"/>
      <c r="OKY284" s="1132" t="n"/>
      <c r="OKZ284" s="1132" t="n"/>
      <c r="OLA284" s="1132" t="n"/>
      <c r="OLB284" s="1132" t="n"/>
      <c r="OLC284" s="1132" t="n"/>
      <c r="OLD284" s="1132" t="n"/>
      <c r="OLE284" s="1132" t="n"/>
      <c r="OLF284" s="1132" t="n"/>
      <c r="OLG284" s="1132" t="n"/>
      <c r="OLH284" s="1132" t="n"/>
      <c r="OLI284" s="1132" t="n"/>
      <c r="OLJ284" s="1132" t="n"/>
      <c r="OLK284" s="1132" t="n"/>
      <c r="OLL284" s="1132" t="n"/>
      <c r="OLM284" s="1132" t="n"/>
      <c r="OLN284" s="1132" t="n"/>
      <c r="OLO284" s="1132" t="n"/>
      <c r="OLP284" s="1132" t="n"/>
      <c r="OLQ284" s="1132" t="n"/>
      <c r="OLR284" s="1132" t="n"/>
      <c r="OLS284" s="1132" t="n"/>
      <c r="OLT284" s="1132" t="n"/>
      <c r="OLU284" s="1132" t="n"/>
      <c r="OLV284" s="1132" t="n"/>
      <c r="OLW284" s="1132" t="n"/>
      <c r="OLX284" s="1132" t="n"/>
      <c r="OLY284" s="1132" t="n"/>
      <c r="OLZ284" s="1132" t="n"/>
      <c r="OMA284" s="1132" t="n"/>
      <c r="OMB284" s="1132" t="n"/>
      <c r="OMC284" s="1132" t="n"/>
      <c r="OMD284" s="1132" t="n"/>
      <c r="OME284" s="1132" t="n"/>
      <c r="OMF284" s="1132" t="n"/>
      <c r="OMG284" s="1132" t="n"/>
      <c r="OMH284" s="1132" t="n"/>
      <c r="OMI284" s="1132" t="n"/>
      <c r="OMJ284" s="1132" t="n"/>
      <c r="OMK284" s="1132" t="n"/>
      <c r="OML284" s="1132" t="n"/>
      <c r="OMM284" s="1132" t="n"/>
      <c r="OMN284" s="1132" t="n"/>
      <c r="OMO284" s="1132" t="n"/>
      <c r="OMP284" s="1132" t="n"/>
      <c r="OMQ284" s="1132" t="n"/>
      <c r="OMR284" s="1132" t="n"/>
      <c r="OMS284" s="1132" t="n"/>
      <c r="OMT284" s="1132" t="n"/>
      <c r="OMU284" s="1132" t="n"/>
      <c r="OMV284" s="1132" t="n"/>
      <c r="OMW284" s="1132" t="n"/>
      <c r="OMX284" s="1132" t="n"/>
      <c r="OMY284" s="1132" t="n"/>
      <c r="OMZ284" s="1132" t="n"/>
      <c r="ONA284" s="1132" t="n"/>
      <c r="ONB284" s="1132" t="n"/>
      <c r="ONC284" s="1132" t="n"/>
      <c r="OND284" s="1132" t="n"/>
      <c r="ONE284" s="1132" t="n"/>
      <c r="ONF284" s="1132" t="n"/>
      <c r="ONG284" s="1132" t="n"/>
      <c r="ONH284" s="1132" t="n"/>
      <c r="ONI284" s="1132" t="n"/>
      <c r="ONJ284" s="1132" t="n"/>
      <c r="ONK284" s="1132" t="n"/>
      <c r="ONL284" s="1132" t="n"/>
      <c r="ONM284" s="1132" t="n"/>
      <c r="ONN284" s="1132" t="n"/>
      <c r="ONO284" s="1132" t="n"/>
      <c r="ONP284" s="1132" t="n"/>
      <c r="ONQ284" s="1132" t="n"/>
      <c r="ONR284" s="1132" t="n"/>
      <c r="ONS284" s="1132" t="n"/>
      <c r="ONT284" s="1132" t="n"/>
      <c r="ONU284" s="1132" t="n"/>
      <c r="ONV284" s="1132" t="n"/>
      <c r="ONW284" s="1132" t="n"/>
      <c r="ONX284" s="1132" t="n"/>
      <c r="ONY284" s="1132" t="n"/>
      <c r="ONZ284" s="1132" t="n"/>
      <c r="OOA284" s="1132" t="n"/>
      <c r="OOB284" s="1132" t="n"/>
      <c r="OOC284" s="1132" t="n"/>
      <c r="OOD284" s="1132" t="n"/>
      <c r="OOE284" s="1132" t="n"/>
      <c r="OOF284" s="1132" t="n"/>
      <c r="OOG284" s="1132" t="n"/>
      <c r="OOH284" s="1132" t="n"/>
      <c r="OOI284" s="1132" t="n"/>
      <c r="OOJ284" s="1132" t="n"/>
      <c r="OOK284" s="1132" t="n"/>
      <c r="OOL284" s="1132" t="n"/>
      <c r="OOM284" s="1132" t="n"/>
      <c r="OON284" s="1132" t="n"/>
      <c r="OOO284" s="1132" t="n"/>
      <c r="OOP284" s="1132" t="n"/>
      <c r="OOQ284" s="1132" t="n"/>
      <c r="OOR284" s="1132" t="n"/>
      <c r="OOS284" s="1132" t="n"/>
      <c r="OOT284" s="1132" t="n"/>
      <c r="OOU284" s="1132" t="n"/>
      <c r="OOV284" s="1132" t="n"/>
      <c r="OOW284" s="1132" t="n"/>
      <c r="OOX284" s="1132" t="n"/>
      <c r="OOY284" s="1132" t="n"/>
      <c r="OOZ284" s="1132" t="n"/>
      <c r="OPA284" s="1132" t="n"/>
      <c r="OPB284" s="1132" t="n"/>
      <c r="OPC284" s="1132" t="n"/>
      <c r="OPD284" s="1132" t="n"/>
      <c r="OPE284" s="1132" t="n"/>
      <c r="OPF284" s="1132" t="n"/>
      <c r="OPG284" s="1132" t="n"/>
      <c r="OPH284" s="1132" t="n"/>
      <c r="OPI284" s="1132" t="n"/>
      <c r="OPJ284" s="1132" t="n"/>
      <c r="OPK284" s="1132" t="n"/>
      <c r="OPL284" s="1132" t="n"/>
      <c r="OPM284" s="1132" t="n"/>
      <c r="OPN284" s="1132" t="n"/>
      <c r="OPO284" s="1132" t="n"/>
      <c r="OPP284" s="1132" t="n"/>
      <c r="OPQ284" s="1132" t="n"/>
      <c r="OPR284" s="1132" t="n"/>
      <c r="OPS284" s="1132" t="n"/>
      <c r="OPT284" s="1132" t="n"/>
      <c r="OPU284" s="1132" t="n"/>
      <c r="OPV284" s="1132" t="n"/>
      <c r="OPW284" s="1132" t="n"/>
      <c r="OPX284" s="1132" t="n"/>
      <c r="OPY284" s="1132" t="n"/>
      <c r="OPZ284" s="1132" t="n"/>
      <c r="OQA284" s="1132" t="n"/>
      <c r="OQB284" s="1132" t="n"/>
      <c r="OQC284" s="1132" t="n"/>
      <c r="OQD284" s="1132" t="n"/>
      <c r="OQE284" s="1132" t="n"/>
      <c r="OQF284" s="1132" t="n"/>
      <c r="OQG284" s="1132" t="n"/>
      <c r="OQH284" s="1132" t="n"/>
      <c r="OQI284" s="1132" t="n"/>
      <c r="OQJ284" s="1132" t="n"/>
      <c r="OQK284" s="1132" t="n"/>
      <c r="OQL284" s="1132" t="n"/>
      <c r="OQM284" s="1132" t="n"/>
      <c r="OQN284" s="1132" t="n"/>
      <c r="OQO284" s="1132" t="n"/>
      <c r="OQP284" s="1132" t="n"/>
      <c r="OQQ284" s="1132" t="n"/>
      <c r="OQR284" s="1132" t="n"/>
      <c r="OQS284" s="1132" t="n"/>
      <c r="OQT284" s="1132" t="n"/>
      <c r="OQU284" s="1132" t="n"/>
      <c r="OQV284" s="1132" t="n"/>
      <c r="OQW284" s="1132" t="n"/>
      <c r="OQX284" s="1132" t="n"/>
      <c r="OQY284" s="1132" t="n"/>
      <c r="OQZ284" s="1132" t="n"/>
      <c r="ORA284" s="1132" t="n"/>
      <c r="ORB284" s="1132" t="n"/>
      <c r="ORC284" s="1132" t="n"/>
      <c r="ORD284" s="1132" t="n"/>
      <c r="ORE284" s="1132" t="n"/>
      <c r="ORF284" s="1132" t="n"/>
      <c r="ORG284" s="1132" t="n"/>
      <c r="ORH284" s="1132" t="n"/>
      <c r="ORI284" s="1132" t="n"/>
      <c r="ORJ284" s="1132" t="n"/>
      <c r="ORK284" s="1132" t="n"/>
      <c r="ORL284" s="1132" t="n"/>
      <c r="ORM284" s="1132" t="n"/>
      <c r="ORN284" s="1132" t="n"/>
      <c r="ORO284" s="1132" t="n"/>
      <c r="ORP284" s="1132" t="n"/>
      <c r="ORQ284" s="1132" t="n"/>
      <c r="ORR284" s="1132" t="n"/>
      <c r="ORS284" s="1132" t="n"/>
      <c r="ORT284" s="1132" t="n"/>
      <c r="ORU284" s="1132" t="n"/>
      <c r="ORV284" s="1132" t="n"/>
      <c r="ORW284" s="1132" t="n"/>
      <c r="ORX284" s="1132" t="n"/>
      <c r="ORY284" s="1132" t="n"/>
      <c r="ORZ284" s="1132" t="n"/>
      <c r="OSA284" s="1132" t="n"/>
      <c r="OSB284" s="1132" t="n"/>
      <c r="OSC284" s="1132" t="n"/>
      <c r="OSD284" s="1132" t="n"/>
      <c r="OSE284" s="1132" t="n"/>
      <c r="OSF284" s="1132" t="n"/>
      <c r="OSG284" s="1132" t="n"/>
      <c r="OSH284" s="1132" t="n"/>
      <c r="OSI284" s="1132" t="n"/>
      <c r="OSJ284" s="1132" t="n"/>
      <c r="OSK284" s="1132" t="n"/>
      <c r="OSL284" s="1132" t="n"/>
      <c r="OSM284" s="1132" t="n"/>
      <c r="OSN284" s="1132" t="n"/>
      <c r="OSO284" s="1132" t="n"/>
      <c r="OSP284" s="1132" t="n"/>
      <c r="OSQ284" s="1132" t="n"/>
      <c r="OSR284" s="1132" t="n"/>
      <c r="OSS284" s="1132" t="n"/>
      <c r="OST284" s="1132" t="n"/>
      <c r="OSU284" s="1132" t="n"/>
      <c r="OSV284" s="1132" t="n"/>
      <c r="OSW284" s="1132" t="n"/>
      <c r="OSX284" s="1132" t="n"/>
      <c r="OSY284" s="1132" t="n"/>
      <c r="OSZ284" s="1132" t="n"/>
      <c r="OTA284" s="1132" t="n"/>
      <c r="OTB284" s="1132" t="n"/>
      <c r="OTC284" s="1132" t="n"/>
      <c r="OTD284" s="1132" t="n"/>
      <c r="OTE284" s="1132" t="n"/>
      <c r="OTF284" s="1132" t="n"/>
      <c r="OTG284" s="1132" t="n"/>
      <c r="OTH284" s="1132" t="n"/>
      <c r="OTI284" s="1132" t="n"/>
      <c r="OTJ284" s="1132" t="n"/>
      <c r="OTK284" s="1132" t="n"/>
      <c r="OTL284" s="1132" t="n"/>
      <c r="OTM284" s="1132" t="n"/>
      <c r="OTN284" s="1132" t="n"/>
      <c r="OTO284" s="1132" t="n"/>
      <c r="OTP284" s="1132" t="n"/>
      <c r="OTQ284" s="1132" t="n"/>
      <c r="OTR284" s="1132" t="n"/>
      <c r="OTS284" s="1132" t="n"/>
      <c r="OTT284" s="1132" t="n"/>
      <c r="OTU284" s="1132" t="n"/>
      <c r="OTV284" s="1132" t="n"/>
      <c r="OTW284" s="1132" t="n"/>
      <c r="OTX284" s="1132" t="n"/>
      <c r="OTY284" s="1132" t="n"/>
      <c r="OTZ284" s="1132" t="n"/>
      <c r="OUA284" s="1132" t="n"/>
      <c r="OUB284" s="1132" t="n"/>
      <c r="OUC284" s="1132" t="n"/>
      <c r="OUD284" s="1132" t="n"/>
      <c r="OUE284" s="1132" t="n"/>
      <c r="OUF284" s="1132" t="n"/>
      <c r="OUG284" s="1132" t="n"/>
      <c r="OUH284" s="1132" t="n"/>
      <c r="OUI284" s="1132" t="n"/>
      <c r="OUJ284" s="1132" t="n"/>
      <c r="OUK284" s="1132" t="n"/>
      <c r="OUL284" s="1132" t="n"/>
      <c r="OUM284" s="1132" t="n"/>
      <c r="OUN284" s="1132" t="n"/>
      <c r="OUO284" s="1132" t="n"/>
      <c r="OUP284" s="1132" t="n"/>
      <c r="OUQ284" s="1132" t="n"/>
      <c r="OUR284" s="1132" t="n"/>
      <c r="OUS284" s="1132" t="n"/>
      <c r="OUT284" s="1132" t="n"/>
      <c r="OUU284" s="1132" t="n"/>
      <c r="OUV284" s="1132" t="n"/>
      <c r="OUW284" s="1132" t="n"/>
      <c r="OUX284" s="1132" t="n"/>
      <c r="OUY284" s="1132" t="n"/>
      <c r="OUZ284" s="1132" t="n"/>
      <c r="OVA284" s="1132" t="n"/>
      <c r="OVB284" s="1132" t="n"/>
      <c r="OVC284" s="1132" t="n"/>
      <c r="OVD284" s="1132" t="n"/>
      <c r="OVE284" s="1132" t="n"/>
      <c r="OVF284" s="1132" t="n"/>
      <c r="OVG284" s="1132" t="n"/>
      <c r="OVH284" s="1132" t="n"/>
      <c r="OVI284" s="1132" t="n"/>
      <c r="OVJ284" s="1132" t="n"/>
      <c r="OVK284" s="1132" t="n"/>
      <c r="OVL284" s="1132" t="n"/>
      <c r="OVM284" s="1132" t="n"/>
      <c r="OVN284" s="1132" t="n"/>
      <c r="OVO284" s="1132" t="n"/>
      <c r="OVP284" s="1132" t="n"/>
      <c r="OVQ284" s="1132" t="n"/>
      <c r="OVR284" s="1132" t="n"/>
      <c r="OVS284" s="1132" t="n"/>
      <c r="OVT284" s="1132" t="n"/>
      <c r="OVU284" s="1132" t="n"/>
      <c r="OVV284" s="1132" t="n"/>
      <c r="OVW284" s="1132" t="n"/>
      <c r="OVX284" s="1132" t="n"/>
      <c r="OVY284" s="1132" t="n"/>
      <c r="OVZ284" s="1132" t="n"/>
      <c r="OWA284" s="1132" t="n"/>
      <c r="OWB284" s="1132" t="n"/>
      <c r="OWC284" s="1132" t="n"/>
      <c r="OWD284" s="1132" t="n"/>
      <c r="OWE284" s="1132" t="n"/>
      <c r="OWF284" s="1132" t="n"/>
      <c r="OWG284" s="1132" t="n"/>
      <c r="OWH284" s="1132" t="n"/>
      <c r="OWI284" s="1132" t="n"/>
      <c r="OWJ284" s="1132" t="n"/>
      <c r="OWK284" s="1132" t="n"/>
      <c r="OWL284" s="1132" t="n"/>
      <c r="OWM284" s="1132" t="n"/>
      <c r="OWN284" s="1132" t="n"/>
      <c r="OWO284" s="1132" t="n"/>
      <c r="OWP284" s="1132" t="n"/>
      <c r="OWQ284" s="1132" t="n"/>
      <c r="OWR284" s="1132" t="n"/>
      <c r="OWS284" s="1132" t="n"/>
      <c r="OWT284" s="1132" t="n"/>
      <c r="OWU284" s="1132" t="n"/>
      <c r="OWV284" s="1132" t="n"/>
      <c r="OWW284" s="1132" t="n"/>
      <c r="OWX284" s="1132" t="n"/>
      <c r="OWY284" s="1132" t="n"/>
      <c r="OWZ284" s="1132" t="n"/>
      <c r="OXA284" s="1132" t="n"/>
      <c r="OXB284" s="1132" t="n"/>
      <c r="OXC284" s="1132" t="n"/>
      <c r="OXD284" s="1132" t="n"/>
      <c r="OXE284" s="1132" t="n"/>
      <c r="OXF284" s="1132" t="n"/>
      <c r="OXG284" s="1132" t="n"/>
      <c r="OXH284" s="1132" t="n"/>
      <c r="OXI284" s="1132" t="n"/>
      <c r="OXJ284" s="1132" t="n"/>
      <c r="OXK284" s="1132" t="n"/>
      <c r="OXL284" s="1132" t="n"/>
      <c r="OXM284" s="1132" t="n"/>
      <c r="OXN284" s="1132" t="n"/>
      <c r="OXO284" s="1132" t="n"/>
      <c r="OXP284" s="1132" t="n"/>
      <c r="OXQ284" s="1132" t="n"/>
      <c r="OXR284" s="1132" t="n"/>
      <c r="OXS284" s="1132" t="n"/>
      <c r="OXT284" s="1132" t="n"/>
      <c r="OXU284" s="1132" t="n"/>
      <c r="OXV284" s="1132" t="n"/>
      <c r="OXW284" s="1132" t="n"/>
      <c r="OXX284" s="1132" t="n"/>
      <c r="OXY284" s="1132" t="n"/>
      <c r="OXZ284" s="1132" t="n"/>
      <c r="OYA284" s="1132" t="n"/>
      <c r="OYB284" s="1132" t="n"/>
      <c r="OYC284" s="1132" t="n"/>
      <c r="OYD284" s="1132" t="n"/>
      <c r="OYE284" s="1132" t="n"/>
      <c r="OYF284" s="1132" t="n"/>
      <c r="OYG284" s="1132" t="n"/>
      <c r="OYH284" s="1132" t="n"/>
      <c r="OYI284" s="1132" t="n"/>
      <c r="OYJ284" s="1132" t="n"/>
      <c r="OYK284" s="1132" t="n"/>
      <c r="OYL284" s="1132" t="n"/>
      <c r="OYM284" s="1132" t="n"/>
      <c r="OYN284" s="1132" t="n"/>
      <c r="OYO284" s="1132" t="n"/>
      <c r="OYP284" s="1132" t="n"/>
      <c r="OYQ284" s="1132" t="n"/>
      <c r="OYR284" s="1132" t="n"/>
      <c r="OYS284" s="1132" t="n"/>
      <c r="OYT284" s="1132" t="n"/>
      <c r="OYU284" s="1132" t="n"/>
      <c r="OYV284" s="1132" t="n"/>
      <c r="OYW284" s="1132" t="n"/>
      <c r="OYX284" s="1132" t="n"/>
      <c r="OYY284" s="1132" t="n"/>
      <c r="OYZ284" s="1132" t="n"/>
      <c r="OZA284" s="1132" t="n"/>
      <c r="OZB284" s="1132" t="n"/>
      <c r="OZC284" s="1132" t="n"/>
      <c r="OZD284" s="1132" t="n"/>
      <c r="OZE284" s="1132" t="n"/>
      <c r="OZF284" s="1132" t="n"/>
      <c r="OZG284" s="1132" t="n"/>
      <c r="OZH284" s="1132" t="n"/>
      <c r="OZI284" s="1132" t="n"/>
      <c r="OZJ284" s="1132" t="n"/>
      <c r="OZK284" s="1132" t="n"/>
      <c r="OZL284" s="1132" t="n"/>
      <c r="OZM284" s="1132" t="n"/>
      <c r="OZN284" s="1132" t="n"/>
      <c r="OZO284" s="1132" t="n"/>
      <c r="OZP284" s="1132" t="n"/>
      <c r="OZQ284" s="1132" t="n"/>
      <c r="OZR284" s="1132" t="n"/>
      <c r="OZS284" s="1132" t="n"/>
      <c r="OZT284" s="1132" t="n"/>
      <c r="OZU284" s="1132" t="n"/>
      <c r="OZV284" s="1132" t="n"/>
      <c r="OZW284" s="1132" t="n"/>
      <c r="OZX284" s="1132" t="n"/>
      <c r="OZY284" s="1132" t="n"/>
      <c r="OZZ284" s="1132" t="n"/>
      <c r="PAA284" s="1132" t="n"/>
      <c r="PAB284" s="1132" t="n"/>
      <c r="PAC284" s="1132" t="n"/>
      <c r="PAD284" s="1132" t="n"/>
      <c r="PAE284" s="1132" t="n"/>
      <c r="PAF284" s="1132" t="n"/>
      <c r="PAG284" s="1132" t="n"/>
      <c r="PAH284" s="1132" t="n"/>
      <c r="PAI284" s="1132" t="n"/>
      <c r="PAJ284" s="1132" t="n"/>
      <c r="PAK284" s="1132" t="n"/>
      <c r="PAL284" s="1132" t="n"/>
      <c r="PAM284" s="1132" t="n"/>
      <c r="PAN284" s="1132" t="n"/>
      <c r="PAO284" s="1132" t="n"/>
      <c r="PAP284" s="1132" t="n"/>
      <c r="PAQ284" s="1132" t="n"/>
      <c r="PAR284" s="1132" t="n"/>
      <c r="PAS284" s="1132" t="n"/>
      <c r="PAT284" s="1132" t="n"/>
      <c r="PAU284" s="1132" t="n"/>
      <c r="PAV284" s="1132" t="n"/>
      <c r="PAW284" s="1132" t="n"/>
      <c r="PAX284" s="1132" t="n"/>
      <c r="PAY284" s="1132" t="n"/>
      <c r="PAZ284" s="1132" t="n"/>
      <c r="PBA284" s="1132" t="n"/>
      <c r="PBB284" s="1132" t="n"/>
      <c r="PBC284" s="1132" t="n"/>
      <c r="PBD284" s="1132" t="n"/>
      <c r="PBE284" s="1132" t="n"/>
      <c r="PBF284" s="1132" t="n"/>
      <c r="PBG284" s="1132" t="n"/>
      <c r="PBH284" s="1132" t="n"/>
      <c r="PBI284" s="1132" t="n"/>
      <c r="PBJ284" s="1132" t="n"/>
      <c r="PBK284" s="1132" t="n"/>
      <c r="PBL284" s="1132" t="n"/>
      <c r="PBM284" s="1132" t="n"/>
      <c r="PBN284" s="1132" t="n"/>
      <c r="PBO284" s="1132" t="n"/>
      <c r="PBP284" s="1132" t="n"/>
      <c r="PBQ284" s="1132" t="n"/>
      <c r="PBR284" s="1132" t="n"/>
      <c r="PBS284" s="1132" t="n"/>
      <c r="PBT284" s="1132" t="n"/>
      <c r="PBU284" s="1132" t="n"/>
      <c r="PBV284" s="1132" t="n"/>
      <c r="PBW284" s="1132" t="n"/>
      <c r="PBX284" s="1132" t="n"/>
      <c r="PBY284" s="1132" t="n"/>
      <c r="PBZ284" s="1132" t="n"/>
      <c r="PCA284" s="1132" t="n"/>
      <c r="PCB284" s="1132" t="n"/>
      <c r="PCC284" s="1132" t="n"/>
      <c r="PCD284" s="1132" t="n"/>
      <c r="PCE284" s="1132" t="n"/>
      <c r="PCF284" s="1132" t="n"/>
      <c r="PCG284" s="1132" t="n"/>
      <c r="PCH284" s="1132" t="n"/>
      <c r="PCI284" s="1132" t="n"/>
      <c r="PCJ284" s="1132" t="n"/>
      <c r="PCK284" s="1132" t="n"/>
      <c r="PCL284" s="1132" t="n"/>
      <c r="PCM284" s="1132" t="n"/>
      <c r="PCN284" s="1132" t="n"/>
      <c r="PCO284" s="1132" t="n"/>
      <c r="PCP284" s="1132" t="n"/>
      <c r="PCQ284" s="1132" t="n"/>
      <c r="PCR284" s="1132" t="n"/>
      <c r="PCS284" s="1132" t="n"/>
      <c r="PCT284" s="1132" t="n"/>
      <c r="PCU284" s="1132" t="n"/>
      <c r="PCV284" s="1132" t="n"/>
      <c r="PCW284" s="1132" t="n"/>
      <c r="PCX284" s="1132" t="n"/>
      <c r="PCY284" s="1132" t="n"/>
      <c r="PCZ284" s="1132" t="n"/>
      <c r="PDA284" s="1132" t="n"/>
      <c r="PDB284" s="1132" t="n"/>
      <c r="PDC284" s="1132" t="n"/>
      <c r="PDD284" s="1132" t="n"/>
      <c r="PDE284" s="1132" t="n"/>
      <c r="PDF284" s="1132" t="n"/>
      <c r="PDG284" s="1132" t="n"/>
      <c r="PDH284" s="1132" t="n"/>
      <c r="PDI284" s="1132" t="n"/>
      <c r="PDJ284" s="1132" t="n"/>
      <c r="PDK284" s="1132" t="n"/>
      <c r="PDL284" s="1132" t="n"/>
      <c r="PDM284" s="1132" t="n"/>
      <c r="PDN284" s="1132" t="n"/>
      <c r="PDO284" s="1132" t="n"/>
      <c r="PDP284" s="1132" t="n"/>
      <c r="PDQ284" s="1132" t="n"/>
      <c r="PDR284" s="1132" t="n"/>
      <c r="PDS284" s="1132" t="n"/>
      <c r="PDT284" s="1132" t="n"/>
      <c r="PDU284" s="1132" t="n"/>
      <c r="PDV284" s="1132" t="n"/>
      <c r="PDW284" s="1132" t="n"/>
      <c r="PDX284" s="1132" t="n"/>
      <c r="PDY284" s="1132" t="n"/>
      <c r="PDZ284" s="1132" t="n"/>
      <c r="PEA284" s="1132" t="n"/>
      <c r="PEB284" s="1132" t="n"/>
      <c r="PEC284" s="1132" t="n"/>
      <c r="PED284" s="1132" t="n"/>
      <c r="PEE284" s="1132" t="n"/>
      <c r="PEF284" s="1132" t="n"/>
      <c r="PEG284" s="1132" t="n"/>
      <c r="PEH284" s="1132" t="n"/>
      <c r="PEI284" s="1132" t="n"/>
      <c r="PEJ284" s="1132" t="n"/>
      <c r="PEK284" s="1132" t="n"/>
      <c r="PEL284" s="1132" t="n"/>
      <c r="PEM284" s="1132" t="n"/>
      <c r="PEN284" s="1132" t="n"/>
      <c r="PEO284" s="1132" t="n"/>
      <c r="PEP284" s="1132" t="n"/>
      <c r="PEQ284" s="1132" t="n"/>
      <c r="PER284" s="1132" t="n"/>
      <c r="PES284" s="1132" t="n"/>
      <c r="PET284" s="1132" t="n"/>
      <c r="PEU284" s="1132" t="n"/>
      <c r="PEV284" s="1132" t="n"/>
      <c r="PEW284" s="1132" t="n"/>
      <c r="PEX284" s="1132" t="n"/>
      <c r="PEY284" s="1132" t="n"/>
      <c r="PEZ284" s="1132" t="n"/>
      <c r="PFA284" s="1132" t="n"/>
      <c r="PFB284" s="1132" t="n"/>
      <c r="PFC284" s="1132" t="n"/>
      <c r="PFD284" s="1132" t="n"/>
      <c r="PFE284" s="1132" t="n"/>
      <c r="PFF284" s="1132" t="n"/>
      <c r="PFG284" s="1132" t="n"/>
      <c r="PFH284" s="1132" t="n"/>
      <c r="PFI284" s="1132" t="n"/>
      <c r="PFJ284" s="1132" t="n"/>
      <c r="PFK284" s="1132" t="n"/>
      <c r="PFL284" s="1132" t="n"/>
      <c r="PFM284" s="1132" t="n"/>
      <c r="PFN284" s="1132" t="n"/>
      <c r="PFO284" s="1132" t="n"/>
      <c r="PFP284" s="1132" t="n"/>
      <c r="PFQ284" s="1132" t="n"/>
      <c r="PFR284" s="1132" t="n"/>
      <c r="PFS284" s="1132" t="n"/>
      <c r="PFT284" s="1132" t="n"/>
      <c r="PFU284" s="1132" t="n"/>
      <c r="PFV284" s="1132" t="n"/>
      <c r="PFW284" s="1132" t="n"/>
      <c r="PFX284" s="1132" t="n"/>
      <c r="PFY284" s="1132" t="n"/>
      <c r="PFZ284" s="1132" t="n"/>
      <c r="PGA284" s="1132" t="n"/>
      <c r="PGB284" s="1132" t="n"/>
      <c r="PGC284" s="1132" t="n"/>
      <c r="PGD284" s="1132" t="n"/>
      <c r="PGE284" s="1132" t="n"/>
      <c r="PGF284" s="1132" t="n"/>
      <c r="PGG284" s="1132" t="n"/>
      <c r="PGH284" s="1132" t="n"/>
      <c r="PGI284" s="1132" t="n"/>
      <c r="PGJ284" s="1132" t="n"/>
      <c r="PGK284" s="1132" t="n"/>
      <c r="PGL284" s="1132" t="n"/>
      <c r="PGM284" s="1132" t="n"/>
      <c r="PGN284" s="1132" t="n"/>
      <c r="PGO284" s="1132" t="n"/>
      <c r="PGP284" s="1132" t="n"/>
      <c r="PGQ284" s="1132" t="n"/>
      <c r="PGR284" s="1132" t="n"/>
      <c r="PGS284" s="1132" t="n"/>
      <c r="PGT284" s="1132" t="n"/>
      <c r="PGU284" s="1132" t="n"/>
      <c r="PGV284" s="1132" t="n"/>
      <c r="PGW284" s="1132" t="n"/>
      <c r="PGX284" s="1132" t="n"/>
      <c r="PGY284" s="1132" t="n"/>
      <c r="PGZ284" s="1132" t="n"/>
      <c r="PHA284" s="1132" t="n"/>
      <c r="PHB284" s="1132" t="n"/>
      <c r="PHC284" s="1132" t="n"/>
      <c r="PHD284" s="1132" t="n"/>
      <c r="PHE284" s="1132" t="n"/>
      <c r="PHF284" s="1132" t="n"/>
      <c r="PHG284" s="1132" t="n"/>
      <c r="PHH284" s="1132" t="n"/>
      <c r="PHI284" s="1132" t="n"/>
      <c r="PHJ284" s="1132" t="n"/>
      <c r="PHK284" s="1132" t="n"/>
      <c r="PHL284" s="1132" t="n"/>
      <c r="PHM284" s="1132" t="n"/>
      <c r="PHN284" s="1132" t="n"/>
      <c r="PHO284" s="1132" t="n"/>
      <c r="PHP284" s="1132" t="n"/>
      <c r="PHQ284" s="1132" t="n"/>
      <c r="PHR284" s="1132" t="n"/>
      <c r="PHS284" s="1132" t="n"/>
      <c r="PHT284" s="1132" t="n"/>
      <c r="PHU284" s="1132" t="n"/>
      <c r="PHV284" s="1132" t="n"/>
      <c r="PHW284" s="1132" t="n"/>
      <c r="PHX284" s="1132" t="n"/>
      <c r="PHY284" s="1132" t="n"/>
      <c r="PHZ284" s="1132" t="n"/>
      <c r="PIA284" s="1132" t="n"/>
      <c r="PIB284" s="1132" t="n"/>
      <c r="PIC284" s="1132" t="n"/>
      <c r="PID284" s="1132" t="n"/>
      <c r="PIE284" s="1132" t="n"/>
      <c r="PIF284" s="1132" t="n"/>
      <c r="PIG284" s="1132" t="n"/>
      <c r="PIH284" s="1132" t="n"/>
      <c r="PII284" s="1132" t="n"/>
      <c r="PIJ284" s="1132" t="n"/>
      <c r="PIK284" s="1132" t="n"/>
      <c r="PIL284" s="1132" t="n"/>
      <c r="PIM284" s="1132" t="n"/>
      <c r="PIN284" s="1132" t="n"/>
      <c r="PIO284" s="1132" t="n"/>
      <c r="PIP284" s="1132" t="n"/>
      <c r="PIQ284" s="1132" t="n"/>
      <c r="PIR284" s="1132" t="n"/>
      <c r="PIS284" s="1132" t="n"/>
      <c r="PIT284" s="1132" t="n"/>
      <c r="PIU284" s="1132" t="n"/>
      <c r="PIV284" s="1132" t="n"/>
      <c r="PIW284" s="1132" t="n"/>
      <c r="PIX284" s="1132" t="n"/>
      <c r="PIY284" s="1132" t="n"/>
      <c r="PIZ284" s="1132" t="n"/>
      <c r="PJA284" s="1132" t="n"/>
      <c r="PJB284" s="1132" t="n"/>
      <c r="PJC284" s="1132" t="n"/>
      <c r="PJD284" s="1132" t="n"/>
      <c r="PJE284" s="1132" t="n"/>
      <c r="PJF284" s="1132" t="n"/>
      <c r="PJG284" s="1132" t="n"/>
      <c r="PJH284" s="1132" t="n"/>
      <c r="PJI284" s="1132" t="n"/>
      <c r="PJJ284" s="1132" t="n"/>
      <c r="PJK284" s="1132" t="n"/>
      <c r="PJL284" s="1132" t="n"/>
      <c r="PJM284" s="1132" t="n"/>
      <c r="PJN284" s="1132" t="n"/>
      <c r="PJO284" s="1132" t="n"/>
      <c r="PJP284" s="1132" t="n"/>
      <c r="PJQ284" s="1132" t="n"/>
      <c r="PJR284" s="1132" t="n"/>
      <c r="PJS284" s="1132" t="n"/>
      <c r="PJT284" s="1132" t="n"/>
      <c r="PJU284" s="1132" t="n"/>
      <c r="PJV284" s="1132" t="n"/>
      <c r="PJW284" s="1132" t="n"/>
      <c r="PJX284" s="1132" t="n"/>
      <c r="PJY284" s="1132" t="n"/>
      <c r="PJZ284" s="1132" t="n"/>
      <c r="PKA284" s="1132" t="n"/>
      <c r="PKB284" s="1132" t="n"/>
      <c r="PKC284" s="1132" t="n"/>
      <c r="PKD284" s="1132" t="n"/>
      <c r="PKE284" s="1132" t="n"/>
      <c r="PKF284" s="1132" t="n"/>
      <c r="PKG284" s="1132" t="n"/>
      <c r="PKH284" s="1132" t="n"/>
      <c r="PKI284" s="1132" t="n"/>
      <c r="PKJ284" s="1132" t="n"/>
      <c r="PKK284" s="1132" t="n"/>
      <c r="PKL284" s="1132" t="n"/>
      <c r="PKM284" s="1132" t="n"/>
      <c r="PKN284" s="1132" t="n"/>
      <c r="PKO284" s="1132" t="n"/>
      <c r="PKP284" s="1132" t="n"/>
      <c r="PKQ284" s="1132" t="n"/>
      <c r="PKR284" s="1132" t="n"/>
      <c r="PKS284" s="1132" t="n"/>
      <c r="PKT284" s="1132" t="n"/>
      <c r="PKU284" s="1132" t="n"/>
      <c r="PKV284" s="1132" t="n"/>
      <c r="PKW284" s="1132" t="n"/>
      <c r="PKX284" s="1132" t="n"/>
      <c r="PKY284" s="1132" t="n"/>
      <c r="PKZ284" s="1132" t="n"/>
      <c r="PLA284" s="1132" t="n"/>
      <c r="PLB284" s="1132" t="n"/>
      <c r="PLC284" s="1132" t="n"/>
      <c r="PLD284" s="1132" t="n"/>
      <c r="PLE284" s="1132" t="n"/>
      <c r="PLF284" s="1132" t="n"/>
      <c r="PLG284" s="1132" t="n"/>
      <c r="PLH284" s="1132" t="n"/>
      <c r="PLI284" s="1132" t="n"/>
      <c r="PLJ284" s="1132" t="n"/>
      <c r="PLK284" s="1132" t="n"/>
      <c r="PLL284" s="1132" t="n"/>
      <c r="PLM284" s="1132" t="n"/>
      <c r="PLN284" s="1132" t="n"/>
      <c r="PLO284" s="1132" t="n"/>
      <c r="PLP284" s="1132" t="n"/>
      <c r="PLQ284" s="1132" t="n"/>
      <c r="PLR284" s="1132" t="n"/>
      <c r="PLS284" s="1132" t="n"/>
      <c r="PLT284" s="1132" t="n"/>
      <c r="PLU284" s="1132" t="n"/>
      <c r="PLV284" s="1132" t="n"/>
      <c r="PLW284" s="1132" t="n"/>
      <c r="PLX284" s="1132" t="n"/>
      <c r="PLY284" s="1132" t="n"/>
      <c r="PLZ284" s="1132" t="n"/>
      <c r="PMA284" s="1132" t="n"/>
      <c r="PMB284" s="1132" t="n"/>
      <c r="PMC284" s="1132" t="n"/>
      <c r="PMD284" s="1132" t="n"/>
      <c r="PME284" s="1132" t="n"/>
      <c r="PMF284" s="1132" t="n"/>
      <c r="PMG284" s="1132" t="n"/>
      <c r="PMH284" s="1132" t="n"/>
      <c r="PMI284" s="1132" t="n"/>
      <c r="PMJ284" s="1132" t="n"/>
      <c r="PMK284" s="1132" t="n"/>
      <c r="PML284" s="1132" t="n"/>
      <c r="PMM284" s="1132" t="n"/>
      <c r="PMN284" s="1132" t="n"/>
      <c r="PMO284" s="1132" t="n"/>
      <c r="PMP284" s="1132" t="n"/>
      <c r="PMQ284" s="1132" t="n"/>
      <c r="PMR284" s="1132" t="n"/>
      <c r="PMS284" s="1132" t="n"/>
      <c r="PMT284" s="1132" t="n"/>
      <c r="PMU284" s="1132" t="n"/>
      <c r="PMV284" s="1132" t="n"/>
      <c r="PMW284" s="1132" t="n"/>
      <c r="PMX284" s="1132" t="n"/>
      <c r="PMY284" s="1132" t="n"/>
      <c r="PMZ284" s="1132" t="n"/>
      <c r="PNA284" s="1132" t="n"/>
      <c r="PNB284" s="1132" t="n"/>
      <c r="PNC284" s="1132" t="n"/>
      <c r="PND284" s="1132" t="n"/>
      <c r="PNE284" s="1132" t="n"/>
      <c r="PNF284" s="1132" t="n"/>
      <c r="PNG284" s="1132" t="n"/>
      <c r="PNH284" s="1132" t="n"/>
      <c r="PNI284" s="1132" t="n"/>
      <c r="PNJ284" s="1132" t="n"/>
      <c r="PNK284" s="1132" t="n"/>
      <c r="PNL284" s="1132" t="n"/>
      <c r="PNM284" s="1132" t="n"/>
      <c r="PNN284" s="1132" t="n"/>
      <c r="PNO284" s="1132" t="n"/>
      <c r="PNP284" s="1132" t="n"/>
      <c r="PNQ284" s="1132" t="n"/>
      <c r="PNR284" s="1132" t="n"/>
      <c r="PNS284" s="1132" t="n"/>
      <c r="PNT284" s="1132" t="n"/>
      <c r="PNU284" s="1132" t="n"/>
      <c r="PNV284" s="1132" t="n"/>
      <c r="PNW284" s="1132" t="n"/>
      <c r="PNX284" s="1132" t="n"/>
      <c r="PNY284" s="1132" t="n"/>
      <c r="PNZ284" s="1132" t="n"/>
      <c r="POA284" s="1132" t="n"/>
      <c r="POB284" s="1132" t="n"/>
      <c r="POC284" s="1132" t="n"/>
      <c r="POD284" s="1132" t="n"/>
      <c r="POE284" s="1132" t="n"/>
      <c r="POF284" s="1132" t="n"/>
      <c r="POG284" s="1132" t="n"/>
      <c r="POH284" s="1132" t="n"/>
      <c r="POI284" s="1132" t="n"/>
      <c r="POJ284" s="1132" t="n"/>
      <c r="POK284" s="1132" t="n"/>
      <c r="POL284" s="1132" t="n"/>
      <c r="POM284" s="1132" t="n"/>
      <c r="PON284" s="1132" t="n"/>
      <c r="POO284" s="1132" t="n"/>
      <c r="POP284" s="1132" t="n"/>
      <c r="POQ284" s="1132" t="n"/>
      <c r="POR284" s="1132" t="n"/>
      <c r="POS284" s="1132" t="n"/>
      <c r="POT284" s="1132" t="n"/>
      <c r="POU284" s="1132" t="n"/>
      <c r="POV284" s="1132" t="n"/>
      <c r="POW284" s="1132" t="n"/>
      <c r="POX284" s="1132" t="n"/>
      <c r="POY284" s="1132" t="n"/>
      <c r="POZ284" s="1132" t="n"/>
      <c r="PPA284" s="1132" t="n"/>
      <c r="PPB284" s="1132" t="n"/>
      <c r="PPC284" s="1132" t="n"/>
      <c r="PPD284" s="1132" t="n"/>
      <c r="PPE284" s="1132" t="n"/>
      <c r="PPF284" s="1132" t="n"/>
      <c r="PPG284" s="1132" t="n"/>
      <c r="PPH284" s="1132" t="n"/>
      <c r="PPI284" s="1132" t="n"/>
      <c r="PPJ284" s="1132" t="n"/>
      <c r="PPK284" s="1132" t="n"/>
      <c r="PPL284" s="1132" t="n"/>
      <c r="PPM284" s="1132" t="n"/>
      <c r="PPN284" s="1132" t="n"/>
      <c r="PPO284" s="1132" t="n"/>
      <c r="PPP284" s="1132" t="n"/>
      <c r="PPQ284" s="1132" t="n"/>
      <c r="PPR284" s="1132" t="n"/>
      <c r="PPS284" s="1132" t="n"/>
      <c r="PPT284" s="1132" t="n"/>
      <c r="PPU284" s="1132" t="n"/>
      <c r="PPV284" s="1132" t="n"/>
      <c r="PPW284" s="1132" t="n"/>
      <c r="PPX284" s="1132" t="n"/>
      <c r="PPY284" s="1132" t="n"/>
      <c r="PPZ284" s="1132" t="n"/>
      <c r="PQA284" s="1132" t="n"/>
      <c r="PQB284" s="1132" t="n"/>
      <c r="PQC284" s="1132" t="n"/>
      <c r="PQD284" s="1132" t="n"/>
      <c r="PQE284" s="1132" t="n"/>
      <c r="PQF284" s="1132" t="n"/>
      <c r="PQG284" s="1132" t="n"/>
      <c r="PQH284" s="1132" t="n"/>
      <c r="PQI284" s="1132" t="n"/>
      <c r="PQJ284" s="1132" t="n"/>
      <c r="PQK284" s="1132" t="n"/>
      <c r="PQL284" s="1132" t="n"/>
      <c r="PQM284" s="1132" t="n"/>
      <c r="PQN284" s="1132" t="n"/>
      <c r="PQO284" s="1132" t="n"/>
      <c r="PQP284" s="1132" t="n"/>
      <c r="PQQ284" s="1132" t="n"/>
      <c r="PQR284" s="1132" t="n"/>
      <c r="PQS284" s="1132" t="n"/>
      <c r="PQT284" s="1132" t="n"/>
      <c r="PQU284" s="1132" t="n"/>
      <c r="PQV284" s="1132" t="n"/>
      <c r="PQW284" s="1132" t="n"/>
      <c r="PQX284" s="1132" t="n"/>
      <c r="PQY284" s="1132" t="n"/>
      <c r="PQZ284" s="1132" t="n"/>
      <c r="PRA284" s="1132" t="n"/>
      <c r="PRB284" s="1132" t="n"/>
      <c r="PRC284" s="1132" t="n"/>
      <c r="PRD284" s="1132" t="n"/>
      <c r="PRE284" s="1132" t="n"/>
      <c r="PRF284" s="1132" t="n"/>
      <c r="PRG284" s="1132" t="n"/>
      <c r="PRH284" s="1132" t="n"/>
      <c r="PRI284" s="1132" t="n"/>
      <c r="PRJ284" s="1132" t="n"/>
      <c r="PRK284" s="1132" t="n"/>
      <c r="PRL284" s="1132" t="n"/>
      <c r="PRM284" s="1132" t="n"/>
      <c r="PRN284" s="1132" t="n"/>
      <c r="PRO284" s="1132" t="n"/>
      <c r="PRP284" s="1132" t="n"/>
      <c r="PRQ284" s="1132" t="n"/>
      <c r="PRR284" s="1132" t="n"/>
      <c r="PRS284" s="1132" t="n"/>
      <c r="PRT284" s="1132" t="n"/>
      <c r="PRU284" s="1132" t="n"/>
      <c r="PRV284" s="1132" t="n"/>
      <c r="PRW284" s="1132" t="n"/>
      <c r="PRX284" s="1132" t="n"/>
      <c r="PRY284" s="1132" t="n"/>
      <c r="PRZ284" s="1132" t="n"/>
      <c r="PSA284" s="1132" t="n"/>
      <c r="PSB284" s="1132" t="n"/>
      <c r="PSC284" s="1132" t="n"/>
      <c r="PSD284" s="1132" t="n"/>
      <c r="PSE284" s="1132" t="n"/>
      <c r="PSF284" s="1132" t="n"/>
      <c r="PSG284" s="1132" t="n"/>
      <c r="PSH284" s="1132" t="n"/>
      <c r="PSI284" s="1132" t="n"/>
      <c r="PSJ284" s="1132" t="n"/>
      <c r="PSK284" s="1132" t="n"/>
      <c r="PSL284" s="1132" t="n"/>
      <c r="PSM284" s="1132" t="n"/>
      <c r="PSN284" s="1132" t="n"/>
      <c r="PSO284" s="1132" t="n"/>
      <c r="PSP284" s="1132" t="n"/>
      <c r="PSQ284" s="1132" t="n"/>
      <c r="PSR284" s="1132" t="n"/>
      <c r="PSS284" s="1132" t="n"/>
      <c r="PST284" s="1132" t="n"/>
      <c r="PSU284" s="1132" t="n"/>
      <c r="PSV284" s="1132" t="n"/>
      <c r="PSW284" s="1132" t="n"/>
      <c r="PSX284" s="1132" t="n"/>
      <c r="PSY284" s="1132" t="n"/>
      <c r="PSZ284" s="1132" t="n"/>
      <c r="PTA284" s="1132" t="n"/>
      <c r="PTB284" s="1132" t="n"/>
      <c r="PTC284" s="1132" t="n"/>
      <c r="PTD284" s="1132" t="n"/>
      <c r="PTE284" s="1132" t="n"/>
      <c r="PTF284" s="1132" t="n"/>
      <c r="PTG284" s="1132" t="n"/>
      <c r="PTH284" s="1132" t="n"/>
      <c r="PTI284" s="1132" t="n"/>
      <c r="PTJ284" s="1132" t="n"/>
      <c r="PTK284" s="1132" t="n"/>
      <c r="PTL284" s="1132" t="n"/>
      <c r="PTM284" s="1132" t="n"/>
      <c r="PTN284" s="1132" t="n"/>
      <c r="PTO284" s="1132" t="n"/>
      <c r="PTP284" s="1132" t="n"/>
      <c r="PTQ284" s="1132" t="n"/>
      <c r="PTR284" s="1132" t="n"/>
      <c r="PTS284" s="1132" t="n"/>
      <c r="PTT284" s="1132" t="n"/>
      <c r="PTU284" s="1132" t="n"/>
      <c r="PTV284" s="1132" t="n"/>
      <c r="PTW284" s="1132" t="n"/>
      <c r="PTX284" s="1132" t="n"/>
      <c r="PTY284" s="1132" t="n"/>
      <c r="PTZ284" s="1132" t="n"/>
      <c r="PUA284" s="1132" t="n"/>
      <c r="PUB284" s="1132" t="n"/>
      <c r="PUC284" s="1132" t="n"/>
      <c r="PUD284" s="1132" t="n"/>
      <c r="PUE284" s="1132" t="n"/>
      <c r="PUF284" s="1132" t="n"/>
      <c r="PUG284" s="1132" t="n"/>
      <c r="PUH284" s="1132" t="n"/>
      <c r="PUI284" s="1132" t="n"/>
      <c r="PUJ284" s="1132" t="n"/>
      <c r="PUK284" s="1132" t="n"/>
      <c r="PUL284" s="1132" t="n"/>
      <c r="PUM284" s="1132" t="n"/>
      <c r="PUN284" s="1132" t="n"/>
      <c r="PUO284" s="1132" t="n"/>
      <c r="PUP284" s="1132" t="n"/>
      <c r="PUQ284" s="1132" t="n"/>
      <c r="PUR284" s="1132" t="n"/>
      <c r="PUS284" s="1132" t="n"/>
      <c r="PUT284" s="1132" t="n"/>
      <c r="PUU284" s="1132" t="n"/>
      <c r="PUV284" s="1132" t="n"/>
      <c r="PUW284" s="1132" t="n"/>
      <c r="PUX284" s="1132" t="n"/>
      <c r="PUY284" s="1132" t="n"/>
      <c r="PUZ284" s="1132" t="n"/>
      <c r="PVA284" s="1132" t="n"/>
      <c r="PVB284" s="1132" t="n"/>
      <c r="PVC284" s="1132" t="n"/>
      <c r="PVD284" s="1132" t="n"/>
      <c r="PVE284" s="1132" t="n"/>
      <c r="PVF284" s="1132" t="n"/>
      <c r="PVG284" s="1132" t="n"/>
      <c r="PVH284" s="1132" t="n"/>
      <c r="PVI284" s="1132" t="n"/>
      <c r="PVJ284" s="1132" t="n"/>
      <c r="PVK284" s="1132" t="n"/>
      <c r="PVL284" s="1132" t="n"/>
      <c r="PVM284" s="1132" t="n"/>
      <c r="PVN284" s="1132" t="n"/>
      <c r="PVO284" s="1132" t="n"/>
      <c r="PVP284" s="1132" t="n"/>
      <c r="PVQ284" s="1132" t="n"/>
      <c r="PVR284" s="1132" t="n"/>
      <c r="PVS284" s="1132" t="n"/>
      <c r="PVT284" s="1132" t="n"/>
      <c r="PVU284" s="1132" t="n"/>
      <c r="PVV284" s="1132" t="n"/>
      <c r="PVW284" s="1132" t="n"/>
      <c r="PVX284" s="1132" t="n"/>
      <c r="PVY284" s="1132" t="n"/>
      <c r="PVZ284" s="1132" t="n"/>
      <c r="PWA284" s="1132" t="n"/>
      <c r="PWB284" s="1132" t="n"/>
      <c r="PWC284" s="1132" t="n"/>
      <c r="PWD284" s="1132" t="n"/>
      <c r="PWE284" s="1132" t="n"/>
      <c r="PWF284" s="1132" t="n"/>
      <c r="PWG284" s="1132" t="n"/>
      <c r="PWH284" s="1132" t="n"/>
      <c r="PWI284" s="1132" t="n"/>
      <c r="PWJ284" s="1132" t="n"/>
      <c r="PWK284" s="1132" t="n"/>
      <c r="PWL284" s="1132" t="n"/>
      <c r="PWM284" s="1132" t="n"/>
      <c r="PWN284" s="1132" t="n"/>
      <c r="PWO284" s="1132" t="n"/>
      <c r="PWP284" s="1132" t="n"/>
      <c r="PWQ284" s="1132" t="n"/>
      <c r="PWR284" s="1132" t="n"/>
      <c r="PWS284" s="1132" t="n"/>
      <c r="PWT284" s="1132" t="n"/>
      <c r="PWU284" s="1132" t="n"/>
      <c r="PWV284" s="1132" t="n"/>
      <c r="PWW284" s="1132" t="n"/>
      <c r="PWX284" s="1132" t="n"/>
      <c r="PWY284" s="1132" t="n"/>
      <c r="PWZ284" s="1132" t="n"/>
      <c r="PXA284" s="1132" t="n"/>
      <c r="PXB284" s="1132" t="n"/>
      <c r="PXC284" s="1132" t="n"/>
      <c r="PXD284" s="1132" t="n"/>
      <c r="PXE284" s="1132" t="n"/>
      <c r="PXF284" s="1132" t="n"/>
      <c r="PXG284" s="1132" t="n"/>
      <c r="PXH284" s="1132" t="n"/>
      <c r="PXI284" s="1132" t="n"/>
      <c r="PXJ284" s="1132" t="n"/>
      <c r="PXK284" s="1132" t="n"/>
      <c r="PXL284" s="1132" t="n"/>
      <c r="PXM284" s="1132" t="n"/>
      <c r="PXN284" s="1132" t="n"/>
      <c r="PXO284" s="1132" t="n"/>
      <c r="PXP284" s="1132" t="n"/>
      <c r="PXQ284" s="1132" t="n"/>
      <c r="PXR284" s="1132" t="n"/>
      <c r="PXS284" s="1132" t="n"/>
      <c r="PXT284" s="1132" t="n"/>
      <c r="PXU284" s="1132" t="n"/>
      <c r="PXV284" s="1132" t="n"/>
      <c r="PXW284" s="1132" t="n"/>
      <c r="PXX284" s="1132" t="n"/>
      <c r="PXY284" s="1132" t="n"/>
      <c r="PXZ284" s="1132" t="n"/>
      <c r="PYA284" s="1132" t="n"/>
      <c r="PYB284" s="1132" t="n"/>
      <c r="PYC284" s="1132" t="n"/>
      <c r="PYD284" s="1132" t="n"/>
      <c r="PYE284" s="1132" t="n"/>
      <c r="PYF284" s="1132" t="n"/>
      <c r="PYG284" s="1132" t="n"/>
      <c r="PYH284" s="1132" t="n"/>
      <c r="PYI284" s="1132" t="n"/>
      <c r="PYJ284" s="1132" t="n"/>
      <c r="PYK284" s="1132" t="n"/>
      <c r="PYL284" s="1132" t="n"/>
      <c r="PYM284" s="1132" t="n"/>
      <c r="PYN284" s="1132" t="n"/>
      <c r="PYO284" s="1132" t="n"/>
      <c r="PYP284" s="1132" t="n"/>
      <c r="PYQ284" s="1132" t="n"/>
      <c r="PYR284" s="1132" t="n"/>
      <c r="PYS284" s="1132" t="n"/>
      <c r="PYT284" s="1132" t="n"/>
      <c r="PYU284" s="1132" t="n"/>
      <c r="PYV284" s="1132" t="n"/>
      <c r="PYW284" s="1132" t="n"/>
      <c r="PYX284" s="1132" t="n"/>
      <c r="PYY284" s="1132" t="n"/>
      <c r="PYZ284" s="1132" t="n"/>
      <c r="PZA284" s="1132" t="n"/>
      <c r="PZB284" s="1132" t="n"/>
      <c r="PZC284" s="1132" t="n"/>
      <c r="PZD284" s="1132" t="n"/>
      <c r="PZE284" s="1132" t="n"/>
      <c r="PZF284" s="1132" t="n"/>
      <c r="PZG284" s="1132" t="n"/>
      <c r="PZH284" s="1132" t="n"/>
      <c r="PZI284" s="1132" t="n"/>
      <c r="PZJ284" s="1132" t="n"/>
      <c r="PZK284" s="1132" t="n"/>
      <c r="PZL284" s="1132" t="n"/>
      <c r="PZM284" s="1132" t="n"/>
      <c r="PZN284" s="1132" t="n"/>
      <c r="PZO284" s="1132" t="n"/>
      <c r="PZP284" s="1132" t="n"/>
      <c r="PZQ284" s="1132" t="n"/>
      <c r="PZR284" s="1132" t="n"/>
      <c r="PZS284" s="1132" t="n"/>
      <c r="PZT284" s="1132" t="n"/>
      <c r="PZU284" s="1132" t="n"/>
      <c r="PZV284" s="1132" t="n"/>
      <c r="PZW284" s="1132" t="n"/>
      <c r="PZX284" s="1132" t="n"/>
      <c r="PZY284" s="1132" t="n"/>
      <c r="PZZ284" s="1132" t="n"/>
      <c r="QAA284" s="1132" t="n"/>
      <c r="QAB284" s="1132" t="n"/>
      <c r="QAC284" s="1132" t="n"/>
      <c r="QAD284" s="1132" t="n"/>
      <c r="QAE284" s="1132" t="n"/>
      <c r="QAF284" s="1132" t="n"/>
      <c r="QAG284" s="1132" t="n"/>
      <c r="QAH284" s="1132" t="n"/>
      <c r="QAI284" s="1132" t="n"/>
      <c r="QAJ284" s="1132" t="n"/>
      <c r="QAK284" s="1132" t="n"/>
      <c r="QAL284" s="1132" t="n"/>
      <c r="QAM284" s="1132" t="n"/>
      <c r="QAN284" s="1132" t="n"/>
      <c r="QAO284" s="1132" t="n"/>
      <c r="QAP284" s="1132" t="n"/>
      <c r="QAQ284" s="1132" t="n"/>
      <c r="QAR284" s="1132" t="n"/>
      <c r="QAS284" s="1132" t="n"/>
      <c r="QAT284" s="1132" t="n"/>
      <c r="QAU284" s="1132" t="n"/>
      <c r="QAV284" s="1132" t="n"/>
      <c r="QAW284" s="1132" t="n"/>
      <c r="QAX284" s="1132" t="n"/>
      <c r="QAY284" s="1132" t="n"/>
      <c r="QAZ284" s="1132" t="n"/>
      <c r="QBA284" s="1132" t="n"/>
      <c r="QBB284" s="1132" t="n"/>
      <c r="QBC284" s="1132" t="n"/>
      <c r="QBD284" s="1132" t="n"/>
      <c r="QBE284" s="1132" t="n"/>
      <c r="QBF284" s="1132" t="n"/>
      <c r="QBG284" s="1132" t="n"/>
      <c r="QBH284" s="1132" t="n"/>
      <c r="QBI284" s="1132" t="n"/>
      <c r="QBJ284" s="1132" t="n"/>
      <c r="QBK284" s="1132" t="n"/>
      <c r="QBL284" s="1132" t="n"/>
      <c r="QBM284" s="1132" t="n"/>
      <c r="QBN284" s="1132" t="n"/>
      <c r="QBO284" s="1132" t="n"/>
      <c r="QBP284" s="1132" t="n"/>
      <c r="QBQ284" s="1132" t="n"/>
      <c r="QBR284" s="1132" t="n"/>
      <c r="QBS284" s="1132" t="n"/>
      <c r="QBT284" s="1132" t="n"/>
      <c r="QBU284" s="1132" t="n"/>
      <c r="QBV284" s="1132" t="n"/>
      <c r="QBW284" s="1132" t="n"/>
      <c r="QBX284" s="1132" t="n"/>
      <c r="QBY284" s="1132" t="n"/>
      <c r="QBZ284" s="1132" t="n"/>
      <c r="QCA284" s="1132" t="n"/>
      <c r="QCB284" s="1132" t="n"/>
      <c r="QCC284" s="1132" t="n"/>
      <c r="QCD284" s="1132" t="n"/>
      <c r="QCE284" s="1132" t="n"/>
      <c r="QCF284" s="1132" t="n"/>
      <c r="QCG284" s="1132" t="n"/>
      <c r="QCH284" s="1132" t="n"/>
      <c r="QCI284" s="1132" t="n"/>
      <c r="QCJ284" s="1132" t="n"/>
      <c r="QCK284" s="1132" t="n"/>
      <c r="QCL284" s="1132" t="n"/>
      <c r="QCM284" s="1132" t="n"/>
      <c r="QCN284" s="1132" t="n"/>
      <c r="QCO284" s="1132" t="n"/>
      <c r="QCP284" s="1132" t="n"/>
      <c r="QCQ284" s="1132" t="n"/>
      <c r="QCR284" s="1132" t="n"/>
      <c r="QCS284" s="1132" t="n"/>
      <c r="QCT284" s="1132" t="n"/>
      <c r="QCU284" s="1132" t="n"/>
      <c r="QCV284" s="1132" t="n"/>
      <c r="QCW284" s="1132" t="n"/>
      <c r="QCX284" s="1132" t="n"/>
      <c r="QCY284" s="1132" t="n"/>
      <c r="QCZ284" s="1132" t="n"/>
      <c r="QDA284" s="1132" t="n"/>
      <c r="QDB284" s="1132" t="n"/>
      <c r="QDC284" s="1132" t="n"/>
      <c r="QDD284" s="1132" t="n"/>
      <c r="QDE284" s="1132" t="n"/>
      <c r="QDF284" s="1132" t="n"/>
      <c r="QDG284" s="1132" t="n"/>
      <c r="QDH284" s="1132" t="n"/>
      <c r="QDI284" s="1132" t="n"/>
      <c r="QDJ284" s="1132" t="n"/>
      <c r="QDK284" s="1132" t="n"/>
      <c r="QDL284" s="1132" t="n"/>
      <c r="QDM284" s="1132" t="n"/>
      <c r="QDN284" s="1132" t="n"/>
      <c r="QDO284" s="1132" t="n"/>
      <c r="QDP284" s="1132" t="n"/>
      <c r="QDQ284" s="1132" t="n"/>
      <c r="QDR284" s="1132" t="n"/>
      <c r="QDS284" s="1132" t="n"/>
      <c r="QDT284" s="1132" t="n"/>
      <c r="QDU284" s="1132" t="n"/>
      <c r="QDV284" s="1132" t="n"/>
      <c r="QDW284" s="1132" t="n"/>
      <c r="QDX284" s="1132" t="n"/>
      <c r="QDY284" s="1132" t="n"/>
      <c r="QDZ284" s="1132" t="n"/>
      <c r="QEA284" s="1132" t="n"/>
      <c r="QEB284" s="1132" t="n"/>
      <c r="QEC284" s="1132" t="n"/>
      <c r="QED284" s="1132" t="n"/>
      <c r="QEE284" s="1132" t="n"/>
      <c r="QEF284" s="1132" t="n"/>
      <c r="QEG284" s="1132" t="n"/>
      <c r="QEH284" s="1132" t="n"/>
      <c r="QEI284" s="1132" t="n"/>
      <c r="QEJ284" s="1132" t="n"/>
      <c r="QEK284" s="1132" t="n"/>
      <c r="QEL284" s="1132" t="n"/>
      <c r="QEM284" s="1132" t="n"/>
      <c r="QEN284" s="1132" t="n"/>
      <c r="QEO284" s="1132" t="n"/>
      <c r="QEP284" s="1132" t="n"/>
      <c r="QEQ284" s="1132" t="n"/>
      <c r="QER284" s="1132" t="n"/>
      <c r="QES284" s="1132" t="n"/>
      <c r="QET284" s="1132" t="n"/>
      <c r="QEU284" s="1132" t="n"/>
      <c r="QEV284" s="1132" t="n"/>
      <c r="QEW284" s="1132" t="n"/>
      <c r="QEX284" s="1132" t="n"/>
      <c r="QEY284" s="1132" t="n"/>
      <c r="QEZ284" s="1132" t="n"/>
      <c r="QFA284" s="1132" t="n"/>
      <c r="QFB284" s="1132" t="n"/>
      <c r="QFC284" s="1132" t="n"/>
      <c r="QFD284" s="1132" t="n"/>
      <c r="QFE284" s="1132" t="n"/>
      <c r="QFF284" s="1132" t="n"/>
      <c r="QFG284" s="1132" t="n"/>
      <c r="QFH284" s="1132" t="n"/>
      <c r="QFI284" s="1132" t="n"/>
      <c r="QFJ284" s="1132" t="n"/>
      <c r="QFK284" s="1132" t="n"/>
      <c r="QFL284" s="1132" t="n"/>
      <c r="QFM284" s="1132" t="n"/>
      <c r="QFN284" s="1132" t="n"/>
      <c r="QFO284" s="1132" t="n"/>
      <c r="QFP284" s="1132" t="n"/>
      <c r="QFQ284" s="1132" t="n"/>
      <c r="QFR284" s="1132" t="n"/>
      <c r="QFS284" s="1132" t="n"/>
      <c r="QFT284" s="1132" t="n"/>
      <c r="QFU284" s="1132" t="n"/>
      <c r="QFV284" s="1132" t="n"/>
      <c r="QFW284" s="1132" t="n"/>
      <c r="QFX284" s="1132" t="n"/>
      <c r="QFY284" s="1132" t="n"/>
      <c r="QFZ284" s="1132" t="n"/>
      <c r="QGA284" s="1132" t="n"/>
      <c r="QGB284" s="1132" t="n"/>
      <c r="QGC284" s="1132" t="n"/>
      <c r="QGD284" s="1132" t="n"/>
      <c r="QGE284" s="1132" t="n"/>
      <c r="QGF284" s="1132" t="n"/>
      <c r="QGG284" s="1132" t="n"/>
      <c r="QGH284" s="1132" t="n"/>
      <c r="QGI284" s="1132" t="n"/>
      <c r="QGJ284" s="1132" t="n"/>
      <c r="QGK284" s="1132" t="n"/>
      <c r="QGL284" s="1132" t="n"/>
      <c r="QGM284" s="1132" t="n"/>
      <c r="QGN284" s="1132" t="n"/>
      <c r="QGO284" s="1132" t="n"/>
      <c r="QGP284" s="1132" t="n"/>
      <c r="QGQ284" s="1132" t="n"/>
      <c r="QGR284" s="1132" t="n"/>
      <c r="QGS284" s="1132" t="n"/>
      <c r="QGT284" s="1132" t="n"/>
      <c r="QGU284" s="1132" t="n"/>
      <c r="QGV284" s="1132" t="n"/>
      <c r="QGW284" s="1132" t="n"/>
      <c r="QGX284" s="1132" t="n"/>
      <c r="QGY284" s="1132" t="n"/>
      <c r="QGZ284" s="1132" t="n"/>
      <c r="QHA284" s="1132" t="n"/>
      <c r="QHB284" s="1132" t="n"/>
      <c r="QHC284" s="1132" t="n"/>
      <c r="QHD284" s="1132" t="n"/>
      <c r="QHE284" s="1132" t="n"/>
      <c r="QHF284" s="1132" t="n"/>
      <c r="QHG284" s="1132" t="n"/>
      <c r="QHH284" s="1132" t="n"/>
      <c r="QHI284" s="1132" t="n"/>
      <c r="QHJ284" s="1132" t="n"/>
      <c r="QHK284" s="1132" t="n"/>
      <c r="QHL284" s="1132" t="n"/>
      <c r="QHM284" s="1132" t="n"/>
      <c r="QHN284" s="1132" t="n"/>
      <c r="QHO284" s="1132" t="n"/>
      <c r="QHP284" s="1132" t="n"/>
      <c r="QHQ284" s="1132" t="n"/>
      <c r="QHR284" s="1132" t="n"/>
      <c r="QHS284" s="1132" t="n"/>
      <c r="QHT284" s="1132" t="n"/>
      <c r="QHU284" s="1132" t="n"/>
      <c r="QHV284" s="1132" t="n"/>
      <c r="QHW284" s="1132" t="n"/>
      <c r="QHX284" s="1132" t="n"/>
      <c r="QHY284" s="1132" t="n"/>
      <c r="QHZ284" s="1132" t="n"/>
      <c r="QIA284" s="1132" t="n"/>
      <c r="QIB284" s="1132" t="n"/>
      <c r="QIC284" s="1132" t="n"/>
      <c r="QID284" s="1132" t="n"/>
      <c r="QIE284" s="1132" t="n"/>
      <c r="QIF284" s="1132" t="n"/>
      <c r="QIG284" s="1132" t="n"/>
      <c r="QIH284" s="1132" t="n"/>
      <c r="QII284" s="1132" t="n"/>
      <c r="QIJ284" s="1132" t="n"/>
      <c r="QIK284" s="1132" t="n"/>
      <c r="QIL284" s="1132" t="n"/>
      <c r="QIM284" s="1132" t="n"/>
      <c r="QIN284" s="1132" t="n"/>
      <c r="QIO284" s="1132" t="n"/>
      <c r="QIP284" s="1132" t="n"/>
      <c r="QIQ284" s="1132" t="n"/>
      <c r="QIR284" s="1132" t="n"/>
      <c r="QIS284" s="1132" t="n"/>
      <c r="QIT284" s="1132" t="n"/>
      <c r="QIU284" s="1132" t="n"/>
      <c r="QIV284" s="1132" t="n"/>
      <c r="QIW284" s="1132" t="n"/>
      <c r="QIX284" s="1132" t="n"/>
      <c r="QIY284" s="1132" t="n"/>
      <c r="QIZ284" s="1132" t="n"/>
      <c r="QJA284" s="1132" t="n"/>
      <c r="QJB284" s="1132" t="n"/>
      <c r="QJC284" s="1132" t="n"/>
      <c r="QJD284" s="1132" t="n"/>
      <c r="QJE284" s="1132" t="n"/>
      <c r="QJF284" s="1132" t="n"/>
      <c r="QJG284" s="1132" t="n"/>
      <c r="QJH284" s="1132" t="n"/>
      <c r="QJI284" s="1132" t="n"/>
      <c r="QJJ284" s="1132" t="n"/>
      <c r="QJK284" s="1132" t="n"/>
      <c r="QJL284" s="1132" t="n"/>
      <c r="QJM284" s="1132" t="n"/>
      <c r="QJN284" s="1132" t="n"/>
      <c r="QJO284" s="1132" t="n"/>
      <c r="QJP284" s="1132" t="n"/>
      <c r="QJQ284" s="1132" t="n"/>
      <c r="QJR284" s="1132" t="n"/>
      <c r="QJS284" s="1132" t="n"/>
      <c r="QJT284" s="1132" t="n"/>
      <c r="QJU284" s="1132" t="n"/>
      <c r="QJV284" s="1132" t="n"/>
      <c r="QJW284" s="1132" t="n"/>
      <c r="QJX284" s="1132" t="n"/>
      <c r="QJY284" s="1132" t="n"/>
      <c r="QJZ284" s="1132" t="n"/>
      <c r="QKA284" s="1132" t="n"/>
      <c r="QKB284" s="1132" t="n"/>
      <c r="QKC284" s="1132" t="n"/>
      <c r="QKD284" s="1132" t="n"/>
      <c r="QKE284" s="1132" t="n"/>
      <c r="QKF284" s="1132" t="n"/>
      <c r="QKG284" s="1132" t="n"/>
      <c r="QKH284" s="1132" t="n"/>
      <c r="QKI284" s="1132" t="n"/>
      <c r="QKJ284" s="1132" t="n"/>
      <c r="QKK284" s="1132" t="n"/>
      <c r="QKL284" s="1132" t="n"/>
      <c r="QKM284" s="1132" t="n"/>
      <c r="QKN284" s="1132" t="n"/>
      <c r="QKO284" s="1132" t="n"/>
      <c r="QKP284" s="1132" t="n"/>
      <c r="QKQ284" s="1132" t="n"/>
      <c r="QKR284" s="1132" t="n"/>
      <c r="QKS284" s="1132" t="n"/>
      <c r="QKT284" s="1132" t="n"/>
      <c r="QKU284" s="1132" t="n"/>
      <c r="QKV284" s="1132" t="n"/>
      <c r="QKW284" s="1132" t="n"/>
      <c r="QKX284" s="1132" t="n"/>
      <c r="QKY284" s="1132" t="n"/>
      <c r="QKZ284" s="1132" t="n"/>
      <c r="QLA284" s="1132" t="n"/>
      <c r="QLB284" s="1132" t="n"/>
      <c r="QLC284" s="1132" t="n"/>
      <c r="QLD284" s="1132" t="n"/>
      <c r="QLE284" s="1132" t="n"/>
      <c r="QLF284" s="1132" t="n"/>
      <c r="QLG284" s="1132" t="n"/>
      <c r="QLH284" s="1132" t="n"/>
      <c r="QLI284" s="1132" t="n"/>
      <c r="QLJ284" s="1132" t="n"/>
      <c r="QLK284" s="1132" t="n"/>
      <c r="QLL284" s="1132" t="n"/>
      <c r="QLM284" s="1132" t="n"/>
      <c r="QLN284" s="1132" t="n"/>
      <c r="QLO284" s="1132" t="n"/>
      <c r="QLP284" s="1132" t="n"/>
      <c r="QLQ284" s="1132" t="n"/>
      <c r="QLR284" s="1132" t="n"/>
      <c r="QLS284" s="1132" t="n"/>
      <c r="QLT284" s="1132" t="n"/>
      <c r="QLU284" s="1132" t="n"/>
      <c r="QLV284" s="1132" t="n"/>
      <c r="QLW284" s="1132" t="n"/>
      <c r="QLX284" s="1132" t="n"/>
      <c r="QLY284" s="1132" t="n"/>
      <c r="QLZ284" s="1132" t="n"/>
      <c r="QMA284" s="1132" t="n"/>
      <c r="QMB284" s="1132" t="n"/>
      <c r="QMC284" s="1132" t="n"/>
      <c r="QMD284" s="1132" t="n"/>
      <c r="QME284" s="1132" t="n"/>
      <c r="QMF284" s="1132" t="n"/>
      <c r="QMG284" s="1132" t="n"/>
      <c r="QMH284" s="1132" t="n"/>
      <c r="QMI284" s="1132" t="n"/>
      <c r="QMJ284" s="1132" t="n"/>
      <c r="QMK284" s="1132" t="n"/>
      <c r="QML284" s="1132" t="n"/>
      <c r="QMM284" s="1132" t="n"/>
      <c r="QMN284" s="1132" t="n"/>
      <c r="QMO284" s="1132" t="n"/>
      <c r="QMP284" s="1132" t="n"/>
      <c r="QMQ284" s="1132" t="n"/>
      <c r="QMR284" s="1132" t="n"/>
      <c r="QMS284" s="1132" t="n"/>
      <c r="QMT284" s="1132" t="n"/>
      <c r="QMU284" s="1132" t="n"/>
      <c r="QMV284" s="1132" t="n"/>
      <c r="QMW284" s="1132" t="n"/>
      <c r="QMX284" s="1132" t="n"/>
      <c r="QMY284" s="1132" t="n"/>
      <c r="QMZ284" s="1132" t="n"/>
      <c r="QNA284" s="1132" t="n"/>
      <c r="QNB284" s="1132" t="n"/>
      <c r="QNC284" s="1132" t="n"/>
      <c r="QND284" s="1132" t="n"/>
      <c r="QNE284" s="1132" t="n"/>
      <c r="QNF284" s="1132" t="n"/>
      <c r="QNG284" s="1132" t="n"/>
      <c r="QNH284" s="1132" t="n"/>
      <c r="QNI284" s="1132" t="n"/>
      <c r="QNJ284" s="1132" t="n"/>
      <c r="QNK284" s="1132" t="n"/>
      <c r="QNL284" s="1132" t="n"/>
      <c r="QNM284" s="1132" t="n"/>
      <c r="QNN284" s="1132" t="n"/>
      <c r="QNO284" s="1132" t="n"/>
      <c r="QNP284" s="1132" t="n"/>
      <c r="QNQ284" s="1132" t="n"/>
      <c r="QNR284" s="1132" t="n"/>
      <c r="QNS284" s="1132" t="n"/>
      <c r="QNT284" s="1132" t="n"/>
      <c r="QNU284" s="1132" t="n"/>
      <c r="QNV284" s="1132" t="n"/>
      <c r="QNW284" s="1132" t="n"/>
      <c r="QNX284" s="1132" t="n"/>
      <c r="QNY284" s="1132" t="n"/>
      <c r="QNZ284" s="1132" t="n"/>
      <c r="QOA284" s="1132" t="n"/>
      <c r="QOB284" s="1132" t="n"/>
      <c r="QOC284" s="1132" t="n"/>
      <c r="QOD284" s="1132" t="n"/>
      <c r="QOE284" s="1132" t="n"/>
      <c r="QOF284" s="1132" t="n"/>
      <c r="QOG284" s="1132" t="n"/>
      <c r="QOH284" s="1132" t="n"/>
      <c r="QOI284" s="1132" t="n"/>
      <c r="QOJ284" s="1132" t="n"/>
      <c r="QOK284" s="1132" t="n"/>
      <c r="QOL284" s="1132" t="n"/>
      <c r="QOM284" s="1132" t="n"/>
      <c r="QON284" s="1132" t="n"/>
      <c r="QOO284" s="1132" t="n"/>
      <c r="QOP284" s="1132" t="n"/>
      <c r="QOQ284" s="1132" t="n"/>
      <c r="QOR284" s="1132" t="n"/>
      <c r="QOS284" s="1132" t="n"/>
      <c r="QOT284" s="1132" t="n"/>
      <c r="QOU284" s="1132" t="n"/>
      <c r="QOV284" s="1132" t="n"/>
      <c r="QOW284" s="1132" t="n"/>
      <c r="QOX284" s="1132" t="n"/>
      <c r="QOY284" s="1132" t="n"/>
      <c r="QOZ284" s="1132" t="n"/>
      <c r="QPA284" s="1132" t="n"/>
      <c r="QPB284" s="1132" t="n"/>
      <c r="QPC284" s="1132" t="n"/>
      <c r="QPD284" s="1132" t="n"/>
      <c r="QPE284" s="1132" t="n"/>
      <c r="QPF284" s="1132" t="n"/>
      <c r="QPG284" s="1132" t="n"/>
      <c r="QPH284" s="1132" t="n"/>
      <c r="QPI284" s="1132" t="n"/>
      <c r="QPJ284" s="1132" t="n"/>
      <c r="QPK284" s="1132" t="n"/>
      <c r="QPL284" s="1132" t="n"/>
      <c r="QPM284" s="1132" t="n"/>
      <c r="QPN284" s="1132" t="n"/>
      <c r="QPO284" s="1132" t="n"/>
      <c r="QPP284" s="1132" t="n"/>
      <c r="QPQ284" s="1132" t="n"/>
      <c r="QPR284" s="1132" t="n"/>
      <c r="QPS284" s="1132" t="n"/>
      <c r="QPT284" s="1132" t="n"/>
      <c r="QPU284" s="1132" t="n"/>
      <c r="QPV284" s="1132" t="n"/>
      <c r="QPW284" s="1132" t="n"/>
      <c r="QPX284" s="1132" t="n"/>
      <c r="QPY284" s="1132" t="n"/>
      <c r="QPZ284" s="1132" t="n"/>
      <c r="QQA284" s="1132" t="n"/>
      <c r="QQB284" s="1132" t="n"/>
      <c r="QQC284" s="1132" t="n"/>
      <c r="QQD284" s="1132" t="n"/>
      <c r="QQE284" s="1132" t="n"/>
      <c r="QQF284" s="1132" t="n"/>
      <c r="QQG284" s="1132" t="n"/>
      <c r="QQH284" s="1132" t="n"/>
      <c r="QQI284" s="1132" t="n"/>
      <c r="QQJ284" s="1132" t="n"/>
      <c r="QQK284" s="1132" t="n"/>
      <c r="QQL284" s="1132" t="n"/>
      <c r="QQM284" s="1132" t="n"/>
      <c r="QQN284" s="1132" t="n"/>
      <c r="QQO284" s="1132" t="n"/>
      <c r="QQP284" s="1132" t="n"/>
      <c r="QQQ284" s="1132" t="n"/>
      <c r="QQR284" s="1132" t="n"/>
      <c r="QQS284" s="1132" t="n"/>
      <c r="QQT284" s="1132" t="n"/>
      <c r="QQU284" s="1132" t="n"/>
      <c r="QQV284" s="1132" t="n"/>
      <c r="QQW284" s="1132" t="n"/>
      <c r="QQX284" s="1132" t="n"/>
      <c r="QQY284" s="1132" t="n"/>
      <c r="QQZ284" s="1132" t="n"/>
      <c r="QRA284" s="1132" t="n"/>
      <c r="QRB284" s="1132" t="n"/>
      <c r="QRC284" s="1132" t="n"/>
      <c r="QRD284" s="1132" t="n"/>
      <c r="QRE284" s="1132" t="n"/>
      <c r="QRF284" s="1132" t="n"/>
      <c r="QRG284" s="1132" t="n"/>
      <c r="QRH284" s="1132" t="n"/>
      <c r="QRI284" s="1132" t="n"/>
      <c r="QRJ284" s="1132" t="n"/>
      <c r="QRK284" s="1132" t="n"/>
      <c r="QRL284" s="1132" t="n"/>
      <c r="QRM284" s="1132" t="n"/>
      <c r="QRN284" s="1132" t="n"/>
      <c r="QRO284" s="1132" t="n"/>
      <c r="QRP284" s="1132" t="n"/>
      <c r="QRQ284" s="1132" t="n"/>
      <c r="QRR284" s="1132" t="n"/>
      <c r="QRS284" s="1132" t="n"/>
      <c r="QRT284" s="1132" t="n"/>
      <c r="QRU284" s="1132" t="n"/>
      <c r="QRV284" s="1132" t="n"/>
      <c r="QRW284" s="1132" t="n"/>
      <c r="QRX284" s="1132" t="n"/>
      <c r="QRY284" s="1132" t="n"/>
      <c r="QRZ284" s="1132" t="n"/>
      <c r="QSA284" s="1132" t="n"/>
      <c r="QSB284" s="1132" t="n"/>
      <c r="QSC284" s="1132" t="n"/>
      <c r="QSD284" s="1132" t="n"/>
      <c r="QSE284" s="1132" t="n"/>
      <c r="QSF284" s="1132" t="n"/>
      <c r="QSG284" s="1132" t="n"/>
      <c r="QSH284" s="1132" t="n"/>
      <c r="QSI284" s="1132" t="n"/>
      <c r="QSJ284" s="1132" t="n"/>
      <c r="QSK284" s="1132" t="n"/>
      <c r="QSL284" s="1132" t="n"/>
      <c r="QSM284" s="1132" t="n"/>
      <c r="QSN284" s="1132" t="n"/>
      <c r="QSO284" s="1132" t="n"/>
      <c r="QSP284" s="1132" t="n"/>
      <c r="QSQ284" s="1132" t="n"/>
      <c r="QSR284" s="1132" t="n"/>
      <c r="QSS284" s="1132" t="n"/>
      <c r="QST284" s="1132" t="n"/>
      <c r="QSU284" s="1132" t="n"/>
      <c r="QSV284" s="1132" t="n"/>
      <c r="QSW284" s="1132" t="n"/>
      <c r="QSX284" s="1132" t="n"/>
      <c r="QSY284" s="1132" t="n"/>
      <c r="QSZ284" s="1132" t="n"/>
      <c r="QTA284" s="1132" t="n"/>
      <c r="QTB284" s="1132" t="n"/>
      <c r="QTC284" s="1132" t="n"/>
      <c r="QTD284" s="1132" t="n"/>
      <c r="QTE284" s="1132" t="n"/>
      <c r="QTF284" s="1132" t="n"/>
      <c r="QTG284" s="1132" t="n"/>
      <c r="QTH284" s="1132" t="n"/>
      <c r="QTI284" s="1132" t="n"/>
      <c r="QTJ284" s="1132" t="n"/>
      <c r="QTK284" s="1132" t="n"/>
      <c r="QTL284" s="1132" t="n"/>
      <c r="QTM284" s="1132" t="n"/>
      <c r="QTN284" s="1132" t="n"/>
      <c r="QTO284" s="1132" t="n"/>
      <c r="QTP284" s="1132" t="n"/>
      <c r="QTQ284" s="1132" t="n"/>
      <c r="QTR284" s="1132" t="n"/>
      <c r="QTS284" s="1132" t="n"/>
      <c r="QTT284" s="1132" t="n"/>
      <c r="QTU284" s="1132" t="n"/>
      <c r="QTV284" s="1132" t="n"/>
      <c r="QTW284" s="1132" t="n"/>
      <c r="QTX284" s="1132" t="n"/>
      <c r="QTY284" s="1132" t="n"/>
      <c r="QTZ284" s="1132" t="n"/>
      <c r="QUA284" s="1132" t="n"/>
      <c r="QUB284" s="1132" t="n"/>
      <c r="QUC284" s="1132" t="n"/>
      <c r="QUD284" s="1132" t="n"/>
      <c r="QUE284" s="1132" t="n"/>
      <c r="QUF284" s="1132" t="n"/>
      <c r="QUG284" s="1132" t="n"/>
      <c r="QUH284" s="1132" t="n"/>
      <c r="QUI284" s="1132" t="n"/>
      <c r="QUJ284" s="1132" t="n"/>
      <c r="QUK284" s="1132" t="n"/>
      <c r="QUL284" s="1132" t="n"/>
      <c r="QUM284" s="1132" t="n"/>
      <c r="QUN284" s="1132" t="n"/>
      <c r="QUO284" s="1132" t="n"/>
      <c r="QUP284" s="1132" t="n"/>
      <c r="QUQ284" s="1132" t="n"/>
      <c r="QUR284" s="1132" t="n"/>
      <c r="QUS284" s="1132" t="n"/>
      <c r="QUT284" s="1132" t="n"/>
      <c r="QUU284" s="1132" t="n"/>
      <c r="QUV284" s="1132" t="n"/>
      <c r="QUW284" s="1132" t="n"/>
      <c r="QUX284" s="1132" t="n"/>
      <c r="QUY284" s="1132" t="n"/>
      <c r="QUZ284" s="1132" t="n"/>
      <c r="QVA284" s="1132" t="n"/>
      <c r="QVB284" s="1132" t="n"/>
      <c r="QVC284" s="1132" t="n"/>
      <c r="QVD284" s="1132" t="n"/>
      <c r="QVE284" s="1132" t="n"/>
      <c r="QVF284" s="1132" t="n"/>
      <c r="QVG284" s="1132" t="n"/>
      <c r="QVH284" s="1132" t="n"/>
      <c r="QVI284" s="1132" t="n"/>
      <c r="QVJ284" s="1132" t="n"/>
      <c r="QVK284" s="1132" t="n"/>
      <c r="QVL284" s="1132" t="n"/>
      <c r="QVM284" s="1132" t="n"/>
      <c r="QVN284" s="1132" t="n"/>
      <c r="QVO284" s="1132" t="n"/>
      <c r="QVP284" s="1132" t="n"/>
      <c r="QVQ284" s="1132" t="n"/>
      <c r="QVR284" s="1132" t="n"/>
      <c r="QVS284" s="1132" t="n"/>
      <c r="QVT284" s="1132" t="n"/>
      <c r="QVU284" s="1132" t="n"/>
      <c r="QVV284" s="1132" t="n"/>
      <c r="QVW284" s="1132" t="n"/>
      <c r="QVX284" s="1132" t="n"/>
      <c r="QVY284" s="1132" t="n"/>
      <c r="QVZ284" s="1132" t="n"/>
      <c r="QWA284" s="1132" t="n"/>
      <c r="QWB284" s="1132" t="n"/>
      <c r="QWC284" s="1132" t="n"/>
      <c r="QWD284" s="1132" t="n"/>
      <c r="QWE284" s="1132" t="n"/>
      <c r="QWF284" s="1132" t="n"/>
      <c r="QWG284" s="1132" t="n"/>
      <c r="QWH284" s="1132" t="n"/>
      <c r="QWI284" s="1132" t="n"/>
      <c r="QWJ284" s="1132" t="n"/>
      <c r="QWK284" s="1132" t="n"/>
      <c r="QWL284" s="1132" t="n"/>
      <c r="QWM284" s="1132" t="n"/>
      <c r="QWN284" s="1132" t="n"/>
      <c r="QWO284" s="1132" t="n"/>
      <c r="QWP284" s="1132" t="n"/>
      <c r="QWQ284" s="1132" t="n"/>
      <c r="QWR284" s="1132" t="n"/>
      <c r="QWS284" s="1132" t="n"/>
      <c r="QWT284" s="1132" t="n"/>
      <c r="QWU284" s="1132" t="n"/>
      <c r="QWV284" s="1132" t="n"/>
      <c r="QWW284" s="1132" t="n"/>
      <c r="QWX284" s="1132" t="n"/>
      <c r="QWY284" s="1132" t="n"/>
      <c r="QWZ284" s="1132" t="n"/>
      <c r="QXA284" s="1132" t="n"/>
      <c r="QXB284" s="1132" t="n"/>
      <c r="QXC284" s="1132" t="n"/>
      <c r="QXD284" s="1132" t="n"/>
      <c r="QXE284" s="1132" t="n"/>
      <c r="QXF284" s="1132" t="n"/>
      <c r="QXG284" s="1132" t="n"/>
      <c r="QXH284" s="1132" t="n"/>
      <c r="QXI284" s="1132" t="n"/>
      <c r="QXJ284" s="1132" t="n"/>
      <c r="QXK284" s="1132" t="n"/>
      <c r="QXL284" s="1132" t="n"/>
      <c r="QXM284" s="1132" t="n"/>
      <c r="QXN284" s="1132" t="n"/>
      <c r="QXO284" s="1132" t="n"/>
      <c r="QXP284" s="1132" t="n"/>
      <c r="QXQ284" s="1132" t="n"/>
      <c r="QXR284" s="1132" t="n"/>
      <c r="QXS284" s="1132" t="n"/>
      <c r="QXT284" s="1132" t="n"/>
      <c r="QXU284" s="1132" t="n"/>
      <c r="QXV284" s="1132" t="n"/>
      <c r="QXW284" s="1132" t="n"/>
      <c r="QXX284" s="1132" t="n"/>
      <c r="QXY284" s="1132" t="n"/>
      <c r="QXZ284" s="1132" t="n"/>
      <c r="QYA284" s="1132" t="n"/>
      <c r="QYB284" s="1132" t="n"/>
      <c r="QYC284" s="1132" t="n"/>
      <c r="QYD284" s="1132" t="n"/>
      <c r="QYE284" s="1132" t="n"/>
      <c r="QYF284" s="1132" t="n"/>
      <c r="QYG284" s="1132" t="n"/>
      <c r="QYH284" s="1132" t="n"/>
      <c r="QYI284" s="1132" t="n"/>
      <c r="QYJ284" s="1132" t="n"/>
      <c r="QYK284" s="1132" t="n"/>
      <c r="QYL284" s="1132" t="n"/>
      <c r="QYM284" s="1132" t="n"/>
      <c r="QYN284" s="1132" t="n"/>
      <c r="QYO284" s="1132" t="n"/>
      <c r="QYP284" s="1132" t="n"/>
      <c r="QYQ284" s="1132" t="n"/>
      <c r="QYR284" s="1132" t="n"/>
      <c r="QYS284" s="1132" t="n"/>
      <c r="QYT284" s="1132" t="n"/>
      <c r="QYU284" s="1132" t="n"/>
      <c r="QYV284" s="1132" t="n"/>
      <c r="QYW284" s="1132" t="n"/>
      <c r="QYX284" s="1132" t="n"/>
      <c r="QYY284" s="1132" t="n"/>
      <c r="QYZ284" s="1132" t="n"/>
      <c r="QZA284" s="1132" t="n"/>
      <c r="QZB284" s="1132" t="n"/>
      <c r="QZC284" s="1132" t="n"/>
      <c r="QZD284" s="1132" t="n"/>
      <c r="QZE284" s="1132" t="n"/>
      <c r="QZF284" s="1132" t="n"/>
      <c r="QZG284" s="1132" t="n"/>
      <c r="QZH284" s="1132" t="n"/>
      <c r="QZI284" s="1132" t="n"/>
      <c r="QZJ284" s="1132" t="n"/>
      <c r="QZK284" s="1132" t="n"/>
      <c r="QZL284" s="1132" t="n"/>
      <c r="QZM284" s="1132" t="n"/>
      <c r="QZN284" s="1132" t="n"/>
      <c r="QZO284" s="1132" t="n"/>
      <c r="QZP284" s="1132" t="n"/>
      <c r="QZQ284" s="1132" t="n"/>
      <c r="QZR284" s="1132" t="n"/>
      <c r="QZS284" s="1132" t="n"/>
      <c r="QZT284" s="1132" t="n"/>
      <c r="QZU284" s="1132" t="n"/>
      <c r="QZV284" s="1132" t="n"/>
      <c r="QZW284" s="1132" t="n"/>
      <c r="QZX284" s="1132" t="n"/>
      <c r="QZY284" s="1132" t="n"/>
      <c r="QZZ284" s="1132" t="n"/>
      <c r="RAA284" s="1132" t="n"/>
      <c r="RAB284" s="1132" t="n"/>
      <c r="RAC284" s="1132" t="n"/>
      <c r="RAD284" s="1132" t="n"/>
      <c r="RAE284" s="1132" t="n"/>
      <c r="RAF284" s="1132" t="n"/>
      <c r="RAG284" s="1132" t="n"/>
      <c r="RAH284" s="1132" t="n"/>
      <c r="RAI284" s="1132" t="n"/>
      <c r="RAJ284" s="1132" t="n"/>
      <c r="RAK284" s="1132" t="n"/>
      <c r="RAL284" s="1132" t="n"/>
      <c r="RAM284" s="1132" t="n"/>
      <c r="RAN284" s="1132" t="n"/>
      <c r="RAO284" s="1132" t="n"/>
      <c r="RAP284" s="1132" t="n"/>
      <c r="RAQ284" s="1132" t="n"/>
      <c r="RAR284" s="1132" t="n"/>
      <c r="RAS284" s="1132" t="n"/>
      <c r="RAT284" s="1132" t="n"/>
      <c r="RAU284" s="1132" t="n"/>
      <c r="RAV284" s="1132" t="n"/>
      <c r="RAW284" s="1132" t="n"/>
      <c r="RAX284" s="1132" t="n"/>
      <c r="RAY284" s="1132" t="n"/>
      <c r="RAZ284" s="1132" t="n"/>
      <c r="RBA284" s="1132" t="n"/>
      <c r="RBB284" s="1132" t="n"/>
      <c r="RBC284" s="1132" t="n"/>
      <c r="RBD284" s="1132" t="n"/>
      <c r="RBE284" s="1132" t="n"/>
      <c r="RBF284" s="1132" t="n"/>
      <c r="RBG284" s="1132" t="n"/>
      <c r="RBH284" s="1132" t="n"/>
      <c r="RBI284" s="1132" t="n"/>
      <c r="RBJ284" s="1132" t="n"/>
      <c r="RBK284" s="1132" t="n"/>
      <c r="RBL284" s="1132" t="n"/>
      <c r="RBM284" s="1132" t="n"/>
      <c r="RBN284" s="1132" t="n"/>
      <c r="RBO284" s="1132" t="n"/>
      <c r="RBP284" s="1132" t="n"/>
      <c r="RBQ284" s="1132" t="n"/>
      <c r="RBR284" s="1132" t="n"/>
      <c r="RBS284" s="1132" t="n"/>
      <c r="RBT284" s="1132" t="n"/>
      <c r="RBU284" s="1132" t="n"/>
      <c r="RBV284" s="1132" t="n"/>
      <c r="RBW284" s="1132" t="n"/>
      <c r="RBX284" s="1132" t="n"/>
      <c r="RBY284" s="1132" t="n"/>
      <c r="RBZ284" s="1132" t="n"/>
      <c r="RCA284" s="1132" t="n"/>
      <c r="RCB284" s="1132" t="n"/>
      <c r="RCC284" s="1132" t="n"/>
      <c r="RCD284" s="1132" t="n"/>
      <c r="RCE284" s="1132" t="n"/>
      <c r="RCF284" s="1132" t="n"/>
      <c r="RCG284" s="1132" t="n"/>
      <c r="RCH284" s="1132" t="n"/>
      <c r="RCI284" s="1132" t="n"/>
      <c r="RCJ284" s="1132" t="n"/>
      <c r="RCK284" s="1132" t="n"/>
      <c r="RCL284" s="1132" t="n"/>
      <c r="RCM284" s="1132" t="n"/>
      <c r="RCN284" s="1132" t="n"/>
      <c r="RCO284" s="1132" t="n"/>
      <c r="RCP284" s="1132" t="n"/>
      <c r="RCQ284" s="1132" t="n"/>
      <c r="RCR284" s="1132" t="n"/>
      <c r="RCS284" s="1132" t="n"/>
      <c r="RCT284" s="1132" t="n"/>
      <c r="RCU284" s="1132" t="n"/>
      <c r="RCV284" s="1132" t="n"/>
      <c r="RCW284" s="1132" t="n"/>
      <c r="RCX284" s="1132" t="n"/>
      <c r="RCY284" s="1132" t="n"/>
      <c r="RCZ284" s="1132" t="n"/>
      <c r="RDA284" s="1132" t="n"/>
      <c r="RDB284" s="1132" t="n"/>
      <c r="RDC284" s="1132" t="n"/>
      <c r="RDD284" s="1132" t="n"/>
      <c r="RDE284" s="1132" t="n"/>
      <c r="RDF284" s="1132" t="n"/>
      <c r="RDG284" s="1132" t="n"/>
      <c r="RDH284" s="1132" t="n"/>
      <c r="RDI284" s="1132" t="n"/>
      <c r="RDJ284" s="1132" t="n"/>
      <c r="RDK284" s="1132" t="n"/>
      <c r="RDL284" s="1132" t="n"/>
      <c r="RDM284" s="1132" t="n"/>
      <c r="RDN284" s="1132" t="n"/>
      <c r="RDO284" s="1132" t="n"/>
      <c r="RDP284" s="1132" t="n"/>
      <c r="RDQ284" s="1132" t="n"/>
      <c r="RDR284" s="1132" t="n"/>
      <c r="RDS284" s="1132" t="n"/>
      <c r="RDT284" s="1132" t="n"/>
      <c r="RDU284" s="1132" t="n"/>
      <c r="RDV284" s="1132" t="n"/>
      <c r="RDW284" s="1132" t="n"/>
      <c r="RDX284" s="1132" t="n"/>
      <c r="RDY284" s="1132" t="n"/>
      <c r="RDZ284" s="1132" t="n"/>
      <c r="REA284" s="1132" t="n"/>
      <c r="REB284" s="1132" t="n"/>
      <c r="REC284" s="1132" t="n"/>
      <c r="RED284" s="1132" t="n"/>
      <c r="REE284" s="1132" t="n"/>
      <c r="REF284" s="1132" t="n"/>
      <c r="REG284" s="1132" t="n"/>
      <c r="REH284" s="1132" t="n"/>
      <c r="REI284" s="1132" t="n"/>
      <c r="REJ284" s="1132" t="n"/>
      <c r="REK284" s="1132" t="n"/>
      <c r="REL284" s="1132" t="n"/>
      <c r="REM284" s="1132" t="n"/>
      <c r="REN284" s="1132" t="n"/>
      <c r="REO284" s="1132" t="n"/>
      <c r="REP284" s="1132" t="n"/>
      <c r="REQ284" s="1132" t="n"/>
      <c r="RER284" s="1132" t="n"/>
      <c r="RES284" s="1132" t="n"/>
      <c r="RET284" s="1132" t="n"/>
      <c r="REU284" s="1132" t="n"/>
      <c r="REV284" s="1132" t="n"/>
      <c r="REW284" s="1132" t="n"/>
      <c r="REX284" s="1132" t="n"/>
      <c r="REY284" s="1132" t="n"/>
      <c r="REZ284" s="1132" t="n"/>
      <c r="RFA284" s="1132" t="n"/>
      <c r="RFB284" s="1132" t="n"/>
      <c r="RFC284" s="1132" t="n"/>
      <c r="RFD284" s="1132" t="n"/>
      <c r="RFE284" s="1132" t="n"/>
      <c r="RFF284" s="1132" t="n"/>
      <c r="RFG284" s="1132" t="n"/>
      <c r="RFH284" s="1132" t="n"/>
      <c r="RFI284" s="1132" t="n"/>
      <c r="RFJ284" s="1132" t="n"/>
      <c r="RFK284" s="1132" t="n"/>
      <c r="RFL284" s="1132" t="n"/>
      <c r="RFM284" s="1132" t="n"/>
      <c r="RFN284" s="1132" t="n"/>
      <c r="RFO284" s="1132" t="n"/>
      <c r="RFP284" s="1132" t="n"/>
      <c r="RFQ284" s="1132" t="n"/>
      <c r="RFR284" s="1132" t="n"/>
      <c r="RFS284" s="1132" t="n"/>
      <c r="RFT284" s="1132" t="n"/>
      <c r="RFU284" s="1132" t="n"/>
      <c r="RFV284" s="1132" t="n"/>
      <c r="RFW284" s="1132" t="n"/>
      <c r="RFX284" s="1132" t="n"/>
      <c r="RFY284" s="1132" t="n"/>
      <c r="RFZ284" s="1132" t="n"/>
      <c r="RGA284" s="1132" t="n"/>
      <c r="RGB284" s="1132" t="n"/>
      <c r="RGC284" s="1132" t="n"/>
      <c r="RGD284" s="1132" t="n"/>
      <c r="RGE284" s="1132" t="n"/>
      <c r="RGF284" s="1132" t="n"/>
      <c r="RGG284" s="1132" t="n"/>
      <c r="RGH284" s="1132" t="n"/>
      <c r="RGI284" s="1132" t="n"/>
      <c r="RGJ284" s="1132" t="n"/>
      <c r="RGK284" s="1132" t="n"/>
      <c r="RGL284" s="1132" t="n"/>
      <c r="RGM284" s="1132" t="n"/>
      <c r="RGN284" s="1132" t="n"/>
      <c r="RGO284" s="1132" t="n"/>
      <c r="RGP284" s="1132" t="n"/>
      <c r="RGQ284" s="1132" t="n"/>
      <c r="RGR284" s="1132" t="n"/>
      <c r="RGS284" s="1132" t="n"/>
      <c r="RGT284" s="1132" t="n"/>
      <c r="RGU284" s="1132" t="n"/>
      <c r="RGV284" s="1132" t="n"/>
      <c r="RGW284" s="1132" t="n"/>
      <c r="RGX284" s="1132" t="n"/>
      <c r="RGY284" s="1132" t="n"/>
      <c r="RGZ284" s="1132" t="n"/>
      <c r="RHA284" s="1132" t="n"/>
      <c r="RHB284" s="1132" t="n"/>
      <c r="RHC284" s="1132" t="n"/>
      <c r="RHD284" s="1132" t="n"/>
      <c r="RHE284" s="1132" t="n"/>
      <c r="RHF284" s="1132" t="n"/>
      <c r="RHG284" s="1132" t="n"/>
      <c r="RHH284" s="1132" t="n"/>
      <c r="RHI284" s="1132" t="n"/>
      <c r="RHJ284" s="1132" t="n"/>
      <c r="RHK284" s="1132" t="n"/>
      <c r="RHL284" s="1132" t="n"/>
      <c r="RHM284" s="1132" t="n"/>
      <c r="RHN284" s="1132" t="n"/>
      <c r="RHO284" s="1132" t="n"/>
      <c r="RHP284" s="1132" t="n"/>
      <c r="RHQ284" s="1132" t="n"/>
      <c r="RHR284" s="1132" t="n"/>
      <c r="RHS284" s="1132" t="n"/>
      <c r="RHT284" s="1132" t="n"/>
      <c r="RHU284" s="1132" t="n"/>
      <c r="RHV284" s="1132" t="n"/>
      <c r="RHW284" s="1132" t="n"/>
      <c r="RHX284" s="1132" t="n"/>
      <c r="RHY284" s="1132" t="n"/>
      <c r="RHZ284" s="1132" t="n"/>
      <c r="RIA284" s="1132" t="n"/>
      <c r="RIB284" s="1132" t="n"/>
      <c r="RIC284" s="1132" t="n"/>
      <c r="RID284" s="1132" t="n"/>
      <c r="RIE284" s="1132" t="n"/>
      <c r="RIF284" s="1132" t="n"/>
      <c r="RIG284" s="1132" t="n"/>
      <c r="RIH284" s="1132" t="n"/>
      <c r="RII284" s="1132" t="n"/>
      <c r="RIJ284" s="1132" t="n"/>
      <c r="RIK284" s="1132" t="n"/>
      <c r="RIL284" s="1132" t="n"/>
      <c r="RIM284" s="1132" t="n"/>
      <c r="RIN284" s="1132" t="n"/>
      <c r="RIO284" s="1132" t="n"/>
      <c r="RIP284" s="1132" t="n"/>
      <c r="RIQ284" s="1132" t="n"/>
      <c r="RIR284" s="1132" t="n"/>
      <c r="RIS284" s="1132" t="n"/>
      <c r="RIT284" s="1132" t="n"/>
      <c r="RIU284" s="1132" t="n"/>
      <c r="RIV284" s="1132" t="n"/>
      <c r="RIW284" s="1132" t="n"/>
      <c r="RIX284" s="1132" t="n"/>
      <c r="RIY284" s="1132" t="n"/>
      <c r="RIZ284" s="1132" t="n"/>
      <c r="RJA284" s="1132" t="n"/>
      <c r="RJB284" s="1132" t="n"/>
      <c r="RJC284" s="1132" t="n"/>
      <c r="RJD284" s="1132" t="n"/>
      <c r="RJE284" s="1132" t="n"/>
      <c r="RJF284" s="1132" t="n"/>
      <c r="RJG284" s="1132" t="n"/>
      <c r="RJH284" s="1132" t="n"/>
      <c r="RJI284" s="1132" t="n"/>
      <c r="RJJ284" s="1132" t="n"/>
      <c r="RJK284" s="1132" t="n"/>
      <c r="RJL284" s="1132" t="n"/>
      <c r="RJM284" s="1132" t="n"/>
      <c r="RJN284" s="1132" t="n"/>
      <c r="RJO284" s="1132" t="n"/>
      <c r="RJP284" s="1132" t="n"/>
      <c r="RJQ284" s="1132" t="n"/>
      <c r="RJR284" s="1132" t="n"/>
      <c r="RJS284" s="1132" t="n"/>
      <c r="RJT284" s="1132" t="n"/>
      <c r="RJU284" s="1132" t="n"/>
      <c r="RJV284" s="1132" t="n"/>
      <c r="RJW284" s="1132" t="n"/>
      <c r="RJX284" s="1132" t="n"/>
      <c r="RJY284" s="1132" t="n"/>
      <c r="RJZ284" s="1132" t="n"/>
      <c r="RKA284" s="1132" t="n"/>
      <c r="RKB284" s="1132" t="n"/>
      <c r="RKC284" s="1132" t="n"/>
      <c r="RKD284" s="1132" t="n"/>
      <c r="RKE284" s="1132" t="n"/>
      <c r="RKF284" s="1132" t="n"/>
      <c r="RKG284" s="1132" t="n"/>
      <c r="RKH284" s="1132" t="n"/>
      <c r="RKI284" s="1132" t="n"/>
      <c r="RKJ284" s="1132" t="n"/>
      <c r="RKK284" s="1132" t="n"/>
      <c r="RKL284" s="1132" t="n"/>
      <c r="RKM284" s="1132" t="n"/>
      <c r="RKN284" s="1132" t="n"/>
      <c r="RKO284" s="1132" t="n"/>
      <c r="RKP284" s="1132" t="n"/>
      <c r="RKQ284" s="1132" t="n"/>
      <c r="RKR284" s="1132" t="n"/>
      <c r="RKS284" s="1132" t="n"/>
      <c r="RKT284" s="1132" t="n"/>
      <c r="RKU284" s="1132" t="n"/>
      <c r="RKV284" s="1132" t="n"/>
      <c r="RKW284" s="1132" t="n"/>
      <c r="RKX284" s="1132" t="n"/>
      <c r="RKY284" s="1132" t="n"/>
      <c r="RKZ284" s="1132" t="n"/>
      <c r="RLA284" s="1132" t="n"/>
      <c r="RLB284" s="1132" t="n"/>
      <c r="RLC284" s="1132" t="n"/>
      <c r="RLD284" s="1132" t="n"/>
      <c r="RLE284" s="1132" t="n"/>
      <c r="RLF284" s="1132" t="n"/>
      <c r="RLG284" s="1132" t="n"/>
      <c r="RLH284" s="1132" t="n"/>
      <c r="RLI284" s="1132" t="n"/>
      <c r="RLJ284" s="1132" t="n"/>
      <c r="RLK284" s="1132" t="n"/>
      <c r="RLL284" s="1132" t="n"/>
      <c r="RLM284" s="1132" t="n"/>
      <c r="RLN284" s="1132" t="n"/>
      <c r="RLO284" s="1132" t="n"/>
      <c r="RLP284" s="1132" t="n"/>
      <c r="RLQ284" s="1132" t="n"/>
      <c r="RLR284" s="1132" t="n"/>
      <c r="RLS284" s="1132" t="n"/>
      <c r="RLT284" s="1132" t="n"/>
      <c r="RLU284" s="1132" t="n"/>
      <c r="RLV284" s="1132" t="n"/>
      <c r="RLW284" s="1132" t="n"/>
      <c r="RLX284" s="1132" t="n"/>
      <c r="RLY284" s="1132" t="n"/>
      <c r="RLZ284" s="1132" t="n"/>
      <c r="RMA284" s="1132" t="n"/>
      <c r="RMB284" s="1132" t="n"/>
      <c r="RMC284" s="1132" t="n"/>
      <c r="RMD284" s="1132" t="n"/>
      <c r="RME284" s="1132" t="n"/>
      <c r="RMF284" s="1132" t="n"/>
      <c r="RMG284" s="1132" t="n"/>
      <c r="RMH284" s="1132" t="n"/>
      <c r="RMI284" s="1132" t="n"/>
      <c r="RMJ284" s="1132" t="n"/>
      <c r="RMK284" s="1132" t="n"/>
      <c r="RML284" s="1132" t="n"/>
      <c r="RMM284" s="1132" t="n"/>
      <c r="RMN284" s="1132" t="n"/>
      <c r="RMO284" s="1132" t="n"/>
      <c r="RMP284" s="1132" t="n"/>
      <c r="RMQ284" s="1132" t="n"/>
      <c r="RMR284" s="1132" t="n"/>
      <c r="RMS284" s="1132" t="n"/>
      <c r="RMT284" s="1132" t="n"/>
      <c r="RMU284" s="1132" t="n"/>
      <c r="RMV284" s="1132" t="n"/>
      <c r="RMW284" s="1132" t="n"/>
      <c r="RMX284" s="1132" t="n"/>
      <c r="RMY284" s="1132" t="n"/>
      <c r="RMZ284" s="1132" t="n"/>
      <c r="RNA284" s="1132" t="n"/>
      <c r="RNB284" s="1132" t="n"/>
      <c r="RNC284" s="1132" t="n"/>
      <c r="RND284" s="1132" t="n"/>
      <c r="RNE284" s="1132" t="n"/>
      <c r="RNF284" s="1132" t="n"/>
      <c r="RNG284" s="1132" t="n"/>
      <c r="RNH284" s="1132" t="n"/>
      <c r="RNI284" s="1132" t="n"/>
      <c r="RNJ284" s="1132" t="n"/>
      <c r="RNK284" s="1132" t="n"/>
      <c r="RNL284" s="1132" t="n"/>
      <c r="RNM284" s="1132" t="n"/>
      <c r="RNN284" s="1132" t="n"/>
      <c r="RNO284" s="1132" t="n"/>
      <c r="RNP284" s="1132" t="n"/>
      <c r="RNQ284" s="1132" t="n"/>
      <c r="RNR284" s="1132" t="n"/>
      <c r="RNS284" s="1132" t="n"/>
      <c r="RNT284" s="1132" t="n"/>
      <c r="RNU284" s="1132" t="n"/>
      <c r="RNV284" s="1132" t="n"/>
      <c r="RNW284" s="1132" t="n"/>
      <c r="RNX284" s="1132" t="n"/>
      <c r="RNY284" s="1132" t="n"/>
      <c r="RNZ284" s="1132" t="n"/>
      <c r="ROA284" s="1132" t="n"/>
      <c r="ROB284" s="1132" t="n"/>
      <c r="ROC284" s="1132" t="n"/>
      <c r="ROD284" s="1132" t="n"/>
      <c r="ROE284" s="1132" t="n"/>
      <c r="ROF284" s="1132" t="n"/>
      <c r="ROG284" s="1132" t="n"/>
      <c r="ROH284" s="1132" t="n"/>
      <c r="ROI284" s="1132" t="n"/>
      <c r="ROJ284" s="1132" t="n"/>
      <c r="ROK284" s="1132" t="n"/>
      <c r="ROL284" s="1132" t="n"/>
      <c r="ROM284" s="1132" t="n"/>
      <c r="RON284" s="1132" t="n"/>
      <c r="ROO284" s="1132" t="n"/>
      <c r="ROP284" s="1132" t="n"/>
      <c r="ROQ284" s="1132" t="n"/>
      <c r="ROR284" s="1132" t="n"/>
      <c r="ROS284" s="1132" t="n"/>
      <c r="ROT284" s="1132" t="n"/>
      <c r="ROU284" s="1132" t="n"/>
      <c r="ROV284" s="1132" t="n"/>
      <c r="ROW284" s="1132" t="n"/>
      <c r="ROX284" s="1132" t="n"/>
      <c r="ROY284" s="1132" t="n"/>
      <c r="ROZ284" s="1132" t="n"/>
      <c r="RPA284" s="1132" t="n"/>
      <c r="RPB284" s="1132" t="n"/>
      <c r="RPC284" s="1132" t="n"/>
      <c r="RPD284" s="1132" t="n"/>
      <c r="RPE284" s="1132" t="n"/>
      <c r="RPF284" s="1132" t="n"/>
      <c r="RPG284" s="1132" t="n"/>
      <c r="RPH284" s="1132" t="n"/>
      <c r="RPI284" s="1132" t="n"/>
      <c r="RPJ284" s="1132" t="n"/>
      <c r="RPK284" s="1132" t="n"/>
      <c r="RPL284" s="1132" t="n"/>
      <c r="RPM284" s="1132" t="n"/>
      <c r="RPN284" s="1132" t="n"/>
      <c r="RPO284" s="1132" t="n"/>
      <c r="RPP284" s="1132" t="n"/>
      <c r="RPQ284" s="1132" t="n"/>
      <c r="RPR284" s="1132" t="n"/>
      <c r="RPS284" s="1132" t="n"/>
      <c r="RPT284" s="1132" t="n"/>
      <c r="RPU284" s="1132" t="n"/>
      <c r="RPV284" s="1132" t="n"/>
      <c r="RPW284" s="1132" t="n"/>
      <c r="RPX284" s="1132" t="n"/>
      <c r="RPY284" s="1132" t="n"/>
      <c r="RPZ284" s="1132" t="n"/>
      <c r="RQA284" s="1132" t="n"/>
      <c r="RQB284" s="1132" t="n"/>
      <c r="RQC284" s="1132" t="n"/>
      <c r="RQD284" s="1132" t="n"/>
      <c r="RQE284" s="1132" t="n"/>
      <c r="RQF284" s="1132" t="n"/>
      <c r="RQG284" s="1132" t="n"/>
      <c r="RQH284" s="1132" t="n"/>
      <c r="RQI284" s="1132" t="n"/>
      <c r="RQJ284" s="1132" t="n"/>
      <c r="RQK284" s="1132" t="n"/>
      <c r="RQL284" s="1132" t="n"/>
      <c r="RQM284" s="1132" t="n"/>
      <c r="RQN284" s="1132" t="n"/>
      <c r="RQO284" s="1132" t="n"/>
      <c r="RQP284" s="1132" t="n"/>
      <c r="RQQ284" s="1132" t="n"/>
      <c r="RQR284" s="1132" t="n"/>
      <c r="RQS284" s="1132" t="n"/>
      <c r="RQT284" s="1132" t="n"/>
      <c r="RQU284" s="1132" t="n"/>
      <c r="RQV284" s="1132" t="n"/>
      <c r="RQW284" s="1132" t="n"/>
      <c r="RQX284" s="1132" t="n"/>
      <c r="RQY284" s="1132" t="n"/>
      <c r="RQZ284" s="1132" t="n"/>
      <c r="RRA284" s="1132" t="n"/>
      <c r="RRB284" s="1132" t="n"/>
      <c r="RRC284" s="1132" t="n"/>
      <c r="RRD284" s="1132" t="n"/>
      <c r="RRE284" s="1132" t="n"/>
      <c r="RRF284" s="1132" t="n"/>
      <c r="RRG284" s="1132" t="n"/>
      <c r="RRH284" s="1132" t="n"/>
      <c r="RRI284" s="1132" t="n"/>
      <c r="RRJ284" s="1132" t="n"/>
      <c r="RRK284" s="1132" t="n"/>
      <c r="RRL284" s="1132" t="n"/>
      <c r="RRM284" s="1132" t="n"/>
      <c r="RRN284" s="1132" t="n"/>
      <c r="RRO284" s="1132" t="n"/>
      <c r="RRP284" s="1132" t="n"/>
      <c r="RRQ284" s="1132" t="n"/>
      <c r="RRR284" s="1132" t="n"/>
      <c r="RRS284" s="1132" t="n"/>
      <c r="RRT284" s="1132" t="n"/>
      <c r="RRU284" s="1132" t="n"/>
      <c r="RRV284" s="1132" t="n"/>
      <c r="RRW284" s="1132" t="n"/>
      <c r="RRX284" s="1132" t="n"/>
      <c r="RRY284" s="1132" t="n"/>
      <c r="RRZ284" s="1132" t="n"/>
      <c r="RSA284" s="1132" t="n"/>
      <c r="RSB284" s="1132" t="n"/>
      <c r="RSC284" s="1132" t="n"/>
      <c r="RSD284" s="1132" t="n"/>
      <c r="RSE284" s="1132" t="n"/>
      <c r="RSF284" s="1132" t="n"/>
      <c r="RSG284" s="1132" t="n"/>
      <c r="RSH284" s="1132" t="n"/>
      <c r="RSI284" s="1132" t="n"/>
      <c r="RSJ284" s="1132" t="n"/>
      <c r="RSK284" s="1132" t="n"/>
      <c r="RSL284" s="1132" t="n"/>
      <c r="RSM284" s="1132" t="n"/>
      <c r="RSN284" s="1132" t="n"/>
      <c r="RSO284" s="1132" t="n"/>
      <c r="RSP284" s="1132" t="n"/>
      <c r="RSQ284" s="1132" t="n"/>
      <c r="RSR284" s="1132" t="n"/>
      <c r="RSS284" s="1132" t="n"/>
      <c r="RST284" s="1132" t="n"/>
      <c r="RSU284" s="1132" t="n"/>
      <c r="RSV284" s="1132" t="n"/>
      <c r="RSW284" s="1132" t="n"/>
      <c r="RSX284" s="1132" t="n"/>
      <c r="RSY284" s="1132" t="n"/>
      <c r="RSZ284" s="1132" t="n"/>
      <c r="RTA284" s="1132" t="n"/>
      <c r="RTB284" s="1132" t="n"/>
      <c r="RTC284" s="1132" t="n"/>
      <c r="RTD284" s="1132" t="n"/>
      <c r="RTE284" s="1132" t="n"/>
      <c r="RTF284" s="1132" t="n"/>
      <c r="RTG284" s="1132" t="n"/>
      <c r="RTH284" s="1132" t="n"/>
      <c r="RTI284" s="1132" t="n"/>
      <c r="RTJ284" s="1132" t="n"/>
      <c r="RTK284" s="1132" t="n"/>
      <c r="RTL284" s="1132" t="n"/>
      <c r="RTM284" s="1132" t="n"/>
      <c r="RTN284" s="1132" t="n"/>
      <c r="RTO284" s="1132" t="n"/>
      <c r="RTP284" s="1132" t="n"/>
      <c r="RTQ284" s="1132" t="n"/>
      <c r="RTR284" s="1132" t="n"/>
      <c r="RTS284" s="1132" t="n"/>
      <c r="RTT284" s="1132" t="n"/>
      <c r="RTU284" s="1132" t="n"/>
      <c r="RTV284" s="1132" t="n"/>
      <c r="RTW284" s="1132" t="n"/>
      <c r="RTX284" s="1132" t="n"/>
      <c r="RTY284" s="1132" t="n"/>
      <c r="RTZ284" s="1132" t="n"/>
      <c r="RUA284" s="1132" t="n"/>
      <c r="RUB284" s="1132" t="n"/>
      <c r="RUC284" s="1132" t="n"/>
      <c r="RUD284" s="1132" t="n"/>
      <c r="RUE284" s="1132" t="n"/>
      <c r="RUF284" s="1132" t="n"/>
      <c r="RUG284" s="1132" t="n"/>
      <c r="RUH284" s="1132" t="n"/>
      <c r="RUI284" s="1132" t="n"/>
      <c r="RUJ284" s="1132" t="n"/>
      <c r="RUK284" s="1132" t="n"/>
      <c r="RUL284" s="1132" t="n"/>
      <c r="RUM284" s="1132" t="n"/>
      <c r="RUN284" s="1132" t="n"/>
      <c r="RUO284" s="1132" t="n"/>
      <c r="RUP284" s="1132" t="n"/>
      <c r="RUQ284" s="1132" t="n"/>
      <c r="RUR284" s="1132" t="n"/>
      <c r="RUS284" s="1132" t="n"/>
      <c r="RUT284" s="1132" t="n"/>
      <c r="RUU284" s="1132" t="n"/>
      <c r="RUV284" s="1132" t="n"/>
      <c r="RUW284" s="1132" t="n"/>
      <c r="RUX284" s="1132" t="n"/>
      <c r="RUY284" s="1132" t="n"/>
      <c r="RUZ284" s="1132" t="n"/>
      <c r="RVA284" s="1132" t="n"/>
      <c r="RVB284" s="1132" t="n"/>
      <c r="RVC284" s="1132" t="n"/>
      <c r="RVD284" s="1132" t="n"/>
      <c r="RVE284" s="1132" t="n"/>
      <c r="RVF284" s="1132" t="n"/>
      <c r="RVG284" s="1132" t="n"/>
      <c r="RVH284" s="1132" t="n"/>
      <c r="RVI284" s="1132" t="n"/>
      <c r="RVJ284" s="1132" t="n"/>
      <c r="RVK284" s="1132" t="n"/>
      <c r="RVL284" s="1132" t="n"/>
      <c r="RVM284" s="1132" t="n"/>
      <c r="RVN284" s="1132" t="n"/>
      <c r="RVO284" s="1132" t="n"/>
      <c r="RVP284" s="1132" t="n"/>
      <c r="RVQ284" s="1132" t="n"/>
      <c r="RVR284" s="1132" t="n"/>
      <c r="RVS284" s="1132" t="n"/>
      <c r="RVT284" s="1132" t="n"/>
      <c r="RVU284" s="1132" t="n"/>
      <c r="RVV284" s="1132" t="n"/>
      <c r="RVW284" s="1132" t="n"/>
      <c r="RVX284" s="1132" t="n"/>
      <c r="RVY284" s="1132" t="n"/>
      <c r="RVZ284" s="1132" t="n"/>
      <c r="RWA284" s="1132" t="n"/>
      <c r="RWB284" s="1132" t="n"/>
      <c r="RWC284" s="1132" t="n"/>
      <c r="RWD284" s="1132" t="n"/>
      <c r="RWE284" s="1132" t="n"/>
      <c r="RWF284" s="1132" t="n"/>
      <c r="RWG284" s="1132" t="n"/>
      <c r="RWH284" s="1132" t="n"/>
      <c r="RWI284" s="1132" t="n"/>
      <c r="RWJ284" s="1132" t="n"/>
      <c r="RWK284" s="1132" t="n"/>
      <c r="RWL284" s="1132" t="n"/>
      <c r="RWM284" s="1132" t="n"/>
      <c r="RWN284" s="1132" t="n"/>
      <c r="RWO284" s="1132" t="n"/>
      <c r="RWP284" s="1132" t="n"/>
      <c r="RWQ284" s="1132" t="n"/>
      <c r="RWR284" s="1132" t="n"/>
      <c r="RWS284" s="1132" t="n"/>
      <c r="RWT284" s="1132" t="n"/>
      <c r="RWU284" s="1132" t="n"/>
      <c r="RWV284" s="1132" t="n"/>
      <c r="RWW284" s="1132" t="n"/>
      <c r="RWX284" s="1132" t="n"/>
      <c r="RWY284" s="1132" t="n"/>
      <c r="RWZ284" s="1132" t="n"/>
      <c r="RXA284" s="1132" t="n"/>
      <c r="RXB284" s="1132" t="n"/>
      <c r="RXC284" s="1132" t="n"/>
      <c r="RXD284" s="1132" t="n"/>
      <c r="RXE284" s="1132" t="n"/>
      <c r="RXF284" s="1132" t="n"/>
      <c r="RXG284" s="1132" t="n"/>
      <c r="RXH284" s="1132" t="n"/>
      <c r="RXI284" s="1132" t="n"/>
      <c r="RXJ284" s="1132" t="n"/>
      <c r="RXK284" s="1132" t="n"/>
      <c r="RXL284" s="1132" t="n"/>
      <c r="RXM284" s="1132" t="n"/>
      <c r="RXN284" s="1132" t="n"/>
      <c r="RXO284" s="1132" t="n"/>
      <c r="RXP284" s="1132" t="n"/>
      <c r="RXQ284" s="1132" t="n"/>
      <c r="RXR284" s="1132" t="n"/>
      <c r="RXS284" s="1132" t="n"/>
      <c r="RXT284" s="1132" t="n"/>
      <c r="RXU284" s="1132" t="n"/>
      <c r="RXV284" s="1132" t="n"/>
      <c r="RXW284" s="1132" t="n"/>
      <c r="RXX284" s="1132" t="n"/>
      <c r="RXY284" s="1132" t="n"/>
      <c r="RXZ284" s="1132" t="n"/>
      <c r="RYA284" s="1132" t="n"/>
      <c r="RYB284" s="1132" t="n"/>
      <c r="RYC284" s="1132" t="n"/>
      <c r="RYD284" s="1132" t="n"/>
      <c r="RYE284" s="1132" t="n"/>
      <c r="RYF284" s="1132" t="n"/>
      <c r="RYG284" s="1132" t="n"/>
      <c r="RYH284" s="1132" t="n"/>
      <c r="RYI284" s="1132" t="n"/>
      <c r="RYJ284" s="1132" t="n"/>
      <c r="RYK284" s="1132" t="n"/>
      <c r="RYL284" s="1132" t="n"/>
      <c r="RYM284" s="1132" t="n"/>
      <c r="RYN284" s="1132" t="n"/>
      <c r="RYO284" s="1132" t="n"/>
      <c r="RYP284" s="1132" t="n"/>
      <c r="RYQ284" s="1132" t="n"/>
      <c r="RYR284" s="1132" t="n"/>
      <c r="RYS284" s="1132" t="n"/>
      <c r="RYT284" s="1132" t="n"/>
      <c r="RYU284" s="1132" t="n"/>
      <c r="RYV284" s="1132" t="n"/>
      <c r="RYW284" s="1132" t="n"/>
      <c r="RYX284" s="1132" t="n"/>
      <c r="RYY284" s="1132" t="n"/>
      <c r="RYZ284" s="1132" t="n"/>
      <c r="RZA284" s="1132" t="n"/>
      <c r="RZB284" s="1132" t="n"/>
      <c r="RZC284" s="1132" t="n"/>
      <c r="RZD284" s="1132" t="n"/>
      <c r="RZE284" s="1132" t="n"/>
      <c r="RZF284" s="1132" t="n"/>
      <c r="RZG284" s="1132" t="n"/>
      <c r="RZH284" s="1132" t="n"/>
      <c r="RZI284" s="1132" t="n"/>
      <c r="RZJ284" s="1132" t="n"/>
      <c r="RZK284" s="1132" t="n"/>
      <c r="RZL284" s="1132" t="n"/>
      <c r="RZM284" s="1132" t="n"/>
      <c r="RZN284" s="1132" t="n"/>
      <c r="RZO284" s="1132" t="n"/>
      <c r="RZP284" s="1132" t="n"/>
      <c r="RZQ284" s="1132" t="n"/>
      <c r="RZR284" s="1132" t="n"/>
      <c r="RZS284" s="1132" t="n"/>
      <c r="RZT284" s="1132" t="n"/>
      <c r="RZU284" s="1132" t="n"/>
      <c r="RZV284" s="1132" t="n"/>
      <c r="RZW284" s="1132" t="n"/>
      <c r="RZX284" s="1132" t="n"/>
      <c r="RZY284" s="1132" t="n"/>
      <c r="RZZ284" s="1132" t="n"/>
      <c r="SAA284" s="1132" t="n"/>
      <c r="SAB284" s="1132" t="n"/>
      <c r="SAC284" s="1132" t="n"/>
      <c r="SAD284" s="1132" t="n"/>
      <c r="SAE284" s="1132" t="n"/>
      <c r="SAF284" s="1132" t="n"/>
      <c r="SAG284" s="1132" t="n"/>
      <c r="SAH284" s="1132" t="n"/>
      <c r="SAI284" s="1132" t="n"/>
      <c r="SAJ284" s="1132" t="n"/>
      <c r="SAK284" s="1132" t="n"/>
      <c r="SAL284" s="1132" t="n"/>
      <c r="SAM284" s="1132" t="n"/>
      <c r="SAN284" s="1132" t="n"/>
      <c r="SAO284" s="1132" t="n"/>
      <c r="SAP284" s="1132" t="n"/>
      <c r="SAQ284" s="1132" t="n"/>
      <c r="SAR284" s="1132" t="n"/>
      <c r="SAS284" s="1132" t="n"/>
      <c r="SAT284" s="1132" t="n"/>
      <c r="SAU284" s="1132" t="n"/>
      <c r="SAV284" s="1132" t="n"/>
      <c r="SAW284" s="1132" t="n"/>
      <c r="SAX284" s="1132" t="n"/>
      <c r="SAY284" s="1132" t="n"/>
      <c r="SAZ284" s="1132" t="n"/>
      <c r="SBA284" s="1132" t="n"/>
      <c r="SBB284" s="1132" t="n"/>
      <c r="SBC284" s="1132" t="n"/>
      <c r="SBD284" s="1132" t="n"/>
      <c r="SBE284" s="1132" t="n"/>
      <c r="SBF284" s="1132" t="n"/>
      <c r="SBG284" s="1132" t="n"/>
      <c r="SBH284" s="1132" t="n"/>
      <c r="SBI284" s="1132" t="n"/>
      <c r="SBJ284" s="1132" t="n"/>
      <c r="SBK284" s="1132" t="n"/>
      <c r="SBL284" s="1132" t="n"/>
      <c r="SBM284" s="1132" t="n"/>
      <c r="SBN284" s="1132" t="n"/>
      <c r="SBO284" s="1132" t="n"/>
      <c r="SBP284" s="1132" t="n"/>
      <c r="SBQ284" s="1132" t="n"/>
      <c r="SBR284" s="1132" t="n"/>
      <c r="SBS284" s="1132" t="n"/>
      <c r="SBT284" s="1132" t="n"/>
      <c r="SBU284" s="1132" t="n"/>
      <c r="SBV284" s="1132" t="n"/>
      <c r="SBW284" s="1132" t="n"/>
      <c r="SBX284" s="1132" t="n"/>
      <c r="SBY284" s="1132" t="n"/>
      <c r="SBZ284" s="1132" t="n"/>
      <c r="SCA284" s="1132" t="n"/>
      <c r="SCB284" s="1132" t="n"/>
      <c r="SCC284" s="1132" t="n"/>
      <c r="SCD284" s="1132" t="n"/>
      <c r="SCE284" s="1132" t="n"/>
      <c r="SCF284" s="1132" t="n"/>
      <c r="SCG284" s="1132" t="n"/>
      <c r="SCH284" s="1132" t="n"/>
      <c r="SCI284" s="1132" t="n"/>
      <c r="SCJ284" s="1132" t="n"/>
      <c r="SCK284" s="1132" t="n"/>
      <c r="SCL284" s="1132" t="n"/>
      <c r="SCM284" s="1132" t="n"/>
      <c r="SCN284" s="1132" t="n"/>
      <c r="SCO284" s="1132" t="n"/>
      <c r="SCP284" s="1132" t="n"/>
      <c r="SCQ284" s="1132" t="n"/>
      <c r="SCR284" s="1132" t="n"/>
      <c r="SCS284" s="1132" t="n"/>
      <c r="SCT284" s="1132" t="n"/>
      <c r="SCU284" s="1132" t="n"/>
      <c r="SCV284" s="1132" t="n"/>
      <c r="SCW284" s="1132" t="n"/>
      <c r="SCX284" s="1132" t="n"/>
      <c r="SCY284" s="1132" t="n"/>
      <c r="SCZ284" s="1132" t="n"/>
      <c r="SDA284" s="1132" t="n"/>
      <c r="SDB284" s="1132" t="n"/>
      <c r="SDC284" s="1132" t="n"/>
      <c r="SDD284" s="1132" t="n"/>
      <c r="SDE284" s="1132" t="n"/>
      <c r="SDF284" s="1132" t="n"/>
      <c r="SDG284" s="1132" t="n"/>
      <c r="SDH284" s="1132" t="n"/>
      <c r="SDI284" s="1132" t="n"/>
      <c r="SDJ284" s="1132" t="n"/>
      <c r="SDK284" s="1132" t="n"/>
      <c r="SDL284" s="1132" t="n"/>
      <c r="SDM284" s="1132" t="n"/>
      <c r="SDN284" s="1132" t="n"/>
      <c r="SDO284" s="1132" t="n"/>
      <c r="SDP284" s="1132" t="n"/>
      <c r="SDQ284" s="1132" t="n"/>
      <c r="SDR284" s="1132" t="n"/>
      <c r="SDS284" s="1132" t="n"/>
      <c r="SDT284" s="1132" t="n"/>
      <c r="SDU284" s="1132" t="n"/>
      <c r="SDV284" s="1132" t="n"/>
      <c r="SDW284" s="1132" t="n"/>
      <c r="SDX284" s="1132" t="n"/>
      <c r="SDY284" s="1132" t="n"/>
      <c r="SDZ284" s="1132" t="n"/>
      <c r="SEA284" s="1132" t="n"/>
      <c r="SEB284" s="1132" t="n"/>
      <c r="SEC284" s="1132" t="n"/>
      <c r="SED284" s="1132" t="n"/>
      <c r="SEE284" s="1132" t="n"/>
      <c r="SEF284" s="1132" t="n"/>
      <c r="SEG284" s="1132" t="n"/>
      <c r="SEH284" s="1132" t="n"/>
      <c r="SEI284" s="1132" t="n"/>
      <c r="SEJ284" s="1132" t="n"/>
      <c r="SEK284" s="1132" t="n"/>
      <c r="SEL284" s="1132" t="n"/>
      <c r="SEM284" s="1132" t="n"/>
      <c r="SEN284" s="1132" t="n"/>
      <c r="SEO284" s="1132" t="n"/>
      <c r="SEP284" s="1132" t="n"/>
      <c r="SEQ284" s="1132" t="n"/>
      <c r="SER284" s="1132" t="n"/>
      <c r="SES284" s="1132" t="n"/>
      <c r="SET284" s="1132" t="n"/>
      <c r="SEU284" s="1132" t="n"/>
      <c r="SEV284" s="1132" t="n"/>
      <c r="SEW284" s="1132" t="n"/>
      <c r="SEX284" s="1132" t="n"/>
      <c r="SEY284" s="1132" t="n"/>
      <c r="SEZ284" s="1132" t="n"/>
      <c r="SFA284" s="1132" t="n"/>
      <c r="SFB284" s="1132" t="n"/>
      <c r="SFC284" s="1132" t="n"/>
      <c r="SFD284" s="1132" t="n"/>
      <c r="SFE284" s="1132" t="n"/>
      <c r="SFF284" s="1132" t="n"/>
      <c r="SFG284" s="1132" t="n"/>
      <c r="SFH284" s="1132" t="n"/>
      <c r="SFI284" s="1132" t="n"/>
      <c r="SFJ284" s="1132" t="n"/>
      <c r="SFK284" s="1132" t="n"/>
      <c r="SFL284" s="1132" t="n"/>
      <c r="SFM284" s="1132" t="n"/>
      <c r="SFN284" s="1132" t="n"/>
      <c r="SFO284" s="1132" t="n"/>
      <c r="SFP284" s="1132" t="n"/>
      <c r="SFQ284" s="1132" t="n"/>
      <c r="SFR284" s="1132" t="n"/>
      <c r="SFS284" s="1132" t="n"/>
      <c r="SFT284" s="1132" t="n"/>
      <c r="SFU284" s="1132" t="n"/>
      <c r="SFV284" s="1132" t="n"/>
      <c r="SFW284" s="1132" t="n"/>
      <c r="SFX284" s="1132" t="n"/>
      <c r="SFY284" s="1132" t="n"/>
      <c r="SFZ284" s="1132" t="n"/>
      <c r="SGA284" s="1132" t="n"/>
      <c r="SGB284" s="1132" t="n"/>
      <c r="SGC284" s="1132" t="n"/>
      <c r="SGD284" s="1132" t="n"/>
      <c r="SGE284" s="1132" t="n"/>
      <c r="SGF284" s="1132" t="n"/>
      <c r="SGG284" s="1132" t="n"/>
      <c r="SGH284" s="1132" t="n"/>
      <c r="SGI284" s="1132" t="n"/>
      <c r="SGJ284" s="1132" t="n"/>
      <c r="SGK284" s="1132" t="n"/>
      <c r="SGL284" s="1132" t="n"/>
      <c r="SGM284" s="1132" t="n"/>
      <c r="SGN284" s="1132" t="n"/>
      <c r="SGO284" s="1132" t="n"/>
      <c r="SGP284" s="1132" t="n"/>
      <c r="SGQ284" s="1132" t="n"/>
      <c r="SGR284" s="1132" t="n"/>
      <c r="SGS284" s="1132" t="n"/>
      <c r="SGT284" s="1132" t="n"/>
      <c r="SGU284" s="1132" t="n"/>
      <c r="SGV284" s="1132" t="n"/>
      <c r="SGW284" s="1132" t="n"/>
      <c r="SGX284" s="1132" t="n"/>
      <c r="SGY284" s="1132" t="n"/>
      <c r="SGZ284" s="1132" t="n"/>
      <c r="SHA284" s="1132" t="n"/>
      <c r="SHB284" s="1132" t="n"/>
      <c r="SHC284" s="1132" t="n"/>
      <c r="SHD284" s="1132" t="n"/>
      <c r="SHE284" s="1132" t="n"/>
      <c r="SHF284" s="1132" t="n"/>
      <c r="SHG284" s="1132" t="n"/>
      <c r="SHH284" s="1132" t="n"/>
      <c r="SHI284" s="1132" t="n"/>
      <c r="SHJ284" s="1132" t="n"/>
      <c r="SHK284" s="1132" t="n"/>
      <c r="SHL284" s="1132" t="n"/>
      <c r="SHM284" s="1132" t="n"/>
      <c r="SHN284" s="1132" t="n"/>
      <c r="SHO284" s="1132" t="n"/>
      <c r="SHP284" s="1132" t="n"/>
      <c r="SHQ284" s="1132" t="n"/>
      <c r="SHR284" s="1132" t="n"/>
      <c r="SHS284" s="1132" t="n"/>
      <c r="SHT284" s="1132" t="n"/>
      <c r="SHU284" s="1132" t="n"/>
      <c r="SHV284" s="1132" t="n"/>
      <c r="SHW284" s="1132" t="n"/>
      <c r="SHX284" s="1132" t="n"/>
      <c r="SHY284" s="1132" t="n"/>
      <c r="SHZ284" s="1132" t="n"/>
      <c r="SIA284" s="1132" t="n"/>
      <c r="SIB284" s="1132" t="n"/>
      <c r="SIC284" s="1132" t="n"/>
      <c r="SID284" s="1132" t="n"/>
      <c r="SIE284" s="1132" t="n"/>
      <c r="SIF284" s="1132" t="n"/>
      <c r="SIG284" s="1132" t="n"/>
      <c r="SIH284" s="1132" t="n"/>
      <c r="SII284" s="1132" t="n"/>
      <c r="SIJ284" s="1132" t="n"/>
      <c r="SIK284" s="1132" t="n"/>
      <c r="SIL284" s="1132" t="n"/>
      <c r="SIM284" s="1132" t="n"/>
      <c r="SIN284" s="1132" t="n"/>
      <c r="SIO284" s="1132" t="n"/>
      <c r="SIP284" s="1132" t="n"/>
      <c r="SIQ284" s="1132" t="n"/>
      <c r="SIR284" s="1132" t="n"/>
      <c r="SIS284" s="1132" t="n"/>
      <c r="SIT284" s="1132" t="n"/>
      <c r="SIU284" s="1132" t="n"/>
      <c r="SIV284" s="1132" t="n"/>
      <c r="SIW284" s="1132" t="n"/>
      <c r="SIX284" s="1132" t="n"/>
      <c r="SIY284" s="1132" t="n"/>
      <c r="SIZ284" s="1132" t="n"/>
      <c r="SJA284" s="1132" t="n"/>
      <c r="SJB284" s="1132" t="n"/>
      <c r="SJC284" s="1132" t="n"/>
      <c r="SJD284" s="1132" t="n"/>
      <c r="SJE284" s="1132" t="n"/>
      <c r="SJF284" s="1132" t="n"/>
      <c r="SJG284" s="1132" t="n"/>
      <c r="SJH284" s="1132" t="n"/>
      <c r="SJI284" s="1132" t="n"/>
      <c r="SJJ284" s="1132" t="n"/>
      <c r="SJK284" s="1132" t="n"/>
      <c r="SJL284" s="1132" t="n"/>
      <c r="SJM284" s="1132" t="n"/>
      <c r="SJN284" s="1132" t="n"/>
      <c r="SJO284" s="1132" t="n"/>
      <c r="SJP284" s="1132" t="n"/>
      <c r="SJQ284" s="1132" t="n"/>
      <c r="SJR284" s="1132" t="n"/>
      <c r="SJS284" s="1132" t="n"/>
      <c r="SJT284" s="1132" t="n"/>
      <c r="SJU284" s="1132" t="n"/>
      <c r="SJV284" s="1132" t="n"/>
      <c r="SJW284" s="1132" t="n"/>
      <c r="SJX284" s="1132" t="n"/>
      <c r="SJY284" s="1132" t="n"/>
      <c r="SJZ284" s="1132" t="n"/>
      <c r="SKA284" s="1132" t="n"/>
      <c r="SKB284" s="1132" t="n"/>
      <c r="SKC284" s="1132" t="n"/>
      <c r="SKD284" s="1132" t="n"/>
      <c r="SKE284" s="1132" t="n"/>
      <c r="SKF284" s="1132" t="n"/>
      <c r="SKG284" s="1132" t="n"/>
      <c r="SKH284" s="1132" t="n"/>
      <c r="SKI284" s="1132" t="n"/>
      <c r="SKJ284" s="1132" t="n"/>
      <c r="SKK284" s="1132" t="n"/>
      <c r="SKL284" s="1132" t="n"/>
      <c r="SKM284" s="1132" t="n"/>
      <c r="SKN284" s="1132" t="n"/>
      <c r="SKO284" s="1132" t="n"/>
      <c r="SKP284" s="1132" t="n"/>
      <c r="SKQ284" s="1132" t="n"/>
      <c r="SKR284" s="1132" t="n"/>
      <c r="SKS284" s="1132" t="n"/>
      <c r="SKT284" s="1132" t="n"/>
      <c r="SKU284" s="1132" t="n"/>
      <c r="SKV284" s="1132" t="n"/>
      <c r="SKW284" s="1132" t="n"/>
      <c r="SKX284" s="1132" t="n"/>
      <c r="SKY284" s="1132" t="n"/>
      <c r="SKZ284" s="1132" t="n"/>
      <c r="SLA284" s="1132" t="n"/>
      <c r="SLB284" s="1132" t="n"/>
      <c r="SLC284" s="1132" t="n"/>
      <c r="SLD284" s="1132" t="n"/>
      <c r="SLE284" s="1132" t="n"/>
      <c r="SLF284" s="1132" t="n"/>
      <c r="SLG284" s="1132" t="n"/>
      <c r="SLH284" s="1132" t="n"/>
      <c r="SLI284" s="1132" t="n"/>
      <c r="SLJ284" s="1132" t="n"/>
      <c r="SLK284" s="1132" t="n"/>
      <c r="SLL284" s="1132" t="n"/>
      <c r="SLM284" s="1132" t="n"/>
      <c r="SLN284" s="1132" t="n"/>
      <c r="SLO284" s="1132" t="n"/>
      <c r="SLP284" s="1132" t="n"/>
      <c r="SLQ284" s="1132" t="n"/>
      <c r="SLR284" s="1132" t="n"/>
      <c r="SLS284" s="1132" t="n"/>
      <c r="SLT284" s="1132" t="n"/>
      <c r="SLU284" s="1132" t="n"/>
      <c r="SLV284" s="1132" t="n"/>
      <c r="SLW284" s="1132" t="n"/>
      <c r="SLX284" s="1132" t="n"/>
      <c r="SLY284" s="1132" t="n"/>
      <c r="SLZ284" s="1132" t="n"/>
      <c r="SMA284" s="1132" t="n"/>
      <c r="SMB284" s="1132" t="n"/>
      <c r="SMC284" s="1132" t="n"/>
      <c r="SMD284" s="1132" t="n"/>
      <c r="SME284" s="1132" t="n"/>
      <c r="SMF284" s="1132" t="n"/>
      <c r="SMG284" s="1132" t="n"/>
      <c r="SMH284" s="1132" t="n"/>
      <c r="SMI284" s="1132" t="n"/>
      <c r="SMJ284" s="1132" t="n"/>
      <c r="SMK284" s="1132" t="n"/>
      <c r="SML284" s="1132" t="n"/>
      <c r="SMM284" s="1132" t="n"/>
      <c r="SMN284" s="1132" t="n"/>
      <c r="SMO284" s="1132" t="n"/>
      <c r="SMP284" s="1132" t="n"/>
      <c r="SMQ284" s="1132" t="n"/>
      <c r="SMR284" s="1132" t="n"/>
      <c r="SMS284" s="1132" t="n"/>
      <c r="SMT284" s="1132" t="n"/>
      <c r="SMU284" s="1132" t="n"/>
      <c r="SMV284" s="1132" t="n"/>
      <c r="SMW284" s="1132" t="n"/>
      <c r="SMX284" s="1132" t="n"/>
      <c r="SMY284" s="1132" t="n"/>
      <c r="SMZ284" s="1132" t="n"/>
      <c r="SNA284" s="1132" t="n"/>
      <c r="SNB284" s="1132" t="n"/>
      <c r="SNC284" s="1132" t="n"/>
      <c r="SND284" s="1132" t="n"/>
      <c r="SNE284" s="1132" t="n"/>
      <c r="SNF284" s="1132" t="n"/>
      <c r="SNG284" s="1132" t="n"/>
      <c r="SNH284" s="1132" t="n"/>
      <c r="SNI284" s="1132" t="n"/>
      <c r="SNJ284" s="1132" t="n"/>
      <c r="SNK284" s="1132" t="n"/>
      <c r="SNL284" s="1132" t="n"/>
      <c r="SNM284" s="1132" t="n"/>
      <c r="SNN284" s="1132" t="n"/>
      <c r="SNO284" s="1132" t="n"/>
      <c r="SNP284" s="1132" t="n"/>
      <c r="SNQ284" s="1132" t="n"/>
      <c r="SNR284" s="1132" t="n"/>
      <c r="SNS284" s="1132" t="n"/>
      <c r="SNT284" s="1132" t="n"/>
      <c r="SNU284" s="1132" t="n"/>
      <c r="SNV284" s="1132" t="n"/>
      <c r="SNW284" s="1132" t="n"/>
      <c r="SNX284" s="1132" t="n"/>
      <c r="SNY284" s="1132" t="n"/>
      <c r="SNZ284" s="1132" t="n"/>
      <c r="SOA284" s="1132" t="n"/>
      <c r="SOB284" s="1132" t="n"/>
      <c r="SOC284" s="1132" t="n"/>
      <c r="SOD284" s="1132" t="n"/>
      <c r="SOE284" s="1132" t="n"/>
      <c r="SOF284" s="1132" t="n"/>
      <c r="SOG284" s="1132" t="n"/>
      <c r="SOH284" s="1132" t="n"/>
      <c r="SOI284" s="1132" t="n"/>
      <c r="SOJ284" s="1132" t="n"/>
      <c r="SOK284" s="1132" t="n"/>
      <c r="SOL284" s="1132" t="n"/>
      <c r="SOM284" s="1132" t="n"/>
      <c r="SON284" s="1132" t="n"/>
      <c r="SOO284" s="1132" t="n"/>
      <c r="SOP284" s="1132" t="n"/>
      <c r="SOQ284" s="1132" t="n"/>
      <c r="SOR284" s="1132" t="n"/>
      <c r="SOS284" s="1132" t="n"/>
      <c r="SOT284" s="1132" t="n"/>
      <c r="SOU284" s="1132" t="n"/>
      <c r="SOV284" s="1132" t="n"/>
      <c r="SOW284" s="1132" t="n"/>
      <c r="SOX284" s="1132" t="n"/>
      <c r="SOY284" s="1132" t="n"/>
      <c r="SOZ284" s="1132" t="n"/>
      <c r="SPA284" s="1132" t="n"/>
      <c r="SPB284" s="1132" t="n"/>
      <c r="SPC284" s="1132" t="n"/>
      <c r="SPD284" s="1132" t="n"/>
      <c r="SPE284" s="1132" t="n"/>
      <c r="SPF284" s="1132" t="n"/>
      <c r="SPG284" s="1132" t="n"/>
      <c r="SPH284" s="1132" t="n"/>
      <c r="SPI284" s="1132" t="n"/>
      <c r="SPJ284" s="1132" t="n"/>
      <c r="SPK284" s="1132" t="n"/>
      <c r="SPL284" s="1132" t="n"/>
      <c r="SPM284" s="1132" t="n"/>
      <c r="SPN284" s="1132" t="n"/>
      <c r="SPO284" s="1132" t="n"/>
      <c r="SPP284" s="1132" t="n"/>
      <c r="SPQ284" s="1132" t="n"/>
      <c r="SPR284" s="1132" t="n"/>
      <c r="SPS284" s="1132" t="n"/>
      <c r="SPT284" s="1132" t="n"/>
      <c r="SPU284" s="1132" t="n"/>
      <c r="SPV284" s="1132" t="n"/>
      <c r="SPW284" s="1132" t="n"/>
      <c r="SPX284" s="1132" t="n"/>
      <c r="SPY284" s="1132" t="n"/>
      <c r="SPZ284" s="1132" t="n"/>
      <c r="SQA284" s="1132" t="n"/>
      <c r="SQB284" s="1132" t="n"/>
      <c r="SQC284" s="1132" t="n"/>
      <c r="SQD284" s="1132" t="n"/>
      <c r="SQE284" s="1132" t="n"/>
      <c r="SQF284" s="1132" t="n"/>
      <c r="SQG284" s="1132" t="n"/>
      <c r="SQH284" s="1132" t="n"/>
      <c r="SQI284" s="1132" t="n"/>
      <c r="SQJ284" s="1132" t="n"/>
      <c r="SQK284" s="1132" t="n"/>
      <c r="SQL284" s="1132" t="n"/>
      <c r="SQM284" s="1132" t="n"/>
      <c r="SQN284" s="1132" t="n"/>
      <c r="SQO284" s="1132" t="n"/>
      <c r="SQP284" s="1132" t="n"/>
      <c r="SQQ284" s="1132" t="n"/>
      <c r="SQR284" s="1132" t="n"/>
      <c r="SQS284" s="1132" t="n"/>
      <c r="SQT284" s="1132" t="n"/>
      <c r="SQU284" s="1132" t="n"/>
      <c r="SQV284" s="1132" t="n"/>
      <c r="SQW284" s="1132" t="n"/>
      <c r="SQX284" s="1132" t="n"/>
      <c r="SQY284" s="1132" t="n"/>
      <c r="SQZ284" s="1132" t="n"/>
      <c r="SRA284" s="1132" t="n"/>
      <c r="SRB284" s="1132" t="n"/>
      <c r="SRC284" s="1132" t="n"/>
      <c r="SRD284" s="1132" t="n"/>
      <c r="SRE284" s="1132" t="n"/>
      <c r="SRF284" s="1132" t="n"/>
      <c r="SRG284" s="1132" t="n"/>
      <c r="SRH284" s="1132" t="n"/>
      <c r="SRI284" s="1132" t="n"/>
      <c r="SRJ284" s="1132" t="n"/>
      <c r="SRK284" s="1132" t="n"/>
      <c r="SRL284" s="1132" t="n"/>
      <c r="SRM284" s="1132" t="n"/>
      <c r="SRN284" s="1132" t="n"/>
      <c r="SRO284" s="1132" t="n"/>
      <c r="SRP284" s="1132" t="n"/>
      <c r="SRQ284" s="1132" t="n"/>
      <c r="SRR284" s="1132" t="n"/>
      <c r="SRS284" s="1132" t="n"/>
      <c r="SRT284" s="1132" t="n"/>
      <c r="SRU284" s="1132" t="n"/>
      <c r="SRV284" s="1132" t="n"/>
      <c r="SRW284" s="1132" t="n"/>
      <c r="SRX284" s="1132" t="n"/>
      <c r="SRY284" s="1132" t="n"/>
      <c r="SRZ284" s="1132" t="n"/>
      <c r="SSA284" s="1132" t="n"/>
      <c r="SSB284" s="1132" t="n"/>
      <c r="SSC284" s="1132" t="n"/>
      <c r="SSD284" s="1132" t="n"/>
      <c r="SSE284" s="1132" t="n"/>
      <c r="SSF284" s="1132" t="n"/>
      <c r="SSG284" s="1132" t="n"/>
      <c r="SSH284" s="1132" t="n"/>
      <c r="SSI284" s="1132" t="n"/>
      <c r="SSJ284" s="1132" t="n"/>
      <c r="SSK284" s="1132" t="n"/>
      <c r="SSL284" s="1132" t="n"/>
      <c r="SSM284" s="1132" t="n"/>
      <c r="SSN284" s="1132" t="n"/>
      <c r="SSO284" s="1132" t="n"/>
      <c r="SSP284" s="1132" t="n"/>
      <c r="SSQ284" s="1132" t="n"/>
      <c r="SSR284" s="1132" t="n"/>
      <c r="SSS284" s="1132" t="n"/>
      <c r="SST284" s="1132" t="n"/>
      <c r="SSU284" s="1132" t="n"/>
      <c r="SSV284" s="1132" t="n"/>
      <c r="SSW284" s="1132" t="n"/>
      <c r="SSX284" s="1132" t="n"/>
      <c r="SSY284" s="1132" t="n"/>
      <c r="SSZ284" s="1132" t="n"/>
      <c r="STA284" s="1132" t="n"/>
      <c r="STB284" s="1132" t="n"/>
      <c r="STC284" s="1132" t="n"/>
      <c r="STD284" s="1132" t="n"/>
      <c r="STE284" s="1132" t="n"/>
      <c r="STF284" s="1132" t="n"/>
      <c r="STG284" s="1132" t="n"/>
      <c r="STH284" s="1132" t="n"/>
      <c r="STI284" s="1132" t="n"/>
      <c r="STJ284" s="1132" t="n"/>
      <c r="STK284" s="1132" t="n"/>
      <c r="STL284" s="1132" t="n"/>
      <c r="STM284" s="1132" t="n"/>
      <c r="STN284" s="1132" t="n"/>
      <c r="STO284" s="1132" t="n"/>
      <c r="STP284" s="1132" t="n"/>
      <c r="STQ284" s="1132" t="n"/>
      <c r="STR284" s="1132" t="n"/>
      <c r="STS284" s="1132" t="n"/>
      <c r="STT284" s="1132" t="n"/>
      <c r="STU284" s="1132" t="n"/>
      <c r="STV284" s="1132" t="n"/>
      <c r="STW284" s="1132" t="n"/>
      <c r="STX284" s="1132" t="n"/>
      <c r="STY284" s="1132" t="n"/>
      <c r="STZ284" s="1132" t="n"/>
      <c r="SUA284" s="1132" t="n"/>
      <c r="SUB284" s="1132" t="n"/>
      <c r="SUC284" s="1132" t="n"/>
      <c r="SUD284" s="1132" t="n"/>
      <c r="SUE284" s="1132" t="n"/>
      <c r="SUF284" s="1132" t="n"/>
      <c r="SUG284" s="1132" t="n"/>
      <c r="SUH284" s="1132" t="n"/>
      <c r="SUI284" s="1132" t="n"/>
      <c r="SUJ284" s="1132" t="n"/>
      <c r="SUK284" s="1132" t="n"/>
      <c r="SUL284" s="1132" t="n"/>
      <c r="SUM284" s="1132" t="n"/>
      <c r="SUN284" s="1132" t="n"/>
      <c r="SUO284" s="1132" t="n"/>
      <c r="SUP284" s="1132" t="n"/>
      <c r="SUQ284" s="1132" t="n"/>
      <c r="SUR284" s="1132" t="n"/>
      <c r="SUS284" s="1132" t="n"/>
      <c r="SUT284" s="1132" t="n"/>
      <c r="SUU284" s="1132" t="n"/>
      <c r="SUV284" s="1132" t="n"/>
      <c r="SUW284" s="1132" t="n"/>
      <c r="SUX284" s="1132" t="n"/>
      <c r="SUY284" s="1132" t="n"/>
      <c r="SUZ284" s="1132" t="n"/>
      <c r="SVA284" s="1132" t="n"/>
      <c r="SVB284" s="1132" t="n"/>
      <c r="SVC284" s="1132" t="n"/>
      <c r="SVD284" s="1132" t="n"/>
      <c r="SVE284" s="1132" t="n"/>
      <c r="SVF284" s="1132" t="n"/>
      <c r="SVG284" s="1132" t="n"/>
      <c r="SVH284" s="1132" t="n"/>
      <c r="SVI284" s="1132" t="n"/>
      <c r="SVJ284" s="1132" t="n"/>
      <c r="SVK284" s="1132" t="n"/>
      <c r="SVL284" s="1132" t="n"/>
      <c r="SVM284" s="1132" t="n"/>
      <c r="SVN284" s="1132" t="n"/>
      <c r="SVO284" s="1132" t="n"/>
      <c r="SVP284" s="1132" t="n"/>
      <c r="SVQ284" s="1132" t="n"/>
      <c r="SVR284" s="1132" t="n"/>
      <c r="SVS284" s="1132" t="n"/>
      <c r="SVT284" s="1132" t="n"/>
      <c r="SVU284" s="1132" t="n"/>
      <c r="SVV284" s="1132" t="n"/>
      <c r="SVW284" s="1132" t="n"/>
      <c r="SVX284" s="1132" t="n"/>
      <c r="SVY284" s="1132" t="n"/>
      <c r="SVZ284" s="1132" t="n"/>
      <c r="SWA284" s="1132" t="n"/>
      <c r="SWB284" s="1132" t="n"/>
      <c r="SWC284" s="1132" t="n"/>
      <c r="SWD284" s="1132" t="n"/>
      <c r="SWE284" s="1132" t="n"/>
      <c r="SWF284" s="1132" t="n"/>
      <c r="SWG284" s="1132" t="n"/>
      <c r="SWH284" s="1132" t="n"/>
      <c r="SWI284" s="1132" t="n"/>
      <c r="SWJ284" s="1132" t="n"/>
      <c r="SWK284" s="1132" t="n"/>
      <c r="SWL284" s="1132" t="n"/>
      <c r="SWM284" s="1132" t="n"/>
      <c r="SWN284" s="1132" t="n"/>
      <c r="SWO284" s="1132" t="n"/>
      <c r="SWP284" s="1132" t="n"/>
      <c r="SWQ284" s="1132" t="n"/>
      <c r="SWR284" s="1132" t="n"/>
      <c r="SWS284" s="1132" t="n"/>
      <c r="SWT284" s="1132" t="n"/>
      <c r="SWU284" s="1132" t="n"/>
      <c r="SWV284" s="1132" t="n"/>
      <c r="SWW284" s="1132" t="n"/>
      <c r="SWX284" s="1132" t="n"/>
      <c r="SWY284" s="1132" t="n"/>
      <c r="SWZ284" s="1132" t="n"/>
      <c r="SXA284" s="1132" t="n"/>
      <c r="SXB284" s="1132" t="n"/>
      <c r="SXC284" s="1132" t="n"/>
      <c r="SXD284" s="1132" t="n"/>
      <c r="SXE284" s="1132" t="n"/>
      <c r="SXF284" s="1132" t="n"/>
      <c r="SXG284" s="1132" t="n"/>
      <c r="SXH284" s="1132" t="n"/>
      <c r="SXI284" s="1132" t="n"/>
      <c r="SXJ284" s="1132" t="n"/>
      <c r="SXK284" s="1132" t="n"/>
      <c r="SXL284" s="1132" t="n"/>
      <c r="SXM284" s="1132" t="n"/>
      <c r="SXN284" s="1132" t="n"/>
      <c r="SXO284" s="1132" t="n"/>
      <c r="SXP284" s="1132" t="n"/>
      <c r="SXQ284" s="1132" t="n"/>
      <c r="SXR284" s="1132" t="n"/>
      <c r="SXS284" s="1132" t="n"/>
      <c r="SXT284" s="1132" t="n"/>
      <c r="SXU284" s="1132" t="n"/>
      <c r="SXV284" s="1132" t="n"/>
      <c r="SXW284" s="1132" t="n"/>
      <c r="SXX284" s="1132" t="n"/>
      <c r="SXY284" s="1132" t="n"/>
      <c r="SXZ284" s="1132" t="n"/>
      <c r="SYA284" s="1132" t="n"/>
      <c r="SYB284" s="1132" t="n"/>
      <c r="SYC284" s="1132" t="n"/>
      <c r="SYD284" s="1132" t="n"/>
      <c r="SYE284" s="1132" t="n"/>
      <c r="SYF284" s="1132" t="n"/>
      <c r="SYG284" s="1132" t="n"/>
      <c r="SYH284" s="1132" t="n"/>
      <c r="SYI284" s="1132" t="n"/>
      <c r="SYJ284" s="1132" t="n"/>
      <c r="SYK284" s="1132" t="n"/>
      <c r="SYL284" s="1132" t="n"/>
      <c r="SYM284" s="1132" t="n"/>
      <c r="SYN284" s="1132" t="n"/>
      <c r="SYO284" s="1132" t="n"/>
      <c r="SYP284" s="1132" t="n"/>
      <c r="SYQ284" s="1132" t="n"/>
      <c r="SYR284" s="1132" t="n"/>
      <c r="SYS284" s="1132" t="n"/>
      <c r="SYT284" s="1132" t="n"/>
      <c r="SYU284" s="1132" t="n"/>
      <c r="SYV284" s="1132" t="n"/>
      <c r="SYW284" s="1132" t="n"/>
      <c r="SYX284" s="1132" t="n"/>
      <c r="SYY284" s="1132" t="n"/>
      <c r="SYZ284" s="1132" t="n"/>
      <c r="SZA284" s="1132" t="n"/>
      <c r="SZB284" s="1132" t="n"/>
      <c r="SZC284" s="1132" t="n"/>
      <c r="SZD284" s="1132" t="n"/>
      <c r="SZE284" s="1132" t="n"/>
      <c r="SZF284" s="1132" t="n"/>
      <c r="SZG284" s="1132" t="n"/>
      <c r="SZH284" s="1132" t="n"/>
      <c r="SZI284" s="1132" t="n"/>
      <c r="SZJ284" s="1132" t="n"/>
      <c r="SZK284" s="1132" t="n"/>
      <c r="SZL284" s="1132" t="n"/>
      <c r="SZM284" s="1132" t="n"/>
      <c r="SZN284" s="1132" t="n"/>
      <c r="SZO284" s="1132" t="n"/>
      <c r="SZP284" s="1132" t="n"/>
      <c r="SZQ284" s="1132" t="n"/>
      <c r="SZR284" s="1132" t="n"/>
      <c r="SZS284" s="1132" t="n"/>
      <c r="SZT284" s="1132" t="n"/>
      <c r="SZU284" s="1132" t="n"/>
      <c r="SZV284" s="1132" t="n"/>
      <c r="SZW284" s="1132" t="n"/>
      <c r="SZX284" s="1132" t="n"/>
      <c r="SZY284" s="1132" t="n"/>
      <c r="SZZ284" s="1132" t="n"/>
      <c r="TAA284" s="1132" t="n"/>
      <c r="TAB284" s="1132" t="n"/>
      <c r="TAC284" s="1132" t="n"/>
      <c r="TAD284" s="1132" t="n"/>
      <c r="TAE284" s="1132" t="n"/>
      <c r="TAF284" s="1132" t="n"/>
      <c r="TAG284" s="1132" t="n"/>
      <c r="TAH284" s="1132" t="n"/>
      <c r="TAI284" s="1132" t="n"/>
      <c r="TAJ284" s="1132" t="n"/>
      <c r="TAK284" s="1132" t="n"/>
      <c r="TAL284" s="1132" t="n"/>
      <c r="TAM284" s="1132" t="n"/>
      <c r="TAN284" s="1132" t="n"/>
      <c r="TAO284" s="1132" t="n"/>
      <c r="TAP284" s="1132" t="n"/>
      <c r="TAQ284" s="1132" t="n"/>
      <c r="TAR284" s="1132" t="n"/>
      <c r="TAS284" s="1132" t="n"/>
      <c r="TAT284" s="1132" t="n"/>
      <c r="TAU284" s="1132" t="n"/>
      <c r="TAV284" s="1132" t="n"/>
      <c r="TAW284" s="1132" t="n"/>
      <c r="TAX284" s="1132" t="n"/>
      <c r="TAY284" s="1132" t="n"/>
      <c r="TAZ284" s="1132" t="n"/>
      <c r="TBA284" s="1132" t="n"/>
      <c r="TBB284" s="1132" t="n"/>
      <c r="TBC284" s="1132" t="n"/>
      <c r="TBD284" s="1132" t="n"/>
      <c r="TBE284" s="1132" t="n"/>
      <c r="TBF284" s="1132" t="n"/>
      <c r="TBG284" s="1132" t="n"/>
      <c r="TBH284" s="1132" t="n"/>
      <c r="TBI284" s="1132" t="n"/>
      <c r="TBJ284" s="1132" t="n"/>
      <c r="TBK284" s="1132" t="n"/>
      <c r="TBL284" s="1132" t="n"/>
      <c r="TBM284" s="1132" t="n"/>
      <c r="TBN284" s="1132" t="n"/>
      <c r="TBO284" s="1132" t="n"/>
      <c r="TBP284" s="1132" t="n"/>
      <c r="TBQ284" s="1132" t="n"/>
      <c r="TBR284" s="1132" t="n"/>
      <c r="TBS284" s="1132" t="n"/>
      <c r="TBT284" s="1132" t="n"/>
      <c r="TBU284" s="1132" t="n"/>
      <c r="TBV284" s="1132" t="n"/>
      <c r="TBW284" s="1132" t="n"/>
      <c r="TBX284" s="1132" t="n"/>
      <c r="TBY284" s="1132" t="n"/>
      <c r="TBZ284" s="1132" t="n"/>
      <c r="TCA284" s="1132" t="n"/>
      <c r="TCB284" s="1132" t="n"/>
      <c r="TCC284" s="1132" t="n"/>
      <c r="TCD284" s="1132" t="n"/>
      <c r="TCE284" s="1132" t="n"/>
      <c r="TCF284" s="1132" t="n"/>
      <c r="TCG284" s="1132" t="n"/>
      <c r="TCH284" s="1132" t="n"/>
      <c r="TCI284" s="1132" t="n"/>
      <c r="TCJ284" s="1132" t="n"/>
      <c r="TCK284" s="1132" t="n"/>
      <c r="TCL284" s="1132" t="n"/>
      <c r="TCM284" s="1132" t="n"/>
      <c r="TCN284" s="1132" t="n"/>
      <c r="TCO284" s="1132" t="n"/>
      <c r="TCP284" s="1132" t="n"/>
      <c r="TCQ284" s="1132" t="n"/>
      <c r="TCR284" s="1132" t="n"/>
      <c r="TCS284" s="1132" t="n"/>
      <c r="TCT284" s="1132" t="n"/>
      <c r="TCU284" s="1132" t="n"/>
      <c r="TCV284" s="1132" t="n"/>
      <c r="TCW284" s="1132" t="n"/>
      <c r="TCX284" s="1132" t="n"/>
      <c r="TCY284" s="1132" t="n"/>
      <c r="TCZ284" s="1132" t="n"/>
      <c r="TDA284" s="1132" t="n"/>
      <c r="TDB284" s="1132" t="n"/>
      <c r="TDC284" s="1132" t="n"/>
      <c r="TDD284" s="1132" t="n"/>
      <c r="TDE284" s="1132" t="n"/>
      <c r="TDF284" s="1132" t="n"/>
      <c r="TDG284" s="1132" t="n"/>
      <c r="TDH284" s="1132" t="n"/>
      <c r="TDI284" s="1132" t="n"/>
      <c r="TDJ284" s="1132" t="n"/>
      <c r="TDK284" s="1132" t="n"/>
      <c r="TDL284" s="1132" t="n"/>
      <c r="TDM284" s="1132" t="n"/>
      <c r="TDN284" s="1132" t="n"/>
      <c r="TDO284" s="1132" t="n"/>
      <c r="TDP284" s="1132" t="n"/>
      <c r="TDQ284" s="1132" t="n"/>
      <c r="TDR284" s="1132" t="n"/>
      <c r="TDS284" s="1132" t="n"/>
      <c r="TDT284" s="1132" t="n"/>
      <c r="TDU284" s="1132" t="n"/>
      <c r="TDV284" s="1132" t="n"/>
      <c r="TDW284" s="1132" t="n"/>
      <c r="TDX284" s="1132" t="n"/>
      <c r="TDY284" s="1132" t="n"/>
      <c r="TDZ284" s="1132" t="n"/>
      <c r="TEA284" s="1132" t="n"/>
      <c r="TEB284" s="1132" t="n"/>
      <c r="TEC284" s="1132" t="n"/>
      <c r="TED284" s="1132" t="n"/>
      <c r="TEE284" s="1132" t="n"/>
      <c r="TEF284" s="1132" t="n"/>
      <c r="TEG284" s="1132" t="n"/>
      <c r="TEH284" s="1132" t="n"/>
      <c r="TEI284" s="1132" t="n"/>
      <c r="TEJ284" s="1132" t="n"/>
      <c r="TEK284" s="1132" t="n"/>
      <c r="TEL284" s="1132" t="n"/>
      <c r="TEM284" s="1132" t="n"/>
      <c r="TEN284" s="1132" t="n"/>
      <c r="TEO284" s="1132" t="n"/>
      <c r="TEP284" s="1132" t="n"/>
      <c r="TEQ284" s="1132" t="n"/>
      <c r="TER284" s="1132" t="n"/>
      <c r="TES284" s="1132" t="n"/>
      <c r="TET284" s="1132" t="n"/>
      <c r="TEU284" s="1132" t="n"/>
      <c r="TEV284" s="1132" t="n"/>
      <c r="TEW284" s="1132" t="n"/>
      <c r="TEX284" s="1132" t="n"/>
      <c r="TEY284" s="1132" t="n"/>
      <c r="TEZ284" s="1132" t="n"/>
      <c r="TFA284" s="1132" t="n"/>
      <c r="TFB284" s="1132" t="n"/>
      <c r="TFC284" s="1132" t="n"/>
      <c r="TFD284" s="1132" t="n"/>
      <c r="TFE284" s="1132" t="n"/>
      <c r="TFF284" s="1132" t="n"/>
      <c r="TFG284" s="1132" t="n"/>
      <c r="TFH284" s="1132" t="n"/>
      <c r="TFI284" s="1132" t="n"/>
      <c r="TFJ284" s="1132" t="n"/>
      <c r="TFK284" s="1132" t="n"/>
      <c r="TFL284" s="1132" t="n"/>
      <c r="TFM284" s="1132" t="n"/>
      <c r="TFN284" s="1132" t="n"/>
      <c r="TFO284" s="1132" t="n"/>
      <c r="TFP284" s="1132" t="n"/>
      <c r="TFQ284" s="1132" t="n"/>
      <c r="TFR284" s="1132" t="n"/>
      <c r="TFS284" s="1132" t="n"/>
      <c r="TFT284" s="1132" t="n"/>
      <c r="TFU284" s="1132" t="n"/>
      <c r="TFV284" s="1132" t="n"/>
      <c r="TFW284" s="1132" t="n"/>
      <c r="TFX284" s="1132" t="n"/>
      <c r="TFY284" s="1132" t="n"/>
      <c r="TFZ284" s="1132" t="n"/>
      <c r="TGA284" s="1132" t="n"/>
      <c r="TGB284" s="1132" t="n"/>
      <c r="TGC284" s="1132" t="n"/>
      <c r="TGD284" s="1132" t="n"/>
      <c r="TGE284" s="1132" t="n"/>
      <c r="TGF284" s="1132" t="n"/>
      <c r="TGG284" s="1132" t="n"/>
      <c r="TGH284" s="1132" t="n"/>
      <c r="TGI284" s="1132" t="n"/>
      <c r="TGJ284" s="1132" t="n"/>
      <c r="TGK284" s="1132" t="n"/>
      <c r="TGL284" s="1132" t="n"/>
      <c r="TGM284" s="1132" t="n"/>
      <c r="TGN284" s="1132" t="n"/>
      <c r="TGO284" s="1132" t="n"/>
      <c r="TGP284" s="1132" t="n"/>
      <c r="TGQ284" s="1132" t="n"/>
      <c r="TGR284" s="1132" t="n"/>
      <c r="TGS284" s="1132" t="n"/>
      <c r="TGT284" s="1132" t="n"/>
      <c r="TGU284" s="1132" t="n"/>
      <c r="TGV284" s="1132" t="n"/>
      <c r="TGW284" s="1132" t="n"/>
      <c r="TGX284" s="1132" t="n"/>
      <c r="TGY284" s="1132" t="n"/>
      <c r="TGZ284" s="1132" t="n"/>
      <c r="THA284" s="1132" t="n"/>
      <c r="THB284" s="1132" t="n"/>
      <c r="THC284" s="1132" t="n"/>
      <c r="THD284" s="1132" t="n"/>
      <c r="THE284" s="1132" t="n"/>
      <c r="THF284" s="1132" t="n"/>
      <c r="THG284" s="1132" t="n"/>
      <c r="THH284" s="1132" t="n"/>
      <c r="THI284" s="1132" t="n"/>
      <c r="THJ284" s="1132" t="n"/>
      <c r="THK284" s="1132" t="n"/>
      <c r="THL284" s="1132" t="n"/>
      <c r="THM284" s="1132" t="n"/>
      <c r="THN284" s="1132" t="n"/>
      <c r="THO284" s="1132" t="n"/>
      <c r="THP284" s="1132" t="n"/>
      <c r="THQ284" s="1132" t="n"/>
      <c r="THR284" s="1132" t="n"/>
      <c r="THS284" s="1132" t="n"/>
      <c r="THT284" s="1132" t="n"/>
      <c r="THU284" s="1132" t="n"/>
      <c r="THV284" s="1132" t="n"/>
      <c r="THW284" s="1132" t="n"/>
      <c r="THX284" s="1132" t="n"/>
      <c r="THY284" s="1132" t="n"/>
      <c r="THZ284" s="1132" t="n"/>
      <c r="TIA284" s="1132" t="n"/>
      <c r="TIB284" s="1132" t="n"/>
      <c r="TIC284" s="1132" t="n"/>
      <c r="TID284" s="1132" t="n"/>
      <c r="TIE284" s="1132" t="n"/>
      <c r="TIF284" s="1132" t="n"/>
      <c r="TIG284" s="1132" t="n"/>
      <c r="TIH284" s="1132" t="n"/>
      <c r="TII284" s="1132" t="n"/>
      <c r="TIJ284" s="1132" t="n"/>
      <c r="TIK284" s="1132" t="n"/>
      <c r="TIL284" s="1132" t="n"/>
      <c r="TIM284" s="1132" t="n"/>
      <c r="TIN284" s="1132" t="n"/>
      <c r="TIO284" s="1132" t="n"/>
      <c r="TIP284" s="1132" t="n"/>
      <c r="TIQ284" s="1132" t="n"/>
      <c r="TIR284" s="1132" t="n"/>
      <c r="TIS284" s="1132" t="n"/>
      <c r="TIT284" s="1132" t="n"/>
      <c r="TIU284" s="1132" t="n"/>
      <c r="TIV284" s="1132" t="n"/>
      <c r="TIW284" s="1132" t="n"/>
      <c r="TIX284" s="1132" t="n"/>
      <c r="TIY284" s="1132" t="n"/>
      <c r="TIZ284" s="1132" t="n"/>
      <c r="TJA284" s="1132" t="n"/>
      <c r="TJB284" s="1132" t="n"/>
      <c r="TJC284" s="1132" t="n"/>
      <c r="TJD284" s="1132" t="n"/>
      <c r="TJE284" s="1132" t="n"/>
      <c r="TJF284" s="1132" t="n"/>
      <c r="TJG284" s="1132" t="n"/>
      <c r="TJH284" s="1132" t="n"/>
      <c r="TJI284" s="1132" t="n"/>
      <c r="TJJ284" s="1132" t="n"/>
      <c r="TJK284" s="1132" t="n"/>
      <c r="TJL284" s="1132" t="n"/>
      <c r="TJM284" s="1132" t="n"/>
      <c r="TJN284" s="1132" t="n"/>
      <c r="TJO284" s="1132" t="n"/>
      <c r="TJP284" s="1132" t="n"/>
      <c r="TJQ284" s="1132" t="n"/>
      <c r="TJR284" s="1132" t="n"/>
      <c r="TJS284" s="1132" t="n"/>
      <c r="TJT284" s="1132" t="n"/>
      <c r="TJU284" s="1132" t="n"/>
      <c r="TJV284" s="1132" t="n"/>
      <c r="TJW284" s="1132" t="n"/>
      <c r="TJX284" s="1132" t="n"/>
      <c r="TJY284" s="1132" t="n"/>
      <c r="TJZ284" s="1132" t="n"/>
      <c r="TKA284" s="1132" t="n"/>
      <c r="TKB284" s="1132" t="n"/>
      <c r="TKC284" s="1132" t="n"/>
      <c r="TKD284" s="1132" t="n"/>
      <c r="TKE284" s="1132" t="n"/>
      <c r="TKF284" s="1132" t="n"/>
      <c r="TKG284" s="1132" t="n"/>
      <c r="TKH284" s="1132" t="n"/>
      <c r="TKI284" s="1132" t="n"/>
      <c r="TKJ284" s="1132" t="n"/>
      <c r="TKK284" s="1132" t="n"/>
      <c r="TKL284" s="1132" t="n"/>
      <c r="TKM284" s="1132" t="n"/>
      <c r="TKN284" s="1132" t="n"/>
      <c r="TKO284" s="1132" t="n"/>
      <c r="TKP284" s="1132" t="n"/>
      <c r="TKQ284" s="1132" t="n"/>
      <c r="TKR284" s="1132" t="n"/>
      <c r="TKS284" s="1132" t="n"/>
      <c r="TKT284" s="1132" t="n"/>
      <c r="TKU284" s="1132" t="n"/>
      <c r="TKV284" s="1132" t="n"/>
      <c r="TKW284" s="1132" t="n"/>
      <c r="TKX284" s="1132" t="n"/>
      <c r="TKY284" s="1132" t="n"/>
      <c r="TKZ284" s="1132" t="n"/>
      <c r="TLA284" s="1132" t="n"/>
      <c r="TLB284" s="1132" t="n"/>
      <c r="TLC284" s="1132" t="n"/>
      <c r="TLD284" s="1132" t="n"/>
      <c r="TLE284" s="1132" t="n"/>
      <c r="TLF284" s="1132" t="n"/>
      <c r="TLG284" s="1132" t="n"/>
      <c r="TLH284" s="1132" t="n"/>
      <c r="TLI284" s="1132" t="n"/>
      <c r="TLJ284" s="1132" t="n"/>
      <c r="TLK284" s="1132" t="n"/>
      <c r="TLL284" s="1132" t="n"/>
      <c r="TLM284" s="1132" t="n"/>
      <c r="TLN284" s="1132" t="n"/>
      <c r="TLO284" s="1132" t="n"/>
      <c r="TLP284" s="1132" t="n"/>
      <c r="TLQ284" s="1132" t="n"/>
      <c r="TLR284" s="1132" t="n"/>
      <c r="TLS284" s="1132" t="n"/>
      <c r="TLT284" s="1132" t="n"/>
      <c r="TLU284" s="1132" t="n"/>
      <c r="TLV284" s="1132" t="n"/>
      <c r="TLW284" s="1132" t="n"/>
      <c r="TLX284" s="1132" t="n"/>
      <c r="TLY284" s="1132" t="n"/>
      <c r="TLZ284" s="1132" t="n"/>
      <c r="TMA284" s="1132" t="n"/>
      <c r="TMB284" s="1132" t="n"/>
      <c r="TMC284" s="1132" t="n"/>
      <c r="TMD284" s="1132" t="n"/>
      <c r="TME284" s="1132" t="n"/>
      <c r="TMF284" s="1132" t="n"/>
      <c r="TMG284" s="1132" t="n"/>
      <c r="TMH284" s="1132" t="n"/>
      <c r="TMI284" s="1132" t="n"/>
      <c r="TMJ284" s="1132" t="n"/>
      <c r="TMK284" s="1132" t="n"/>
      <c r="TML284" s="1132" t="n"/>
      <c r="TMM284" s="1132" t="n"/>
      <c r="TMN284" s="1132" t="n"/>
      <c r="TMO284" s="1132" t="n"/>
      <c r="TMP284" s="1132" t="n"/>
      <c r="TMQ284" s="1132" t="n"/>
      <c r="TMR284" s="1132" t="n"/>
      <c r="TMS284" s="1132" t="n"/>
      <c r="TMT284" s="1132" t="n"/>
      <c r="TMU284" s="1132" t="n"/>
      <c r="TMV284" s="1132" t="n"/>
      <c r="TMW284" s="1132" t="n"/>
      <c r="TMX284" s="1132" t="n"/>
      <c r="TMY284" s="1132" t="n"/>
      <c r="TMZ284" s="1132" t="n"/>
      <c r="TNA284" s="1132" t="n"/>
      <c r="TNB284" s="1132" t="n"/>
      <c r="TNC284" s="1132" t="n"/>
      <c r="TND284" s="1132" t="n"/>
      <c r="TNE284" s="1132" t="n"/>
      <c r="TNF284" s="1132" t="n"/>
      <c r="TNG284" s="1132" t="n"/>
      <c r="TNH284" s="1132" t="n"/>
      <c r="TNI284" s="1132" t="n"/>
      <c r="TNJ284" s="1132" t="n"/>
      <c r="TNK284" s="1132" t="n"/>
      <c r="TNL284" s="1132" t="n"/>
      <c r="TNM284" s="1132" t="n"/>
      <c r="TNN284" s="1132" t="n"/>
      <c r="TNO284" s="1132" t="n"/>
      <c r="TNP284" s="1132" t="n"/>
      <c r="TNQ284" s="1132" t="n"/>
      <c r="TNR284" s="1132" t="n"/>
      <c r="TNS284" s="1132" t="n"/>
      <c r="TNT284" s="1132" t="n"/>
      <c r="TNU284" s="1132" t="n"/>
      <c r="TNV284" s="1132" t="n"/>
      <c r="TNW284" s="1132" t="n"/>
      <c r="TNX284" s="1132" t="n"/>
      <c r="TNY284" s="1132" t="n"/>
      <c r="TNZ284" s="1132" t="n"/>
      <c r="TOA284" s="1132" t="n"/>
      <c r="TOB284" s="1132" t="n"/>
      <c r="TOC284" s="1132" t="n"/>
      <c r="TOD284" s="1132" t="n"/>
      <c r="TOE284" s="1132" t="n"/>
      <c r="TOF284" s="1132" t="n"/>
      <c r="TOG284" s="1132" t="n"/>
      <c r="TOH284" s="1132" t="n"/>
      <c r="TOI284" s="1132" t="n"/>
      <c r="TOJ284" s="1132" t="n"/>
      <c r="TOK284" s="1132" t="n"/>
      <c r="TOL284" s="1132" t="n"/>
      <c r="TOM284" s="1132" t="n"/>
      <c r="TON284" s="1132" t="n"/>
      <c r="TOO284" s="1132" t="n"/>
      <c r="TOP284" s="1132" t="n"/>
      <c r="TOQ284" s="1132" t="n"/>
      <c r="TOR284" s="1132" t="n"/>
      <c r="TOS284" s="1132" t="n"/>
      <c r="TOT284" s="1132" t="n"/>
      <c r="TOU284" s="1132" t="n"/>
      <c r="TOV284" s="1132" t="n"/>
      <c r="TOW284" s="1132" t="n"/>
      <c r="TOX284" s="1132" t="n"/>
      <c r="TOY284" s="1132" t="n"/>
      <c r="TOZ284" s="1132" t="n"/>
      <c r="TPA284" s="1132" t="n"/>
      <c r="TPB284" s="1132" t="n"/>
      <c r="TPC284" s="1132" t="n"/>
      <c r="TPD284" s="1132" t="n"/>
      <c r="TPE284" s="1132" t="n"/>
      <c r="TPF284" s="1132" t="n"/>
      <c r="TPG284" s="1132" t="n"/>
      <c r="TPH284" s="1132" t="n"/>
      <c r="TPI284" s="1132" t="n"/>
      <c r="TPJ284" s="1132" t="n"/>
      <c r="TPK284" s="1132" t="n"/>
      <c r="TPL284" s="1132" t="n"/>
      <c r="TPM284" s="1132" t="n"/>
      <c r="TPN284" s="1132" t="n"/>
      <c r="TPO284" s="1132" t="n"/>
      <c r="TPP284" s="1132" t="n"/>
      <c r="TPQ284" s="1132" t="n"/>
      <c r="TPR284" s="1132" t="n"/>
      <c r="TPS284" s="1132" t="n"/>
      <c r="TPT284" s="1132" t="n"/>
      <c r="TPU284" s="1132" t="n"/>
      <c r="TPV284" s="1132" t="n"/>
      <c r="TPW284" s="1132" t="n"/>
      <c r="TPX284" s="1132" t="n"/>
      <c r="TPY284" s="1132" t="n"/>
      <c r="TPZ284" s="1132" t="n"/>
      <c r="TQA284" s="1132" t="n"/>
      <c r="TQB284" s="1132" t="n"/>
      <c r="TQC284" s="1132" t="n"/>
      <c r="TQD284" s="1132" t="n"/>
      <c r="TQE284" s="1132" t="n"/>
      <c r="TQF284" s="1132" t="n"/>
      <c r="TQG284" s="1132" t="n"/>
      <c r="TQH284" s="1132" t="n"/>
      <c r="TQI284" s="1132" t="n"/>
      <c r="TQJ284" s="1132" t="n"/>
      <c r="TQK284" s="1132" t="n"/>
      <c r="TQL284" s="1132" t="n"/>
      <c r="TQM284" s="1132" t="n"/>
      <c r="TQN284" s="1132" t="n"/>
      <c r="TQO284" s="1132" t="n"/>
      <c r="TQP284" s="1132" t="n"/>
      <c r="TQQ284" s="1132" t="n"/>
      <c r="TQR284" s="1132" t="n"/>
      <c r="TQS284" s="1132" t="n"/>
      <c r="TQT284" s="1132" t="n"/>
      <c r="TQU284" s="1132" t="n"/>
      <c r="TQV284" s="1132" t="n"/>
      <c r="TQW284" s="1132" t="n"/>
      <c r="TQX284" s="1132" t="n"/>
      <c r="TQY284" s="1132" t="n"/>
      <c r="TQZ284" s="1132" t="n"/>
      <c r="TRA284" s="1132" t="n"/>
      <c r="TRB284" s="1132" t="n"/>
      <c r="TRC284" s="1132" t="n"/>
      <c r="TRD284" s="1132" t="n"/>
      <c r="TRE284" s="1132" t="n"/>
      <c r="TRF284" s="1132" t="n"/>
      <c r="TRG284" s="1132" t="n"/>
      <c r="TRH284" s="1132" t="n"/>
      <c r="TRI284" s="1132" t="n"/>
      <c r="TRJ284" s="1132" t="n"/>
      <c r="TRK284" s="1132" t="n"/>
      <c r="TRL284" s="1132" t="n"/>
      <c r="TRM284" s="1132" t="n"/>
      <c r="TRN284" s="1132" t="n"/>
      <c r="TRO284" s="1132" t="n"/>
      <c r="TRP284" s="1132" t="n"/>
      <c r="TRQ284" s="1132" t="n"/>
      <c r="TRR284" s="1132" t="n"/>
      <c r="TRS284" s="1132" t="n"/>
      <c r="TRT284" s="1132" t="n"/>
      <c r="TRU284" s="1132" t="n"/>
      <c r="TRV284" s="1132" t="n"/>
      <c r="TRW284" s="1132" t="n"/>
      <c r="TRX284" s="1132" t="n"/>
      <c r="TRY284" s="1132" t="n"/>
      <c r="TRZ284" s="1132" t="n"/>
      <c r="TSA284" s="1132" t="n"/>
      <c r="TSB284" s="1132" t="n"/>
      <c r="TSC284" s="1132" t="n"/>
      <c r="TSD284" s="1132" t="n"/>
      <c r="TSE284" s="1132" t="n"/>
      <c r="TSF284" s="1132" t="n"/>
      <c r="TSG284" s="1132" t="n"/>
      <c r="TSH284" s="1132" t="n"/>
      <c r="TSI284" s="1132" t="n"/>
      <c r="TSJ284" s="1132" t="n"/>
      <c r="TSK284" s="1132" t="n"/>
      <c r="TSL284" s="1132" t="n"/>
      <c r="TSM284" s="1132" t="n"/>
      <c r="TSN284" s="1132" t="n"/>
      <c r="TSO284" s="1132" t="n"/>
      <c r="TSP284" s="1132" t="n"/>
      <c r="TSQ284" s="1132" t="n"/>
      <c r="TSR284" s="1132" t="n"/>
      <c r="TSS284" s="1132" t="n"/>
      <c r="TST284" s="1132" t="n"/>
      <c r="TSU284" s="1132" t="n"/>
      <c r="TSV284" s="1132" t="n"/>
      <c r="TSW284" s="1132" t="n"/>
      <c r="TSX284" s="1132" t="n"/>
      <c r="TSY284" s="1132" t="n"/>
      <c r="TSZ284" s="1132" t="n"/>
      <c r="TTA284" s="1132" t="n"/>
      <c r="TTB284" s="1132" t="n"/>
      <c r="TTC284" s="1132" t="n"/>
      <c r="TTD284" s="1132" t="n"/>
      <c r="TTE284" s="1132" t="n"/>
      <c r="TTF284" s="1132" t="n"/>
      <c r="TTG284" s="1132" t="n"/>
      <c r="TTH284" s="1132" t="n"/>
      <c r="TTI284" s="1132" t="n"/>
      <c r="TTJ284" s="1132" t="n"/>
      <c r="TTK284" s="1132" t="n"/>
      <c r="TTL284" s="1132" t="n"/>
      <c r="TTM284" s="1132" t="n"/>
      <c r="TTN284" s="1132" t="n"/>
      <c r="TTO284" s="1132" t="n"/>
      <c r="TTP284" s="1132" t="n"/>
      <c r="TTQ284" s="1132" t="n"/>
      <c r="TTR284" s="1132" t="n"/>
      <c r="TTS284" s="1132" t="n"/>
      <c r="TTT284" s="1132" t="n"/>
      <c r="TTU284" s="1132" t="n"/>
      <c r="TTV284" s="1132" t="n"/>
      <c r="TTW284" s="1132" t="n"/>
      <c r="TTX284" s="1132" t="n"/>
      <c r="TTY284" s="1132" t="n"/>
      <c r="TTZ284" s="1132" t="n"/>
      <c r="TUA284" s="1132" t="n"/>
      <c r="TUB284" s="1132" t="n"/>
      <c r="TUC284" s="1132" t="n"/>
      <c r="TUD284" s="1132" t="n"/>
      <c r="TUE284" s="1132" t="n"/>
      <c r="TUF284" s="1132" t="n"/>
      <c r="TUG284" s="1132" t="n"/>
      <c r="TUH284" s="1132" t="n"/>
      <c r="TUI284" s="1132" t="n"/>
      <c r="TUJ284" s="1132" t="n"/>
      <c r="TUK284" s="1132" t="n"/>
      <c r="TUL284" s="1132" t="n"/>
      <c r="TUM284" s="1132" t="n"/>
      <c r="TUN284" s="1132" t="n"/>
      <c r="TUO284" s="1132" t="n"/>
      <c r="TUP284" s="1132" t="n"/>
      <c r="TUQ284" s="1132" t="n"/>
      <c r="TUR284" s="1132" t="n"/>
      <c r="TUS284" s="1132" t="n"/>
      <c r="TUT284" s="1132" t="n"/>
      <c r="TUU284" s="1132" t="n"/>
      <c r="TUV284" s="1132" t="n"/>
      <c r="TUW284" s="1132" t="n"/>
      <c r="TUX284" s="1132" t="n"/>
      <c r="TUY284" s="1132" t="n"/>
      <c r="TUZ284" s="1132" t="n"/>
      <c r="TVA284" s="1132" t="n"/>
      <c r="TVB284" s="1132" t="n"/>
      <c r="TVC284" s="1132" t="n"/>
      <c r="TVD284" s="1132" t="n"/>
      <c r="TVE284" s="1132" t="n"/>
      <c r="TVF284" s="1132" t="n"/>
      <c r="TVG284" s="1132" t="n"/>
      <c r="TVH284" s="1132" t="n"/>
      <c r="TVI284" s="1132" t="n"/>
      <c r="TVJ284" s="1132" t="n"/>
      <c r="TVK284" s="1132" t="n"/>
      <c r="TVL284" s="1132" t="n"/>
      <c r="TVM284" s="1132" t="n"/>
      <c r="TVN284" s="1132" t="n"/>
      <c r="TVO284" s="1132" t="n"/>
      <c r="TVP284" s="1132" t="n"/>
      <c r="TVQ284" s="1132" t="n"/>
      <c r="TVR284" s="1132" t="n"/>
      <c r="TVS284" s="1132" t="n"/>
      <c r="TVT284" s="1132" t="n"/>
      <c r="TVU284" s="1132" t="n"/>
      <c r="TVV284" s="1132" t="n"/>
      <c r="TVW284" s="1132" t="n"/>
      <c r="TVX284" s="1132" t="n"/>
      <c r="TVY284" s="1132" t="n"/>
      <c r="TVZ284" s="1132" t="n"/>
      <c r="TWA284" s="1132" t="n"/>
      <c r="TWB284" s="1132" t="n"/>
      <c r="TWC284" s="1132" t="n"/>
      <c r="TWD284" s="1132" t="n"/>
      <c r="TWE284" s="1132" t="n"/>
      <c r="TWF284" s="1132" t="n"/>
      <c r="TWG284" s="1132" t="n"/>
      <c r="TWH284" s="1132" t="n"/>
      <c r="TWI284" s="1132" t="n"/>
      <c r="TWJ284" s="1132" t="n"/>
      <c r="TWK284" s="1132" t="n"/>
      <c r="TWL284" s="1132" t="n"/>
      <c r="TWM284" s="1132" t="n"/>
      <c r="TWN284" s="1132" t="n"/>
      <c r="TWO284" s="1132" t="n"/>
      <c r="TWP284" s="1132" t="n"/>
      <c r="TWQ284" s="1132" t="n"/>
      <c r="TWR284" s="1132" t="n"/>
      <c r="TWS284" s="1132" t="n"/>
      <c r="TWT284" s="1132" t="n"/>
      <c r="TWU284" s="1132" t="n"/>
      <c r="TWV284" s="1132" t="n"/>
      <c r="TWW284" s="1132" t="n"/>
      <c r="TWX284" s="1132" t="n"/>
      <c r="TWY284" s="1132" t="n"/>
      <c r="TWZ284" s="1132" t="n"/>
      <c r="TXA284" s="1132" t="n"/>
      <c r="TXB284" s="1132" t="n"/>
      <c r="TXC284" s="1132" t="n"/>
      <c r="TXD284" s="1132" t="n"/>
      <c r="TXE284" s="1132" t="n"/>
      <c r="TXF284" s="1132" t="n"/>
      <c r="TXG284" s="1132" t="n"/>
      <c r="TXH284" s="1132" t="n"/>
      <c r="TXI284" s="1132" t="n"/>
      <c r="TXJ284" s="1132" t="n"/>
      <c r="TXK284" s="1132" t="n"/>
      <c r="TXL284" s="1132" t="n"/>
      <c r="TXM284" s="1132" t="n"/>
      <c r="TXN284" s="1132" t="n"/>
      <c r="TXO284" s="1132" t="n"/>
      <c r="TXP284" s="1132" t="n"/>
      <c r="TXQ284" s="1132" t="n"/>
      <c r="TXR284" s="1132" t="n"/>
      <c r="TXS284" s="1132" t="n"/>
      <c r="TXT284" s="1132" t="n"/>
      <c r="TXU284" s="1132" t="n"/>
      <c r="TXV284" s="1132" t="n"/>
      <c r="TXW284" s="1132" t="n"/>
      <c r="TXX284" s="1132" t="n"/>
      <c r="TXY284" s="1132" t="n"/>
      <c r="TXZ284" s="1132" t="n"/>
      <c r="TYA284" s="1132" t="n"/>
      <c r="TYB284" s="1132" t="n"/>
      <c r="TYC284" s="1132" t="n"/>
      <c r="TYD284" s="1132" t="n"/>
      <c r="TYE284" s="1132" t="n"/>
      <c r="TYF284" s="1132" t="n"/>
      <c r="TYG284" s="1132" t="n"/>
      <c r="TYH284" s="1132" t="n"/>
      <c r="TYI284" s="1132" t="n"/>
      <c r="TYJ284" s="1132" t="n"/>
      <c r="TYK284" s="1132" t="n"/>
      <c r="TYL284" s="1132" t="n"/>
      <c r="TYM284" s="1132" t="n"/>
      <c r="TYN284" s="1132" t="n"/>
      <c r="TYO284" s="1132" t="n"/>
      <c r="TYP284" s="1132" t="n"/>
      <c r="TYQ284" s="1132" t="n"/>
      <c r="TYR284" s="1132" t="n"/>
      <c r="TYS284" s="1132" t="n"/>
      <c r="TYT284" s="1132" t="n"/>
      <c r="TYU284" s="1132" t="n"/>
      <c r="TYV284" s="1132" t="n"/>
      <c r="TYW284" s="1132" t="n"/>
      <c r="TYX284" s="1132" t="n"/>
      <c r="TYY284" s="1132" t="n"/>
      <c r="TYZ284" s="1132" t="n"/>
      <c r="TZA284" s="1132" t="n"/>
      <c r="TZB284" s="1132" t="n"/>
      <c r="TZC284" s="1132" t="n"/>
      <c r="TZD284" s="1132" t="n"/>
      <c r="TZE284" s="1132" t="n"/>
      <c r="TZF284" s="1132" t="n"/>
      <c r="TZG284" s="1132" t="n"/>
      <c r="TZH284" s="1132" t="n"/>
      <c r="TZI284" s="1132" t="n"/>
      <c r="TZJ284" s="1132" t="n"/>
      <c r="TZK284" s="1132" t="n"/>
      <c r="TZL284" s="1132" t="n"/>
      <c r="TZM284" s="1132" t="n"/>
      <c r="TZN284" s="1132" t="n"/>
      <c r="TZO284" s="1132" t="n"/>
      <c r="TZP284" s="1132" t="n"/>
      <c r="TZQ284" s="1132" t="n"/>
      <c r="TZR284" s="1132" t="n"/>
      <c r="TZS284" s="1132" t="n"/>
      <c r="TZT284" s="1132" t="n"/>
      <c r="TZU284" s="1132" t="n"/>
      <c r="TZV284" s="1132" t="n"/>
      <c r="TZW284" s="1132" t="n"/>
      <c r="TZX284" s="1132" t="n"/>
      <c r="TZY284" s="1132" t="n"/>
      <c r="TZZ284" s="1132" t="n"/>
      <c r="UAA284" s="1132" t="n"/>
      <c r="UAB284" s="1132" t="n"/>
      <c r="UAC284" s="1132" t="n"/>
      <c r="UAD284" s="1132" t="n"/>
      <c r="UAE284" s="1132" t="n"/>
      <c r="UAF284" s="1132" t="n"/>
      <c r="UAG284" s="1132" t="n"/>
      <c r="UAH284" s="1132" t="n"/>
      <c r="UAI284" s="1132" t="n"/>
      <c r="UAJ284" s="1132" t="n"/>
      <c r="UAK284" s="1132" t="n"/>
      <c r="UAL284" s="1132" t="n"/>
      <c r="UAM284" s="1132" t="n"/>
      <c r="UAN284" s="1132" t="n"/>
      <c r="UAO284" s="1132" t="n"/>
      <c r="UAP284" s="1132" t="n"/>
      <c r="UAQ284" s="1132" t="n"/>
      <c r="UAR284" s="1132" t="n"/>
      <c r="UAS284" s="1132" t="n"/>
      <c r="UAT284" s="1132" t="n"/>
      <c r="UAU284" s="1132" t="n"/>
      <c r="UAV284" s="1132" t="n"/>
      <c r="UAW284" s="1132" t="n"/>
      <c r="UAX284" s="1132" t="n"/>
      <c r="UAY284" s="1132" t="n"/>
      <c r="UAZ284" s="1132" t="n"/>
      <c r="UBA284" s="1132" t="n"/>
      <c r="UBB284" s="1132" t="n"/>
      <c r="UBC284" s="1132" t="n"/>
      <c r="UBD284" s="1132" t="n"/>
      <c r="UBE284" s="1132" t="n"/>
      <c r="UBF284" s="1132" t="n"/>
      <c r="UBG284" s="1132" t="n"/>
      <c r="UBH284" s="1132" t="n"/>
      <c r="UBI284" s="1132" t="n"/>
      <c r="UBJ284" s="1132" t="n"/>
      <c r="UBK284" s="1132" t="n"/>
      <c r="UBL284" s="1132" t="n"/>
      <c r="UBM284" s="1132" t="n"/>
      <c r="UBN284" s="1132" t="n"/>
      <c r="UBO284" s="1132" t="n"/>
      <c r="UBP284" s="1132" t="n"/>
      <c r="UBQ284" s="1132" t="n"/>
      <c r="UBR284" s="1132" t="n"/>
      <c r="UBS284" s="1132" t="n"/>
      <c r="UBT284" s="1132" t="n"/>
      <c r="UBU284" s="1132" t="n"/>
      <c r="UBV284" s="1132" t="n"/>
      <c r="UBW284" s="1132" t="n"/>
      <c r="UBX284" s="1132" t="n"/>
      <c r="UBY284" s="1132" t="n"/>
      <c r="UBZ284" s="1132" t="n"/>
      <c r="UCA284" s="1132" t="n"/>
      <c r="UCB284" s="1132" t="n"/>
      <c r="UCC284" s="1132" t="n"/>
      <c r="UCD284" s="1132" t="n"/>
      <c r="UCE284" s="1132" t="n"/>
      <c r="UCF284" s="1132" t="n"/>
      <c r="UCG284" s="1132" t="n"/>
      <c r="UCH284" s="1132" t="n"/>
      <c r="UCI284" s="1132" t="n"/>
      <c r="UCJ284" s="1132" t="n"/>
      <c r="UCK284" s="1132" t="n"/>
      <c r="UCL284" s="1132" t="n"/>
      <c r="UCM284" s="1132" t="n"/>
      <c r="UCN284" s="1132" t="n"/>
      <c r="UCO284" s="1132" t="n"/>
      <c r="UCP284" s="1132" t="n"/>
      <c r="UCQ284" s="1132" t="n"/>
      <c r="UCR284" s="1132" t="n"/>
      <c r="UCS284" s="1132" t="n"/>
      <c r="UCT284" s="1132" t="n"/>
      <c r="UCU284" s="1132" t="n"/>
      <c r="UCV284" s="1132" t="n"/>
      <c r="UCW284" s="1132" t="n"/>
      <c r="UCX284" s="1132" t="n"/>
      <c r="UCY284" s="1132" t="n"/>
      <c r="UCZ284" s="1132" t="n"/>
      <c r="UDA284" s="1132" t="n"/>
      <c r="UDB284" s="1132" t="n"/>
      <c r="UDC284" s="1132" t="n"/>
      <c r="UDD284" s="1132" t="n"/>
      <c r="UDE284" s="1132" t="n"/>
      <c r="UDF284" s="1132" t="n"/>
      <c r="UDG284" s="1132" t="n"/>
      <c r="UDH284" s="1132" t="n"/>
      <c r="UDI284" s="1132" t="n"/>
      <c r="UDJ284" s="1132" t="n"/>
      <c r="UDK284" s="1132" t="n"/>
      <c r="UDL284" s="1132" t="n"/>
      <c r="UDM284" s="1132" t="n"/>
      <c r="UDN284" s="1132" t="n"/>
      <c r="UDO284" s="1132" t="n"/>
      <c r="UDP284" s="1132" t="n"/>
      <c r="UDQ284" s="1132" t="n"/>
      <c r="UDR284" s="1132" t="n"/>
      <c r="UDS284" s="1132" t="n"/>
      <c r="UDT284" s="1132" t="n"/>
      <c r="UDU284" s="1132" t="n"/>
      <c r="UDV284" s="1132" t="n"/>
      <c r="UDW284" s="1132" t="n"/>
      <c r="UDX284" s="1132" t="n"/>
      <c r="UDY284" s="1132" t="n"/>
      <c r="UDZ284" s="1132" t="n"/>
      <c r="UEA284" s="1132" t="n"/>
      <c r="UEB284" s="1132" t="n"/>
      <c r="UEC284" s="1132" t="n"/>
      <c r="UED284" s="1132" t="n"/>
      <c r="UEE284" s="1132" t="n"/>
      <c r="UEF284" s="1132" t="n"/>
      <c r="UEG284" s="1132" t="n"/>
      <c r="UEH284" s="1132" t="n"/>
      <c r="UEI284" s="1132" t="n"/>
      <c r="UEJ284" s="1132" t="n"/>
      <c r="UEK284" s="1132" t="n"/>
      <c r="UEL284" s="1132" t="n"/>
      <c r="UEM284" s="1132" t="n"/>
      <c r="UEN284" s="1132" t="n"/>
      <c r="UEO284" s="1132" t="n"/>
      <c r="UEP284" s="1132" t="n"/>
      <c r="UEQ284" s="1132" t="n"/>
      <c r="UER284" s="1132" t="n"/>
      <c r="UES284" s="1132" t="n"/>
      <c r="UET284" s="1132" t="n"/>
      <c r="UEU284" s="1132" t="n"/>
      <c r="UEV284" s="1132" t="n"/>
      <c r="UEW284" s="1132" t="n"/>
      <c r="UEX284" s="1132" t="n"/>
      <c r="UEY284" s="1132" t="n"/>
      <c r="UEZ284" s="1132" t="n"/>
      <c r="UFA284" s="1132" t="n"/>
      <c r="UFB284" s="1132" t="n"/>
      <c r="UFC284" s="1132" t="n"/>
      <c r="UFD284" s="1132" t="n"/>
      <c r="UFE284" s="1132" t="n"/>
      <c r="UFF284" s="1132" t="n"/>
      <c r="UFG284" s="1132" t="n"/>
      <c r="UFH284" s="1132" t="n"/>
      <c r="UFI284" s="1132" t="n"/>
      <c r="UFJ284" s="1132" t="n"/>
      <c r="UFK284" s="1132" t="n"/>
      <c r="UFL284" s="1132" t="n"/>
      <c r="UFM284" s="1132" t="n"/>
      <c r="UFN284" s="1132" t="n"/>
      <c r="UFO284" s="1132" t="n"/>
      <c r="UFP284" s="1132" t="n"/>
      <c r="UFQ284" s="1132" t="n"/>
      <c r="UFR284" s="1132" t="n"/>
      <c r="UFS284" s="1132" t="n"/>
      <c r="UFT284" s="1132" t="n"/>
      <c r="UFU284" s="1132" t="n"/>
      <c r="UFV284" s="1132" t="n"/>
      <c r="UFW284" s="1132" t="n"/>
      <c r="UFX284" s="1132" t="n"/>
      <c r="UFY284" s="1132" t="n"/>
      <c r="UFZ284" s="1132" t="n"/>
      <c r="UGA284" s="1132" t="n"/>
      <c r="UGB284" s="1132" t="n"/>
      <c r="UGC284" s="1132" t="n"/>
      <c r="UGD284" s="1132" t="n"/>
      <c r="UGE284" s="1132" t="n"/>
      <c r="UGF284" s="1132" t="n"/>
      <c r="UGG284" s="1132" t="n"/>
      <c r="UGH284" s="1132" t="n"/>
      <c r="UGI284" s="1132" t="n"/>
      <c r="UGJ284" s="1132" t="n"/>
      <c r="UGK284" s="1132" t="n"/>
      <c r="UGL284" s="1132" t="n"/>
      <c r="UGM284" s="1132" t="n"/>
      <c r="UGN284" s="1132" t="n"/>
      <c r="UGO284" s="1132" t="n"/>
      <c r="UGP284" s="1132" t="n"/>
      <c r="UGQ284" s="1132" t="n"/>
      <c r="UGR284" s="1132" t="n"/>
      <c r="UGS284" s="1132" t="n"/>
      <c r="UGT284" s="1132" t="n"/>
      <c r="UGU284" s="1132" t="n"/>
      <c r="UGV284" s="1132" t="n"/>
      <c r="UGW284" s="1132" t="n"/>
      <c r="UGX284" s="1132" t="n"/>
      <c r="UGY284" s="1132" t="n"/>
      <c r="UGZ284" s="1132" t="n"/>
      <c r="UHA284" s="1132" t="n"/>
      <c r="UHB284" s="1132" t="n"/>
      <c r="UHC284" s="1132" t="n"/>
      <c r="UHD284" s="1132" t="n"/>
      <c r="UHE284" s="1132" t="n"/>
      <c r="UHF284" s="1132" t="n"/>
      <c r="UHG284" s="1132" t="n"/>
      <c r="UHH284" s="1132" t="n"/>
      <c r="UHI284" s="1132" t="n"/>
      <c r="UHJ284" s="1132" t="n"/>
      <c r="UHK284" s="1132" t="n"/>
      <c r="UHL284" s="1132" t="n"/>
      <c r="UHM284" s="1132" t="n"/>
      <c r="UHN284" s="1132" t="n"/>
      <c r="UHO284" s="1132" t="n"/>
      <c r="UHP284" s="1132" t="n"/>
      <c r="UHQ284" s="1132" t="n"/>
      <c r="UHR284" s="1132" t="n"/>
      <c r="UHS284" s="1132" t="n"/>
      <c r="UHT284" s="1132" t="n"/>
      <c r="UHU284" s="1132" t="n"/>
      <c r="UHV284" s="1132" t="n"/>
      <c r="UHW284" s="1132" t="n"/>
      <c r="UHX284" s="1132" t="n"/>
      <c r="UHY284" s="1132" t="n"/>
      <c r="UHZ284" s="1132" t="n"/>
      <c r="UIA284" s="1132" t="n"/>
      <c r="UIB284" s="1132" t="n"/>
      <c r="UIC284" s="1132" t="n"/>
      <c r="UID284" s="1132" t="n"/>
      <c r="UIE284" s="1132" t="n"/>
      <c r="UIF284" s="1132" t="n"/>
      <c r="UIG284" s="1132" t="n"/>
      <c r="UIH284" s="1132" t="n"/>
      <c r="UII284" s="1132" t="n"/>
      <c r="UIJ284" s="1132" t="n"/>
      <c r="UIK284" s="1132" t="n"/>
      <c r="UIL284" s="1132" t="n"/>
      <c r="UIM284" s="1132" t="n"/>
      <c r="UIN284" s="1132" t="n"/>
      <c r="UIO284" s="1132" t="n"/>
      <c r="UIP284" s="1132" t="n"/>
      <c r="UIQ284" s="1132" t="n"/>
      <c r="UIR284" s="1132" t="n"/>
      <c r="UIS284" s="1132" t="n"/>
      <c r="UIT284" s="1132" t="n"/>
      <c r="UIU284" s="1132" t="n"/>
      <c r="UIV284" s="1132" t="n"/>
      <c r="UIW284" s="1132" t="n"/>
      <c r="UIX284" s="1132" t="n"/>
      <c r="UIY284" s="1132" t="n"/>
      <c r="UIZ284" s="1132" t="n"/>
      <c r="UJA284" s="1132" t="n"/>
      <c r="UJB284" s="1132" t="n"/>
      <c r="UJC284" s="1132" t="n"/>
      <c r="UJD284" s="1132" t="n"/>
      <c r="UJE284" s="1132" t="n"/>
      <c r="UJF284" s="1132" t="n"/>
      <c r="UJG284" s="1132" t="n"/>
      <c r="UJH284" s="1132" t="n"/>
      <c r="UJI284" s="1132" t="n"/>
      <c r="UJJ284" s="1132" t="n"/>
      <c r="UJK284" s="1132" t="n"/>
      <c r="UJL284" s="1132" t="n"/>
      <c r="UJM284" s="1132" t="n"/>
      <c r="UJN284" s="1132" t="n"/>
      <c r="UJO284" s="1132" t="n"/>
      <c r="UJP284" s="1132" t="n"/>
      <c r="UJQ284" s="1132" t="n"/>
      <c r="UJR284" s="1132" t="n"/>
      <c r="UJS284" s="1132" t="n"/>
      <c r="UJT284" s="1132" t="n"/>
      <c r="UJU284" s="1132" t="n"/>
      <c r="UJV284" s="1132" t="n"/>
      <c r="UJW284" s="1132" t="n"/>
      <c r="UJX284" s="1132" t="n"/>
      <c r="UJY284" s="1132" t="n"/>
      <c r="UJZ284" s="1132" t="n"/>
      <c r="UKA284" s="1132" t="n"/>
      <c r="UKB284" s="1132" t="n"/>
      <c r="UKC284" s="1132" t="n"/>
      <c r="UKD284" s="1132" t="n"/>
      <c r="UKE284" s="1132" t="n"/>
      <c r="UKF284" s="1132" t="n"/>
      <c r="UKG284" s="1132" t="n"/>
      <c r="UKH284" s="1132" t="n"/>
      <c r="UKI284" s="1132" t="n"/>
      <c r="UKJ284" s="1132" t="n"/>
      <c r="UKK284" s="1132" t="n"/>
      <c r="UKL284" s="1132" t="n"/>
      <c r="UKM284" s="1132" t="n"/>
      <c r="UKN284" s="1132" t="n"/>
      <c r="UKO284" s="1132" t="n"/>
      <c r="UKP284" s="1132" t="n"/>
      <c r="UKQ284" s="1132" t="n"/>
      <c r="UKR284" s="1132" t="n"/>
      <c r="UKS284" s="1132" t="n"/>
      <c r="UKT284" s="1132" t="n"/>
      <c r="UKU284" s="1132" t="n"/>
      <c r="UKV284" s="1132" t="n"/>
      <c r="UKW284" s="1132" t="n"/>
      <c r="UKX284" s="1132" t="n"/>
      <c r="UKY284" s="1132" t="n"/>
      <c r="UKZ284" s="1132" t="n"/>
      <c r="ULA284" s="1132" t="n"/>
      <c r="ULB284" s="1132" t="n"/>
      <c r="ULC284" s="1132" t="n"/>
      <c r="ULD284" s="1132" t="n"/>
      <c r="ULE284" s="1132" t="n"/>
      <c r="ULF284" s="1132" t="n"/>
      <c r="ULG284" s="1132" t="n"/>
      <c r="ULH284" s="1132" t="n"/>
      <c r="ULI284" s="1132" t="n"/>
      <c r="ULJ284" s="1132" t="n"/>
      <c r="ULK284" s="1132" t="n"/>
      <c r="ULL284" s="1132" t="n"/>
      <c r="ULM284" s="1132" t="n"/>
      <c r="ULN284" s="1132" t="n"/>
      <c r="ULO284" s="1132" t="n"/>
      <c r="ULP284" s="1132" t="n"/>
      <c r="ULQ284" s="1132" t="n"/>
      <c r="ULR284" s="1132" t="n"/>
      <c r="ULS284" s="1132" t="n"/>
      <c r="ULT284" s="1132" t="n"/>
      <c r="ULU284" s="1132" t="n"/>
      <c r="ULV284" s="1132" t="n"/>
      <c r="ULW284" s="1132" t="n"/>
      <c r="ULX284" s="1132" t="n"/>
      <c r="ULY284" s="1132" t="n"/>
      <c r="ULZ284" s="1132" t="n"/>
      <c r="UMA284" s="1132" t="n"/>
      <c r="UMB284" s="1132" t="n"/>
      <c r="UMC284" s="1132" t="n"/>
      <c r="UMD284" s="1132" t="n"/>
      <c r="UME284" s="1132" t="n"/>
      <c r="UMF284" s="1132" t="n"/>
      <c r="UMG284" s="1132" t="n"/>
      <c r="UMH284" s="1132" t="n"/>
      <c r="UMI284" s="1132" t="n"/>
      <c r="UMJ284" s="1132" t="n"/>
      <c r="UMK284" s="1132" t="n"/>
      <c r="UML284" s="1132" t="n"/>
      <c r="UMM284" s="1132" t="n"/>
      <c r="UMN284" s="1132" t="n"/>
      <c r="UMO284" s="1132" t="n"/>
      <c r="UMP284" s="1132" t="n"/>
      <c r="UMQ284" s="1132" t="n"/>
      <c r="UMR284" s="1132" t="n"/>
      <c r="UMS284" s="1132" t="n"/>
      <c r="UMT284" s="1132" t="n"/>
      <c r="UMU284" s="1132" t="n"/>
      <c r="UMV284" s="1132" t="n"/>
      <c r="UMW284" s="1132" t="n"/>
      <c r="UMX284" s="1132" t="n"/>
      <c r="UMY284" s="1132" t="n"/>
      <c r="UMZ284" s="1132" t="n"/>
      <c r="UNA284" s="1132" t="n"/>
      <c r="UNB284" s="1132" t="n"/>
      <c r="UNC284" s="1132" t="n"/>
      <c r="UND284" s="1132" t="n"/>
      <c r="UNE284" s="1132" t="n"/>
      <c r="UNF284" s="1132" t="n"/>
      <c r="UNG284" s="1132" t="n"/>
      <c r="UNH284" s="1132" t="n"/>
      <c r="UNI284" s="1132" t="n"/>
      <c r="UNJ284" s="1132" t="n"/>
      <c r="UNK284" s="1132" t="n"/>
      <c r="UNL284" s="1132" t="n"/>
      <c r="UNM284" s="1132" t="n"/>
      <c r="UNN284" s="1132" t="n"/>
      <c r="UNO284" s="1132" t="n"/>
      <c r="UNP284" s="1132" t="n"/>
      <c r="UNQ284" s="1132" t="n"/>
      <c r="UNR284" s="1132" t="n"/>
      <c r="UNS284" s="1132" t="n"/>
      <c r="UNT284" s="1132" t="n"/>
      <c r="UNU284" s="1132" t="n"/>
      <c r="UNV284" s="1132" t="n"/>
      <c r="UNW284" s="1132" t="n"/>
      <c r="UNX284" s="1132" t="n"/>
      <c r="UNY284" s="1132" t="n"/>
      <c r="UNZ284" s="1132" t="n"/>
      <c r="UOA284" s="1132" t="n"/>
      <c r="UOB284" s="1132" t="n"/>
      <c r="UOC284" s="1132" t="n"/>
      <c r="UOD284" s="1132" t="n"/>
      <c r="UOE284" s="1132" t="n"/>
      <c r="UOF284" s="1132" t="n"/>
      <c r="UOG284" s="1132" t="n"/>
      <c r="UOH284" s="1132" t="n"/>
      <c r="UOI284" s="1132" t="n"/>
      <c r="UOJ284" s="1132" t="n"/>
      <c r="UOK284" s="1132" t="n"/>
      <c r="UOL284" s="1132" t="n"/>
      <c r="UOM284" s="1132" t="n"/>
      <c r="UON284" s="1132" t="n"/>
      <c r="UOO284" s="1132" t="n"/>
      <c r="UOP284" s="1132" t="n"/>
      <c r="UOQ284" s="1132" t="n"/>
      <c r="UOR284" s="1132" t="n"/>
      <c r="UOS284" s="1132" t="n"/>
      <c r="UOT284" s="1132" t="n"/>
      <c r="UOU284" s="1132" t="n"/>
      <c r="UOV284" s="1132" t="n"/>
      <c r="UOW284" s="1132" t="n"/>
      <c r="UOX284" s="1132" t="n"/>
      <c r="UOY284" s="1132" t="n"/>
      <c r="UOZ284" s="1132" t="n"/>
      <c r="UPA284" s="1132" t="n"/>
      <c r="UPB284" s="1132" t="n"/>
      <c r="UPC284" s="1132" t="n"/>
      <c r="UPD284" s="1132" t="n"/>
      <c r="UPE284" s="1132" t="n"/>
      <c r="UPF284" s="1132" t="n"/>
      <c r="UPG284" s="1132" t="n"/>
      <c r="UPH284" s="1132" t="n"/>
      <c r="UPI284" s="1132" t="n"/>
      <c r="UPJ284" s="1132" t="n"/>
      <c r="UPK284" s="1132" t="n"/>
      <c r="UPL284" s="1132" t="n"/>
      <c r="UPM284" s="1132" t="n"/>
      <c r="UPN284" s="1132" t="n"/>
      <c r="UPO284" s="1132" t="n"/>
      <c r="UPP284" s="1132" t="n"/>
      <c r="UPQ284" s="1132" t="n"/>
      <c r="UPR284" s="1132" t="n"/>
      <c r="UPS284" s="1132" t="n"/>
      <c r="UPT284" s="1132" t="n"/>
      <c r="UPU284" s="1132" t="n"/>
      <c r="UPV284" s="1132" t="n"/>
      <c r="UPW284" s="1132" t="n"/>
      <c r="UPX284" s="1132" t="n"/>
      <c r="UPY284" s="1132" t="n"/>
      <c r="UPZ284" s="1132" t="n"/>
      <c r="UQA284" s="1132" t="n"/>
      <c r="UQB284" s="1132" t="n"/>
      <c r="UQC284" s="1132" t="n"/>
      <c r="UQD284" s="1132" t="n"/>
      <c r="UQE284" s="1132" t="n"/>
      <c r="UQF284" s="1132" t="n"/>
      <c r="UQG284" s="1132" t="n"/>
      <c r="UQH284" s="1132" t="n"/>
      <c r="UQI284" s="1132" t="n"/>
      <c r="UQJ284" s="1132" t="n"/>
      <c r="UQK284" s="1132" t="n"/>
      <c r="UQL284" s="1132" t="n"/>
      <c r="UQM284" s="1132" t="n"/>
      <c r="UQN284" s="1132" t="n"/>
      <c r="UQO284" s="1132" t="n"/>
      <c r="UQP284" s="1132" t="n"/>
      <c r="UQQ284" s="1132" t="n"/>
      <c r="UQR284" s="1132" t="n"/>
      <c r="UQS284" s="1132" t="n"/>
      <c r="UQT284" s="1132" t="n"/>
      <c r="UQU284" s="1132" t="n"/>
      <c r="UQV284" s="1132" t="n"/>
      <c r="UQW284" s="1132" t="n"/>
      <c r="UQX284" s="1132" t="n"/>
      <c r="UQY284" s="1132" t="n"/>
      <c r="UQZ284" s="1132" t="n"/>
      <c r="URA284" s="1132" t="n"/>
      <c r="URB284" s="1132" t="n"/>
      <c r="URC284" s="1132" t="n"/>
      <c r="URD284" s="1132" t="n"/>
      <c r="URE284" s="1132" t="n"/>
      <c r="URF284" s="1132" t="n"/>
      <c r="URG284" s="1132" t="n"/>
      <c r="URH284" s="1132" t="n"/>
      <c r="URI284" s="1132" t="n"/>
      <c r="URJ284" s="1132" t="n"/>
      <c r="URK284" s="1132" t="n"/>
      <c r="URL284" s="1132" t="n"/>
      <c r="URM284" s="1132" t="n"/>
      <c r="URN284" s="1132" t="n"/>
      <c r="URO284" s="1132" t="n"/>
      <c r="URP284" s="1132" t="n"/>
      <c r="URQ284" s="1132" t="n"/>
      <c r="URR284" s="1132" t="n"/>
      <c r="URS284" s="1132" t="n"/>
      <c r="URT284" s="1132" t="n"/>
      <c r="URU284" s="1132" t="n"/>
      <c r="URV284" s="1132" t="n"/>
      <c r="URW284" s="1132" t="n"/>
      <c r="URX284" s="1132" t="n"/>
      <c r="URY284" s="1132" t="n"/>
      <c r="URZ284" s="1132" t="n"/>
      <c r="USA284" s="1132" t="n"/>
      <c r="USB284" s="1132" t="n"/>
      <c r="USC284" s="1132" t="n"/>
      <c r="USD284" s="1132" t="n"/>
      <c r="USE284" s="1132" t="n"/>
      <c r="USF284" s="1132" t="n"/>
      <c r="USG284" s="1132" t="n"/>
      <c r="USH284" s="1132" t="n"/>
      <c r="USI284" s="1132" t="n"/>
      <c r="USJ284" s="1132" t="n"/>
      <c r="USK284" s="1132" t="n"/>
      <c r="USL284" s="1132" t="n"/>
      <c r="USM284" s="1132" t="n"/>
      <c r="USN284" s="1132" t="n"/>
      <c r="USO284" s="1132" t="n"/>
      <c r="USP284" s="1132" t="n"/>
      <c r="USQ284" s="1132" t="n"/>
      <c r="USR284" s="1132" t="n"/>
      <c r="USS284" s="1132" t="n"/>
      <c r="UST284" s="1132" t="n"/>
      <c r="USU284" s="1132" t="n"/>
      <c r="USV284" s="1132" t="n"/>
      <c r="USW284" s="1132" t="n"/>
      <c r="USX284" s="1132" t="n"/>
      <c r="USY284" s="1132" t="n"/>
      <c r="USZ284" s="1132" t="n"/>
      <c r="UTA284" s="1132" t="n"/>
      <c r="UTB284" s="1132" t="n"/>
      <c r="UTC284" s="1132" t="n"/>
      <c r="UTD284" s="1132" t="n"/>
      <c r="UTE284" s="1132" t="n"/>
      <c r="UTF284" s="1132" t="n"/>
      <c r="UTG284" s="1132" t="n"/>
      <c r="UTH284" s="1132" t="n"/>
      <c r="UTI284" s="1132" t="n"/>
      <c r="UTJ284" s="1132" t="n"/>
      <c r="UTK284" s="1132" t="n"/>
      <c r="UTL284" s="1132" t="n"/>
      <c r="UTM284" s="1132" t="n"/>
      <c r="UTN284" s="1132" t="n"/>
      <c r="UTO284" s="1132" t="n"/>
      <c r="UTP284" s="1132" t="n"/>
      <c r="UTQ284" s="1132" t="n"/>
      <c r="UTR284" s="1132" t="n"/>
      <c r="UTS284" s="1132" t="n"/>
      <c r="UTT284" s="1132" t="n"/>
      <c r="UTU284" s="1132" t="n"/>
      <c r="UTV284" s="1132" t="n"/>
      <c r="UTW284" s="1132" t="n"/>
      <c r="UTX284" s="1132" t="n"/>
      <c r="UTY284" s="1132" t="n"/>
      <c r="UTZ284" s="1132" t="n"/>
      <c r="UUA284" s="1132" t="n"/>
      <c r="UUB284" s="1132" t="n"/>
      <c r="UUC284" s="1132" t="n"/>
      <c r="UUD284" s="1132" t="n"/>
      <c r="UUE284" s="1132" t="n"/>
      <c r="UUF284" s="1132" t="n"/>
      <c r="UUG284" s="1132" t="n"/>
      <c r="UUH284" s="1132" t="n"/>
      <c r="UUI284" s="1132" t="n"/>
      <c r="UUJ284" s="1132" t="n"/>
      <c r="UUK284" s="1132" t="n"/>
      <c r="UUL284" s="1132" t="n"/>
      <c r="UUM284" s="1132" t="n"/>
      <c r="UUN284" s="1132" t="n"/>
      <c r="UUO284" s="1132" t="n"/>
      <c r="UUP284" s="1132" t="n"/>
      <c r="UUQ284" s="1132" t="n"/>
      <c r="UUR284" s="1132" t="n"/>
      <c r="UUS284" s="1132" t="n"/>
      <c r="UUT284" s="1132" t="n"/>
      <c r="UUU284" s="1132" t="n"/>
      <c r="UUV284" s="1132" t="n"/>
      <c r="UUW284" s="1132" t="n"/>
      <c r="UUX284" s="1132" t="n"/>
      <c r="UUY284" s="1132" t="n"/>
      <c r="UUZ284" s="1132" t="n"/>
      <c r="UVA284" s="1132" t="n"/>
      <c r="UVB284" s="1132" t="n"/>
      <c r="UVC284" s="1132" t="n"/>
      <c r="UVD284" s="1132" t="n"/>
      <c r="UVE284" s="1132" t="n"/>
      <c r="UVF284" s="1132" t="n"/>
      <c r="UVG284" s="1132" t="n"/>
      <c r="UVH284" s="1132" t="n"/>
      <c r="UVI284" s="1132" t="n"/>
      <c r="UVJ284" s="1132" t="n"/>
      <c r="UVK284" s="1132" t="n"/>
      <c r="UVL284" s="1132" t="n"/>
      <c r="UVM284" s="1132" t="n"/>
      <c r="UVN284" s="1132" t="n"/>
      <c r="UVO284" s="1132" t="n"/>
      <c r="UVP284" s="1132" t="n"/>
      <c r="UVQ284" s="1132" t="n"/>
      <c r="UVR284" s="1132" t="n"/>
      <c r="UVS284" s="1132" t="n"/>
      <c r="UVT284" s="1132" t="n"/>
      <c r="UVU284" s="1132" t="n"/>
      <c r="UVV284" s="1132" t="n"/>
      <c r="UVW284" s="1132" t="n"/>
      <c r="UVX284" s="1132" t="n"/>
      <c r="UVY284" s="1132" t="n"/>
      <c r="UVZ284" s="1132" t="n"/>
      <c r="UWA284" s="1132" t="n"/>
      <c r="UWB284" s="1132" t="n"/>
      <c r="UWC284" s="1132" t="n"/>
      <c r="UWD284" s="1132" t="n"/>
      <c r="UWE284" s="1132" t="n"/>
      <c r="UWF284" s="1132" t="n"/>
      <c r="UWG284" s="1132" t="n"/>
      <c r="UWH284" s="1132" t="n"/>
      <c r="UWI284" s="1132" t="n"/>
      <c r="UWJ284" s="1132" t="n"/>
      <c r="UWK284" s="1132" t="n"/>
      <c r="UWL284" s="1132" t="n"/>
      <c r="UWM284" s="1132" t="n"/>
      <c r="UWN284" s="1132" t="n"/>
      <c r="UWO284" s="1132" t="n"/>
      <c r="UWP284" s="1132" t="n"/>
      <c r="UWQ284" s="1132" t="n"/>
      <c r="UWR284" s="1132" t="n"/>
      <c r="UWS284" s="1132" t="n"/>
      <c r="UWT284" s="1132" t="n"/>
      <c r="UWU284" s="1132" t="n"/>
      <c r="UWV284" s="1132" t="n"/>
      <c r="UWW284" s="1132" t="n"/>
      <c r="UWX284" s="1132" t="n"/>
      <c r="UWY284" s="1132" t="n"/>
      <c r="UWZ284" s="1132" t="n"/>
      <c r="UXA284" s="1132" t="n"/>
      <c r="UXB284" s="1132" t="n"/>
      <c r="UXC284" s="1132" t="n"/>
      <c r="UXD284" s="1132" t="n"/>
      <c r="UXE284" s="1132" t="n"/>
      <c r="UXF284" s="1132" t="n"/>
      <c r="UXG284" s="1132" t="n"/>
      <c r="UXH284" s="1132" t="n"/>
      <c r="UXI284" s="1132" t="n"/>
      <c r="UXJ284" s="1132" t="n"/>
      <c r="UXK284" s="1132" t="n"/>
      <c r="UXL284" s="1132" t="n"/>
      <c r="UXM284" s="1132" t="n"/>
      <c r="UXN284" s="1132" t="n"/>
      <c r="UXO284" s="1132" t="n"/>
      <c r="UXP284" s="1132" t="n"/>
      <c r="UXQ284" s="1132" t="n"/>
      <c r="UXR284" s="1132" t="n"/>
      <c r="UXS284" s="1132" t="n"/>
      <c r="UXT284" s="1132" t="n"/>
      <c r="UXU284" s="1132" t="n"/>
      <c r="UXV284" s="1132" t="n"/>
      <c r="UXW284" s="1132" t="n"/>
      <c r="UXX284" s="1132" t="n"/>
      <c r="UXY284" s="1132" t="n"/>
      <c r="UXZ284" s="1132" t="n"/>
      <c r="UYA284" s="1132" t="n"/>
      <c r="UYB284" s="1132" t="n"/>
      <c r="UYC284" s="1132" t="n"/>
      <c r="UYD284" s="1132" t="n"/>
      <c r="UYE284" s="1132" t="n"/>
      <c r="UYF284" s="1132" t="n"/>
      <c r="UYG284" s="1132" t="n"/>
      <c r="UYH284" s="1132" t="n"/>
      <c r="UYI284" s="1132" t="n"/>
      <c r="UYJ284" s="1132" t="n"/>
      <c r="UYK284" s="1132" t="n"/>
      <c r="UYL284" s="1132" t="n"/>
      <c r="UYM284" s="1132" t="n"/>
      <c r="UYN284" s="1132" t="n"/>
      <c r="UYO284" s="1132" t="n"/>
      <c r="UYP284" s="1132" t="n"/>
      <c r="UYQ284" s="1132" t="n"/>
      <c r="UYR284" s="1132" t="n"/>
      <c r="UYS284" s="1132" t="n"/>
      <c r="UYT284" s="1132" t="n"/>
      <c r="UYU284" s="1132" t="n"/>
      <c r="UYV284" s="1132" t="n"/>
      <c r="UYW284" s="1132" t="n"/>
      <c r="UYX284" s="1132" t="n"/>
      <c r="UYY284" s="1132" t="n"/>
      <c r="UYZ284" s="1132" t="n"/>
      <c r="UZA284" s="1132" t="n"/>
      <c r="UZB284" s="1132" t="n"/>
      <c r="UZC284" s="1132" t="n"/>
      <c r="UZD284" s="1132" t="n"/>
      <c r="UZE284" s="1132" t="n"/>
      <c r="UZF284" s="1132" t="n"/>
      <c r="UZG284" s="1132" t="n"/>
      <c r="UZH284" s="1132" t="n"/>
      <c r="UZI284" s="1132" t="n"/>
      <c r="UZJ284" s="1132" t="n"/>
      <c r="UZK284" s="1132" t="n"/>
      <c r="UZL284" s="1132" t="n"/>
      <c r="UZM284" s="1132" t="n"/>
      <c r="UZN284" s="1132" t="n"/>
      <c r="UZO284" s="1132" t="n"/>
      <c r="UZP284" s="1132" t="n"/>
      <c r="UZQ284" s="1132" t="n"/>
      <c r="UZR284" s="1132" t="n"/>
      <c r="UZS284" s="1132" t="n"/>
      <c r="UZT284" s="1132" t="n"/>
      <c r="UZU284" s="1132" t="n"/>
      <c r="UZV284" s="1132" t="n"/>
      <c r="UZW284" s="1132" t="n"/>
      <c r="UZX284" s="1132" t="n"/>
      <c r="UZY284" s="1132" t="n"/>
      <c r="UZZ284" s="1132" t="n"/>
      <c r="VAA284" s="1132" t="n"/>
      <c r="VAB284" s="1132" t="n"/>
      <c r="VAC284" s="1132" t="n"/>
      <c r="VAD284" s="1132" t="n"/>
      <c r="VAE284" s="1132" t="n"/>
      <c r="VAF284" s="1132" t="n"/>
      <c r="VAG284" s="1132" t="n"/>
      <c r="VAH284" s="1132" t="n"/>
      <c r="VAI284" s="1132" t="n"/>
      <c r="VAJ284" s="1132" t="n"/>
      <c r="VAK284" s="1132" t="n"/>
      <c r="VAL284" s="1132" t="n"/>
      <c r="VAM284" s="1132" t="n"/>
      <c r="VAN284" s="1132" t="n"/>
      <c r="VAO284" s="1132" t="n"/>
      <c r="VAP284" s="1132" t="n"/>
      <c r="VAQ284" s="1132" t="n"/>
      <c r="VAR284" s="1132" t="n"/>
      <c r="VAS284" s="1132" t="n"/>
      <c r="VAT284" s="1132" t="n"/>
      <c r="VAU284" s="1132" t="n"/>
      <c r="VAV284" s="1132" t="n"/>
      <c r="VAW284" s="1132" t="n"/>
      <c r="VAX284" s="1132" t="n"/>
      <c r="VAY284" s="1132" t="n"/>
      <c r="VAZ284" s="1132" t="n"/>
      <c r="VBA284" s="1132" t="n"/>
      <c r="VBB284" s="1132" t="n"/>
      <c r="VBC284" s="1132" t="n"/>
      <c r="VBD284" s="1132" t="n"/>
      <c r="VBE284" s="1132" t="n"/>
      <c r="VBF284" s="1132" t="n"/>
      <c r="VBG284" s="1132" t="n"/>
      <c r="VBH284" s="1132" t="n"/>
      <c r="VBI284" s="1132" t="n"/>
      <c r="VBJ284" s="1132" t="n"/>
      <c r="VBK284" s="1132" t="n"/>
      <c r="VBL284" s="1132" t="n"/>
      <c r="VBM284" s="1132" t="n"/>
      <c r="VBN284" s="1132" t="n"/>
      <c r="VBO284" s="1132" t="n"/>
      <c r="VBP284" s="1132" t="n"/>
      <c r="VBQ284" s="1132" t="n"/>
      <c r="VBR284" s="1132" t="n"/>
      <c r="VBS284" s="1132" t="n"/>
      <c r="VBT284" s="1132" t="n"/>
      <c r="VBU284" s="1132" t="n"/>
      <c r="VBV284" s="1132" t="n"/>
      <c r="VBW284" s="1132" t="n"/>
      <c r="VBX284" s="1132" t="n"/>
      <c r="VBY284" s="1132" t="n"/>
      <c r="VBZ284" s="1132" t="n"/>
      <c r="VCA284" s="1132" t="n"/>
      <c r="VCB284" s="1132" t="n"/>
      <c r="VCC284" s="1132" t="n"/>
      <c r="VCD284" s="1132" t="n"/>
      <c r="VCE284" s="1132" t="n"/>
      <c r="VCF284" s="1132" t="n"/>
      <c r="VCG284" s="1132" t="n"/>
      <c r="VCH284" s="1132" t="n"/>
      <c r="VCI284" s="1132" t="n"/>
      <c r="VCJ284" s="1132" t="n"/>
      <c r="VCK284" s="1132" t="n"/>
      <c r="VCL284" s="1132" t="n"/>
      <c r="VCM284" s="1132" t="n"/>
      <c r="VCN284" s="1132" t="n"/>
      <c r="VCO284" s="1132" t="n"/>
      <c r="VCP284" s="1132" t="n"/>
      <c r="VCQ284" s="1132" t="n"/>
      <c r="VCR284" s="1132" t="n"/>
      <c r="VCS284" s="1132" t="n"/>
      <c r="VCT284" s="1132" t="n"/>
      <c r="VCU284" s="1132" t="n"/>
      <c r="VCV284" s="1132" t="n"/>
      <c r="VCW284" s="1132" t="n"/>
      <c r="VCX284" s="1132" t="n"/>
      <c r="VCY284" s="1132" t="n"/>
      <c r="VCZ284" s="1132" t="n"/>
      <c r="VDA284" s="1132" t="n"/>
      <c r="VDB284" s="1132" t="n"/>
      <c r="VDC284" s="1132" t="n"/>
      <c r="VDD284" s="1132" t="n"/>
      <c r="VDE284" s="1132" t="n"/>
      <c r="VDF284" s="1132" t="n"/>
      <c r="VDG284" s="1132" t="n"/>
      <c r="VDH284" s="1132" t="n"/>
      <c r="VDI284" s="1132" t="n"/>
      <c r="VDJ284" s="1132" t="n"/>
      <c r="VDK284" s="1132" t="n"/>
      <c r="VDL284" s="1132" t="n"/>
      <c r="VDM284" s="1132" t="n"/>
      <c r="VDN284" s="1132" t="n"/>
      <c r="VDO284" s="1132" t="n"/>
      <c r="VDP284" s="1132" t="n"/>
      <c r="VDQ284" s="1132" t="n"/>
      <c r="VDR284" s="1132" t="n"/>
      <c r="VDS284" s="1132" t="n"/>
      <c r="VDT284" s="1132" t="n"/>
      <c r="VDU284" s="1132" t="n"/>
      <c r="VDV284" s="1132" t="n"/>
      <c r="VDW284" s="1132" t="n"/>
      <c r="VDX284" s="1132" t="n"/>
      <c r="VDY284" s="1132" t="n"/>
      <c r="VDZ284" s="1132" t="n"/>
      <c r="VEA284" s="1132" t="n"/>
      <c r="VEB284" s="1132" t="n"/>
      <c r="VEC284" s="1132" t="n"/>
      <c r="VED284" s="1132" t="n"/>
      <c r="VEE284" s="1132" t="n"/>
      <c r="VEF284" s="1132" t="n"/>
      <c r="VEG284" s="1132" t="n"/>
      <c r="VEH284" s="1132" t="n"/>
      <c r="VEI284" s="1132" t="n"/>
      <c r="VEJ284" s="1132" t="n"/>
      <c r="VEK284" s="1132" t="n"/>
      <c r="VEL284" s="1132" t="n"/>
      <c r="VEM284" s="1132" t="n"/>
      <c r="VEN284" s="1132" t="n"/>
      <c r="VEO284" s="1132" t="n"/>
      <c r="VEP284" s="1132" t="n"/>
      <c r="VEQ284" s="1132" t="n"/>
      <c r="VER284" s="1132" t="n"/>
      <c r="VES284" s="1132" t="n"/>
      <c r="VET284" s="1132" t="n"/>
      <c r="VEU284" s="1132" t="n"/>
      <c r="VEV284" s="1132" t="n"/>
      <c r="VEW284" s="1132" t="n"/>
      <c r="VEX284" s="1132" t="n"/>
      <c r="VEY284" s="1132" t="n"/>
      <c r="VEZ284" s="1132" t="n"/>
      <c r="VFA284" s="1132" t="n"/>
      <c r="VFB284" s="1132" t="n"/>
      <c r="VFC284" s="1132" t="n"/>
      <c r="VFD284" s="1132" t="n"/>
      <c r="VFE284" s="1132" t="n"/>
      <c r="VFF284" s="1132" t="n"/>
      <c r="VFG284" s="1132" t="n"/>
      <c r="VFH284" s="1132" t="n"/>
      <c r="VFI284" s="1132" t="n"/>
      <c r="VFJ284" s="1132" t="n"/>
      <c r="VFK284" s="1132" t="n"/>
      <c r="VFL284" s="1132" t="n"/>
      <c r="VFM284" s="1132" t="n"/>
      <c r="VFN284" s="1132" t="n"/>
      <c r="VFO284" s="1132" t="n"/>
      <c r="VFP284" s="1132" t="n"/>
      <c r="VFQ284" s="1132" t="n"/>
      <c r="VFR284" s="1132" t="n"/>
      <c r="VFS284" s="1132" t="n"/>
      <c r="VFT284" s="1132" t="n"/>
      <c r="VFU284" s="1132" t="n"/>
      <c r="VFV284" s="1132" t="n"/>
      <c r="VFW284" s="1132" t="n"/>
      <c r="VFX284" s="1132" t="n"/>
      <c r="VFY284" s="1132" t="n"/>
      <c r="VFZ284" s="1132" t="n"/>
      <c r="VGA284" s="1132" t="n"/>
      <c r="VGB284" s="1132" t="n"/>
      <c r="VGC284" s="1132" t="n"/>
      <c r="VGD284" s="1132" t="n"/>
      <c r="VGE284" s="1132" t="n"/>
      <c r="VGF284" s="1132" t="n"/>
      <c r="VGG284" s="1132" t="n"/>
      <c r="VGH284" s="1132" t="n"/>
      <c r="VGI284" s="1132" t="n"/>
      <c r="VGJ284" s="1132" t="n"/>
      <c r="VGK284" s="1132" t="n"/>
      <c r="VGL284" s="1132" t="n"/>
      <c r="VGM284" s="1132" t="n"/>
      <c r="VGN284" s="1132" t="n"/>
      <c r="VGO284" s="1132" t="n"/>
      <c r="VGP284" s="1132" t="n"/>
      <c r="VGQ284" s="1132" t="n"/>
      <c r="VGR284" s="1132" t="n"/>
      <c r="VGS284" s="1132" t="n"/>
      <c r="VGT284" s="1132" t="n"/>
      <c r="VGU284" s="1132" t="n"/>
      <c r="VGV284" s="1132" t="n"/>
      <c r="VGW284" s="1132" t="n"/>
      <c r="VGX284" s="1132" t="n"/>
      <c r="VGY284" s="1132" t="n"/>
      <c r="VGZ284" s="1132" t="n"/>
      <c r="VHA284" s="1132" t="n"/>
      <c r="VHB284" s="1132" t="n"/>
      <c r="VHC284" s="1132" t="n"/>
      <c r="VHD284" s="1132" t="n"/>
      <c r="VHE284" s="1132" t="n"/>
      <c r="VHF284" s="1132" t="n"/>
      <c r="VHG284" s="1132" t="n"/>
      <c r="VHH284" s="1132" t="n"/>
      <c r="VHI284" s="1132" t="n"/>
      <c r="VHJ284" s="1132" t="n"/>
      <c r="VHK284" s="1132" t="n"/>
      <c r="VHL284" s="1132" t="n"/>
      <c r="VHM284" s="1132" t="n"/>
      <c r="VHN284" s="1132" t="n"/>
      <c r="VHO284" s="1132" t="n"/>
      <c r="VHP284" s="1132" t="n"/>
      <c r="VHQ284" s="1132" t="n"/>
      <c r="VHR284" s="1132" t="n"/>
      <c r="VHS284" s="1132" t="n"/>
      <c r="VHT284" s="1132" t="n"/>
      <c r="VHU284" s="1132" t="n"/>
      <c r="VHV284" s="1132" t="n"/>
      <c r="VHW284" s="1132" t="n"/>
      <c r="VHX284" s="1132" t="n"/>
      <c r="VHY284" s="1132" t="n"/>
      <c r="VHZ284" s="1132" t="n"/>
      <c r="VIA284" s="1132" t="n"/>
      <c r="VIB284" s="1132" t="n"/>
      <c r="VIC284" s="1132" t="n"/>
      <c r="VID284" s="1132" t="n"/>
      <c r="VIE284" s="1132" t="n"/>
      <c r="VIF284" s="1132" t="n"/>
      <c r="VIG284" s="1132" t="n"/>
      <c r="VIH284" s="1132" t="n"/>
      <c r="VII284" s="1132" t="n"/>
      <c r="VIJ284" s="1132" t="n"/>
      <c r="VIK284" s="1132" t="n"/>
      <c r="VIL284" s="1132" t="n"/>
      <c r="VIM284" s="1132" t="n"/>
      <c r="VIN284" s="1132" t="n"/>
      <c r="VIO284" s="1132" t="n"/>
      <c r="VIP284" s="1132" t="n"/>
      <c r="VIQ284" s="1132" t="n"/>
      <c r="VIR284" s="1132" t="n"/>
      <c r="VIS284" s="1132" t="n"/>
      <c r="VIT284" s="1132" t="n"/>
      <c r="VIU284" s="1132" t="n"/>
      <c r="VIV284" s="1132" t="n"/>
      <c r="VIW284" s="1132" t="n"/>
      <c r="VIX284" s="1132" t="n"/>
      <c r="VIY284" s="1132" t="n"/>
      <c r="VIZ284" s="1132" t="n"/>
      <c r="VJA284" s="1132" t="n"/>
      <c r="VJB284" s="1132" t="n"/>
      <c r="VJC284" s="1132" t="n"/>
      <c r="VJD284" s="1132" t="n"/>
      <c r="VJE284" s="1132" t="n"/>
      <c r="VJF284" s="1132" t="n"/>
      <c r="VJG284" s="1132" t="n"/>
      <c r="VJH284" s="1132" t="n"/>
      <c r="VJI284" s="1132" t="n"/>
      <c r="VJJ284" s="1132" t="n"/>
      <c r="VJK284" s="1132" t="n"/>
      <c r="VJL284" s="1132" t="n"/>
      <c r="VJM284" s="1132" t="n"/>
      <c r="VJN284" s="1132" t="n"/>
      <c r="VJO284" s="1132" t="n"/>
      <c r="VJP284" s="1132" t="n"/>
      <c r="VJQ284" s="1132" t="n"/>
      <c r="VJR284" s="1132" t="n"/>
      <c r="VJS284" s="1132" t="n"/>
      <c r="VJT284" s="1132" t="n"/>
      <c r="VJU284" s="1132" t="n"/>
      <c r="VJV284" s="1132" t="n"/>
      <c r="VJW284" s="1132" t="n"/>
      <c r="VJX284" s="1132" t="n"/>
      <c r="VJY284" s="1132" t="n"/>
      <c r="VJZ284" s="1132" t="n"/>
      <c r="VKA284" s="1132" t="n"/>
      <c r="VKB284" s="1132" t="n"/>
      <c r="VKC284" s="1132" t="n"/>
      <c r="VKD284" s="1132" t="n"/>
      <c r="VKE284" s="1132" t="n"/>
      <c r="VKF284" s="1132" t="n"/>
      <c r="VKG284" s="1132" t="n"/>
      <c r="VKH284" s="1132" t="n"/>
      <c r="VKI284" s="1132" t="n"/>
      <c r="VKJ284" s="1132" t="n"/>
      <c r="VKK284" s="1132" t="n"/>
      <c r="VKL284" s="1132" t="n"/>
      <c r="VKM284" s="1132" t="n"/>
      <c r="VKN284" s="1132" t="n"/>
      <c r="VKO284" s="1132" t="n"/>
      <c r="VKP284" s="1132" t="n"/>
      <c r="VKQ284" s="1132" t="n"/>
      <c r="VKR284" s="1132" t="n"/>
      <c r="VKS284" s="1132" t="n"/>
      <c r="VKT284" s="1132" t="n"/>
      <c r="VKU284" s="1132" t="n"/>
      <c r="VKV284" s="1132" t="n"/>
      <c r="VKW284" s="1132" t="n"/>
      <c r="VKX284" s="1132" t="n"/>
      <c r="VKY284" s="1132" t="n"/>
      <c r="VKZ284" s="1132" t="n"/>
      <c r="VLA284" s="1132" t="n"/>
      <c r="VLB284" s="1132" t="n"/>
      <c r="VLC284" s="1132" t="n"/>
      <c r="VLD284" s="1132" t="n"/>
      <c r="VLE284" s="1132" t="n"/>
      <c r="VLF284" s="1132" t="n"/>
      <c r="VLG284" s="1132" t="n"/>
      <c r="VLH284" s="1132" t="n"/>
      <c r="VLI284" s="1132" t="n"/>
      <c r="VLJ284" s="1132" t="n"/>
      <c r="VLK284" s="1132" t="n"/>
      <c r="VLL284" s="1132" t="n"/>
      <c r="VLM284" s="1132" t="n"/>
      <c r="VLN284" s="1132" t="n"/>
      <c r="VLO284" s="1132" t="n"/>
      <c r="VLP284" s="1132" t="n"/>
      <c r="VLQ284" s="1132" t="n"/>
      <c r="VLR284" s="1132" t="n"/>
      <c r="VLS284" s="1132" t="n"/>
      <c r="VLT284" s="1132" t="n"/>
      <c r="VLU284" s="1132" t="n"/>
      <c r="VLV284" s="1132" t="n"/>
      <c r="VLW284" s="1132" t="n"/>
      <c r="VLX284" s="1132" t="n"/>
      <c r="VLY284" s="1132" t="n"/>
      <c r="VLZ284" s="1132" t="n"/>
      <c r="VMA284" s="1132" t="n"/>
      <c r="VMB284" s="1132" t="n"/>
      <c r="VMC284" s="1132" t="n"/>
      <c r="VMD284" s="1132" t="n"/>
      <c r="VME284" s="1132" t="n"/>
      <c r="VMF284" s="1132" t="n"/>
      <c r="VMG284" s="1132" t="n"/>
      <c r="VMH284" s="1132" t="n"/>
      <c r="VMI284" s="1132" t="n"/>
      <c r="VMJ284" s="1132" t="n"/>
      <c r="VMK284" s="1132" t="n"/>
      <c r="VML284" s="1132" t="n"/>
      <c r="VMM284" s="1132" t="n"/>
      <c r="VMN284" s="1132" t="n"/>
      <c r="VMO284" s="1132" t="n"/>
      <c r="VMP284" s="1132" t="n"/>
      <c r="VMQ284" s="1132" t="n"/>
      <c r="VMR284" s="1132" t="n"/>
      <c r="VMS284" s="1132" t="n"/>
      <c r="VMT284" s="1132" t="n"/>
      <c r="VMU284" s="1132" t="n"/>
      <c r="VMV284" s="1132" t="n"/>
      <c r="VMW284" s="1132" t="n"/>
      <c r="VMX284" s="1132" t="n"/>
      <c r="VMY284" s="1132" t="n"/>
      <c r="VMZ284" s="1132" t="n"/>
      <c r="VNA284" s="1132" t="n"/>
      <c r="VNB284" s="1132" t="n"/>
      <c r="VNC284" s="1132" t="n"/>
      <c r="VND284" s="1132" t="n"/>
      <c r="VNE284" s="1132" t="n"/>
      <c r="VNF284" s="1132" t="n"/>
      <c r="VNG284" s="1132" t="n"/>
      <c r="VNH284" s="1132" t="n"/>
      <c r="VNI284" s="1132" t="n"/>
      <c r="VNJ284" s="1132" t="n"/>
      <c r="VNK284" s="1132" t="n"/>
      <c r="VNL284" s="1132" t="n"/>
      <c r="VNM284" s="1132" t="n"/>
      <c r="VNN284" s="1132" t="n"/>
      <c r="VNO284" s="1132" t="n"/>
      <c r="VNP284" s="1132" t="n"/>
      <c r="VNQ284" s="1132" t="n"/>
      <c r="VNR284" s="1132" t="n"/>
      <c r="VNS284" s="1132" t="n"/>
      <c r="VNT284" s="1132" t="n"/>
      <c r="VNU284" s="1132" t="n"/>
      <c r="VNV284" s="1132" t="n"/>
      <c r="VNW284" s="1132" t="n"/>
      <c r="VNX284" s="1132" t="n"/>
      <c r="VNY284" s="1132" t="n"/>
      <c r="VNZ284" s="1132" t="n"/>
      <c r="VOA284" s="1132" t="n"/>
      <c r="VOB284" s="1132" t="n"/>
      <c r="VOC284" s="1132" t="n"/>
      <c r="VOD284" s="1132" t="n"/>
      <c r="VOE284" s="1132" t="n"/>
      <c r="VOF284" s="1132" t="n"/>
      <c r="VOG284" s="1132" t="n"/>
      <c r="VOH284" s="1132" t="n"/>
      <c r="VOI284" s="1132" t="n"/>
      <c r="VOJ284" s="1132" t="n"/>
      <c r="VOK284" s="1132" t="n"/>
      <c r="VOL284" s="1132" t="n"/>
      <c r="VOM284" s="1132" t="n"/>
      <c r="VON284" s="1132" t="n"/>
      <c r="VOO284" s="1132" t="n"/>
      <c r="VOP284" s="1132" t="n"/>
      <c r="VOQ284" s="1132" t="n"/>
      <c r="VOR284" s="1132" t="n"/>
      <c r="VOS284" s="1132" t="n"/>
      <c r="VOT284" s="1132" t="n"/>
      <c r="VOU284" s="1132" t="n"/>
      <c r="VOV284" s="1132" t="n"/>
      <c r="VOW284" s="1132" t="n"/>
      <c r="VOX284" s="1132" t="n"/>
      <c r="VOY284" s="1132" t="n"/>
      <c r="VOZ284" s="1132" t="n"/>
      <c r="VPA284" s="1132" t="n"/>
      <c r="VPB284" s="1132" t="n"/>
      <c r="VPC284" s="1132" t="n"/>
      <c r="VPD284" s="1132" t="n"/>
      <c r="VPE284" s="1132" t="n"/>
      <c r="VPF284" s="1132" t="n"/>
      <c r="VPG284" s="1132" t="n"/>
      <c r="VPH284" s="1132" t="n"/>
      <c r="VPI284" s="1132" t="n"/>
      <c r="VPJ284" s="1132" t="n"/>
      <c r="VPK284" s="1132" t="n"/>
      <c r="VPL284" s="1132" t="n"/>
      <c r="VPM284" s="1132" t="n"/>
      <c r="VPN284" s="1132" t="n"/>
      <c r="VPO284" s="1132" t="n"/>
      <c r="VPP284" s="1132" t="n"/>
      <c r="VPQ284" s="1132" t="n"/>
      <c r="VPR284" s="1132" t="n"/>
      <c r="VPS284" s="1132" t="n"/>
      <c r="VPT284" s="1132" t="n"/>
      <c r="VPU284" s="1132" t="n"/>
      <c r="VPV284" s="1132" t="n"/>
      <c r="VPW284" s="1132" t="n"/>
      <c r="VPX284" s="1132" t="n"/>
      <c r="VPY284" s="1132" t="n"/>
      <c r="VPZ284" s="1132" t="n"/>
      <c r="VQA284" s="1132" t="n"/>
      <c r="VQB284" s="1132" t="n"/>
      <c r="VQC284" s="1132" t="n"/>
      <c r="VQD284" s="1132" t="n"/>
      <c r="VQE284" s="1132" t="n"/>
      <c r="VQF284" s="1132" t="n"/>
      <c r="VQG284" s="1132" t="n"/>
      <c r="VQH284" s="1132" t="n"/>
      <c r="VQI284" s="1132" t="n"/>
      <c r="VQJ284" s="1132" t="n"/>
      <c r="VQK284" s="1132" t="n"/>
      <c r="VQL284" s="1132" t="n"/>
      <c r="VQM284" s="1132" t="n"/>
      <c r="VQN284" s="1132" t="n"/>
      <c r="VQO284" s="1132" t="n"/>
      <c r="VQP284" s="1132" t="n"/>
      <c r="VQQ284" s="1132" t="n"/>
      <c r="VQR284" s="1132" t="n"/>
      <c r="VQS284" s="1132" t="n"/>
      <c r="VQT284" s="1132" t="n"/>
      <c r="VQU284" s="1132" t="n"/>
      <c r="VQV284" s="1132" t="n"/>
      <c r="VQW284" s="1132" t="n"/>
      <c r="VQX284" s="1132" t="n"/>
      <c r="VQY284" s="1132" t="n"/>
      <c r="VQZ284" s="1132" t="n"/>
      <c r="VRA284" s="1132" t="n"/>
      <c r="VRB284" s="1132" t="n"/>
      <c r="VRC284" s="1132" t="n"/>
      <c r="VRD284" s="1132" t="n"/>
      <c r="VRE284" s="1132" t="n"/>
      <c r="VRF284" s="1132" t="n"/>
      <c r="VRG284" s="1132" t="n"/>
      <c r="VRH284" s="1132" t="n"/>
      <c r="VRI284" s="1132" t="n"/>
      <c r="VRJ284" s="1132" t="n"/>
      <c r="VRK284" s="1132" t="n"/>
      <c r="VRL284" s="1132" t="n"/>
      <c r="VRM284" s="1132" t="n"/>
      <c r="VRN284" s="1132" t="n"/>
      <c r="VRO284" s="1132" t="n"/>
      <c r="VRP284" s="1132" t="n"/>
      <c r="VRQ284" s="1132" t="n"/>
      <c r="VRR284" s="1132" t="n"/>
      <c r="VRS284" s="1132" t="n"/>
      <c r="VRT284" s="1132" t="n"/>
      <c r="VRU284" s="1132" t="n"/>
      <c r="VRV284" s="1132" t="n"/>
      <c r="VRW284" s="1132" t="n"/>
      <c r="VRX284" s="1132" t="n"/>
      <c r="VRY284" s="1132" t="n"/>
      <c r="VRZ284" s="1132" t="n"/>
      <c r="VSA284" s="1132" t="n"/>
      <c r="VSB284" s="1132" t="n"/>
      <c r="VSC284" s="1132" t="n"/>
      <c r="VSD284" s="1132" t="n"/>
      <c r="VSE284" s="1132" t="n"/>
      <c r="VSF284" s="1132" t="n"/>
      <c r="VSG284" s="1132" t="n"/>
      <c r="VSH284" s="1132" t="n"/>
      <c r="VSI284" s="1132" t="n"/>
      <c r="VSJ284" s="1132" t="n"/>
      <c r="VSK284" s="1132" t="n"/>
      <c r="VSL284" s="1132" t="n"/>
      <c r="VSM284" s="1132" t="n"/>
      <c r="VSN284" s="1132" t="n"/>
      <c r="VSO284" s="1132" t="n"/>
      <c r="VSP284" s="1132" t="n"/>
      <c r="VSQ284" s="1132" t="n"/>
      <c r="VSR284" s="1132" t="n"/>
      <c r="VSS284" s="1132" t="n"/>
      <c r="VST284" s="1132" t="n"/>
      <c r="VSU284" s="1132" t="n"/>
      <c r="VSV284" s="1132" t="n"/>
      <c r="VSW284" s="1132" t="n"/>
      <c r="VSX284" s="1132" t="n"/>
      <c r="VSY284" s="1132" t="n"/>
      <c r="VSZ284" s="1132" t="n"/>
      <c r="VTA284" s="1132" t="n"/>
      <c r="VTB284" s="1132" t="n"/>
      <c r="VTC284" s="1132" t="n"/>
      <c r="VTD284" s="1132" t="n"/>
      <c r="VTE284" s="1132" t="n"/>
      <c r="VTF284" s="1132" t="n"/>
      <c r="VTG284" s="1132" t="n"/>
      <c r="VTH284" s="1132" t="n"/>
      <c r="VTI284" s="1132" t="n"/>
      <c r="VTJ284" s="1132" t="n"/>
      <c r="VTK284" s="1132" t="n"/>
      <c r="VTL284" s="1132" t="n"/>
      <c r="VTM284" s="1132" t="n"/>
      <c r="VTN284" s="1132" t="n"/>
      <c r="VTO284" s="1132" t="n"/>
      <c r="VTP284" s="1132" t="n"/>
      <c r="VTQ284" s="1132" t="n"/>
      <c r="VTR284" s="1132" t="n"/>
      <c r="VTS284" s="1132" t="n"/>
      <c r="VTT284" s="1132" t="n"/>
      <c r="VTU284" s="1132" t="n"/>
      <c r="VTV284" s="1132" t="n"/>
      <c r="VTW284" s="1132" t="n"/>
      <c r="VTX284" s="1132" t="n"/>
      <c r="VTY284" s="1132" t="n"/>
      <c r="VTZ284" s="1132" t="n"/>
      <c r="VUA284" s="1132" t="n"/>
      <c r="VUB284" s="1132" t="n"/>
      <c r="VUC284" s="1132" t="n"/>
      <c r="VUD284" s="1132" t="n"/>
      <c r="VUE284" s="1132" t="n"/>
      <c r="VUF284" s="1132" t="n"/>
      <c r="VUG284" s="1132" t="n"/>
      <c r="VUH284" s="1132" t="n"/>
      <c r="VUI284" s="1132" t="n"/>
      <c r="VUJ284" s="1132" t="n"/>
      <c r="VUK284" s="1132" t="n"/>
      <c r="VUL284" s="1132" t="n"/>
      <c r="VUM284" s="1132" t="n"/>
      <c r="VUN284" s="1132" t="n"/>
      <c r="VUO284" s="1132" t="n"/>
      <c r="VUP284" s="1132" t="n"/>
      <c r="VUQ284" s="1132" t="n"/>
      <c r="VUR284" s="1132" t="n"/>
      <c r="VUS284" s="1132" t="n"/>
      <c r="VUT284" s="1132" t="n"/>
      <c r="VUU284" s="1132" t="n"/>
      <c r="VUV284" s="1132" t="n"/>
      <c r="VUW284" s="1132" t="n"/>
      <c r="VUX284" s="1132" t="n"/>
      <c r="VUY284" s="1132" t="n"/>
      <c r="VUZ284" s="1132" t="n"/>
      <c r="VVA284" s="1132" t="n"/>
      <c r="VVB284" s="1132" t="n"/>
      <c r="VVC284" s="1132" t="n"/>
      <c r="VVD284" s="1132" t="n"/>
      <c r="VVE284" s="1132" t="n"/>
      <c r="VVF284" s="1132" t="n"/>
      <c r="VVG284" s="1132" t="n"/>
      <c r="VVH284" s="1132" t="n"/>
      <c r="VVI284" s="1132" t="n"/>
      <c r="VVJ284" s="1132" t="n"/>
      <c r="VVK284" s="1132" t="n"/>
      <c r="VVL284" s="1132" t="n"/>
      <c r="VVM284" s="1132" t="n"/>
      <c r="VVN284" s="1132" t="n"/>
      <c r="VVO284" s="1132" t="n"/>
      <c r="VVP284" s="1132" t="n"/>
      <c r="VVQ284" s="1132" t="n"/>
      <c r="VVR284" s="1132" t="n"/>
      <c r="VVS284" s="1132" t="n"/>
      <c r="VVT284" s="1132" t="n"/>
      <c r="VVU284" s="1132" t="n"/>
      <c r="VVV284" s="1132" t="n"/>
      <c r="VVW284" s="1132" t="n"/>
      <c r="VVX284" s="1132" t="n"/>
      <c r="VVY284" s="1132" t="n"/>
      <c r="VVZ284" s="1132" t="n"/>
      <c r="VWA284" s="1132" t="n"/>
      <c r="VWB284" s="1132" t="n"/>
      <c r="VWC284" s="1132" t="n"/>
      <c r="VWD284" s="1132" t="n"/>
      <c r="VWE284" s="1132" t="n"/>
      <c r="VWF284" s="1132" t="n"/>
      <c r="VWG284" s="1132" t="n"/>
      <c r="VWH284" s="1132" t="n"/>
      <c r="VWI284" s="1132" t="n"/>
      <c r="VWJ284" s="1132" t="n"/>
      <c r="VWK284" s="1132" t="n"/>
      <c r="VWL284" s="1132" t="n"/>
      <c r="VWM284" s="1132" t="n"/>
      <c r="VWN284" s="1132" t="n"/>
      <c r="VWO284" s="1132" t="n"/>
      <c r="VWP284" s="1132" t="n"/>
      <c r="VWQ284" s="1132" t="n"/>
      <c r="VWR284" s="1132" t="n"/>
      <c r="VWS284" s="1132" t="n"/>
      <c r="VWT284" s="1132" t="n"/>
      <c r="VWU284" s="1132" t="n"/>
      <c r="VWV284" s="1132" t="n"/>
      <c r="VWW284" s="1132" t="n"/>
      <c r="VWX284" s="1132" t="n"/>
      <c r="VWY284" s="1132" t="n"/>
      <c r="VWZ284" s="1132" t="n"/>
      <c r="VXA284" s="1132" t="n"/>
      <c r="VXB284" s="1132" t="n"/>
      <c r="VXC284" s="1132" t="n"/>
      <c r="VXD284" s="1132" t="n"/>
      <c r="VXE284" s="1132" t="n"/>
      <c r="VXF284" s="1132" t="n"/>
      <c r="VXG284" s="1132" t="n"/>
      <c r="VXH284" s="1132" t="n"/>
      <c r="VXI284" s="1132" t="n"/>
      <c r="VXJ284" s="1132" t="n"/>
      <c r="VXK284" s="1132" t="n"/>
      <c r="VXL284" s="1132" t="n"/>
      <c r="VXM284" s="1132" t="n"/>
      <c r="VXN284" s="1132" t="n"/>
      <c r="VXO284" s="1132" t="n"/>
      <c r="VXP284" s="1132" t="n"/>
      <c r="VXQ284" s="1132" t="n"/>
      <c r="VXR284" s="1132" t="n"/>
      <c r="VXS284" s="1132" t="n"/>
      <c r="VXT284" s="1132" t="n"/>
      <c r="VXU284" s="1132" t="n"/>
      <c r="VXV284" s="1132" t="n"/>
      <c r="VXW284" s="1132" t="n"/>
      <c r="VXX284" s="1132" t="n"/>
      <c r="VXY284" s="1132" t="n"/>
      <c r="VXZ284" s="1132" t="n"/>
      <c r="VYA284" s="1132" t="n"/>
      <c r="VYB284" s="1132" t="n"/>
      <c r="VYC284" s="1132" t="n"/>
      <c r="VYD284" s="1132" t="n"/>
      <c r="VYE284" s="1132" t="n"/>
      <c r="VYF284" s="1132" t="n"/>
      <c r="VYG284" s="1132" t="n"/>
      <c r="VYH284" s="1132" t="n"/>
      <c r="VYI284" s="1132" t="n"/>
      <c r="VYJ284" s="1132" t="n"/>
      <c r="VYK284" s="1132" t="n"/>
      <c r="VYL284" s="1132" t="n"/>
      <c r="VYM284" s="1132" t="n"/>
      <c r="VYN284" s="1132" t="n"/>
      <c r="VYO284" s="1132" t="n"/>
      <c r="VYP284" s="1132" t="n"/>
      <c r="VYQ284" s="1132" t="n"/>
      <c r="VYR284" s="1132" t="n"/>
      <c r="VYS284" s="1132" t="n"/>
      <c r="VYT284" s="1132" t="n"/>
      <c r="VYU284" s="1132" t="n"/>
      <c r="VYV284" s="1132" t="n"/>
      <c r="VYW284" s="1132" t="n"/>
      <c r="VYX284" s="1132" t="n"/>
      <c r="VYY284" s="1132" t="n"/>
      <c r="VYZ284" s="1132" t="n"/>
      <c r="VZA284" s="1132" t="n"/>
      <c r="VZB284" s="1132" t="n"/>
      <c r="VZC284" s="1132" t="n"/>
      <c r="VZD284" s="1132" t="n"/>
      <c r="VZE284" s="1132" t="n"/>
      <c r="VZF284" s="1132" t="n"/>
      <c r="VZG284" s="1132" t="n"/>
      <c r="VZH284" s="1132" t="n"/>
      <c r="VZI284" s="1132" t="n"/>
      <c r="VZJ284" s="1132" t="n"/>
      <c r="VZK284" s="1132" t="n"/>
      <c r="VZL284" s="1132" t="n"/>
      <c r="VZM284" s="1132" t="n"/>
      <c r="VZN284" s="1132" t="n"/>
      <c r="VZO284" s="1132" t="n"/>
      <c r="VZP284" s="1132" t="n"/>
      <c r="VZQ284" s="1132" t="n"/>
      <c r="VZR284" s="1132" t="n"/>
      <c r="VZS284" s="1132" t="n"/>
      <c r="VZT284" s="1132" t="n"/>
      <c r="VZU284" s="1132" t="n"/>
      <c r="VZV284" s="1132" t="n"/>
      <c r="VZW284" s="1132" t="n"/>
      <c r="VZX284" s="1132" t="n"/>
      <c r="VZY284" s="1132" t="n"/>
      <c r="VZZ284" s="1132" t="n"/>
      <c r="WAA284" s="1132" t="n"/>
      <c r="WAB284" s="1132" t="n"/>
      <c r="WAC284" s="1132" t="n"/>
      <c r="WAD284" s="1132" t="n"/>
      <c r="WAE284" s="1132" t="n"/>
      <c r="WAF284" s="1132" t="n"/>
      <c r="WAG284" s="1132" t="n"/>
      <c r="WAH284" s="1132" t="n"/>
      <c r="WAI284" s="1132" t="n"/>
      <c r="WAJ284" s="1132" t="n"/>
      <c r="WAK284" s="1132" t="n"/>
      <c r="WAL284" s="1132" t="n"/>
      <c r="WAM284" s="1132" t="n"/>
      <c r="WAN284" s="1132" t="n"/>
      <c r="WAO284" s="1132" t="n"/>
      <c r="WAP284" s="1132" t="n"/>
      <c r="WAQ284" s="1132" t="n"/>
      <c r="WAR284" s="1132" t="n"/>
      <c r="WAS284" s="1132" t="n"/>
      <c r="WAT284" s="1132" t="n"/>
      <c r="WAU284" s="1132" t="n"/>
      <c r="WAV284" s="1132" t="n"/>
      <c r="WAW284" s="1132" t="n"/>
      <c r="WAX284" s="1132" t="n"/>
      <c r="WAY284" s="1132" t="n"/>
      <c r="WAZ284" s="1132" t="n"/>
      <c r="WBA284" s="1132" t="n"/>
      <c r="WBB284" s="1132" t="n"/>
      <c r="WBC284" s="1132" t="n"/>
      <c r="WBD284" s="1132" t="n"/>
      <c r="WBE284" s="1132" t="n"/>
      <c r="WBF284" s="1132" t="n"/>
      <c r="WBG284" s="1132" t="n"/>
      <c r="WBH284" s="1132" t="n"/>
      <c r="WBI284" s="1132" t="n"/>
      <c r="WBJ284" s="1132" t="n"/>
      <c r="WBK284" s="1132" t="n"/>
      <c r="WBL284" s="1132" t="n"/>
      <c r="WBM284" s="1132" t="n"/>
      <c r="WBN284" s="1132" t="n"/>
      <c r="WBO284" s="1132" t="n"/>
      <c r="WBP284" s="1132" t="n"/>
      <c r="WBQ284" s="1132" t="n"/>
      <c r="WBR284" s="1132" t="n"/>
      <c r="WBS284" s="1132" t="n"/>
      <c r="WBT284" s="1132" t="n"/>
      <c r="WBU284" s="1132" t="n"/>
      <c r="WBV284" s="1132" t="n"/>
      <c r="WBW284" s="1132" t="n"/>
      <c r="WBX284" s="1132" t="n"/>
      <c r="WBY284" s="1132" t="n"/>
      <c r="WBZ284" s="1132" t="n"/>
      <c r="WCA284" s="1132" t="n"/>
      <c r="WCB284" s="1132" t="n"/>
      <c r="WCC284" s="1132" t="n"/>
      <c r="WCD284" s="1132" t="n"/>
      <c r="WCE284" s="1132" t="n"/>
      <c r="WCF284" s="1132" t="n"/>
      <c r="WCG284" s="1132" t="n"/>
      <c r="WCH284" s="1132" t="n"/>
      <c r="WCI284" s="1132" t="n"/>
      <c r="WCJ284" s="1132" t="n"/>
      <c r="WCK284" s="1132" t="n"/>
      <c r="WCL284" s="1132" t="n"/>
      <c r="WCM284" s="1132" t="n"/>
      <c r="WCN284" s="1132" t="n"/>
      <c r="WCO284" s="1132" t="n"/>
      <c r="WCP284" s="1132" t="n"/>
      <c r="WCQ284" s="1132" t="n"/>
      <c r="WCR284" s="1132" t="n"/>
      <c r="WCS284" s="1132" t="n"/>
      <c r="WCT284" s="1132" t="n"/>
      <c r="WCU284" s="1132" t="n"/>
      <c r="WCV284" s="1132" t="n"/>
      <c r="WCW284" s="1132" t="n"/>
      <c r="WCX284" s="1132" t="n"/>
      <c r="WCY284" s="1132" t="n"/>
      <c r="WCZ284" s="1132" t="n"/>
      <c r="WDA284" s="1132" t="n"/>
      <c r="WDB284" s="1132" t="n"/>
      <c r="WDC284" s="1132" t="n"/>
      <c r="WDD284" s="1132" t="n"/>
      <c r="WDE284" s="1132" t="n"/>
      <c r="WDF284" s="1132" t="n"/>
      <c r="WDG284" s="1132" t="n"/>
      <c r="WDH284" s="1132" t="n"/>
      <c r="WDI284" s="1132" t="n"/>
      <c r="WDJ284" s="1132" t="n"/>
      <c r="WDK284" s="1132" t="n"/>
      <c r="WDL284" s="1132" t="n"/>
      <c r="WDM284" s="1132" t="n"/>
      <c r="WDN284" s="1132" t="n"/>
      <c r="WDO284" s="1132" t="n"/>
      <c r="WDP284" s="1132" t="n"/>
      <c r="WDQ284" s="1132" t="n"/>
      <c r="WDR284" s="1132" t="n"/>
      <c r="WDS284" s="1132" t="n"/>
      <c r="WDT284" s="1132" t="n"/>
      <c r="WDU284" s="1132" t="n"/>
      <c r="WDV284" s="1132" t="n"/>
      <c r="WDW284" s="1132" t="n"/>
      <c r="WDX284" s="1132" t="n"/>
      <c r="WDY284" s="1132" t="n"/>
      <c r="WDZ284" s="1132" t="n"/>
      <c r="WEA284" s="1132" t="n"/>
      <c r="WEB284" s="1132" t="n"/>
      <c r="WEC284" s="1132" t="n"/>
      <c r="WED284" s="1132" t="n"/>
      <c r="WEE284" s="1132" t="n"/>
      <c r="WEF284" s="1132" t="n"/>
      <c r="WEG284" s="1132" t="n"/>
      <c r="WEH284" s="1132" t="n"/>
      <c r="WEI284" s="1132" t="n"/>
      <c r="WEJ284" s="1132" t="n"/>
      <c r="WEK284" s="1132" t="n"/>
      <c r="WEL284" s="1132" t="n"/>
      <c r="WEM284" s="1132" t="n"/>
      <c r="WEN284" s="1132" t="n"/>
      <c r="WEO284" s="1132" t="n"/>
      <c r="WEP284" s="1132" t="n"/>
      <c r="WEQ284" s="1132" t="n"/>
      <c r="WER284" s="1132" t="n"/>
      <c r="WES284" s="1132" t="n"/>
      <c r="WET284" s="1132" t="n"/>
      <c r="WEU284" s="1132" t="n"/>
      <c r="WEV284" s="1132" t="n"/>
      <c r="WEW284" s="1132" t="n"/>
      <c r="WEX284" s="1132" t="n"/>
      <c r="WEY284" s="1132" t="n"/>
      <c r="WEZ284" s="1132" t="n"/>
      <c r="WFA284" s="1132" t="n"/>
      <c r="WFB284" s="1132" t="n"/>
      <c r="WFC284" s="1132" t="n"/>
      <c r="WFD284" s="1132" t="n"/>
      <c r="WFE284" s="1132" t="n"/>
      <c r="WFF284" s="1132" t="n"/>
      <c r="WFG284" s="1132" t="n"/>
      <c r="WFH284" s="1132" t="n"/>
      <c r="WFI284" s="1132" t="n"/>
      <c r="WFJ284" s="1132" t="n"/>
      <c r="WFK284" s="1132" t="n"/>
      <c r="WFL284" s="1132" t="n"/>
      <c r="WFM284" s="1132" t="n"/>
      <c r="WFN284" s="1132" t="n"/>
      <c r="WFO284" s="1132" t="n"/>
      <c r="WFP284" s="1132" t="n"/>
      <c r="WFQ284" s="1132" t="n"/>
      <c r="WFR284" s="1132" t="n"/>
      <c r="WFS284" s="1132" t="n"/>
      <c r="WFT284" s="1132" t="n"/>
      <c r="WFU284" s="1132" t="n"/>
      <c r="WFV284" s="1132" t="n"/>
      <c r="WFW284" s="1132" t="n"/>
      <c r="WFX284" s="1132" t="n"/>
      <c r="WFY284" s="1132" t="n"/>
      <c r="WFZ284" s="1132" t="n"/>
      <c r="WGA284" s="1132" t="n"/>
      <c r="WGB284" s="1132" t="n"/>
      <c r="WGC284" s="1132" t="n"/>
      <c r="WGD284" s="1132" t="n"/>
      <c r="WGE284" s="1132" t="n"/>
      <c r="WGF284" s="1132" t="n"/>
      <c r="WGG284" s="1132" t="n"/>
      <c r="WGH284" s="1132" t="n"/>
      <c r="WGI284" s="1132" t="n"/>
      <c r="WGJ284" s="1132" t="n"/>
      <c r="WGK284" s="1132" t="n"/>
      <c r="WGL284" s="1132" t="n"/>
      <c r="WGM284" s="1132" t="n"/>
      <c r="WGN284" s="1132" t="n"/>
      <c r="WGO284" s="1132" t="n"/>
      <c r="WGP284" s="1132" t="n"/>
      <c r="WGQ284" s="1132" t="n"/>
      <c r="WGR284" s="1132" t="n"/>
      <c r="WGS284" s="1132" t="n"/>
      <c r="WGT284" s="1132" t="n"/>
      <c r="WGU284" s="1132" t="n"/>
      <c r="WGV284" s="1132" t="n"/>
      <c r="WGW284" s="1132" t="n"/>
      <c r="WGX284" s="1132" t="n"/>
      <c r="WGY284" s="1132" t="n"/>
      <c r="WGZ284" s="1132" t="n"/>
      <c r="WHA284" s="1132" t="n"/>
      <c r="WHB284" s="1132" t="n"/>
      <c r="WHC284" s="1132" t="n"/>
      <c r="WHD284" s="1132" t="n"/>
      <c r="WHE284" s="1132" t="n"/>
      <c r="WHF284" s="1132" t="n"/>
      <c r="WHG284" s="1132" t="n"/>
      <c r="WHH284" s="1132" t="n"/>
      <c r="WHI284" s="1132" t="n"/>
      <c r="WHJ284" s="1132" t="n"/>
      <c r="WHK284" s="1132" t="n"/>
      <c r="WHL284" s="1132" t="n"/>
      <c r="WHM284" s="1132" t="n"/>
      <c r="WHN284" s="1132" t="n"/>
      <c r="WHO284" s="1132" t="n"/>
      <c r="WHP284" s="1132" t="n"/>
      <c r="WHQ284" s="1132" t="n"/>
      <c r="WHR284" s="1132" t="n"/>
      <c r="WHS284" s="1132" t="n"/>
      <c r="WHT284" s="1132" t="n"/>
      <c r="WHU284" s="1132" t="n"/>
      <c r="WHV284" s="1132" t="n"/>
      <c r="WHW284" s="1132" t="n"/>
      <c r="WHX284" s="1132" t="n"/>
      <c r="WHY284" s="1132" t="n"/>
      <c r="WHZ284" s="1132" t="n"/>
      <c r="WIA284" s="1132" t="n"/>
      <c r="WIB284" s="1132" t="n"/>
      <c r="WIC284" s="1132" t="n"/>
      <c r="WID284" s="1132" t="n"/>
      <c r="WIE284" s="1132" t="n"/>
      <c r="WIF284" s="1132" t="n"/>
      <c r="WIG284" s="1132" t="n"/>
      <c r="WIH284" s="1132" t="n"/>
      <c r="WII284" s="1132" t="n"/>
      <c r="WIJ284" s="1132" t="n"/>
      <c r="WIK284" s="1132" t="n"/>
      <c r="WIL284" s="1132" t="n"/>
      <c r="WIM284" s="1132" t="n"/>
      <c r="WIN284" s="1132" t="n"/>
      <c r="WIO284" s="1132" t="n"/>
      <c r="WIP284" s="1132" t="n"/>
      <c r="WIQ284" s="1132" t="n"/>
      <c r="WIR284" s="1132" t="n"/>
      <c r="WIS284" s="1132" t="n"/>
      <c r="WIT284" s="1132" t="n"/>
      <c r="WIU284" s="1132" t="n"/>
      <c r="WIV284" s="1132" t="n"/>
      <c r="WIW284" s="1132" t="n"/>
      <c r="WIX284" s="1132" t="n"/>
      <c r="WIY284" s="1132" t="n"/>
      <c r="WIZ284" s="1132" t="n"/>
      <c r="WJA284" s="1132" t="n"/>
      <c r="WJB284" s="1132" t="n"/>
      <c r="WJC284" s="1132" t="n"/>
      <c r="WJD284" s="1132" t="n"/>
      <c r="WJE284" s="1132" t="n"/>
      <c r="WJF284" s="1132" t="n"/>
      <c r="WJG284" s="1132" t="n"/>
      <c r="WJH284" s="1132" t="n"/>
      <c r="WJI284" s="1132" t="n"/>
      <c r="WJJ284" s="1132" t="n"/>
      <c r="WJK284" s="1132" t="n"/>
      <c r="WJL284" s="1132" t="n"/>
      <c r="WJM284" s="1132" t="n"/>
      <c r="WJN284" s="1132" t="n"/>
      <c r="WJO284" s="1132" t="n"/>
      <c r="WJP284" s="1132" t="n"/>
      <c r="WJQ284" s="1132" t="n"/>
      <c r="WJR284" s="1132" t="n"/>
      <c r="WJS284" s="1132" t="n"/>
      <c r="WJT284" s="1132" t="n"/>
      <c r="WJU284" s="1132" t="n"/>
      <c r="WJV284" s="1132" t="n"/>
      <c r="WJW284" s="1132" t="n"/>
      <c r="WJX284" s="1132" t="n"/>
      <c r="WJY284" s="1132" t="n"/>
      <c r="WJZ284" s="1132" t="n"/>
      <c r="WKA284" s="1132" t="n"/>
      <c r="WKB284" s="1132" t="n"/>
      <c r="WKC284" s="1132" t="n"/>
      <c r="WKD284" s="1132" t="n"/>
      <c r="WKE284" s="1132" t="n"/>
      <c r="WKF284" s="1132" t="n"/>
      <c r="WKG284" s="1132" t="n"/>
      <c r="WKH284" s="1132" t="n"/>
      <c r="WKI284" s="1132" t="n"/>
      <c r="WKJ284" s="1132" t="n"/>
      <c r="WKK284" s="1132" t="n"/>
      <c r="WKL284" s="1132" t="n"/>
      <c r="WKM284" s="1132" t="n"/>
      <c r="WKN284" s="1132" t="n"/>
      <c r="WKO284" s="1132" t="n"/>
      <c r="WKP284" s="1132" t="n"/>
      <c r="WKQ284" s="1132" t="n"/>
      <c r="WKR284" s="1132" t="n"/>
      <c r="WKS284" s="1132" t="n"/>
      <c r="WKT284" s="1132" t="n"/>
      <c r="WKU284" s="1132" t="n"/>
      <c r="WKV284" s="1132" t="n"/>
      <c r="WKW284" s="1132" t="n"/>
      <c r="WKX284" s="1132" t="n"/>
      <c r="WKY284" s="1132" t="n"/>
      <c r="WKZ284" s="1132" t="n"/>
      <c r="WLA284" s="1132" t="n"/>
      <c r="WLB284" s="1132" t="n"/>
      <c r="WLC284" s="1132" t="n"/>
      <c r="WLD284" s="1132" t="n"/>
      <c r="WLE284" s="1132" t="n"/>
      <c r="WLF284" s="1132" t="n"/>
      <c r="WLG284" s="1132" t="n"/>
      <c r="WLH284" s="1132" t="n"/>
      <c r="WLI284" s="1132" t="n"/>
      <c r="WLJ284" s="1132" t="n"/>
      <c r="WLK284" s="1132" t="n"/>
      <c r="WLL284" s="1132" t="n"/>
      <c r="WLM284" s="1132" t="n"/>
      <c r="WLN284" s="1132" t="n"/>
      <c r="WLO284" s="1132" t="n"/>
      <c r="WLP284" s="1132" t="n"/>
      <c r="WLQ284" s="1132" t="n"/>
      <c r="WLR284" s="1132" t="n"/>
      <c r="WLS284" s="1132" t="n"/>
      <c r="WLT284" s="1132" t="n"/>
      <c r="WLU284" s="1132" t="n"/>
      <c r="WLV284" s="1132" t="n"/>
      <c r="WLW284" s="1132" t="n"/>
      <c r="WLX284" s="1132" t="n"/>
      <c r="WLY284" s="1132" t="n"/>
      <c r="WLZ284" s="1132" t="n"/>
      <c r="WMA284" s="1132" t="n"/>
      <c r="WMB284" s="1132" t="n"/>
      <c r="WMC284" s="1132" t="n"/>
      <c r="WMD284" s="1132" t="n"/>
      <c r="WME284" s="1132" t="n"/>
      <c r="WMF284" s="1132" t="n"/>
      <c r="WMG284" s="1132" t="n"/>
      <c r="WMH284" s="1132" t="n"/>
      <c r="WMI284" s="1132" t="n"/>
      <c r="WMJ284" s="1132" t="n"/>
      <c r="WMK284" s="1132" t="n"/>
      <c r="WML284" s="1132" t="n"/>
      <c r="WMM284" s="1132" t="n"/>
      <c r="WMN284" s="1132" t="n"/>
      <c r="WMO284" s="1132" t="n"/>
      <c r="WMP284" s="1132" t="n"/>
      <c r="WMQ284" s="1132" t="n"/>
      <c r="WMR284" s="1132" t="n"/>
      <c r="WMS284" s="1132" t="n"/>
      <c r="WMT284" s="1132" t="n"/>
      <c r="WMU284" s="1132" t="n"/>
      <c r="WMV284" s="1132" t="n"/>
      <c r="WMW284" s="1132" t="n"/>
      <c r="WMX284" s="1132" t="n"/>
      <c r="WMY284" s="1132" t="n"/>
      <c r="WMZ284" s="1132" t="n"/>
      <c r="WNA284" s="1132" t="n"/>
      <c r="WNB284" s="1132" t="n"/>
      <c r="WNC284" s="1132" t="n"/>
      <c r="WND284" s="1132" t="n"/>
      <c r="WNE284" s="1132" t="n"/>
      <c r="WNF284" s="1132" t="n"/>
      <c r="WNG284" s="1132" t="n"/>
      <c r="WNH284" s="1132" t="n"/>
      <c r="WNI284" s="1132" t="n"/>
      <c r="WNJ284" s="1132" t="n"/>
      <c r="WNK284" s="1132" t="n"/>
      <c r="WNL284" s="1132" t="n"/>
      <c r="WNM284" s="1132" t="n"/>
      <c r="WNN284" s="1132" t="n"/>
      <c r="WNO284" s="1132" t="n"/>
      <c r="WNP284" s="1132" t="n"/>
      <c r="WNQ284" s="1132" t="n"/>
      <c r="WNR284" s="1132" t="n"/>
      <c r="WNS284" s="1132" t="n"/>
      <c r="WNT284" s="1132" t="n"/>
      <c r="WNU284" s="1132" t="n"/>
      <c r="WNV284" s="1132" t="n"/>
      <c r="WNW284" s="1132" t="n"/>
      <c r="WNX284" s="1132" t="n"/>
      <c r="WNY284" s="1132" t="n"/>
      <c r="WNZ284" s="1132" t="n"/>
      <c r="WOA284" s="1132" t="n"/>
      <c r="WOB284" s="1132" t="n"/>
      <c r="WOC284" s="1132" t="n"/>
      <c r="WOD284" s="1132" t="n"/>
      <c r="WOE284" s="1132" t="n"/>
      <c r="WOF284" s="1132" t="n"/>
      <c r="WOG284" s="1132" t="n"/>
      <c r="WOH284" s="1132" t="n"/>
      <c r="WOI284" s="1132" t="n"/>
      <c r="WOJ284" s="1132" t="n"/>
      <c r="WOK284" s="1132" t="n"/>
      <c r="WOL284" s="1132" t="n"/>
      <c r="WOM284" s="1132" t="n"/>
      <c r="WON284" s="1132" t="n"/>
      <c r="WOO284" s="1132" t="n"/>
      <c r="WOP284" s="1132" t="n"/>
      <c r="WOQ284" s="1132" t="n"/>
      <c r="WOR284" s="1132" t="n"/>
      <c r="WOS284" s="1132" t="n"/>
      <c r="WOT284" s="1132" t="n"/>
      <c r="WOU284" s="1132" t="n"/>
      <c r="WOV284" s="1132" t="n"/>
      <c r="WOW284" s="1132" t="n"/>
      <c r="WOX284" s="1132" t="n"/>
      <c r="WOY284" s="1132" t="n"/>
      <c r="WOZ284" s="1132" t="n"/>
      <c r="WPA284" s="1132" t="n"/>
      <c r="WPB284" s="1132" t="n"/>
      <c r="WPC284" s="1132" t="n"/>
      <c r="WPD284" s="1132" t="n"/>
      <c r="WPE284" s="1132" t="n"/>
      <c r="WPF284" s="1132" t="n"/>
      <c r="WPG284" s="1132" t="n"/>
      <c r="WPH284" s="1132" t="n"/>
      <c r="WPI284" s="1132" t="n"/>
      <c r="WPJ284" s="1132" t="n"/>
      <c r="WPK284" s="1132" t="n"/>
      <c r="WPL284" s="1132" t="n"/>
      <c r="WPM284" s="1132" t="n"/>
      <c r="WPN284" s="1132" t="n"/>
      <c r="WPO284" s="1132" t="n"/>
      <c r="WPP284" s="1132" t="n"/>
      <c r="WPQ284" s="1132" t="n"/>
      <c r="WPR284" s="1132" t="n"/>
      <c r="WPS284" s="1132" t="n"/>
      <c r="WPT284" s="1132" t="n"/>
      <c r="WPU284" s="1132" t="n"/>
      <c r="WPV284" s="1132" t="n"/>
      <c r="WPW284" s="1132" t="n"/>
      <c r="WPX284" s="1132" t="n"/>
      <c r="WPY284" s="1132" t="n"/>
      <c r="WPZ284" s="1132" t="n"/>
      <c r="WQA284" s="1132" t="n"/>
      <c r="WQB284" s="1132" t="n"/>
      <c r="WQC284" s="1132" t="n"/>
      <c r="WQD284" s="1132" t="n"/>
      <c r="WQE284" s="1132" t="n"/>
      <c r="WQF284" s="1132" t="n"/>
      <c r="WQG284" s="1132" t="n"/>
      <c r="WQH284" s="1132" t="n"/>
      <c r="WQI284" s="1132" t="n"/>
      <c r="WQJ284" s="1132" t="n"/>
      <c r="WQK284" s="1132" t="n"/>
      <c r="WQL284" s="1132" t="n"/>
      <c r="WQM284" s="1132" t="n"/>
      <c r="WQN284" s="1132" t="n"/>
      <c r="WQO284" s="1132" t="n"/>
      <c r="WQP284" s="1132" t="n"/>
      <c r="WQQ284" s="1132" t="n"/>
      <c r="WQR284" s="1132" t="n"/>
      <c r="WQS284" s="1132" t="n"/>
      <c r="WQT284" s="1132" t="n"/>
      <c r="WQU284" s="1132" t="n"/>
      <c r="WQV284" s="1132" t="n"/>
      <c r="WQW284" s="1132" t="n"/>
      <c r="WQX284" s="1132" t="n"/>
      <c r="WQY284" s="1132" t="n"/>
      <c r="WQZ284" s="1132" t="n"/>
      <c r="WRA284" s="1132" t="n"/>
      <c r="WRB284" s="1132" t="n"/>
      <c r="WRC284" s="1132" t="n"/>
      <c r="WRD284" s="1132" t="n"/>
      <c r="WRE284" s="1132" t="n"/>
      <c r="WRF284" s="1132" t="n"/>
      <c r="WRG284" s="1132" t="n"/>
      <c r="WRH284" s="1132" t="n"/>
      <c r="WRI284" s="1132" t="n"/>
      <c r="WRJ284" s="1132" t="n"/>
      <c r="WRK284" s="1132" t="n"/>
      <c r="WRL284" s="1132" t="n"/>
      <c r="WRM284" s="1132" t="n"/>
      <c r="WRN284" s="1132" t="n"/>
      <c r="WRO284" s="1132" t="n"/>
      <c r="WRP284" s="1132" t="n"/>
      <c r="WRQ284" s="1132" t="n"/>
      <c r="WRR284" s="1132" t="n"/>
      <c r="WRS284" s="1132" t="n"/>
      <c r="WRT284" s="1132" t="n"/>
      <c r="WRU284" s="1132" t="n"/>
      <c r="WRV284" s="1132" t="n"/>
      <c r="WRW284" s="1132" t="n"/>
      <c r="WRX284" s="1132" t="n"/>
      <c r="WRY284" s="1132" t="n"/>
      <c r="WRZ284" s="1132" t="n"/>
      <c r="WSA284" s="1132" t="n"/>
      <c r="WSB284" s="1132" t="n"/>
      <c r="WSC284" s="1132" t="n"/>
      <c r="WSD284" s="1132" t="n"/>
      <c r="WSE284" s="1132" t="n"/>
      <c r="WSF284" s="1132" t="n"/>
      <c r="WSG284" s="1132" t="n"/>
      <c r="WSH284" s="1132" t="n"/>
      <c r="WSI284" s="1132" t="n"/>
      <c r="WSJ284" s="1132" t="n"/>
      <c r="WSK284" s="1132" t="n"/>
      <c r="WSL284" s="1132" t="n"/>
      <c r="WSM284" s="1132" t="n"/>
      <c r="WSN284" s="1132" t="n"/>
      <c r="WSO284" s="1132" t="n"/>
      <c r="WSP284" s="1132" t="n"/>
      <c r="WSQ284" s="1132" t="n"/>
      <c r="WSR284" s="1132" t="n"/>
      <c r="WSS284" s="1132" t="n"/>
      <c r="WST284" s="1132" t="n"/>
      <c r="WSU284" s="1132" t="n"/>
      <c r="WSV284" s="1132" t="n"/>
      <c r="WSW284" s="1132" t="n"/>
      <c r="WSX284" s="1132" t="n"/>
      <c r="WSY284" s="1132" t="n"/>
      <c r="WSZ284" s="1132" t="n"/>
      <c r="WTA284" s="1132" t="n"/>
      <c r="WTB284" s="1132" t="n"/>
      <c r="WTC284" s="1132" t="n"/>
      <c r="WTD284" s="1132" t="n"/>
      <c r="WTE284" s="1132" t="n"/>
      <c r="WTF284" s="1132" t="n"/>
      <c r="WTG284" s="1132" t="n"/>
      <c r="WTH284" s="1132" t="n"/>
      <c r="WTI284" s="1132" t="n"/>
      <c r="WTJ284" s="1132" t="n"/>
      <c r="WTK284" s="1132" t="n"/>
      <c r="WTL284" s="1132" t="n"/>
      <c r="WTM284" s="1132" t="n"/>
      <c r="WTN284" s="1132" t="n"/>
      <c r="WTO284" s="1132" t="n"/>
      <c r="WTP284" s="1132" t="n"/>
      <c r="WTQ284" s="1132" t="n"/>
      <c r="WTR284" s="1132" t="n"/>
      <c r="WTS284" s="1132" t="n"/>
      <c r="WTT284" s="1132" t="n"/>
      <c r="WTU284" s="1132" t="n"/>
      <c r="WTV284" s="1132" t="n"/>
      <c r="WTW284" s="1132" t="n"/>
      <c r="WTX284" s="1132" t="n"/>
      <c r="WTY284" s="1132" t="n"/>
      <c r="WTZ284" s="1132" t="n"/>
      <c r="WUA284" s="1132" t="n"/>
      <c r="WUB284" s="1132" t="n"/>
      <c r="WUC284" s="1132" t="n"/>
      <c r="WUD284" s="1132" t="n"/>
      <c r="WUE284" s="1132" t="n"/>
      <c r="WUF284" s="1132" t="n"/>
      <c r="WUG284" s="1132" t="n"/>
      <c r="WUH284" s="1132" t="n"/>
      <c r="WUI284" s="1132" t="n"/>
      <c r="WUJ284" s="1132" t="n"/>
      <c r="WUK284" s="1132" t="n"/>
      <c r="WUL284" s="1132" t="n"/>
      <c r="WUM284" s="1132" t="n"/>
      <c r="WUN284" s="1132" t="n"/>
      <c r="WUO284" s="1132" t="n"/>
      <c r="WUP284" s="1132" t="n"/>
      <c r="WUQ284" s="1132" t="n"/>
      <c r="WUR284" s="1132" t="n"/>
      <c r="WUS284" s="1132" t="n"/>
      <c r="WUT284" s="1132" t="n"/>
      <c r="WUU284" s="1132" t="n"/>
      <c r="WUV284" s="1132" t="n"/>
      <c r="WUW284" s="1132" t="n"/>
      <c r="WUX284" s="1132" t="n"/>
      <c r="WUY284" s="1132" t="n"/>
      <c r="WUZ284" s="1132" t="n"/>
      <c r="WVA284" s="1132" t="n"/>
      <c r="WVB284" s="1132" t="n"/>
      <c r="WVC284" s="1132" t="n"/>
      <c r="WVD284" s="1132" t="n"/>
      <c r="WVE284" s="1132" t="n"/>
      <c r="WVF284" s="1132" t="n"/>
      <c r="WVG284" s="1132" t="n"/>
      <c r="WVH284" s="1132" t="n"/>
      <c r="WVI284" s="1132" t="n"/>
      <c r="WVJ284" s="1132" t="n"/>
      <c r="WVK284" s="1132" t="n"/>
      <c r="WVL284" s="1132" t="n"/>
      <c r="WVM284" s="1132" t="n"/>
      <c r="WVN284" s="1132" t="n"/>
      <c r="WVO284" s="1132" t="n"/>
      <c r="WVP284" s="1132" t="n"/>
      <c r="WVQ284" s="1132" t="n"/>
      <c r="WVR284" s="1132" t="n"/>
      <c r="WVS284" s="1132" t="n"/>
      <c r="WVT284" s="1132" t="n"/>
      <c r="WVU284" s="1132" t="n"/>
      <c r="WVV284" s="1132" t="n"/>
      <c r="WVW284" s="1132" t="n"/>
      <c r="WVX284" s="1132" t="n"/>
      <c r="WVY284" s="1132" t="n"/>
      <c r="WVZ284" s="1132" t="n"/>
      <c r="WWA284" s="1132" t="n"/>
      <c r="WWB284" s="1132" t="n"/>
      <c r="WWC284" s="1132" t="n"/>
      <c r="WWD284" s="1132" t="n"/>
      <c r="WWE284" s="1132" t="n"/>
      <c r="WWF284" s="1132" t="n"/>
      <c r="WWG284" s="1132" t="n"/>
      <c r="WWH284" s="1132" t="n"/>
      <c r="WWI284" s="1132" t="n"/>
      <c r="WWJ284" s="1132" t="n"/>
      <c r="WWK284" s="1132" t="n"/>
      <c r="WWL284" s="1132" t="n"/>
      <c r="WWM284" s="1132" t="n"/>
      <c r="WWN284" s="1132" t="n"/>
      <c r="WWO284" s="1132" t="n"/>
      <c r="WWP284" s="1132" t="n"/>
      <c r="WWQ284" s="1132" t="n"/>
      <c r="WWR284" s="1132" t="n"/>
      <c r="WWS284" s="1132" t="n"/>
      <c r="WWT284" s="1132" t="n"/>
      <c r="WWU284" s="1132" t="n"/>
      <c r="WWV284" s="1132" t="n"/>
      <c r="WWW284" s="1132" t="n"/>
      <c r="WWX284" s="1132" t="n"/>
      <c r="WWY284" s="1132" t="n"/>
      <c r="WWZ284" s="1132" t="n"/>
      <c r="WXA284" s="1132" t="n"/>
      <c r="WXB284" s="1132" t="n"/>
      <c r="WXC284" s="1132" t="n"/>
      <c r="WXD284" s="1132" t="n"/>
      <c r="WXE284" s="1132" t="n"/>
      <c r="WXF284" s="1132" t="n"/>
      <c r="WXG284" s="1132" t="n"/>
      <c r="WXH284" s="1132" t="n"/>
      <c r="WXI284" s="1132" t="n"/>
      <c r="WXJ284" s="1132" t="n"/>
      <c r="WXK284" s="1132" t="n"/>
      <c r="WXL284" s="1132" t="n"/>
      <c r="WXM284" s="1132" t="n"/>
      <c r="WXN284" s="1132" t="n"/>
      <c r="WXO284" s="1132" t="n"/>
      <c r="WXP284" s="1132" t="n"/>
      <c r="WXQ284" s="1132" t="n"/>
      <c r="WXR284" s="1132" t="n"/>
      <c r="WXS284" s="1132" t="n"/>
      <c r="WXT284" s="1132" t="n"/>
      <c r="WXU284" s="1132" t="n"/>
      <c r="WXV284" s="1132" t="n"/>
      <c r="WXW284" s="1132" t="n"/>
      <c r="WXX284" s="1132" t="n"/>
      <c r="WXY284" s="1132" t="n"/>
      <c r="WXZ284" s="1132" t="n"/>
      <c r="WYA284" s="1132" t="n"/>
      <c r="WYB284" s="1132" t="n"/>
      <c r="WYC284" s="1132" t="n"/>
      <c r="WYD284" s="1132" t="n"/>
      <c r="WYE284" s="1132" t="n"/>
      <c r="WYF284" s="1132" t="n"/>
      <c r="WYG284" s="1132" t="n"/>
      <c r="WYH284" s="1132" t="n"/>
      <c r="WYI284" s="1132" t="n"/>
      <c r="WYJ284" s="1132" t="n"/>
      <c r="WYK284" s="1132" t="n"/>
      <c r="WYL284" s="1132" t="n"/>
      <c r="WYM284" s="1132" t="n"/>
      <c r="WYN284" s="1132" t="n"/>
      <c r="WYO284" s="1132" t="n"/>
      <c r="WYP284" s="1132" t="n"/>
      <c r="WYQ284" s="1132" t="n"/>
      <c r="WYR284" s="1132" t="n"/>
      <c r="WYS284" s="1132" t="n"/>
      <c r="WYT284" s="1132" t="n"/>
      <c r="WYU284" s="1132" t="n"/>
      <c r="WYV284" s="1132" t="n"/>
      <c r="WYW284" s="1132" t="n"/>
      <c r="WYX284" s="1132" t="n"/>
      <c r="WYY284" s="1132" t="n"/>
      <c r="WYZ284" s="1132" t="n"/>
      <c r="WZA284" s="1132" t="n"/>
      <c r="WZB284" s="1132" t="n"/>
      <c r="WZC284" s="1132" t="n"/>
      <c r="WZD284" s="1132" t="n"/>
      <c r="WZE284" s="1132" t="n"/>
      <c r="WZF284" s="1132" t="n"/>
      <c r="WZG284" s="1132" t="n"/>
      <c r="WZH284" s="1132" t="n"/>
      <c r="WZI284" s="1132" t="n"/>
      <c r="WZJ284" s="1132" t="n"/>
      <c r="WZK284" s="1132" t="n"/>
      <c r="WZL284" s="1132" t="n"/>
      <c r="WZM284" s="1132" t="n"/>
      <c r="WZN284" s="1132" t="n"/>
      <c r="WZO284" s="1132" t="n"/>
      <c r="WZP284" s="1132" t="n"/>
      <c r="WZQ284" s="1132" t="n"/>
      <c r="WZR284" s="1132" t="n"/>
      <c r="WZS284" s="1132" t="n"/>
      <c r="WZT284" s="1132" t="n"/>
      <c r="WZU284" s="1132" t="n"/>
      <c r="WZV284" s="1132" t="n"/>
      <c r="WZW284" s="1132" t="n"/>
      <c r="WZX284" s="1132" t="n"/>
      <c r="WZY284" s="1132" t="n"/>
      <c r="WZZ284" s="1132" t="n"/>
      <c r="XAA284" s="1132" t="n"/>
      <c r="XAB284" s="1132" t="n"/>
      <c r="XAC284" s="1132" t="n"/>
      <c r="XAD284" s="1132" t="n"/>
      <c r="XAE284" s="1132" t="n"/>
      <c r="XAF284" s="1132" t="n"/>
      <c r="XAG284" s="1132" t="n"/>
      <c r="XAH284" s="1132" t="n"/>
      <c r="XAI284" s="1132" t="n"/>
      <c r="XAJ284" s="1132" t="n"/>
      <c r="XAK284" s="1132" t="n"/>
      <c r="XAL284" s="1132" t="n"/>
      <c r="XAM284" s="1132" t="n"/>
      <c r="XAN284" s="1132" t="n"/>
      <c r="XAO284" s="1132" t="n"/>
      <c r="XAP284" s="1132" t="n"/>
      <c r="XAQ284" s="1132" t="n"/>
      <c r="XAR284" s="1132" t="n"/>
      <c r="XAS284" s="1132" t="n"/>
      <c r="XAT284" s="1132" t="n"/>
      <c r="XAU284" s="1132" t="n"/>
      <c r="XAV284" s="1132" t="n"/>
      <c r="XAW284" s="1132" t="n"/>
      <c r="XAX284" s="1132" t="n"/>
      <c r="XAY284" s="1132" t="n"/>
      <c r="XAZ284" s="1132" t="n"/>
      <c r="XBA284" s="1132" t="n"/>
      <c r="XBB284" s="1132" t="n"/>
      <c r="XBC284" s="1132" t="n"/>
      <c r="XBD284" s="1132" t="n"/>
      <c r="XBE284" s="1132" t="n"/>
      <c r="XBF284" s="1132" t="n"/>
      <c r="XBG284" s="1132" t="n"/>
      <c r="XBH284" s="1132" t="n"/>
      <c r="XBI284" s="1132" t="n"/>
      <c r="XBJ284" s="1132" t="n"/>
      <c r="XBK284" s="1132" t="n"/>
      <c r="XBL284" s="1132" t="n"/>
      <c r="XBM284" s="1132" t="n"/>
      <c r="XBN284" s="1132" t="n"/>
      <c r="XBO284" s="1132" t="n"/>
      <c r="XBP284" s="1132" t="n"/>
      <c r="XBQ284" s="1132" t="n"/>
      <c r="XBR284" s="1132" t="n"/>
      <c r="XBS284" s="1132" t="n"/>
      <c r="XBT284" s="1132" t="n"/>
      <c r="XBU284" s="1132" t="n"/>
      <c r="XBV284" s="1132" t="n"/>
      <c r="XBW284" s="1132" t="n"/>
      <c r="XBX284" s="1132" t="n"/>
      <c r="XBY284" s="1132" t="n"/>
      <c r="XBZ284" s="1132" t="n"/>
      <c r="XCA284" s="1132" t="n"/>
      <c r="XCB284" s="1132" t="n"/>
      <c r="XCC284" s="1132" t="n"/>
      <c r="XCD284" s="1132" t="n"/>
      <c r="XCE284" s="1132" t="n"/>
      <c r="XCF284" s="1132" t="n"/>
      <c r="XCG284" s="1132" t="n"/>
      <c r="XCH284" s="1132" t="n"/>
      <c r="XCI284" s="1132" t="n"/>
      <c r="XCJ284" s="1132" t="n"/>
      <c r="XCK284" s="1132" t="n"/>
      <c r="XCL284" s="1132" t="n"/>
      <c r="XCM284" s="1132" t="n"/>
      <c r="XCN284" s="1132" t="n"/>
      <c r="XCO284" s="1132" t="n"/>
      <c r="XCP284" s="1132" t="n"/>
      <c r="XCQ284" s="1132" t="n"/>
      <c r="XCR284" s="1132" t="n"/>
      <c r="XCS284" s="1132" t="n"/>
      <c r="XCT284" s="1132" t="n"/>
      <c r="XCU284" s="1132" t="n"/>
      <c r="XCV284" s="1132" t="n"/>
      <c r="XCW284" s="1132" t="n"/>
      <c r="XCX284" s="1132" t="n"/>
      <c r="XCY284" s="1132" t="n"/>
      <c r="XCZ284" s="1132" t="n"/>
      <c r="XDA284" s="1132" t="n"/>
      <c r="XDB284" s="1132" t="n"/>
      <c r="XDC284" s="1132" t="n"/>
      <c r="XDD284" s="1132" t="n"/>
      <c r="XDE284" s="1132" t="n"/>
      <c r="XDF284" s="1132" t="n"/>
      <c r="XDG284" s="1132" t="n"/>
      <c r="XDH284" s="1132" t="n"/>
      <c r="XDI284" s="1132" t="n"/>
      <c r="XDJ284" s="1132" t="n"/>
      <c r="XDK284" s="1132" t="n"/>
      <c r="XDL284" s="1132" t="n"/>
      <c r="XDM284" s="1132" t="n"/>
      <c r="XDN284" s="1132" t="n"/>
      <c r="XDO284" s="1132" t="n"/>
      <c r="XDP284" s="1132" t="n"/>
      <c r="XDQ284" s="1132" t="n"/>
      <c r="XDR284" s="1132" t="n"/>
      <c r="XDS284" s="1132" t="n"/>
      <c r="XDT284" s="1132" t="n"/>
      <c r="XDU284" s="1132" t="n"/>
      <c r="XDV284" s="1132" t="n"/>
      <c r="XDW284" s="1132" t="n"/>
      <c r="XDX284" s="1132" t="n"/>
      <c r="XDY284" s="1132" t="n"/>
      <c r="XDZ284" s="1132" t="n"/>
      <c r="XEA284" s="1132" t="n"/>
      <c r="XEB284" s="1132" t="n"/>
      <c r="XEC284" s="1132" t="n"/>
      <c r="XED284" s="1132" t="n"/>
      <c r="XEE284" s="1132" t="n"/>
      <c r="XEF284" s="1132" t="n"/>
      <c r="XEG284" s="1132" t="n"/>
      <c r="XEH284" s="1132" t="n"/>
      <c r="XEI284" s="1132" t="n"/>
      <c r="XEJ284" s="1132" t="n"/>
      <c r="XEK284" s="1132" t="n"/>
      <c r="XEL284" s="1132" t="n"/>
      <c r="XEM284" s="1132" t="n"/>
      <c r="XEN284" s="1132" t="n"/>
      <c r="XEO284" s="1132" t="n"/>
      <c r="XEP284" s="1132" t="n"/>
      <c r="XEQ284" s="1132" t="n"/>
      <c r="XER284" s="1132" t="n"/>
      <c r="XES284" s="1132" t="n"/>
      <c r="XET284" s="1132" t="n"/>
      <c r="XEU284" s="1132" t="n"/>
      <c r="XEV284" s="1132" t="n"/>
      <c r="XEW284" s="1132" t="n"/>
      <c r="XEX284" s="1132" t="n"/>
      <c r="XEY284" s="1132" t="n"/>
      <c r="XEZ284" s="1132" t="n"/>
      <c r="XFA284" s="1132" t="n"/>
      <c r="XFB284" s="1132" t="n"/>
      <c r="XFC284" s="1132" t="n"/>
      <c r="XFD284" s="1132" t="n"/>
    </row>
    <row r="285" ht="12.75" customHeight="1" s="1134">
      <c r="A285" s="1132" t="n"/>
      <c r="B285" s="1132" t="n"/>
      <c r="C285" s="1132" t="n"/>
      <c r="D285" s="1132" t="n"/>
      <c r="E285" s="1132" t="n"/>
      <c r="F285" s="1132" t="n"/>
      <c r="G285" s="1132" t="n"/>
      <c r="H285" s="1132" t="n"/>
      <c r="I285" s="1132" t="n"/>
      <c r="J285" s="1132" t="n"/>
      <c r="K285" s="1132" t="n"/>
      <c r="L285" s="1344" t="n"/>
      <c r="M285" s="1132" t="n"/>
      <c r="N285" s="1344" t="n"/>
      <c r="O285" s="1132" t="n"/>
      <c r="P285" s="1132" t="n"/>
      <c r="Q285" s="1132" t="n"/>
      <c r="R285" s="1132" t="n"/>
      <c r="S285" s="1132" t="n"/>
      <c r="T285" s="1132" t="n"/>
      <c r="U285" s="1132" t="n"/>
      <c r="V285" s="1132" t="n"/>
      <c r="W285" s="1132" t="n"/>
      <c r="X285" s="1132" t="n"/>
      <c r="Y285" s="1132" t="n"/>
      <c r="Z285" s="1132" t="n"/>
      <c r="AA285" s="1132" t="n"/>
      <c r="AB285" s="1132" t="n"/>
      <c r="AC285" s="1132" t="n"/>
      <c r="AD285" s="1132" t="n"/>
      <c r="AE285" s="1132" t="n"/>
      <c r="AF285" s="1132" t="n"/>
      <c r="AG285" s="1132" t="n"/>
      <c r="AH285" s="1132" t="n"/>
      <c r="AI285" s="1132" t="n"/>
      <c r="AJ285" s="1132" t="n"/>
      <c r="AK285" s="1132" t="n"/>
      <c r="AL285" s="1132" t="n"/>
      <c r="AM285" s="1132" t="n"/>
      <c r="AN285" s="1132" t="n"/>
      <c r="AO285" s="1132" t="n"/>
      <c r="AP285" s="1132" t="n"/>
      <c r="AQ285" s="1132" t="n"/>
      <c r="AR285" s="1132" t="n"/>
      <c r="AS285" s="1132" t="n"/>
      <c r="AT285" s="1132" t="n"/>
      <c r="AU285" s="1132" t="n"/>
      <c r="AV285" s="1132" t="n"/>
      <c r="AW285" s="1132" t="n"/>
      <c r="AX285" s="1132" t="n"/>
      <c r="AY285" s="1132" t="n"/>
      <c r="AZ285" s="1132" t="n"/>
      <c r="BA285" s="1132" t="n"/>
      <c r="BB285" s="1132" t="n"/>
      <c r="BC285" s="1132" t="n"/>
      <c r="BD285" s="1132" t="n"/>
      <c r="BE285" s="1132" t="n"/>
      <c r="BF285" s="1132" t="n"/>
      <c r="BG285" s="1132" t="n"/>
      <c r="BH285" s="1132" t="n"/>
      <c r="BI285" s="1132" t="n"/>
      <c r="BJ285" s="1132" t="n"/>
      <c r="BK285" s="1132" t="n"/>
      <c r="BL285" s="1132" t="n"/>
      <c r="BM285" s="1132" t="n"/>
      <c r="BN285" s="1132" t="n"/>
      <c r="BO285" s="1132" t="n"/>
      <c r="BP285" s="1132" t="n"/>
      <c r="BQ285" s="1132" t="n"/>
      <c r="BR285" s="1132" t="n"/>
      <c r="BS285" s="1132" t="n"/>
      <c r="BT285" s="1132" t="n"/>
      <c r="BU285" s="1132" t="n"/>
      <c r="BV285" s="1132" t="n"/>
      <c r="BW285" s="1132" t="n"/>
      <c r="BX285" s="1132" t="n"/>
      <c r="BY285" s="1132" t="n"/>
      <c r="BZ285" s="1132" t="n"/>
      <c r="CA285" s="1132" t="n"/>
      <c r="CB285" s="1132" t="n"/>
      <c r="CC285" s="1132" t="n"/>
      <c r="CD285" s="1132" t="n"/>
      <c r="CE285" s="1132" t="n"/>
      <c r="CF285" s="1132" t="n"/>
      <c r="CG285" s="1132" t="n"/>
      <c r="CH285" s="1132" t="n"/>
      <c r="CI285" s="1132" t="n"/>
      <c r="CJ285" s="1132" t="n"/>
      <c r="CK285" s="1132" t="n"/>
      <c r="CL285" s="1132" t="n"/>
      <c r="CM285" s="1132" t="n"/>
      <c r="CN285" s="1132" t="n"/>
      <c r="CO285" s="1132" t="n"/>
      <c r="CP285" s="1132" t="n"/>
      <c r="CQ285" s="1132" t="n"/>
      <c r="CR285" s="1132" t="n"/>
      <c r="CS285" s="1132" t="n"/>
      <c r="CT285" s="1132" t="n"/>
      <c r="CU285" s="1132" t="n"/>
      <c r="CV285" s="1132" t="n"/>
      <c r="CW285" s="1132" t="n"/>
      <c r="CX285" s="1132" t="n"/>
      <c r="CY285" s="1132" t="n"/>
      <c r="CZ285" s="1132" t="n"/>
      <c r="DA285" s="1132" t="n"/>
      <c r="DB285" s="1132" t="n"/>
      <c r="DC285" s="1132" t="n"/>
      <c r="DD285" s="1132" t="n"/>
      <c r="DE285" s="1132" t="n"/>
      <c r="DF285" s="1132" t="n"/>
      <c r="DG285" s="1132" t="n"/>
      <c r="DH285" s="1132" t="n"/>
      <c r="DI285" s="1132" t="n"/>
      <c r="DJ285" s="1132" t="n"/>
      <c r="DK285" s="1132" t="n"/>
      <c r="DL285" s="1132" t="n"/>
      <c r="DM285" s="1132" t="n"/>
      <c r="DN285" s="1132" t="n"/>
      <c r="DO285" s="1132" t="n"/>
      <c r="DP285" s="1132" t="n"/>
      <c r="DQ285" s="1132" t="n"/>
      <c r="DR285" s="1132" t="n"/>
      <c r="DS285" s="1132" t="n"/>
      <c r="DT285" s="1132" t="n"/>
      <c r="DU285" s="1132" t="n"/>
      <c r="DV285" s="1132" t="n"/>
      <c r="DW285" s="1132" t="n"/>
      <c r="DX285" s="1132" t="n"/>
      <c r="DY285" s="1132" t="n"/>
      <c r="DZ285" s="1132" t="n"/>
      <c r="EA285" s="1132" t="n"/>
      <c r="EB285" s="1132" t="n"/>
      <c r="EC285" s="1132" t="n"/>
      <c r="ED285" s="1132" t="n"/>
      <c r="EE285" s="1132" t="n"/>
      <c r="EF285" s="1132" t="n"/>
      <c r="EG285" s="1132" t="n"/>
      <c r="EH285" s="1132" t="n"/>
      <c r="EI285" s="1132" t="n"/>
      <c r="EJ285" s="1132" t="n"/>
      <c r="EK285" s="1132" t="n"/>
      <c r="EL285" s="1132" t="n"/>
      <c r="EM285" s="1132" t="n"/>
      <c r="EN285" s="1132" t="n"/>
      <c r="EO285" s="1132" t="n"/>
      <c r="EP285" s="1132" t="n"/>
      <c r="EQ285" s="1132" t="n"/>
      <c r="ER285" s="1132" t="n"/>
      <c r="ES285" s="1132" t="n"/>
      <c r="ET285" s="1132" t="n"/>
      <c r="EU285" s="1132" t="n"/>
      <c r="EV285" s="1132" t="n"/>
      <c r="EW285" s="1132" t="n"/>
      <c r="EX285" s="1132" t="n"/>
      <c r="EY285" s="1132" t="n"/>
      <c r="EZ285" s="1132" t="n"/>
      <c r="FA285" s="1132" t="n"/>
      <c r="FB285" s="1132" t="n"/>
      <c r="FC285" s="1132" t="n"/>
      <c r="FD285" s="1132" t="n"/>
      <c r="FE285" s="1132" t="n"/>
      <c r="FF285" s="1132" t="n"/>
      <c r="FG285" s="1132" t="n"/>
      <c r="FH285" s="1132" t="n"/>
      <c r="FI285" s="1132" t="n"/>
      <c r="FJ285" s="1132" t="n"/>
      <c r="FK285" s="1132" t="n"/>
      <c r="FL285" s="1132" t="n"/>
      <c r="FM285" s="1132" t="n"/>
      <c r="FN285" s="1132" t="n"/>
      <c r="FO285" s="1132" t="n"/>
      <c r="FP285" s="1132" t="n"/>
      <c r="FQ285" s="1132" t="n"/>
      <c r="FR285" s="1132" t="n"/>
      <c r="FS285" s="1132" t="n"/>
      <c r="FT285" s="1132" t="n"/>
      <c r="FU285" s="1132" t="n"/>
      <c r="FV285" s="1132" t="n"/>
      <c r="FW285" s="1132" t="n"/>
      <c r="FX285" s="1132" t="n"/>
      <c r="FY285" s="1132" t="n"/>
      <c r="FZ285" s="1132" t="n"/>
      <c r="GA285" s="1132" t="n"/>
      <c r="GB285" s="1132" t="n"/>
      <c r="GC285" s="1132" t="n"/>
      <c r="GD285" s="1132" t="n"/>
      <c r="GE285" s="1132" t="n"/>
      <c r="GF285" s="1132" t="n"/>
      <c r="GG285" s="1132" t="n"/>
      <c r="GH285" s="1132" t="n"/>
      <c r="GI285" s="1132" t="n"/>
      <c r="GJ285" s="1132" t="n"/>
      <c r="GK285" s="1132" t="n"/>
      <c r="GL285" s="1132" t="n"/>
      <c r="GM285" s="1132" t="n"/>
      <c r="GN285" s="1132" t="n"/>
      <c r="GO285" s="1132" t="n"/>
      <c r="GP285" s="1132" t="n"/>
      <c r="GQ285" s="1132" t="n"/>
      <c r="GR285" s="1132" t="n"/>
      <c r="GS285" s="1132" t="n"/>
      <c r="GT285" s="1132" t="n"/>
      <c r="GU285" s="1132" t="n"/>
      <c r="GV285" s="1132" t="n"/>
      <c r="GW285" s="1132" t="n"/>
      <c r="GX285" s="1132" t="n"/>
      <c r="GY285" s="1132" t="n"/>
      <c r="GZ285" s="1132" t="n"/>
      <c r="HA285" s="1132" t="n"/>
      <c r="HB285" s="1132" t="n"/>
      <c r="HC285" s="1132" t="n"/>
      <c r="HD285" s="1132" t="n"/>
      <c r="HE285" s="1132" t="n"/>
      <c r="HF285" s="1132" t="n"/>
      <c r="HG285" s="1132" t="n"/>
      <c r="HH285" s="1132" t="n"/>
      <c r="HI285" s="1132" t="n"/>
      <c r="HJ285" s="1132" t="n"/>
      <c r="HK285" s="1132" t="n"/>
      <c r="HL285" s="1132" t="n"/>
      <c r="HM285" s="1132" t="n"/>
      <c r="HN285" s="1132" t="n"/>
      <c r="HO285" s="1132" t="n"/>
      <c r="HP285" s="1132" t="n"/>
      <c r="HQ285" s="1132" t="n"/>
      <c r="HR285" s="1132" t="n"/>
      <c r="HS285" s="1132" t="n"/>
      <c r="HT285" s="1132" t="n"/>
      <c r="HU285" s="1132" t="n"/>
      <c r="HV285" s="1132" t="n"/>
      <c r="HW285" s="1132" t="n"/>
      <c r="HX285" s="1132" t="n"/>
      <c r="HY285" s="1132" t="n"/>
      <c r="HZ285" s="1132" t="n"/>
      <c r="IA285" s="1132" t="n"/>
      <c r="IB285" s="1132" t="n"/>
      <c r="IC285" s="1132" t="n"/>
      <c r="ID285" s="1132" t="n"/>
      <c r="IE285" s="1132" t="n"/>
      <c r="IF285" s="1132" t="n"/>
      <c r="IG285" s="1132" t="n"/>
      <c r="IH285" s="1132" t="n"/>
      <c r="II285" s="1132" t="n"/>
      <c r="IJ285" s="1132" t="n"/>
      <c r="IK285" s="1132" t="n"/>
      <c r="IL285" s="1132" t="n"/>
      <c r="IM285" s="1132" t="n"/>
      <c r="IN285" s="1132" t="n"/>
      <c r="IO285" s="1132" t="n"/>
      <c r="IP285" s="1132" t="n"/>
      <c r="IQ285" s="1132" t="n"/>
      <c r="IR285" s="1132" t="n"/>
      <c r="IS285" s="1132" t="n"/>
      <c r="IT285" s="1132" t="n"/>
      <c r="IU285" s="1132" t="n"/>
      <c r="IV285" s="1132" t="n"/>
      <c r="IW285" s="1132" t="n"/>
      <c r="IX285" s="1132" t="n"/>
      <c r="IY285" s="1132" t="n"/>
      <c r="IZ285" s="1132" t="n"/>
      <c r="JA285" s="1132" t="n"/>
      <c r="JB285" s="1132" t="n"/>
      <c r="JC285" s="1132" t="n"/>
      <c r="JD285" s="1132" t="n"/>
      <c r="JE285" s="1132" t="n"/>
      <c r="JF285" s="1132" t="n"/>
      <c r="JG285" s="1132" t="n"/>
      <c r="JH285" s="1132" t="n"/>
      <c r="JI285" s="1132" t="n"/>
      <c r="JJ285" s="1132" t="n"/>
      <c r="JK285" s="1132" t="n"/>
      <c r="JL285" s="1132" t="n"/>
      <c r="JM285" s="1132" t="n"/>
      <c r="JN285" s="1132" t="n"/>
      <c r="JO285" s="1132" t="n"/>
      <c r="JP285" s="1132" t="n"/>
      <c r="JQ285" s="1132" t="n"/>
      <c r="JR285" s="1132" t="n"/>
      <c r="JS285" s="1132" t="n"/>
      <c r="JT285" s="1132" t="n"/>
      <c r="JU285" s="1132" t="n"/>
      <c r="JV285" s="1132" t="n"/>
      <c r="JW285" s="1132" t="n"/>
      <c r="JX285" s="1132" t="n"/>
      <c r="JY285" s="1132" t="n"/>
      <c r="JZ285" s="1132" t="n"/>
      <c r="KA285" s="1132" t="n"/>
      <c r="KB285" s="1132" t="n"/>
      <c r="KC285" s="1132" t="n"/>
      <c r="KD285" s="1132" t="n"/>
      <c r="KE285" s="1132" t="n"/>
      <c r="KF285" s="1132" t="n"/>
      <c r="KG285" s="1132" t="n"/>
      <c r="KH285" s="1132" t="n"/>
      <c r="KI285" s="1132" t="n"/>
      <c r="KJ285" s="1132" t="n"/>
      <c r="KK285" s="1132" t="n"/>
      <c r="KL285" s="1132" t="n"/>
      <c r="KM285" s="1132" t="n"/>
      <c r="KN285" s="1132" t="n"/>
      <c r="KO285" s="1132" t="n"/>
      <c r="KP285" s="1132" t="n"/>
      <c r="KQ285" s="1132" t="n"/>
      <c r="KR285" s="1132" t="n"/>
      <c r="KS285" s="1132" t="n"/>
      <c r="KT285" s="1132" t="n"/>
      <c r="KU285" s="1132" t="n"/>
      <c r="KV285" s="1132" t="n"/>
      <c r="KW285" s="1132" t="n"/>
      <c r="KX285" s="1132" t="n"/>
      <c r="KY285" s="1132" t="n"/>
      <c r="KZ285" s="1132" t="n"/>
      <c r="LA285" s="1132" t="n"/>
      <c r="LB285" s="1132" t="n"/>
      <c r="LC285" s="1132" t="n"/>
      <c r="LD285" s="1132" t="n"/>
      <c r="LE285" s="1132" t="n"/>
      <c r="LF285" s="1132" t="n"/>
      <c r="LG285" s="1132" t="n"/>
      <c r="LH285" s="1132" t="n"/>
      <c r="LI285" s="1132" t="n"/>
      <c r="LJ285" s="1132" t="n"/>
      <c r="LK285" s="1132" t="n"/>
      <c r="LL285" s="1132" t="n"/>
      <c r="LM285" s="1132" t="n"/>
      <c r="LN285" s="1132" t="n"/>
      <c r="LO285" s="1132" t="n"/>
      <c r="LP285" s="1132" t="n"/>
      <c r="LQ285" s="1132" t="n"/>
      <c r="LR285" s="1132" t="n"/>
      <c r="LS285" s="1132" t="n"/>
      <c r="LT285" s="1132" t="n"/>
      <c r="LU285" s="1132" t="n"/>
      <c r="LV285" s="1132" t="n"/>
      <c r="LW285" s="1132" t="n"/>
      <c r="LX285" s="1132" t="n"/>
      <c r="LY285" s="1132" t="n"/>
      <c r="LZ285" s="1132" t="n"/>
      <c r="MA285" s="1132" t="n"/>
      <c r="MB285" s="1132" t="n"/>
      <c r="MC285" s="1132" t="n"/>
      <c r="MD285" s="1132" t="n"/>
      <c r="ME285" s="1132" t="n"/>
      <c r="MF285" s="1132" t="n"/>
      <c r="MG285" s="1132" t="n"/>
      <c r="MH285" s="1132" t="n"/>
      <c r="MI285" s="1132" t="n"/>
      <c r="MJ285" s="1132" t="n"/>
      <c r="MK285" s="1132" t="n"/>
      <c r="ML285" s="1132" t="n"/>
      <c r="MM285" s="1132" t="n"/>
      <c r="MN285" s="1132" t="n"/>
      <c r="MO285" s="1132" t="n"/>
      <c r="MP285" s="1132" t="n"/>
      <c r="MQ285" s="1132" t="n"/>
      <c r="MR285" s="1132" t="n"/>
      <c r="MS285" s="1132" t="n"/>
      <c r="MT285" s="1132" t="n"/>
      <c r="MU285" s="1132" t="n"/>
      <c r="MV285" s="1132" t="n"/>
      <c r="MW285" s="1132" t="n"/>
      <c r="MX285" s="1132" t="n"/>
      <c r="MY285" s="1132" t="n"/>
      <c r="MZ285" s="1132" t="n"/>
      <c r="NA285" s="1132" t="n"/>
      <c r="NB285" s="1132" t="n"/>
      <c r="NC285" s="1132" t="n"/>
      <c r="ND285" s="1132" t="n"/>
      <c r="NE285" s="1132" t="n"/>
      <c r="NF285" s="1132" t="n"/>
      <c r="NG285" s="1132" t="n"/>
      <c r="NH285" s="1132" t="n"/>
      <c r="NI285" s="1132" t="n"/>
      <c r="NJ285" s="1132" t="n"/>
      <c r="NK285" s="1132" t="n"/>
      <c r="NL285" s="1132" t="n"/>
      <c r="NM285" s="1132" t="n"/>
      <c r="NN285" s="1132" t="n"/>
      <c r="NO285" s="1132" t="n"/>
      <c r="NP285" s="1132" t="n"/>
      <c r="NQ285" s="1132" t="n"/>
      <c r="NR285" s="1132" t="n"/>
      <c r="NS285" s="1132" t="n"/>
      <c r="NT285" s="1132" t="n"/>
      <c r="NU285" s="1132" t="n"/>
      <c r="NV285" s="1132" t="n"/>
      <c r="NW285" s="1132" t="n"/>
      <c r="NX285" s="1132" t="n"/>
      <c r="NY285" s="1132" t="n"/>
      <c r="NZ285" s="1132" t="n"/>
      <c r="OA285" s="1132" t="n"/>
      <c r="OB285" s="1132" t="n"/>
      <c r="OC285" s="1132" t="n"/>
      <c r="OD285" s="1132" t="n"/>
      <c r="OE285" s="1132" t="n"/>
      <c r="OF285" s="1132" t="n"/>
      <c r="OG285" s="1132" t="n"/>
      <c r="OH285" s="1132" t="n"/>
      <c r="OI285" s="1132" t="n"/>
      <c r="OJ285" s="1132" t="n"/>
      <c r="OK285" s="1132" t="n"/>
      <c r="OL285" s="1132" t="n"/>
      <c r="OM285" s="1132" t="n"/>
      <c r="ON285" s="1132" t="n"/>
      <c r="OO285" s="1132" t="n"/>
      <c r="OP285" s="1132" t="n"/>
      <c r="OQ285" s="1132" t="n"/>
      <c r="OR285" s="1132" t="n"/>
      <c r="OS285" s="1132" t="n"/>
      <c r="OT285" s="1132" t="n"/>
      <c r="OU285" s="1132" t="n"/>
      <c r="OV285" s="1132" t="n"/>
      <c r="OW285" s="1132" t="n"/>
      <c r="OX285" s="1132" t="n"/>
      <c r="OY285" s="1132" t="n"/>
      <c r="OZ285" s="1132" t="n"/>
      <c r="PA285" s="1132" t="n"/>
      <c r="PB285" s="1132" t="n"/>
      <c r="PC285" s="1132" t="n"/>
      <c r="PD285" s="1132" t="n"/>
      <c r="PE285" s="1132" t="n"/>
      <c r="PF285" s="1132" t="n"/>
      <c r="PG285" s="1132" t="n"/>
      <c r="PH285" s="1132" t="n"/>
      <c r="PI285" s="1132" t="n"/>
      <c r="PJ285" s="1132" t="n"/>
      <c r="PK285" s="1132" t="n"/>
      <c r="PL285" s="1132" t="n"/>
      <c r="PM285" s="1132" t="n"/>
      <c r="PN285" s="1132" t="n"/>
      <c r="PO285" s="1132" t="n"/>
      <c r="PP285" s="1132" t="n"/>
      <c r="PQ285" s="1132" t="n"/>
      <c r="PR285" s="1132" t="n"/>
      <c r="PS285" s="1132" t="n"/>
      <c r="PT285" s="1132" t="n"/>
      <c r="PU285" s="1132" t="n"/>
      <c r="PV285" s="1132" t="n"/>
      <c r="PW285" s="1132" t="n"/>
      <c r="PX285" s="1132" t="n"/>
      <c r="PY285" s="1132" t="n"/>
      <c r="PZ285" s="1132" t="n"/>
      <c r="QA285" s="1132" t="n"/>
      <c r="QB285" s="1132" t="n"/>
      <c r="QC285" s="1132" t="n"/>
      <c r="QD285" s="1132" t="n"/>
      <c r="QE285" s="1132" t="n"/>
      <c r="QF285" s="1132" t="n"/>
      <c r="QG285" s="1132" t="n"/>
      <c r="QH285" s="1132" t="n"/>
      <c r="QI285" s="1132" t="n"/>
      <c r="QJ285" s="1132" t="n"/>
      <c r="QK285" s="1132" t="n"/>
      <c r="QL285" s="1132" t="n"/>
      <c r="QM285" s="1132" t="n"/>
      <c r="QN285" s="1132" t="n"/>
      <c r="QO285" s="1132" t="n"/>
      <c r="QP285" s="1132" t="n"/>
      <c r="QQ285" s="1132" t="n"/>
      <c r="QR285" s="1132" t="n"/>
      <c r="QS285" s="1132" t="n"/>
      <c r="QT285" s="1132" t="n"/>
      <c r="QU285" s="1132" t="n"/>
      <c r="QV285" s="1132" t="n"/>
      <c r="QW285" s="1132" t="n"/>
      <c r="QX285" s="1132" t="n"/>
      <c r="QY285" s="1132" t="n"/>
      <c r="QZ285" s="1132" t="n"/>
      <c r="RA285" s="1132" t="n"/>
      <c r="RB285" s="1132" t="n"/>
      <c r="RC285" s="1132" t="n"/>
      <c r="RD285" s="1132" t="n"/>
      <c r="RE285" s="1132" t="n"/>
      <c r="RF285" s="1132" t="n"/>
      <c r="RG285" s="1132" t="n"/>
      <c r="RH285" s="1132" t="n"/>
      <c r="RI285" s="1132" t="n"/>
      <c r="RJ285" s="1132" t="n"/>
      <c r="RK285" s="1132" t="n"/>
      <c r="RL285" s="1132" t="n"/>
      <c r="RM285" s="1132" t="n"/>
      <c r="RN285" s="1132" t="n"/>
      <c r="RO285" s="1132" t="n"/>
      <c r="RP285" s="1132" t="n"/>
      <c r="RQ285" s="1132" t="n"/>
      <c r="RR285" s="1132" t="n"/>
      <c r="RS285" s="1132" t="n"/>
      <c r="RT285" s="1132" t="n"/>
      <c r="RU285" s="1132" t="n"/>
      <c r="RV285" s="1132" t="n"/>
      <c r="RW285" s="1132" t="n"/>
      <c r="RX285" s="1132" t="n"/>
      <c r="RY285" s="1132" t="n"/>
      <c r="RZ285" s="1132" t="n"/>
      <c r="SA285" s="1132" t="n"/>
      <c r="SB285" s="1132" t="n"/>
      <c r="SC285" s="1132" t="n"/>
      <c r="SD285" s="1132" t="n"/>
      <c r="SE285" s="1132" t="n"/>
      <c r="SF285" s="1132" t="n"/>
      <c r="SG285" s="1132" t="n"/>
      <c r="SH285" s="1132" t="n"/>
      <c r="SI285" s="1132" t="n"/>
      <c r="SJ285" s="1132" t="n"/>
      <c r="SK285" s="1132" t="n"/>
      <c r="SL285" s="1132" t="n"/>
      <c r="SM285" s="1132" t="n"/>
      <c r="SN285" s="1132" t="n"/>
      <c r="SO285" s="1132" t="n"/>
      <c r="SP285" s="1132" t="n"/>
      <c r="SQ285" s="1132" t="n"/>
      <c r="SR285" s="1132" t="n"/>
      <c r="SS285" s="1132" t="n"/>
      <c r="ST285" s="1132" t="n"/>
      <c r="SU285" s="1132" t="n"/>
      <c r="SV285" s="1132" t="n"/>
      <c r="SW285" s="1132" t="n"/>
      <c r="SX285" s="1132" t="n"/>
      <c r="SY285" s="1132" t="n"/>
      <c r="SZ285" s="1132" t="n"/>
      <c r="TA285" s="1132" t="n"/>
      <c r="TB285" s="1132" t="n"/>
      <c r="TC285" s="1132" t="n"/>
      <c r="TD285" s="1132" t="n"/>
      <c r="TE285" s="1132" t="n"/>
      <c r="TF285" s="1132" t="n"/>
      <c r="TG285" s="1132" t="n"/>
      <c r="TH285" s="1132" t="n"/>
      <c r="TI285" s="1132" t="n"/>
      <c r="TJ285" s="1132" t="n"/>
      <c r="TK285" s="1132" t="n"/>
      <c r="TL285" s="1132" t="n"/>
      <c r="TM285" s="1132" t="n"/>
      <c r="TN285" s="1132" t="n"/>
      <c r="TO285" s="1132" t="n"/>
      <c r="TP285" s="1132" t="n"/>
      <c r="TQ285" s="1132" t="n"/>
      <c r="TR285" s="1132" t="n"/>
      <c r="TS285" s="1132" t="n"/>
      <c r="TT285" s="1132" t="n"/>
      <c r="TU285" s="1132" t="n"/>
      <c r="TV285" s="1132" t="n"/>
      <c r="TW285" s="1132" t="n"/>
      <c r="TX285" s="1132" t="n"/>
      <c r="TY285" s="1132" t="n"/>
      <c r="TZ285" s="1132" t="n"/>
      <c r="UA285" s="1132" t="n"/>
      <c r="UB285" s="1132" t="n"/>
      <c r="UC285" s="1132" t="n"/>
      <c r="UD285" s="1132" t="n"/>
      <c r="UE285" s="1132" t="n"/>
      <c r="UF285" s="1132" t="n"/>
      <c r="UG285" s="1132" t="n"/>
      <c r="UH285" s="1132" t="n"/>
      <c r="UI285" s="1132" t="n"/>
      <c r="UJ285" s="1132" t="n"/>
      <c r="UK285" s="1132" t="n"/>
      <c r="UL285" s="1132" t="n"/>
      <c r="UM285" s="1132" t="n"/>
      <c r="UN285" s="1132" t="n"/>
      <c r="UO285" s="1132" t="n"/>
      <c r="UP285" s="1132" t="n"/>
      <c r="UQ285" s="1132" t="n"/>
      <c r="UR285" s="1132" t="n"/>
      <c r="US285" s="1132" t="n"/>
      <c r="UT285" s="1132" t="n"/>
      <c r="UU285" s="1132" t="n"/>
      <c r="UV285" s="1132" t="n"/>
      <c r="UW285" s="1132" t="n"/>
      <c r="UX285" s="1132" t="n"/>
      <c r="UY285" s="1132" t="n"/>
      <c r="UZ285" s="1132" t="n"/>
      <c r="VA285" s="1132" t="n"/>
      <c r="VB285" s="1132" t="n"/>
      <c r="VC285" s="1132" t="n"/>
      <c r="VD285" s="1132" t="n"/>
      <c r="VE285" s="1132" t="n"/>
      <c r="VF285" s="1132" t="n"/>
      <c r="VG285" s="1132" t="n"/>
      <c r="VH285" s="1132" t="n"/>
      <c r="VI285" s="1132" t="n"/>
      <c r="VJ285" s="1132" t="n"/>
      <c r="VK285" s="1132" t="n"/>
      <c r="VL285" s="1132" t="n"/>
      <c r="VM285" s="1132" t="n"/>
      <c r="VN285" s="1132" t="n"/>
      <c r="VO285" s="1132" t="n"/>
      <c r="VP285" s="1132" t="n"/>
      <c r="VQ285" s="1132" t="n"/>
      <c r="VR285" s="1132" t="n"/>
      <c r="VS285" s="1132" t="n"/>
      <c r="VT285" s="1132" t="n"/>
      <c r="VU285" s="1132" t="n"/>
      <c r="VV285" s="1132" t="n"/>
      <c r="VW285" s="1132" t="n"/>
      <c r="VX285" s="1132" t="n"/>
      <c r="VY285" s="1132" t="n"/>
      <c r="VZ285" s="1132" t="n"/>
      <c r="WA285" s="1132" t="n"/>
      <c r="WB285" s="1132" t="n"/>
      <c r="WC285" s="1132" t="n"/>
      <c r="WD285" s="1132" t="n"/>
      <c r="WE285" s="1132" t="n"/>
      <c r="WF285" s="1132" t="n"/>
      <c r="WG285" s="1132" t="n"/>
      <c r="WH285" s="1132" t="n"/>
      <c r="WI285" s="1132" t="n"/>
      <c r="WJ285" s="1132" t="n"/>
      <c r="WK285" s="1132" t="n"/>
      <c r="WL285" s="1132" t="n"/>
      <c r="WM285" s="1132" t="n"/>
      <c r="WN285" s="1132" t="n"/>
      <c r="WO285" s="1132" t="n"/>
      <c r="WP285" s="1132" t="n"/>
      <c r="WQ285" s="1132" t="n"/>
      <c r="WR285" s="1132" t="n"/>
      <c r="WS285" s="1132" t="n"/>
      <c r="WT285" s="1132" t="n"/>
      <c r="WU285" s="1132" t="n"/>
      <c r="WV285" s="1132" t="n"/>
      <c r="WW285" s="1132" t="n"/>
      <c r="WX285" s="1132" t="n"/>
      <c r="WY285" s="1132" t="n"/>
      <c r="WZ285" s="1132" t="n"/>
      <c r="XA285" s="1132" t="n"/>
      <c r="XB285" s="1132" t="n"/>
      <c r="XC285" s="1132" t="n"/>
      <c r="XD285" s="1132" t="n"/>
      <c r="XE285" s="1132" t="n"/>
      <c r="XF285" s="1132" t="n"/>
      <c r="XG285" s="1132" t="n"/>
      <c r="XH285" s="1132" t="n"/>
      <c r="XI285" s="1132" t="n"/>
      <c r="XJ285" s="1132" t="n"/>
      <c r="XK285" s="1132" t="n"/>
      <c r="XL285" s="1132" t="n"/>
      <c r="XM285" s="1132" t="n"/>
      <c r="XN285" s="1132" t="n"/>
      <c r="XO285" s="1132" t="n"/>
      <c r="XP285" s="1132" t="n"/>
      <c r="XQ285" s="1132" t="n"/>
      <c r="XR285" s="1132" t="n"/>
      <c r="XS285" s="1132" t="n"/>
      <c r="XT285" s="1132" t="n"/>
      <c r="XU285" s="1132" t="n"/>
      <c r="XV285" s="1132" t="n"/>
      <c r="XW285" s="1132" t="n"/>
      <c r="XX285" s="1132" t="n"/>
      <c r="XY285" s="1132" t="n"/>
      <c r="XZ285" s="1132" t="n"/>
      <c r="YA285" s="1132" t="n"/>
      <c r="YB285" s="1132" t="n"/>
      <c r="YC285" s="1132" t="n"/>
      <c r="YD285" s="1132" t="n"/>
      <c r="YE285" s="1132" t="n"/>
      <c r="YF285" s="1132" t="n"/>
      <c r="YG285" s="1132" t="n"/>
      <c r="YH285" s="1132" t="n"/>
      <c r="YI285" s="1132" t="n"/>
      <c r="YJ285" s="1132" t="n"/>
      <c r="YK285" s="1132" t="n"/>
      <c r="YL285" s="1132" t="n"/>
      <c r="YM285" s="1132" t="n"/>
      <c r="YN285" s="1132" t="n"/>
      <c r="YO285" s="1132" t="n"/>
      <c r="YP285" s="1132" t="n"/>
      <c r="YQ285" s="1132" t="n"/>
      <c r="YR285" s="1132" t="n"/>
      <c r="YS285" s="1132" t="n"/>
      <c r="YT285" s="1132" t="n"/>
      <c r="YU285" s="1132" t="n"/>
      <c r="YV285" s="1132" t="n"/>
      <c r="YW285" s="1132" t="n"/>
      <c r="YX285" s="1132" t="n"/>
      <c r="YY285" s="1132" t="n"/>
      <c r="YZ285" s="1132" t="n"/>
      <c r="ZA285" s="1132" t="n"/>
      <c r="ZB285" s="1132" t="n"/>
      <c r="ZC285" s="1132" t="n"/>
      <c r="ZD285" s="1132" t="n"/>
      <c r="ZE285" s="1132" t="n"/>
      <c r="ZF285" s="1132" t="n"/>
      <c r="ZG285" s="1132" t="n"/>
      <c r="ZH285" s="1132" t="n"/>
      <c r="ZI285" s="1132" t="n"/>
      <c r="ZJ285" s="1132" t="n"/>
      <c r="ZK285" s="1132" t="n"/>
      <c r="ZL285" s="1132" t="n"/>
      <c r="ZM285" s="1132" t="n"/>
      <c r="ZN285" s="1132" t="n"/>
      <c r="ZO285" s="1132" t="n"/>
      <c r="ZP285" s="1132" t="n"/>
      <c r="ZQ285" s="1132" t="n"/>
      <c r="ZR285" s="1132" t="n"/>
      <c r="ZS285" s="1132" t="n"/>
      <c r="ZT285" s="1132" t="n"/>
      <c r="ZU285" s="1132" t="n"/>
      <c r="ZV285" s="1132" t="n"/>
      <c r="ZW285" s="1132" t="n"/>
      <c r="ZX285" s="1132" t="n"/>
      <c r="ZY285" s="1132" t="n"/>
      <c r="ZZ285" s="1132" t="n"/>
      <c r="AAA285" s="1132" t="n"/>
      <c r="AAB285" s="1132" t="n"/>
      <c r="AAC285" s="1132" t="n"/>
      <c r="AAD285" s="1132" t="n"/>
      <c r="AAE285" s="1132" t="n"/>
      <c r="AAF285" s="1132" t="n"/>
      <c r="AAG285" s="1132" t="n"/>
      <c r="AAH285" s="1132" t="n"/>
      <c r="AAI285" s="1132" t="n"/>
      <c r="AAJ285" s="1132" t="n"/>
      <c r="AAK285" s="1132" t="n"/>
      <c r="AAL285" s="1132" t="n"/>
      <c r="AAM285" s="1132" t="n"/>
      <c r="AAN285" s="1132" t="n"/>
      <c r="AAO285" s="1132" t="n"/>
      <c r="AAP285" s="1132" t="n"/>
      <c r="AAQ285" s="1132" t="n"/>
      <c r="AAR285" s="1132" t="n"/>
      <c r="AAS285" s="1132" t="n"/>
      <c r="AAT285" s="1132" t="n"/>
      <c r="AAU285" s="1132" t="n"/>
      <c r="AAV285" s="1132" t="n"/>
      <c r="AAW285" s="1132" t="n"/>
      <c r="AAX285" s="1132" t="n"/>
      <c r="AAY285" s="1132" t="n"/>
      <c r="AAZ285" s="1132" t="n"/>
      <c r="ABA285" s="1132" t="n"/>
      <c r="ABB285" s="1132" t="n"/>
      <c r="ABC285" s="1132" t="n"/>
      <c r="ABD285" s="1132" t="n"/>
      <c r="ABE285" s="1132" t="n"/>
      <c r="ABF285" s="1132" t="n"/>
      <c r="ABG285" s="1132" t="n"/>
      <c r="ABH285" s="1132" t="n"/>
      <c r="ABI285" s="1132" t="n"/>
      <c r="ABJ285" s="1132" t="n"/>
      <c r="ABK285" s="1132" t="n"/>
      <c r="ABL285" s="1132" t="n"/>
      <c r="ABM285" s="1132" t="n"/>
      <c r="ABN285" s="1132" t="n"/>
      <c r="ABO285" s="1132" t="n"/>
      <c r="ABP285" s="1132" t="n"/>
      <c r="ABQ285" s="1132" t="n"/>
      <c r="ABR285" s="1132" t="n"/>
      <c r="ABS285" s="1132" t="n"/>
      <c r="ABT285" s="1132" t="n"/>
      <c r="ABU285" s="1132" t="n"/>
      <c r="ABV285" s="1132" t="n"/>
      <c r="ABW285" s="1132" t="n"/>
      <c r="ABX285" s="1132" t="n"/>
      <c r="ABY285" s="1132" t="n"/>
      <c r="ABZ285" s="1132" t="n"/>
      <c r="ACA285" s="1132" t="n"/>
      <c r="ACB285" s="1132" t="n"/>
      <c r="ACC285" s="1132" t="n"/>
      <c r="ACD285" s="1132" t="n"/>
      <c r="ACE285" s="1132" t="n"/>
      <c r="ACF285" s="1132" t="n"/>
      <c r="ACG285" s="1132" t="n"/>
      <c r="ACH285" s="1132" t="n"/>
      <c r="ACI285" s="1132" t="n"/>
      <c r="ACJ285" s="1132" t="n"/>
      <c r="ACK285" s="1132" t="n"/>
      <c r="ACL285" s="1132" t="n"/>
      <c r="ACM285" s="1132" t="n"/>
      <c r="ACN285" s="1132" t="n"/>
      <c r="ACO285" s="1132" t="n"/>
      <c r="ACP285" s="1132" t="n"/>
      <c r="ACQ285" s="1132" t="n"/>
      <c r="ACR285" s="1132" t="n"/>
      <c r="ACS285" s="1132" t="n"/>
      <c r="ACT285" s="1132" t="n"/>
      <c r="ACU285" s="1132" t="n"/>
      <c r="ACV285" s="1132" t="n"/>
      <c r="ACW285" s="1132" t="n"/>
      <c r="ACX285" s="1132" t="n"/>
      <c r="ACY285" s="1132" t="n"/>
      <c r="ACZ285" s="1132" t="n"/>
      <c r="ADA285" s="1132" t="n"/>
      <c r="ADB285" s="1132" t="n"/>
      <c r="ADC285" s="1132" t="n"/>
      <c r="ADD285" s="1132" t="n"/>
      <c r="ADE285" s="1132" t="n"/>
      <c r="ADF285" s="1132" t="n"/>
      <c r="ADG285" s="1132" t="n"/>
      <c r="ADH285" s="1132" t="n"/>
      <c r="ADI285" s="1132" t="n"/>
      <c r="ADJ285" s="1132" t="n"/>
      <c r="ADK285" s="1132" t="n"/>
      <c r="ADL285" s="1132" t="n"/>
      <c r="ADM285" s="1132" t="n"/>
      <c r="ADN285" s="1132" t="n"/>
      <c r="ADO285" s="1132" t="n"/>
      <c r="ADP285" s="1132" t="n"/>
      <c r="ADQ285" s="1132" t="n"/>
      <c r="ADR285" s="1132" t="n"/>
      <c r="ADS285" s="1132" t="n"/>
      <c r="ADT285" s="1132" t="n"/>
      <c r="ADU285" s="1132" t="n"/>
      <c r="ADV285" s="1132" t="n"/>
      <c r="ADW285" s="1132" t="n"/>
      <c r="ADX285" s="1132" t="n"/>
      <c r="ADY285" s="1132" t="n"/>
      <c r="ADZ285" s="1132" t="n"/>
      <c r="AEA285" s="1132" t="n"/>
      <c r="AEB285" s="1132" t="n"/>
      <c r="AEC285" s="1132" t="n"/>
      <c r="AED285" s="1132" t="n"/>
      <c r="AEE285" s="1132" t="n"/>
      <c r="AEF285" s="1132" t="n"/>
      <c r="AEG285" s="1132" t="n"/>
      <c r="AEH285" s="1132" t="n"/>
      <c r="AEI285" s="1132" t="n"/>
      <c r="AEJ285" s="1132" t="n"/>
      <c r="AEK285" s="1132" t="n"/>
      <c r="AEL285" s="1132" t="n"/>
      <c r="AEM285" s="1132" t="n"/>
      <c r="AEN285" s="1132" t="n"/>
      <c r="AEO285" s="1132" t="n"/>
      <c r="AEP285" s="1132" t="n"/>
      <c r="AEQ285" s="1132" t="n"/>
      <c r="AER285" s="1132" t="n"/>
      <c r="AES285" s="1132" t="n"/>
      <c r="AET285" s="1132" t="n"/>
      <c r="AEU285" s="1132" t="n"/>
      <c r="AEV285" s="1132" t="n"/>
      <c r="AEW285" s="1132" t="n"/>
      <c r="AEX285" s="1132" t="n"/>
      <c r="AEY285" s="1132" t="n"/>
      <c r="AEZ285" s="1132" t="n"/>
      <c r="AFA285" s="1132" t="n"/>
      <c r="AFB285" s="1132" t="n"/>
      <c r="AFC285" s="1132" t="n"/>
      <c r="AFD285" s="1132" t="n"/>
      <c r="AFE285" s="1132" t="n"/>
      <c r="AFF285" s="1132" t="n"/>
      <c r="AFG285" s="1132" t="n"/>
      <c r="AFH285" s="1132" t="n"/>
      <c r="AFI285" s="1132" t="n"/>
      <c r="AFJ285" s="1132" t="n"/>
      <c r="AFK285" s="1132" t="n"/>
      <c r="AFL285" s="1132" t="n"/>
      <c r="AFM285" s="1132" t="n"/>
      <c r="AFN285" s="1132" t="n"/>
      <c r="AFO285" s="1132" t="n"/>
      <c r="AFP285" s="1132" t="n"/>
      <c r="AFQ285" s="1132" t="n"/>
      <c r="AFR285" s="1132" t="n"/>
      <c r="AFS285" s="1132" t="n"/>
      <c r="AFT285" s="1132" t="n"/>
      <c r="AFU285" s="1132" t="n"/>
      <c r="AFV285" s="1132" t="n"/>
      <c r="AFW285" s="1132" t="n"/>
      <c r="AFX285" s="1132" t="n"/>
      <c r="AFY285" s="1132" t="n"/>
      <c r="AFZ285" s="1132" t="n"/>
      <c r="AGA285" s="1132" t="n"/>
      <c r="AGB285" s="1132" t="n"/>
      <c r="AGC285" s="1132" t="n"/>
      <c r="AGD285" s="1132" t="n"/>
      <c r="AGE285" s="1132" t="n"/>
      <c r="AGF285" s="1132" t="n"/>
      <c r="AGG285" s="1132" t="n"/>
      <c r="AGH285" s="1132" t="n"/>
      <c r="AGI285" s="1132" t="n"/>
      <c r="AGJ285" s="1132" t="n"/>
      <c r="AGK285" s="1132" t="n"/>
      <c r="AGL285" s="1132" t="n"/>
      <c r="AGM285" s="1132" t="n"/>
      <c r="AGN285" s="1132" t="n"/>
      <c r="AGO285" s="1132" t="n"/>
      <c r="AGP285" s="1132" t="n"/>
      <c r="AGQ285" s="1132" t="n"/>
      <c r="AGR285" s="1132" t="n"/>
      <c r="AGS285" s="1132" t="n"/>
      <c r="AGT285" s="1132" t="n"/>
      <c r="AGU285" s="1132" t="n"/>
      <c r="AGV285" s="1132" t="n"/>
      <c r="AGW285" s="1132" t="n"/>
      <c r="AGX285" s="1132" t="n"/>
      <c r="AGY285" s="1132" t="n"/>
      <c r="AGZ285" s="1132" t="n"/>
      <c r="AHA285" s="1132" t="n"/>
      <c r="AHB285" s="1132" t="n"/>
      <c r="AHC285" s="1132" t="n"/>
      <c r="AHD285" s="1132" t="n"/>
      <c r="AHE285" s="1132" t="n"/>
      <c r="AHF285" s="1132" t="n"/>
      <c r="AHG285" s="1132" t="n"/>
      <c r="AHH285" s="1132" t="n"/>
      <c r="AHI285" s="1132" t="n"/>
      <c r="AHJ285" s="1132" t="n"/>
      <c r="AHK285" s="1132" t="n"/>
      <c r="AHL285" s="1132" t="n"/>
      <c r="AHM285" s="1132" t="n"/>
      <c r="AHN285" s="1132" t="n"/>
      <c r="AHO285" s="1132" t="n"/>
      <c r="AHP285" s="1132" t="n"/>
      <c r="AHQ285" s="1132" t="n"/>
      <c r="AHR285" s="1132" t="n"/>
      <c r="AHS285" s="1132" t="n"/>
      <c r="AHT285" s="1132" t="n"/>
      <c r="AHU285" s="1132" t="n"/>
      <c r="AHV285" s="1132" t="n"/>
      <c r="AHW285" s="1132" t="n"/>
      <c r="AHX285" s="1132" t="n"/>
      <c r="AHY285" s="1132" t="n"/>
      <c r="AHZ285" s="1132" t="n"/>
      <c r="AIA285" s="1132" t="n"/>
      <c r="AIB285" s="1132" t="n"/>
      <c r="AIC285" s="1132" t="n"/>
      <c r="AID285" s="1132" t="n"/>
      <c r="AIE285" s="1132" t="n"/>
      <c r="AIF285" s="1132" t="n"/>
      <c r="AIG285" s="1132" t="n"/>
      <c r="AIH285" s="1132" t="n"/>
      <c r="AII285" s="1132" t="n"/>
      <c r="AIJ285" s="1132" t="n"/>
      <c r="AIK285" s="1132" t="n"/>
      <c r="AIL285" s="1132" t="n"/>
      <c r="AIM285" s="1132" t="n"/>
      <c r="AIN285" s="1132" t="n"/>
      <c r="AIO285" s="1132" t="n"/>
      <c r="AIP285" s="1132" t="n"/>
      <c r="AIQ285" s="1132" t="n"/>
      <c r="AIR285" s="1132" t="n"/>
      <c r="AIS285" s="1132" t="n"/>
      <c r="AIT285" s="1132" t="n"/>
      <c r="AIU285" s="1132" t="n"/>
      <c r="AIV285" s="1132" t="n"/>
      <c r="AIW285" s="1132" t="n"/>
      <c r="AIX285" s="1132" t="n"/>
      <c r="AIY285" s="1132" t="n"/>
      <c r="AIZ285" s="1132" t="n"/>
      <c r="AJA285" s="1132" t="n"/>
      <c r="AJB285" s="1132" t="n"/>
      <c r="AJC285" s="1132" t="n"/>
      <c r="AJD285" s="1132" t="n"/>
      <c r="AJE285" s="1132" t="n"/>
      <c r="AJF285" s="1132" t="n"/>
      <c r="AJG285" s="1132" t="n"/>
      <c r="AJH285" s="1132" t="n"/>
      <c r="AJI285" s="1132" t="n"/>
      <c r="AJJ285" s="1132" t="n"/>
      <c r="AJK285" s="1132" t="n"/>
      <c r="AJL285" s="1132" t="n"/>
      <c r="AJM285" s="1132" t="n"/>
      <c r="AJN285" s="1132" t="n"/>
      <c r="AJO285" s="1132" t="n"/>
      <c r="AJP285" s="1132" t="n"/>
      <c r="AJQ285" s="1132" t="n"/>
      <c r="AJR285" s="1132" t="n"/>
      <c r="AJS285" s="1132" t="n"/>
      <c r="AJT285" s="1132" t="n"/>
      <c r="AJU285" s="1132" t="n"/>
      <c r="AJV285" s="1132" t="n"/>
      <c r="AJW285" s="1132" t="n"/>
      <c r="AJX285" s="1132" t="n"/>
      <c r="AJY285" s="1132" t="n"/>
      <c r="AJZ285" s="1132" t="n"/>
      <c r="AKA285" s="1132" t="n"/>
      <c r="AKB285" s="1132" t="n"/>
      <c r="AKC285" s="1132" t="n"/>
      <c r="AKD285" s="1132" t="n"/>
      <c r="AKE285" s="1132" t="n"/>
      <c r="AKF285" s="1132" t="n"/>
      <c r="AKG285" s="1132" t="n"/>
      <c r="AKH285" s="1132" t="n"/>
      <c r="AKI285" s="1132" t="n"/>
      <c r="AKJ285" s="1132" t="n"/>
      <c r="AKK285" s="1132" t="n"/>
      <c r="AKL285" s="1132" t="n"/>
      <c r="AKM285" s="1132" t="n"/>
      <c r="AKN285" s="1132" t="n"/>
      <c r="AKO285" s="1132" t="n"/>
      <c r="AKP285" s="1132" t="n"/>
      <c r="AKQ285" s="1132" t="n"/>
      <c r="AKR285" s="1132" t="n"/>
      <c r="AKS285" s="1132" t="n"/>
      <c r="AKT285" s="1132" t="n"/>
      <c r="AKU285" s="1132" t="n"/>
      <c r="AKV285" s="1132" t="n"/>
      <c r="AKW285" s="1132" t="n"/>
      <c r="AKX285" s="1132" t="n"/>
      <c r="AKY285" s="1132" t="n"/>
      <c r="AKZ285" s="1132" t="n"/>
      <c r="ALA285" s="1132" t="n"/>
      <c r="ALB285" s="1132" t="n"/>
      <c r="ALC285" s="1132" t="n"/>
      <c r="ALD285" s="1132" t="n"/>
      <c r="ALE285" s="1132" t="n"/>
      <c r="ALF285" s="1132" t="n"/>
      <c r="ALG285" s="1132" t="n"/>
      <c r="ALH285" s="1132" t="n"/>
      <c r="ALI285" s="1132" t="n"/>
      <c r="ALJ285" s="1132" t="n"/>
      <c r="ALK285" s="1132" t="n"/>
      <c r="ALL285" s="1132" t="n"/>
      <c r="ALM285" s="1132" t="n"/>
      <c r="ALN285" s="1132" t="n"/>
      <c r="ALO285" s="1132" t="n"/>
      <c r="ALP285" s="1132" t="n"/>
      <c r="ALQ285" s="1132" t="n"/>
      <c r="ALR285" s="1132" t="n"/>
      <c r="ALS285" s="1132" t="n"/>
      <c r="ALT285" s="1132" t="n"/>
      <c r="ALU285" s="1132" t="n"/>
      <c r="ALV285" s="1132" t="n"/>
      <c r="ALW285" s="1132" t="n"/>
      <c r="ALX285" s="1132" t="n"/>
      <c r="ALY285" s="1132" t="n"/>
      <c r="ALZ285" s="1132" t="n"/>
      <c r="AMA285" s="1132" t="n"/>
      <c r="AMB285" s="1132" t="n"/>
      <c r="AMC285" s="1132" t="n"/>
      <c r="AMD285" s="1132" t="n"/>
      <c r="AME285" s="1132" t="n"/>
      <c r="AMF285" s="1132" t="n"/>
      <c r="AMG285" s="1132" t="n"/>
      <c r="AMH285" s="1132" t="n"/>
      <c r="AMI285" s="1132" t="n"/>
      <c r="AMJ285" s="1132" t="n"/>
      <c r="AMK285" s="1132" t="n"/>
      <c r="AML285" s="1132" t="n"/>
      <c r="AMM285" s="1132" t="n"/>
      <c r="AMN285" s="1132" t="n"/>
      <c r="AMO285" s="1132" t="n"/>
      <c r="AMP285" s="1132" t="n"/>
      <c r="AMQ285" s="1132" t="n"/>
      <c r="AMR285" s="1132" t="n"/>
      <c r="AMS285" s="1132" t="n"/>
      <c r="AMT285" s="1132" t="n"/>
      <c r="AMU285" s="1132" t="n"/>
      <c r="AMV285" s="1132" t="n"/>
      <c r="AMW285" s="1132" t="n"/>
      <c r="AMX285" s="1132" t="n"/>
      <c r="AMY285" s="1132" t="n"/>
      <c r="AMZ285" s="1132" t="n"/>
      <c r="ANA285" s="1132" t="n"/>
      <c r="ANB285" s="1132" t="n"/>
      <c r="ANC285" s="1132" t="n"/>
      <c r="AND285" s="1132" t="n"/>
      <c r="ANE285" s="1132" t="n"/>
      <c r="ANF285" s="1132" t="n"/>
      <c r="ANG285" s="1132" t="n"/>
      <c r="ANH285" s="1132" t="n"/>
      <c r="ANI285" s="1132" t="n"/>
      <c r="ANJ285" s="1132" t="n"/>
      <c r="ANK285" s="1132" t="n"/>
      <c r="ANL285" s="1132" t="n"/>
      <c r="ANM285" s="1132" t="n"/>
      <c r="ANN285" s="1132" t="n"/>
      <c r="ANO285" s="1132" t="n"/>
      <c r="ANP285" s="1132" t="n"/>
      <c r="ANQ285" s="1132" t="n"/>
      <c r="ANR285" s="1132" t="n"/>
      <c r="ANS285" s="1132" t="n"/>
      <c r="ANT285" s="1132" t="n"/>
      <c r="ANU285" s="1132" t="n"/>
      <c r="ANV285" s="1132" t="n"/>
      <c r="ANW285" s="1132" t="n"/>
      <c r="ANX285" s="1132" t="n"/>
      <c r="ANY285" s="1132" t="n"/>
      <c r="ANZ285" s="1132" t="n"/>
      <c r="AOA285" s="1132" t="n"/>
      <c r="AOB285" s="1132" t="n"/>
      <c r="AOC285" s="1132" t="n"/>
      <c r="AOD285" s="1132" t="n"/>
      <c r="AOE285" s="1132" t="n"/>
      <c r="AOF285" s="1132" t="n"/>
      <c r="AOG285" s="1132" t="n"/>
      <c r="AOH285" s="1132" t="n"/>
      <c r="AOI285" s="1132" t="n"/>
      <c r="AOJ285" s="1132" t="n"/>
      <c r="AOK285" s="1132" t="n"/>
      <c r="AOL285" s="1132" t="n"/>
      <c r="AOM285" s="1132" t="n"/>
      <c r="AON285" s="1132" t="n"/>
      <c r="AOO285" s="1132" t="n"/>
      <c r="AOP285" s="1132" t="n"/>
      <c r="AOQ285" s="1132" t="n"/>
      <c r="AOR285" s="1132" t="n"/>
      <c r="AOS285" s="1132" t="n"/>
      <c r="AOT285" s="1132" t="n"/>
      <c r="AOU285" s="1132" t="n"/>
      <c r="AOV285" s="1132" t="n"/>
      <c r="AOW285" s="1132" t="n"/>
      <c r="AOX285" s="1132" t="n"/>
      <c r="AOY285" s="1132" t="n"/>
      <c r="AOZ285" s="1132" t="n"/>
      <c r="APA285" s="1132" t="n"/>
      <c r="APB285" s="1132" t="n"/>
      <c r="APC285" s="1132" t="n"/>
      <c r="APD285" s="1132" t="n"/>
      <c r="APE285" s="1132" t="n"/>
      <c r="APF285" s="1132" t="n"/>
      <c r="APG285" s="1132" t="n"/>
      <c r="APH285" s="1132" t="n"/>
      <c r="API285" s="1132" t="n"/>
      <c r="APJ285" s="1132" t="n"/>
      <c r="APK285" s="1132" t="n"/>
      <c r="APL285" s="1132" t="n"/>
      <c r="APM285" s="1132" t="n"/>
      <c r="APN285" s="1132" t="n"/>
      <c r="APO285" s="1132" t="n"/>
      <c r="APP285" s="1132" t="n"/>
      <c r="APQ285" s="1132" t="n"/>
      <c r="APR285" s="1132" t="n"/>
      <c r="APS285" s="1132" t="n"/>
      <c r="APT285" s="1132" t="n"/>
      <c r="APU285" s="1132" t="n"/>
      <c r="APV285" s="1132" t="n"/>
      <c r="APW285" s="1132" t="n"/>
      <c r="APX285" s="1132" t="n"/>
      <c r="APY285" s="1132" t="n"/>
      <c r="APZ285" s="1132" t="n"/>
      <c r="AQA285" s="1132" t="n"/>
      <c r="AQB285" s="1132" t="n"/>
      <c r="AQC285" s="1132" t="n"/>
      <c r="AQD285" s="1132" t="n"/>
      <c r="AQE285" s="1132" t="n"/>
      <c r="AQF285" s="1132" t="n"/>
      <c r="AQG285" s="1132" t="n"/>
      <c r="AQH285" s="1132" t="n"/>
      <c r="AQI285" s="1132" t="n"/>
      <c r="AQJ285" s="1132" t="n"/>
      <c r="AQK285" s="1132" t="n"/>
      <c r="AQL285" s="1132" t="n"/>
      <c r="AQM285" s="1132" t="n"/>
      <c r="AQN285" s="1132" t="n"/>
      <c r="AQO285" s="1132" t="n"/>
      <c r="AQP285" s="1132" t="n"/>
      <c r="AQQ285" s="1132" t="n"/>
      <c r="AQR285" s="1132" t="n"/>
      <c r="AQS285" s="1132" t="n"/>
      <c r="AQT285" s="1132" t="n"/>
      <c r="AQU285" s="1132" t="n"/>
      <c r="AQV285" s="1132" t="n"/>
      <c r="AQW285" s="1132" t="n"/>
      <c r="AQX285" s="1132" t="n"/>
      <c r="AQY285" s="1132" t="n"/>
      <c r="AQZ285" s="1132" t="n"/>
      <c r="ARA285" s="1132" t="n"/>
      <c r="ARB285" s="1132" t="n"/>
      <c r="ARC285" s="1132" t="n"/>
      <c r="ARD285" s="1132" t="n"/>
      <c r="ARE285" s="1132" t="n"/>
      <c r="ARF285" s="1132" t="n"/>
      <c r="ARG285" s="1132" t="n"/>
      <c r="ARH285" s="1132" t="n"/>
      <c r="ARI285" s="1132" t="n"/>
      <c r="ARJ285" s="1132" t="n"/>
      <c r="ARK285" s="1132" t="n"/>
      <c r="ARL285" s="1132" t="n"/>
      <c r="ARM285" s="1132" t="n"/>
      <c r="ARN285" s="1132" t="n"/>
      <c r="ARO285" s="1132" t="n"/>
      <c r="ARP285" s="1132" t="n"/>
      <c r="ARQ285" s="1132" t="n"/>
      <c r="ARR285" s="1132" t="n"/>
      <c r="ARS285" s="1132" t="n"/>
      <c r="ART285" s="1132" t="n"/>
      <c r="ARU285" s="1132" t="n"/>
      <c r="ARV285" s="1132" t="n"/>
      <c r="ARW285" s="1132" t="n"/>
      <c r="ARX285" s="1132" t="n"/>
      <c r="ARY285" s="1132" t="n"/>
      <c r="ARZ285" s="1132" t="n"/>
      <c r="ASA285" s="1132" t="n"/>
      <c r="ASB285" s="1132" t="n"/>
      <c r="ASC285" s="1132" t="n"/>
      <c r="ASD285" s="1132" t="n"/>
      <c r="ASE285" s="1132" t="n"/>
      <c r="ASF285" s="1132" t="n"/>
      <c r="ASG285" s="1132" t="n"/>
      <c r="ASH285" s="1132" t="n"/>
      <c r="ASI285" s="1132" t="n"/>
      <c r="ASJ285" s="1132" t="n"/>
      <c r="ASK285" s="1132" t="n"/>
      <c r="ASL285" s="1132" t="n"/>
      <c r="ASM285" s="1132" t="n"/>
      <c r="ASN285" s="1132" t="n"/>
      <c r="ASO285" s="1132" t="n"/>
      <c r="ASP285" s="1132" t="n"/>
      <c r="ASQ285" s="1132" t="n"/>
      <c r="ASR285" s="1132" t="n"/>
      <c r="ASS285" s="1132" t="n"/>
      <c r="AST285" s="1132" t="n"/>
      <c r="ASU285" s="1132" t="n"/>
      <c r="ASV285" s="1132" t="n"/>
      <c r="ASW285" s="1132" t="n"/>
      <c r="ASX285" s="1132" t="n"/>
      <c r="ASY285" s="1132" t="n"/>
      <c r="ASZ285" s="1132" t="n"/>
      <c r="ATA285" s="1132" t="n"/>
      <c r="ATB285" s="1132" t="n"/>
      <c r="ATC285" s="1132" t="n"/>
      <c r="ATD285" s="1132" t="n"/>
      <c r="ATE285" s="1132" t="n"/>
      <c r="ATF285" s="1132" t="n"/>
      <c r="ATG285" s="1132" t="n"/>
      <c r="ATH285" s="1132" t="n"/>
      <c r="ATI285" s="1132" t="n"/>
      <c r="ATJ285" s="1132" t="n"/>
      <c r="ATK285" s="1132" t="n"/>
      <c r="ATL285" s="1132" t="n"/>
      <c r="ATM285" s="1132" t="n"/>
      <c r="ATN285" s="1132" t="n"/>
      <c r="ATO285" s="1132" t="n"/>
      <c r="ATP285" s="1132" t="n"/>
      <c r="ATQ285" s="1132" t="n"/>
      <c r="ATR285" s="1132" t="n"/>
      <c r="ATS285" s="1132" t="n"/>
      <c r="ATT285" s="1132" t="n"/>
      <c r="ATU285" s="1132" t="n"/>
      <c r="ATV285" s="1132" t="n"/>
      <c r="ATW285" s="1132" t="n"/>
      <c r="ATX285" s="1132" t="n"/>
      <c r="ATY285" s="1132" t="n"/>
      <c r="ATZ285" s="1132" t="n"/>
      <c r="AUA285" s="1132" t="n"/>
      <c r="AUB285" s="1132" t="n"/>
      <c r="AUC285" s="1132" t="n"/>
      <c r="AUD285" s="1132" t="n"/>
      <c r="AUE285" s="1132" t="n"/>
      <c r="AUF285" s="1132" t="n"/>
      <c r="AUG285" s="1132" t="n"/>
      <c r="AUH285" s="1132" t="n"/>
      <c r="AUI285" s="1132" t="n"/>
      <c r="AUJ285" s="1132" t="n"/>
      <c r="AUK285" s="1132" t="n"/>
      <c r="AUL285" s="1132" t="n"/>
      <c r="AUM285" s="1132" t="n"/>
      <c r="AUN285" s="1132" t="n"/>
      <c r="AUO285" s="1132" t="n"/>
      <c r="AUP285" s="1132" t="n"/>
      <c r="AUQ285" s="1132" t="n"/>
      <c r="AUR285" s="1132" t="n"/>
      <c r="AUS285" s="1132" t="n"/>
      <c r="AUT285" s="1132" t="n"/>
      <c r="AUU285" s="1132" t="n"/>
      <c r="AUV285" s="1132" t="n"/>
      <c r="AUW285" s="1132" t="n"/>
      <c r="AUX285" s="1132" t="n"/>
      <c r="AUY285" s="1132" t="n"/>
      <c r="AUZ285" s="1132" t="n"/>
      <c r="AVA285" s="1132" t="n"/>
      <c r="AVB285" s="1132" t="n"/>
      <c r="AVC285" s="1132" t="n"/>
      <c r="AVD285" s="1132" t="n"/>
      <c r="AVE285" s="1132" t="n"/>
      <c r="AVF285" s="1132" t="n"/>
      <c r="AVG285" s="1132" t="n"/>
      <c r="AVH285" s="1132" t="n"/>
      <c r="AVI285" s="1132" t="n"/>
      <c r="AVJ285" s="1132" t="n"/>
      <c r="AVK285" s="1132" t="n"/>
      <c r="AVL285" s="1132" t="n"/>
      <c r="AVM285" s="1132" t="n"/>
      <c r="AVN285" s="1132" t="n"/>
      <c r="AVO285" s="1132" t="n"/>
      <c r="AVP285" s="1132" t="n"/>
      <c r="AVQ285" s="1132" t="n"/>
      <c r="AVR285" s="1132" t="n"/>
      <c r="AVS285" s="1132" t="n"/>
      <c r="AVT285" s="1132" t="n"/>
      <c r="AVU285" s="1132" t="n"/>
      <c r="AVV285" s="1132" t="n"/>
      <c r="AVW285" s="1132" t="n"/>
      <c r="AVX285" s="1132" t="n"/>
      <c r="AVY285" s="1132" t="n"/>
      <c r="AVZ285" s="1132" t="n"/>
      <c r="AWA285" s="1132" t="n"/>
      <c r="AWB285" s="1132" t="n"/>
      <c r="AWC285" s="1132" t="n"/>
      <c r="AWD285" s="1132" t="n"/>
      <c r="AWE285" s="1132" t="n"/>
      <c r="AWF285" s="1132" t="n"/>
      <c r="AWG285" s="1132" t="n"/>
      <c r="AWH285" s="1132" t="n"/>
      <c r="AWI285" s="1132" t="n"/>
      <c r="AWJ285" s="1132" t="n"/>
      <c r="AWK285" s="1132" t="n"/>
      <c r="AWL285" s="1132" t="n"/>
      <c r="AWM285" s="1132" t="n"/>
      <c r="AWN285" s="1132" t="n"/>
      <c r="AWO285" s="1132" t="n"/>
      <c r="AWP285" s="1132" t="n"/>
      <c r="AWQ285" s="1132" t="n"/>
      <c r="AWR285" s="1132" t="n"/>
      <c r="AWS285" s="1132" t="n"/>
      <c r="AWT285" s="1132" t="n"/>
      <c r="AWU285" s="1132" t="n"/>
      <c r="AWV285" s="1132" t="n"/>
      <c r="AWW285" s="1132" t="n"/>
      <c r="AWX285" s="1132" t="n"/>
      <c r="AWY285" s="1132" t="n"/>
      <c r="AWZ285" s="1132" t="n"/>
      <c r="AXA285" s="1132" t="n"/>
      <c r="AXB285" s="1132" t="n"/>
      <c r="AXC285" s="1132" t="n"/>
      <c r="AXD285" s="1132" t="n"/>
      <c r="AXE285" s="1132" t="n"/>
      <c r="AXF285" s="1132" t="n"/>
      <c r="AXG285" s="1132" t="n"/>
      <c r="AXH285" s="1132" t="n"/>
      <c r="AXI285" s="1132" t="n"/>
      <c r="AXJ285" s="1132" t="n"/>
      <c r="AXK285" s="1132" t="n"/>
      <c r="AXL285" s="1132" t="n"/>
      <c r="AXM285" s="1132" t="n"/>
      <c r="AXN285" s="1132" t="n"/>
      <c r="AXO285" s="1132" t="n"/>
      <c r="AXP285" s="1132" t="n"/>
      <c r="AXQ285" s="1132" t="n"/>
      <c r="AXR285" s="1132" t="n"/>
      <c r="AXS285" s="1132" t="n"/>
      <c r="AXT285" s="1132" t="n"/>
      <c r="AXU285" s="1132" t="n"/>
      <c r="AXV285" s="1132" t="n"/>
      <c r="AXW285" s="1132" t="n"/>
      <c r="AXX285" s="1132" t="n"/>
      <c r="AXY285" s="1132" t="n"/>
      <c r="AXZ285" s="1132" t="n"/>
      <c r="AYA285" s="1132" t="n"/>
      <c r="AYB285" s="1132" t="n"/>
      <c r="AYC285" s="1132" t="n"/>
      <c r="AYD285" s="1132" t="n"/>
      <c r="AYE285" s="1132" t="n"/>
      <c r="AYF285" s="1132" t="n"/>
      <c r="AYG285" s="1132" t="n"/>
      <c r="AYH285" s="1132" t="n"/>
      <c r="AYI285" s="1132" t="n"/>
      <c r="AYJ285" s="1132" t="n"/>
      <c r="AYK285" s="1132" t="n"/>
      <c r="AYL285" s="1132" t="n"/>
      <c r="AYM285" s="1132" t="n"/>
      <c r="AYN285" s="1132" t="n"/>
      <c r="AYO285" s="1132" t="n"/>
      <c r="AYP285" s="1132" t="n"/>
      <c r="AYQ285" s="1132" t="n"/>
      <c r="AYR285" s="1132" t="n"/>
      <c r="AYS285" s="1132" t="n"/>
      <c r="AYT285" s="1132" t="n"/>
      <c r="AYU285" s="1132" t="n"/>
      <c r="AYV285" s="1132" t="n"/>
      <c r="AYW285" s="1132" t="n"/>
      <c r="AYX285" s="1132" t="n"/>
      <c r="AYY285" s="1132" t="n"/>
      <c r="AYZ285" s="1132" t="n"/>
      <c r="AZA285" s="1132" t="n"/>
      <c r="AZB285" s="1132" t="n"/>
      <c r="AZC285" s="1132" t="n"/>
      <c r="AZD285" s="1132" t="n"/>
      <c r="AZE285" s="1132" t="n"/>
      <c r="AZF285" s="1132" t="n"/>
      <c r="AZG285" s="1132" t="n"/>
      <c r="AZH285" s="1132" t="n"/>
      <c r="AZI285" s="1132" t="n"/>
      <c r="AZJ285" s="1132" t="n"/>
      <c r="AZK285" s="1132" t="n"/>
      <c r="AZL285" s="1132" t="n"/>
      <c r="AZM285" s="1132" t="n"/>
      <c r="AZN285" s="1132" t="n"/>
      <c r="AZO285" s="1132" t="n"/>
      <c r="AZP285" s="1132" t="n"/>
      <c r="AZQ285" s="1132" t="n"/>
      <c r="AZR285" s="1132" t="n"/>
      <c r="AZS285" s="1132" t="n"/>
      <c r="AZT285" s="1132" t="n"/>
      <c r="AZU285" s="1132" t="n"/>
      <c r="AZV285" s="1132" t="n"/>
      <c r="AZW285" s="1132" t="n"/>
      <c r="AZX285" s="1132" t="n"/>
      <c r="AZY285" s="1132" t="n"/>
      <c r="AZZ285" s="1132" t="n"/>
      <c r="BAA285" s="1132" t="n"/>
      <c r="BAB285" s="1132" t="n"/>
      <c r="BAC285" s="1132" t="n"/>
      <c r="BAD285" s="1132" t="n"/>
      <c r="BAE285" s="1132" t="n"/>
      <c r="BAF285" s="1132" t="n"/>
      <c r="BAG285" s="1132" t="n"/>
      <c r="BAH285" s="1132" t="n"/>
      <c r="BAI285" s="1132" t="n"/>
      <c r="BAJ285" s="1132" t="n"/>
      <c r="BAK285" s="1132" t="n"/>
      <c r="BAL285" s="1132" t="n"/>
      <c r="BAM285" s="1132" t="n"/>
      <c r="BAN285" s="1132" t="n"/>
      <c r="BAO285" s="1132" t="n"/>
      <c r="BAP285" s="1132" t="n"/>
      <c r="BAQ285" s="1132" t="n"/>
      <c r="BAR285" s="1132" t="n"/>
      <c r="BAS285" s="1132" t="n"/>
      <c r="BAT285" s="1132" t="n"/>
      <c r="BAU285" s="1132" t="n"/>
      <c r="BAV285" s="1132" t="n"/>
      <c r="BAW285" s="1132" t="n"/>
      <c r="BAX285" s="1132" t="n"/>
      <c r="BAY285" s="1132" t="n"/>
      <c r="BAZ285" s="1132" t="n"/>
      <c r="BBA285" s="1132" t="n"/>
      <c r="BBB285" s="1132" t="n"/>
      <c r="BBC285" s="1132" t="n"/>
      <c r="BBD285" s="1132" t="n"/>
      <c r="BBE285" s="1132" t="n"/>
      <c r="BBF285" s="1132" t="n"/>
      <c r="BBG285" s="1132" t="n"/>
      <c r="BBH285" s="1132" t="n"/>
      <c r="BBI285" s="1132" t="n"/>
      <c r="BBJ285" s="1132" t="n"/>
      <c r="BBK285" s="1132" t="n"/>
      <c r="BBL285" s="1132" t="n"/>
      <c r="BBM285" s="1132" t="n"/>
      <c r="BBN285" s="1132" t="n"/>
      <c r="BBO285" s="1132" t="n"/>
      <c r="BBP285" s="1132" t="n"/>
      <c r="BBQ285" s="1132" t="n"/>
      <c r="BBR285" s="1132" t="n"/>
      <c r="BBS285" s="1132" t="n"/>
      <c r="BBT285" s="1132" t="n"/>
      <c r="BBU285" s="1132" t="n"/>
      <c r="BBV285" s="1132" t="n"/>
      <c r="BBW285" s="1132" t="n"/>
      <c r="BBX285" s="1132" t="n"/>
      <c r="BBY285" s="1132" t="n"/>
      <c r="BBZ285" s="1132" t="n"/>
      <c r="BCA285" s="1132" t="n"/>
      <c r="BCB285" s="1132" t="n"/>
      <c r="BCC285" s="1132" t="n"/>
      <c r="BCD285" s="1132" t="n"/>
      <c r="BCE285" s="1132" t="n"/>
      <c r="BCF285" s="1132" t="n"/>
      <c r="BCG285" s="1132" t="n"/>
      <c r="BCH285" s="1132" t="n"/>
      <c r="BCI285" s="1132" t="n"/>
      <c r="BCJ285" s="1132" t="n"/>
      <c r="BCK285" s="1132" t="n"/>
      <c r="BCL285" s="1132" t="n"/>
      <c r="BCM285" s="1132" t="n"/>
      <c r="BCN285" s="1132" t="n"/>
      <c r="BCO285" s="1132" t="n"/>
      <c r="BCP285" s="1132" t="n"/>
      <c r="BCQ285" s="1132" t="n"/>
      <c r="BCR285" s="1132" t="n"/>
      <c r="BCS285" s="1132" t="n"/>
      <c r="BCT285" s="1132" t="n"/>
      <c r="BCU285" s="1132" t="n"/>
      <c r="BCV285" s="1132" t="n"/>
      <c r="BCW285" s="1132" t="n"/>
      <c r="BCX285" s="1132" t="n"/>
      <c r="BCY285" s="1132" t="n"/>
      <c r="BCZ285" s="1132" t="n"/>
      <c r="BDA285" s="1132" t="n"/>
      <c r="BDB285" s="1132" t="n"/>
      <c r="BDC285" s="1132" t="n"/>
      <c r="BDD285" s="1132" t="n"/>
      <c r="BDE285" s="1132" t="n"/>
      <c r="BDF285" s="1132" t="n"/>
      <c r="BDG285" s="1132" t="n"/>
      <c r="BDH285" s="1132" t="n"/>
      <c r="BDI285" s="1132" t="n"/>
      <c r="BDJ285" s="1132" t="n"/>
      <c r="BDK285" s="1132" t="n"/>
      <c r="BDL285" s="1132" t="n"/>
      <c r="BDM285" s="1132" t="n"/>
      <c r="BDN285" s="1132" t="n"/>
      <c r="BDO285" s="1132" t="n"/>
      <c r="BDP285" s="1132" t="n"/>
      <c r="BDQ285" s="1132" t="n"/>
      <c r="BDR285" s="1132" t="n"/>
      <c r="BDS285" s="1132" t="n"/>
      <c r="BDT285" s="1132" t="n"/>
      <c r="BDU285" s="1132" t="n"/>
      <c r="BDV285" s="1132" t="n"/>
      <c r="BDW285" s="1132" t="n"/>
      <c r="BDX285" s="1132" t="n"/>
      <c r="BDY285" s="1132" t="n"/>
      <c r="BDZ285" s="1132" t="n"/>
      <c r="BEA285" s="1132" t="n"/>
      <c r="BEB285" s="1132" t="n"/>
      <c r="BEC285" s="1132" t="n"/>
      <c r="BED285" s="1132" t="n"/>
      <c r="BEE285" s="1132" t="n"/>
      <c r="BEF285" s="1132" t="n"/>
      <c r="BEG285" s="1132" t="n"/>
      <c r="BEH285" s="1132" t="n"/>
      <c r="BEI285" s="1132" t="n"/>
      <c r="BEJ285" s="1132" t="n"/>
      <c r="BEK285" s="1132" t="n"/>
      <c r="BEL285" s="1132" t="n"/>
      <c r="BEM285" s="1132" t="n"/>
      <c r="BEN285" s="1132" t="n"/>
      <c r="BEO285" s="1132" t="n"/>
      <c r="BEP285" s="1132" t="n"/>
      <c r="BEQ285" s="1132" t="n"/>
      <c r="BER285" s="1132" t="n"/>
      <c r="BES285" s="1132" t="n"/>
      <c r="BET285" s="1132" t="n"/>
      <c r="BEU285" s="1132" t="n"/>
      <c r="BEV285" s="1132" t="n"/>
      <c r="BEW285" s="1132" t="n"/>
      <c r="BEX285" s="1132" t="n"/>
      <c r="BEY285" s="1132" t="n"/>
      <c r="BEZ285" s="1132" t="n"/>
      <c r="BFA285" s="1132" t="n"/>
      <c r="BFB285" s="1132" t="n"/>
      <c r="BFC285" s="1132" t="n"/>
      <c r="BFD285" s="1132" t="n"/>
      <c r="BFE285" s="1132" t="n"/>
      <c r="BFF285" s="1132" t="n"/>
      <c r="BFG285" s="1132" t="n"/>
      <c r="BFH285" s="1132" t="n"/>
      <c r="BFI285" s="1132" t="n"/>
      <c r="BFJ285" s="1132" t="n"/>
      <c r="BFK285" s="1132" t="n"/>
      <c r="BFL285" s="1132" t="n"/>
      <c r="BFM285" s="1132" t="n"/>
      <c r="BFN285" s="1132" t="n"/>
      <c r="BFO285" s="1132" t="n"/>
      <c r="BFP285" s="1132" t="n"/>
      <c r="BFQ285" s="1132" t="n"/>
      <c r="BFR285" s="1132" t="n"/>
      <c r="BFS285" s="1132" t="n"/>
      <c r="BFT285" s="1132" t="n"/>
      <c r="BFU285" s="1132" t="n"/>
      <c r="BFV285" s="1132" t="n"/>
      <c r="BFW285" s="1132" t="n"/>
      <c r="BFX285" s="1132" t="n"/>
      <c r="BFY285" s="1132" t="n"/>
      <c r="BFZ285" s="1132" t="n"/>
      <c r="BGA285" s="1132" t="n"/>
      <c r="BGB285" s="1132" t="n"/>
      <c r="BGC285" s="1132" t="n"/>
      <c r="BGD285" s="1132" t="n"/>
      <c r="BGE285" s="1132" t="n"/>
      <c r="BGF285" s="1132" t="n"/>
      <c r="BGG285" s="1132" t="n"/>
      <c r="BGH285" s="1132" t="n"/>
      <c r="BGI285" s="1132" t="n"/>
      <c r="BGJ285" s="1132" t="n"/>
      <c r="BGK285" s="1132" t="n"/>
      <c r="BGL285" s="1132" t="n"/>
      <c r="BGM285" s="1132" t="n"/>
      <c r="BGN285" s="1132" t="n"/>
      <c r="BGO285" s="1132" t="n"/>
      <c r="BGP285" s="1132" t="n"/>
      <c r="BGQ285" s="1132" t="n"/>
      <c r="BGR285" s="1132" t="n"/>
      <c r="BGS285" s="1132" t="n"/>
      <c r="BGT285" s="1132" t="n"/>
      <c r="BGU285" s="1132" t="n"/>
      <c r="BGV285" s="1132" t="n"/>
      <c r="BGW285" s="1132" t="n"/>
      <c r="BGX285" s="1132" t="n"/>
      <c r="BGY285" s="1132" t="n"/>
      <c r="BGZ285" s="1132" t="n"/>
      <c r="BHA285" s="1132" t="n"/>
      <c r="BHB285" s="1132" t="n"/>
      <c r="BHC285" s="1132" t="n"/>
      <c r="BHD285" s="1132" t="n"/>
      <c r="BHE285" s="1132" t="n"/>
      <c r="BHF285" s="1132" t="n"/>
      <c r="BHG285" s="1132" t="n"/>
      <c r="BHH285" s="1132" t="n"/>
      <c r="BHI285" s="1132" t="n"/>
      <c r="BHJ285" s="1132" t="n"/>
      <c r="BHK285" s="1132" t="n"/>
      <c r="BHL285" s="1132" t="n"/>
      <c r="BHM285" s="1132" t="n"/>
      <c r="BHN285" s="1132" t="n"/>
      <c r="BHO285" s="1132" t="n"/>
      <c r="BHP285" s="1132" t="n"/>
      <c r="BHQ285" s="1132" t="n"/>
      <c r="BHR285" s="1132" t="n"/>
      <c r="BHS285" s="1132" t="n"/>
      <c r="BHT285" s="1132" t="n"/>
      <c r="BHU285" s="1132" t="n"/>
      <c r="BHV285" s="1132" t="n"/>
      <c r="BHW285" s="1132" t="n"/>
      <c r="BHX285" s="1132" t="n"/>
      <c r="BHY285" s="1132" t="n"/>
      <c r="BHZ285" s="1132" t="n"/>
      <c r="BIA285" s="1132" t="n"/>
      <c r="BIB285" s="1132" t="n"/>
      <c r="BIC285" s="1132" t="n"/>
      <c r="BID285" s="1132" t="n"/>
      <c r="BIE285" s="1132" t="n"/>
      <c r="BIF285" s="1132" t="n"/>
      <c r="BIG285" s="1132" t="n"/>
      <c r="BIH285" s="1132" t="n"/>
      <c r="BII285" s="1132" t="n"/>
      <c r="BIJ285" s="1132" t="n"/>
      <c r="BIK285" s="1132" t="n"/>
      <c r="BIL285" s="1132" t="n"/>
      <c r="BIM285" s="1132" t="n"/>
      <c r="BIN285" s="1132" t="n"/>
      <c r="BIO285" s="1132" t="n"/>
      <c r="BIP285" s="1132" t="n"/>
      <c r="BIQ285" s="1132" t="n"/>
      <c r="BIR285" s="1132" t="n"/>
      <c r="BIS285" s="1132" t="n"/>
      <c r="BIT285" s="1132" t="n"/>
      <c r="BIU285" s="1132" t="n"/>
      <c r="BIV285" s="1132" t="n"/>
      <c r="BIW285" s="1132" t="n"/>
      <c r="BIX285" s="1132" t="n"/>
      <c r="BIY285" s="1132" t="n"/>
      <c r="BIZ285" s="1132" t="n"/>
      <c r="BJA285" s="1132" t="n"/>
      <c r="BJB285" s="1132" t="n"/>
      <c r="BJC285" s="1132" t="n"/>
      <c r="BJD285" s="1132" t="n"/>
      <c r="BJE285" s="1132" t="n"/>
      <c r="BJF285" s="1132" t="n"/>
      <c r="BJG285" s="1132" t="n"/>
      <c r="BJH285" s="1132" t="n"/>
      <c r="BJI285" s="1132" t="n"/>
      <c r="BJJ285" s="1132" t="n"/>
      <c r="BJK285" s="1132" t="n"/>
      <c r="BJL285" s="1132" t="n"/>
      <c r="BJM285" s="1132" t="n"/>
      <c r="BJN285" s="1132" t="n"/>
      <c r="BJO285" s="1132" t="n"/>
      <c r="BJP285" s="1132" t="n"/>
      <c r="BJQ285" s="1132" t="n"/>
      <c r="BJR285" s="1132" t="n"/>
      <c r="BJS285" s="1132" t="n"/>
      <c r="BJT285" s="1132" t="n"/>
      <c r="BJU285" s="1132" t="n"/>
      <c r="BJV285" s="1132" t="n"/>
      <c r="BJW285" s="1132" t="n"/>
      <c r="BJX285" s="1132" t="n"/>
      <c r="BJY285" s="1132" t="n"/>
      <c r="BJZ285" s="1132" t="n"/>
      <c r="BKA285" s="1132" t="n"/>
      <c r="BKB285" s="1132" t="n"/>
      <c r="BKC285" s="1132" t="n"/>
      <c r="BKD285" s="1132" t="n"/>
      <c r="BKE285" s="1132" t="n"/>
      <c r="BKF285" s="1132" t="n"/>
      <c r="BKG285" s="1132" t="n"/>
      <c r="BKH285" s="1132" t="n"/>
      <c r="BKI285" s="1132" t="n"/>
      <c r="BKJ285" s="1132" t="n"/>
      <c r="BKK285" s="1132" t="n"/>
      <c r="BKL285" s="1132" t="n"/>
      <c r="BKM285" s="1132" t="n"/>
      <c r="BKN285" s="1132" t="n"/>
      <c r="BKO285" s="1132" t="n"/>
      <c r="BKP285" s="1132" t="n"/>
      <c r="BKQ285" s="1132" t="n"/>
      <c r="BKR285" s="1132" t="n"/>
      <c r="BKS285" s="1132" t="n"/>
      <c r="BKT285" s="1132" t="n"/>
      <c r="BKU285" s="1132" t="n"/>
      <c r="BKV285" s="1132" t="n"/>
      <c r="BKW285" s="1132" t="n"/>
      <c r="BKX285" s="1132" t="n"/>
      <c r="BKY285" s="1132" t="n"/>
      <c r="BKZ285" s="1132" t="n"/>
      <c r="BLA285" s="1132" t="n"/>
      <c r="BLB285" s="1132" t="n"/>
      <c r="BLC285" s="1132" t="n"/>
      <c r="BLD285" s="1132" t="n"/>
      <c r="BLE285" s="1132" t="n"/>
      <c r="BLF285" s="1132" t="n"/>
      <c r="BLG285" s="1132" t="n"/>
      <c r="BLH285" s="1132" t="n"/>
      <c r="BLI285" s="1132" t="n"/>
      <c r="BLJ285" s="1132" t="n"/>
      <c r="BLK285" s="1132" t="n"/>
      <c r="BLL285" s="1132" t="n"/>
      <c r="BLM285" s="1132" t="n"/>
      <c r="BLN285" s="1132" t="n"/>
      <c r="BLO285" s="1132" t="n"/>
      <c r="BLP285" s="1132" t="n"/>
      <c r="BLQ285" s="1132" t="n"/>
      <c r="BLR285" s="1132" t="n"/>
      <c r="BLS285" s="1132" t="n"/>
      <c r="BLT285" s="1132" t="n"/>
      <c r="BLU285" s="1132" t="n"/>
      <c r="BLV285" s="1132" t="n"/>
      <c r="BLW285" s="1132" t="n"/>
      <c r="BLX285" s="1132" t="n"/>
      <c r="BLY285" s="1132" t="n"/>
      <c r="BLZ285" s="1132" t="n"/>
      <c r="BMA285" s="1132" t="n"/>
      <c r="BMB285" s="1132" t="n"/>
      <c r="BMC285" s="1132" t="n"/>
      <c r="BMD285" s="1132" t="n"/>
      <c r="BME285" s="1132" t="n"/>
      <c r="BMF285" s="1132" t="n"/>
      <c r="BMG285" s="1132" t="n"/>
      <c r="BMH285" s="1132" t="n"/>
      <c r="BMI285" s="1132" t="n"/>
      <c r="BMJ285" s="1132" t="n"/>
      <c r="BMK285" s="1132" t="n"/>
      <c r="BML285" s="1132" t="n"/>
      <c r="BMM285" s="1132" t="n"/>
      <c r="BMN285" s="1132" t="n"/>
      <c r="BMO285" s="1132" t="n"/>
      <c r="BMP285" s="1132" t="n"/>
      <c r="BMQ285" s="1132" t="n"/>
      <c r="BMR285" s="1132" t="n"/>
      <c r="BMS285" s="1132" t="n"/>
      <c r="BMT285" s="1132" t="n"/>
      <c r="BMU285" s="1132" t="n"/>
      <c r="BMV285" s="1132" t="n"/>
      <c r="BMW285" s="1132" t="n"/>
      <c r="BMX285" s="1132" t="n"/>
      <c r="BMY285" s="1132" t="n"/>
      <c r="BMZ285" s="1132" t="n"/>
      <c r="BNA285" s="1132" t="n"/>
      <c r="BNB285" s="1132" t="n"/>
      <c r="BNC285" s="1132" t="n"/>
      <c r="BND285" s="1132" t="n"/>
      <c r="BNE285" s="1132" t="n"/>
      <c r="BNF285" s="1132" t="n"/>
      <c r="BNG285" s="1132" t="n"/>
      <c r="BNH285" s="1132" t="n"/>
      <c r="BNI285" s="1132" t="n"/>
      <c r="BNJ285" s="1132" t="n"/>
      <c r="BNK285" s="1132" t="n"/>
      <c r="BNL285" s="1132" t="n"/>
      <c r="BNM285" s="1132" t="n"/>
      <c r="BNN285" s="1132" t="n"/>
      <c r="BNO285" s="1132" t="n"/>
      <c r="BNP285" s="1132" t="n"/>
      <c r="BNQ285" s="1132" t="n"/>
      <c r="BNR285" s="1132" t="n"/>
      <c r="BNS285" s="1132" t="n"/>
      <c r="BNT285" s="1132" t="n"/>
      <c r="BNU285" s="1132" t="n"/>
      <c r="BNV285" s="1132" t="n"/>
      <c r="BNW285" s="1132" t="n"/>
      <c r="BNX285" s="1132" t="n"/>
      <c r="BNY285" s="1132" t="n"/>
      <c r="BNZ285" s="1132" t="n"/>
      <c r="BOA285" s="1132" t="n"/>
      <c r="BOB285" s="1132" t="n"/>
      <c r="BOC285" s="1132" t="n"/>
      <c r="BOD285" s="1132" t="n"/>
      <c r="BOE285" s="1132" t="n"/>
      <c r="BOF285" s="1132" t="n"/>
      <c r="BOG285" s="1132" t="n"/>
      <c r="BOH285" s="1132" t="n"/>
      <c r="BOI285" s="1132" t="n"/>
      <c r="BOJ285" s="1132" t="n"/>
      <c r="BOK285" s="1132" t="n"/>
      <c r="BOL285" s="1132" t="n"/>
      <c r="BOM285" s="1132" t="n"/>
      <c r="BON285" s="1132" t="n"/>
      <c r="BOO285" s="1132" t="n"/>
      <c r="BOP285" s="1132" t="n"/>
      <c r="BOQ285" s="1132" t="n"/>
      <c r="BOR285" s="1132" t="n"/>
      <c r="BOS285" s="1132" t="n"/>
      <c r="BOT285" s="1132" t="n"/>
      <c r="BOU285" s="1132" t="n"/>
      <c r="BOV285" s="1132" t="n"/>
      <c r="BOW285" s="1132" t="n"/>
      <c r="BOX285" s="1132" t="n"/>
      <c r="BOY285" s="1132" t="n"/>
      <c r="BOZ285" s="1132" t="n"/>
      <c r="BPA285" s="1132" t="n"/>
      <c r="BPB285" s="1132" t="n"/>
      <c r="BPC285" s="1132" t="n"/>
      <c r="BPD285" s="1132" t="n"/>
      <c r="BPE285" s="1132" t="n"/>
      <c r="BPF285" s="1132" t="n"/>
      <c r="BPG285" s="1132" t="n"/>
      <c r="BPH285" s="1132" t="n"/>
      <c r="BPI285" s="1132" t="n"/>
      <c r="BPJ285" s="1132" t="n"/>
      <c r="BPK285" s="1132" t="n"/>
      <c r="BPL285" s="1132" t="n"/>
      <c r="BPM285" s="1132" t="n"/>
      <c r="BPN285" s="1132" t="n"/>
      <c r="BPO285" s="1132" t="n"/>
      <c r="BPP285" s="1132" t="n"/>
      <c r="BPQ285" s="1132" t="n"/>
      <c r="BPR285" s="1132" t="n"/>
      <c r="BPS285" s="1132" t="n"/>
      <c r="BPT285" s="1132" t="n"/>
      <c r="BPU285" s="1132" t="n"/>
      <c r="BPV285" s="1132" t="n"/>
      <c r="BPW285" s="1132" t="n"/>
      <c r="BPX285" s="1132" t="n"/>
      <c r="BPY285" s="1132" t="n"/>
      <c r="BPZ285" s="1132" t="n"/>
      <c r="BQA285" s="1132" t="n"/>
      <c r="BQB285" s="1132" t="n"/>
      <c r="BQC285" s="1132" t="n"/>
      <c r="BQD285" s="1132" t="n"/>
      <c r="BQE285" s="1132" t="n"/>
      <c r="BQF285" s="1132" t="n"/>
      <c r="BQG285" s="1132" t="n"/>
      <c r="BQH285" s="1132" t="n"/>
      <c r="BQI285" s="1132" t="n"/>
      <c r="BQJ285" s="1132" t="n"/>
      <c r="BQK285" s="1132" t="n"/>
      <c r="BQL285" s="1132" t="n"/>
      <c r="BQM285" s="1132" t="n"/>
      <c r="BQN285" s="1132" t="n"/>
      <c r="BQO285" s="1132" t="n"/>
      <c r="BQP285" s="1132" t="n"/>
      <c r="BQQ285" s="1132" t="n"/>
      <c r="BQR285" s="1132" t="n"/>
      <c r="BQS285" s="1132" t="n"/>
      <c r="BQT285" s="1132" t="n"/>
      <c r="BQU285" s="1132" t="n"/>
      <c r="BQV285" s="1132" t="n"/>
      <c r="BQW285" s="1132" t="n"/>
      <c r="BQX285" s="1132" t="n"/>
      <c r="BQY285" s="1132" t="n"/>
      <c r="BQZ285" s="1132" t="n"/>
      <c r="BRA285" s="1132" t="n"/>
      <c r="BRB285" s="1132" t="n"/>
      <c r="BRC285" s="1132" t="n"/>
      <c r="BRD285" s="1132" t="n"/>
      <c r="BRE285" s="1132" t="n"/>
      <c r="BRF285" s="1132" t="n"/>
      <c r="BRG285" s="1132" t="n"/>
      <c r="BRH285" s="1132" t="n"/>
      <c r="BRI285" s="1132" t="n"/>
      <c r="BRJ285" s="1132" t="n"/>
      <c r="BRK285" s="1132" t="n"/>
      <c r="BRL285" s="1132" t="n"/>
      <c r="BRM285" s="1132" t="n"/>
      <c r="BRN285" s="1132" t="n"/>
      <c r="BRO285" s="1132" t="n"/>
      <c r="BRP285" s="1132" t="n"/>
      <c r="BRQ285" s="1132" t="n"/>
      <c r="BRR285" s="1132" t="n"/>
      <c r="BRS285" s="1132" t="n"/>
      <c r="BRT285" s="1132" t="n"/>
      <c r="BRU285" s="1132" t="n"/>
      <c r="BRV285" s="1132" t="n"/>
      <c r="BRW285" s="1132" t="n"/>
      <c r="BRX285" s="1132" t="n"/>
      <c r="BRY285" s="1132" t="n"/>
      <c r="BRZ285" s="1132" t="n"/>
      <c r="BSA285" s="1132" t="n"/>
      <c r="BSB285" s="1132" t="n"/>
      <c r="BSC285" s="1132" t="n"/>
      <c r="BSD285" s="1132" t="n"/>
      <c r="BSE285" s="1132" t="n"/>
      <c r="BSF285" s="1132" t="n"/>
      <c r="BSG285" s="1132" t="n"/>
      <c r="BSH285" s="1132" t="n"/>
      <c r="BSI285" s="1132" t="n"/>
      <c r="BSJ285" s="1132" t="n"/>
      <c r="BSK285" s="1132" t="n"/>
      <c r="BSL285" s="1132" t="n"/>
      <c r="BSM285" s="1132" t="n"/>
      <c r="BSN285" s="1132" t="n"/>
      <c r="BSO285" s="1132" t="n"/>
      <c r="BSP285" s="1132" t="n"/>
      <c r="BSQ285" s="1132" t="n"/>
      <c r="BSR285" s="1132" t="n"/>
      <c r="BSS285" s="1132" t="n"/>
      <c r="BST285" s="1132" t="n"/>
      <c r="BSU285" s="1132" t="n"/>
      <c r="BSV285" s="1132" t="n"/>
      <c r="BSW285" s="1132" t="n"/>
      <c r="BSX285" s="1132" t="n"/>
      <c r="BSY285" s="1132" t="n"/>
      <c r="BSZ285" s="1132" t="n"/>
      <c r="BTA285" s="1132" t="n"/>
      <c r="BTB285" s="1132" t="n"/>
      <c r="BTC285" s="1132" t="n"/>
      <c r="BTD285" s="1132" t="n"/>
      <c r="BTE285" s="1132" t="n"/>
      <c r="BTF285" s="1132" t="n"/>
      <c r="BTG285" s="1132" t="n"/>
      <c r="BTH285" s="1132" t="n"/>
      <c r="BTI285" s="1132" t="n"/>
      <c r="BTJ285" s="1132" t="n"/>
      <c r="BTK285" s="1132" t="n"/>
      <c r="BTL285" s="1132" t="n"/>
      <c r="BTM285" s="1132" t="n"/>
      <c r="BTN285" s="1132" t="n"/>
      <c r="BTO285" s="1132" t="n"/>
      <c r="BTP285" s="1132" t="n"/>
      <c r="BTQ285" s="1132" t="n"/>
      <c r="BTR285" s="1132" t="n"/>
      <c r="BTS285" s="1132" t="n"/>
      <c r="BTT285" s="1132" t="n"/>
      <c r="BTU285" s="1132" t="n"/>
      <c r="BTV285" s="1132" t="n"/>
      <c r="BTW285" s="1132" t="n"/>
      <c r="BTX285" s="1132" t="n"/>
      <c r="BTY285" s="1132" t="n"/>
      <c r="BTZ285" s="1132" t="n"/>
      <c r="BUA285" s="1132" t="n"/>
      <c r="BUB285" s="1132" t="n"/>
      <c r="BUC285" s="1132" t="n"/>
      <c r="BUD285" s="1132" t="n"/>
      <c r="BUE285" s="1132" t="n"/>
      <c r="BUF285" s="1132" t="n"/>
      <c r="BUG285" s="1132" t="n"/>
      <c r="BUH285" s="1132" t="n"/>
      <c r="BUI285" s="1132" t="n"/>
      <c r="BUJ285" s="1132" t="n"/>
      <c r="BUK285" s="1132" t="n"/>
      <c r="BUL285" s="1132" t="n"/>
      <c r="BUM285" s="1132" t="n"/>
      <c r="BUN285" s="1132" t="n"/>
      <c r="BUO285" s="1132" t="n"/>
      <c r="BUP285" s="1132" t="n"/>
      <c r="BUQ285" s="1132" t="n"/>
      <c r="BUR285" s="1132" t="n"/>
      <c r="BUS285" s="1132" t="n"/>
      <c r="BUT285" s="1132" t="n"/>
      <c r="BUU285" s="1132" t="n"/>
      <c r="BUV285" s="1132" t="n"/>
      <c r="BUW285" s="1132" t="n"/>
      <c r="BUX285" s="1132" t="n"/>
      <c r="BUY285" s="1132" t="n"/>
      <c r="BUZ285" s="1132" t="n"/>
      <c r="BVA285" s="1132" t="n"/>
      <c r="BVB285" s="1132" t="n"/>
      <c r="BVC285" s="1132" t="n"/>
      <c r="BVD285" s="1132" t="n"/>
      <c r="BVE285" s="1132" t="n"/>
      <c r="BVF285" s="1132" t="n"/>
      <c r="BVG285" s="1132" t="n"/>
      <c r="BVH285" s="1132" t="n"/>
      <c r="BVI285" s="1132" t="n"/>
      <c r="BVJ285" s="1132" t="n"/>
      <c r="BVK285" s="1132" t="n"/>
      <c r="BVL285" s="1132" t="n"/>
      <c r="BVM285" s="1132" t="n"/>
      <c r="BVN285" s="1132" t="n"/>
      <c r="BVO285" s="1132" t="n"/>
      <c r="BVP285" s="1132" t="n"/>
      <c r="BVQ285" s="1132" t="n"/>
      <c r="BVR285" s="1132" t="n"/>
      <c r="BVS285" s="1132" t="n"/>
      <c r="BVT285" s="1132" t="n"/>
      <c r="BVU285" s="1132" t="n"/>
      <c r="BVV285" s="1132" t="n"/>
      <c r="BVW285" s="1132" t="n"/>
      <c r="BVX285" s="1132" t="n"/>
      <c r="BVY285" s="1132" t="n"/>
      <c r="BVZ285" s="1132" t="n"/>
      <c r="BWA285" s="1132" t="n"/>
      <c r="BWB285" s="1132" t="n"/>
      <c r="BWC285" s="1132" t="n"/>
      <c r="BWD285" s="1132" t="n"/>
      <c r="BWE285" s="1132" t="n"/>
      <c r="BWF285" s="1132" t="n"/>
      <c r="BWG285" s="1132" t="n"/>
      <c r="BWH285" s="1132" t="n"/>
      <c r="BWI285" s="1132" t="n"/>
      <c r="BWJ285" s="1132" t="n"/>
      <c r="BWK285" s="1132" t="n"/>
      <c r="BWL285" s="1132" t="n"/>
      <c r="BWM285" s="1132" t="n"/>
      <c r="BWN285" s="1132" t="n"/>
      <c r="BWO285" s="1132" t="n"/>
      <c r="BWP285" s="1132" t="n"/>
      <c r="BWQ285" s="1132" t="n"/>
      <c r="BWR285" s="1132" t="n"/>
      <c r="BWS285" s="1132" t="n"/>
      <c r="BWT285" s="1132" t="n"/>
      <c r="BWU285" s="1132" t="n"/>
      <c r="BWV285" s="1132" t="n"/>
      <c r="BWW285" s="1132" t="n"/>
      <c r="BWX285" s="1132" t="n"/>
      <c r="BWY285" s="1132" t="n"/>
      <c r="BWZ285" s="1132" t="n"/>
      <c r="BXA285" s="1132" t="n"/>
      <c r="BXB285" s="1132" t="n"/>
      <c r="BXC285" s="1132" t="n"/>
      <c r="BXD285" s="1132" t="n"/>
      <c r="BXE285" s="1132" t="n"/>
      <c r="BXF285" s="1132" t="n"/>
      <c r="BXG285" s="1132" t="n"/>
      <c r="BXH285" s="1132" t="n"/>
      <c r="BXI285" s="1132" t="n"/>
      <c r="BXJ285" s="1132" t="n"/>
      <c r="BXK285" s="1132" t="n"/>
      <c r="BXL285" s="1132" t="n"/>
      <c r="BXM285" s="1132" t="n"/>
      <c r="BXN285" s="1132" t="n"/>
      <c r="BXO285" s="1132" t="n"/>
      <c r="BXP285" s="1132" t="n"/>
      <c r="BXQ285" s="1132" t="n"/>
      <c r="BXR285" s="1132" t="n"/>
      <c r="BXS285" s="1132" t="n"/>
      <c r="BXT285" s="1132" t="n"/>
      <c r="BXU285" s="1132" t="n"/>
      <c r="BXV285" s="1132" t="n"/>
      <c r="BXW285" s="1132" t="n"/>
      <c r="BXX285" s="1132" t="n"/>
      <c r="BXY285" s="1132" t="n"/>
      <c r="BXZ285" s="1132" t="n"/>
      <c r="BYA285" s="1132" t="n"/>
      <c r="BYB285" s="1132" t="n"/>
      <c r="BYC285" s="1132" t="n"/>
      <c r="BYD285" s="1132" t="n"/>
      <c r="BYE285" s="1132" t="n"/>
      <c r="BYF285" s="1132" t="n"/>
      <c r="BYG285" s="1132" t="n"/>
      <c r="BYH285" s="1132" t="n"/>
      <c r="BYI285" s="1132" t="n"/>
      <c r="BYJ285" s="1132" t="n"/>
      <c r="BYK285" s="1132" t="n"/>
      <c r="BYL285" s="1132" t="n"/>
      <c r="BYM285" s="1132" t="n"/>
      <c r="BYN285" s="1132" t="n"/>
      <c r="BYO285" s="1132" t="n"/>
      <c r="BYP285" s="1132" t="n"/>
      <c r="BYQ285" s="1132" t="n"/>
      <c r="BYR285" s="1132" t="n"/>
      <c r="BYS285" s="1132" t="n"/>
      <c r="BYT285" s="1132" t="n"/>
      <c r="BYU285" s="1132" t="n"/>
      <c r="BYV285" s="1132" t="n"/>
      <c r="BYW285" s="1132" t="n"/>
      <c r="BYX285" s="1132" t="n"/>
      <c r="BYY285" s="1132" t="n"/>
      <c r="BYZ285" s="1132" t="n"/>
      <c r="BZA285" s="1132" t="n"/>
      <c r="BZB285" s="1132" t="n"/>
      <c r="BZC285" s="1132" t="n"/>
      <c r="BZD285" s="1132" t="n"/>
      <c r="BZE285" s="1132" t="n"/>
      <c r="BZF285" s="1132" t="n"/>
      <c r="BZG285" s="1132" t="n"/>
      <c r="BZH285" s="1132" t="n"/>
      <c r="BZI285" s="1132" t="n"/>
      <c r="BZJ285" s="1132" t="n"/>
      <c r="BZK285" s="1132" t="n"/>
      <c r="BZL285" s="1132" t="n"/>
      <c r="BZM285" s="1132" t="n"/>
      <c r="BZN285" s="1132" t="n"/>
      <c r="BZO285" s="1132" t="n"/>
      <c r="BZP285" s="1132" t="n"/>
      <c r="BZQ285" s="1132" t="n"/>
      <c r="BZR285" s="1132" t="n"/>
      <c r="BZS285" s="1132" t="n"/>
      <c r="BZT285" s="1132" t="n"/>
      <c r="BZU285" s="1132" t="n"/>
      <c r="BZV285" s="1132" t="n"/>
      <c r="BZW285" s="1132" t="n"/>
      <c r="BZX285" s="1132" t="n"/>
      <c r="BZY285" s="1132" t="n"/>
      <c r="BZZ285" s="1132" t="n"/>
      <c r="CAA285" s="1132" t="n"/>
      <c r="CAB285" s="1132" t="n"/>
      <c r="CAC285" s="1132" t="n"/>
      <c r="CAD285" s="1132" t="n"/>
      <c r="CAE285" s="1132" t="n"/>
      <c r="CAF285" s="1132" t="n"/>
      <c r="CAG285" s="1132" t="n"/>
      <c r="CAH285" s="1132" t="n"/>
      <c r="CAI285" s="1132" t="n"/>
      <c r="CAJ285" s="1132" t="n"/>
      <c r="CAK285" s="1132" t="n"/>
      <c r="CAL285" s="1132" t="n"/>
      <c r="CAM285" s="1132" t="n"/>
      <c r="CAN285" s="1132" t="n"/>
      <c r="CAO285" s="1132" t="n"/>
      <c r="CAP285" s="1132" t="n"/>
      <c r="CAQ285" s="1132" t="n"/>
      <c r="CAR285" s="1132" t="n"/>
      <c r="CAS285" s="1132" t="n"/>
      <c r="CAT285" s="1132" t="n"/>
      <c r="CAU285" s="1132" t="n"/>
      <c r="CAV285" s="1132" t="n"/>
      <c r="CAW285" s="1132" t="n"/>
      <c r="CAX285" s="1132" t="n"/>
      <c r="CAY285" s="1132" t="n"/>
      <c r="CAZ285" s="1132" t="n"/>
      <c r="CBA285" s="1132" t="n"/>
      <c r="CBB285" s="1132" t="n"/>
      <c r="CBC285" s="1132" t="n"/>
      <c r="CBD285" s="1132" t="n"/>
      <c r="CBE285" s="1132" t="n"/>
      <c r="CBF285" s="1132" t="n"/>
      <c r="CBG285" s="1132" t="n"/>
      <c r="CBH285" s="1132" t="n"/>
      <c r="CBI285" s="1132" t="n"/>
      <c r="CBJ285" s="1132" t="n"/>
      <c r="CBK285" s="1132" t="n"/>
      <c r="CBL285" s="1132" t="n"/>
      <c r="CBM285" s="1132" t="n"/>
      <c r="CBN285" s="1132" t="n"/>
      <c r="CBO285" s="1132" t="n"/>
      <c r="CBP285" s="1132" t="n"/>
      <c r="CBQ285" s="1132" t="n"/>
      <c r="CBR285" s="1132" t="n"/>
      <c r="CBS285" s="1132" t="n"/>
      <c r="CBT285" s="1132" t="n"/>
      <c r="CBU285" s="1132" t="n"/>
      <c r="CBV285" s="1132" t="n"/>
      <c r="CBW285" s="1132" t="n"/>
      <c r="CBX285" s="1132" t="n"/>
      <c r="CBY285" s="1132" t="n"/>
      <c r="CBZ285" s="1132" t="n"/>
      <c r="CCA285" s="1132" t="n"/>
      <c r="CCB285" s="1132" t="n"/>
      <c r="CCC285" s="1132" t="n"/>
      <c r="CCD285" s="1132" t="n"/>
      <c r="CCE285" s="1132" t="n"/>
      <c r="CCF285" s="1132" t="n"/>
      <c r="CCG285" s="1132" t="n"/>
      <c r="CCH285" s="1132" t="n"/>
      <c r="CCI285" s="1132" t="n"/>
      <c r="CCJ285" s="1132" t="n"/>
      <c r="CCK285" s="1132" t="n"/>
      <c r="CCL285" s="1132" t="n"/>
      <c r="CCM285" s="1132" t="n"/>
      <c r="CCN285" s="1132" t="n"/>
      <c r="CCO285" s="1132" t="n"/>
      <c r="CCP285" s="1132" t="n"/>
      <c r="CCQ285" s="1132" t="n"/>
      <c r="CCR285" s="1132" t="n"/>
      <c r="CCS285" s="1132" t="n"/>
      <c r="CCT285" s="1132" t="n"/>
      <c r="CCU285" s="1132" t="n"/>
      <c r="CCV285" s="1132" t="n"/>
      <c r="CCW285" s="1132" t="n"/>
      <c r="CCX285" s="1132" t="n"/>
      <c r="CCY285" s="1132" t="n"/>
      <c r="CCZ285" s="1132" t="n"/>
      <c r="CDA285" s="1132" t="n"/>
      <c r="CDB285" s="1132" t="n"/>
      <c r="CDC285" s="1132" t="n"/>
      <c r="CDD285" s="1132" t="n"/>
      <c r="CDE285" s="1132" t="n"/>
      <c r="CDF285" s="1132" t="n"/>
      <c r="CDG285" s="1132" t="n"/>
      <c r="CDH285" s="1132" t="n"/>
      <c r="CDI285" s="1132" t="n"/>
      <c r="CDJ285" s="1132" t="n"/>
      <c r="CDK285" s="1132" t="n"/>
      <c r="CDL285" s="1132" t="n"/>
      <c r="CDM285" s="1132" t="n"/>
      <c r="CDN285" s="1132" t="n"/>
      <c r="CDO285" s="1132" t="n"/>
      <c r="CDP285" s="1132" t="n"/>
      <c r="CDQ285" s="1132" t="n"/>
      <c r="CDR285" s="1132" t="n"/>
      <c r="CDS285" s="1132" t="n"/>
      <c r="CDT285" s="1132" t="n"/>
      <c r="CDU285" s="1132" t="n"/>
      <c r="CDV285" s="1132" t="n"/>
      <c r="CDW285" s="1132" t="n"/>
      <c r="CDX285" s="1132" t="n"/>
      <c r="CDY285" s="1132" t="n"/>
      <c r="CDZ285" s="1132" t="n"/>
      <c r="CEA285" s="1132" t="n"/>
      <c r="CEB285" s="1132" t="n"/>
      <c r="CEC285" s="1132" t="n"/>
      <c r="CED285" s="1132" t="n"/>
      <c r="CEE285" s="1132" t="n"/>
      <c r="CEF285" s="1132" t="n"/>
      <c r="CEG285" s="1132" t="n"/>
      <c r="CEH285" s="1132" t="n"/>
      <c r="CEI285" s="1132" t="n"/>
      <c r="CEJ285" s="1132" t="n"/>
      <c r="CEK285" s="1132" t="n"/>
      <c r="CEL285" s="1132" t="n"/>
      <c r="CEM285" s="1132" t="n"/>
      <c r="CEN285" s="1132" t="n"/>
      <c r="CEO285" s="1132" t="n"/>
      <c r="CEP285" s="1132" t="n"/>
      <c r="CEQ285" s="1132" t="n"/>
      <c r="CER285" s="1132" t="n"/>
      <c r="CES285" s="1132" t="n"/>
      <c r="CET285" s="1132" t="n"/>
      <c r="CEU285" s="1132" t="n"/>
      <c r="CEV285" s="1132" t="n"/>
      <c r="CEW285" s="1132" t="n"/>
      <c r="CEX285" s="1132" t="n"/>
      <c r="CEY285" s="1132" t="n"/>
      <c r="CEZ285" s="1132" t="n"/>
      <c r="CFA285" s="1132" t="n"/>
      <c r="CFB285" s="1132" t="n"/>
      <c r="CFC285" s="1132" t="n"/>
      <c r="CFD285" s="1132" t="n"/>
      <c r="CFE285" s="1132" t="n"/>
      <c r="CFF285" s="1132" t="n"/>
      <c r="CFG285" s="1132" t="n"/>
      <c r="CFH285" s="1132" t="n"/>
      <c r="CFI285" s="1132" t="n"/>
      <c r="CFJ285" s="1132" t="n"/>
      <c r="CFK285" s="1132" t="n"/>
      <c r="CFL285" s="1132" t="n"/>
      <c r="CFM285" s="1132" t="n"/>
      <c r="CFN285" s="1132" t="n"/>
      <c r="CFO285" s="1132" t="n"/>
      <c r="CFP285" s="1132" t="n"/>
      <c r="CFQ285" s="1132" t="n"/>
      <c r="CFR285" s="1132" t="n"/>
      <c r="CFS285" s="1132" t="n"/>
      <c r="CFT285" s="1132" t="n"/>
      <c r="CFU285" s="1132" t="n"/>
      <c r="CFV285" s="1132" t="n"/>
      <c r="CFW285" s="1132" t="n"/>
      <c r="CFX285" s="1132" t="n"/>
      <c r="CFY285" s="1132" t="n"/>
      <c r="CFZ285" s="1132" t="n"/>
      <c r="CGA285" s="1132" t="n"/>
      <c r="CGB285" s="1132" t="n"/>
      <c r="CGC285" s="1132" t="n"/>
      <c r="CGD285" s="1132" t="n"/>
      <c r="CGE285" s="1132" t="n"/>
      <c r="CGF285" s="1132" t="n"/>
      <c r="CGG285" s="1132" t="n"/>
      <c r="CGH285" s="1132" t="n"/>
      <c r="CGI285" s="1132" t="n"/>
      <c r="CGJ285" s="1132" t="n"/>
      <c r="CGK285" s="1132" t="n"/>
      <c r="CGL285" s="1132" t="n"/>
      <c r="CGM285" s="1132" t="n"/>
      <c r="CGN285" s="1132" t="n"/>
      <c r="CGO285" s="1132" t="n"/>
      <c r="CGP285" s="1132" t="n"/>
      <c r="CGQ285" s="1132" t="n"/>
      <c r="CGR285" s="1132" t="n"/>
      <c r="CGS285" s="1132" t="n"/>
      <c r="CGT285" s="1132" t="n"/>
      <c r="CGU285" s="1132" t="n"/>
      <c r="CGV285" s="1132" t="n"/>
      <c r="CGW285" s="1132" t="n"/>
      <c r="CGX285" s="1132" t="n"/>
      <c r="CGY285" s="1132" t="n"/>
      <c r="CGZ285" s="1132" t="n"/>
      <c r="CHA285" s="1132" t="n"/>
      <c r="CHB285" s="1132" t="n"/>
      <c r="CHC285" s="1132" t="n"/>
      <c r="CHD285" s="1132" t="n"/>
      <c r="CHE285" s="1132" t="n"/>
      <c r="CHF285" s="1132" t="n"/>
      <c r="CHG285" s="1132" t="n"/>
      <c r="CHH285" s="1132" t="n"/>
      <c r="CHI285" s="1132" t="n"/>
      <c r="CHJ285" s="1132" t="n"/>
      <c r="CHK285" s="1132" t="n"/>
      <c r="CHL285" s="1132" t="n"/>
      <c r="CHM285" s="1132" t="n"/>
      <c r="CHN285" s="1132" t="n"/>
      <c r="CHO285" s="1132" t="n"/>
      <c r="CHP285" s="1132" t="n"/>
      <c r="CHQ285" s="1132" t="n"/>
      <c r="CHR285" s="1132" t="n"/>
      <c r="CHS285" s="1132" t="n"/>
      <c r="CHT285" s="1132" t="n"/>
      <c r="CHU285" s="1132" t="n"/>
      <c r="CHV285" s="1132" t="n"/>
      <c r="CHW285" s="1132" t="n"/>
      <c r="CHX285" s="1132" t="n"/>
      <c r="CHY285" s="1132" t="n"/>
      <c r="CHZ285" s="1132" t="n"/>
      <c r="CIA285" s="1132" t="n"/>
      <c r="CIB285" s="1132" t="n"/>
      <c r="CIC285" s="1132" t="n"/>
      <c r="CID285" s="1132" t="n"/>
      <c r="CIE285" s="1132" t="n"/>
      <c r="CIF285" s="1132" t="n"/>
      <c r="CIG285" s="1132" t="n"/>
      <c r="CIH285" s="1132" t="n"/>
      <c r="CII285" s="1132" t="n"/>
      <c r="CIJ285" s="1132" t="n"/>
      <c r="CIK285" s="1132" t="n"/>
      <c r="CIL285" s="1132" t="n"/>
      <c r="CIM285" s="1132" t="n"/>
      <c r="CIN285" s="1132" t="n"/>
      <c r="CIO285" s="1132" t="n"/>
      <c r="CIP285" s="1132" t="n"/>
      <c r="CIQ285" s="1132" t="n"/>
      <c r="CIR285" s="1132" t="n"/>
      <c r="CIS285" s="1132" t="n"/>
      <c r="CIT285" s="1132" t="n"/>
      <c r="CIU285" s="1132" t="n"/>
      <c r="CIV285" s="1132" t="n"/>
      <c r="CIW285" s="1132" t="n"/>
      <c r="CIX285" s="1132" t="n"/>
      <c r="CIY285" s="1132" t="n"/>
      <c r="CIZ285" s="1132" t="n"/>
      <c r="CJA285" s="1132" t="n"/>
      <c r="CJB285" s="1132" t="n"/>
      <c r="CJC285" s="1132" t="n"/>
      <c r="CJD285" s="1132" t="n"/>
      <c r="CJE285" s="1132" t="n"/>
      <c r="CJF285" s="1132" t="n"/>
      <c r="CJG285" s="1132" t="n"/>
      <c r="CJH285" s="1132" t="n"/>
      <c r="CJI285" s="1132" t="n"/>
      <c r="CJJ285" s="1132" t="n"/>
      <c r="CJK285" s="1132" t="n"/>
      <c r="CJL285" s="1132" t="n"/>
      <c r="CJM285" s="1132" t="n"/>
      <c r="CJN285" s="1132" t="n"/>
      <c r="CJO285" s="1132" t="n"/>
      <c r="CJP285" s="1132" t="n"/>
      <c r="CJQ285" s="1132" t="n"/>
      <c r="CJR285" s="1132" t="n"/>
      <c r="CJS285" s="1132" t="n"/>
      <c r="CJT285" s="1132" t="n"/>
      <c r="CJU285" s="1132" t="n"/>
      <c r="CJV285" s="1132" t="n"/>
      <c r="CJW285" s="1132" t="n"/>
      <c r="CJX285" s="1132" t="n"/>
      <c r="CJY285" s="1132" t="n"/>
      <c r="CJZ285" s="1132" t="n"/>
      <c r="CKA285" s="1132" t="n"/>
      <c r="CKB285" s="1132" t="n"/>
      <c r="CKC285" s="1132" t="n"/>
      <c r="CKD285" s="1132" t="n"/>
      <c r="CKE285" s="1132" t="n"/>
      <c r="CKF285" s="1132" t="n"/>
      <c r="CKG285" s="1132" t="n"/>
      <c r="CKH285" s="1132" t="n"/>
      <c r="CKI285" s="1132" t="n"/>
      <c r="CKJ285" s="1132" t="n"/>
      <c r="CKK285" s="1132" t="n"/>
      <c r="CKL285" s="1132" t="n"/>
      <c r="CKM285" s="1132" t="n"/>
      <c r="CKN285" s="1132" t="n"/>
      <c r="CKO285" s="1132" t="n"/>
      <c r="CKP285" s="1132" t="n"/>
      <c r="CKQ285" s="1132" t="n"/>
      <c r="CKR285" s="1132" t="n"/>
      <c r="CKS285" s="1132" t="n"/>
      <c r="CKT285" s="1132" t="n"/>
      <c r="CKU285" s="1132" t="n"/>
      <c r="CKV285" s="1132" t="n"/>
      <c r="CKW285" s="1132" t="n"/>
      <c r="CKX285" s="1132" t="n"/>
      <c r="CKY285" s="1132" t="n"/>
      <c r="CKZ285" s="1132" t="n"/>
      <c r="CLA285" s="1132" t="n"/>
      <c r="CLB285" s="1132" t="n"/>
      <c r="CLC285" s="1132" t="n"/>
      <c r="CLD285" s="1132" t="n"/>
      <c r="CLE285" s="1132" t="n"/>
      <c r="CLF285" s="1132" t="n"/>
      <c r="CLG285" s="1132" t="n"/>
      <c r="CLH285" s="1132" t="n"/>
      <c r="CLI285" s="1132" t="n"/>
      <c r="CLJ285" s="1132" t="n"/>
      <c r="CLK285" s="1132" t="n"/>
      <c r="CLL285" s="1132" t="n"/>
      <c r="CLM285" s="1132" t="n"/>
      <c r="CLN285" s="1132" t="n"/>
      <c r="CLO285" s="1132" t="n"/>
      <c r="CLP285" s="1132" t="n"/>
      <c r="CLQ285" s="1132" t="n"/>
      <c r="CLR285" s="1132" t="n"/>
      <c r="CLS285" s="1132" t="n"/>
      <c r="CLT285" s="1132" t="n"/>
      <c r="CLU285" s="1132" t="n"/>
      <c r="CLV285" s="1132" t="n"/>
      <c r="CLW285" s="1132" t="n"/>
      <c r="CLX285" s="1132" t="n"/>
      <c r="CLY285" s="1132" t="n"/>
      <c r="CLZ285" s="1132" t="n"/>
      <c r="CMA285" s="1132" t="n"/>
      <c r="CMB285" s="1132" t="n"/>
      <c r="CMC285" s="1132" t="n"/>
      <c r="CMD285" s="1132" t="n"/>
      <c r="CME285" s="1132" t="n"/>
      <c r="CMF285" s="1132" t="n"/>
      <c r="CMG285" s="1132" t="n"/>
      <c r="CMH285" s="1132" t="n"/>
      <c r="CMI285" s="1132" t="n"/>
      <c r="CMJ285" s="1132" t="n"/>
      <c r="CMK285" s="1132" t="n"/>
      <c r="CML285" s="1132" t="n"/>
      <c r="CMM285" s="1132" t="n"/>
      <c r="CMN285" s="1132" t="n"/>
      <c r="CMO285" s="1132" t="n"/>
      <c r="CMP285" s="1132" t="n"/>
      <c r="CMQ285" s="1132" t="n"/>
      <c r="CMR285" s="1132" t="n"/>
      <c r="CMS285" s="1132" t="n"/>
      <c r="CMT285" s="1132" t="n"/>
      <c r="CMU285" s="1132" t="n"/>
      <c r="CMV285" s="1132" t="n"/>
      <c r="CMW285" s="1132" t="n"/>
      <c r="CMX285" s="1132" t="n"/>
      <c r="CMY285" s="1132" t="n"/>
      <c r="CMZ285" s="1132" t="n"/>
      <c r="CNA285" s="1132" t="n"/>
      <c r="CNB285" s="1132" t="n"/>
      <c r="CNC285" s="1132" t="n"/>
      <c r="CND285" s="1132" t="n"/>
      <c r="CNE285" s="1132" t="n"/>
      <c r="CNF285" s="1132" t="n"/>
      <c r="CNG285" s="1132" t="n"/>
      <c r="CNH285" s="1132" t="n"/>
      <c r="CNI285" s="1132" t="n"/>
      <c r="CNJ285" s="1132" t="n"/>
      <c r="CNK285" s="1132" t="n"/>
      <c r="CNL285" s="1132" t="n"/>
      <c r="CNM285" s="1132" t="n"/>
      <c r="CNN285" s="1132" t="n"/>
      <c r="CNO285" s="1132" t="n"/>
      <c r="CNP285" s="1132" t="n"/>
      <c r="CNQ285" s="1132" t="n"/>
      <c r="CNR285" s="1132" t="n"/>
      <c r="CNS285" s="1132" t="n"/>
      <c r="CNT285" s="1132" t="n"/>
      <c r="CNU285" s="1132" t="n"/>
      <c r="CNV285" s="1132" t="n"/>
      <c r="CNW285" s="1132" t="n"/>
      <c r="CNX285" s="1132" t="n"/>
      <c r="CNY285" s="1132" t="n"/>
      <c r="CNZ285" s="1132" t="n"/>
      <c r="COA285" s="1132" t="n"/>
      <c r="COB285" s="1132" t="n"/>
      <c r="COC285" s="1132" t="n"/>
      <c r="COD285" s="1132" t="n"/>
      <c r="COE285" s="1132" t="n"/>
      <c r="COF285" s="1132" t="n"/>
      <c r="COG285" s="1132" t="n"/>
      <c r="COH285" s="1132" t="n"/>
      <c r="COI285" s="1132" t="n"/>
      <c r="COJ285" s="1132" t="n"/>
      <c r="COK285" s="1132" t="n"/>
      <c r="COL285" s="1132" t="n"/>
      <c r="COM285" s="1132" t="n"/>
      <c r="CON285" s="1132" t="n"/>
      <c r="COO285" s="1132" t="n"/>
      <c r="COP285" s="1132" t="n"/>
      <c r="COQ285" s="1132" t="n"/>
      <c r="COR285" s="1132" t="n"/>
      <c r="COS285" s="1132" t="n"/>
      <c r="COT285" s="1132" t="n"/>
      <c r="COU285" s="1132" t="n"/>
      <c r="COV285" s="1132" t="n"/>
      <c r="COW285" s="1132" t="n"/>
      <c r="COX285" s="1132" t="n"/>
      <c r="COY285" s="1132" t="n"/>
      <c r="COZ285" s="1132" t="n"/>
      <c r="CPA285" s="1132" t="n"/>
      <c r="CPB285" s="1132" t="n"/>
      <c r="CPC285" s="1132" t="n"/>
      <c r="CPD285" s="1132" t="n"/>
      <c r="CPE285" s="1132" t="n"/>
      <c r="CPF285" s="1132" t="n"/>
      <c r="CPG285" s="1132" t="n"/>
      <c r="CPH285" s="1132" t="n"/>
      <c r="CPI285" s="1132" t="n"/>
      <c r="CPJ285" s="1132" t="n"/>
      <c r="CPK285" s="1132" t="n"/>
      <c r="CPL285" s="1132" t="n"/>
      <c r="CPM285" s="1132" t="n"/>
      <c r="CPN285" s="1132" t="n"/>
      <c r="CPO285" s="1132" t="n"/>
      <c r="CPP285" s="1132" t="n"/>
      <c r="CPQ285" s="1132" t="n"/>
      <c r="CPR285" s="1132" t="n"/>
      <c r="CPS285" s="1132" t="n"/>
      <c r="CPT285" s="1132" t="n"/>
      <c r="CPU285" s="1132" t="n"/>
      <c r="CPV285" s="1132" t="n"/>
      <c r="CPW285" s="1132" t="n"/>
      <c r="CPX285" s="1132" t="n"/>
      <c r="CPY285" s="1132" t="n"/>
      <c r="CPZ285" s="1132" t="n"/>
      <c r="CQA285" s="1132" t="n"/>
      <c r="CQB285" s="1132" t="n"/>
      <c r="CQC285" s="1132" t="n"/>
      <c r="CQD285" s="1132" t="n"/>
      <c r="CQE285" s="1132" t="n"/>
      <c r="CQF285" s="1132" t="n"/>
      <c r="CQG285" s="1132" t="n"/>
      <c r="CQH285" s="1132" t="n"/>
      <c r="CQI285" s="1132" t="n"/>
      <c r="CQJ285" s="1132" t="n"/>
      <c r="CQK285" s="1132" t="n"/>
      <c r="CQL285" s="1132" t="n"/>
      <c r="CQM285" s="1132" t="n"/>
      <c r="CQN285" s="1132" t="n"/>
      <c r="CQO285" s="1132" t="n"/>
      <c r="CQP285" s="1132" t="n"/>
      <c r="CQQ285" s="1132" t="n"/>
      <c r="CQR285" s="1132" t="n"/>
      <c r="CQS285" s="1132" t="n"/>
      <c r="CQT285" s="1132" t="n"/>
      <c r="CQU285" s="1132" t="n"/>
      <c r="CQV285" s="1132" t="n"/>
      <c r="CQW285" s="1132" t="n"/>
      <c r="CQX285" s="1132" t="n"/>
      <c r="CQY285" s="1132" t="n"/>
      <c r="CQZ285" s="1132" t="n"/>
      <c r="CRA285" s="1132" t="n"/>
      <c r="CRB285" s="1132" t="n"/>
      <c r="CRC285" s="1132" t="n"/>
      <c r="CRD285" s="1132" t="n"/>
      <c r="CRE285" s="1132" t="n"/>
      <c r="CRF285" s="1132" t="n"/>
      <c r="CRG285" s="1132" t="n"/>
      <c r="CRH285" s="1132" t="n"/>
      <c r="CRI285" s="1132" t="n"/>
      <c r="CRJ285" s="1132" t="n"/>
      <c r="CRK285" s="1132" t="n"/>
      <c r="CRL285" s="1132" t="n"/>
      <c r="CRM285" s="1132" t="n"/>
      <c r="CRN285" s="1132" t="n"/>
      <c r="CRO285" s="1132" t="n"/>
      <c r="CRP285" s="1132" t="n"/>
      <c r="CRQ285" s="1132" t="n"/>
      <c r="CRR285" s="1132" t="n"/>
      <c r="CRS285" s="1132" t="n"/>
      <c r="CRT285" s="1132" t="n"/>
      <c r="CRU285" s="1132" t="n"/>
      <c r="CRV285" s="1132" t="n"/>
      <c r="CRW285" s="1132" t="n"/>
      <c r="CRX285" s="1132" t="n"/>
      <c r="CRY285" s="1132" t="n"/>
      <c r="CRZ285" s="1132" t="n"/>
      <c r="CSA285" s="1132" t="n"/>
      <c r="CSB285" s="1132" t="n"/>
      <c r="CSC285" s="1132" t="n"/>
      <c r="CSD285" s="1132" t="n"/>
      <c r="CSE285" s="1132" t="n"/>
      <c r="CSF285" s="1132" t="n"/>
      <c r="CSG285" s="1132" t="n"/>
      <c r="CSH285" s="1132" t="n"/>
      <c r="CSI285" s="1132" t="n"/>
      <c r="CSJ285" s="1132" t="n"/>
      <c r="CSK285" s="1132" t="n"/>
      <c r="CSL285" s="1132" t="n"/>
      <c r="CSM285" s="1132" t="n"/>
      <c r="CSN285" s="1132" t="n"/>
      <c r="CSO285" s="1132" t="n"/>
      <c r="CSP285" s="1132" t="n"/>
      <c r="CSQ285" s="1132" t="n"/>
      <c r="CSR285" s="1132" t="n"/>
      <c r="CSS285" s="1132" t="n"/>
      <c r="CST285" s="1132" t="n"/>
      <c r="CSU285" s="1132" t="n"/>
      <c r="CSV285" s="1132" t="n"/>
      <c r="CSW285" s="1132" t="n"/>
      <c r="CSX285" s="1132" t="n"/>
      <c r="CSY285" s="1132" t="n"/>
      <c r="CSZ285" s="1132" t="n"/>
      <c r="CTA285" s="1132" t="n"/>
      <c r="CTB285" s="1132" t="n"/>
      <c r="CTC285" s="1132" t="n"/>
      <c r="CTD285" s="1132" t="n"/>
      <c r="CTE285" s="1132" t="n"/>
      <c r="CTF285" s="1132" t="n"/>
      <c r="CTG285" s="1132" t="n"/>
      <c r="CTH285" s="1132" t="n"/>
      <c r="CTI285" s="1132" t="n"/>
      <c r="CTJ285" s="1132" t="n"/>
      <c r="CTK285" s="1132" t="n"/>
      <c r="CTL285" s="1132" t="n"/>
      <c r="CTM285" s="1132" t="n"/>
      <c r="CTN285" s="1132" t="n"/>
      <c r="CTO285" s="1132" t="n"/>
      <c r="CTP285" s="1132" t="n"/>
      <c r="CTQ285" s="1132" t="n"/>
      <c r="CTR285" s="1132" t="n"/>
      <c r="CTS285" s="1132" t="n"/>
      <c r="CTT285" s="1132" t="n"/>
      <c r="CTU285" s="1132" t="n"/>
      <c r="CTV285" s="1132" t="n"/>
      <c r="CTW285" s="1132" t="n"/>
      <c r="CTX285" s="1132" t="n"/>
      <c r="CTY285" s="1132" t="n"/>
      <c r="CTZ285" s="1132" t="n"/>
      <c r="CUA285" s="1132" t="n"/>
      <c r="CUB285" s="1132" t="n"/>
      <c r="CUC285" s="1132" t="n"/>
      <c r="CUD285" s="1132" t="n"/>
      <c r="CUE285" s="1132" t="n"/>
      <c r="CUF285" s="1132" t="n"/>
      <c r="CUG285" s="1132" t="n"/>
      <c r="CUH285" s="1132" t="n"/>
      <c r="CUI285" s="1132" t="n"/>
      <c r="CUJ285" s="1132" t="n"/>
      <c r="CUK285" s="1132" t="n"/>
      <c r="CUL285" s="1132" t="n"/>
      <c r="CUM285" s="1132" t="n"/>
      <c r="CUN285" s="1132" t="n"/>
      <c r="CUO285" s="1132" t="n"/>
      <c r="CUP285" s="1132" t="n"/>
      <c r="CUQ285" s="1132" t="n"/>
      <c r="CUR285" s="1132" t="n"/>
      <c r="CUS285" s="1132" t="n"/>
      <c r="CUT285" s="1132" t="n"/>
      <c r="CUU285" s="1132" t="n"/>
      <c r="CUV285" s="1132" t="n"/>
      <c r="CUW285" s="1132" t="n"/>
      <c r="CUX285" s="1132" t="n"/>
      <c r="CUY285" s="1132" t="n"/>
      <c r="CUZ285" s="1132" t="n"/>
      <c r="CVA285" s="1132" t="n"/>
      <c r="CVB285" s="1132" t="n"/>
      <c r="CVC285" s="1132" t="n"/>
      <c r="CVD285" s="1132" t="n"/>
      <c r="CVE285" s="1132" t="n"/>
      <c r="CVF285" s="1132" t="n"/>
      <c r="CVG285" s="1132" t="n"/>
      <c r="CVH285" s="1132" t="n"/>
      <c r="CVI285" s="1132" t="n"/>
      <c r="CVJ285" s="1132" t="n"/>
      <c r="CVK285" s="1132" t="n"/>
      <c r="CVL285" s="1132" t="n"/>
      <c r="CVM285" s="1132" t="n"/>
      <c r="CVN285" s="1132" t="n"/>
      <c r="CVO285" s="1132" t="n"/>
      <c r="CVP285" s="1132" t="n"/>
      <c r="CVQ285" s="1132" t="n"/>
      <c r="CVR285" s="1132" t="n"/>
      <c r="CVS285" s="1132" t="n"/>
      <c r="CVT285" s="1132" t="n"/>
      <c r="CVU285" s="1132" t="n"/>
      <c r="CVV285" s="1132" t="n"/>
      <c r="CVW285" s="1132" t="n"/>
      <c r="CVX285" s="1132" t="n"/>
      <c r="CVY285" s="1132" t="n"/>
      <c r="CVZ285" s="1132" t="n"/>
      <c r="CWA285" s="1132" t="n"/>
      <c r="CWB285" s="1132" t="n"/>
      <c r="CWC285" s="1132" t="n"/>
      <c r="CWD285" s="1132" t="n"/>
      <c r="CWE285" s="1132" t="n"/>
      <c r="CWF285" s="1132" t="n"/>
      <c r="CWG285" s="1132" t="n"/>
      <c r="CWH285" s="1132" t="n"/>
      <c r="CWI285" s="1132" t="n"/>
      <c r="CWJ285" s="1132" t="n"/>
      <c r="CWK285" s="1132" t="n"/>
      <c r="CWL285" s="1132" t="n"/>
      <c r="CWM285" s="1132" t="n"/>
      <c r="CWN285" s="1132" t="n"/>
      <c r="CWO285" s="1132" t="n"/>
      <c r="CWP285" s="1132" t="n"/>
      <c r="CWQ285" s="1132" t="n"/>
      <c r="CWR285" s="1132" t="n"/>
      <c r="CWS285" s="1132" t="n"/>
      <c r="CWT285" s="1132" t="n"/>
      <c r="CWU285" s="1132" t="n"/>
      <c r="CWV285" s="1132" t="n"/>
      <c r="CWW285" s="1132" t="n"/>
      <c r="CWX285" s="1132" t="n"/>
      <c r="CWY285" s="1132" t="n"/>
      <c r="CWZ285" s="1132" t="n"/>
      <c r="CXA285" s="1132" t="n"/>
      <c r="CXB285" s="1132" t="n"/>
      <c r="CXC285" s="1132" t="n"/>
      <c r="CXD285" s="1132" t="n"/>
      <c r="CXE285" s="1132" t="n"/>
      <c r="CXF285" s="1132" t="n"/>
      <c r="CXG285" s="1132" t="n"/>
      <c r="CXH285" s="1132" t="n"/>
      <c r="CXI285" s="1132" t="n"/>
      <c r="CXJ285" s="1132" t="n"/>
      <c r="CXK285" s="1132" t="n"/>
      <c r="CXL285" s="1132" t="n"/>
      <c r="CXM285" s="1132" t="n"/>
      <c r="CXN285" s="1132" t="n"/>
      <c r="CXO285" s="1132" t="n"/>
      <c r="CXP285" s="1132" t="n"/>
      <c r="CXQ285" s="1132" t="n"/>
      <c r="CXR285" s="1132" t="n"/>
      <c r="CXS285" s="1132" t="n"/>
      <c r="CXT285" s="1132" t="n"/>
      <c r="CXU285" s="1132" t="n"/>
      <c r="CXV285" s="1132" t="n"/>
      <c r="CXW285" s="1132" t="n"/>
      <c r="CXX285" s="1132" t="n"/>
      <c r="CXY285" s="1132" t="n"/>
      <c r="CXZ285" s="1132" t="n"/>
      <c r="CYA285" s="1132" t="n"/>
      <c r="CYB285" s="1132" t="n"/>
      <c r="CYC285" s="1132" t="n"/>
      <c r="CYD285" s="1132" t="n"/>
      <c r="CYE285" s="1132" t="n"/>
      <c r="CYF285" s="1132" t="n"/>
      <c r="CYG285" s="1132" t="n"/>
      <c r="CYH285" s="1132" t="n"/>
      <c r="CYI285" s="1132" t="n"/>
      <c r="CYJ285" s="1132" t="n"/>
      <c r="CYK285" s="1132" t="n"/>
      <c r="CYL285" s="1132" t="n"/>
      <c r="CYM285" s="1132" t="n"/>
      <c r="CYN285" s="1132" t="n"/>
      <c r="CYO285" s="1132" t="n"/>
      <c r="CYP285" s="1132" t="n"/>
      <c r="CYQ285" s="1132" t="n"/>
      <c r="CYR285" s="1132" t="n"/>
      <c r="CYS285" s="1132" t="n"/>
      <c r="CYT285" s="1132" t="n"/>
      <c r="CYU285" s="1132" t="n"/>
      <c r="CYV285" s="1132" t="n"/>
      <c r="CYW285" s="1132" t="n"/>
      <c r="CYX285" s="1132" t="n"/>
      <c r="CYY285" s="1132" t="n"/>
      <c r="CYZ285" s="1132" t="n"/>
      <c r="CZA285" s="1132" t="n"/>
      <c r="CZB285" s="1132" t="n"/>
      <c r="CZC285" s="1132" t="n"/>
      <c r="CZD285" s="1132" t="n"/>
      <c r="CZE285" s="1132" t="n"/>
      <c r="CZF285" s="1132" t="n"/>
      <c r="CZG285" s="1132" t="n"/>
      <c r="CZH285" s="1132" t="n"/>
      <c r="CZI285" s="1132" t="n"/>
      <c r="CZJ285" s="1132" t="n"/>
      <c r="CZK285" s="1132" t="n"/>
      <c r="CZL285" s="1132" t="n"/>
      <c r="CZM285" s="1132" t="n"/>
      <c r="CZN285" s="1132" t="n"/>
      <c r="CZO285" s="1132" t="n"/>
      <c r="CZP285" s="1132" t="n"/>
      <c r="CZQ285" s="1132" t="n"/>
      <c r="CZR285" s="1132" t="n"/>
      <c r="CZS285" s="1132" t="n"/>
      <c r="CZT285" s="1132" t="n"/>
      <c r="CZU285" s="1132" t="n"/>
      <c r="CZV285" s="1132" t="n"/>
      <c r="CZW285" s="1132" t="n"/>
      <c r="CZX285" s="1132" t="n"/>
      <c r="CZY285" s="1132" t="n"/>
      <c r="CZZ285" s="1132" t="n"/>
      <c r="DAA285" s="1132" t="n"/>
      <c r="DAB285" s="1132" t="n"/>
      <c r="DAC285" s="1132" t="n"/>
      <c r="DAD285" s="1132" t="n"/>
      <c r="DAE285" s="1132" t="n"/>
      <c r="DAF285" s="1132" t="n"/>
      <c r="DAG285" s="1132" t="n"/>
      <c r="DAH285" s="1132" t="n"/>
      <c r="DAI285" s="1132" t="n"/>
      <c r="DAJ285" s="1132" t="n"/>
      <c r="DAK285" s="1132" t="n"/>
      <c r="DAL285" s="1132" t="n"/>
      <c r="DAM285" s="1132" t="n"/>
      <c r="DAN285" s="1132" t="n"/>
      <c r="DAO285" s="1132" t="n"/>
      <c r="DAP285" s="1132" t="n"/>
      <c r="DAQ285" s="1132" t="n"/>
      <c r="DAR285" s="1132" t="n"/>
      <c r="DAS285" s="1132" t="n"/>
      <c r="DAT285" s="1132" t="n"/>
      <c r="DAU285" s="1132" t="n"/>
      <c r="DAV285" s="1132" t="n"/>
      <c r="DAW285" s="1132" t="n"/>
      <c r="DAX285" s="1132" t="n"/>
      <c r="DAY285" s="1132" t="n"/>
      <c r="DAZ285" s="1132" t="n"/>
      <c r="DBA285" s="1132" t="n"/>
      <c r="DBB285" s="1132" t="n"/>
      <c r="DBC285" s="1132" t="n"/>
      <c r="DBD285" s="1132" t="n"/>
      <c r="DBE285" s="1132" t="n"/>
      <c r="DBF285" s="1132" t="n"/>
      <c r="DBG285" s="1132" t="n"/>
      <c r="DBH285" s="1132" t="n"/>
      <c r="DBI285" s="1132" t="n"/>
      <c r="DBJ285" s="1132" t="n"/>
      <c r="DBK285" s="1132" t="n"/>
      <c r="DBL285" s="1132" t="n"/>
      <c r="DBM285" s="1132" t="n"/>
      <c r="DBN285" s="1132" t="n"/>
      <c r="DBO285" s="1132" t="n"/>
      <c r="DBP285" s="1132" t="n"/>
      <c r="DBQ285" s="1132" t="n"/>
      <c r="DBR285" s="1132" t="n"/>
      <c r="DBS285" s="1132" t="n"/>
      <c r="DBT285" s="1132" t="n"/>
      <c r="DBU285" s="1132" t="n"/>
      <c r="DBV285" s="1132" t="n"/>
      <c r="DBW285" s="1132" t="n"/>
      <c r="DBX285" s="1132" t="n"/>
      <c r="DBY285" s="1132" t="n"/>
      <c r="DBZ285" s="1132" t="n"/>
      <c r="DCA285" s="1132" t="n"/>
      <c r="DCB285" s="1132" t="n"/>
      <c r="DCC285" s="1132" t="n"/>
      <c r="DCD285" s="1132" t="n"/>
      <c r="DCE285" s="1132" t="n"/>
      <c r="DCF285" s="1132" t="n"/>
      <c r="DCG285" s="1132" t="n"/>
      <c r="DCH285" s="1132" t="n"/>
      <c r="DCI285" s="1132" t="n"/>
      <c r="DCJ285" s="1132" t="n"/>
      <c r="DCK285" s="1132" t="n"/>
      <c r="DCL285" s="1132" t="n"/>
      <c r="DCM285" s="1132" t="n"/>
      <c r="DCN285" s="1132" t="n"/>
      <c r="DCO285" s="1132" t="n"/>
      <c r="DCP285" s="1132" t="n"/>
      <c r="DCQ285" s="1132" t="n"/>
      <c r="DCR285" s="1132" t="n"/>
      <c r="DCS285" s="1132" t="n"/>
      <c r="DCT285" s="1132" t="n"/>
      <c r="DCU285" s="1132" t="n"/>
      <c r="DCV285" s="1132" t="n"/>
      <c r="DCW285" s="1132" t="n"/>
      <c r="DCX285" s="1132" t="n"/>
      <c r="DCY285" s="1132" t="n"/>
      <c r="DCZ285" s="1132" t="n"/>
      <c r="DDA285" s="1132" t="n"/>
      <c r="DDB285" s="1132" t="n"/>
      <c r="DDC285" s="1132" t="n"/>
      <c r="DDD285" s="1132" t="n"/>
      <c r="DDE285" s="1132" t="n"/>
      <c r="DDF285" s="1132" t="n"/>
      <c r="DDG285" s="1132" t="n"/>
      <c r="DDH285" s="1132" t="n"/>
      <c r="DDI285" s="1132" t="n"/>
      <c r="DDJ285" s="1132" t="n"/>
      <c r="DDK285" s="1132" t="n"/>
      <c r="DDL285" s="1132" t="n"/>
      <c r="DDM285" s="1132" t="n"/>
      <c r="DDN285" s="1132" t="n"/>
      <c r="DDO285" s="1132" t="n"/>
      <c r="DDP285" s="1132" t="n"/>
      <c r="DDQ285" s="1132" t="n"/>
      <c r="DDR285" s="1132" t="n"/>
      <c r="DDS285" s="1132" t="n"/>
      <c r="DDT285" s="1132" t="n"/>
      <c r="DDU285" s="1132" t="n"/>
      <c r="DDV285" s="1132" t="n"/>
      <c r="DDW285" s="1132" t="n"/>
      <c r="DDX285" s="1132" t="n"/>
      <c r="DDY285" s="1132" t="n"/>
      <c r="DDZ285" s="1132" t="n"/>
      <c r="DEA285" s="1132" t="n"/>
      <c r="DEB285" s="1132" t="n"/>
      <c r="DEC285" s="1132" t="n"/>
      <c r="DED285" s="1132" t="n"/>
      <c r="DEE285" s="1132" t="n"/>
      <c r="DEF285" s="1132" t="n"/>
      <c r="DEG285" s="1132" t="n"/>
      <c r="DEH285" s="1132" t="n"/>
      <c r="DEI285" s="1132" t="n"/>
      <c r="DEJ285" s="1132" t="n"/>
      <c r="DEK285" s="1132" t="n"/>
      <c r="DEL285" s="1132" t="n"/>
      <c r="DEM285" s="1132" t="n"/>
      <c r="DEN285" s="1132" t="n"/>
      <c r="DEO285" s="1132" t="n"/>
      <c r="DEP285" s="1132" t="n"/>
      <c r="DEQ285" s="1132" t="n"/>
      <c r="DER285" s="1132" t="n"/>
      <c r="DES285" s="1132" t="n"/>
      <c r="DET285" s="1132" t="n"/>
      <c r="DEU285" s="1132" t="n"/>
      <c r="DEV285" s="1132" t="n"/>
      <c r="DEW285" s="1132" t="n"/>
      <c r="DEX285" s="1132" t="n"/>
      <c r="DEY285" s="1132" t="n"/>
      <c r="DEZ285" s="1132" t="n"/>
      <c r="DFA285" s="1132" t="n"/>
      <c r="DFB285" s="1132" t="n"/>
      <c r="DFC285" s="1132" t="n"/>
      <c r="DFD285" s="1132" t="n"/>
      <c r="DFE285" s="1132" t="n"/>
      <c r="DFF285" s="1132" t="n"/>
      <c r="DFG285" s="1132" t="n"/>
      <c r="DFH285" s="1132" t="n"/>
      <c r="DFI285" s="1132" t="n"/>
      <c r="DFJ285" s="1132" t="n"/>
      <c r="DFK285" s="1132" t="n"/>
      <c r="DFL285" s="1132" t="n"/>
      <c r="DFM285" s="1132" t="n"/>
      <c r="DFN285" s="1132" t="n"/>
      <c r="DFO285" s="1132" t="n"/>
      <c r="DFP285" s="1132" t="n"/>
      <c r="DFQ285" s="1132" t="n"/>
      <c r="DFR285" s="1132" t="n"/>
      <c r="DFS285" s="1132" t="n"/>
      <c r="DFT285" s="1132" t="n"/>
      <c r="DFU285" s="1132" t="n"/>
      <c r="DFV285" s="1132" t="n"/>
      <c r="DFW285" s="1132" t="n"/>
      <c r="DFX285" s="1132" t="n"/>
      <c r="DFY285" s="1132" t="n"/>
      <c r="DFZ285" s="1132" t="n"/>
      <c r="DGA285" s="1132" t="n"/>
      <c r="DGB285" s="1132" t="n"/>
      <c r="DGC285" s="1132" t="n"/>
      <c r="DGD285" s="1132" t="n"/>
      <c r="DGE285" s="1132" t="n"/>
      <c r="DGF285" s="1132" t="n"/>
      <c r="DGG285" s="1132" t="n"/>
      <c r="DGH285" s="1132" t="n"/>
      <c r="DGI285" s="1132" t="n"/>
      <c r="DGJ285" s="1132" t="n"/>
      <c r="DGK285" s="1132" t="n"/>
      <c r="DGL285" s="1132" t="n"/>
      <c r="DGM285" s="1132" t="n"/>
      <c r="DGN285" s="1132" t="n"/>
      <c r="DGO285" s="1132" t="n"/>
      <c r="DGP285" s="1132" t="n"/>
      <c r="DGQ285" s="1132" t="n"/>
      <c r="DGR285" s="1132" t="n"/>
      <c r="DGS285" s="1132" t="n"/>
      <c r="DGT285" s="1132" t="n"/>
      <c r="DGU285" s="1132" t="n"/>
      <c r="DGV285" s="1132" t="n"/>
      <c r="DGW285" s="1132" t="n"/>
      <c r="DGX285" s="1132" t="n"/>
      <c r="DGY285" s="1132" t="n"/>
      <c r="DGZ285" s="1132" t="n"/>
      <c r="DHA285" s="1132" t="n"/>
      <c r="DHB285" s="1132" t="n"/>
      <c r="DHC285" s="1132" t="n"/>
      <c r="DHD285" s="1132" t="n"/>
      <c r="DHE285" s="1132" t="n"/>
      <c r="DHF285" s="1132" t="n"/>
      <c r="DHG285" s="1132" t="n"/>
      <c r="DHH285" s="1132" t="n"/>
      <c r="DHI285" s="1132" t="n"/>
      <c r="DHJ285" s="1132" t="n"/>
      <c r="DHK285" s="1132" t="n"/>
      <c r="DHL285" s="1132" t="n"/>
      <c r="DHM285" s="1132" t="n"/>
      <c r="DHN285" s="1132" t="n"/>
      <c r="DHO285" s="1132" t="n"/>
      <c r="DHP285" s="1132" t="n"/>
      <c r="DHQ285" s="1132" t="n"/>
      <c r="DHR285" s="1132" t="n"/>
      <c r="DHS285" s="1132" t="n"/>
      <c r="DHT285" s="1132" t="n"/>
      <c r="DHU285" s="1132" t="n"/>
      <c r="DHV285" s="1132" t="n"/>
      <c r="DHW285" s="1132" t="n"/>
      <c r="DHX285" s="1132" t="n"/>
      <c r="DHY285" s="1132" t="n"/>
      <c r="DHZ285" s="1132" t="n"/>
      <c r="DIA285" s="1132" t="n"/>
      <c r="DIB285" s="1132" t="n"/>
      <c r="DIC285" s="1132" t="n"/>
      <c r="DID285" s="1132" t="n"/>
      <c r="DIE285" s="1132" t="n"/>
      <c r="DIF285" s="1132" t="n"/>
      <c r="DIG285" s="1132" t="n"/>
      <c r="DIH285" s="1132" t="n"/>
      <c r="DII285" s="1132" t="n"/>
      <c r="DIJ285" s="1132" t="n"/>
      <c r="DIK285" s="1132" t="n"/>
      <c r="DIL285" s="1132" t="n"/>
      <c r="DIM285" s="1132" t="n"/>
      <c r="DIN285" s="1132" t="n"/>
      <c r="DIO285" s="1132" t="n"/>
      <c r="DIP285" s="1132" t="n"/>
      <c r="DIQ285" s="1132" t="n"/>
      <c r="DIR285" s="1132" t="n"/>
      <c r="DIS285" s="1132" t="n"/>
      <c r="DIT285" s="1132" t="n"/>
      <c r="DIU285" s="1132" t="n"/>
      <c r="DIV285" s="1132" t="n"/>
      <c r="DIW285" s="1132" t="n"/>
      <c r="DIX285" s="1132" t="n"/>
      <c r="DIY285" s="1132" t="n"/>
      <c r="DIZ285" s="1132" t="n"/>
      <c r="DJA285" s="1132" t="n"/>
      <c r="DJB285" s="1132" t="n"/>
      <c r="DJC285" s="1132" t="n"/>
      <c r="DJD285" s="1132" t="n"/>
      <c r="DJE285" s="1132" t="n"/>
      <c r="DJF285" s="1132" t="n"/>
      <c r="DJG285" s="1132" t="n"/>
      <c r="DJH285" s="1132" t="n"/>
      <c r="DJI285" s="1132" t="n"/>
      <c r="DJJ285" s="1132" t="n"/>
      <c r="DJK285" s="1132" t="n"/>
      <c r="DJL285" s="1132" t="n"/>
      <c r="DJM285" s="1132" t="n"/>
      <c r="DJN285" s="1132" t="n"/>
      <c r="DJO285" s="1132" t="n"/>
      <c r="DJP285" s="1132" t="n"/>
      <c r="DJQ285" s="1132" t="n"/>
      <c r="DJR285" s="1132" t="n"/>
      <c r="DJS285" s="1132" t="n"/>
      <c r="DJT285" s="1132" t="n"/>
      <c r="DJU285" s="1132" t="n"/>
      <c r="DJV285" s="1132" t="n"/>
      <c r="DJW285" s="1132" t="n"/>
      <c r="DJX285" s="1132" t="n"/>
      <c r="DJY285" s="1132" t="n"/>
      <c r="DJZ285" s="1132" t="n"/>
      <c r="DKA285" s="1132" t="n"/>
      <c r="DKB285" s="1132" t="n"/>
      <c r="DKC285" s="1132" t="n"/>
      <c r="DKD285" s="1132" t="n"/>
      <c r="DKE285" s="1132" t="n"/>
      <c r="DKF285" s="1132" t="n"/>
      <c r="DKG285" s="1132" t="n"/>
      <c r="DKH285" s="1132" t="n"/>
      <c r="DKI285" s="1132" t="n"/>
      <c r="DKJ285" s="1132" t="n"/>
      <c r="DKK285" s="1132" t="n"/>
      <c r="DKL285" s="1132" t="n"/>
      <c r="DKM285" s="1132" t="n"/>
      <c r="DKN285" s="1132" t="n"/>
      <c r="DKO285" s="1132" t="n"/>
      <c r="DKP285" s="1132" t="n"/>
      <c r="DKQ285" s="1132" t="n"/>
      <c r="DKR285" s="1132" t="n"/>
      <c r="DKS285" s="1132" t="n"/>
      <c r="DKT285" s="1132" t="n"/>
      <c r="DKU285" s="1132" t="n"/>
      <c r="DKV285" s="1132" t="n"/>
      <c r="DKW285" s="1132" t="n"/>
      <c r="DKX285" s="1132" t="n"/>
      <c r="DKY285" s="1132" t="n"/>
      <c r="DKZ285" s="1132" t="n"/>
      <c r="DLA285" s="1132" t="n"/>
      <c r="DLB285" s="1132" t="n"/>
      <c r="DLC285" s="1132" t="n"/>
      <c r="DLD285" s="1132" t="n"/>
      <c r="DLE285" s="1132" t="n"/>
      <c r="DLF285" s="1132" t="n"/>
      <c r="DLG285" s="1132" t="n"/>
      <c r="DLH285" s="1132" t="n"/>
      <c r="DLI285" s="1132" t="n"/>
      <c r="DLJ285" s="1132" t="n"/>
      <c r="DLK285" s="1132" t="n"/>
      <c r="DLL285" s="1132" t="n"/>
      <c r="DLM285" s="1132" t="n"/>
      <c r="DLN285" s="1132" t="n"/>
      <c r="DLO285" s="1132" t="n"/>
      <c r="DLP285" s="1132" t="n"/>
      <c r="DLQ285" s="1132" t="n"/>
      <c r="DLR285" s="1132" t="n"/>
      <c r="DLS285" s="1132" t="n"/>
      <c r="DLT285" s="1132" t="n"/>
      <c r="DLU285" s="1132" t="n"/>
      <c r="DLV285" s="1132" t="n"/>
      <c r="DLW285" s="1132" t="n"/>
      <c r="DLX285" s="1132" t="n"/>
      <c r="DLY285" s="1132" t="n"/>
      <c r="DLZ285" s="1132" t="n"/>
      <c r="DMA285" s="1132" t="n"/>
      <c r="DMB285" s="1132" t="n"/>
      <c r="DMC285" s="1132" t="n"/>
      <c r="DMD285" s="1132" t="n"/>
      <c r="DME285" s="1132" t="n"/>
      <c r="DMF285" s="1132" t="n"/>
      <c r="DMG285" s="1132" t="n"/>
      <c r="DMH285" s="1132" t="n"/>
      <c r="DMI285" s="1132" t="n"/>
      <c r="DMJ285" s="1132" t="n"/>
      <c r="DMK285" s="1132" t="n"/>
      <c r="DML285" s="1132" t="n"/>
      <c r="DMM285" s="1132" t="n"/>
      <c r="DMN285" s="1132" t="n"/>
      <c r="DMO285" s="1132" t="n"/>
      <c r="DMP285" s="1132" t="n"/>
      <c r="DMQ285" s="1132" t="n"/>
      <c r="DMR285" s="1132" t="n"/>
      <c r="DMS285" s="1132" t="n"/>
      <c r="DMT285" s="1132" t="n"/>
      <c r="DMU285" s="1132" t="n"/>
      <c r="DMV285" s="1132" t="n"/>
      <c r="DMW285" s="1132" t="n"/>
      <c r="DMX285" s="1132" t="n"/>
      <c r="DMY285" s="1132" t="n"/>
      <c r="DMZ285" s="1132" t="n"/>
      <c r="DNA285" s="1132" t="n"/>
      <c r="DNB285" s="1132" t="n"/>
      <c r="DNC285" s="1132" t="n"/>
      <c r="DND285" s="1132" t="n"/>
      <c r="DNE285" s="1132" t="n"/>
      <c r="DNF285" s="1132" t="n"/>
      <c r="DNG285" s="1132" t="n"/>
      <c r="DNH285" s="1132" t="n"/>
      <c r="DNI285" s="1132" t="n"/>
      <c r="DNJ285" s="1132" t="n"/>
      <c r="DNK285" s="1132" t="n"/>
      <c r="DNL285" s="1132" t="n"/>
      <c r="DNM285" s="1132" t="n"/>
      <c r="DNN285" s="1132" t="n"/>
      <c r="DNO285" s="1132" t="n"/>
      <c r="DNP285" s="1132" t="n"/>
      <c r="DNQ285" s="1132" t="n"/>
      <c r="DNR285" s="1132" t="n"/>
      <c r="DNS285" s="1132" t="n"/>
      <c r="DNT285" s="1132" t="n"/>
      <c r="DNU285" s="1132" t="n"/>
      <c r="DNV285" s="1132" t="n"/>
      <c r="DNW285" s="1132" t="n"/>
      <c r="DNX285" s="1132" t="n"/>
      <c r="DNY285" s="1132" t="n"/>
      <c r="DNZ285" s="1132" t="n"/>
      <c r="DOA285" s="1132" t="n"/>
      <c r="DOB285" s="1132" t="n"/>
      <c r="DOC285" s="1132" t="n"/>
      <c r="DOD285" s="1132" t="n"/>
      <c r="DOE285" s="1132" t="n"/>
      <c r="DOF285" s="1132" t="n"/>
      <c r="DOG285" s="1132" t="n"/>
      <c r="DOH285" s="1132" t="n"/>
      <c r="DOI285" s="1132" t="n"/>
      <c r="DOJ285" s="1132" t="n"/>
      <c r="DOK285" s="1132" t="n"/>
      <c r="DOL285" s="1132" t="n"/>
      <c r="DOM285" s="1132" t="n"/>
      <c r="DON285" s="1132" t="n"/>
      <c r="DOO285" s="1132" t="n"/>
      <c r="DOP285" s="1132" t="n"/>
      <c r="DOQ285" s="1132" t="n"/>
      <c r="DOR285" s="1132" t="n"/>
      <c r="DOS285" s="1132" t="n"/>
      <c r="DOT285" s="1132" t="n"/>
      <c r="DOU285" s="1132" t="n"/>
      <c r="DOV285" s="1132" t="n"/>
      <c r="DOW285" s="1132" t="n"/>
      <c r="DOX285" s="1132" t="n"/>
      <c r="DOY285" s="1132" t="n"/>
      <c r="DOZ285" s="1132" t="n"/>
      <c r="DPA285" s="1132" t="n"/>
      <c r="DPB285" s="1132" t="n"/>
      <c r="DPC285" s="1132" t="n"/>
      <c r="DPD285" s="1132" t="n"/>
      <c r="DPE285" s="1132" t="n"/>
      <c r="DPF285" s="1132" t="n"/>
      <c r="DPG285" s="1132" t="n"/>
      <c r="DPH285" s="1132" t="n"/>
      <c r="DPI285" s="1132" t="n"/>
      <c r="DPJ285" s="1132" t="n"/>
      <c r="DPK285" s="1132" t="n"/>
      <c r="DPL285" s="1132" t="n"/>
      <c r="DPM285" s="1132" t="n"/>
      <c r="DPN285" s="1132" t="n"/>
      <c r="DPO285" s="1132" t="n"/>
      <c r="DPP285" s="1132" t="n"/>
      <c r="DPQ285" s="1132" t="n"/>
      <c r="DPR285" s="1132" t="n"/>
      <c r="DPS285" s="1132" t="n"/>
      <c r="DPT285" s="1132" t="n"/>
      <c r="DPU285" s="1132" t="n"/>
      <c r="DPV285" s="1132" t="n"/>
      <c r="DPW285" s="1132" t="n"/>
      <c r="DPX285" s="1132" t="n"/>
      <c r="DPY285" s="1132" t="n"/>
      <c r="DPZ285" s="1132" t="n"/>
      <c r="DQA285" s="1132" t="n"/>
      <c r="DQB285" s="1132" t="n"/>
      <c r="DQC285" s="1132" t="n"/>
      <c r="DQD285" s="1132" t="n"/>
      <c r="DQE285" s="1132" t="n"/>
      <c r="DQF285" s="1132" t="n"/>
      <c r="DQG285" s="1132" t="n"/>
      <c r="DQH285" s="1132" t="n"/>
      <c r="DQI285" s="1132" t="n"/>
      <c r="DQJ285" s="1132" t="n"/>
      <c r="DQK285" s="1132" t="n"/>
      <c r="DQL285" s="1132" t="n"/>
      <c r="DQM285" s="1132" t="n"/>
      <c r="DQN285" s="1132" t="n"/>
      <c r="DQO285" s="1132" t="n"/>
      <c r="DQP285" s="1132" t="n"/>
      <c r="DQQ285" s="1132" t="n"/>
      <c r="DQR285" s="1132" t="n"/>
      <c r="DQS285" s="1132" t="n"/>
      <c r="DQT285" s="1132" t="n"/>
      <c r="DQU285" s="1132" t="n"/>
      <c r="DQV285" s="1132" t="n"/>
      <c r="DQW285" s="1132" t="n"/>
      <c r="DQX285" s="1132" t="n"/>
      <c r="DQY285" s="1132" t="n"/>
      <c r="DQZ285" s="1132" t="n"/>
      <c r="DRA285" s="1132" t="n"/>
      <c r="DRB285" s="1132" t="n"/>
      <c r="DRC285" s="1132" t="n"/>
      <c r="DRD285" s="1132" t="n"/>
      <c r="DRE285" s="1132" t="n"/>
      <c r="DRF285" s="1132" t="n"/>
      <c r="DRG285" s="1132" t="n"/>
      <c r="DRH285" s="1132" t="n"/>
      <c r="DRI285" s="1132" t="n"/>
      <c r="DRJ285" s="1132" t="n"/>
      <c r="DRK285" s="1132" t="n"/>
      <c r="DRL285" s="1132" t="n"/>
      <c r="DRM285" s="1132" t="n"/>
      <c r="DRN285" s="1132" t="n"/>
      <c r="DRO285" s="1132" t="n"/>
      <c r="DRP285" s="1132" t="n"/>
      <c r="DRQ285" s="1132" t="n"/>
      <c r="DRR285" s="1132" t="n"/>
      <c r="DRS285" s="1132" t="n"/>
      <c r="DRT285" s="1132" t="n"/>
      <c r="DRU285" s="1132" t="n"/>
      <c r="DRV285" s="1132" t="n"/>
      <c r="DRW285" s="1132" t="n"/>
      <c r="DRX285" s="1132" t="n"/>
      <c r="DRY285" s="1132" t="n"/>
      <c r="DRZ285" s="1132" t="n"/>
      <c r="DSA285" s="1132" t="n"/>
      <c r="DSB285" s="1132" t="n"/>
      <c r="DSC285" s="1132" t="n"/>
      <c r="DSD285" s="1132" t="n"/>
      <c r="DSE285" s="1132" t="n"/>
      <c r="DSF285" s="1132" t="n"/>
      <c r="DSG285" s="1132" t="n"/>
      <c r="DSH285" s="1132" t="n"/>
      <c r="DSI285" s="1132" t="n"/>
      <c r="DSJ285" s="1132" t="n"/>
      <c r="DSK285" s="1132" t="n"/>
      <c r="DSL285" s="1132" t="n"/>
      <c r="DSM285" s="1132" t="n"/>
      <c r="DSN285" s="1132" t="n"/>
      <c r="DSO285" s="1132" t="n"/>
      <c r="DSP285" s="1132" t="n"/>
      <c r="DSQ285" s="1132" t="n"/>
      <c r="DSR285" s="1132" t="n"/>
      <c r="DSS285" s="1132" t="n"/>
      <c r="DST285" s="1132" t="n"/>
      <c r="DSU285" s="1132" t="n"/>
      <c r="DSV285" s="1132" t="n"/>
      <c r="DSW285" s="1132" t="n"/>
      <c r="DSX285" s="1132" t="n"/>
      <c r="DSY285" s="1132" t="n"/>
      <c r="DSZ285" s="1132" t="n"/>
      <c r="DTA285" s="1132" t="n"/>
      <c r="DTB285" s="1132" t="n"/>
      <c r="DTC285" s="1132" t="n"/>
      <c r="DTD285" s="1132" t="n"/>
      <c r="DTE285" s="1132" t="n"/>
      <c r="DTF285" s="1132" t="n"/>
      <c r="DTG285" s="1132" t="n"/>
      <c r="DTH285" s="1132" t="n"/>
      <c r="DTI285" s="1132" t="n"/>
      <c r="DTJ285" s="1132" t="n"/>
      <c r="DTK285" s="1132" t="n"/>
      <c r="DTL285" s="1132" t="n"/>
      <c r="DTM285" s="1132" t="n"/>
      <c r="DTN285" s="1132" t="n"/>
      <c r="DTO285" s="1132" t="n"/>
      <c r="DTP285" s="1132" t="n"/>
      <c r="DTQ285" s="1132" t="n"/>
      <c r="DTR285" s="1132" t="n"/>
      <c r="DTS285" s="1132" t="n"/>
      <c r="DTT285" s="1132" t="n"/>
      <c r="DTU285" s="1132" t="n"/>
      <c r="DTV285" s="1132" t="n"/>
      <c r="DTW285" s="1132" t="n"/>
      <c r="DTX285" s="1132" t="n"/>
      <c r="DTY285" s="1132" t="n"/>
      <c r="DTZ285" s="1132" t="n"/>
      <c r="DUA285" s="1132" t="n"/>
      <c r="DUB285" s="1132" t="n"/>
      <c r="DUC285" s="1132" t="n"/>
      <c r="DUD285" s="1132" t="n"/>
      <c r="DUE285" s="1132" t="n"/>
      <c r="DUF285" s="1132" t="n"/>
      <c r="DUG285" s="1132" t="n"/>
      <c r="DUH285" s="1132" t="n"/>
      <c r="DUI285" s="1132" t="n"/>
      <c r="DUJ285" s="1132" t="n"/>
      <c r="DUK285" s="1132" t="n"/>
      <c r="DUL285" s="1132" t="n"/>
      <c r="DUM285" s="1132" t="n"/>
      <c r="DUN285" s="1132" t="n"/>
      <c r="DUO285" s="1132" t="n"/>
      <c r="DUP285" s="1132" t="n"/>
      <c r="DUQ285" s="1132" t="n"/>
      <c r="DUR285" s="1132" t="n"/>
      <c r="DUS285" s="1132" t="n"/>
      <c r="DUT285" s="1132" t="n"/>
      <c r="DUU285" s="1132" t="n"/>
      <c r="DUV285" s="1132" t="n"/>
      <c r="DUW285" s="1132" t="n"/>
      <c r="DUX285" s="1132" t="n"/>
      <c r="DUY285" s="1132" t="n"/>
      <c r="DUZ285" s="1132" t="n"/>
      <c r="DVA285" s="1132" t="n"/>
      <c r="DVB285" s="1132" t="n"/>
      <c r="DVC285" s="1132" t="n"/>
      <c r="DVD285" s="1132" t="n"/>
      <c r="DVE285" s="1132" t="n"/>
      <c r="DVF285" s="1132" t="n"/>
      <c r="DVG285" s="1132" t="n"/>
      <c r="DVH285" s="1132" t="n"/>
      <c r="DVI285" s="1132" t="n"/>
      <c r="DVJ285" s="1132" t="n"/>
      <c r="DVK285" s="1132" t="n"/>
      <c r="DVL285" s="1132" t="n"/>
      <c r="DVM285" s="1132" t="n"/>
      <c r="DVN285" s="1132" t="n"/>
      <c r="DVO285" s="1132" t="n"/>
      <c r="DVP285" s="1132" t="n"/>
      <c r="DVQ285" s="1132" t="n"/>
      <c r="DVR285" s="1132" t="n"/>
      <c r="DVS285" s="1132" t="n"/>
      <c r="DVT285" s="1132" t="n"/>
      <c r="DVU285" s="1132" t="n"/>
      <c r="DVV285" s="1132" t="n"/>
      <c r="DVW285" s="1132" t="n"/>
      <c r="DVX285" s="1132" t="n"/>
      <c r="DVY285" s="1132" t="n"/>
      <c r="DVZ285" s="1132" t="n"/>
      <c r="DWA285" s="1132" t="n"/>
      <c r="DWB285" s="1132" t="n"/>
      <c r="DWC285" s="1132" t="n"/>
      <c r="DWD285" s="1132" t="n"/>
      <c r="DWE285" s="1132" t="n"/>
      <c r="DWF285" s="1132" t="n"/>
      <c r="DWG285" s="1132" t="n"/>
      <c r="DWH285" s="1132" t="n"/>
      <c r="DWI285" s="1132" t="n"/>
      <c r="DWJ285" s="1132" t="n"/>
      <c r="DWK285" s="1132" t="n"/>
      <c r="DWL285" s="1132" t="n"/>
      <c r="DWM285" s="1132" t="n"/>
      <c r="DWN285" s="1132" t="n"/>
      <c r="DWO285" s="1132" t="n"/>
      <c r="DWP285" s="1132" t="n"/>
      <c r="DWQ285" s="1132" t="n"/>
      <c r="DWR285" s="1132" t="n"/>
      <c r="DWS285" s="1132" t="n"/>
      <c r="DWT285" s="1132" t="n"/>
      <c r="DWU285" s="1132" t="n"/>
      <c r="DWV285" s="1132" t="n"/>
      <c r="DWW285" s="1132" t="n"/>
      <c r="DWX285" s="1132" t="n"/>
      <c r="DWY285" s="1132" t="n"/>
      <c r="DWZ285" s="1132" t="n"/>
      <c r="DXA285" s="1132" t="n"/>
      <c r="DXB285" s="1132" t="n"/>
      <c r="DXC285" s="1132" t="n"/>
      <c r="DXD285" s="1132" t="n"/>
      <c r="DXE285" s="1132" t="n"/>
      <c r="DXF285" s="1132" t="n"/>
      <c r="DXG285" s="1132" t="n"/>
      <c r="DXH285" s="1132" t="n"/>
      <c r="DXI285" s="1132" t="n"/>
      <c r="DXJ285" s="1132" t="n"/>
      <c r="DXK285" s="1132" t="n"/>
      <c r="DXL285" s="1132" t="n"/>
      <c r="DXM285" s="1132" t="n"/>
      <c r="DXN285" s="1132" t="n"/>
      <c r="DXO285" s="1132" t="n"/>
      <c r="DXP285" s="1132" t="n"/>
      <c r="DXQ285" s="1132" t="n"/>
      <c r="DXR285" s="1132" t="n"/>
      <c r="DXS285" s="1132" t="n"/>
      <c r="DXT285" s="1132" t="n"/>
      <c r="DXU285" s="1132" t="n"/>
      <c r="DXV285" s="1132" t="n"/>
      <c r="DXW285" s="1132" t="n"/>
      <c r="DXX285" s="1132" t="n"/>
      <c r="DXY285" s="1132" t="n"/>
      <c r="DXZ285" s="1132" t="n"/>
      <c r="DYA285" s="1132" t="n"/>
      <c r="DYB285" s="1132" t="n"/>
      <c r="DYC285" s="1132" t="n"/>
      <c r="DYD285" s="1132" t="n"/>
      <c r="DYE285" s="1132" t="n"/>
      <c r="DYF285" s="1132" t="n"/>
      <c r="DYG285" s="1132" t="n"/>
      <c r="DYH285" s="1132" t="n"/>
      <c r="DYI285" s="1132" t="n"/>
      <c r="DYJ285" s="1132" t="n"/>
      <c r="DYK285" s="1132" t="n"/>
      <c r="DYL285" s="1132" t="n"/>
      <c r="DYM285" s="1132" t="n"/>
      <c r="DYN285" s="1132" t="n"/>
      <c r="DYO285" s="1132" t="n"/>
      <c r="DYP285" s="1132" t="n"/>
      <c r="DYQ285" s="1132" t="n"/>
      <c r="DYR285" s="1132" t="n"/>
      <c r="DYS285" s="1132" t="n"/>
      <c r="DYT285" s="1132" t="n"/>
      <c r="DYU285" s="1132" t="n"/>
      <c r="DYV285" s="1132" t="n"/>
      <c r="DYW285" s="1132" t="n"/>
      <c r="DYX285" s="1132" t="n"/>
      <c r="DYY285" s="1132" t="n"/>
      <c r="DYZ285" s="1132" t="n"/>
      <c r="DZA285" s="1132" t="n"/>
      <c r="DZB285" s="1132" t="n"/>
      <c r="DZC285" s="1132" t="n"/>
      <c r="DZD285" s="1132" t="n"/>
      <c r="DZE285" s="1132" t="n"/>
      <c r="DZF285" s="1132" t="n"/>
      <c r="DZG285" s="1132" t="n"/>
      <c r="DZH285" s="1132" t="n"/>
      <c r="DZI285" s="1132" t="n"/>
      <c r="DZJ285" s="1132" t="n"/>
      <c r="DZK285" s="1132" t="n"/>
      <c r="DZL285" s="1132" t="n"/>
      <c r="DZM285" s="1132" t="n"/>
      <c r="DZN285" s="1132" t="n"/>
      <c r="DZO285" s="1132" t="n"/>
      <c r="DZP285" s="1132" t="n"/>
      <c r="DZQ285" s="1132" t="n"/>
      <c r="DZR285" s="1132" t="n"/>
      <c r="DZS285" s="1132" t="n"/>
      <c r="DZT285" s="1132" t="n"/>
      <c r="DZU285" s="1132" t="n"/>
      <c r="DZV285" s="1132" t="n"/>
      <c r="DZW285" s="1132" t="n"/>
      <c r="DZX285" s="1132" t="n"/>
      <c r="DZY285" s="1132" t="n"/>
      <c r="DZZ285" s="1132" t="n"/>
      <c r="EAA285" s="1132" t="n"/>
      <c r="EAB285" s="1132" t="n"/>
      <c r="EAC285" s="1132" t="n"/>
      <c r="EAD285" s="1132" t="n"/>
      <c r="EAE285" s="1132" t="n"/>
      <c r="EAF285" s="1132" t="n"/>
      <c r="EAG285" s="1132" t="n"/>
      <c r="EAH285" s="1132" t="n"/>
      <c r="EAI285" s="1132" t="n"/>
      <c r="EAJ285" s="1132" t="n"/>
      <c r="EAK285" s="1132" t="n"/>
      <c r="EAL285" s="1132" t="n"/>
      <c r="EAM285" s="1132" t="n"/>
      <c r="EAN285" s="1132" t="n"/>
      <c r="EAO285" s="1132" t="n"/>
      <c r="EAP285" s="1132" t="n"/>
      <c r="EAQ285" s="1132" t="n"/>
      <c r="EAR285" s="1132" t="n"/>
      <c r="EAS285" s="1132" t="n"/>
      <c r="EAT285" s="1132" t="n"/>
      <c r="EAU285" s="1132" t="n"/>
      <c r="EAV285" s="1132" t="n"/>
      <c r="EAW285" s="1132" t="n"/>
      <c r="EAX285" s="1132" t="n"/>
      <c r="EAY285" s="1132" t="n"/>
      <c r="EAZ285" s="1132" t="n"/>
      <c r="EBA285" s="1132" t="n"/>
      <c r="EBB285" s="1132" t="n"/>
      <c r="EBC285" s="1132" t="n"/>
      <c r="EBD285" s="1132" t="n"/>
      <c r="EBE285" s="1132" t="n"/>
      <c r="EBF285" s="1132" t="n"/>
      <c r="EBG285" s="1132" t="n"/>
      <c r="EBH285" s="1132" t="n"/>
      <c r="EBI285" s="1132" t="n"/>
      <c r="EBJ285" s="1132" t="n"/>
      <c r="EBK285" s="1132" t="n"/>
      <c r="EBL285" s="1132" t="n"/>
      <c r="EBM285" s="1132" t="n"/>
      <c r="EBN285" s="1132" t="n"/>
      <c r="EBO285" s="1132" t="n"/>
      <c r="EBP285" s="1132" t="n"/>
      <c r="EBQ285" s="1132" t="n"/>
      <c r="EBR285" s="1132" t="n"/>
      <c r="EBS285" s="1132" t="n"/>
      <c r="EBT285" s="1132" t="n"/>
      <c r="EBU285" s="1132" t="n"/>
      <c r="EBV285" s="1132" t="n"/>
      <c r="EBW285" s="1132" t="n"/>
      <c r="EBX285" s="1132" t="n"/>
      <c r="EBY285" s="1132" t="n"/>
      <c r="EBZ285" s="1132" t="n"/>
      <c r="ECA285" s="1132" t="n"/>
      <c r="ECB285" s="1132" t="n"/>
      <c r="ECC285" s="1132" t="n"/>
      <c r="ECD285" s="1132" t="n"/>
      <c r="ECE285" s="1132" t="n"/>
      <c r="ECF285" s="1132" t="n"/>
      <c r="ECG285" s="1132" t="n"/>
      <c r="ECH285" s="1132" t="n"/>
      <c r="ECI285" s="1132" t="n"/>
      <c r="ECJ285" s="1132" t="n"/>
      <c r="ECK285" s="1132" t="n"/>
      <c r="ECL285" s="1132" t="n"/>
      <c r="ECM285" s="1132" t="n"/>
      <c r="ECN285" s="1132" t="n"/>
      <c r="ECO285" s="1132" t="n"/>
      <c r="ECP285" s="1132" t="n"/>
      <c r="ECQ285" s="1132" t="n"/>
      <c r="ECR285" s="1132" t="n"/>
      <c r="ECS285" s="1132" t="n"/>
      <c r="ECT285" s="1132" t="n"/>
      <c r="ECU285" s="1132" t="n"/>
      <c r="ECV285" s="1132" t="n"/>
      <c r="ECW285" s="1132" t="n"/>
      <c r="ECX285" s="1132" t="n"/>
      <c r="ECY285" s="1132" t="n"/>
      <c r="ECZ285" s="1132" t="n"/>
      <c r="EDA285" s="1132" t="n"/>
      <c r="EDB285" s="1132" t="n"/>
      <c r="EDC285" s="1132" t="n"/>
      <c r="EDD285" s="1132" t="n"/>
      <c r="EDE285" s="1132" t="n"/>
      <c r="EDF285" s="1132" t="n"/>
      <c r="EDG285" s="1132" t="n"/>
      <c r="EDH285" s="1132" t="n"/>
      <c r="EDI285" s="1132" t="n"/>
      <c r="EDJ285" s="1132" t="n"/>
      <c r="EDK285" s="1132" t="n"/>
      <c r="EDL285" s="1132" t="n"/>
      <c r="EDM285" s="1132" t="n"/>
      <c r="EDN285" s="1132" t="n"/>
      <c r="EDO285" s="1132" t="n"/>
      <c r="EDP285" s="1132" t="n"/>
      <c r="EDQ285" s="1132" t="n"/>
      <c r="EDR285" s="1132" t="n"/>
      <c r="EDS285" s="1132" t="n"/>
      <c r="EDT285" s="1132" t="n"/>
      <c r="EDU285" s="1132" t="n"/>
      <c r="EDV285" s="1132" t="n"/>
      <c r="EDW285" s="1132" t="n"/>
      <c r="EDX285" s="1132" t="n"/>
      <c r="EDY285" s="1132" t="n"/>
      <c r="EDZ285" s="1132" t="n"/>
      <c r="EEA285" s="1132" t="n"/>
      <c r="EEB285" s="1132" t="n"/>
      <c r="EEC285" s="1132" t="n"/>
      <c r="EED285" s="1132" t="n"/>
      <c r="EEE285" s="1132" t="n"/>
      <c r="EEF285" s="1132" t="n"/>
      <c r="EEG285" s="1132" t="n"/>
      <c r="EEH285" s="1132" t="n"/>
      <c r="EEI285" s="1132" t="n"/>
      <c r="EEJ285" s="1132" t="n"/>
      <c r="EEK285" s="1132" t="n"/>
      <c r="EEL285" s="1132" t="n"/>
      <c r="EEM285" s="1132" t="n"/>
      <c r="EEN285" s="1132" t="n"/>
      <c r="EEO285" s="1132" t="n"/>
      <c r="EEP285" s="1132" t="n"/>
      <c r="EEQ285" s="1132" t="n"/>
      <c r="EER285" s="1132" t="n"/>
      <c r="EES285" s="1132" t="n"/>
      <c r="EET285" s="1132" t="n"/>
      <c r="EEU285" s="1132" t="n"/>
      <c r="EEV285" s="1132" t="n"/>
      <c r="EEW285" s="1132" t="n"/>
      <c r="EEX285" s="1132" t="n"/>
      <c r="EEY285" s="1132" t="n"/>
      <c r="EEZ285" s="1132" t="n"/>
      <c r="EFA285" s="1132" t="n"/>
      <c r="EFB285" s="1132" t="n"/>
      <c r="EFC285" s="1132" t="n"/>
      <c r="EFD285" s="1132" t="n"/>
      <c r="EFE285" s="1132" t="n"/>
      <c r="EFF285" s="1132" t="n"/>
      <c r="EFG285" s="1132" t="n"/>
      <c r="EFH285" s="1132" t="n"/>
      <c r="EFI285" s="1132" t="n"/>
      <c r="EFJ285" s="1132" t="n"/>
      <c r="EFK285" s="1132" t="n"/>
      <c r="EFL285" s="1132" t="n"/>
      <c r="EFM285" s="1132" t="n"/>
      <c r="EFN285" s="1132" t="n"/>
      <c r="EFO285" s="1132" t="n"/>
      <c r="EFP285" s="1132" t="n"/>
      <c r="EFQ285" s="1132" t="n"/>
      <c r="EFR285" s="1132" t="n"/>
      <c r="EFS285" s="1132" t="n"/>
      <c r="EFT285" s="1132" t="n"/>
      <c r="EFU285" s="1132" t="n"/>
      <c r="EFV285" s="1132" t="n"/>
      <c r="EFW285" s="1132" t="n"/>
      <c r="EFX285" s="1132" t="n"/>
      <c r="EFY285" s="1132" t="n"/>
      <c r="EFZ285" s="1132" t="n"/>
      <c r="EGA285" s="1132" t="n"/>
      <c r="EGB285" s="1132" t="n"/>
      <c r="EGC285" s="1132" t="n"/>
      <c r="EGD285" s="1132" t="n"/>
      <c r="EGE285" s="1132" t="n"/>
      <c r="EGF285" s="1132" t="n"/>
      <c r="EGG285" s="1132" t="n"/>
      <c r="EGH285" s="1132" t="n"/>
      <c r="EGI285" s="1132" t="n"/>
      <c r="EGJ285" s="1132" t="n"/>
      <c r="EGK285" s="1132" t="n"/>
      <c r="EGL285" s="1132" t="n"/>
      <c r="EGM285" s="1132" t="n"/>
      <c r="EGN285" s="1132" t="n"/>
      <c r="EGO285" s="1132" t="n"/>
      <c r="EGP285" s="1132" t="n"/>
      <c r="EGQ285" s="1132" t="n"/>
      <c r="EGR285" s="1132" t="n"/>
      <c r="EGS285" s="1132" t="n"/>
      <c r="EGT285" s="1132" t="n"/>
      <c r="EGU285" s="1132" t="n"/>
      <c r="EGV285" s="1132" t="n"/>
      <c r="EGW285" s="1132" t="n"/>
      <c r="EGX285" s="1132" t="n"/>
      <c r="EGY285" s="1132" t="n"/>
      <c r="EGZ285" s="1132" t="n"/>
      <c r="EHA285" s="1132" t="n"/>
      <c r="EHB285" s="1132" t="n"/>
      <c r="EHC285" s="1132" t="n"/>
      <c r="EHD285" s="1132" t="n"/>
      <c r="EHE285" s="1132" t="n"/>
      <c r="EHF285" s="1132" t="n"/>
      <c r="EHG285" s="1132" t="n"/>
      <c r="EHH285" s="1132" t="n"/>
      <c r="EHI285" s="1132" t="n"/>
      <c r="EHJ285" s="1132" t="n"/>
      <c r="EHK285" s="1132" t="n"/>
      <c r="EHL285" s="1132" t="n"/>
      <c r="EHM285" s="1132" t="n"/>
      <c r="EHN285" s="1132" t="n"/>
      <c r="EHO285" s="1132" t="n"/>
      <c r="EHP285" s="1132" t="n"/>
      <c r="EHQ285" s="1132" t="n"/>
      <c r="EHR285" s="1132" t="n"/>
      <c r="EHS285" s="1132" t="n"/>
      <c r="EHT285" s="1132" t="n"/>
      <c r="EHU285" s="1132" t="n"/>
      <c r="EHV285" s="1132" t="n"/>
      <c r="EHW285" s="1132" t="n"/>
      <c r="EHX285" s="1132" t="n"/>
      <c r="EHY285" s="1132" t="n"/>
      <c r="EHZ285" s="1132" t="n"/>
      <c r="EIA285" s="1132" t="n"/>
      <c r="EIB285" s="1132" t="n"/>
      <c r="EIC285" s="1132" t="n"/>
      <c r="EID285" s="1132" t="n"/>
      <c r="EIE285" s="1132" t="n"/>
      <c r="EIF285" s="1132" t="n"/>
      <c r="EIG285" s="1132" t="n"/>
      <c r="EIH285" s="1132" t="n"/>
      <c r="EII285" s="1132" t="n"/>
      <c r="EIJ285" s="1132" t="n"/>
      <c r="EIK285" s="1132" t="n"/>
      <c r="EIL285" s="1132" t="n"/>
      <c r="EIM285" s="1132" t="n"/>
      <c r="EIN285" s="1132" t="n"/>
      <c r="EIO285" s="1132" t="n"/>
      <c r="EIP285" s="1132" t="n"/>
      <c r="EIQ285" s="1132" t="n"/>
      <c r="EIR285" s="1132" t="n"/>
      <c r="EIS285" s="1132" t="n"/>
      <c r="EIT285" s="1132" t="n"/>
      <c r="EIU285" s="1132" t="n"/>
      <c r="EIV285" s="1132" t="n"/>
      <c r="EIW285" s="1132" t="n"/>
      <c r="EIX285" s="1132" t="n"/>
      <c r="EIY285" s="1132" t="n"/>
      <c r="EIZ285" s="1132" t="n"/>
      <c r="EJA285" s="1132" t="n"/>
      <c r="EJB285" s="1132" t="n"/>
      <c r="EJC285" s="1132" t="n"/>
      <c r="EJD285" s="1132" t="n"/>
      <c r="EJE285" s="1132" t="n"/>
      <c r="EJF285" s="1132" t="n"/>
      <c r="EJG285" s="1132" t="n"/>
      <c r="EJH285" s="1132" t="n"/>
      <c r="EJI285" s="1132" t="n"/>
      <c r="EJJ285" s="1132" t="n"/>
      <c r="EJK285" s="1132" t="n"/>
      <c r="EJL285" s="1132" t="n"/>
      <c r="EJM285" s="1132" t="n"/>
      <c r="EJN285" s="1132" t="n"/>
      <c r="EJO285" s="1132" t="n"/>
      <c r="EJP285" s="1132" t="n"/>
      <c r="EJQ285" s="1132" t="n"/>
      <c r="EJR285" s="1132" t="n"/>
      <c r="EJS285" s="1132" t="n"/>
      <c r="EJT285" s="1132" t="n"/>
      <c r="EJU285" s="1132" t="n"/>
      <c r="EJV285" s="1132" t="n"/>
      <c r="EJW285" s="1132" t="n"/>
      <c r="EJX285" s="1132" t="n"/>
      <c r="EJY285" s="1132" t="n"/>
      <c r="EJZ285" s="1132" t="n"/>
      <c r="EKA285" s="1132" t="n"/>
      <c r="EKB285" s="1132" t="n"/>
      <c r="EKC285" s="1132" t="n"/>
      <c r="EKD285" s="1132" t="n"/>
      <c r="EKE285" s="1132" t="n"/>
      <c r="EKF285" s="1132" t="n"/>
      <c r="EKG285" s="1132" t="n"/>
      <c r="EKH285" s="1132" t="n"/>
      <c r="EKI285" s="1132" t="n"/>
      <c r="EKJ285" s="1132" t="n"/>
      <c r="EKK285" s="1132" t="n"/>
      <c r="EKL285" s="1132" t="n"/>
      <c r="EKM285" s="1132" t="n"/>
      <c r="EKN285" s="1132" t="n"/>
      <c r="EKO285" s="1132" t="n"/>
      <c r="EKP285" s="1132" t="n"/>
      <c r="EKQ285" s="1132" t="n"/>
      <c r="EKR285" s="1132" t="n"/>
      <c r="EKS285" s="1132" t="n"/>
      <c r="EKT285" s="1132" t="n"/>
      <c r="EKU285" s="1132" t="n"/>
      <c r="EKV285" s="1132" t="n"/>
      <c r="EKW285" s="1132" t="n"/>
      <c r="EKX285" s="1132" t="n"/>
      <c r="EKY285" s="1132" t="n"/>
      <c r="EKZ285" s="1132" t="n"/>
      <c r="ELA285" s="1132" t="n"/>
      <c r="ELB285" s="1132" t="n"/>
      <c r="ELC285" s="1132" t="n"/>
      <c r="ELD285" s="1132" t="n"/>
      <c r="ELE285" s="1132" t="n"/>
      <c r="ELF285" s="1132" t="n"/>
      <c r="ELG285" s="1132" t="n"/>
      <c r="ELH285" s="1132" t="n"/>
      <c r="ELI285" s="1132" t="n"/>
      <c r="ELJ285" s="1132" t="n"/>
      <c r="ELK285" s="1132" t="n"/>
      <c r="ELL285" s="1132" t="n"/>
      <c r="ELM285" s="1132" t="n"/>
      <c r="ELN285" s="1132" t="n"/>
      <c r="ELO285" s="1132" t="n"/>
      <c r="ELP285" s="1132" t="n"/>
      <c r="ELQ285" s="1132" t="n"/>
      <c r="ELR285" s="1132" t="n"/>
      <c r="ELS285" s="1132" t="n"/>
      <c r="ELT285" s="1132" t="n"/>
      <c r="ELU285" s="1132" t="n"/>
      <c r="ELV285" s="1132" t="n"/>
      <c r="ELW285" s="1132" t="n"/>
      <c r="ELX285" s="1132" t="n"/>
      <c r="ELY285" s="1132" t="n"/>
      <c r="ELZ285" s="1132" t="n"/>
      <c r="EMA285" s="1132" t="n"/>
      <c r="EMB285" s="1132" t="n"/>
      <c r="EMC285" s="1132" t="n"/>
      <c r="EMD285" s="1132" t="n"/>
      <c r="EME285" s="1132" t="n"/>
      <c r="EMF285" s="1132" t="n"/>
      <c r="EMG285" s="1132" t="n"/>
      <c r="EMH285" s="1132" t="n"/>
      <c r="EMI285" s="1132" t="n"/>
      <c r="EMJ285" s="1132" t="n"/>
      <c r="EMK285" s="1132" t="n"/>
      <c r="EML285" s="1132" t="n"/>
      <c r="EMM285" s="1132" t="n"/>
      <c r="EMN285" s="1132" t="n"/>
      <c r="EMO285" s="1132" t="n"/>
      <c r="EMP285" s="1132" t="n"/>
      <c r="EMQ285" s="1132" t="n"/>
      <c r="EMR285" s="1132" t="n"/>
      <c r="EMS285" s="1132" t="n"/>
      <c r="EMT285" s="1132" t="n"/>
      <c r="EMU285" s="1132" t="n"/>
      <c r="EMV285" s="1132" t="n"/>
      <c r="EMW285" s="1132" t="n"/>
      <c r="EMX285" s="1132" t="n"/>
      <c r="EMY285" s="1132" t="n"/>
      <c r="EMZ285" s="1132" t="n"/>
      <c r="ENA285" s="1132" t="n"/>
      <c r="ENB285" s="1132" t="n"/>
      <c r="ENC285" s="1132" t="n"/>
      <c r="END285" s="1132" t="n"/>
      <c r="ENE285" s="1132" t="n"/>
      <c r="ENF285" s="1132" t="n"/>
      <c r="ENG285" s="1132" t="n"/>
      <c r="ENH285" s="1132" t="n"/>
      <c r="ENI285" s="1132" t="n"/>
      <c r="ENJ285" s="1132" t="n"/>
      <c r="ENK285" s="1132" t="n"/>
      <c r="ENL285" s="1132" t="n"/>
      <c r="ENM285" s="1132" t="n"/>
      <c r="ENN285" s="1132" t="n"/>
      <c r="ENO285" s="1132" t="n"/>
      <c r="ENP285" s="1132" t="n"/>
      <c r="ENQ285" s="1132" t="n"/>
      <c r="ENR285" s="1132" t="n"/>
      <c r="ENS285" s="1132" t="n"/>
      <c r="ENT285" s="1132" t="n"/>
      <c r="ENU285" s="1132" t="n"/>
      <c r="ENV285" s="1132" t="n"/>
      <c r="ENW285" s="1132" t="n"/>
      <c r="ENX285" s="1132" t="n"/>
      <c r="ENY285" s="1132" t="n"/>
      <c r="ENZ285" s="1132" t="n"/>
      <c r="EOA285" s="1132" t="n"/>
      <c r="EOB285" s="1132" t="n"/>
      <c r="EOC285" s="1132" t="n"/>
      <c r="EOD285" s="1132" t="n"/>
      <c r="EOE285" s="1132" t="n"/>
      <c r="EOF285" s="1132" t="n"/>
      <c r="EOG285" s="1132" t="n"/>
      <c r="EOH285" s="1132" t="n"/>
      <c r="EOI285" s="1132" t="n"/>
      <c r="EOJ285" s="1132" t="n"/>
      <c r="EOK285" s="1132" t="n"/>
      <c r="EOL285" s="1132" t="n"/>
      <c r="EOM285" s="1132" t="n"/>
      <c r="EON285" s="1132" t="n"/>
      <c r="EOO285" s="1132" t="n"/>
      <c r="EOP285" s="1132" t="n"/>
      <c r="EOQ285" s="1132" t="n"/>
      <c r="EOR285" s="1132" t="n"/>
      <c r="EOS285" s="1132" t="n"/>
      <c r="EOT285" s="1132" t="n"/>
      <c r="EOU285" s="1132" t="n"/>
      <c r="EOV285" s="1132" t="n"/>
      <c r="EOW285" s="1132" t="n"/>
      <c r="EOX285" s="1132" t="n"/>
      <c r="EOY285" s="1132" t="n"/>
      <c r="EOZ285" s="1132" t="n"/>
      <c r="EPA285" s="1132" t="n"/>
      <c r="EPB285" s="1132" t="n"/>
      <c r="EPC285" s="1132" t="n"/>
      <c r="EPD285" s="1132" t="n"/>
      <c r="EPE285" s="1132" t="n"/>
      <c r="EPF285" s="1132" t="n"/>
      <c r="EPG285" s="1132" t="n"/>
      <c r="EPH285" s="1132" t="n"/>
      <c r="EPI285" s="1132" t="n"/>
      <c r="EPJ285" s="1132" t="n"/>
      <c r="EPK285" s="1132" t="n"/>
      <c r="EPL285" s="1132" t="n"/>
      <c r="EPM285" s="1132" t="n"/>
      <c r="EPN285" s="1132" t="n"/>
      <c r="EPO285" s="1132" t="n"/>
      <c r="EPP285" s="1132" t="n"/>
      <c r="EPQ285" s="1132" t="n"/>
      <c r="EPR285" s="1132" t="n"/>
      <c r="EPS285" s="1132" t="n"/>
      <c r="EPT285" s="1132" t="n"/>
      <c r="EPU285" s="1132" t="n"/>
      <c r="EPV285" s="1132" t="n"/>
      <c r="EPW285" s="1132" t="n"/>
      <c r="EPX285" s="1132" t="n"/>
      <c r="EPY285" s="1132" t="n"/>
      <c r="EPZ285" s="1132" t="n"/>
      <c r="EQA285" s="1132" t="n"/>
      <c r="EQB285" s="1132" t="n"/>
      <c r="EQC285" s="1132" t="n"/>
      <c r="EQD285" s="1132" t="n"/>
      <c r="EQE285" s="1132" t="n"/>
      <c r="EQF285" s="1132" t="n"/>
      <c r="EQG285" s="1132" t="n"/>
      <c r="EQH285" s="1132" t="n"/>
      <c r="EQI285" s="1132" t="n"/>
      <c r="EQJ285" s="1132" t="n"/>
      <c r="EQK285" s="1132" t="n"/>
      <c r="EQL285" s="1132" t="n"/>
      <c r="EQM285" s="1132" t="n"/>
      <c r="EQN285" s="1132" t="n"/>
      <c r="EQO285" s="1132" t="n"/>
      <c r="EQP285" s="1132" t="n"/>
      <c r="EQQ285" s="1132" t="n"/>
      <c r="EQR285" s="1132" t="n"/>
      <c r="EQS285" s="1132" t="n"/>
      <c r="EQT285" s="1132" t="n"/>
      <c r="EQU285" s="1132" t="n"/>
      <c r="EQV285" s="1132" t="n"/>
      <c r="EQW285" s="1132" t="n"/>
      <c r="EQX285" s="1132" t="n"/>
      <c r="EQY285" s="1132" t="n"/>
      <c r="EQZ285" s="1132" t="n"/>
      <c r="ERA285" s="1132" t="n"/>
      <c r="ERB285" s="1132" t="n"/>
      <c r="ERC285" s="1132" t="n"/>
      <c r="ERD285" s="1132" t="n"/>
      <c r="ERE285" s="1132" t="n"/>
      <c r="ERF285" s="1132" t="n"/>
      <c r="ERG285" s="1132" t="n"/>
      <c r="ERH285" s="1132" t="n"/>
      <c r="ERI285" s="1132" t="n"/>
      <c r="ERJ285" s="1132" t="n"/>
      <c r="ERK285" s="1132" t="n"/>
      <c r="ERL285" s="1132" t="n"/>
      <c r="ERM285" s="1132" t="n"/>
      <c r="ERN285" s="1132" t="n"/>
      <c r="ERO285" s="1132" t="n"/>
      <c r="ERP285" s="1132" t="n"/>
      <c r="ERQ285" s="1132" t="n"/>
      <c r="ERR285" s="1132" t="n"/>
      <c r="ERS285" s="1132" t="n"/>
      <c r="ERT285" s="1132" t="n"/>
      <c r="ERU285" s="1132" t="n"/>
      <c r="ERV285" s="1132" t="n"/>
      <c r="ERW285" s="1132" t="n"/>
      <c r="ERX285" s="1132" t="n"/>
      <c r="ERY285" s="1132" t="n"/>
      <c r="ERZ285" s="1132" t="n"/>
      <c r="ESA285" s="1132" t="n"/>
      <c r="ESB285" s="1132" t="n"/>
      <c r="ESC285" s="1132" t="n"/>
      <c r="ESD285" s="1132" t="n"/>
      <c r="ESE285" s="1132" t="n"/>
      <c r="ESF285" s="1132" t="n"/>
      <c r="ESG285" s="1132" t="n"/>
      <c r="ESH285" s="1132" t="n"/>
      <c r="ESI285" s="1132" t="n"/>
      <c r="ESJ285" s="1132" t="n"/>
      <c r="ESK285" s="1132" t="n"/>
      <c r="ESL285" s="1132" t="n"/>
      <c r="ESM285" s="1132" t="n"/>
      <c r="ESN285" s="1132" t="n"/>
      <c r="ESO285" s="1132" t="n"/>
      <c r="ESP285" s="1132" t="n"/>
      <c r="ESQ285" s="1132" t="n"/>
      <c r="ESR285" s="1132" t="n"/>
      <c r="ESS285" s="1132" t="n"/>
      <c r="EST285" s="1132" t="n"/>
      <c r="ESU285" s="1132" t="n"/>
      <c r="ESV285" s="1132" t="n"/>
      <c r="ESW285" s="1132" t="n"/>
      <c r="ESX285" s="1132" t="n"/>
      <c r="ESY285" s="1132" t="n"/>
      <c r="ESZ285" s="1132" t="n"/>
      <c r="ETA285" s="1132" t="n"/>
      <c r="ETB285" s="1132" t="n"/>
      <c r="ETC285" s="1132" t="n"/>
      <c r="ETD285" s="1132" t="n"/>
      <c r="ETE285" s="1132" t="n"/>
      <c r="ETF285" s="1132" t="n"/>
      <c r="ETG285" s="1132" t="n"/>
      <c r="ETH285" s="1132" t="n"/>
      <c r="ETI285" s="1132" t="n"/>
      <c r="ETJ285" s="1132" t="n"/>
      <c r="ETK285" s="1132" t="n"/>
      <c r="ETL285" s="1132" t="n"/>
      <c r="ETM285" s="1132" t="n"/>
      <c r="ETN285" s="1132" t="n"/>
      <c r="ETO285" s="1132" t="n"/>
      <c r="ETP285" s="1132" t="n"/>
      <c r="ETQ285" s="1132" t="n"/>
      <c r="ETR285" s="1132" t="n"/>
      <c r="ETS285" s="1132" t="n"/>
      <c r="ETT285" s="1132" t="n"/>
      <c r="ETU285" s="1132" t="n"/>
      <c r="ETV285" s="1132" t="n"/>
      <c r="ETW285" s="1132" t="n"/>
      <c r="ETX285" s="1132" t="n"/>
      <c r="ETY285" s="1132" t="n"/>
      <c r="ETZ285" s="1132" t="n"/>
      <c r="EUA285" s="1132" t="n"/>
      <c r="EUB285" s="1132" t="n"/>
      <c r="EUC285" s="1132" t="n"/>
      <c r="EUD285" s="1132" t="n"/>
      <c r="EUE285" s="1132" t="n"/>
      <c r="EUF285" s="1132" t="n"/>
      <c r="EUG285" s="1132" t="n"/>
      <c r="EUH285" s="1132" t="n"/>
      <c r="EUI285" s="1132" t="n"/>
      <c r="EUJ285" s="1132" t="n"/>
      <c r="EUK285" s="1132" t="n"/>
      <c r="EUL285" s="1132" t="n"/>
      <c r="EUM285" s="1132" t="n"/>
      <c r="EUN285" s="1132" t="n"/>
      <c r="EUO285" s="1132" t="n"/>
      <c r="EUP285" s="1132" t="n"/>
      <c r="EUQ285" s="1132" t="n"/>
      <c r="EUR285" s="1132" t="n"/>
      <c r="EUS285" s="1132" t="n"/>
      <c r="EUT285" s="1132" t="n"/>
      <c r="EUU285" s="1132" t="n"/>
      <c r="EUV285" s="1132" t="n"/>
      <c r="EUW285" s="1132" t="n"/>
      <c r="EUX285" s="1132" t="n"/>
      <c r="EUY285" s="1132" t="n"/>
      <c r="EUZ285" s="1132" t="n"/>
      <c r="EVA285" s="1132" t="n"/>
      <c r="EVB285" s="1132" t="n"/>
      <c r="EVC285" s="1132" t="n"/>
      <c r="EVD285" s="1132" t="n"/>
      <c r="EVE285" s="1132" t="n"/>
      <c r="EVF285" s="1132" t="n"/>
      <c r="EVG285" s="1132" t="n"/>
      <c r="EVH285" s="1132" t="n"/>
      <c r="EVI285" s="1132" t="n"/>
      <c r="EVJ285" s="1132" t="n"/>
      <c r="EVK285" s="1132" t="n"/>
      <c r="EVL285" s="1132" t="n"/>
      <c r="EVM285" s="1132" t="n"/>
      <c r="EVN285" s="1132" t="n"/>
      <c r="EVO285" s="1132" t="n"/>
      <c r="EVP285" s="1132" t="n"/>
      <c r="EVQ285" s="1132" t="n"/>
      <c r="EVR285" s="1132" t="n"/>
      <c r="EVS285" s="1132" t="n"/>
      <c r="EVT285" s="1132" t="n"/>
      <c r="EVU285" s="1132" t="n"/>
      <c r="EVV285" s="1132" t="n"/>
      <c r="EVW285" s="1132" t="n"/>
      <c r="EVX285" s="1132" t="n"/>
      <c r="EVY285" s="1132" t="n"/>
      <c r="EVZ285" s="1132" t="n"/>
      <c r="EWA285" s="1132" t="n"/>
      <c r="EWB285" s="1132" t="n"/>
      <c r="EWC285" s="1132" t="n"/>
      <c r="EWD285" s="1132" t="n"/>
      <c r="EWE285" s="1132" t="n"/>
      <c r="EWF285" s="1132" t="n"/>
      <c r="EWG285" s="1132" t="n"/>
      <c r="EWH285" s="1132" t="n"/>
      <c r="EWI285" s="1132" t="n"/>
      <c r="EWJ285" s="1132" t="n"/>
      <c r="EWK285" s="1132" t="n"/>
      <c r="EWL285" s="1132" t="n"/>
      <c r="EWM285" s="1132" t="n"/>
      <c r="EWN285" s="1132" t="n"/>
      <c r="EWO285" s="1132" t="n"/>
      <c r="EWP285" s="1132" t="n"/>
      <c r="EWQ285" s="1132" t="n"/>
      <c r="EWR285" s="1132" t="n"/>
      <c r="EWS285" s="1132" t="n"/>
      <c r="EWT285" s="1132" t="n"/>
      <c r="EWU285" s="1132" t="n"/>
      <c r="EWV285" s="1132" t="n"/>
      <c r="EWW285" s="1132" t="n"/>
      <c r="EWX285" s="1132" t="n"/>
      <c r="EWY285" s="1132" t="n"/>
      <c r="EWZ285" s="1132" t="n"/>
      <c r="EXA285" s="1132" t="n"/>
      <c r="EXB285" s="1132" t="n"/>
      <c r="EXC285" s="1132" t="n"/>
      <c r="EXD285" s="1132" t="n"/>
      <c r="EXE285" s="1132" t="n"/>
      <c r="EXF285" s="1132" t="n"/>
      <c r="EXG285" s="1132" t="n"/>
      <c r="EXH285" s="1132" t="n"/>
      <c r="EXI285" s="1132" t="n"/>
      <c r="EXJ285" s="1132" t="n"/>
      <c r="EXK285" s="1132" t="n"/>
      <c r="EXL285" s="1132" t="n"/>
      <c r="EXM285" s="1132" t="n"/>
      <c r="EXN285" s="1132" t="n"/>
      <c r="EXO285" s="1132" t="n"/>
      <c r="EXP285" s="1132" t="n"/>
      <c r="EXQ285" s="1132" t="n"/>
      <c r="EXR285" s="1132" t="n"/>
      <c r="EXS285" s="1132" t="n"/>
      <c r="EXT285" s="1132" t="n"/>
      <c r="EXU285" s="1132" t="n"/>
      <c r="EXV285" s="1132" t="n"/>
      <c r="EXW285" s="1132" t="n"/>
      <c r="EXX285" s="1132" t="n"/>
      <c r="EXY285" s="1132" t="n"/>
      <c r="EXZ285" s="1132" t="n"/>
      <c r="EYA285" s="1132" t="n"/>
      <c r="EYB285" s="1132" t="n"/>
      <c r="EYC285" s="1132" t="n"/>
      <c r="EYD285" s="1132" t="n"/>
      <c r="EYE285" s="1132" t="n"/>
      <c r="EYF285" s="1132" t="n"/>
      <c r="EYG285" s="1132" t="n"/>
      <c r="EYH285" s="1132" t="n"/>
      <c r="EYI285" s="1132" t="n"/>
      <c r="EYJ285" s="1132" t="n"/>
      <c r="EYK285" s="1132" t="n"/>
      <c r="EYL285" s="1132" t="n"/>
      <c r="EYM285" s="1132" t="n"/>
      <c r="EYN285" s="1132" t="n"/>
      <c r="EYO285" s="1132" t="n"/>
      <c r="EYP285" s="1132" t="n"/>
      <c r="EYQ285" s="1132" t="n"/>
      <c r="EYR285" s="1132" t="n"/>
      <c r="EYS285" s="1132" t="n"/>
      <c r="EYT285" s="1132" t="n"/>
      <c r="EYU285" s="1132" t="n"/>
      <c r="EYV285" s="1132" t="n"/>
      <c r="EYW285" s="1132" t="n"/>
      <c r="EYX285" s="1132" t="n"/>
      <c r="EYY285" s="1132" t="n"/>
      <c r="EYZ285" s="1132" t="n"/>
      <c r="EZA285" s="1132" t="n"/>
      <c r="EZB285" s="1132" t="n"/>
      <c r="EZC285" s="1132" t="n"/>
      <c r="EZD285" s="1132" t="n"/>
      <c r="EZE285" s="1132" t="n"/>
      <c r="EZF285" s="1132" t="n"/>
      <c r="EZG285" s="1132" t="n"/>
      <c r="EZH285" s="1132" t="n"/>
      <c r="EZI285" s="1132" t="n"/>
      <c r="EZJ285" s="1132" t="n"/>
      <c r="EZK285" s="1132" t="n"/>
      <c r="EZL285" s="1132" t="n"/>
      <c r="EZM285" s="1132" t="n"/>
      <c r="EZN285" s="1132" t="n"/>
      <c r="EZO285" s="1132" t="n"/>
      <c r="EZP285" s="1132" t="n"/>
      <c r="EZQ285" s="1132" t="n"/>
      <c r="EZR285" s="1132" t="n"/>
      <c r="EZS285" s="1132" t="n"/>
      <c r="EZT285" s="1132" t="n"/>
      <c r="EZU285" s="1132" t="n"/>
      <c r="EZV285" s="1132" t="n"/>
      <c r="EZW285" s="1132" t="n"/>
      <c r="EZX285" s="1132" t="n"/>
      <c r="EZY285" s="1132" t="n"/>
      <c r="EZZ285" s="1132" t="n"/>
      <c r="FAA285" s="1132" t="n"/>
      <c r="FAB285" s="1132" t="n"/>
      <c r="FAC285" s="1132" t="n"/>
      <c r="FAD285" s="1132" t="n"/>
      <c r="FAE285" s="1132" t="n"/>
      <c r="FAF285" s="1132" t="n"/>
      <c r="FAG285" s="1132" t="n"/>
      <c r="FAH285" s="1132" t="n"/>
      <c r="FAI285" s="1132" t="n"/>
      <c r="FAJ285" s="1132" t="n"/>
      <c r="FAK285" s="1132" t="n"/>
      <c r="FAL285" s="1132" t="n"/>
      <c r="FAM285" s="1132" t="n"/>
      <c r="FAN285" s="1132" t="n"/>
      <c r="FAO285" s="1132" t="n"/>
      <c r="FAP285" s="1132" t="n"/>
      <c r="FAQ285" s="1132" t="n"/>
      <c r="FAR285" s="1132" t="n"/>
      <c r="FAS285" s="1132" t="n"/>
      <c r="FAT285" s="1132" t="n"/>
      <c r="FAU285" s="1132" t="n"/>
      <c r="FAV285" s="1132" t="n"/>
      <c r="FAW285" s="1132" t="n"/>
      <c r="FAX285" s="1132" t="n"/>
      <c r="FAY285" s="1132" t="n"/>
      <c r="FAZ285" s="1132" t="n"/>
      <c r="FBA285" s="1132" t="n"/>
      <c r="FBB285" s="1132" t="n"/>
      <c r="FBC285" s="1132" t="n"/>
      <c r="FBD285" s="1132" t="n"/>
      <c r="FBE285" s="1132" t="n"/>
      <c r="FBF285" s="1132" t="n"/>
      <c r="FBG285" s="1132" t="n"/>
      <c r="FBH285" s="1132" t="n"/>
      <c r="FBI285" s="1132" t="n"/>
      <c r="FBJ285" s="1132" t="n"/>
      <c r="FBK285" s="1132" t="n"/>
      <c r="FBL285" s="1132" t="n"/>
      <c r="FBM285" s="1132" t="n"/>
      <c r="FBN285" s="1132" t="n"/>
      <c r="FBO285" s="1132" t="n"/>
      <c r="FBP285" s="1132" t="n"/>
      <c r="FBQ285" s="1132" t="n"/>
      <c r="FBR285" s="1132" t="n"/>
      <c r="FBS285" s="1132" t="n"/>
      <c r="FBT285" s="1132" t="n"/>
      <c r="FBU285" s="1132" t="n"/>
      <c r="FBV285" s="1132" t="n"/>
      <c r="FBW285" s="1132" t="n"/>
      <c r="FBX285" s="1132" t="n"/>
      <c r="FBY285" s="1132" t="n"/>
      <c r="FBZ285" s="1132" t="n"/>
      <c r="FCA285" s="1132" t="n"/>
      <c r="FCB285" s="1132" t="n"/>
      <c r="FCC285" s="1132" t="n"/>
      <c r="FCD285" s="1132" t="n"/>
      <c r="FCE285" s="1132" t="n"/>
      <c r="FCF285" s="1132" t="n"/>
      <c r="FCG285" s="1132" t="n"/>
      <c r="FCH285" s="1132" t="n"/>
      <c r="FCI285" s="1132" t="n"/>
      <c r="FCJ285" s="1132" t="n"/>
      <c r="FCK285" s="1132" t="n"/>
      <c r="FCL285" s="1132" t="n"/>
      <c r="FCM285" s="1132" t="n"/>
      <c r="FCN285" s="1132" t="n"/>
      <c r="FCO285" s="1132" t="n"/>
      <c r="FCP285" s="1132" t="n"/>
      <c r="FCQ285" s="1132" t="n"/>
      <c r="FCR285" s="1132" t="n"/>
      <c r="FCS285" s="1132" t="n"/>
      <c r="FCT285" s="1132" t="n"/>
      <c r="FCU285" s="1132" t="n"/>
      <c r="FCV285" s="1132" t="n"/>
      <c r="FCW285" s="1132" t="n"/>
      <c r="FCX285" s="1132" t="n"/>
      <c r="FCY285" s="1132" t="n"/>
      <c r="FCZ285" s="1132" t="n"/>
      <c r="FDA285" s="1132" t="n"/>
      <c r="FDB285" s="1132" t="n"/>
      <c r="FDC285" s="1132" t="n"/>
      <c r="FDD285" s="1132" t="n"/>
      <c r="FDE285" s="1132" t="n"/>
      <c r="FDF285" s="1132" t="n"/>
      <c r="FDG285" s="1132" t="n"/>
      <c r="FDH285" s="1132" t="n"/>
      <c r="FDI285" s="1132" t="n"/>
      <c r="FDJ285" s="1132" t="n"/>
      <c r="FDK285" s="1132" t="n"/>
      <c r="FDL285" s="1132" t="n"/>
      <c r="FDM285" s="1132" t="n"/>
      <c r="FDN285" s="1132" t="n"/>
      <c r="FDO285" s="1132" t="n"/>
      <c r="FDP285" s="1132" t="n"/>
      <c r="FDQ285" s="1132" t="n"/>
      <c r="FDR285" s="1132" t="n"/>
      <c r="FDS285" s="1132" t="n"/>
      <c r="FDT285" s="1132" t="n"/>
      <c r="FDU285" s="1132" t="n"/>
      <c r="FDV285" s="1132" t="n"/>
      <c r="FDW285" s="1132" t="n"/>
      <c r="FDX285" s="1132" t="n"/>
      <c r="FDY285" s="1132" t="n"/>
      <c r="FDZ285" s="1132" t="n"/>
      <c r="FEA285" s="1132" t="n"/>
      <c r="FEB285" s="1132" t="n"/>
      <c r="FEC285" s="1132" t="n"/>
      <c r="FED285" s="1132" t="n"/>
      <c r="FEE285" s="1132" t="n"/>
      <c r="FEF285" s="1132" t="n"/>
      <c r="FEG285" s="1132" t="n"/>
      <c r="FEH285" s="1132" t="n"/>
      <c r="FEI285" s="1132" t="n"/>
      <c r="FEJ285" s="1132" t="n"/>
      <c r="FEK285" s="1132" t="n"/>
      <c r="FEL285" s="1132" t="n"/>
      <c r="FEM285" s="1132" t="n"/>
      <c r="FEN285" s="1132" t="n"/>
      <c r="FEO285" s="1132" t="n"/>
      <c r="FEP285" s="1132" t="n"/>
      <c r="FEQ285" s="1132" t="n"/>
      <c r="FER285" s="1132" t="n"/>
      <c r="FES285" s="1132" t="n"/>
      <c r="FET285" s="1132" t="n"/>
      <c r="FEU285" s="1132" t="n"/>
      <c r="FEV285" s="1132" t="n"/>
      <c r="FEW285" s="1132" t="n"/>
      <c r="FEX285" s="1132" t="n"/>
      <c r="FEY285" s="1132" t="n"/>
      <c r="FEZ285" s="1132" t="n"/>
      <c r="FFA285" s="1132" t="n"/>
      <c r="FFB285" s="1132" t="n"/>
      <c r="FFC285" s="1132" t="n"/>
      <c r="FFD285" s="1132" t="n"/>
      <c r="FFE285" s="1132" t="n"/>
      <c r="FFF285" s="1132" t="n"/>
      <c r="FFG285" s="1132" t="n"/>
      <c r="FFH285" s="1132" t="n"/>
      <c r="FFI285" s="1132" t="n"/>
      <c r="FFJ285" s="1132" t="n"/>
      <c r="FFK285" s="1132" t="n"/>
      <c r="FFL285" s="1132" t="n"/>
      <c r="FFM285" s="1132" t="n"/>
      <c r="FFN285" s="1132" t="n"/>
      <c r="FFO285" s="1132" t="n"/>
      <c r="FFP285" s="1132" t="n"/>
      <c r="FFQ285" s="1132" t="n"/>
      <c r="FFR285" s="1132" t="n"/>
      <c r="FFS285" s="1132" t="n"/>
      <c r="FFT285" s="1132" t="n"/>
      <c r="FFU285" s="1132" t="n"/>
      <c r="FFV285" s="1132" t="n"/>
      <c r="FFW285" s="1132" t="n"/>
      <c r="FFX285" s="1132" t="n"/>
      <c r="FFY285" s="1132" t="n"/>
      <c r="FFZ285" s="1132" t="n"/>
      <c r="FGA285" s="1132" t="n"/>
      <c r="FGB285" s="1132" t="n"/>
      <c r="FGC285" s="1132" t="n"/>
      <c r="FGD285" s="1132" t="n"/>
      <c r="FGE285" s="1132" t="n"/>
      <c r="FGF285" s="1132" t="n"/>
      <c r="FGG285" s="1132" t="n"/>
      <c r="FGH285" s="1132" t="n"/>
      <c r="FGI285" s="1132" t="n"/>
      <c r="FGJ285" s="1132" t="n"/>
      <c r="FGK285" s="1132" t="n"/>
      <c r="FGL285" s="1132" t="n"/>
      <c r="FGM285" s="1132" t="n"/>
      <c r="FGN285" s="1132" t="n"/>
      <c r="FGO285" s="1132" t="n"/>
      <c r="FGP285" s="1132" t="n"/>
      <c r="FGQ285" s="1132" t="n"/>
      <c r="FGR285" s="1132" t="n"/>
      <c r="FGS285" s="1132" t="n"/>
      <c r="FGT285" s="1132" t="n"/>
      <c r="FGU285" s="1132" t="n"/>
      <c r="FGV285" s="1132" t="n"/>
      <c r="FGW285" s="1132" t="n"/>
      <c r="FGX285" s="1132" t="n"/>
      <c r="FGY285" s="1132" t="n"/>
      <c r="FGZ285" s="1132" t="n"/>
      <c r="FHA285" s="1132" t="n"/>
      <c r="FHB285" s="1132" t="n"/>
      <c r="FHC285" s="1132" t="n"/>
      <c r="FHD285" s="1132" t="n"/>
      <c r="FHE285" s="1132" t="n"/>
      <c r="FHF285" s="1132" t="n"/>
      <c r="FHG285" s="1132" t="n"/>
      <c r="FHH285" s="1132" t="n"/>
      <c r="FHI285" s="1132" t="n"/>
      <c r="FHJ285" s="1132" t="n"/>
      <c r="FHK285" s="1132" t="n"/>
      <c r="FHL285" s="1132" t="n"/>
      <c r="FHM285" s="1132" t="n"/>
      <c r="FHN285" s="1132" t="n"/>
      <c r="FHO285" s="1132" t="n"/>
      <c r="FHP285" s="1132" t="n"/>
      <c r="FHQ285" s="1132" t="n"/>
      <c r="FHR285" s="1132" t="n"/>
      <c r="FHS285" s="1132" t="n"/>
      <c r="FHT285" s="1132" t="n"/>
      <c r="FHU285" s="1132" t="n"/>
      <c r="FHV285" s="1132" t="n"/>
      <c r="FHW285" s="1132" t="n"/>
      <c r="FHX285" s="1132" t="n"/>
      <c r="FHY285" s="1132" t="n"/>
      <c r="FHZ285" s="1132" t="n"/>
      <c r="FIA285" s="1132" t="n"/>
      <c r="FIB285" s="1132" t="n"/>
      <c r="FIC285" s="1132" t="n"/>
      <c r="FID285" s="1132" t="n"/>
      <c r="FIE285" s="1132" t="n"/>
      <c r="FIF285" s="1132" t="n"/>
      <c r="FIG285" s="1132" t="n"/>
      <c r="FIH285" s="1132" t="n"/>
      <c r="FII285" s="1132" t="n"/>
      <c r="FIJ285" s="1132" t="n"/>
      <c r="FIK285" s="1132" t="n"/>
      <c r="FIL285" s="1132" t="n"/>
      <c r="FIM285" s="1132" t="n"/>
      <c r="FIN285" s="1132" t="n"/>
      <c r="FIO285" s="1132" t="n"/>
      <c r="FIP285" s="1132" t="n"/>
      <c r="FIQ285" s="1132" t="n"/>
      <c r="FIR285" s="1132" t="n"/>
      <c r="FIS285" s="1132" t="n"/>
      <c r="FIT285" s="1132" t="n"/>
      <c r="FIU285" s="1132" t="n"/>
      <c r="FIV285" s="1132" t="n"/>
      <c r="FIW285" s="1132" t="n"/>
      <c r="FIX285" s="1132" t="n"/>
      <c r="FIY285" s="1132" t="n"/>
      <c r="FIZ285" s="1132" t="n"/>
      <c r="FJA285" s="1132" t="n"/>
      <c r="FJB285" s="1132" t="n"/>
      <c r="FJC285" s="1132" t="n"/>
      <c r="FJD285" s="1132" t="n"/>
      <c r="FJE285" s="1132" t="n"/>
      <c r="FJF285" s="1132" t="n"/>
      <c r="FJG285" s="1132" t="n"/>
      <c r="FJH285" s="1132" t="n"/>
      <c r="FJI285" s="1132" t="n"/>
      <c r="FJJ285" s="1132" t="n"/>
      <c r="FJK285" s="1132" t="n"/>
      <c r="FJL285" s="1132" t="n"/>
      <c r="FJM285" s="1132" t="n"/>
      <c r="FJN285" s="1132" t="n"/>
      <c r="FJO285" s="1132" t="n"/>
      <c r="FJP285" s="1132" t="n"/>
      <c r="FJQ285" s="1132" t="n"/>
      <c r="FJR285" s="1132" t="n"/>
      <c r="FJS285" s="1132" t="n"/>
      <c r="FJT285" s="1132" t="n"/>
      <c r="FJU285" s="1132" t="n"/>
      <c r="FJV285" s="1132" t="n"/>
      <c r="FJW285" s="1132" t="n"/>
      <c r="FJX285" s="1132" t="n"/>
      <c r="FJY285" s="1132" t="n"/>
      <c r="FJZ285" s="1132" t="n"/>
      <c r="FKA285" s="1132" t="n"/>
      <c r="FKB285" s="1132" t="n"/>
      <c r="FKC285" s="1132" t="n"/>
      <c r="FKD285" s="1132" t="n"/>
      <c r="FKE285" s="1132" t="n"/>
      <c r="FKF285" s="1132" t="n"/>
      <c r="FKG285" s="1132" t="n"/>
      <c r="FKH285" s="1132" t="n"/>
      <c r="FKI285" s="1132" t="n"/>
      <c r="FKJ285" s="1132" t="n"/>
      <c r="FKK285" s="1132" t="n"/>
      <c r="FKL285" s="1132" t="n"/>
      <c r="FKM285" s="1132" t="n"/>
      <c r="FKN285" s="1132" t="n"/>
      <c r="FKO285" s="1132" t="n"/>
      <c r="FKP285" s="1132" t="n"/>
      <c r="FKQ285" s="1132" t="n"/>
      <c r="FKR285" s="1132" t="n"/>
      <c r="FKS285" s="1132" t="n"/>
      <c r="FKT285" s="1132" t="n"/>
      <c r="FKU285" s="1132" t="n"/>
      <c r="FKV285" s="1132" t="n"/>
      <c r="FKW285" s="1132" t="n"/>
      <c r="FKX285" s="1132" t="n"/>
      <c r="FKY285" s="1132" t="n"/>
      <c r="FKZ285" s="1132" t="n"/>
      <c r="FLA285" s="1132" t="n"/>
      <c r="FLB285" s="1132" t="n"/>
      <c r="FLC285" s="1132" t="n"/>
      <c r="FLD285" s="1132" t="n"/>
      <c r="FLE285" s="1132" t="n"/>
      <c r="FLF285" s="1132" t="n"/>
      <c r="FLG285" s="1132" t="n"/>
      <c r="FLH285" s="1132" t="n"/>
      <c r="FLI285" s="1132" t="n"/>
      <c r="FLJ285" s="1132" t="n"/>
      <c r="FLK285" s="1132" t="n"/>
      <c r="FLL285" s="1132" t="n"/>
      <c r="FLM285" s="1132" t="n"/>
      <c r="FLN285" s="1132" t="n"/>
      <c r="FLO285" s="1132" t="n"/>
      <c r="FLP285" s="1132" t="n"/>
      <c r="FLQ285" s="1132" t="n"/>
      <c r="FLR285" s="1132" t="n"/>
      <c r="FLS285" s="1132" t="n"/>
      <c r="FLT285" s="1132" t="n"/>
      <c r="FLU285" s="1132" t="n"/>
      <c r="FLV285" s="1132" t="n"/>
      <c r="FLW285" s="1132" t="n"/>
      <c r="FLX285" s="1132" t="n"/>
      <c r="FLY285" s="1132" t="n"/>
      <c r="FLZ285" s="1132" t="n"/>
      <c r="FMA285" s="1132" t="n"/>
      <c r="FMB285" s="1132" t="n"/>
      <c r="FMC285" s="1132" t="n"/>
      <c r="FMD285" s="1132" t="n"/>
      <c r="FME285" s="1132" t="n"/>
      <c r="FMF285" s="1132" t="n"/>
      <c r="FMG285" s="1132" t="n"/>
      <c r="FMH285" s="1132" t="n"/>
      <c r="FMI285" s="1132" t="n"/>
      <c r="FMJ285" s="1132" t="n"/>
      <c r="FMK285" s="1132" t="n"/>
      <c r="FML285" s="1132" t="n"/>
      <c r="FMM285" s="1132" t="n"/>
      <c r="FMN285" s="1132" t="n"/>
      <c r="FMO285" s="1132" t="n"/>
      <c r="FMP285" s="1132" t="n"/>
      <c r="FMQ285" s="1132" t="n"/>
      <c r="FMR285" s="1132" t="n"/>
      <c r="FMS285" s="1132" t="n"/>
      <c r="FMT285" s="1132" t="n"/>
      <c r="FMU285" s="1132" t="n"/>
      <c r="FMV285" s="1132" t="n"/>
      <c r="FMW285" s="1132" t="n"/>
      <c r="FMX285" s="1132" t="n"/>
      <c r="FMY285" s="1132" t="n"/>
      <c r="FMZ285" s="1132" t="n"/>
      <c r="FNA285" s="1132" t="n"/>
      <c r="FNB285" s="1132" t="n"/>
      <c r="FNC285" s="1132" t="n"/>
      <c r="FND285" s="1132" t="n"/>
      <c r="FNE285" s="1132" t="n"/>
      <c r="FNF285" s="1132" t="n"/>
      <c r="FNG285" s="1132" t="n"/>
      <c r="FNH285" s="1132" t="n"/>
      <c r="FNI285" s="1132" t="n"/>
      <c r="FNJ285" s="1132" t="n"/>
      <c r="FNK285" s="1132" t="n"/>
      <c r="FNL285" s="1132" t="n"/>
      <c r="FNM285" s="1132" t="n"/>
      <c r="FNN285" s="1132" t="n"/>
      <c r="FNO285" s="1132" t="n"/>
      <c r="FNP285" s="1132" t="n"/>
      <c r="FNQ285" s="1132" t="n"/>
      <c r="FNR285" s="1132" t="n"/>
      <c r="FNS285" s="1132" t="n"/>
      <c r="FNT285" s="1132" t="n"/>
      <c r="FNU285" s="1132" t="n"/>
      <c r="FNV285" s="1132" t="n"/>
      <c r="FNW285" s="1132" t="n"/>
      <c r="FNX285" s="1132" t="n"/>
      <c r="FNY285" s="1132" t="n"/>
      <c r="FNZ285" s="1132" t="n"/>
      <c r="FOA285" s="1132" t="n"/>
      <c r="FOB285" s="1132" t="n"/>
      <c r="FOC285" s="1132" t="n"/>
      <c r="FOD285" s="1132" t="n"/>
      <c r="FOE285" s="1132" t="n"/>
      <c r="FOF285" s="1132" t="n"/>
      <c r="FOG285" s="1132" t="n"/>
      <c r="FOH285" s="1132" t="n"/>
      <c r="FOI285" s="1132" t="n"/>
      <c r="FOJ285" s="1132" t="n"/>
      <c r="FOK285" s="1132" t="n"/>
      <c r="FOL285" s="1132" t="n"/>
      <c r="FOM285" s="1132" t="n"/>
      <c r="FON285" s="1132" t="n"/>
      <c r="FOO285" s="1132" t="n"/>
      <c r="FOP285" s="1132" t="n"/>
      <c r="FOQ285" s="1132" t="n"/>
      <c r="FOR285" s="1132" t="n"/>
      <c r="FOS285" s="1132" t="n"/>
      <c r="FOT285" s="1132" t="n"/>
      <c r="FOU285" s="1132" t="n"/>
      <c r="FOV285" s="1132" t="n"/>
      <c r="FOW285" s="1132" t="n"/>
      <c r="FOX285" s="1132" t="n"/>
      <c r="FOY285" s="1132" t="n"/>
      <c r="FOZ285" s="1132" t="n"/>
      <c r="FPA285" s="1132" t="n"/>
      <c r="FPB285" s="1132" t="n"/>
      <c r="FPC285" s="1132" t="n"/>
      <c r="FPD285" s="1132" t="n"/>
      <c r="FPE285" s="1132" t="n"/>
      <c r="FPF285" s="1132" t="n"/>
      <c r="FPG285" s="1132" t="n"/>
      <c r="FPH285" s="1132" t="n"/>
      <c r="FPI285" s="1132" t="n"/>
      <c r="FPJ285" s="1132" t="n"/>
      <c r="FPK285" s="1132" t="n"/>
      <c r="FPL285" s="1132" t="n"/>
      <c r="FPM285" s="1132" t="n"/>
      <c r="FPN285" s="1132" t="n"/>
      <c r="FPO285" s="1132" t="n"/>
      <c r="FPP285" s="1132" t="n"/>
      <c r="FPQ285" s="1132" t="n"/>
      <c r="FPR285" s="1132" t="n"/>
      <c r="FPS285" s="1132" t="n"/>
      <c r="FPT285" s="1132" t="n"/>
      <c r="FPU285" s="1132" t="n"/>
      <c r="FPV285" s="1132" t="n"/>
      <c r="FPW285" s="1132" t="n"/>
      <c r="FPX285" s="1132" t="n"/>
      <c r="FPY285" s="1132" t="n"/>
      <c r="FPZ285" s="1132" t="n"/>
      <c r="FQA285" s="1132" t="n"/>
      <c r="FQB285" s="1132" t="n"/>
      <c r="FQC285" s="1132" t="n"/>
      <c r="FQD285" s="1132" t="n"/>
      <c r="FQE285" s="1132" t="n"/>
      <c r="FQF285" s="1132" t="n"/>
      <c r="FQG285" s="1132" t="n"/>
      <c r="FQH285" s="1132" t="n"/>
      <c r="FQI285" s="1132" t="n"/>
      <c r="FQJ285" s="1132" t="n"/>
      <c r="FQK285" s="1132" t="n"/>
      <c r="FQL285" s="1132" t="n"/>
      <c r="FQM285" s="1132" t="n"/>
      <c r="FQN285" s="1132" t="n"/>
      <c r="FQO285" s="1132" t="n"/>
      <c r="FQP285" s="1132" t="n"/>
      <c r="FQQ285" s="1132" t="n"/>
      <c r="FQR285" s="1132" t="n"/>
      <c r="FQS285" s="1132" t="n"/>
      <c r="FQT285" s="1132" t="n"/>
      <c r="FQU285" s="1132" t="n"/>
      <c r="FQV285" s="1132" t="n"/>
      <c r="FQW285" s="1132" t="n"/>
      <c r="FQX285" s="1132" t="n"/>
      <c r="FQY285" s="1132" t="n"/>
      <c r="FQZ285" s="1132" t="n"/>
      <c r="FRA285" s="1132" t="n"/>
      <c r="FRB285" s="1132" t="n"/>
      <c r="FRC285" s="1132" t="n"/>
      <c r="FRD285" s="1132" t="n"/>
      <c r="FRE285" s="1132" t="n"/>
      <c r="FRF285" s="1132" t="n"/>
      <c r="FRG285" s="1132" t="n"/>
      <c r="FRH285" s="1132" t="n"/>
      <c r="FRI285" s="1132" t="n"/>
      <c r="FRJ285" s="1132" t="n"/>
      <c r="FRK285" s="1132" t="n"/>
      <c r="FRL285" s="1132" t="n"/>
      <c r="FRM285" s="1132" t="n"/>
      <c r="FRN285" s="1132" t="n"/>
      <c r="FRO285" s="1132" t="n"/>
      <c r="FRP285" s="1132" t="n"/>
      <c r="FRQ285" s="1132" t="n"/>
      <c r="FRR285" s="1132" t="n"/>
      <c r="FRS285" s="1132" t="n"/>
      <c r="FRT285" s="1132" t="n"/>
      <c r="FRU285" s="1132" t="n"/>
      <c r="FRV285" s="1132" t="n"/>
      <c r="FRW285" s="1132" t="n"/>
      <c r="FRX285" s="1132" t="n"/>
      <c r="FRY285" s="1132" t="n"/>
      <c r="FRZ285" s="1132" t="n"/>
      <c r="FSA285" s="1132" t="n"/>
      <c r="FSB285" s="1132" t="n"/>
      <c r="FSC285" s="1132" t="n"/>
      <c r="FSD285" s="1132" t="n"/>
      <c r="FSE285" s="1132" t="n"/>
      <c r="FSF285" s="1132" t="n"/>
      <c r="FSG285" s="1132" t="n"/>
      <c r="FSH285" s="1132" t="n"/>
      <c r="FSI285" s="1132" t="n"/>
      <c r="FSJ285" s="1132" t="n"/>
      <c r="FSK285" s="1132" t="n"/>
      <c r="FSL285" s="1132" t="n"/>
      <c r="FSM285" s="1132" t="n"/>
      <c r="FSN285" s="1132" t="n"/>
      <c r="FSO285" s="1132" t="n"/>
      <c r="FSP285" s="1132" t="n"/>
      <c r="FSQ285" s="1132" t="n"/>
      <c r="FSR285" s="1132" t="n"/>
      <c r="FSS285" s="1132" t="n"/>
      <c r="FST285" s="1132" t="n"/>
      <c r="FSU285" s="1132" t="n"/>
      <c r="FSV285" s="1132" t="n"/>
      <c r="FSW285" s="1132" t="n"/>
      <c r="FSX285" s="1132" t="n"/>
      <c r="FSY285" s="1132" t="n"/>
      <c r="FSZ285" s="1132" t="n"/>
      <c r="FTA285" s="1132" t="n"/>
      <c r="FTB285" s="1132" t="n"/>
      <c r="FTC285" s="1132" t="n"/>
      <c r="FTD285" s="1132" t="n"/>
      <c r="FTE285" s="1132" t="n"/>
      <c r="FTF285" s="1132" t="n"/>
      <c r="FTG285" s="1132" t="n"/>
      <c r="FTH285" s="1132" t="n"/>
      <c r="FTI285" s="1132" t="n"/>
      <c r="FTJ285" s="1132" t="n"/>
      <c r="FTK285" s="1132" t="n"/>
      <c r="FTL285" s="1132" t="n"/>
      <c r="FTM285" s="1132" t="n"/>
      <c r="FTN285" s="1132" t="n"/>
      <c r="FTO285" s="1132" t="n"/>
      <c r="FTP285" s="1132" t="n"/>
      <c r="FTQ285" s="1132" t="n"/>
      <c r="FTR285" s="1132" t="n"/>
      <c r="FTS285" s="1132" t="n"/>
      <c r="FTT285" s="1132" t="n"/>
      <c r="FTU285" s="1132" t="n"/>
      <c r="FTV285" s="1132" t="n"/>
      <c r="FTW285" s="1132" t="n"/>
      <c r="FTX285" s="1132" t="n"/>
      <c r="FTY285" s="1132" t="n"/>
      <c r="FTZ285" s="1132" t="n"/>
      <c r="FUA285" s="1132" t="n"/>
      <c r="FUB285" s="1132" t="n"/>
      <c r="FUC285" s="1132" t="n"/>
      <c r="FUD285" s="1132" t="n"/>
      <c r="FUE285" s="1132" t="n"/>
      <c r="FUF285" s="1132" t="n"/>
      <c r="FUG285" s="1132" t="n"/>
      <c r="FUH285" s="1132" t="n"/>
      <c r="FUI285" s="1132" t="n"/>
      <c r="FUJ285" s="1132" t="n"/>
      <c r="FUK285" s="1132" t="n"/>
      <c r="FUL285" s="1132" t="n"/>
      <c r="FUM285" s="1132" t="n"/>
      <c r="FUN285" s="1132" t="n"/>
      <c r="FUO285" s="1132" t="n"/>
      <c r="FUP285" s="1132" t="n"/>
      <c r="FUQ285" s="1132" t="n"/>
      <c r="FUR285" s="1132" t="n"/>
      <c r="FUS285" s="1132" t="n"/>
      <c r="FUT285" s="1132" t="n"/>
      <c r="FUU285" s="1132" t="n"/>
      <c r="FUV285" s="1132" t="n"/>
      <c r="FUW285" s="1132" t="n"/>
      <c r="FUX285" s="1132" t="n"/>
      <c r="FUY285" s="1132" t="n"/>
      <c r="FUZ285" s="1132" t="n"/>
      <c r="FVA285" s="1132" t="n"/>
      <c r="FVB285" s="1132" t="n"/>
      <c r="FVC285" s="1132" t="n"/>
      <c r="FVD285" s="1132" t="n"/>
      <c r="FVE285" s="1132" t="n"/>
      <c r="FVF285" s="1132" t="n"/>
      <c r="FVG285" s="1132" t="n"/>
      <c r="FVH285" s="1132" t="n"/>
      <c r="FVI285" s="1132" t="n"/>
      <c r="FVJ285" s="1132" t="n"/>
      <c r="FVK285" s="1132" t="n"/>
      <c r="FVL285" s="1132" t="n"/>
      <c r="FVM285" s="1132" t="n"/>
      <c r="FVN285" s="1132" t="n"/>
      <c r="FVO285" s="1132" t="n"/>
      <c r="FVP285" s="1132" t="n"/>
      <c r="FVQ285" s="1132" t="n"/>
      <c r="FVR285" s="1132" t="n"/>
      <c r="FVS285" s="1132" t="n"/>
      <c r="FVT285" s="1132" t="n"/>
      <c r="FVU285" s="1132" t="n"/>
      <c r="FVV285" s="1132" t="n"/>
      <c r="FVW285" s="1132" t="n"/>
      <c r="FVX285" s="1132" t="n"/>
      <c r="FVY285" s="1132" t="n"/>
      <c r="FVZ285" s="1132" t="n"/>
      <c r="FWA285" s="1132" t="n"/>
      <c r="FWB285" s="1132" t="n"/>
      <c r="FWC285" s="1132" t="n"/>
      <c r="FWD285" s="1132" t="n"/>
      <c r="FWE285" s="1132" t="n"/>
      <c r="FWF285" s="1132" t="n"/>
      <c r="FWG285" s="1132" t="n"/>
      <c r="FWH285" s="1132" t="n"/>
      <c r="FWI285" s="1132" t="n"/>
      <c r="FWJ285" s="1132" t="n"/>
      <c r="FWK285" s="1132" t="n"/>
      <c r="FWL285" s="1132" t="n"/>
      <c r="FWM285" s="1132" t="n"/>
      <c r="FWN285" s="1132" t="n"/>
      <c r="FWO285" s="1132" t="n"/>
      <c r="FWP285" s="1132" t="n"/>
      <c r="FWQ285" s="1132" t="n"/>
      <c r="FWR285" s="1132" t="n"/>
      <c r="FWS285" s="1132" t="n"/>
      <c r="FWT285" s="1132" t="n"/>
      <c r="FWU285" s="1132" t="n"/>
      <c r="FWV285" s="1132" t="n"/>
      <c r="FWW285" s="1132" t="n"/>
      <c r="FWX285" s="1132" t="n"/>
      <c r="FWY285" s="1132" t="n"/>
      <c r="FWZ285" s="1132" t="n"/>
      <c r="FXA285" s="1132" t="n"/>
      <c r="FXB285" s="1132" t="n"/>
      <c r="FXC285" s="1132" t="n"/>
      <c r="FXD285" s="1132" t="n"/>
      <c r="FXE285" s="1132" t="n"/>
      <c r="FXF285" s="1132" t="n"/>
      <c r="FXG285" s="1132" t="n"/>
      <c r="FXH285" s="1132" t="n"/>
      <c r="FXI285" s="1132" t="n"/>
      <c r="FXJ285" s="1132" t="n"/>
      <c r="FXK285" s="1132" t="n"/>
      <c r="FXL285" s="1132" t="n"/>
      <c r="FXM285" s="1132" t="n"/>
      <c r="FXN285" s="1132" t="n"/>
      <c r="FXO285" s="1132" t="n"/>
      <c r="FXP285" s="1132" t="n"/>
      <c r="FXQ285" s="1132" t="n"/>
      <c r="FXR285" s="1132" t="n"/>
      <c r="FXS285" s="1132" t="n"/>
      <c r="FXT285" s="1132" t="n"/>
      <c r="FXU285" s="1132" t="n"/>
      <c r="FXV285" s="1132" t="n"/>
      <c r="FXW285" s="1132" t="n"/>
      <c r="FXX285" s="1132" t="n"/>
      <c r="FXY285" s="1132" t="n"/>
      <c r="FXZ285" s="1132" t="n"/>
      <c r="FYA285" s="1132" t="n"/>
      <c r="FYB285" s="1132" t="n"/>
      <c r="FYC285" s="1132" t="n"/>
      <c r="FYD285" s="1132" t="n"/>
      <c r="FYE285" s="1132" t="n"/>
      <c r="FYF285" s="1132" t="n"/>
      <c r="FYG285" s="1132" t="n"/>
      <c r="FYH285" s="1132" t="n"/>
      <c r="FYI285" s="1132" t="n"/>
      <c r="FYJ285" s="1132" t="n"/>
      <c r="FYK285" s="1132" t="n"/>
      <c r="FYL285" s="1132" t="n"/>
      <c r="FYM285" s="1132" t="n"/>
      <c r="FYN285" s="1132" t="n"/>
      <c r="FYO285" s="1132" t="n"/>
      <c r="FYP285" s="1132" t="n"/>
      <c r="FYQ285" s="1132" t="n"/>
      <c r="FYR285" s="1132" t="n"/>
      <c r="FYS285" s="1132" t="n"/>
      <c r="FYT285" s="1132" t="n"/>
      <c r="FYU285" s="1132" t="n"/>
      <c r="FYV285" s="1132" t="n"/>
      <c r="FYW285" s="1132" t="n"/>
      <c r="FYX285" s="1132" t="n"/>
      <c r="FYY285" s="1132" t="n"/>
      <c r="FYZ285" s="1132" t="n"/>
      <c r="FZA285" s="1132" t="n"/>
      <c r="FZB285" s="1132" t="n"/>
      <c r="FZC285" s="1132" t="n"/>
      <c r="FZD285" s="1132" t="n"/>
      <c r="FZE285" s="1132" t="n"/>
      <c r="FZF285" s="1132" t="n"/>
      <c r="FZG285" s="1132" t="n"/>
      <c r="FZH285" s="1132" t="n"/>
      <c r="FZI285" s="1132" t="n"/>
      <c r="FZJ285" s="1132" t="n"/>
      <c r="FZK285" s="1132" t="n"/>
      <c r="FZL285" s="1132" t="n"/>
      <c r="FZM285" s="1132" t="n"/>
      <c r="FZN285" s="1132" t="n"/>
      <c r="FZO285" s="1132" t="n"/>
      <c r="FZP285" s="1132" t="n"/>
      <c r="FZQ285" s="1132" t="n"/>
      <c r="FZR285" s="1132" t="n"/>
      <c r="FZS285" s="1132" t="n"/>
      <c r="FZT285" s="1132" t="n"/>
      <c r="FZU285" s="1132" t="n"/>
      <c r="FZV285" s="1132" t="n"/>
      <c r="FZW285" s="1132" t="n"/>
      <c r="FZX285" s="1132" t="n"/>
      <c r="FZY285" s="1132" t="n"/>
      <c r="FZZ285" s="1132" t="n"/>
      <c r="GAA285" s="1132" t="n"/>
      <c r="GAB285" s="1132" t="n"/>
      <c r="GAC285" s="1132" t="n"/>
      <c r="GAD285" s="1132" t="n"/>
      <c r="GAE285" s="1132" t="n"/>
      <c r="GAF285" s="1132" t="n"/>
      <c r="GAG285" s="1132" t="n"/>
      <c r="GAH285" s="1132" t="n"/>
      <c r="GAI285" s="1132" t="n"/>
      <c r="GAJ285" s="1132" t="n"/>
      <c r="GAK285" s="1132" t="n"/>
      <c r="GAL285" s="1132" t="n"/>
      <c r="GAM285" s="1132" t="n"/>
      <c r="GAN285" s="1132" t="n"/>
      <c r="GAO285" s="1132" t="n"/>
      <c r="GAP285" s="1132" t="n"/>
      <c r="GAQ285" s="1132" t="n"/>
      <c r="GAR285" s="1132" t="n"/>
      <c r="GAS285" s="1132" t="n"/>
      <c r="GAT285" s="1132" t="n"/>
      <c r="GAU285" s="1132" t="n"/>
      <c r="GAV285" s="1132" t="n"/>
      <c r="GAW285" s="1132" t="n"/>
      <c r="GAX285" s="1132" t="n"/>
      <c r="GAY285" s="1132" t="n"/>
      <c r="GAZ285" s="1132" t="n"/>
      <c r="GBA285" s="1132" t="n"/>
      <c r="GBB285" s="1132" t="n"/>
      <c r="GBC285" s="1132" t="n"/>
      <c r="GBD285" s="1132" t="n"/>
      <c r="GBE285" s="1132" t="n"/>
      <c r="GBF285" s="1132" t="n"/>
      <c r="GBG285" s="1132" t="n"/>
      <c r="GBH285" s="1132" t="n"/>
      <c r="GBI285" s="1132" t="n"/>
      <c r="GBJ285" s="1132" t="n"/>
      <c r="GBK285" s="1132" t="n"/>
      <c r="GBL285" s="1132" t="n"/>
      <c r="GBM285" s="1132" t="n"/>
      <c r="GBN285" s="1132" t="n"/>
      <c r="GBO285" s="1132" t="n"/>
      <c r="GBP285" s="1132" t="n"/>
      <c r="GBQ285" s="1132" t="n"/>
      <c r="GBR285" s="1132" t="n"/>
      <c r="GBS285" s="1132" t="n"/>
      <c r="GBT285" s="1132" t="n"/>
      <c r="GBU285" s="1132" t="n"/>
      <c r="GBV285" s="1132" t="n"/>
      <c r="GBW285" s="1132" t="n"/>
      <c r="GBX285" s="1132" t="n"/>
      <c r="GBY285" s="1132" t="n"/>
      <c r="GBZ285" s="1132" t="n"/>
      <c r="GCA285" s="1132" t="n"/>
      <c r="GCB285" s="1132" t="n"/>
      <c r="GCC285" s="1132" t="n"/>
      <c r="GCD285" s="1132" t="n"/>
      <c r="GCE285" s="1132" t="n"/>
      <c r="GCF285" s="1132" t="n"/>
      <c r="GCG285" s="1132" t="n"/>
      <c r="GCH285" s="1132" t="n"/>
      <c r="GCI285" s="1132" t="n"/>
      <c r="GCJ285" s="1132" t="n"/>
      <c r="GCK285" s="1132" t="n"/>
      <c r="GCL285" s="1132" t="n"/>
      <c r="GCM285" s="1132" t="n"/>
      <c r="GCN285" s="1132" t="n"/>
      <c r="GCO285" s="1132" t="n"/>
      <c r="GCP285" s="1132" t="n"/>
      <c r="GCQ285" s="1132" t="n"/>
      <c r="GCR285" s="1132" t="n"/>
      <c r="GCS285" s="1132" t="n"/>
      <c r="GCT285" s="1132" t="n"/>
      <c r="GCU285" s="1132" t="n"/>
      <c r="GCV285" s="1132" t="n"/>
      <c r="GCW285" s="1132" t="n"/>
      <c r="GCX285" s="1132" t="n"/>
      <c r="GCY285" s="1132" t="n"/>
      <c r="GCZ285" s="1132" t="n"/>
      <c r="GDA285" s="1132" t="n"/>
      <c r="GDB285" s="1132" t="n"/>
      <c r="GDC285" s="1132" t="n"/>
      <c r="GDD285" s="1132" t="n"/>
      <c r="GDE285" s="1132" t="n"/>
      <c r="GDF285" s="1132" t="n"/>
      <c r="GDG285" s="1132" t="n"/>
      <c r="GDH285" s="1132" t="n"/>
      <c r="GDI285" s="1132" t="n"/>
      <c r="GDJ285" s="1132" t="n"/>
      <c r="GDK285" s="1132" t="n"/>
      <c r="GDL285" s="1132" t="n"/>
      <c r="GDM285" s="1132" t="n"/>
      <c r="GDN285" s="1132" t="n"/>
      <c r="GDO285" s="1132" t="n"/>
      <c r="GDP285" s="1132" t="n"/>
      <c r="GDQ285" s="1132" t="n"/>
      <c r="GDR285" s="1132" t="n"/>
      <c r="GDS285" s="1132" t="n"/>
      <c r="GDT285" s="1132" t="n"/>
      <c r="GDU285" s="1132" t="n"/>
      <c r="GDV285" s="1132" t="n"/>
      <c r="GDW285" s="1132" t="n"/>
      <c r="GDX285" s="1132" t="n"/>
      <c r="GDY285" s="1132" t="n"/>
      <c r="GDZ285" s="1132" t="n"/>
      <c r="GEA285" s="1132" t="n"/>
      <c r="GEB285" s="1132" t="n"/>
      <c r="GEC285" s="1132" t="n"/>
      <c r="GED285" s="1132" t="n"/>
      <c r="GEE285" s="1132" t="n"/>
      <c r="GEF285" s="1132" t="n"/>
      <c r="GEG285" s="1132" t="n"/>
      <c r="GEH285" s="1132" t="n"/>
      <c r="GEI285" s="1132" t="n"/>
      <c r="GEJ285" s="1132" t="n"/>
      <c r="GEK285" s="1132" t="n"/>
      <c r="GEL285" s="1132" t="n"/>
      <c r="GEM285" s="1132" t="n"/>
      <c r="GEN285" s="1132" t="n"/>
      <c r="GEO285" s="1132" t="n"/>
      <c r="GEP285" s="1132" t="n"/>
      <c r="GEQ285" s="1132" t="n"/>
      <c r="GER285" s="1132" t="n"/>
      <c r="GES285" s="1132" t="n"/>
      <c r="GET285" s="1132" t="n"/>
      <c r="GEU285" s="1132" t="n"/>
      <c r="GEV285" s="1132" t="n"/>
      <c r="GEW285" s="1132" t="n"/>
      <c r="GEX285" s="1132" t="n"/>
      <c r="GEY285" s="1132" t="n"/>
      <c r="GEZ285" s="1132" t="n"/>
      <c r="GFA285" s="1132" t="n"/>
      <c r="GFB285" s="1132" t="n"/>
      <c r="GFC285" s="1132" t="n"/>
      <c r="GFD285" s="1132" t="n"/>
      <c r="GFE285" s="1132" t="n"/>
      <c r="GFF285" s="1132" t="n"/>
      <c r="GFG285" s="1132" t="n"/>
      <c r="GFH285" s="1132" t="n"/>
      <c r="GFI285" s="1132" t="n"/>
      <c r="GFJ285" s="1132" t="n"/>
      <c r="GFK285" s="1132" t="n"/>
      <c r="GFL285" s="1132" t="n"/>
      <c r="GFM285" s="1132" t="n"/>
      <c r="GFN285" s="1132" t="n"/>
      <c r="GFO285" s="1132" t="n"/>
      <c r="GFP285" s="1132" t="n"/>
      <c r="GFQ285" s="1132" t="n"/>
      <c r="GFR285" s="1132" t="n"/>
      <c r="GFS285" s="1132" t="n"/>
      <c r="GFT285" s="1132" t="n"/>
      <c r="GFU285" s="1132" t="n"/>
      <c r="GFV285" s="1132" t="n"/>
      <c r="GFW285" s="1132" t="n"/>
      <c r="GFX285" s="1132" t="n"/>
      <c r="GFY285" s="1132" t="n"/>
      <c r="GFZ285" s="1132" t="n"/>
      <c r="GGA285" s="1132" t="n"/>
      <c r="GGB285" s="1132" t="n"/>
      <c r="GGC285" s="1132" t="n"/>
      <c r="GGD285" s="1132" t="n"/>
      <c r="GGE285" s="1132" t="n"/>
      <c r="GGF285" s="1132" t="n"/>
      <c r="GGG285" s="1132" t="n"/>
      <c r="GGH285" s="1132" t="n"/>
      <c r="GGI285" s="1132" t="n"/>
      <c r="GGJ285" s="1132" t="n"/>
      <c r="GGK285" s="1132" t="n"/>
      <c r="GGL285" s="1132" t="n"/>
      <c r="GGM285" s="1132" t="n"/>
      <c r="GGN285" s="1132" t="n"/>
      <c r="GGO285" s="1132" t="n"/>
      <c r="GGP285" s="1132" t="n"/>
      <c r="GGQ285" s="1132" t="n"/>
      <c r="GGR285" s="1132" t="n"/>
      <c r="GGS285" s="1132" t="n"/>
      <c r="GGT285" s="1132" t="n"/>
      <c r="GGU285" s="1132" t="n"/>
      <c r="GGV285" s="1132" t="n"/>
      <c r="GGW285" s="1132" t="n"/>
      <c r="GGX285" s="1132" t="n"/>
      <c r="GGY285" s="1132" t="n"/>
      <c r="GGZ285" s="1132" t="n"/>
      <c r="GHA285" s="1132" t="n"/>
      <c r="GHB285" s="1132" t="n"/>
      <c r="GHC285" s="1132" t="n"/>
      <c r="GHD285" s="1132" t="n"/>
      <c r="GHE285" s="1132" t="n"/>
      <c r="GHF285" s="1132" t="n"/>
      <c r="GHG285" s="1132" t="n"/>
      <c r="GHH285" s="1132" t="n"/>
      <c r="GHI285" s="1132" t="n"/>
      <c r="GHJ285" s="1132" t="n"/>
      <c r="GHK285" s="1132" t="n"/>
      <c r="GHL285" s="1132" t="n"/>
      <c r="GHM285" s="1132" t="n"/>
      <c r="GHN285" s="1132" t="n"/>
      <c r="GHO285" s="1132" t="n"/>
      <c r="GHP285" s="1132" t="n"/>
      <c r="GHQ285" s="1132" t="n"/>
      <c r="GHR285" s="1132" t="n"/>
      <c r="GHS285" s="1132" t="n"/>
      <c r="GHT285" s="1132" t="n"/>
      <c r="GHU285" s="1132" t="n"/>
      <c r="GHV285" s="1132" t="n"/>
      <c r="GHW285" s="1132" t="n"/>
      <c r="GHX285" s="1132" t="n"/>
      <c r="GHY285" s="1132" t="n"/>
      <c r="GHZ285" s="1132" t="n"/>
      <c r="GIA285" s="1132" t="n"/>
      <c r="GIB285" s="1132" t="n"/>
      <c r="GIC285" s="1132" t="n"/>
      <c r="GID285" s="1132" t="n"/>
      <c r="GIE285" s="1132" t="n"/>
      <c r="GIF285" s="1132" t="n"/>
      <c r="GIG285" s="1132" t="n"/>
      <c r="GIH285" s="1132" t="n"/>
      <c r="GII285" s="1132" t="n"/>
      <c r="GIJ285" s="1132" t="n"/>
      <c r="GIK285" s="1132" t="n"/>
      <c r="GIL285" s="1132" t="n"/>
      <c r="GIM285" s="1132" t="n"/>
      <c r="GIN285" s="1132" t="n"/>
      <c r="GIO285" s="1132" t="n"/>
      <c r="GIP285" s="1132" t="n"/>
      <c r="GIQ285" s="1132" t="n"/>
      <c r="GIR285" s="1132" t="n"/>
      <c r="GIS285" s="1132" t="n"/>
      <c r="GIT285" s="1132" t="n"/>
      <c r="GIU285" s="1132" t="n"/>
      <c r="GIV285" s="1132" t="n"/>
      <c r="GIW285" s="1132" t="n"/>
      <c r="GIX285" s="1132" t="n"/>
      <c r="GIY285" s="1132" t="n"/>
      <c r="GIZ285" s="1132" t="n"/>
      <c r="GJA285" s="1132" t="n"/>
      <c r="GJB285" s="1132" t="n"/>
      <c r="GJC285" s="1132" t="n"/>
      <c r="GJD285" s="1132" t="n"/>
      <c r="GJE285" s="1132" t="n"/>
      <c r="GJF285" s="1132" t="n"/>
      <c r="GJG285" s="1132" t="n"/>
      <c r="GJH285" s="1132" t="n"/>
      <c r="GJI285" s="1132" t="n"/>
      <c r="GJJ285" s="1132" t="n"/>
      <c r="GJK285" s="1132" t="n"/>
      <c r="GJL285" s="1132" t="n"/>
      <c r="GJM285" s="1132" t="n"/>
      <c r="GJN285" s="1132" t="n"/>
      <c r="GJO285" s="1132" t="n"/>
      <c r="GJP285" s="1132" t="n"/>
      <c r="GJQ285" s="1132" t="n"/>
      <c r="GJR285" s="1132" t="n"/>
      <c r="GJS285" s="1132" t="n"/>
      <c r="GJT285" s="1132" t="n"/>
      <c r="GJU285" s="1132" t="n"/>
      <c r="GJV285" s="1132" t="n"/>
      <c r="GJW285" s="1132" t="n"/>
      <c r="GJX285" s="1132" t="n"/>
      <c r="GJY285" s="1132" t="n"/>
      <c r="GJZ285" s="1132" t="n"/>
      <c r="GKA285" s="1132" t="n"/>
      <c r="GKB285" s="1132" t="n"/>
      <c r="GKC285" s="1132" t="n"/>
      <c r="GKD285" s="1132" t="n"/>
      <c r="GKE285" s="1132" t="n"/>
      <c r="GKF285" s="1132" t="n"/>
      <c r="GKG285" s="1132" t="n"/>
      <c r="GKH285" s="1132" t="n"/>
      <c r="GKI285" s="1132" t="n"/>
      <c r="GKJ285" s="1132" t="n"/>
      <c r="GKK285" s="1132" t="n"/>
      <c r="GKL285" s="1132" t="n"/>
      <c r="GKM285" s="1132" t="n"/>
      <c r="GKN285" s="1132" t="n"/>
      <c r="GKO285" s="1132" t="n"/>
      <c r="GKP285" s="1132" t="n"/>
      <c r="GKQ285" s="1132" t="n"/>
      <c r="GKR285" s="1132" t="n"/>
      <c r="GKS285" s="1132" t="n"/>
      <c r="GKT285" s="1132" t="n"/>
      <c r="GKU285" s="1132" t="n"/>
      <c r="GKV285" s="1132" t="n"/>
      <c r="GKW285" s="1132" t="n"/>
      <c r="GKX285" s="1132" t="n"/>
      <c r="GKY285" s="1132" t="n"/>
      <c r="GKZ285" s="1132" t="n"/>
      <c r="GLA285" s="1132" t="n"/>
      <c r="GLB285" s="1132" t="n"/>
      <c r="GLC285" s="1132" t="n"/>
      <c r="GLD285" s="1132" t="n"/>
      <c r="GLE285" s="1132" t="n"/>
      <c r="GLF285" s="1132" t="n"/>
      <c r="GLG285" s="1132" t="n"/>
      <c r="GLH285" s="1132" t="n"/>
      <c r="GLI285" s="1132" t="n"/>
      <c r="GLJ285" s="1132" t="n"/>
      <c r="GLK285" s="1132" t="n"/>
      <c r="GLL285" s="1132" t="n"/>
      <c r="GLM285" s="1132" t="n"/>
      <c r="GLN285" s="1132" t="n"/>
      <c r="GLO285" s="1132" t="n"/>
      <c r="GLP285" s="1132" t="n"/>
      <c r="GLQ285" s="1132" t="n"/>
      <c r="GLR285" s="1132" t="n"/>
      <c r="GLS285" s="1132" t="n"/>
      <c r="GLT285" s="1132" t="n"/>
      <c r="GLU285" s="1132" t="n"/>
      <c r="GLV285" s="1132" t="n"/>
      <c r="GLW285" s="1132" t="n"/>
      <c r="GLX285" s="1132" t="n"/>
      <c r="GLY285" s="1132" t="n"/>
      <c r="GLZ285" s="1132" t="n"/>
      <c r="GMA285" s="1132" t="n"/>
      <c r="GMB285" s="1132" t="n"/>
      <c r="GMC285" s="1132" t="n"/>
      <c r="GMD285" s="1132" t="n"/>
      <c r="GME285" s="1132" t="n"/>
      <c r="GMF285" s="1132" t="n"/>
      <c r="GMG285" s="1132" t="n"/>
      <c r="GMH285" s="1132" t="n"/>
      <c r="GMI285" s="1132" t="n"/>
      <c r="GMJ285" s="1132" t="n"/>
      <c r="GMK285" s="1132" t="n"/>
      <c r="GML285" s="1132" t="n"/>
      <c r="GMM285" s="1132" t="n"/>
      <c r="GMN285" s="1132" t="n"/>
      <c r="GMO285" s="1132" t="n"/>
      <c r="GMP285" s="1132" t="n"/>
      <c r="GMQ285" s="1132" t="n"/>
      <c r="GMR285" s="1132" t="n"/>
      <c r="GMS285" s="1132" t="n"/>
      <c r="GMT285" s="1132" t="n"/>
      <c r="GMU285" s="1132" t="n"/>
      <c r="GMV285" s="1132" t="n"/>
      <c r="GMW285" s="1132" t="n"/>
      <c r="GMX285" s="1132" t="n"/>
      <c r="GMY285" s="1132" t="n"/>
      <c r="GMZ285" s="1132" t="n"/>
      <c r="GNA285" s="1132" t="n"/>
      <c r="GNB285" s="1132" t="n"/>
      <c r="GNC285" s="1132" t="n"/>
      <c r="GND285" s="1132" t="n"/>
      <c r="GNE285" s="1132" t="n"/>
      <c r="GNF285" s="1132" t="n"/>
      <c r="GNG285" s="1132" t="n"/>
      <c r="GNH285" s="1132" t="n"/>
      <c r="GNI285" s="1132" t="n"/>
      <c r="GNJ285" s="1132" t="n"/>
      <c r="GNK285" s="1132" t="n"/>
      <c r="GNL285" s="1132" t="n"/>
      <c r="GNM285" s="1132" t="n"/>
      <c r="GNN285" s="1132" t="n"/>
      <c r="GNO285" s="1132" t="n"/>
      <c r="GNP285" s="1132" t="n"/>
      <c r="GNQ285" s="1132" t="n"/>
      <c r="GNR285" s="1132" t="n"/>
      <c r="GNS285" s="1132" t="n"/>
      <c r="GNT285" s="1132" t="n"/>
      <c r="GNU285" s="1132" t="n"/>
      <c r="GNV285" s="1132" t="n"/>
      <c r="GNW285" s="1132" t="n"/>
      <c r="GNX285" s="1132" t="n"/>
      <c r="GNY285" s="1132" t="n"/>
      <c r="GNZ285" s="1132" t="n"/>
      <c r="GOA285" s="1132" t="n"/>
      <c r="GOB285" s="1132" t="n"/>
      <c r="GOC285" s="1132" t="n"/>
      <c r="GOD285" s="1132" t="n"/>
      <c r="GOE285" s="1132" t="n"/>
      <c r="GOF285" s="1132" t="n"/>
      <c r="GOG285" s="1132" t="n"/>
      <c r="GOH285" s="1132" t="n"/>
      <c r="GOI285" s="1132" t="n"/>
      <c r="GOJ285" s="1132" t="n"/>
      <c r="GOK285" s="1132" t="n"/>
      <c r="GOL285" s="1132" t="n"/>
      <c r="GOM285" s="1132" t="n"/>
      <c r="GON285" s="1132" t="n"/>
      <c r="GOO285" s="1132" t="n"/>
      <c r="GOP285" s="1132" t="n"/>
      <c r="GOQ285" s="1132" t="n"/>
      <c r="GOR285" s="1132" t="n"/>
      <c r="GOS285" s="1132" t="n"/>
      <c r="GOT285" s="1132" t="n"/>
      <c r="GOU285" s="1132" t="n"/>
      <c r="GOV285" s="1132" t="n"/>
      <c r="GOW285" s="1132" t="n"/>
      <c r="GOX285" s="1132" t="n"/>
      <c r="GOY285" s="1132" t="n"/>
      <c r="GOZ285" s="1132" t="n"/>
      <c r="GPA285" s="1132" t="n"/>
      <c r="GPB285" s="1132" t="n"/>
      <c r="GPC285" s="1132" t="n"/>
      <c r="GPD285" s="1132" t="n"/>
      <c r="GPE285" s="1132" t="n"/>
      <c r="GPF285" s="1132" t="n"/>
      <c r="GPG285" s="1132" t="n"/>
      <c r="GPH285" s="1132" t="n"/>
      <c r="GPI285" s="1132" t="n"/>
      <c r="GPJ285" s="1132" t="n"/>
      <c r="GPK285" s="1132" t="n"/>
      <c r="GPL285" s="1132" t="n"/>
      <c r="GPM285" s="1132" t="n"/>
      <c r="GPN285" s="1132" t="n"/>
      <c r="GPO285" s="1132" t="n"/>
      <c r="GPP285" s="1132" t="n"/>
      <c r="GPQ285" s="1132" t="n"/>
      <c r="GPR285" s="1132" t="n"/>
      <c r="GPS285" s="1132" t="n"/>
      <c r="GPT285" s="1132" t="n"/>
      <c r="GPU285" s="1132" t="n"/>
      <c r="GPV285" s="1132" t="n"/>
      <c r="GPW285" s="1132" t="n"/>
      <c r="GPX285" s="1132" t="n"/>
      <c r="GPY285" s="1132" t="n"/>
      <c r="GPZ285" s="1132" t="n"/>
      <c r="GQA285" s="1132" t="n"/>
      <c r="GQB285" s="1132" t="n"/>
      <c r="GQC285" s="1132" t="n"/>
      <c r="GQD285" s="1132" t="n"/>
      <c r="GQE285" s="1132" t="n"/>
      <c r="GQF285" s="1132" t="n"/>
      <c r="GQG285" s="1132" t="n"/>
      <c r="GQH285" s="1132" t="n"/>
      <c r="GQI285" s="1132" t="n"/>
      <c r="GQJ285" s="1132" t="n"/>
      <c r="GQK285" s="1132" t="n"/>
      <c r="GQL285" s="1132" t="n"/>
      <c r="GQM285" s="1132" t="n"/>
      <c r="GQN285" s="1132" t="n"/>
      <c r="GQO285" s="1132" t="n"/>
      <c r="GQP285" s="1132" t="n"/>
      <c r="GQQ285" s="1132" t="n"/>
      <c r="GQR285" s="1132" t="n"/>
      <c r="GQS285" s="1132" t="n"/>
      <c r="GQT285" s="1132" t="n"/>
      <c r="GQU285" s="1132" t="n"/>
      <c r="GQV285" s="1132" t="n"/>
      <c r="GQW285" s="1132" t="n"/>
      <c r="GQX285" s="1132" t="n"/>
      <c r="GQY285" s="1132" t="n"/>
      <c r="GQZ285" s="1132" t="n"/>
      <c r="GRA285" s="1132" t="n"/>
      <c r="GRB285" s="1132" t="n"/>
      <c r="GRC285" s="1132" t="n"/>
      <c r="GRD285" s="1132" t="n"/>
      <c r="GRE285" s="1132" t="n"/>
      <c r="GRF285" s="1132" t="n"/>
      <c r="GRG285" s="1132" t="n"/>
      <c r="GRH285" s="1132" t="n"/>
      <c r="GRI285" s="1132" t="n"/>
      <c r="GRJ285" s="1132" t="n"/>
      <c r="GRK285" s="1132" t="n"/>
      <c r="GRL285" s="1132" t="n"/>
      <c r="GRM285" s="1132" t="n"/>
      <c r="GRN285" s="1132" t="n"/>
      <c r="GRO285" s="1132" t="n"/>
      <c r="GRP285" s="1132" t="n"/>
      <c r="GRQ285" s="1132" t="n"/>
      <c r="GRR285" s="1132" t="n"/>
      <c r="GRS285" s="1132" t="n"/>
      <c r="GRT285" s="1132" t="n"/>
      <c r="GRU285" s="1132" t="n"/>
      <c r="GRV285" s="1132" t="n"/>
      <c r="GRW285" s="1132" t="n"/>
      <c r="GRX285" s="1132" t="n"/>
      <c r="GRY285" s="1132" t="n"/>
      <c r="GRZ285" s="1132" t="n"/>
      <c r="GSA285" s="1132" t="n"/>
      <c r="GSB285" s="1132" t="n"/>
      <c r="GSC285" s="1132" t="n"/>
      <c r="GSD285" s="1132" t="n"/>
      <c r="GSE285" s="1132" t="n"/>
      <c r="GSF285" s="1132" t="n"/>
      <c r="GSG285" s="1132" t="n"/>
      <c r="GSH285" s="1132" t="n"/>
      <c r="GSI285" s="1132" t="n"/>
      <c r="GSJ285" s="1132" t="n"/>
      <c r="GSK285" s="1132" t="n"/>
      <c r="GSL285" s="1132" t="n"/>
      <c r="GSM285" s="1132" t="n"/>
      <c r="GSN285" s="1132" t="n"/>
      <c r="GSO285" s="1132" t="n"/>
      <c r="GSP285" s="1132" t="n"/>
      <c r="GSQ285" s="1132" t="n"/>
      <c r="GSR285" s="1132" t="n"/>
      <c r="GSS285" s="1132" t="n"/>
      <c r="GST285" s="1132" t="n"/>
      <c r="GSU285" s="1132" t="n"/>
      <c r="GSV285" s="1132" t="n"/>
      <c r="GSW285" s="1132" t="n"/>
      <c r="GSX285" s="1132" t="n"/>
      <c r="GSY285" s="1132" t="n"/>
      <c r="GSZ285" s="1132" t="n"/>
      <c r="GTA285" s="1132" t="n"/>
      <c r="GTB285" s="1132" t="n"/>
      <c r="GTC285" s="1132" t="n"/>
      <c r="GTD285" s="1132" t="n"/>
      <c r="GTE285" s="1132" t="n"/>
      <c r="GTF285" s="1132" t="n"/>
      <c r="GTG285" s="1132" t="n"/>
      <c r="GTH285" s="1132" t="n"/>
      <c r="GTI285" s="1132" t="n"/>
      <c r="GTJ285" s="1132" t="n"/>
      <c r="GTK285" s="1132" t="n"/>
      <c r="GTL285" s="1132" t="n"/>
      <c r="GTM285" s="1132" t="n"/>
      <c r="GTN285" s="1132" t="n"/>
      <c r="GTO285" s="1132" t="n"/>
      <c r="GTP285" s="1132" t="n"/>
      <c r="GTQ285" s="1132" t="n"/>
      <c r="GTR285" s="1132" t="n"/>
      <c r="GTS285" s="1132" t="n"/>
      <c r="GTT285" s="1132" t="n"/>
      <c r="GTU285" s="1132" t="n"/>
      <c r="GTV285" s="1132" t="n"/>
      <c r="GTW285" s="1132" t="n"/>
      <c r="GTX285" s="1132" t="n"/>
      <c r="GTY285" s="1132" t="n"/>
      <c r="GTZ285" s="1132" t="n"/>
      <c r="GUA285" s="1132" t="n"/>
      <c r="GUB285" s="1132" t="n"/>
      <c r="GUC285" s="1132" t="n"/>
      <c r="GUD285" s="1132" t="n"/>
      <c r="GUE285" s="1132" t="n"/>
      <c r="GUF285" s="1132" t="n"/>
      <c r="GUG285" s="1132" t="n"/>
      <c r="GUH285" s="1132" t="n"/>
      <c r="GUI285" s="1132" t="n"/>
      <c r="GUJ285" s="1132" t="n"/>
      <c r="GUK285" s="1132" t="n"/>
      <c r="GUL285" s="1132" t="n"/>
      <c r="GUM285" s="1132" t="n"/>
      <c r="GUN285" s="1132" t="n"/>
      <c r="GUO285" s="1132" t="n"/>
      <c r="GUP285" s="1132" t="n"/>
      <c r="GUQ285" s="1132" t="n"/>
      <c r="GUR285" s="1132" t="n"/>
      <c r="GUS285" s="1132" t="n"/>
      <c r="GUT285" s="1132" t="n"/>
      <c r="GUU285" s="1132" t="n"/>
      <c r="GUV285" s="1132" t="n"/>
      <c r="GUW285" s="1132" t="n"/>
      <c r="GUX285" s="1132" t="n"/>
      <c r="GUY285" s="1132" t="n"/>
      <c r="GUZ285" s="1132" t="n"/>
      <c r="GVA285" s="1132" t="n"/>
      <c r="GVB285" s="1132" t="n"/>
      <c r="GVC285" s="1132" t="n"/>
      <c r="GVD285" s="1132" t="n"/>
      <c r="GVE285" s="1132" t="n"/>
      <c r="GVF285" s="1132" t="n"/>
      <c r="GVG285" s="1132" t="n"/>
      <c r="GVH285" s="1132" t="n"/>
      <c r="GVI285" s="1132" t="n"/>
      <c r="GVJ285" s="1132" t="n"/>
      <c r="GVK285" s="1132" t="n"/>
      <c r="GVL285" s="1132" t="n"/>
      <c r="GVM285" s="1132" t="n"/>
      <c r="GVN285" s="1132" t="n"/>
      <c r="GVO285" s="1132" t="n"/>
      <c r="GVP285" s="1132" t="n"/>
      <c r="GVQ285" s="1132" t="n"/>
      <c r="GVR285" s="1132" t="n"/>
      <c r="GVS285" s="1132" t="n"/>
      <c r="GVT285" s="1132" t="n"/>
      <c r="GVU285" s="1132" t="n"/>
      <c r="GVV285" s="1132" t="n"/>
      <c r="GVW285" s="1132" t="n"/>
      <c r="GVX285" s="1132" t="n"/>
      <c r="GVY285" s="1132" t="n"/>
      <c r="GVZ285" s="1132" t="n"/>
      <c r="GWA285" s="1132" t="n"/>
      <c r="GWB285" s="1132" t="n"/>
      <c r="GWC285" s="1132" t="n"/>
      <c r="GWD285" s="1132" t="n"/>
      <c r="GWE285" s="1132" t="n"/>
      <c r="GWF285" s="1132" t="n"/>
      <c r="GWG285" s="1132" t="n"/>
      <c r="GWH285" s="1132" t="n"/>
      <c r="GWI285" s="1132" t="n"/>
      <c r="GWJ285" s="1132" t="n"/>
      <c r="GWK285" s="1132" t="n"/>
      <c r="GWL285" s="1132" t="n"/>
      <c r="GWM285" s="1132" t="n"/>
      <c r="GWN285" s="1132" t="n"/>
      <c r="GWO285" s="1132" t="n"/>
      <c r="GWP285" s="1132" t="n"/>
      <c r="GWQ285" s="1132" t="n"/>
      <c r="GWR285" s="1132" t="n"/>
      <c r="GWS285" s="1132" t="n"/>
      <c r="GWT285" s="1132" t="n"/>
      <c r="GWU285" s="1132" t="n"/>
      <c r="GWV285" s="1132" t="n"/>
      <c r="GWW285" s="1132" t="n"/>
      <c r="GWX285" s="1132" t="n"/>
      <c r="GWY285" s="1132" t="n"/>
      <c r="GWZ285" s="1132" t="n"/>
      <c r="GXA285" s="1132" t="n"/>
      <c r="GXB285" s="1132" t="n"/>
      <c r="GXC285" s="1132" t="n"/>
      <c r="GXD285" s="1132" t="n"/>
      <c r="GXE285" s="1132" t="n"/>
      <c r="GXF285" s="1132" t="n"/>
      <c r="GXG285" s="1132" t="n"/>
      <c r="GXH285" s="1132" t="n"/>
      <c r="GXI285" s="1132" t="n"/>
      <c r="GXJ285" s="1132" t="n"/>
      <c r="GXK285" s="1132" t="n"/>
      <c r="GXL285" s="1132" t="n"/>
      <c r="GXM285" s="1132" t="n"/>
      <c r="GXN285" s="1132" t="n"/>
      <c r="GXO285" s="1132" t="n"/>
      <c r="GXP285" s="1132" t="n"/>
      <c r="GXQ285" s="1132" t="n"/>
      <c r="GXR285" s="1132" t="n"/>
      <c r="GXS285" s="1132" t="n"/>
      <c r="GXT285" s="1132" t="n"/>
      <c r="GXU285" s="1132" t="n"/>
      <c r="GXV285" s="1132" t="n"/>
      <c r="GXW285" s="1132" t="n"/>
      <c r="GXX285" s="1132" t="n"/>
      <c r="GXY285" s="1132" t="n"/>
      <c r="GXZ285" s="1132" t="n"/>
      <c r="GYA285" s="1132" t="n"/>
      <c r="GYB285" s="1132" t="n"/>
      <c r="GYC285" s="1132" t="n"/>
      <c r="GYD285" s="1132" t="n"/>
      <c r="GYE285" s="1132" t="n"/>
      <c r="GYF285" s="1132" t="n"/>
      <c r="GYG285" s="1132" t="n"/>
      <c r="GYH285" s="1132" t="n"/>
      <c r="GYI285" s="1132" t="n"/>
      <c r="GYJ285" s="1132" t="n"/>
      <c r="GYK285" s="1132" t="n"/>
      <c r="GYL285" s="1132" t="n"/>
      <c r="GYM285" s="1132" t="n"/>
      <c r="GYN285" s="1132" t="n"/>
      <c r="GYO285" s="1132" t="n"/>
      <c r="GYP285" s="1132" t="n"/>
      <c r="GYQ285" s="1132" t="n"/>
      <c r="GYR285" s="1132" t="n"/>
      <c r="GYS285" s="1132" t="n"/>
      <c r="GYT285" s="1132" t="n"/>
      <c r="GYU285" s="1132" t="n"/>
      <c r="GYV285" s="1132" t="n"/>
      <c r="GYW285" s="1132" t="n"/>
      <c r="GYX285" s="1132" t="n"/>
      <c r="GYY285" s="1132" t="n"/>
      <c r="GYZ285" s="1132" t="n"/>
      <c r="GZA285" s="1132" t="n"/>
      <c r="GZB285" s="1132" t="n"/>
      <c r="GZC285" s="1132" t="n"/>
      <c r="GZD285" s="1132" t="n"/>
      <c r="GZE285" s="1132" t="n"/>
      <c r="GZF285" s="1132" t="n"/>
      <c r="GZG285" s="1132" t="n"/>
      <c r="GZH285" s="1132" t="n"/>
      <c r="GZI285" s="1132" t="n"/>
      <c r="GZJ285" s="1132" t="n"/>
      <c r="GZK285" s="1132" t="n"/>
      <c r="GZL285" s="1132" t="n"/>
      <c r="GZM285" s="1132" t="n"/>
      <c r="GZN285" s="1132" t="n"/>
      <c r="GZO285" s="1132" t="n"/>
      <c r="GZP285" s="1132" t="n"/>
      <c r="GZQ285" s="1132" t="n"/>
      <c r="GZR285" s="1132" t="n"/>
      <c r="GZS285" s="1132" t="n"/>
      <c r="GZT285" s="1132" t="n"/>
      <c r="GZU285" s="1132" t="n"/>
      <c r="GZV285" s="1132" t="n"/>
      <c r="GZW285" s="1132" t="n"/>
      <c r="GZX285" s="1132" t="n"/>
      <c r="GZY285" s="1132" t="n"/>
      <c r="GZZ285" s="1132" t="n"/>
      <c r="HAA285" s="1132" t="n"/>
      <c r="HAB285" s="1132" t="n"/>
      <c r="HAC285" s="1132" t="n"/>
      <c r="HAD285" s="1132" t="n"/>
      <c r="HAE285" s="1132" t="n"/>
      <c r="HAF285" s="1132" t="n"/>
      <c r="HAG285" s="1132" t="n"/>
      <c r="HAH285" s="1132" t="n"/>
      <c r="HAI285" s="1132" t="n"/>
      <c r="HAJ285" s="1132" t="n"/>
      <c r="HAK285" s="1132" t="n"/>
      <c r="HAL285" s="1132" t="n"/>
      <c r="HAM285" s="1132" t="n"/>
      <c r="HAN285" s="1132" t="n"/>
      <c r="HAO285" s="1132" t="n"/>
      <c r="HAP285" s="1132" t="n"/>
      <c r="HAQ285" s="1132" t="n"/>
      <c r="HAR285" s="1132" t="n"/>
      <c r="HAS285" s="1132" t="n"/>
      <c r="HAT285" s="1132" t="n"/>
      <c r="HAU285" s="1132" t="n"/>
      <c r="HAV285" s="1132" t="n"/>
      <c r="HAW285" s="1132" t="n"/>
      <c r="HAX285" s="1132" t="n"/>
      <c r="HAY285" s="1132" t="n"/>
      <c r="HAZ285" s="1132" t="n"/>
      <c r="HBA285" s="1132" t="n"/>
      <c r="HBB285" s="1132" t="n"/>
      <c r="HBC285" s="1132" t="n"/>
      <c r="HBD285" s="1132" t="n"/>
      <c r="HBE285" s="1132" t="n"/>
      <c r="HBF285" s="1132" t="n"/>
      <c r="HBG285" s="1132" t="n"/>
      <c r="HBH285" s="1132" t="n"/>
      <c r="HBI285" s="1132" t="n"/>
      <c r="HBJ285" s="1132" t="n"/>
      <c r="HBK285" s="1132" t="n"/>
      <c r="HBL285" s="1132" t="n"/>
      <c r="HBM285" s="1132" t="n"/>
      <c r="HBN285" s="1132" t="n"/>
      <c r="HBO285" s="1132" t="n"/>
      <c r="HBP285" s="1132" t="n"/>
      <c r="HBQ285" s="1132" t="n"/>
      <c r="HBR285" s="1132" t="n"/>
      <c r="HBS285" s="1132" t="n"/>
      <c r="HBT285" s="1132" t="n"/>
      <c r="HBU285" s="1132" t="n"/>
      <c r="HBV285" s="1132" t="n"/>
      <c r="HBW285" s="1132" t="n"/>
      <c r="HBX285" s="1132" t="n"/>
      <c r="HBY285" s="1132" t="n"/>
      <c r="HBZ285" s="1132" t="n"/>
      <c r="HCA285" s="1132" t="n"/>
      <c r="HCB285" s="1132" t="n"/>
      <c r="HCC285" s="1132" t="n"/>
      <c r="HCD285" s="1132" t="n"/>
      <c r="HCE285" s="1132" t="n"/>
      <c r="HCF285" s="1132" t="n"/>
      <c r="HCG285" s="1132" t="n"/>
      <c r="HCH285" s="1132" t="n"/>
      <c r="HCI285" s="1132" t="n"/>
      <c r="HCJ285" s="1132" t="n"/>
      <c r="HCK285" s="1132" t="n"/>
      <c r="HCL285" s="1132" t="n"/>
      <c r="HCM285" s="1132" t="n"/>
      <c r="HCN285" s="1132" t="n"/>
      <c r="HCO285" s="1132" t="n"/>
      <c r="HCP285" s="1132" t="n"/>
      <c r="HCQ285" s="1132" t="n"/>
      <c r="HCR285" s="1132" t="n"/>
      <c r="HCS285" s="1132" t="n"/>
      <c r="HCT285" s="1132" t="n"/>
      <c r="HCU285" s="1132" t="n"/>
      <c r="HCV285" s="1132" t="n"/>
      <c r="HCW285" s="1132" t="n"/>
      <c r="HCX285" s="1132" t="n"/>
      <c r="HCY285" s="1132" t="n"/>
      <c r="HCZ285" s="1132" t="n"/>
      <c r="HDA285" s="1132" t="n"/>
      <c r="HDB285" s="1132" t="n"/>
      <c r="HDC285" s="1132" t="n"/>
      <c r="HDD285" s="1132" t="n"/>
      <c r="HDE285" s="1132" t="n"/>
      <c r="HDF285" s="1132" t="n"/>
      <c r="HDG285" s="1132" t="n"/>
      <c r="HDH285" s="1132" t="n"/>
      <c r="HDI285" s="1132" t="n"/>
      <c r="HDJ285" s="1132" t="n"/>
      <c r="HDK285" s="1132" t="n"/>
      <c r="HDL285" s="1132" t="n"/>
      <c r="HDM285" s="1132" t="n"/>
      <c r="HDN285" s="1132" t="n"/>
      <c r="HDO285" s="1132" t="n"/>
      <c r="HDP285" s="1132" t="n"/>
      <c r="HDQ285" s="1132" t="n"/>
      <c r="HDR285" s="1132" t="n"/>
      <c r="HDS285" s="1132" t="n"/>
      <c r="HDT285" s="1132" t="n"/>
      <c r="HDU285" s="1132" t="n"/>
      <c r="HDV285" s="1132" t="n"/>
      <c r="HDW285" s="1132" t="n"/>
      <c r="HDX285" s="1132" t="n"/>
      <c r="HDY285" s="1132" t="n"/>
      <c r="HDZ285" s="1132" t="n"/>
      <c r="HEA285" s="1132" t="n"/>
      <c r="HEB285" s="1132" t="n"/>
      <c r="HEC285" s="1132" t="n"/>
      <c r="HED285" s="1132" t="n"/>
      <c r="HEE285" s="1132" t="n"/>
      <c r="HEF285" s="1132" t="n"/>
      <c r="HEG285" s="1132" t="n"/>
      <c r="HEH285" s="1132" t="n"/>
      <c r="HEI285" s="1132" t="n"/>
      <c r="HEJ285" s="1132" t="n"/>
      <c r="HEK285" s="1132" t="n"/>
      <c r="HEL285" s="1132" t="n"/>
      <c r="HEM285" s="1132" t="n"/>
      <c r="HEN285" s="1132" t="n"/>
      <c r="HEO285" s="1132" t="n"/>
      <c r="HEP285" s="1132" t="n"/>
      <c r="HEQ285" s="1132" t="n"/>
      <c r="HER285" s="1132" t="n"/>
      <c r="HES285" s="1132" t="n"/>
      <c r="HET285" s="1132" t="n"/>
      <c r="HEU285" s="1132" t="n"/>
      <c r="HEV285" s="1132" t="n"/>
      <c r="HEW285" s="1132" t="n"/>
      <c r="HEX285" s="1132" t="n"/>
      <c r="HEY285" s="1132" t="n"/>
      <c r="HEZ285" s="1132" t="n"/>
      <c r="HFA285" s="1132" t="n"/>
      <c r="HFB285" s="1132" t="n"/>
      <c r="HFC285" s="1132" t="n"/>
      <c r="HFD285" s="1132" t="n"/>
      <c r="HFE285" s="1132" t="n"/>
      <c r="HFF285" s="1132" t="n"/>
      <c r="HFG285" s="1132" t="n"/>
      <c r="HFH285" s="1132" t="n"/>
      <c r="HFI285" s="1132" t="n"/>
      <c r="HFJ285" s="1132" t="n"/>
      <c r="HFK285" s="1132" t="n"/>
      <c r="HFL285" s="1132" t="n"/>
      <c r="HFM285" s="1132" t="n"/>
      <c r="HFN285" s="1132" t="n"/>
      <c r="HFO285" s="1132" t="n"/>
      <c r="HFP285" s="1132" t="n"/>
      <c r="HFQ285" s="1132" t="n"/>
      <c r="HFR285" s="1132" t="n"/>
      <c r="HFS285" s="1132" t="n"/>
      <c r="HFT285" s="1132" t="n"/>
      <c r="HFU285" s="1132" t="n"/>
      <c r="HFV285" s="1132" t="n"/>
      <c r="HFW285" s="1132" t="n"/>
      <c r="HFX285" s="1132" t="n"/>
      <c r="HFY285" s="1132" t="n"/>
      <c r="HFZ285" s="1132" t="n"/>
      <c r="HGA285" s="1132" t="n"/>
      <c r="HGB285" s="1132" t="n"/>
      <c r="HGC285" s="1132" t="n"/>
      <c r="HGD285" s="1132" t="n"/>
      <c r="HGE285" s="1132" t="n"/>
      <c r="HGF285" s="1132" t="n"/>
      <c r="HGG285" s="1132" t="n"/>
      <c r="HGH285" s="1132" t="n"/>
      <c r="HGI285" s="1132" t="n"/>
      <c r="HGJ285" s="1132" t="n"/>
      <c r="HGK285" s="1132" t="n"/>
      <c r="HGL285" s="1132" t="n"/>
      <c r="HGM285" s="1132" t="n"/>
      <c r="HGN285" s="1132" t="n"/>
      <c r="HGO285" s="1132" t="n"/>
      <c r="HGP285" s="1132" t="n"/>
      <c r="HGQ285" s="1132" t="n"/>
      <c r="HGR285" s="1132" t="n"/>
      <c r="HGS285" s="1132" t="n"/>
      <c r="HGT285" s="1132" t="n"/>
      <c r="HGU285" s="1132" t="n"/>
      <c r="HGV285" s="1132" t="n"/>
      <c r="HGW285" s="1132" t="n"/>
      <c r="HGX285" s="1132" t="n"/>
      <c r="HGY285" s="1132" t="n"/>
      <c r="HGZ285" s="1132" t="n"/>
      <c r="HHA285" s="1132" t="n"/>
      <c r="HHB285" s="1132" t="n"/>
      <c r="HHC285" s="1132" t="n"/>
      <c r="HHD285" s="1132" t="n"/>
      <c r="HHE285" s="1132" t="n"/>
      <c r="HHF285" s="1132" t="n"/>
      <c r="HHG285" s="1132" t="n"/>
      <c r="HHH285" s="1132" t="n"/>
      <c r="HHI285" s="1132" t="n"/>
      <c r="HHJ285" s="1132" t="n"/>
      <c r="HHK285" s="1132" t="n"/>
      <c r="HHL285" s="1132" t="n"/>
      <c r="HHM285" s="1132" t="n"/>
      <c r="HHN285" s="1132" t="n"/>
      <c r="HHO285" s="1132" t="n"/>
      <c r="HHP285" s="1132" t="n"/>
      <c r="HHQ285" s="1132" t="n"/>
      <c r="HHR285" s="1132" t="n"/>
      <c r="HHS285" s="1132" t="n"/>
      <c r="HHT285" s="1132" t="n"/>
      <c r="HHU285" s="1132" t="n"/>
      <c r="HHV285" s="1132" t="n"/>
      <c r="HHW285" s="1132" t="n"/>
      <c r="HHX285" s="1132" t="n"/>
      <c r="HHY285" s="1132" t="n"/>
      <c r="HHZ285" s="1132" t="n"/>
      <c r="HIA285" s="1132" t="n"/>
      <c r="HIB285" s="1132" t="n"/>
      <c r="HIC285" s="1132" t="n"/>
      <c r="HID285" s="1132" t="n"/>
      <c r="HIE285" s="1132" t="n"/>
      <c r="HIF285" s="1132" t="n"/>
      <c r="HIG285" s="1132" t="n"/>
      <c r="HIH285" s="1132" t="n"/>
      <c r="HII285" s="1132" t="n"/>
      <c r="HIJ285" s="1132" t="n"/>
      <c r="HIK285" s="1132" t="n"/>
      <c r="HIL285" s="1132" t="n"/>
      <c r="HIM285" s="1132" t="n"/>
      <c r="HIN285" s="1132" t="n"/>
      <c r="HIO285" s="1132" t="n"/>
      <c r="HIP285" s="1132" t="n"/>
      <c r="HIQ285" s="1132" t="n"/>
      <c r="HIR285" s="1132" t="n"/>
      <c r="HIS285" s="1132" t="n"/>
      <c r="HIT285" s="1132" t="n"/>
      <c r="HIU285" s="1132" t="n"/>
      <c r="HIV285" s="1132" t="n"/>
      <c r="HIW285" s="1132" t="n"/>
      <c r="HIX285" s="1132" t="n"/>
      <c r="HIY285" s="1132" t="n"/>
      <c r="HIZ285" s="1132" t="n"/>
      <c r="HJA285" s="1132" t="n"/>
      <c r="HJB285" s="1132" t="n"/>
      <c r="HJC285" s="1132" t="n"/>
      <c r="HJD285" s="1132" t="n"/>
      <c r="HJE285" s="1132" t="n"/>
      <c r="HJF285" s="1132" t="n"/>
      <c r="HJG285" s="1132" t="n"/>
      <c r="HJH285" s="1132" t="n"/>
      <c r="HJI285" s="1132" t="n"/>
      <c r="HJJ285" s="1132" t="n"/>
      <c r="HJK285" s="1132" t="n"/>
      <c r="HJL285" s="1132" t="n"/>
      <c r="HJM285" s="1132" t="n"/>
      <c r="HJN285" s="1132" t="n"/>
      <c r="HJO285" s="1132" t="n"/>
      <c r="HJP285" s="1132" t="n"/>
      <c r="HJQ285" s="1132" t="n"/>
      <c r="HJR285" s="1132" t="n"/>
      <c r="HJS285" s="1132" t="n"/>
      <c r="HJT285" s="1132" t="n"/>
      <c r="HJU285" s="1132" t="n"/>
      <c r="HJV285" s="1132" t="n"/>
      <c r="HJW285" s="1132" t="n"/>
      <c r="HJX285" s="1132" t="n"/>
      <c r="HJY285" s="1132" t="n"/>
      <c r="HJZ285" s="1132" t="n"/>
      <c r="HKA285" s="1132" t="n"/>
      <c r="HKB285" s="1132" t="n"/>
      <c r="HKC285" s="1132" t="n"/>
      <c r="HKD285" s="1132" t="n"/>
      <c r="HKE285" s="1132" t="n"/>
      <c r="HKF285" s="1132" t="n"/>
      <c r="HKG285" s="1132" t="n"/>
      <c r="HKH285" s="1132" t="n"/>
      <c r="HKI285" s="1132" t="n"/>
      <c r="HKJ285" s="1132" t="n"/>
      <c r="HKK285" s="1132" t="n"/>
      <c r="HKL285" s="1132" t="n"/>
      <c r="HKM285" s="1132" t="n"/>
      <c r="HKN285" s="1132" t="n"/>
      <c r="HKO285" s="1132" t="n"/>
      <c r="HKP285" s="1132" t="n"/>
      <c r="HKQ285" s="1132" t="n"/>
      <c r="HKR285" s="1132" t="n"/>
      <c r="HKS285" s="1132" t="n"/>
      <c r="HKT285" s="1132" t="n"/>
      <c r="HKU285" s="1132" t="n"/>
      <c r="HKV285" s="1132" t="n"/>
      <c r="HKW285" s="1132" t="n"/>
      <c r="HKX285" s="1132" t="n"/>
      <c r="HKY285" s="1132" t="n"/>
      <c r="HKZ285" s="1132" t="n"/>
      <c r="HLA285" s="1132" t="n"/>
      <c r="HLB285" s="1132" t="n"/>
      <c r="HLC285" s="1132" t="n"/>
      <c r="HLD285" s="1132" t="n"/>
      <c r="HLE285" s="1132" t="n"/>
      <c r="HLF285" s="1132" t="n"/>
      <c r="HLG285" s="1132" t="n"/>
      <c r="HLH285" s="1132" t="n"/>
      <c r="HLI285" s="1132" t="n"/>
      <c r="HLJ285" s="1132" t="n"/>
      <c r="HLK285" s="1132" t="n"/>
      <c r="HLL285" s="1132" t="n"/>
      <c r="HLM285" s="1132" t="n"/>
      <c r="HLN285" s="1132" t="n"/>
      <c r="HLO285" s="1132" t="n"/>
      <c r="HLP285" s="1132" t="n"/>
      <c r="HLQ285" s="1132" t="n"/>
      <c r="HLR285" s="1132" t="n"/>
      <c r="HLS285" s="1132" t="n"/>
      <c r="HLT285" s="1132" t="n"/>
      <c r="HLU285" s="1132" t="n"/>
      <c r="HLV285" s="1132" t="n"/>
      <c r="HLW285" s="1132" t="n"/>
      <c r="HLX285" s="1132" t="n"/>
      <c r="HLY285" s="1132" t="n"/>
      <c r="HLZ285" s="1132" t="n"/>
      <c r="HMA285" s="1132" t="n"/>
      <c r="HMB285" s="1132" t="n"/>
      <c r="HMC285" s="1132" t="n"/>
      <c r="HMD285" s="1132" t="n"/>
      <c r="HME285" s="1132" t="n"/>
      <c r="HMF285" s="1132" t="n"/>
      <c r="HMG285" s="1132" t="n"/>
      <c r="HMH285" s="1132" t="n"/>
      <c r="HMI285" s="1132" t="n"/>
      <c r="HMJ285" s="1132" t="n"/>
      <c r="HMK285" s="1132" t="n"/>
      <c r="HML285" s="1132" t="n"/>
      <c r="HMM285" s="1132" t="n"/>
      <c r="HMN285" s="1132" t="n"/>
      <c r="HMO285" s="1132" t="n"/>
      <c r="HMP285" s="1132" t="n"/>
      <c r="HMQ285" s="1132" t="n"/>
      <c r="HMR285" s="1132" t="n"/>
      <c r="HMS285" s="1132" t="n"/>
      <c r="HMT285" s="1132" t="n"/>
      <c r="HMU285" s="1132" t="n"/>
      <c r="HMV285" s="1132" t="n"/>
      <c r="HMW285" s="1132" t="n"/>
      <c r="HMX285" s="1132" t="n"/>
      <c r="HMY285" s="1132" t="n"/>
      <c r="HMZ285" s="1132" t="n"/>
      <c r="HNA285" s="1132" t="n"/>
      <c r="HNB285" s="1132" t="n"/>
      <c r="HNC285" s="1132" t="n"/>
      <c r="HND285" s="1132" t="n"/>
      <c r="HNE285" s="1132" t="n"/>
      <c r="HNF285" s="1132" t="n"/>
      <c r="HNG285" s="1132" t="n"/>
      <c r="HNH285" s="1132" t="n"/>
      <c r="HNI285" s="1132" t="n"/>
      <c r="HNJ285" s="1132" t="n"/>
      <c r="HNK285" s="1132" t="n"/>
      <c r="HNL285" s="1132" t="n"/>
      <c r="HNM285" s="1132" t="n"/>
      <c r="HNN285" s="1132" t="n"/>
      <c r="HNO285" s="1132" t="n"/>
      <c r="HNP285" s="1132" t="n"/>
      <c r="HNQ285" s="1132" t="n"/>
      <c r="HNR285" s="1132" t="n"/>
      <c r="HNS285" s="1132" t="n"/>
      <c r="HNT285" s="1132" t="n"/>
      <c r="HNU285" s="1132" t="n"/>
      <c r="HNV285" s="1132" t="n"/>
      <c r="HNW285" s="1132" t="n"/>
      <c r="HNX285" s="1132" t="n"/>
      <c r="HNY285" s="1132" t="n"/>
      <c r="HNZ285" s="1132" t="n"/>
      <c r="HOA285" s="1132" t="n"/>
      <c r="HOB285" s="1132" t="n"/>
      <c r="HOC285" s="1132" t="n"/>
      <c r="HOD285" s="1132" t="n"/>
      <c r="HOE285" s="1132" t="n"/>
      <c r="HOF285" s="1132" t="n"/>
      <c r="HOG285" s="1132" t="n"/>
      <c r="HOH285" s="1132" t="n"/>
      <c r="HOI285" s="1132" t="n"/>
      <c r="HOJ285" s="1132" t="n"/>
      <c r="HOK285" s="1132" t="n"/>
      <c r="HOL285" s="1132" t="n"/>
      <c r="HOM285" s="1132" t="n"/>
      <c r="HON285" s="1132" t="n"/>
      <c r="HOO285" s="1132" t="n"/>
      <c r="HOP285" s="1132" t="n"/>
      <c r="HOQ285" s="1132" t="n"/>
      <c r="HOR285" s="1132" t="n"/>
      <c r="HOS285" s="1132" t="n"/>
      <c r="HOT285" s="1132" t="n"/>
      <c r="HOU285" s="1132" t="n"/>
      <c r="HOV285" s="1132" t="n"/>
      <c r="HOW285" s="1132" t="n"/>
      <c r="HOX285" s="1132" t="n"/>
      <c r="HOY285" s="1132" t="n"/>
      <c r="HOZ285" s="1132" t="n"/>
      <c r="HPA285" s="1132" t="n"/>
      <c r="HPB285" s="1132" t="n"/>
      <c r="HPC285" s="1132" t="n"/>
      <c r="HPD285" s="1132" t="n"/>
      <c r="HPE285" s="1132" t="n"/>
      <c r="HPF285" s="1132" t="n"/>
      <c r="HPG285" s="1132" t="n"/>
      <c r="HPH285" s="1132" t="n"/>
      <c r="HPI285" s="1132" t="n"/>
      <c r="HPJ285" s="1132" t="n"/>
      <c r="HPK285" s="1132" t="n"/>
      <c r="HPL285" s="1132" t="n"/>
      <c r="HPM285" s="1132" t="n"/>
      <c r="HPN285" s="1132" t="n"/>
      <c r="HPO285" s="1132" t="n"/>
      <c r="HPP285" s="1132" t="n"/>
      <c r="HPQ285" s="1132" t="n"/>
      <c r="HPR285" s="1132" t="n"/>
      <c r="HPS285" s="1132" t="n"/>
      <c r="HPT285" s="1132" t="n"/>
      <c r="HPU285" s="1132" t="n"/>
      <c r="HPV285" s="1132" t="n"/>
      <c r="HPW285" s="1132" t="n"/>
      <c r="HPX285" s="1132" t="n"/>
      <c r="HPY285" s="1132" t="n"/>
      <c r="HPZ285" s="1132" t="n"/>
      <c r="HQA285" s="1132" t="n"/>
      <c r="HQB285" s="1132" t="n"/>
      <c r="HQC285" s="1132" t="n"/>
      <c r="HQD285" s="1132" t="n"/>
      <c r="HQE285" s="1132" t="n"/>
      <c r="HQF285" s="1132" t="n"/>
      <c r="HQG285" s="1132" t="n"/>
      <c r="HQH285" s="1132" t="n"/>
      <c r="HQI285" s="1132" t="n"/>
      <c r="HQJ285" s="1132" t="n"/>
      <c r="HQK285" s="1132" t="n"/>
      <c r="HQL285" s="1132" t="n"/>
      <c r="HQM285" s="1132" t="n"/>
      <c r="HQN285" s="1132" t="n"/>
      <c r="HQO285" s="1132" t="n"/>
      <c r="HQP285" s="1132" t="n"/>
      <c r="HQQ285" s="1132" t="n"/>
      <c r="HQR285" s="1132" t="n"/>
      <c r="HQS285" s="1132" t="n"/>
      <c r="HQT285" s="1132" t="n"/>
      <c r="HQU285" s="1132" t="n"/>
      <c r="HQV285" s="1132" t="n"/>
      <c r="HQW285" s="1132" t="n"/>
      <c r="HQX285" s="1132" t="n"/>
      <c r="HQY285" s="1132" t="n"/>
      <c r="HQZ285" s="1132" t="n"/>
      <c r="HRA285" s="1132" t="n"/>
      <c r="HRB285" s="1132" t="n"/>
      <c r="HRC285" s="1132" t="n"/>
      <c r="HRD285" s="1132" t="n"/>
      <c r="HRE285" s="1132" t="n"/>
      <c r="HRF285" s="1132" t="n"/>
      <c r="HRG285" s="1132" t="n"/>
      <c r="HRH285" s="1132" t="n"/>
      <c r="HRI285" s="1132" t="n"/>
      <c r="HRJ285" s="1132" t="n"/>
      <c r="HRK285" s="1132" t="n"/>
      <c r="HRL285" s="1132" t="n"/>
      <c r="HRM285" s="1132" t="n"/>
      <c r="HRN285" s="1132" t="n"/>
      <c r="HRO285" s="1132" t="n"/>
      <c r="HRP285" s="1132" t="n"/>
      <c r="HRQ285" s="1132" t="n"/>
      <c r="HRR285" s="1132" t="n"/>
      <c r="HRS285" s="1132" t="n"/>
      <c r="HRT285" s="1132" t="n"/>
      <c r="HRU285" s="1132" t="n"/>
      <c r="HRV285" s="1132" t="n"/>
      <c r="HRW285" s="1132" t="n"/>
      <c r="HRX285" s="1132" t="n"/>
      <c r="HRY285" s="1132" t="n"/>
      <c r="HRZ285" s="1132" t="n"/>
      <c r="HSA285" s="1132" t="n"/>
      <c r="HSB285" s="1132" t="n"/>
      <c r="HSC285" s="1132" t="n"/>
      <c r="HSD285" s="1132" t="n"/>
      <c r="HSE285" s="1132" t="n"/>
      <c r="HSF285" s="1132" t="n"/>
      <c r="HSG285" s="1132" t="n"/>
      <c r="HSH285" s="1132" t="n"/>
      <c r="HSI285" s="1132" t="n"/>
      <c r="HSJ285" s="1132" t="n"/>
      <c r="HSK285" s="1132" t="n"/>
      <c r="HSL285" s="1132" t="n"/>
      <c r="HSM285" s="1132" t="n"/>
      <c r="HSN285" s="1132" t="n"/>
      <c r="HSO285" s="1132" t="n"/>
      <c r="HSP285" s="1132" t="n"/>
      <c r="HSQ285" s="1132" t="n"/>
      <c r="HSR285" s="1132" t="n"/>
      <c r="HSS285" s="1132" t="n"/>
      <c r="HST285" s="1132" t="n"/>
      <c r="HSU285" s="1132" t="n"/>
      <c r="HSV285" s="1132" t="n"/>
      <c r="HSW285" s="1132" t="n"/>
      <c r="HSX285" s="1132" t="n"/>
      <c r="HSY285" s="1132" t="n"/>
      <c r="HSZ285" s="1132" t="n"/>
      <c r="HTA285" s="1132" t="n"/>
      <c r="HTB285" s="1132" t="n"/>
      <c r="HTC285" s="1132" t="n"/>
      <c r="HTD285" s="1132" t="n"/>
      <c r="HTE285" s="1132" t="n"/>
      <c r="HTF285" s="1132" t="n"/>
      <c r="HTG285" s="1132" t="n"/>
      <c r="HTH285" s="1132" t="n"/>
      <c r="HTI285" s="1132" t="n"/>
      <c r="HTJ285" s="1132" t="n"/>
      <c r="HTK285" s="1132" t="n"/>
      <c r="HTL285" s="1132" t="n"/>
      <c r="HTM285" s="1132" t="n"/>
      <c r="HTN285" s="1132" t="n"/>
      <c r="HTO285" s="1132" t="n"/>
      <c r="HTP285" s="1132" t="n"/>
      <c r="HTQ285" s="1132" t="n"/>
      <c r="HTR285" s="1132" t="n"/>
      <c r="HTS285" s="1132" t="n"/>
      <c r="HTT285" s="1132" t="n"/>
      <c r="HTU285" s="1132" t="n"/>
      <c r="HTV285" s="1132" t="n"/>
      <c r="HTW285" s="1132" t="n"/>
      <c r="HTX285" s="1132" t="n"/>
      <c r="HTY285" s="1132" t="n"/>
      <c r="HTZ285" s="1132" t="n"/>
      <c r="HUA285" s="1132" t="n"/>
      <c r="HUB285" s="1132" t="n"/>
      <c r="HUC285" s="1132" t="n"/>
      <c r="HUD285" s="1132" t="n"/>
      <c r="HUE285" s="1132" t="n"/>
      <c r="HUF285" s="1132" t="n"/>
      <c r="HUG285" s="1132" t="n"/>
      <c r="HUH285" s="1132" t="n"/>
      <c r="HUI285" s="1132" t="n"/>
      <c r="HUJ285" s="1132" t="n"/>
      <c r="HUK285" s="1132" t="n"/>
      <c r="HUL285" s="1132" t="n"/>
      <c r="HUM285" s="1132" t="n"/>
      <c r="HUN285" s="1132" t="n"/>
      <c r="HUO285" s="1132" t="n"/>
      <c r="HUP285" s="1132" t="n"/>
      <c r="HUQ285" s="1132" t="n"/>
      <c r="HUR285" s="1132" t="n"/>
      <c r="HUS285" s="1132" t="n"/>
      <c r="HUT285" s="1132" t="n"/>
      <c r="HUU285" s="1132" t="n"/>
      <c r="HUV285" s="1132" t="n"/>
      <c r="HUW285" s="1132" t="n"/>
      <c r="HUX285" s="1132" t="n"/>
      <c r="HUY285" s="1132" t="n"/>
      <c r="HUZ285" s="1132" t="n"/>
      <c r="HVA285" s="1132" t="n"/>
      <c r="HVB285" s="1132" t="n"/>
      <c r="HVC285" s="1132" t="n"/>
      <c r="HVD285" s="1132" t="n"/>
      <c r="HVE285" s="1132" t="n"/>
      <c r="HVF285" s="1132" t="n"/>
      <c r="HVG285" s="1132" t="n"/>
      <c r="HVH285" s="1132" t="n"/>
      <c r="HVI285" s="1132" t="n"/>
      <c r="HVJ285" s="1132" t="n"/>
      <c r="HVK285" s="1132" t="n"/>
      <c r="HVL285" s="1132" t="n"/>
      <c r="HVM285" s="1132" t="n"/>
      <c r="HVN285" s="1132" t="n"/>
      <c r="HVO285" s="1132" t="n"/>
      <c r="HVP285" s="1132" t="n"/>
      <c r="HVQ285" s="1132" t="n"/>
      <c r="HVR285" s="1132" t="n"/>
      <c r="HVS285" s="1132" t="n"/>
      <c r="HVT285" s="1132" t="n"/>
      <c r="HVU285" s="1132" t="n"/>
      <c r="HVV285" s="1132" t="n"/>
      <c r="HVW285" s="1132" t="n"/>
      <c r="HVX285" s="1132" t="n"/>
      <c r="HVY285" s="1132" t="n"/>
      <c r="HVZ285" s="1132" t="n"/>
      <c r="HWA285" s="1132" t="n"/>
      <c r="HWB285" s="1132" t="n"/>
      <c r="HWC285" s="1132" t="n"/>
      <c r="HWD285" s="1132" t="n"/>
      <c r="HWE285" s="1132" t="n"/>
      <c r="HWF285" s="1132" t="n"/>
      <c r="HWG285" s="1132" t="n"/>
      <c r="HWH285" s="1132" t="n"/>
      <c r="HWI285" s="1132" t="n"/>
      <c r="HWJ285" s="1132" t="n"/>
      <c r="HWK285" s="1132" t="n"/>
      <c r="HWL285" s="1132" t="n"/>
      <c r="HWM285" s="1132" t="n"/>
      <c r="HWN285" s="1132" t="n"/>
      <c r="HWO285" s="1132" t="n"/>
      <c r="HWP285" s="1132" t="n"/>
      <c r="HWQ285" s="1132" t="n"/>
      <c r="HWR285" s="1132" t="n"/>
      <c r="HWS285" s="1132" t="n"/>
      <c r="HWT285" s="1132" t="n"/>
      <c r="HWU285" s="1132" t="n"/>
      <c r="HWV285" s="1132" t="n"/>
      <c r="HWW285" s="1132" t="n"/>
      <c r="HWX285" s="1132" t="n"/>
      <c r="HWY285" s="1132" t="n"/>
      <c r="HWZ285" s="1132" t="n"/>
      <c r="HXA285" s="1132" t="n"/>
      <c r="HXB285" s="1132" t="n"/>
      <c r="HXC285" s="1132" t="n"/>
      <c r="HXD285" s="1132" t="n"/>
      <c r="HXE285" s="1132" t="n"/>
      <c r="HXF285" s="1132" t="n"/>
      <c r="HXG285" s="1132" t="n"/>
      <c r="HXH285" s="1132" t="n"/>
      <c r="HXI285" s="1132" t="n"/>
      <c r="HXJ285" s="1132" t="n"/>
      <c r="HXK285" s="1132" t="n"/>
      <c r="HXL285" s="1132" t="n"/>
      <c r="HXM285" s="1132" t="n"/>
      <c r="HXN285" s="1132" t="n"/>
      <c r="HXO285" s="1132" t="n"/>
      <c r="HXP285" s="1132" t="n"/>
      <c r="HXQ285" s="1132" t="n"/>
      <c r="HXR285" s="1132" t="n"/>
      <c r="HXS285" s="1132" t="n"/>
      <c r="HXT285" s="1132" t="n"/>
      <c r="HXU285" s="1132" t="n"/>
      <c r="HXV285" s="1132" t="n"/>
      <c r="HXW285" s="1132" t="n"/>
      <c r="HXX285" s="1132" t="n"/>
      <c r="HXY285" s="1132" t="n"/>
      <c r="HXZ285" s="1132" t="n"/>
      <c r="HYA285" s="1132" t="n"/>
      <c r="HYB285" s="1132" t="n"/>
      <c r="HYC285" s="1132" t="n"/>
      <c r="HYD285" s="1132" t="n"/>
      <c r="HYE285" s="1132" t="n"/>
      <c r="HYF285" s="1132" t="n"/>
      <c r="HYG285" s="1132" t="n"/>
      <c r="HYH285" s="1132" t="n"/>
      <c r="HYI285" s="1132" t="n"/>
      <c r="HYJ285" s="1132" t="n"/>
      <c r="HYK285" s="1132" t="n"/>
      <c r="HYL285" s="1132" t="n"/>
      <c r="HYM285" s="1132" t="n"/>
      <c r="HYN285" s="1132" t="n"/>
      <c r="HYO285" s="1132" t="n"/>
      <c r="HYP285" s="1132" t="n"/>
      <c r="HYQ285" s="1132" t="n"/>
      <c r="HYR285" s="1132" t="n"/>
      <c r="HYS285" s="1132" t="n"/>
      <c r="HYT285" s="1132" t="n"/>
      <c r="HYU285" s="1132" t="n"/>
      <c r="HYV285" s="1132" t="n"/>
      <c r="HYW285" s="1132" t="n"/>
      <c r="HYX285" s="1132" t="n"/>
      <c r="HYY285" s="1132" t="n"/>
      <c r="HYZ285" s="1132" t="n"/>
      <c r="HZA285" s="1132" t="n"/>
      <c r="HZB285" s="1132" t="n"/>
      <c r="HZC285" s="1132" t="n"/>
      <c r="HZD285" s="1132" t="n"/>
      <c r="HZE285" s="1132" t="n"/>
      <c r="HZF285" s="1132" t="n"/>
      <c r="HZG285" s="1132" t="n"/>
      <c r="HZH285" s="1132" t="n"/>
      <c r="HZI285" s="1132" t="n"/>
      <c r="HZJ285" s="1132" t="n"/>
      <c r="HZK285" s="1132" t="n"/>
      <c r="HZL285" s="1132" t="n"/>
      <c r="HZM285" s="1132" t="n"/>
      <c r="HZN285" s="1132" t="n"/>
      <c r="HZO285" s="1132" t="n"/>
      <c r="HZP285" s="1132" t="n"/>
      <c r="HZQ285" s="1132" t="n"/>
      <c r="HZR285" s="1132" t="n"/>
      <c r="HZS285" s="1132" t="n"/>
      <c r="HZT285" s="1132" t="n"/>
      <c r="HZU285" s="1132" t="n"/>
      <c r="HZV285" s="1132" t="n"/>
      <c r="HZW285" s="1132" t="n"/>
      <c r="HZX285" s="1132" t="n"/>
      <c r="HZY285" s="1132" t="n"/>
      <c r="HZZ285" s="1132" t="n"/>
      <c r="IAA285" s="1132" t="n"/>
      <c r="IAB285" s="1132" t="n"/>
      <c r="IAC285" s="1132" t="n"/>
      <c r="IAD285" s="1132" t="n"/>
      <c r="IAE285" s="1132" t="n"/>
      <c r="IAF285" s="1132" t="n"/>
      <c r="IAG285" s="1132" t="n"/>
      <c r="IAH285" s="1132" t="n"/>
      <c r="IAI285" s="1132" t="n"/>
      <c r="IAJ285" s="1132" t="n"/>
      <c r="IAK285" s="1132" t="n"/>
      <c r="IAL285" s="1132" t="n"/>
      <c r="IAM285" s="1132" t="n"/>
      <c r="IAN285" s="1132" t="n"/>
      <c r="IAO285" s="1132" t="n"/>
      <c r="IAP285" s="1132" t="n"/>
      <c r="IAQ285" s="1132" t="n"/>
      <c r="IAR285" s="1132" t="n"/>
      <c r="IAS285" s="1132" t="n"/>
      <c r="IAT285" s="1132" t="n"/>
      <c r="IAU285" s="1132" t="n"/>
      <c r="IAV285" s="1132" t="n"/>
      <c r="IAW285" s="1132" t="n"/>
      <c r="IAX285" s="1132" t="n"/>
      <c r="IAY285" s="1132" t="n"/>
      <c r="IAZ285" s="1132" t="n"/>
      <c r="IBA285" s="1132" t="n"/>
      <c r="IBB285" s="1132" t="n"/>
      <c r="IBC285" s="1132" t="n"/>
      <c r="IBD285" s="1132" t="n"/>
      <c r="IBE285" s="1132" t="n"/>
      <c r="IBF285" s="1132" t="n"/>
      <c r="IBG285" s="1132" t="n"/>
      <c r="IBH285" s="1132" t="n"/>
      <c r="IBI285" s="1132" t="n"/>
      <c r="IBJ285" s="1132" t="n"/>
      <c r="IBK285" s="1132" t="n"/>
      <c r="IBL285" s="1132" t="n"/>
      <c r="IBM285" s="1132" t="n"/>
      <c r="IBN285" s="1132" t="n"/>
      <c r="IBO285" s="1132" t="n"/>
      <c r="IBP285" s="1132" t="n"/>
      <c r="IBQ285" s="1132" t="n"/>
      <c r="IBR285" s="1132" t="n"/>
      <c r="IBS285" s="1132" t="n"/>
      <c r="IBT285" s="1132" t="n"/>
      <c r="IBU285" s="1132" t="n"/>
      <c r="IBV285" s="1132" t="n"/>
      <c r="IBW285" s="1132" t="n"/>
      <c r="IBX285" s="1132" t="n"/>
      <c r="IBY285" s="1132" t="n"/>
      <c r="IBZ285" s="1132" t="n"/>
      <c r="ICA285" s="1132" t="n"/>
      <c r="ICB285" s="1132" t="n"/>
      <c r="ICC285" s="1132" t="n"/>
      <c r="ICD285" s="1132" t="n"/>
      <c r="ICE285" s="1132" t="n"/>
      <c r="ICF285" s="1132" t="n"/>
      <c r="ICG285" s="1132" t="n"/>
      <c r="ICH285" s="1132" t="n"/>
      <c r="ICI285" s="1132" t="n"/>
      <c r="ICJ285" s="1132" t="n"/>
      <c r="ICK285" s="1132" t="n"/>
      <c r="ICL285" s="1132" t="n"/>
      <c r="ICM285" s="1132" t="n"/>
      <c r="ICN285" s="1132" t="n"/>
      <c r="ICO285" s="1132" t="n"/>
      <c r="ICP285" s="1132" t="n"/>
      <c r="ICQ285" s="1132" t="n"/>
      <c r="ICR285" s="1132" t="n"/>
      <c r="ICS285" s="1132" t="n"/>
      <c r="ICT285" s="1132" t="n"/>
      <c r="ICU285" s="1132" t="n"/>
      <c r="ICV285" s="1132" t="n"/>
      <c r="ICW285" s="1132" t="n"/>
      <c r="ICX285" s="1132" t="n"/>
      <c r="ICY285" s="1132" t="n"/>
      <c r="ICZ285" s="1132" t="n"/>
      <c r="IDA285" s="1132" t="n"/>
      <c r="IDB285" s="1132" t="n"/>
      <c r="IDC285" s="1132" t="n"/>
      <c r="IDD285" s="1132" t="n"/>
      <c r="IDE285" s="1132" t="n"/>
      <c r="IDF285" s="1132" t="n"/>
      <c r="IDG285" s="1132" t="n"/>
      <c r="IDH285" s="1132" t="n"/>
      <c r="IDI285" s="1132" t="n"/>
      <c r="IDJ285" s="1132" t="n"/>
      <c r="IDK285" s="1132" t="n"/>
      <c r="IDL285" s="1132" t="n"/>
      <c r="IDM285" s="1132" t="n"/>
      <c r="IDN285" s="1132" t="n"/>
      <c r="IDO285" s="1132" t="n"/>
      <c r="IDP285" s="1132" t="n"/>
      <c r="IDQ285" s="1132" t="n"/>
      <c r="IDR285" s="1132" t="n"/>
      <c r="IDS285" s="1132" t="n"/>
      <c r="IDT285" s="1132" t="n"/>
      <c r="IDU285" s="1132" t="n"/>
      <c r="IDV285" s="1132" t="n"/>
      <c r="IDW285" s="1132" t="n"/>
      <c r="IDX285" s="1132" t="n"/>
      <c r="IDY285" s="1132" t="n"/>
      <c r="IDZ285" s="1132" t="n"/>
      <c r="IEA285" s="1132" t="n"/>
      <c r="IEB285" s="1132" t="n"/>
      <c r="IEC285" s="1132" t="n"/>
      <c r="IED285" s="1132" t="n"/>
      <c r="IEE285" s="1132" t="n"/>
      <c r="IEF285" s="1132" t="n"/>
      <c r="IEG285" s="1132" t="n"/>
      <c r="IEH285" s="1132" t="n"/>
      <c r="IEI285" s="1132" t="n"/>
      <c r="IEJ285" s="1132" t="n"/>
      <c r="IEK285" s="1132" t="n"/>
      <c r="IEL285" s="1132" t="n"/>
      <c r="IEM285" s="1132" t="n"/>
      <c r="IEN285" s="1132" t="n"/>
      <c r="IEO285" s="1132" t="n"/>
      <c r="IEP285" s="1132" t="n"/>
      <c r="IEQ285" s="1132" t="n"/>
      <c r="IER285" s="1132" t="n"/>
      <c r="IES285" s="1132" t="n"/>
      <c r="IET285" s="1132" t="n"/>
      <c r="IEU285" s="1132" t="n"/>
      <c r="IEV285" s="1132" t="n"/>
      <c r="IEW285" s="1132" t="n"/>
      <c r="IEX285" s="1132" t="n"/>
      <c r="IEY285" s="1132" t="n"/>
      <c r="IEZ285" s="1132" t="n"/>
      <c r="IFA285" s="1132" t="n"/>
      <c r="IFB285" s="1132" t="n"/>
      <c r="IFC285" s="1132" t="n"/>
      <c r="IFD285" s="1132" t="n"/>
      <c r="IFE285" s="1132" t="n"/>
      <c r="IFF285" s="1132" t="n"/>
      <c r="IFG285" s="1132" t="n"/>
      <c r="IFH285" s="1132" t="n"/>
      <c r="IFI285" s="1132" t="n"/>
      <c r="IFJ285" s="1132" t="n"/>
      <c r="IFK285" s="1132" t="n"/>
      <c r="IFL285" s="1132" t="n"/>
      <c r="IFM285" s="1132" t="n"/>
      <c r="IFN285" s="1132" t="n"/>
      <c r="IFO285" s="1132" t="n"/>
      <c r="IFP285" s="1132" t="n"/>
      <c r="IFQ285" s="1132" t="n"/>
      <c r="IFR285" s="1132" t="n"/>
      <c r="IFS285" s="1132" t="n"/>
      <c r="IFT285" s="1132" t="n"/>
      <c r="IFU285" s="1132" t="n"/>
      <c r="IFV285" s="1132" t="n"/>
      <c r="IFW285" s="1132" t="n"/>
      <c r="IFX285" s="1132" t="n"/>
      <c r="IFY285" s="1132" t="n"/>
      <c r="IFZ285" s="1132" t="n"/>
      <c r="IGA285" s="1132" t="n"/>
      <c r="IGB285" s="1132" t="n"/>
      <c r="IGC285" s="1132" t="n"/>
      <c r="IGD285" s="1132" t="n"/>
      <c r="IGE285" s="1132" t="n"/>
      <c r="IGF285" s="1132" t="n"/>
      <c r="IGG285" s="1132" t="n"/>
      <c r="IGH285" s="1132" t="n"/>
      <c r="IGI285" s="1132" t="n"/>
      <c r="IGJ285" s="1132" t="n"/>
      <c r="IGK285" s="1132" t="n"/>
      <c r="IGL285" s="1132" t="n"/>
      <c r="IGM285" s="1132" t="n"/>
      <c r="IGN285" s="1132" t="n"/>
      <c r="IGO285" s="1132" t="n"/>
      <c r="IGP285" s="1132" t="n"/>
      <c r="IGQ285" s="1132" t="n"/>
      <c r="IGR285" s="1132" t="n"/>
      <c r="IGS285" s="1132" t="n"/>
      <c r="IGT285" s="1132" t="n"/>
      <c r="IGU285" s="1132" t="n"/>
      <c r="IGV285" s="1132" t="n"/>
      <c r="IGW285" s="1132" t="n"/>
      <c r="IGX285" s="1132" t="n"/>
      <c r="IGY285" s="1132" t="n"/>
      <c r="IGZ285" s="1132" t="n"/>
      <c r="IHA285" s="1132" t="n"/>
      <c r="IHB285" s="1132" t="n"/>
      <c r="IHC285" s="1132" t="n"/>
      <c r="IHD285" s="1132" t="n"/>
      <c r="IHE285" s="1132" t="n"/>
      <c r="IHF285" s="1132" t="n"/>
      <c r="IHG285" s="1132" t="n"/>
      <c r="IHH285" s="1132" t="n"/>
      <c r="IHI285" s="1132" t="n"/>
      <c r="IHJ285" s="1132" t="n"/>
      <c r="IHK285" s="1132" t="n"/>
      <c r="IHL285" s="1132" t="n"/>
      <c r="IHM285" s="1132" t="n"/>
      <c r="IHN285" s="1132" t="n"/>
      <c r="IHO285" s="1132" t="n"/>
      <c r="IHP285" s="1132" t="n"/>
      <c r="IHQ285" s="1132" t="n"/>
      <c r="IHR285" s="1132" t="n"/>
      <c r="IHS285" s="1132" t="n"/>
      <c r="IHT285" s="1132" t="n"/>
      <c r="IHU285" s="1132" t="n"/>
      <c r="IHV285" s="1132" t="n"/>
      <c r="IHW285" s="1132" t="n"/>
      <c r="IHX285" s="1132" t="n"/>
      <c r="IHY285" s="1132" t="n"/>
      <c r="IHZ285" s="1132" t="n"/>
      <c r="IIA285" s="1132" t="n"/>
      <c r="IIB285" s="1132" t="n"/>
      <c r="IIC285" s="1132" t="n"/>
      <c r="IID285" s="1132" t="n"/>
      <c r="IIE285" s="1132" t="n"/>
      <c r="IIF285" s="1132" t="n"/>
      <c r="IIG285" s="1132" t="n"/>
      <c r="IIH285" s="1132" t="n"/>
      <c r="III285" s="1132" t="n"/>
      <c r="IIJ285" s="1132" t="n"/>
      <c r="IIK285" s="1132" t="n"/>
      <c r="IIL285" s="1132" t="n"/>
      <c r="IIM285" s="1132" t="n"/>
      <c r="IIN285" s="1132" t="n"/>
      <c r="IIO285" s="1132" t="n"/>
      <c r="IIP285" s="1132" t="n"/>
      <c r="IIQ285" s="1132" t="n"/>
      <c r="IIR285" s="1132" t="n"/>
      <c r="IIS285" s="1132" t="n"/>
      <c r="IIT285" s="1132" t="n"/>
      <c r="IIU285" s="1132" t="n"/>
      <c r="IIV285" s="1132" t="n"/>
      <c r="IIW285" s="1132" t="n"/>
      <c r="IIX285" s="1132" t="n"/>
      <c r="IIY285" s="1132" t="n"/>
      <c r="IIZ285" s="1132" t="n"/>
      <c r="IJA285" s="1132" t="n"/>
      <c r="IJB285" s="1132" t="n"/>
      <c r="IJC285" s="1132" t="n"/>
      <c r="IJD285" s="1132" t="n"/>
      <c r="IJE285" s="1132" t="n"/>
      <c r="IJF285" s="1132" t="n"/>
      <c r="IJG285" s="1132" t="n"/>
      <c r="IJH285" s="1132" t="n"/>
      <c r="IJI285" s="1132" t="n"/>
      <c r="IJJ285" s="1132" t="n"/>
      <c r="IJK285" s="1132" t="n"/>
      <c r="IJL285" s="1132" t="n"/>
      <c r="IJM285" s="1132" t="n"/>
      <c r="IJN285" s="1132" t="n"/>
      <c r="IJO285" s="1132" t="n"/>
      <c r="IJP285" s="1132" t="n"/>
      <c r="IJQ285" s="1132" t="n"/>
      <c r="IJR285" s="1132" t="n"/>
      <c r="IJS285" s="1132" t="n"/>
      <c r="IJT285" s="1132" t="n"/>
      <c r="IJU285" s="1132" t="n"/>
      <c r="IJV285" s="1132" t="n"/>
      <c r="IJW285" s="1132" t="n"/>
      <c r="IJX285" s="1132" t="n"/>
      <c r="IJY285" s="1132" t="n"/>
      <c r="IJZ285" s="1132" t="n"/>
      <c r="IKA285" s="1132" t="n"/>
      <c r="IKB285" s="1132" t="n"/>
      <c r="IKC285" s="1132" t="n"/>
      <c r="IKD285" s="1132" t="n"/>
      <c r="IKE285" s="1132" t="n"/>
      <c r="IKF285" s="1132" t="n"/>
      <c r="IKG285" s="1132" t="n"/>
      <c r="IKH285" s="1132" t="n"/>
      <c r="IKI285" s="1132" t="n"/>
      <c r="IKJ285" s="1132" t="n"/>
      <c r="IKK285" s="1132" t="n"/>
      <c r="IKL285" s="1132" t="n"/>
      <c r="IKM285" s="1132" t="n"/>
      <c r="IKN285" s="1132" t="n"/>
      <c r="IKO285" s="1132" t="n"/>
      <c r="IKP285" s="1132" t="n"/>
      <c r="IKQ285" s="1132" t="n"/>
      <c r="IKR285" s="1132" t="n"/>
      <c r="IKS285" s="1132" t="n"/>
      <c r="IKT285" s="1132" t="n"/>
      <c r="IKU285" s="1132" t="n"/>
      <c r="IKV285" s="1132" t="n"/>
      <c r="IKW285" s="1132" t="n"/>
      <c r="IKX285" s="1132" t="n"/>
      <c r="IKY285" s="1132" t="n"/>
      <c r="IKZ285" s="1132" t="n"/>
      <c r="ILA285" s="1132" t="n"/>
      <c r="ILB285" s="1132" t="n"/>
      <c r="ILC285" s="1132" t="n"/>
      <c r="ILD285" s="1132" t="n"/>
      <c r="ILE285" s="1132" t="n"/>
      <c r="ILF285" s="1132" t="n"/>
      <c r="ILG285" s="1132" t="n"/>
      <c r="ILH285" s="1132" t="n"/>
      <c r="ILI285" s="1132" t="n"/>
      <c r="ILJ285" s="1132" t="n"/>
      <c r="ILK285" s="1132" t="n"/>
      <c r="ILL285" s="1132" t="n"/>
      <c r="ILM285" s="1132" t="n"/>
      <c r="ILN285" s="1132" t="n"/>
      <c r="ILO285" s="1132" t="n"/>
      <c r="ILP285" s="1132" t="n"/>
      <c r="ILQ285" s="1132" t="n"/>
      <c r="ILR285" s="1132" t="n"/>
      <c r="ILS285" s="1132" t="n"/>
      <c r="ILT285" s="1132" t="n"/>
      <c r="ILU285" s="1132" t="n"/>
      <c r="ILV285" s="1132" t="n"/>
      <c r="ILW285" s="1132" t="n"/>
      <c r="ILX285" s="1132" t="n"/>
      <c r="ILY285" s="1132" t="n"/>
      <c r="ILZ285" s="1132" t="n"/>
      <c r="IMA285" s="1132" t="n"/>
      <c r="IMB285" s="1132" t="n"/>
      <c r="IMC285" s="1132" t="n"/>
      <c r="IMD285" s="1132" t="n"/>
      <c r="IME285" s="1132" t="n"/>
      <c r="IMF285" s="1132" t="n"/>
      <c r="IMG285" s="1132" t="n"/>
      <c r="IMH285" s="1132" t="n"/>
      <c r="IMI285" s="1132" t="n"/>
      <c r="IMJ285" s="1132" t="n"/>
      <c r="IMK285" s="1132" t="n"/>
      <c r="IML285" s="1132" t="n"/>
      <c r="IMM285" s="1132" t="n"/>
      <c r="IMN285" s="1132" t="n"/>
      <c r="IMO285" s="1132" t="n"/>
      <c r="IMP285" s="1132" t="n"/>
      <c r="IMQ285" s="1132" t="n"/>
      <c r="IMR285" s="1132" t="n"/>
      <c r="IMS285" s="1132" t="n"/>
      <c r="IMT285" s="1132" t="n"/>
      <c r="IMU285" s="1132" t="n"/>
      <c r="IMV285" s="1132" t="n"/>
      <c r="IMW285" s="1132" t="n"/>
      <c r="IMX285" s="1132" t="n"/>
      <c r="IMY285" s="1132" t="n"/>
      <c r="IMZ285" s="1132" t="n"/>
      <c r="INA285" s="1132" t="n"/>
      <c r="INB285" s="1132" t="n"/>
      <c r="INC285" s="1132" t="n"/>
      <c r="IND285" s="1132" t="n"/>
      <c r="INE285" s="1132" t="n"/>
      <c r="INF285" s="1132" t="n"/>
      <c r="ING285" s="1132" t="n"/>
      <c r="INH285" s="1132" t="n"/>
      <c r="INI285" s="1132" t="n"/>
      <c r="INJ285" s="1132" t="n"/>
      <c r="INK285" s="1132" t="n"/>
      <c r="INL285" s="1132" t="n"/>
      <c r="INM285" s="1132" t="n"/>
      <c r="INN285" s="1132" t="n"/>
      <c r="INO285" s="1132" t="n"/>
      <c r="INP285" s="1132" t="n"/>
      <c r="INQ285" s="1132" t="n"/>
      <c r="INR285" s="1132" t="n"/>
      <c r="INS285" s="1132" t="n"/>
      <c r="INT285" s="1132" t="n"/>
      <c r="INU285" s="1132" t="n"/>
      <c r="INV285" s="1132" t="n"/>
      <c r="INW285" s="1132" t="n"/>
      <c r="INX285" s="1132" t="n"/>
      <c r="INY285" s="1132" t="n"/>
      <c r="INZ285" s="1132" t="n"/>
      <c r="IOA285" s="1132" t="n"/>
      <c r="IOB285" s="1132" t="n"/>
      <c r="IOC285" s="1132" t="n"/>
      <c r="IOD285" s="1132" t="n"/>
      <c r="IOE285" s="1132" t="n"/>
      <c r="IOF285" s="1132" t="n"/>
      <c r="IOG285" s="1132" t="n"/>
      <c r="IOH285" s="1132" t="n"/>
      <c r="IOI285" s="1132" t="n"/>
      <c r="IOJ285" s="1132" t="n"/>
      <c r="IOK285" s="1132" t="n"/>
      <c r="IOL285" s="1132" t="n"/>
      <c r="IOM285" s="1132" t="n"/>
      <c r="ION285" s="1132" t="n"/>
      <c r="IOO285" s="1132" t="n"/>
      <c r="IOP285" s="1132" t="n"/>
      <c r="IOQ285" s="1132" t="n"/>
      <c r="IOR285" s="1132" t="n"/>
      <c r="IOS285" s="1132" t="n"/>
      <c r="IOT285" s="1132" t="n"/>
      <c r="IOU285" s="1132" t="n"/>
      <c r="IOV285" s="1132" t="n"/>
      <c r="IOW285" s="1132" t="n"/>
      <c r="IOX285" s="1132" t="n"/>
      <c r="IOY285" s="1132" t="n"/>
      <c r="IOZ285" s="1132" t="n"/>
      <c r="IPA285" s="1132" t="n"/>
      <c r="IPB285" s="1132" t="n"/>
      <c r="IPC285" s="1132" t="n"/>
      <c r="IPD285" s="1132" t="n"/>
      <c r="IPE285" s="1132" t="n"/>
      <c r="IPF285" s="1132" t="n"/>
      <c r="IPG285" s="1132" t="n"/>
      <c r="IPH285" s="1132" t="n"/>
      <c r="IPI285" s="1132" t="n"/>
      <c r="IPJ285" s="1132" t="n"/>
      <c r="IPK285" s="1132" t="n"/>
      <c r="IPL285" s="1132" t="n"/>
      <c r="IPM285" s="1132" t="n"/>
      <c r="IPN285" s="1132" t="n"/>
      <c r="IPO285" s="1132" t="n"/>
      <c r="IPP285" s="1132" t="n"/>
      <c r="IPQ285" s="1132" t="n"/>
      <c r="IPR285" s="1132" t="n"/>
      <c r="IPS285" s="1132" t="n"/>
      <c r="IPT285" s="1132" t="n"/>
      <c r="IPU285" s="1132" t="n"/>
      <c r="IPV285" s="1132" t="n"/>
      <c r="IPW285" s="1132" t="n"/>
      <c r="IPX285" s="1132" t="n"/>
      <c r="IPY285" s="1132" t="n"/>
      <c r="IPZ285" s="1132" t="n"/>
      <c r="IQA285" s="1132" t="n"/>
      <c r="IQB285" s="1132" t="n"/>
      <c r="IQC285" s="1132" t="n"/>
      <c r="IQD285" s="1132" t="n"/>
      <c r="IQE285" s="1132" t="n"/>
      <c r="IQF285" s="1132" t="n"/>
      <c r="IQG285" s="1132" t="n"/>
      <c r="IQH285" s="1132" t="n"/>
      <c r="IQI285" s="1132" t="n"/>
      <c r="IQJ285" s="1132" t="n"/>
      <c r="IQK285" s="1132" t="n"/>
      <c r="IQL285" s="1132" t="n"/>
      <c r="IQM285" s="1132" t="n"/>
      <c r="IQN285" s="1132" t="n"/>
      <c r="IQO285" s="1132" t="n"/>
      <c r="IQP285" s="1132" t="n"/>
      <c r="IQQ285" s="1132" t="n"/>
      <c r="IQR285" s="1132" t="n"/>
      <c r="IQS285" s="1132" t="n"/>
      <c r="IQT285" s="1132" t="n"/>
      <c r="IQU285" s="1132" t="n"/>
      <c r="IQV285" s="1132" t="n"/>
      <c r="IQW285" s="1132" t="n"/>
      <c r="IQX285" s="1132" t="n"/>
      <c r="IQY285" s="1132" t="n"/>
      <c r="IQZ285" s="1132" t="n"/>
      <c r="IRA285" s="1132" t="n"/>
      <c r="IRB285" s="1132" t="n"/>
      <c r="IRC285" s="1132" t="n"/>
      <c r="IRD285" s="1132" t="n"/>
      <c r="IRE285" s="1132" t="n"/>
      <c r="IRF285" s="1132" t="n"/>
      <c r="IRG285" s="1132" t="n"/>
      <c r="IRH285" s="1132" t="n"/>
      <c r="IRI285" s="1132" t="n"/>
      <c r="IRJ285" s="1132" t="n"/>
      <c r="IRK285" s="1132" t="n"/>
      <c r="IRL285" s="1132" t="n"/>
      <c r="IRM285" s="1132" t="n"/>
      <c r="IRN285" s="1132" t="n"/>
      <c r="IRO285" s="1132" t="n"/>
      <c r="IRP285" s="1132" t="n"/>
      <c r="IRQ285" s="1132" t="n"/>
      <c r="IRR285" s="1132" t="n"/>
      <c r="IRS285" s="1132" t="n"/>
      <c r="IRT285" s="1132" t="n"/>
      <c r="IRU285" s="1132" t="n"/>
      <c r="IRV285" s="1132" t="n"/>
      <c r="IRW285" s="1132" t="n"/>
      <c r="IRX285" s="1132" t="n"/>
      <c r="IRY285" s="1132" t="n"/>
      <c r="IRZ285" s="1132" t="n"/>
      <c r="ISA285" s="1132" t="n"/>
      <c r="ISB285" s="1132" t="n"/>
      <c r="ISC285" s="1132" t="n"/>
      <c r="ISD285" s="1132" t="n"/>
      <c r="ISE285" s="1132" t="n"/>
      <c r="ISF285" s="1132" t="n"/>
      <c r="ISG285" s="1132" t="n"/>
      <c r="ISH285" s="1132" t="n"/>
      <c r="ISI285" s="1132" t="n"/>
      <c r="ISJ285" s="1132" t="n"/>
      <c r="ISK285" s="1132" t="n"/>
      <c r="ISL285" s="1132" t="n"/>
      <c r="ISM285" s="1132" t="n"/>
      <c r="ISN285" s="1132" t="n"/>
      <c r="ISO285" s="1132" t="n"/>
      <c r="ISP285" s="1132" t="n"/>
      <c r="ISQ285" s="1132" t="n"/>
      <c r="ISR285" s="1132" t="n"/>
      <c r="ISS285" s="1132" t="n"/>
      <c r="IST285" s="1132" t="n"/>
      <c r="ISU285" s="1132" t="n"/>
      <c r="ISV285" s="1132" t="n"/>
      <c r="ISW285" s="1132" t="n"/>
      <c r="ISX285" s="1132" t="n"/>
      <c r="ISY285" s="1132" t="n"/>
      <c r="ISZ285" s="1132" t="n"/>
      <c r="ITA285" s="1132" t="n"/>
      <c r="ITB285" s="1132" t="n"/>
      <c r="ITC285" s="1132" t="n"/>
      <c r="ITD285" s="1132" t="n"/>
      <c r="ITE285" s="1132" t="n"/>
      <c r="ITF285" s="1132" t="n"/>
      <c r="ITG285" s="1132" t="n"/>
      <c r="ITH285" s="1132" t="n"/>
      <c r="ITI285" s="1132" t="n"/>
      <c r="ITJ285" s="1132" t="n"/>
      <c r="ITK285" s="1132" t="n"/>
      <c r="ITL285" s="1132" t="n"/>
      <c r="ITM285" s="1132" t="n"/>
      <c r="ITN285" s="1132" t="n"/>
      <c r="ITO285" s="1132" t="n"/>
      <c r="ITP285" s="1132" t="n"/>
      <c r="ITQ285" s="1132" t="n"/>
      <c r="ITR285" s="1132" t="n"/>
      <c r="ITS285" s="1132" t="n"/>
      <c r="ITT285" s="1132" t="n"/>
      <c r="ITU285" s="1132" t="n"/>
      <c r="ITV285" s="1132" t="n"/>
      <c r="ITW285" s="1132" t="n"/>
      <c r="ITX285" s="1132" t="n"/>
      <c r="ITY285" s="1132" t="n"/>
      <c r="ITZ285" s="1132" t="n"/>
      <c r="IUA285" s="1132" t="n"/>
      <c r="IUB285" s="1132" t="n"/>
      <c r="IUC285" s="1132" t="n"/>
      <c r="IUD285" s="1132" t="n"/>
      <c r="IUE285" s="1132" t="n"/>
      <c r="IUF285" s="1132" t="n"/>
      <c r="IUG285" s="1132" t="n"/>
      <c r="IUH285" s="1132" t="n"/>
      <c r="IUI285" s="1132" t="n"/>
      <c r="IUJ285" s="1132" t="n"/>
      <c r="IUK285" s="1132" t="n"/>
      <c r="IUL285" s="1132" t="n"/>
      <c r="IUM285" s="1132" t="n"/>
      <c r="IUN285" s="1132" t="n"/>
      <c r="IUO285" s="1132" t="n"/>
      <c r="IUP285" s="1132" t="n"/>
      <c r="IUQ285" s="1132" t="n"/>
      <c r="IUR285" s="1132" t="n"/>
      <c r="IUS285" s="1132" t="n"/>
      <c r="IUT285" s="1132" t="n"/>
      <c r="IUU285" s="1132" t="n"/>
      <c r="IUV285" s="1132" t="n"/>
      <c r="IUW285" s="1132" t="n"/>
      <c r="IUX285" s="1132" t="n"/>
      <c r="IUY285" s="1132" t="n"/>
      <c r="IUZ285" s="1132" t="n"/>
      <c r="IVA285" s="1132" t="n"/>
      <c r="IVB285" s="1132" t="n"/>
      <c r="IVC285" s="1132" t="n"/>
      <c r="IVD285" s="1132" t="n"/>
      <c r="IVE285" s="1132" t="n"/>
      <c r="IVF285" s="1132" t="n"/>
      <c r="IVG285" s="1132" t="n"/>
      <c r="IVH285" s="1132" t="n"/>
      <c r="IVI285" s="1132" t="n"/>
      <c r="IVJ285" s="1132" t="n"/>
      <c r="IVK285" s="1132" t="n"/>
      <c r="IVL285" s="1132" t="n"/>
      <c r="IVM285" s="1132" t="n"/>
      <c r="IVN285" s="1132" t="n"/>
      <c r="IVO285" s="1132" t="n"/>
      <c r="IVP285" s="1132" t="n"/>
      <c r="IVQ285" s="1132" t="n"/>
      <c r="IVR285" s="1132" t="n"/>
      <c r="IVS285" s="1132" t="n"/>
      <c r="IVT285" s="1132" t="n"/>
      <c r="IVU285" s="1132" t="n"/>
      <c r="IVV285" s="1132" t="n"/>
      <c r="IVW285" s="1132" t="n"/>
      <c r="IVX285" s="1132" t="n"/>
      <c r="IVY285" s="1132" t="n"/>
      <c r="IVZ285" s="1132" t="n"/>
      <c r="IWA285" s="1132" t="n"/>
      <c r="IWB285" s="1132" t="n"/>
      <c r="IWC285" s="1132" t="n"/>
      <c r="IWD285" s="1132" t="n"/>
      <c r="IWE285" s="1132" t="n"/>
      <c r="IWF285" s="1132" t="n"/>
      <c r="IWG285" s="1132" t="n"/>
      <c r="IWH285" s="1132" t="n"/>
      <c r="IWI285" s="1132" t="n"/>
      <c r="IWJ285" s="1132" t="n"/>
      <c r="IWK285" s="1132" t="n"/>
      <c r="IWL285" s="1132" t="n"/>
      <c r="IWM285" s="1132" t="n"/>
      <c r="IWN285" s="1132" t="n"/>
      <c r="IWO285" s="1132" t="n"/>
      <c r="IWP285" s="1132" t="n"/>
      <c r="IWQ285" s="1132" t="n"/>
      <c r="IWR285" s="1132" t="n"/>
      <c r="IWS285" s="1132" t="n"/>
      <c r="IWT285" s="1132" t="n"/>
      <c r="IWU285" s="1132" t="n"/>
      <c r="IWV285" s="1132" t="n"/>
      <c r="IWW285" s="1132" t="n"/>
      <c r="IWX285" s="1132" t="n"/>
      <c r="IWY285" s="1132" t="n"/>
      <c r="IWZ285" s="1132" t="n"/>
      <c r="IXA285" s="1132" t="n"/>
      <c r="IXB285" s="1132" t="n"/>
      <c r="IXC285" s="1132" t="n"/>
      <c r="IXD285" s="1132" t="n"/>
      <c r="IXE285" s="1132" t="n"/>
      <c r="IXF285" s="1132" t="n"/>
      <c r="IXG285" s="1132" t="n"/>
      <c r="IXH285" s="1132" t="n"/>
      <c r="IXI285" s="1132" t="n"/>
      <c r="IXJ285" s="1132" t="n"/>
      <c r="IXK285" s="1132" t="n"/>
      <c r="IXL285" s="1132" t="n"/>
      <c r="IXM285" s="1132" t="n"/>
      <c r="IXN285" s="1132" t="n"/>
      <c r="IXO285" s="1132" t="n"/>
      <c r="IXP285" s="1132" t="n"/>
      <c r="IXQ285" s="1132" t="n"/>
      <c r="IXR285" s="1132" t="n"/>
      <c r="IXS285" s="1132" t="n"/>
      <c r="IXT285" s="1132" t="n"/>
      <c r="IXU285" s="1132" t="n"/>
      <c r="IXV285" s="1132" t="n"/>
      <c r="IXW285" s="1132" t="n"/>
      <c r="IXX285" s="1132" t="n"/>
      <c r="IXY285" s="1132" t="n"/>
      <c r="IXZ285" s="1132" t="n"/>
      <c r="IYA285" s="1132" t="n"/>
      <c r="IYB285" s="1132" t="n"/>
      <c r="IYC285" s="1132" t="n"/>
      <c r="IYD285" s="1132" t="n"/>
      <c r="IYE285" s="1132" t="n"/>
      <c r="IYF285" s="1132" t="n"/>
      <c r="IYG285" s="1132" t="n"/>
      <c r="IYH285" s="1132" t="n"/>
      <c r="IYI285" s="1132" t="n"/>
      <c r="IYJ285" s="1132" t="n"/>
      <c r="IYK285" s="1132" t="n"/>
      <c r="IYL285" s="1132" t="n"/>
      <c r="IYM285" s="1132" t="n"/>
      <c r="IYN285" s="1132" t="n"/>
      <c r="IYO285" s="1132" t="n"/>
      <c r="IYP285" s="1132" t="n"/>
      <c r="IYQ285" s="1132" t="n"/>
      <c r="IYR285" s="1132" t="n"/>
      <c r="IYS285" s="1132" t="n"/>
      <c r="IYT285" s="1132" t="n"/>
      <c r="IYU285" s="1132" t="n"/>
      <c r="IYV285" s="1132" t="n"/>
      <c r="IYW285" s="1132" t="n"/>
      <c r="IYX285" s="1132" t="n"/>
      <c r="IYY285" s="1132" t="n"/>
      <c r="IYZ285" s="1132" t="n"/>
      <c r="IZA285" s="1132" t="n"/>
      <c r="IZB285" s="1132" t="n"/>
      <c r="IZC285" s="1132" t="n"/>
      <c r="IZD285" s="1132" t="n"/>
      <c r="IZE285" s="1132" t="n"/>
      <c r="IZF285" s="1132" t="n"/>
      <c r="IZG285" s="1132" t="n"/>
      <c r="IZH285" s="1132" t="n"/>
      <c r="IZI285" s="1132" t="n"/>
      <c r="IZJ285" s="1132" t="n"/>
      <c r="IZK285" s="1132" t="n"/>
      <c r="IZL285" s="1132" t="n"/>
      <c r="IZM285" s="1132" t="n"/>
      <c r="IZN285" s="1132" t="n"/>
      <c r="IZO285" s="1132" t="n"/>
      <c r="IZP285" s="1132" t="n"/>
      <c r="IZQ285" s="1132" t="n"/>
      <c r="IZR285" s="1132" t="n"/>
      <c r="IZS285" s="1132" t="n"/>
      <c r="IZT285" s="1132" t="n"/>
      <c r="IZU285" s="1132" t="n"/>
      <c r="IZV285" s="1132" t="n"/>
      <c r="IZW285" s="1132" t="n"/>
      <c r="IZX285" s="1132" t="n"/>
      <c r="IZY285" s="1132" t="n"/>
      <c r="IZZ285" s="1132" t="n"/>
      <c r="JAA285" s="1132" t="n"/>
      <c r="JAB285" s="1132" t="n"/>
      <c r="JAC285" s="1132" t="n"/>
      <c r="JAD285" s="1132" t="n"/>
      <c r="JAE285" s="1132" t="n"/>
      <c r="JAF285" s="1132" t="n"/>
      <c r="JAG285" s="1132" t="n"/>
      <c r="JAH285" s="1132" t="n"/>
      <c r="JAI285" s="1132" t="n"/>
      <c r="JAJ285" s="1132" t="n"/>
      <c r="JAK285" s="1132" t="n"/>
      <c r="JAL285" s="1132" t="n"/>
      <c r="JAM285" s="1132" t="n"/>
      <c r="JAN285" s="1132" t="n"/>
      <c r="JAO285" s="1132" t="n"/>
      <c r="JAP285" s="1132" t="n"/>
      <c r="JAQ285" s="1132" t="n"/>
      <c r="JAR285" s="1132" t="n"/>
      <c r="JAS285" s="1132" t="n"/>
      <c r="JAT285" s="1132" t="n"/>
      <c r="JAU285" s="1132" t="n"/>
      <c r="JAV285" s="1132" t="n"/>
      <c r="JAW285" s="1132" t="n"/>
      <c r="JAX285" s="1132" t="n"/>
      <c r="JAY285" s="1132" t="n"/>
      <c r="JAZ285" s="1132" t="n"/>
      <c r="JBA285" s="1132" t="n"/>
      <c r="JBB285" s="1132" t="n"/>
      <c r="JBC285" s="1132" t="n"/>
      <c r="JBD285" s="1132" t="n"/>
      <c r="JBE285" s="1132" t="n"/>
      <c r="JBF285" s="1132" t="n"/>
      <c r="JBG285" s="1132" t="n"/>
      <c r="JBH285" s="1132" t="n"/>
      <c r="JBI285" s="1132" t="n"/>
      <c r="JBJ285" s="1132" t="n"/>
      <c r="JBK285" s="1132" t="n"/>
      <c r="JBL285" s="1132" t="n"/>
      <c r="JBM285" s="1132" t="n"/>
      <c r="JBN285" s="1132" t="n"/>
      <c r="JBO285" s="1132" t="n"/>
      <c r="JBP285" s="1132" t="n"/>
      <c r="JBQ285" s="1132" t="n"/>
      <c r="JBR285" s="1132" t="n"/>
      <c r="JBS285" s="1132" t="n"/>
      <c r="JBT285" s="1132" t="n"/>
      <c r="JBU285" s="1132" t="n"/>
      <c r="JBV285" s="1132" t="n"/>
      <c r="JBW285" s="1132" t="n"/>
      <c r="JBX285" s="1132" t="n"/>
      <c r="JBY285" s="1132" t="n"/>
      <c r="JBZ285" s="1132" t="n"/>
      <c r="JCA285" s="1132" t="n"/>
      <c r="JCB285" s="1132" t="n"/>
      <c r="JCC285" s="1132" t="n"/>
      <c r="JCD285" s="1132" t="n"/>
      <c r="JCE285" s="1132" t="n"/>
      <c r="JCF285" s="1132" t="n"/>
      <c r="JCG285" s="1132" t="n"/>
      <c r="JCH285" s="1132" t="n"/>
      <c r="JCI285" s="1132" t="n"/>
      <c r="JCJ285" s="1132" t="n"/>
      <c r="JCK285" s="1132" t="n"/>
      <c r="JCL285" s="1132" t="n"/>
      <c r="JCM285" s="1132" t="n"/>
      <c r="JCN285" s="1132" t="n"/>
      <c r="JCO285" s="1132" t="n"/>
      <c r="JCP285" s="1132" t="n"/>
      <c r="JCQ285" s="1132" t="n"/>
      <c r="JCR285" s="1132" t="n"/>
      <c r="JCS285" s="1132" t="n"/>
      <c r="JCT285" s="1132" t="n"/>
      <c r="JCU285" s="1132" t="n"/>
      <c r="JCV285" s="1132" t="n"/>
      <c r="JCW285" s="1132" t="n"/>
      <c r="JCX285" s="1132" t="n"/>
      <c r="JCY285" s="1132" t="n"/>
      <c r="JCZ285" s="1132" t="n"/>
      <c r="JDA285" s="1132" t="n"/>
      <c r="JDB285" s="1132" t="n"/>
      <c r="JDC285" s="1132" t="n"/>
      <c r="JDD285" s="1132" t="n"/>
      <c r="JDE285" s="1132" t="n"/>
      <c r="JDF285" s="1132" t="n"/>
      <c r="JDG285" s="1132" t="n"/>
      <c r="JDH285" s="1132" t="n"/>
      <c r="JDI285" s="1132" t="n"/>
      <c r="JDJ285" s="1132" t="n"/>
      <c r="JDK285" s="1132" t="n"/>
      <c r="JDL285" s="1132" t="n"/>
      <c r="JDM285" s="1132" t="n"/>
      <c r="JDN285" s="1132" t="n"/>
      <c r="JDO285" s="1132" t="n"/>
      <c r="JDP285" s="1132" t="n"/>
      <c r="JDQ285" s="1132" t="n"/>
      <c r="JDR285" s="1132" t="n"/>
      <c r="JDS285" s="1132" t="n"/>
      <c r="JDT285" s="1132" t="n"/>
      <c r="JDU285" s="1132" t="n"/>
      <c r="JDV285" s="1132" t="n"/>
      <c r="JDW285" s="1132" t="n"/>
      <c r="JDX285" s="1132" t="n"/>
      <c r="JDY285" s="1132" t="n"/>
      <c r="JDZ285" s="1132" t="n"/>
      <c r="JEA285" s="1132" t="n"/>
      <c r="JEB285" s="1132" t="n"/>
      <c r="JEC285" s="1132" t="n"/>
      <c r="JED285" s="1132" t="n"/>
      <c r="JEE285" s="1132" t="n"/>
      <c r="JEF285" s="1132" t="n"/>
      <c r="JEG285" s="1132" t="n"/>
      <c r="JEH285" s="1132" t="n"/>
      <c r="JEI285" s="1132" t="n"/>
      <c r="JEJ285" s="1132" t="n"/>
      <c r="JEK285" s="1132" t="n"/>
      <c r="JEL285" s="1132" t="n"/>
      <c r="JEM285" s="1132" t="n"/>
      <c r="JEN285" s="1132" t="n"/>
      <c r="JEO285" s="1132" t="n"/>
      <c r="JEP285" s="1132" t="n"/>
      <c r="JEQ285" s="1132" t="n"/>
      <c r="JER285" s="1132" t="n"/>
      <c r="JES285" s="1132" t="n"/>
      <c r="JET285" s="1132" t="n"/>
      <c r="JEU285" s="1132" t="n"/>
      <c r="JEV285" s="1132" t="n"/>
      <c r="JEW285" s="1132" t="n"/>
      <c r="JEX285" s="1132" t="n"/>
      <c r="JEY285" s="1132" t="n"/>
      <c r="JEZ285" s="1132" t="n"/>
      <c r="JFA285" s="1132" t="n"/>
      <c r="JFB285" s="1132" t="n"/>
      <c r="JFC285" s="1132" t="n"/>
      <c r="JFD285" s="1132" t="n"/>
      <c r="JFE285" s="1132" t="n"/>
      <c r="JFF285" s="1132" t="n"/>
      <c r="JFG285" s="1132" t="n"/>
      <c r="JFH285" s="1132" t="n"/>
      <c r="JFI285" s="1132" t="n"/>
      <c r="JFJ285" s="1132" t="n"/>
      <c r="JFK285" s="1132" t="n"/>
      <c r="JFL285" s="1132" t="n"/>
      <c r="JFM285" s="1132" t="n"/>
      <c r="JFN285" s="1132" t="n"/>
      <c r="JFO285" s="1132" t="n"/>
      <c r="JFP285" s="1132" t="n"/>
      <c r="JFQ285" s="1132" t="n"/>
      <c r="JFR285" s="1132" t="n"/>
      <c r="JFS285" s="1132" t="n"/>
      <c r="JFT285" s="1132" t="n"/>
      <c r="JFU285" s="1132" t="n"/>
      <c r="JFV285" s="1132" t="n"/>
      <c r="JFW285" s="1132" t="n"/>
      <c r="JFX285" s="1132" t="n"/>
      <c r="JFY285" s="1132" t="n"/>
      <c r="JFZ285" s="1132" t="n"/>
      <c r="JGA285" s="1132" t="n"/>
      <c r="JGB285" s="1132" t="n"/>
      <c r="JGC285" s="1132" t="n"/>
      <c r="JGD285" s="1132" t="n"/>
      <c r="JGE285" s="1132" t="n"/>
      <c r="JGF285" s="1132" t="n"/>
      <c r="JGG285" s="1132" t="n"/>
      <c r="JGH285" s="1132" t="n"/>
      <c r="JGI285" s="1132" t="n"/>
      <c r="JGJ285" s="1132" t="n"/>
      <c r="JGK285" s="1132" t="n"/>
      <c r="JGL285" s="1132" t="n"/>
      <c r="JGM285" s="1132" t="n"/>
      <c r="JGN285" s="1132" t="n"/>
      <c r="JGO285" s="1132" t="n"/>
      <c r="JGP285" s="1132" t="n"/>
      <c r="JGQ285" s="1132" t="n"/>
      <c r="JGR285" s="1132" t="n"/>
      <c r="JGS285" s="1132" t="n"/>
      <c r="JGT285" s="1132" t="n"/>
      <c r="JGU285" s="1132" t="n"/>
      <c r="JGV285" s="1132" t="n"/>
      <c r="JGW285" s="1132" t="n"/>
      <c r="JGX285" s="1132" t="n"/>
      <c r="JGY285" s="1132" t="n"/>
      <c r="JGZ285" s="1132" t="n"/>
      <c r="JHA285" s="1132" t="n"/>
      <c r="JHB285" s="1132" t="n"/>
      <c r="JHC285" s="1132" t="n"/>
      <c r="JHD285" s="1132" t="n"/>
      <c r="JHE285" s="1132" t="n"/>
      <c r="JHF285" s="1132" t="n"/>
      <c r="JHG285" s="1132" t="n"/>
      <c r="JHH285" s="1132" t="n"/>
      <c r="JHI285" s="1132" t="n"/>
      <c r="JHJ285" s="1132" t="n"/>
      <c r="JHK285" s="1132" t="n"/>
      <c r="JHL285" s="1132" t="n"/>
      <c r="JHM285" s="1132" t="n"/>
      <c r="JHN285" s="1132" t="n"/>
      <c r="JHO285" s="1132" t="n"/>
      <c r="JHP285" s="1132" t="n"/>
      <c r="JHQ285" s="1132" t="n"/>
      <c r="JHR285" s="1132" t="n"/>
      <c r="JHS285" s="1132" t="n"/>
      <c r="JHT285" s="1132" t="n"/>
      <c r="JHU285" s="1132" t="n"/>
      <c r="JHV285" s="1132" t="n"/>
      <c r="JHW285" s="1132" t="n"/>
      <c r="JHX285" s="1132" t="n"/>
      <c r="JHY285" s="1132" t="n"/>
      <c r="JHZ285" s="1132" t="n"/>
      <c r="JIA285" s="1132" t="n"/>
      <c r="JIB285" s="1132" t="n"/>
      <c r="JIC285" s="1132" t="n"/>
      <c r="JID285" s="1132" t="n"/>
      <c r="JIE285" s="1132" t="n"/>
      <c r="JIF285" s="1132" t="n"/>
      <c r="JIG285" s="1132" t="n"/>
      <c r="JIH285" s="1132" t="n"/>
      <c r="JII285" s="1132" t="n"/>
      <c r="JIJ285" s="1132" t="n"/>
      <c r="JIK285" s="1132" t="n"/>
      <c r="JIL285" s="1132" t="n"/>
      <c r="JIM285" s="1132" t="n"/>
      <c r="JIN285" s="1132" t="n"/>
      <c r="JIO285" s="1132" t="n"/>
      <c r="JIP285" s="1132" t="n"/>
      <c r="JIQ285" s="1132" t="n"/>
      <c r="JIR285" s="1132" t="n"/>
      <c r="JIS285" s="1132" t="n"/>
      <c r="JIT285" s="1132" t="n"/>
      <c r="JIU285" s="1132" t="n"/>
      <c r="JIV285" s="1132" t="n"/>
      <c r="JIW285" s="1132" t="n"/>
      <c r="JIX285" s="1132" t="n"/>
      <c r="JIY285" s="1132" t="n"/>
      <c r="JIZ285" s="1132" t="n"/>
      <c r="JJA285" s="1132" t="n"/>
      <c r="JJB285" s="1132" t="n"/>
      <c r="JJC285" s="1132" t="n"/>
      <c r="JJD285" s="1132" t="n"/>
      <c r="JJE285" s="1132" t="n"/>
      <c r="JJF285" s="1132" t="n"/>
      <c r="JJG285" s="1132" t="n"/>
      <c r="JJH285" s="1132" t="n"/>
      <c r="JJI285" s="1132" t="n"/>
      <c r="JJJ285" s="1132" t="n"/>
      <c r="JJK285" s="1132" t="n"/>
      <c r="JJL285" s="1132" t="n"/>
      <c r="JJM285" s="1132" t="n"/>
      <c r="JJN285" s="1132" t="n"/>
      <c r="JJO285" s="1132" t="n"/>
      <c r="JJP285" s="1132" t="n"/>
      <c r="JJQ285" s="1132" t="n"/>
      <c r="JJR285" s="1132" t="n"/>
      <c r="JJS285" s="1132" t="n"/>
      <c r="JJT285" s="1132" t="n"/>
      <c r="JJU285" s="1132" t="n"/>
      <c r="JJV285" s="1132" t="n"/>
      <c r="JJW285" s="1132" t="n"/>
      <c r="JJX285" s="1132" t="n"/>
      <c r="JJY285" s="1132" t="n"/>
      <c r="JJZ285" s="1132" t="n"/>
      <c r="JKA285" s="1132" t="n"/>
      <c r="JKB285" s="1132" t="n"/>
      <c r="JKC285" s="1132" t="n"/>
      <c r="JKD285" s="1132" t="n"/>
      <c r="JKE285" s="1132" t="n"/>
      <c r="JKF285" s="1132" t="n"/>
      <c r="JKG285" s="1132" t="n"/>
      <c r="JKH285" s="1132" t="n"/>
      <c r="JKI285" s="1132" t="n"/>
      <c r="JKJ285" s="1132" t="n"/>
      <c r="JKK285" s="1132" t="n"/>
      <c r="JKL285" s="1132" t="n"/>
      <c r="JKM285" s="1132" t="n"/>
      <c r="JKN285" s="1132" t="n"/>
      <c r="JKO285" s="1132" t="n"/>
      <c r="JKP285" s="1132" t="n"/>
      <c r="JKQ285" s="1132" t="n"/>
      <c r="JKR285" s="1132" t="n"/>
      <c r="JKS285" s="1132" t="n"/>
      <c r="JKT285" s="1132" t="n"/>
      <c r="JKU285" s="1132" t="n"/>
      <c r="JKV285" s="1132" t="n"/>
      <c r="JKW285" s="1132" t="n"/>
      <c r="JKX285" s="1132" t="n"/>
      <c r="JKY285" s="1132" t="n"/>
      <c r="JKZ285" s="1132" t="n"/>
      <c r="JLA285" s="1132" t="n"/>
      <c r="JLB285" s="1132" t="n"/>
      <c r="JLC285" s="1132" t="n"/>
      <c r="JLD285" s="1132" t="n"/>
      <c r="JLE285" s="1132" t="n"/>
      <c r="JLF285" s="1132" t="n"/>
      <c r="JLG285" s="1132" t="n"/>
      <c r="JLH285" s="1132" t="n"/>
      <c r="JLI285" s="1132" t="n"/>
      <c r="JLJ285" s="1132" t="n"/>
      <c r="JLK285" s="1132" t="n"/>
      <c r="JLL285" s="1132" t="n"/>
      <c r="JLM285" s="1132" t="n"/>
      <c r="JLN285" s="1132" t="n"/>
      <c r="JLO285" s="1132" t="n"/>
      <c r="JLP285" s="1132" t="n"/>
      <c r="JLQ285" s="1132" t="n"/>
      <c r="JLR285" s="1132" t="n"/>
      <c r="JLS285" s="1132" t="n"/>
      <c r="JLT285" s="1132" t="n"/>
      <c r="JLU285" s="1132" t="n"/>
      <c r="JLV285" s="1132" t="n"/>
      <c r="JLW285" s="1132" t="n"/>
      <c r="JLX285" s="1132" t="n"/>
      <c r="JLY285" s="1132" t="n"/>
      <c r="JLZ285" s="1132" t="n"/>
      <c r="JMA285" s="1132" t="n"/>
      <c r="JMB285" s="1132" t="n"/>
      <c r="JMC285" s="1132" t="n"/>
      <c r="JMD285" s="1132" t="n"/>
      <c r="JME285" s="1132" t="n"/>
      <c r="JMF285" s="1132" t="n"/>
      <c r="JMG285" s="1132" t="n"/>
      <c r="JMH285" s="1132" t="n"/>
      <c r="JMI285" s="1132" t="n"/>
      <c r="JMJ285" s="1132" t="n"/>
      <c r="JMK285" s="1132" t="n"/>
      <c r="JML285" s="1132" t="n"/>
      <c r="JMM285" s="1132" t="n"/>
      <c r="JMN285" s="1132" t="n"/>
      <c r="JMO285" s="1132" t="n"/>
      <c r="JMP285" s="1132" t="n"/>
      <c r="JMQ285" s="1132" t="n"/>
      <c r="JMR285" s="1132" t="n"/>
      <c r="JMS285" s="1132" t="n"/>
      <c r="JMT285" s="1132" t="n"/>
      <c r="JMU285" s="1132" t="n"/>
      <c r="JMV285" s="1132" t="n"/>
      <c r="JMW285" s="1132" t="n"/>
      <c r="JMX285" s="1132" t="n"/>
      <c r="JMY285" s="1132" t="n"/>
      <c r="JMZ285" s="1132" t="n"/>
      <c r="JNA285" s="1132" t="n"/>
      <c r="JNB285" s="1132" t="n"/>
      <c r="JNC285" s="1132" t="n"/>
      <c r="JND285" s="1132" t="n"/>
      <c r="JNE285" s="1132" t="n"/>
      <c r="JNF285" s="1132" t="n"/>
      <c r="JNG285" s="1132" t="n"/>
      <c r="JNH285" s="1132" t="n"/>
      <c r="JNI285" s="1132" t="n"/>
      <c r="JNJ285" s="1132" t="n"/>
      <c r="JNK285" s="1132" t="n"/>
      <c r="JNL285" s="1132" t="n"/>
      <c r="JNM285" s="1132" t="n"/>
      <c r="JNN285" s="1132" t="n"/>
      <c r="JNO285" s="1132" t="n"/>
      <c r="JNP285" s="1132" t="n"/>
      <c r="JNQ285" s="1132" t="n"/>
      <c r="JNR285" s="1132" t="n"/>
      <c r="JNS285" s="1132" t="n"/>
      <c r="JNT285" s="1132" t="n"/>
      <c r="JNU285" s="1132" t="n"/>
      <c r="JNV285" s="1132" t="n"/>
      <c r="JNW285" s="1132" t="n"/>
      <c r="JNX285" s="1132" t="n"/>
      <c r="JNY285" s="1132" t="n"/>
      <c r="JNZ285" s="1132" t="n"/>
      <c r="JOA285" s="1132" t="n"/>
      <c r="JOB285" s="1132" t="n"/>
      <c r="JOC285" s="1132" t="n"/>
      <c r="JOD285" s="1132" t="n"/>
      <c r="JOE285" s="1132" t="n"/>
      <c r="JOF285" s="1132" t="n"/>
      <c r="JOG285" s="1132" t="n"/>
      <c r="JOH285" s="1132" t="n"/>
      <c r="JOI285" s="1132" t="n"/>
      <c r="JOJ285" s="1132" t="n"/>
      <c r="JOK285" s="1132" t="n"/>
      <c r="JOL285" s="1132" t="n"/>
      <c r="JOM285" s="1132" t="n"/>
      <c r="JON285" s="1132" t="n"/>
      <c r="JOO285" s="1132" t="n"/>
      <c r="JOP285" s="1132" t="n"/>
      <c r="JOQ285" s="1132" t="n"/>
      <c r="JOR285" s="1132" t="n"/>
      <c r="JOS285" s="1132" t="n"/>
      <c r="JOT285" s="1132" t="n"/>
      <c r="JOU285" s="1132" t="n"/>
      <c r="JOV285" s="1132" t="n"/>
      <c r="JOW285" s="1132" t="n"/>
      <c r="JOX285" s="1132" t="n"/>
      <c r="JOY285" s="1132" t="n"/>
      <c r="JOZ285" s="1132" t="n"/>
      <c r="JPA285" s="1132" t="n"/>
      <c r="JPB285" s="1132" t="n"/>
      <c r="JPC285" s="1132" t="n"/>
      <c r="JPD285" s="1132" t="n"/>
      <c r="JPE285" s="1132" t="n"/>
      <c r="JPF285" s="1132" t="n"/>
      <c r="JPG285" s="1132" t="n"/>
      <c r="JPH285" s="1132" t="n"/>
      <c r="JPI285" s="1132" t="n"/>
      <c r="JPJ285" s="1132" t="n"/>
      <c r="JPK285" s="1132" t="n"/>
      <c r="JPL285" s="1132" t="n"/>
      <c r="JPM285" s="1132" t="n"/>
      <c r="JPN285" s="1132" t="n"/>
      <c r="JPO285" s="1132" t="n"/>
      <c r="JPP285" s="1132" t="n"/>
      <c r="JPQ285" s="1132" t="n"/>
      <c r="JPR285" s="1132" t="n"/>
      <c r="JPS285" s="1132" t="n"/>
      <c r="JPT285" s="1132" t="n"/>
      <c r="JPU285" s="1132" t="n"/>
      <c r="JPV285" s="1132" t="n"/>
      <c r="JPW285" s="1132" t="n"/>
      <c r="JPX285" s="1132" t="n"/>
      <c r="JPY285" s="1132" t="n"/>
      <c r="JPZ285" s="1132" t="n"/>
      <c r="JQA285" s="1132" t="n"/>
      <c r="JQB285" s="1132" t="n"/>
      <c r="JQC285" s="1132" t="n"/>
      <c r="JQD285" s="1132" t="n"/>
      <c r="JQE285" s="1132" t="n"/>
      <c r="JQF285" s="1132" t="n"/>
      <c r="JQG285" s="1132" t="n"/>
      <c r="JQH285" s="1132" t="n"/>
      <c r="JQI285" s="1132" t="n"/>
      <c r="JQJ285" s="1132" t="n"/>
      <c r="JQK285" s="1132" t="n"/>
      <c r="JQL285" s="1132" t="n"/>
      <c r="JQM285" s="1132" t="n"/>
      <c r="JQN285" s="1132" t="n"/>
      <c r="JQO285" s="1132" t="n"/>
      <c r="JQP285" s="1132" t="n"/>
      <c r="JQQ285" s="1132" t="n"/>
      <c r="JQR285" s="1132" t="n"/>
      <c r="JQS285" s="1132" t="n"/>
      <c r="JQT285" s="1132" t="n"/>
      <c r="JQU285" s="1132" t="n"/>
      <c r="JQV285" s="1132" t="n"/>
      <c r="JQW285" s="1132" t="n"/>
      <c r="JQX285" s="1132" t="n"/>
      <c r="JQY285" s="1132" t="n"/>
      <c r="JQZ285" s="1132" t="n"/>
      <c r="JRA285" s="1132" t="n"/>
      <c r="JRB285" s="1132" t="n"/>
      <c r="JRC285" s="1132" t="n"/>
      <c r="JRD285" s="1132" t="n"/>
      <c r="JRE285" s="1132" t="n"/>
      <c r="JRF285" s="1132" t="n"/>
      <c r="JRG285" s="1132" t="n"/>
      <c r="JRH285" s="1132" t="n"/>
      <c r="JRI285" s="1132" t="n"/>
      <c r="JRJ285" s="1132" t="n"/>
      <c r="JRK285" s="1132" t="n"/>
      <c r="JRL285" s="1132" t="n"/>
      <c r="JRM285" s="1132" t="n"/>
      <c r="JRN285" s="1132" t="n"/>
      <c r="JRO285" s="1132" t="n"/>
      <c r="JRP285" s="1132" t="n"/>
      <c r="JRQ285" s="1132" t="n"/>
      <c r="JRR285" s="1132" t="n"/>
      <c r="JRS285" s="1132" t="n"/>
      <c r="JRT285" s="1132" t="n"/>
      <c r="JRU285" s="1132" t="n"/>
      <c r="JRV285" s="1132" t="n"/>
      <c r="JRW285" s="1132" t="n"/>
      <c r="JRX285" s="1132" t="n"/>
      <c r="JRY285" s="1132" t="n"/>
      <c r="JRZ285" s="1132" t="n"/>
      <c r="JSA285" s="1132" t="n"/>
      <c r="JSB285" s="1132" t="n"/>
      <c r="JSC285" s="1132" t="n"/>
      <c r="JSD285" s="1132" t="n"/>
      <c r="JSE285" s="1132" t="n"/>
      <c r="JSF285" s="1132" t="n"/>
      <c r="JSG285" s="1132" t="n"/>
      <c r="JSH285" s="1132" t="n"/>
      <c r="JSI285" s="1132" t="n"/>
      <c r="JSJ285" s="1132" t="n"/>
      <c r="JSK285" s="1132" t="n"/>
      <c r="JSL285" s="1132" t="n"/>
      <c r="JSM285" s="1132" t="n"/>
      <c r="JSN285" s="1132" t="n"/>
      <c r="JSO285" s="1132" t="n"/>
      <c r="JSP285" s="1132" t="n"/>
      <c r="JSQ285" s="1132" t="n"/>
      <c r="JSR285" s="1132" t="n"/>
      <c r="JSS285" s="1132" t="n"/>
      <c r="JST285" s="1132" t="n"/>
      <c r="JSU285" s="1132" t="n"/>
      <c r="JSV285" s="1132" t="n"/>
      <c r="JSW285" s="1132" t="n"/>
      <c r="JSX285" s="1132" t="n"/>
      <c r="JSY285" s="1132" t="n"/>
      <c r="JSZ285" s="1132" t="n"/>
      <c r="JTA285" s="1132" t="n"/>
      <c r="JTB285" s="1132" t="n"/>
      <c r="JTC285" s="1132" t="n"/>
      <c r="JTD285" s="1132" t="n"/>
      <c r="JTE285" s="1132" t="n"/>
      <c r="JTF285" s="1132" t="n"/>
      <c r="JTG285" s="1132" t="n"/>
      <c r="JTH285" s="1132" t="n"/>
      <c r="JTI285" s="1132" t="n"/>
      <c r="JTJ285" s="1132" t="n"/>
      <c r="JTK285" s="1132" t="n"/>
      <c r="JTL285" s="1132" t="n"/>
      <c r="JTM285" s="1132" t="n"/>
      <c r="JTN285" s="1132" t="n"/>
      <c r="JTO285" s="1132" t="n"/>
      <c r="JTP285" s="1132" t="n"/>
      <c r="JTQ285" s="1132" t="n"/>
      <c r="JTR285" s="1132" t="n"/>
      <c r="JTS285" s="1132" t="n"/>
      <c r="JTT285" s="1132" t="n"/>
      <c r="JTU285" s="1132" t="n"/>
      <c r="JTV285" s="1132" t="n"/>
      <c r="JTW285" s="1132" t="n"/>
      <c r="JTX285" s="1132" t="n"/>
      <c r="JTY285" s="1132" t="n"/>
      <c r="JTZ285" s="1132" t="n"/>
      <c r="JUA285" s="1132" t="n"/>
      <c r="JUB285" s="1132" t="n"/>
      <c r="JUC285" s="1132" t="n"/>
      <c r="JUD285" s="1132" t="n"/>
      <c r="JUE285" s="1132" t="n"/>
      <c r="JUF285" s="1132" t="n"/>
      <c r="JUG285" s="1132" t="n"/>
      <c r="JUH285" s="1132" t="n"/>
      <c r="JUI285" s="1132" t="n"/>
      <c r="JUJ285" s="1132" t="n"/>
      <c r="JUK285" s="1132" t="n"/>
      <c r="JUL285" s="1132" t="n"/>
      <c r="JUM285" s="1132" t="n"/>
      <c r="JUN285" s="1132" t="n"/>
      <c r="JUO285" s="1132" t="n"/>
      <c r="JUP285" s="1132" t="n"/>
      <c r="JUQ285" s="1132" t="n"/>
      <c r="JUR285" s="1132" t="n"/>
      <c r="JUS285" s="1132" t="n"/>
      <c r="JUT285" s="1132" t="n"/>
      <c r="JUU285" s="1132" t="n"/>
      <c r="JUV285" s="1132" t="n"/>
      <c r="JUW285" s="1132" t="n"/>
      <c r="JUX285" s="1132" t="n"/>
      <c r="JUY285" s="1132" t="n"/>
      <c r="JUZ285" s="1132" t="n"/>
      <c r="JVA285" s="1132" t="n"/>
      <c r="JVB285" s="1132" t="n"/>
      <c r="JVC285" s="1132" t="n"/>
      <c r="JVD285" s="1132" t="n"/>
      <c r="JVE285" s="1132" t="n"/>
      <c r="JVF285" s="1132" t="n"/>
      <c r="JVG285" s="1132" t="n"/>
      <c r="JVH285" s="1132" t="n"/>
      <c r="JVI285" s="1132" t="n"/>
      <c r="JVJ285" s="1132" t="n"/>
      <c r="JVK285" s="1132" t="n"/>
      <c r="JVL285" s="1132" t="n"/>
      <c r="JVM285" s="1132" t="n"/>
      <c r="JVN285" s="1132" t="n"/>
      <c r="JVO285" s="1132" t="n"/>
      <c r="JVP285" s="1132" t="n"/>
      <c r="JVQ285" s="1132" t="n"/>
      <c r="JVR285" s="1132" t="n"/>
      <c r="JVS285" s="1132" t="n"/>
      <c r="JVT285" s="1132" t="n"/>
      <c r="JVU285" s="1132" t="n"/>
      <c r="JVV285" s="1132" t="n"/>
      <c r="JVW285" s="1132" t="n"/>
      <c r="JVX285" s="1132" t="n"/>
      <c r="JVY285" s="1132" t="n"/>
      <c r="JVZ285" s="1132" t="n"/>
      <c r="JWA285" s="1132" t="n"/>
      <c r="JWB285" s="1132" t="n"/>
      <c r="JWC285" s="1132" t="n"/>
      <c r="JWD285" s="1132" t="n"/>
      <c r="JWE285" s="1132" t="n"/>
      <c r="JWF285" s="1132" t="n"/>
      <c r="JWG285" s="1132" t="n"/>
      <c r="JWH285" s="1132" t="n"/>
      <c r="JWI285" s="1132" t="n"/>
      <c r="JWJ285" s="1132" t="n"/>
      <c r="JWK285" s="1132" t="n"/>
      <c r="JWL285" s="1132" t="n"/>
      <c r="JWM285" s="1132" t="n"/>
      <c r="JWN285" s="1132" t="n"/>
      <c r="JWO285" s="1132" t="n"/>
      <c r="JWP285" s="1132" t="n"/>
      <c r="JWQ285" s="1132" t="n"/>
      <c r="JWR285" s="1132" t="n"/>
      <c r="JWS285" s="1132" t="n"/>
      <c r="JWT285" s="1132" t="n"/>
      <c r="JWU285" s="1132" t="n"/>
      <c r="JWV285" s="1132" t="n"/>
      <c r="JWW285" s="1132" t="n"/>
      <c r="JWX285" s="1132" t="n"/>
      <c r="JWY285" s="1132" t="n"/>
      <c r="JWZ285" s="1132" t="n"/>
      <c r="JXA285" s="1132" t="n"/>
      <c r="JXB285" s="1132" t="n"/>
      <c r="JXC285" s="1132" t="n"/>
      <c r="JXD285" s="1132" t="n"/>
      <c r="JXE285" s="1132" t="n"/>
      <c r="JXF285" s="1132" t="n"/>
      <c r="JXG285" s="1132" t="n"/>
      <c r="JXH285" s="1132" t="n"/>
      <c r="JXI285" s="1132" t="n"/>
      <c r="JXJ285" s="1132" t="n"/>
      <c r="JXK285" s="1132" t="n"/>
      <c r="JXL285" s="1132" t="n"/>
      <c r="JXM285" s="1132" t="n"/>
      <c r="JXN285" s="1132" t="n"/>
      <c r="JXO285" s="1132" t="n"/>
      <c r="JXP285" s="1132" t="n"/>
      <c r="JXQ285" s="1132" t="n"/>
      <c r="JXR285" s="1132" t="n"/>
      <c r="JXS285" s="1132" t="n"/>
      <c r="JXT285" s="1132" t="n"/>
      <c r="JXU285" s="1132" t="n"/>
      <c r="JXV285" s="1132" t="n"/>
      <c r="JXW285" s="1132" t="n"/>
      <c r="JXX285" s="1132" t="n"/>
      <c r="JXY285" s="1132" t="n"/>
      <c r="JXZ285" s="1132" t="n"/>
      <c r="JYA285" s="1132" t="n"/>
      <c r="JYB285" s="1132" t="n"/>
      <c r="JYC285" s="1132" t="n"/>
      <c r="JYD285" s="1132" t="n"/>
      <c r="JYE285" s="1132" t="n"/>
      <c r="JYF285" s="1132" t="n"/>
      <c r="JYG285" s="1132" t="n"/>
      <c r="JYH285" s="1132" t="n"/>
      <c r="JYI285" s="1132" t="n"/>
      <c r="JYJ285" s="1132" t="n"/>
      <c r="JYK285" s="1132" t="n"/>
      <c r="JYL285" s="1132" t="n"/>
      <c r="JYM285" s="1132" t="n"/>
      <c r="JYN285" s="1132" t="n"/>
      <c r="JYO285" s="1132" t="n"/>
      <c r="JYP285" s="1132" t="n"/>
      <c r="JYQ285" s="1132" t="n"/>
      <c r="JYR285" s="1132" t="n"/>
      <c r="JYS285" s="1132" t="n"/>
      <c r="JYT285" s="1132" t="n"/>
      <c r="JYU285" s="1132" t="n"/>
      <c r="JYV285" s="1132" t="n"/>
      <c r="JYW285" s="1132" t="n"/>
      <c r="JYX285" s="1132" t="n"/>
      <c r="JYY285" s="1132" t="n"/>
      <c r="JYZ285" s="1132" t="n"/>
      <c r="JZA285" s="1132" t="n"/>
      <c r="JZB285" s="1132" t="n"/>
      <c r="JZC285" s="1132" t="n"/>
      <c r="JZD285" s="1132" t="n"/>
      <c r="JZE285" s="1132" t="n"/>
      <c r="JZF285" s="1132" t="n"/>
      <c r="JZG285" s="1132" t="n"/>
      <c r="JZH285" s="1132" t="n"/>
      <c r="JZI285" s="1132" t="n"/>
      <c r="JZJ285" s="1132" t="n"/>
      <c r="JZK285" s="1132" t="n"/>
      <c r="JZL285" s="1132" t="n"/>
      <c r="JZM285" s="1132" t="n"/>
      <c r="JZN285" s="1132" t="n"/>
      <c r="JZO285" s="1132" t="n"/>
      <c r="JZP285" s="1132" t="n"/>
      <c r="JZQ285" s="1132" t="n"/>
      <c r="JZR285" s="1132" t="n"/>
      <c r="JZS285" s="1132" t="n"/>
      <c r="JZT285" s="1132" t="n"/>
      <c r="JZU285" s="1132" t="n"/>
      <c r="JZV285" s="1132" t="n"/>
      <c r="JZW285" s="1132" t="n"/>
      <c r="JZX285" s="1132" t="n"/>
      <c r="JZY285" s="1132" t="n"/>
      <c r="JZZ285" s="1132" t="n"/>
      <c r="KAA285" s="1132" t="n"/>
      <c r="KAB285" s="1132" t="n"/>
      <c r="KAC285" s="1132" t="n"/>
      <c r="KAD285" s="1132" t="n"/>
      <c r="KAE285" s="1132" t="n"/>
      <c r="KAF285" s="1132" t="n"/>
      <c r="KAG285" s="1132" t="n"/>
      <c r="KAH285" s="1132" t="n"/>
      <c r="KAI285" s="1132" t="n"/>
      <c r="KAJ285" s="1132" t="n"/>
      <c r="KAK285" s="1132" t="n"/>
      <c r="KAL285" s="1132" t="n"/>
      <c r="KAM285" s="1132" t="n"/>
      <c r="KAN285" s="1132" t="n"/>
      <c r="KAO285" s="1132" t="n"/>
      <c r="KAP285" s="1132" t="n"/>
      <c r="KAQ285" s="1132" t="n"/>
      <c r="KAR285" s="1132" t="n"/>
      <c r="KAS285" s="1132" t="n"/>
      <c r="KAT285" s="1132" t="n"/>
      <c r="KAU285" s="1132" t="n"/>
      <c r="KAV285" s="1132" t="n"/>
      <c r="KAW285" s="1132" t="n"/>
      <c r="KAX285" s="1132" t="n"/>
      <c r="KAY285" s="1132" t="n"/>
      <c r="KAZ285" s="1132" t="n"/>
      <c r="KBA285" s="1132" t="n"/>
      <c r="KBB285" s="1132" t="n"/>
      <c r="KBC285" s="1132" t="n"/>
      <c r="KBD285" s="1132" t="n"/>
      <c r="KBE285" s="1132" t="n"/>
      <c r="KBF285" s="1132" t="n"/>
      <c r="KBG285" s="1132" t="n"/>
      <c r="KBH285" s="1132" t="n"/>
      <c r="KBI285" s="1132" t="n"/>
      <c r="KBJ285" s="1132" t="n"/>
      <c r="KBK285" s="1132" t="n"/>
      <c r="KBL285" s="1132" t="n"/>
      <c r="KBM285" s="1132" t="n"/>
      <c r="KBN285" s="1132" t="n"/>
      <c r="KBO285" s="1132" t="n"/>
      <c r="KBP285" s="1132" t="n"/>
      <c r="KBQ285" s="1132" t="n"/>
      <c r="KBR285" s="1132" t="n"/>
      <c r="KBS285" s="1132" t="n"/>
      <c r="KBT285" s="1132" t="n"/>
      <c r="KBU285" s="1132" t="n"/>
      <c r="KBV285" s="1132" t="n"/>
      <c r="KBW285" s="1132" t="n"/>
      <c r="KBX285" s="1132" t="n"/>
      <c r="KBY285" s="1132" t="n"/>
      <c r="KBZ285" s="1132" t="n"/>
      <c r="KCA285" s="1132" t="n"/>
      <c r="KCB285" s="1132" t="n"/>
      <c r="KCC285" s="1132" t="n"/>
      <c r="KCD285" s="1132" t="n"/>
      <c r="KCE285" s="1132" t="n"/>
      <c r="KCF285" s="1132" t="n"/>
      <c r="KCG285" s="1132" t="n"/>
      <c r="KCH285" s="1132" t="n"/>
      <c r="KCI285" s="1132" t="n"/>
      <c r="KCJ285" s="1132" t="n"/>
      <c r="KCK285" s="1132" t="n"/>
      <c r="KCL285" s="1132" t="n"/>
      <c r="KCM285" s="1132" t="n"/>
      <c r="KCN285" s="1132" t="n"/>
      <c r="KCO285" s="1132" t="n"/>
      <c r="KCP285" s="1132" t="n"/>
      <c r="KCQ285" s="1132" t="n"/>
      <c r="KCR285" s="1132" t="n"/>
      <c r="KCS285" s="1132" t="n"/>
      <c r="KCT285" s="1132" t="n"/>
      <c r="KCU285" s="1132" t="n"/>
      <c r="KCV285" s="1132" t="n"/>
      <c r="KCW285" s="1132" t="n"/>
      <c r="KCX285" s="1132" t="n"/>
      <c r="KCY285" s="1132" t="n"/>
      <c r="KCZ285" s="1132" t="n"/>
      <c r="KDA285" s="1132" t="n"/>
      <c r="KDB285" s="1132" t="n"/>
      <c r="KDC285" s="1132" t="n"/>
      <c r="KDD285" s="1132" t="n"/>
      <c r="KDE285" s="1132" t="n"/>
      <c r="KDF285" s="1132" t="n"/>
      <c r="KDG285" s="1132" t="n"/>
      <c r="KDH285" s="1132" t="n"/>
      <c r="KDI285" s="1132" t="n"/>
      <c r="KDJ285" s="1132" t="n"/>
      <c r="KDK285" s="1132" t="n"/>
      <c r="KDL285" s="1132" t="n"/>
      <c r="KDM285" s="1132" t="n"/>
      <c r="KDN285" s="1132" t="n"/>
      <c r="KDO285" s="1132" t="n"/>
      <c r="KDP285" s="1132" t="n"/>
      <c r="KDQ285" s="1132" t="n"/>
      <c r="KDR285" s="1132" t="n"/>
      <c r="KDS285" s="1132" t="n"/>
      <c r="KDT285" s="1132" t="n"/>
      <c r="KDU285" s="1132" t="n"/>
      <c r="KDV285" s="1132" t="n"/>
      <c r="KDW285" s="1132" t="n"/>
      <c r="KDX285" s="1132" t="n"/>
      <c r="KDY285" s="1132" t="n"/>
      <c r="KDZ285" s="1132" t="n"/>
      <c r="KEA285" s="1132" t="n"/>
      <c r="KEB285" s="1132" t="n"/>
      <c r="KEC285" s="1132" t="n"/>
      <c r="KED285" s="1132" t="n"/>
      <c r="KEE285" s="1132" t="n"/>
      <c r="KEF285" s="1132" t="n"/>
      <c r="KEG285" s="1132" t="n"/>
      <c r="KEH285" s="1132" t="n"/>
      <c r="KEI285" s="1132" t="n"/>
      <c r="KEJ285" s="1132" t="n"/>
      <c r="KEK285" s="1132" t="n"/>
      <c r="KEL285" s="1132" t="n"/>
      <c r="KEM285" s="1132" t="n"/>
      <c r="KEN285" s="1132" t="n"/>
      <c r="KEO285" s="1132" t="n"/>
      <c r="KEP285" s="1132" t="n"/>
      <c r="KEQ285" s="1132" t="n"/>
      <c r="KER285" s="1132" t="n"/>
      <c r="KES285" s="1132" t="n"/>
      <c r="KET285" s="1132" t="n"/>
      <c r="KEU285" s="1132" t="n"/>
      <c r="KEV285" s="1132" t="n"/>
      <c r="KEW285" s="1132" t="n"/>
      <c r="KEX285" s="1132" t="n"/>
      <c r="KEY285" s="1132" t="n"/>
      <c r="KEZ285" s="1132" t="n"/>
      <c r="KFA285" s="1132" t="n"/>
      <c r="KFB285" s="1132" t="n"/>
      <c r="KFC285" s="1132" t="n"/>
      <c r="KFD285" s="1132" t="n"/>
      <c r="KFE285" s="1132" t="n"/>
      <c r="KFF285" s="1132" t="n"/>
      <c r="KFG285" s="1132" t="n"/>
      <c r="KFH285" s="1132" t="n"/>
      <c r="KFI285" s="1132" t="n"/>
      <c r="KFJ285" s="1132" t="n"/>
      <c r="KFK285" s="1132" t="n"/>
      <c r="KFL285" s="1132" t="n"/>
      <c r="KFM285" s="1132" t="n"/>
      <c r="KFN285" s="1132" t="n"/>
      <c r="KFO285" s="1132" t="n"/>
      <c r="KFP285" s="1132" t="n"/>
      <c r="KFQ285" s="1132" t="n"/>
      <c r="KFR285" s="1132" t="n"/>
      <c r="KFS285" s="1132" t="n"/>
      <c r="KFT285" s="1132" t="n"/>
      <c r="KFU285" s="1132" t="n"/>
      <c r="KFV285" s="1132" t="n"/>
      <c r="KFW285" s="1132" t="n"/>
      <c r="KFX285" s="1132" t="n"/>
      <c r="KFY285" s="1132" t="n"/>
      <c r="KFZ285" s="1132" t="n"/>
      <c r="KGA285" s="1132" t="n"/>
      <c r="KGB285" s="1132" t="n"/>
      <c r="KGC285" s="1132" t="n"/>
      <c r="KGD285" s="1132" t="n"/>
      <c r="KGE285" s="1132" t="n"/>
      <c r="KGF285" s="1132" t="n"/>
      <c r="KGG285" s="1132" t="n"/>
      <c r="KGH285" s="1132" t="n"/>
      <c r="KGI285" s="1132" t="n"/>
      <c r="KGJ285" s="1132" t="n"/>
      <c r="KGK285" s="1132" t="n"/>
      <c r="KGL285" s="1132" t="n"/>
      <c r="KGM285" s="1132" t="n"/>
      <c r="KGN285" s="1132" t="n"/>
      <c r="KGO285" s="1132" t="n"/>
      <c r="KGP285" s="1132" t="n"/>
      <c r="KGQ285" s="1132" t="n"/>
      <c r="KGR285" s="1132" t="n"/>
      <c r="KGS285" s="1132" t="n"/>
      <c r="KGT285" s="1132" t="n"/>
      <c r="KGU285" s="1132" t="n"/>
      <c r="KGV285" s="1132" t="n"/>
      <c r="KGW285" s="1132" t="n"/>
      <c r="KGX285" s="1132" t="n"/>
      <c r="KGY285" s="1132" t="n"/>
      <c r="KGZ285" s="1132" t="n"/>
      <c r="KHA285" s="1132" t="n"/>
      <c r="KHB285" s="1132" t="n"/>
      <c r="KHC285" s="1132" t="n"/>
      <c r="KHD285" s="1132" t="n"/>
      <c r="KHE285" s="1132" t="n"/>
      <c r="KHF285" s="1132" t="n"/>
      <c r="KHG285" s="1132" t="n"/>
      <c r="KHH285" s="1132" t="n"/>
      <c r="KHI285" s="1132" t="n"/>
      <c r="KHJ285" s="1132" t="n"/>
      <c r="KHK285" s="1132" t="n"/>
      <c r="KHL285" s="1132" t="n"/>
      <c r="KHM285" s="1132" t="n"/>
      <c r="KHN285" s="1132" t="n"/>
      <c r="KHO285" s="1132" t="n"/>
      <c r="KHP285" s="1132" t="n"/>
      <c r="KHQ285" s="1132" t="n"/>
      <c r="KHR285" s="1132" t="n"/>
      <c r="KHS285" s="1132" t="n"/>
      <c r="KHT285" s="1132" t="n"/>
      <c r="KHU285" s="1132" t="n"/>
      <c r="KHV285" s="1132" t="n"/>
      <c r="KHW285" s="1132" t="n"/>
      <c r="KHX285" s="1132" t="n"/>
      <c r="KHY285" s="1132" t="n"/>
      <c r="KHZ285" s="1132" t="n"/>
      <c r="KIA285" s="1132" t="n"/>
      <c r="KIB285" s="1132" t="n"/>
      <c r="KIC285" s="1132" t="n"/>
      <c r="KID285" s="1132" t="n"/>
      <c r="KIE285" s="1132" t="n"/>
      <c r="KIF285" s="1132" t="n"/>
      <c r="KIG285" s="1132" t="n"/>
      <c r="KIH285" s="1132" t="n"/>
      <c r="KII285" s="1132" t="n"/>
      <c r="KIJ285" s="1132" t="n"/>
      <c r="KIK285" s="1132" t="n"/>
      <c r="KIL285" s="1132" t="n"/>
      <c r="KIM285" s="1132" t="n"/>
      <c r="KIN285" s="1132" t="n"/>
      <c r="KIO285" s="1132" t="n"/>
      <c r="KIP285" s="1132" t="n"/>
      <c r="KIQ285" s="1132" t="n"/>
      <c r="KIR285" s="1132" t="n"/>
      <c r="KIS285" s="1132" t="n"/>
      <c r="KIT285" s="1132" t="n"/>
      <c r="KIU285" s="1132" t="n"/>
      <c r="KIV285" s="1132" t="n"/>
      <c r="KIW285" s="1132" t="n"/>
      <c r="KIX285" s="1132" t="n"/>
      <c r="KIY285" s="1132" t="n"/>
      <c r="KIZ285" s="1132" t="n"/>
      <c r="KJA285" s="1132" t="n"/>
      <c r="KJB285" s="1132" t="n"/>
      <c r="KJC285" s="1132" t="n"/>
      <c r="KJD285" s="1132" t="n"/>
      <c r="KJE285" s="1132" t="n"/>
      <c r="KJF285" s="1132" t="n"/>
      <c r="KJG285" s="1132" t="n"/>
      <c r="KJH285" s="1132" t="n"/>
      <c r="KJI285" s="1132" t="n"/>
      <c r="KJJ285" s="1132" t="n"/>
      <c r="KJK285" s="1132" t="n"/>
      <c r="KJL285" s="1132" t="n"/>
      <c r="KJM285" s="1132" t="n"/>
      <c r="KJN285" s="1132" t="n"/>
      <c r="KJO285" s="1132" t="n"/>
      <c r="KJP285" s="1132" t="n"/>
      <c r="KJQ285" s="1132" t="n"/>
      <c r="KJR285" s="1132" t="n"/>
      <c r="KJS285" s="1132" t="n"/>
      <c r="KJT285" s="1132" t="n"/>
      <c r="KJU285" s="1132" t="n"/>
      <c r="KJV285" s="1132" t="n"/>
      <c r="KJW285" s="1132" t="n"/>
      <c r="KJX285" s="1132" t="n"/>
      <c r="KJY285" s="1132" t="n"/>
      <c r="KJZ285" s="1132" t="n"/>
      <c r="KKA285" s="1132" t="n"/>
      <c r="KKB285" s="1132" t="n"/>
      <c r="KKC285" s="1132" t="n"/>
      <c r="KKD285" s="1132" t="n"/>
      <c r="KKE285" s="1132" t="n"/>
      <c r="KKF285" s="1132" t="n"/>
      <c r="KKG285" s="1132" t="n"/>
      <c r="KKH285" s="1132" t="n"/>
      <c r="KKI285" s="1132" t="n"/>
      <c r="KKJ285" s="1132" t="n"/>
      <c r="KKK285" s="1132" t="n"/>
      <c r="KKL285" s="1132" t="n"/>
      <c r="KKM285" s="1132" t="n"/>
      <c r="KKN285" s="1132" t="n"/>
      <c r="KKO285" s="1132" t="n"/>
      <c r="KKP285" s="1132" t="n"/>
      <c r="KKQ285" s="1132" t="n"/>
      <c r="KKR285" s="1132" t="n"/>
      <c r="KKS285" s="1132" t="n"/>
      <c r="KKT285" s="1132" t="n"/>
      <c r="KKU285" s="1132" t="n"/>
      <c r="KKV285" s="1132" t="n"/>
      <c r="KKW285" s="1132" t="n"/>
      <c r="KKX285" s="1132" t="n"/>
      <c r="KKY285" s="1132" t="n"/>
      <c r="KKZ285" s="1132" t="n"/>
      <c r="KLA285" s="1132" t="n"/>
      <c r="KLB285" s="1132" t="n"/>
      <c r="KLC285" s="1132" t="n"/>
      <c r="KLD285" s="1132" t="n"/>
      <c r="KLE285" s="1132" t="n"/>
      <c r="KLF285" s="1132" t="n"/>
      <c r="KLG285" s="1132" t="n"/>
      <c r="KLH285" s="1132" t="n"/>
      <c r="KLI285" s="1132" t="n"/>
      <c r="KLJ285" s="1132" t="n"/>
      <c r="KLK285" s="1132" t="n"/>
      <c r="KLL285" s="1132" t="n"/>
      <c r="KLM285" s="1132" t="n"/>
      <c r="KLN285" s="1132" t="n"/>
      <c r="KLO285" s="1132" t="n"/>
      <c r="KLP285" s="1132" t="n"/>
      <c r="KLQ285" s="1132" t="n"/>
      <c r="KLR285" s="1132" t="n"/>
      <c r="KLS285" s="1132" t="n"/>
      <c r="KLT285" s="1132" t="n"/>
      <c r="KLU285" s="1132" t="n"/>
      <c r="KLV285" s="1132" t="n"/>
      <c r="KLW285" s="1132" t="n"/>
      <c r="KLX285" s="1132" t="n"/>
      <c r="KLY285" s="1132" t="n"/>
      <c r="KLZ285" s="1132" t="n"/>
      <c r="KMA285" s="1132" t="n"/>
      <c r="KMB285" s="1132" t="n"/>
      <c r="KMC285" s="1132" t="n"/>
      <c r="KMD285" s="1132" t="n"/>
      <c r="KME285" s="1132" t="n"/>
      <c r="KMF285" s="1132" t="n"/>
      <c r="KMG285" s="1132" t="n"/>
      <c r="KMH285" s="1132" t="n"/>
      <c r="KMI285" s="1132" t="n"/>
      <c r="KMJ285" s="1132" t="n"/>
      <c r="KMK285" s="1132" t="n"/>
      <c r="KML285" s="1132" t="n"/>
      <c r="KMM285" s="1132" t="n"/>
      <c r="KMN285" s="1132" t="n"/>
      <c r="KMO285" s="1132" t="n"/>
      <c r="KMP285" s="1132" t="n"/>
      <c r="KMQ285" s="1132" t="n"/>
      <c r="KMR285" s="1132" t="n"/>
      <c r="KMS285" s="1132" t="n"/>
      <c r="KMT285" s="1132" t="n"/>
      <c r="KMU285" s="1132" t="n"/>
      <c r="KMV285" s="1132" t="n"/>
      <c r="KMW285" s="1132" t="n"/>
      <c r="KMX285" s="1132" t="n"/>
      <c r="KMY285" s="1132" t="n"/>
      <c r="KMZ285" s="1132" t="n"/>
      <c r="KNA285" s="1132" t="n"/>
      <c r="KNB285" s="1132" t="n"/>
      <c r="KNC285" s="1132" t="n"/>
      <c r="KND285" s="1132" t="n"/>
      <c r="KNE285" s="1132" t="n"/>
      <c r="KNF285" s="1132" t="n"/>
      <c r="KNG285" s="1132" t="n"/>
      <c r="KNH285" s="1132" t="n"/>
      <c r="KNI285" s="1132" t="n"/>
      <c r="KNJ285" s="1132" t="n"/>
      <c r="KNK285" s="1132" t="n"/>
      <c r="KNL285" s="1132" t="n"/>
      <c r="KNM285" s="1132" t="n"/>
      <c r="KNN285" s="1132" t="n"/>
      <c r="KNO285" s="1132" t="n"/>
      <c r="KNP285" s="1132" t="n"/>
      <c r="KNQ285" s="1132" t="n"/>
      <c r="KNR285" s="1132" t="n"/>
      <c r="KNS285" s="1132" t="n"/>
      <c r="KNT285" s="1132" t="n"/>
      <c r="KNU285" s="1132" t="n"/>
      <c r="KNV285" s="1132" t="n"/>
      <c r="KNW285" s="1132" t="n"/>
      <c r="KNX285" s="1132" t="n"/>
      <c r="KNY285" s="1132" t="n"/>
      <c r="KNZ285" s="1132" t="n"/>
      <c r="KOA285" s="1132" t="n"/>
      <c r="KOB285" s="1132" t="n"/>
      <c r="KOC285" s="1132" t="n"/>
      <c r="KOD285" s="1132" t="n"/>
      <c r="KOE285" s="1132" t="n"/>
      <c r="KOF285" s="1132" t="n"/>
      <c r="KOG285" s="1132" t="n"/>
      <c r="KOH285" s="1132" t="n"/>
      <c r="KOI285" s="1132" t="n"/>
      <c r="KOJ285" s="1132" t="n"/>
      <c r="KOK285" s="1132" t="n"/>
      <c r="KOL285" s="1132" t="n"/>
      <c r="KOM285" s="1132" t="n"/>
      <c r="KON285" s="1132" t="n"/>
      <c r="KOO285" s="1132" t="n"/>
      <c r="KOP285" s="1132" t="n"/>
      <c r="KOQ285" s="1132" t="n"/>
      <c r="KOR285" s="1132" t="n"/>
      <c r="KOS285" s="1132" t="n"/>
      <c r="KOT285" s="1132" t="n"/>
      <c r="KOU285" s="1132" t="n"/>
      <c r="KOV285" s="1132" t="n"/>
      <c r="KOW285" s="1132" t="n"/>
      <c r="KOX285" s="1132" t="n"/>
      <c r="KOY285" s="1132" t="n"/>
      <c r="KOZ285" s="1132" t="n"/>
      <c r="KPA285" s="1132" t="n"/>
      <c r="KPB285" s="1132" t="n"/>
      <c r="KPC285" s="1132" t="n"/>
      <c r="KPD285" s="1132" t="n"/>
      <c r="KPE285" s="1132" t="n"/>
      <c r="KPF285" s="1132" t="n"/>
      <c r="KPG285" s="1132" t="n"/>
      <c r="KPH285" s="1132" t="n"/>
      <c r="KPI285" s="1132" t="n"/>
      <c r="KPJ285" s="1132" t="n"/>
      <c r="KPK285" s="1132" t="n"/>
      <c r="KPL285" s="1132" t="n"/>
      <c r="KPM285" s="1132" t="n"/>
      <c r="KPN285" s="1132" t="n"/>
      <c r="KPO285" s="1132" t="n"/>
      <c r="KPP285" s="1132" t="n"/>
      <c r="KPQ285" s="1132" t="n"/>
      <c r="KPR285" s="1132" t="n"/>
      <c r="KPS285" s="1132" t="n"/>
      <c r="KPT285" s="1132" t="n"/>
      <c r="KPU285" s="1132" t="n"/>
      <c r="KPV285" s="1132" t="n"/>
      <c r="KPW285" s="1132" t="n"/>
      <c r="KPX285" s="1132" t="n"/>
      <c r="KPY285" s="1132" t="n"/>
      <c r="KPZ285" s="1132" t="n"/>
      <c r="KQA285" s="1132" t="n"/>
      <c r="KQB285" s="1132" t="n"/>
      <c r="KQC285" s="1132" t="n"/>
      <c r="KQD285" s="1132" t="n"/>
      <c r="KQE285" s="1132" t="n"/>
      <c r="KQF285" s="1132" t="n"/>
      <c r="KQG285" s="1132" t="n"/>
      <c r="KQH285" s="1132" t="n"/>
      <c r="KQI285" s="1132" t="n"/>
      <c r="KQJ285" s="1132" t="n"/>
      <c r="KQK285" s="1132" t="n"/>
      <c r="KQL285" s="1132" t="n"/>
      <c r="KQM285" s="1132" t="n"/>
      <c r="KQN285" s="1132" t="n"/>
      <c r="KQO285" s="1132" t="n"/>
      <c r="KQP285" s="1132" t="n"/>
      <c r="KQQ285" s="1132" t="n"/>
      <c r="KQR285" s="1132" t="n"/>
      <c r="KQS285" s="1132" t="n"/>
      <c r="KQT285" s="1132" t="n"/>
      <c r="KQU285" s="1132" t="n"/>
      <c r="KQV285" s="1132" t="n"/>
      <c r="KQW285" s="1132" t="n"/>
      <c r="KQX285" s="1132" t="n"/>
      <c r="KQY285" s="1132" t="n"/>
      <c r="KQZ285" s="1132" t="n"/>
      <c r="KRA285" s="1132" t="n"/>
      <c r="KRB285" s="1132" t="n"/>
      <c r="KRC285" s="1132" t="n"/>
      <c r="KRD285" s="1132" t="n"/>
      <c r="KRE285" s="1132" t="n"/>
      <c r="KRF285" s="1132" t="n"/>
      <c r="KRG285" s="1132" t="n"/>
      <c r="KRH285" s="1132" t="n"/>
      <c r="KRI285" s="1132" t="n"/>
      <c r="KRJ285" s="1132" t="n"/>
      <c r="KRK285" s="1132" t="n"/>
      <c r="KRL285" s="1132" t="n"/>
      <c r="KRM285" s="1132" t="n"/>
      <c r="KRN285" s="1132" t="n"/>
      <c r="KRO285" s="1132" t="n"/>
      <c r="KRP285" s="1132" t="n"/>
      <c r="KRQ285" s="1132" t="n"/>
      <c r="KRR285" s="1132" t="n"/>
      <c r="KRS285" s="1132" t="n"/>
      <c r="KRT285" s="1132" t="n"/>
      <c r="KRU285" s="1132" t="n"/>
      <c r="KRV285" s="1132" t="n"/>
      <c r="KRW285" s="1132" t="n"/>
      <c r="KRX285" s="1132" t="n"/>
      <c r="KRY285" s="1132" t="n"/>
      <c r="KRZ285" s="1132" t="n"/>
      <c r="KSA285" s="1132" t="n"/>
      <c r="KSB285" s="1132" t="n"/>
      <c r="KSC285" s="1132" t="n"/>
      <c r="KSD285" s="1132" t="n"/>
      <c r="KSE285" s="1132" t="n"/>
      <c r="KSF285" s="1132" t="n"/>
      <c r="KSG285" s="1132" t="n"/>
      <c r="KSH285" s="1132" t="n"/>
      <c r="KSI285" s="1132" t="n"/>
      <c r="KSJ285" s="1132" t="n"/>
      <c r="KSK285" s="1132" t="n"/>
      <c r="KSL285" s="1132" t="n"/>
      <c r="KSM285" s="1132" t="n"/>
      <c r="KSN285" s="1132" t="n"/>
      <c r="KSO285" s="1132" t="n"/>
      <c r="KSP285" s="1132" t="n"/>
      <c r="KSQ285" s="1132" t="n"/>
      <c r="KSR285" s="1132" t="n"/>
      <c r="KSS285" s="1132" t="n"/>
      <c r="KST285" s="1132" t="n"/>
      <c r="KSU285" s="1132" t="n"/>
      <c r="KSV285" s="1132" t="n"/>
      <c r="KSW285" s="1132" t="n"/>
      <c r="KSX285" s="1132" t="n"/>
      <c r="KSY285" s="1132" t="n"/>
      <c r="KSZ285" s="1132" t="n"/>
      <c r="KTA285" s="1132" t="n"/>
      <c r="KTB285" s="1132" t="n"/>
      <c r="KTC285" s="1132" t="n"/>
      <c r="KTD285" s="1132" t="n"/>
      <c r="KTE285" s="1132" t="n"/>
      <c r="KTF285" s="1132" t="n"/>
      <c r="KTG285" s="1132" t="n"/>
      <c r="KTH285" s="1132" t="n"/>
      <c r="KTI285" s="1132" t="n"/>
      <c r="KTJ285" s="1132" t="n"/>
      <c r="KTK285" s="1132" t="n"/>
      <c r="KTL285" s="1132" t="n"/>
      <c r="KTM285" s="1132" t="n"/>
      <c r="KTN285" s="1132" t="n"/>
      <c r="KTO285" s="1132" t="n"/>
      <c r="KTP285" s="1132" t="n"/>
      <c r="KTQ285" s="1132" t="n"/>
      <c r="KTR285" s="1132" t="n"/>
      <c r="KTS285" s="1132" t="n"/>
      <c r="KTT285" s="1132" t="n"/>
      <c r="KTU285" s="1132" t="n"/>
      <c r="KTV285" s="1132" t="n"/>
      <c r="KTW285" s="1132" t="n"/>
      <c r="KTX285" s="1132" t="n"/>
      <c r="KTY285" s="1132" t="n"/>
      <c r="KTZ285" s="1132" t="n"/>
      <c r="KUA285" s="1132" t="n"/>
      <c r="KUB285" s="1132" t="n"/>
      <c r="KUC285" s="1132" t="n"/>
      <c r="KUD285" s="1132" t="n"/>
      <c r="KUE285" s="1132" t="n"/>
      <c r="KUF285" s="1132" t="n"/>
      <c r="KUG285" s="1132" t="n"/>
      <c r="KUH285" s="1132" t="n"/>
      <c r="KUI285" s="1132" t="n"/>
      <c r="KUJ285" s="1132" t="n"/>
      <c r="KUK285" s="1132" t="n"/>
      <c r="KUL285" s="1132" t="n"/>
      <c r="KUM285" s="1132" t="n"/>
      <c r="KUN285" s="1132" t="n"/>
      <c r="KUO285" s="1132" t="n"/>
      <c r="KUP285" s="1132" t="n"/>
      <c r="KUQ285" s="1132" t="n"/>
      <c r="KUR285" s="1132" t="n"/>
      <c r="KUS285" s="1132" t="n"/>
      <c r="KUT285" s="1132" t="n"/>
      <c r="KUU285" s="1132" t="n"/>
      <c r="KUV285" s="1132" t="n"/>
      <c r="KUW285" s="1132" t="n"/>
      <c r="KUX285" s="1132" t="n"/>
      <c r="KUY285" s="1132" t="n"/>
      <c r="KUZ285" s="1132" t="n"/>
      <c r="KVA285" s="1132" t="n"/>
      <c r="KVB285" s="1132" t="n"/>
      <c r="KVC285" s="1132" t="n"/>
      <c r="KVD285" s="1132" t="n"/>
      <c r="KVE285" s="1132" t="n"/>
      <c r="KVF285" s="1132" t="n"/>
      <c r="KVG285" s="1132" t="n"/>
      <c r="KVH285" s="1132" t="n"/>
      <c r="KVI285" s="1132" t="n"/>
      <c r="KVJ285" s="1132" t="n"/>
      <c r="KVK285" s="1132" t="n"/>
      <c r="KVL285" s="1132" t="n"/>
      <c r="KVM285" s="1132" t="n"/>
      <c r="KVN285" s="1132" t="n"/>
      <c r="KVO285" s="1132" t="n"/>
      <c r="KVP285" s="1132" t="n"/>
      <c r="KVQ285" s="1132" t="n"/>
      <c r="KVR285" s="1132" t="n"/>
      <c r="KVS285" s="1132" t="n"/>
      <c r="KVT285" s="1132" t="n"/>
      <c r="KVU285" s="1132" t="n"/>
      <c r="KVV285" s="1132" t="n"/>
      <c r="KVW285" s="1132" t="n"/>
      <c r="KVX285" s="1132" t="n"/>
      <c r="KVY285" s="1132" t="n"/>
      <c r="KVZ285" s="1132" t="n"/>
      <c r="KWA285" s="1132" t="n"/>
      <c r="KWB285" s="1132" t="n"/>
      <c r="KWC285" s="1132" t="n"/>
      <c r="KWD285" s="1132" t="n"/>
      <c r="KWE285" s="1132" t="n"/>
      <c r="KWF285" s="1132" t="n"/>
      <c r="KWG285" s="1132" t="n"/>
      <c r="KWH285" s="1132" t="n"/>
      <c r="KWI285" s="1132" t="n"/>
      <c r="KWJ285" s="1132" t="n"/>
      <c r="KWK285" s="1132" t="n"/>
      <c r="KWL285" s="1132" t="n"/>
      <c r="KWM285" s="1132" t="n"/>
      <c r="KWN285" s="1132" t="n"/>
      <c r="KWO285" s="1132" t="n"/>
      <c r="KWP285" s="1132" t="n"/>
      <c r="KWQ285" s="1132" t="n"/>
      <c r="KWR285" s="1132" t="n"/>
      <c r="KWS285" s="1132" t="n"/>
      <c r="KWT285" s="1132" t="n"/>
      <c r="KWU285" s="1132" t="n"/>
      <c r="KWV285" s="1132" t="n"/>
      <c r="KWW285" s="1132" t="n"/>
      <c r="KWX285" s="1132" t="n"/>
      <c r="KWY285" s="1132" t="n"/>
      <c r="KWZ285" s="1132" t="n"/>
      <c r="KXA285" s="1132" t="n"/>
      <c r="KXB285" s="1132" t="n"/>
      <c r="KXC285" s="1132" t="n"/>
      <c r="KXD285" s="1132" t="n"/>
      <c r="KXE285" s="1132" t="n"/>
      <c r="KXF285" s="1132" t="n"/>
      <c r="KXG285" s="1132" t="n"/>
      <c r="KXH285" s="1132" t="n"/>
      <c r="KXI285" s="1132" t="n"/>
      <c r="KXJ285" s="1132" t="n"/>
      <c r="KXK285" s="1132" t="n"/>
      <c r="KXL285" s="1132" t="n"/>
      <c r="KXM285" s="1132" t="n"/>
      <c r="KXN285" s="1132" t="n"/>
      <c r="KXO285" s="1132" t="n"/>
      <c r="KXP285" s="1132" t="n"/>
      <c r="KXQ285" s="1132" t="n"/>
      <c r="KXR285" s="1132" t="n"/>
      <c r="KXS285" s="1132" t="n"/>
      <c r="KXT285" s="1132" t="n"/>
      <c r="KXU285" s="1132" t="n"/>
      <c r="KXV285" s="1132" t="n"/>
      <c r="KXW285" s="1132" t="n"/>
      <c r="KXX285" s="1132" t="n"/>
      <c r="KXY285" s="1132" t="n"/>
      <c r="KXZ285" s="1132" t="n"/>
      <c r="KYA285" s="1132" t="n"/>
      <c r="KYB285" s="1132" t="n"/>
      <c r="KYC285" s="1132" t="n"/>
      <c r="KYD285" s="1132" t="n"/>
      <c r="KYE285" s="1132" t="n"/>
      <c r="KYF285" s="1132" t="n"/>
      <c r="KYG285" s="1132" t="n"/>
      <c r="KYH285" s="1132" t="n"/>
      <c r="KYI285" s="1132" t="n"/>
      <c r="KYJ285" s="1132" t="n"/>
      <c r="KYK285" s="1132" t="n"/>
      <c r="KYL285" s="1132" t="n"/>
      <c r="KYM285" s="1132" t="n"/>
      <c r="KYN285" s="1132" t="n"/>
      <c r="KYO285" s="1132" t="n"/>
      <c r="KYP285" s="1132" t="n"/>
      <c r="KYQ285" s="1132" t="n"/>
      <c r="KYR285" s="1132" t="n"/>
      <c r="KYS285" s="1132" t="n"/>
      <c r="KYT285" s="1132" t="n"/>
      <c r="KYU285" s="1132" t="n"/>
      <c r="KYV285" s="1132" t="n"/>
      <c r="KYW285" s="1132" t="n"/>
      <c r="KYX285" s="1132" t="n"/>
      <c r="KYY285" s="1132" t="n"/>
      <c r="KYZ285" s="1132" t="n"/>
      <c r="KZA285" s="1132" t="n"/>
      <c r="KZB285" s="1132" t="n"/>
      <c r="KZC285" s="1132" t="n"/>
      <c r="KZD285" s="1132" t="n"/>
      <c r="KZE285" s="1132" t="n"/>
      <c r="KZF285" s="1132" t="n"/>
      <c r="KZG285" s="1132" t="n"/>
      <c r="KZH285" s="1132" t="n"/>
      <c r="KZI285" s="1132" t="n"/>
      <c r="KZJ285" s="1132" t="n"/>
      <c r="KZK285" s="1132" t="n"/>
      <c r="KZL285" s="1132" t="n"/>
      <c r="KZM285" s="1132" t="n"/>
      <c r="KZN285" s="1132" t="n"/>
      <c r="KZO285" s="1132" t="n"/>
      <c r="KZP285" s="1132" t="n"/>
      <c r="KZQ285" s="1132" t="n"/>
      <c r="KZR285" s="1132" t="n"/>
      <c r="KZS285" s="1132" t="n"/>
      <c r="KZT285" s="1132" t="n"/>
      <c r="KZU285" s="1132" t="n"/>
      <c r="KZV285" s="1132" t="n"/>
      <c r="KZW285" s="1132" t="n"/>
      <c r="KZX285" s="1132" t="n"/>
      <c r="KZY285" s="1132" t="n"/>
      <c r="KZZ285" s="1132" t="n"/>
      <c r="LAA285" s="1132" t="n"/>
      <c r="LAB285" s="1132" t="n"/>
      <c r="LAC285" s="1132" t="n"/>
      <c r="LAD285" s="1132" t="n"/>
      <c r="LAE285" s="1132" t="n"/>
      <c r="LAF285" s="1132" t="n"/>
      <c r="LAG285" s="1132" t="n"/>
      <c r="LAH285" s="1132" t="n"/>
      <c r="LAI285" s="1132" t="n"/>
      <c r="LAJ285" s="1132" t="n"/>
      <c r="LAK285" s="1132" t="n"/>
      <c r="LAL285" s="1132" t="n"/>
      <c r="LAM285" s="1132" t="n"/>
      <c r="LAN285" s="1132" t="n"/>
      <c r="LAO285" s="1132" t="n"/>
      <c r="LAP285" s="1132" t="n"/>
      <c r="LAQ285" s="1132" t="n"/>
      <c r="LAR285" s="1132" t="n"/>
      <c r="LAS285" s="1132" t="n"/>
      <c r="LAT285" s="1132" t="n"/>
      <c r="LAU285" s="1132" t="n"/>
      <c r="LAV285" s="1132" t="n"/>
      <c r="LAW285" s="1132" t="n"/>
      <c r="LAX285" s="1132" t="n"/>
      <c r="LAY285" s="1132" t="n"/>
      <c r="LAZ285" s="1132" t="n"/>
      <c r="LBA285" s="1132" t="n"/>
      <c r="LBB285" s="1132" t="n"/>
      <c r="LBC285" s="1132" t="n"/>
      <c r="LBD285" s="1132" t="n"/>
      <c r="LBE285" s="1132" t="n"/>
      <c r="LBF285" s="1132" t="n"/>
      <c r="LBG285" s="1132" t="n"/>
      <c r="LBH285" s="1132" t="n"/>
      <c r="LBI285" s="1132" t="n"/>
      <c r="LBJ285" s="1132" t="n"/>
      <c r="LBK285" s="1132" t="n"/>
      <c r="LBL285" s="1132" t="n"/>
      <c r="LBM285" s="1132" t="n"/>
      <c r="LBN285" s="1132" t="n"/>
      <c r="LBO285" s="1132" t="n"/>
      <c r="LBP285" s="1132" t="n"/>
      <c r="LBQ285" s="1132" t="n"/>
      <c r="LBR285" s="1132" t="n"/>
      <c r="LBS285" s="1132" t="n"/>
      <c r="LBT285" s="1132" t="n"/>
      <c r="LBU285" s="1132" t="n"/>
      <c r="LBV285" s="1132" t="n"/>
      <c r="LBW285" s="1132" t="n"/>
      <c r="LBX285" s="1132" t="n"/>
      <c r="LBY285" s="1132" t="n"/>
      <c r="LBZ285" s="1132" t="n"/>
      <c r="LCA285" s="1132" t="n"/>
      <c r="LCB285" s="1132" t="n"/>
      <c r="LCC285" s="1132" t="n"/>
      <c r="LCD285" s="1132" t="n"/>
      <c r="LCE285" s="1132" t="n"/>
      <c r="LCF285" s="1132" t="n"/>
      <c r="LCG285" s="1132" t="n"/>
      <c r="LCH285" s="1132" t="n"/>
      <c r="LCI285" s="1132" t="n"/>
      <c r="LCJ285" s="1132" t="n"/>
      <c r="LCK285" s="1132" t="n"/>
      <c r="LCL285" s="1132" t="n"/>
      <c r="LCM285" s="1132" t="n"/>
      <c r="LCN285" s="1132" t="n"/>
      <c r="LCO285" s="1132" t="n"/>
      <c r="LCP285" s="1132" t="n"/>
      <c r="LCQ285" s="1132" t="n"/>
      <c r="LCR285" s="1132" t="n"/>
      <c r="LCS285" s="1132" t="n"/>
      <c r="LCT285" s="1132" t="n"/>
      <c r="LCU285" s="1132" t="n"/>
      <c r="LCV285" s="1132" t="n"/>
      <c r="LCW285" s="1132" t="n"/>
      <c r="LCX285" s="1132" t="n"/>
      <c r="LCY285" s="1132" t="n"/>
      <c r="LCZ285" s="1132" t="n"/>
      <c r="LDA285" s="1132" t="n"/>
      <c r="LDB285" s="1132" t="n"/>
      <c r="LDC285" s="1132" t="n"/>
      <c r="LDD285" s="1132" t="n"/>
      <c r="LDE285" s="1132" t="n"/>
      <c r="LDF285" s="1132" t="n"/>
      <c r="LDG285" s="1132" t="n"/>
      <c r="LDH285" s="1132" t="n"/>
      <c r="LDI285" s="1132" t="n"/>
      <c r="LDJ285" s="1132" t="n"/>
      <c r="LDK285" s="1132" t="n"/>
      <c r="LDL285" s="1132" t="n"/>
      <c r="LDM285" s="1132" t="n"/>
      <c r="LDN285" s="1132" t="n"/>
      <c r="LDO285" s="1132" t="n"/>
      <c r="LDP285" s="1132" t="n"/>
      <c r="LDQ285" s="1132" t="n"/>
      <c r="LDR285" s="1132" t="n"/>
      <c r="LDS285" s="1132" t="n"/>
      <c r="LDT285" s="1132" t="n"/>
      <c r="LDU285" s="1132" t="n"/>
      <c r="LDV285" s="1132" t="n"/>
      <c r="LDW285" s="1132" t="n"/>
      <c r="LDX285" s="1132" t="n"/>
      <c r="LDY285" s="1132" t="n"/>
      <c r="LDZ285" s="1132" t="n"/>
      <c r="LEA285" s="1132" t="n"/>
      <c r="LEB285" s="1132" t="n"/>
      <c r="LEC285" s="1132" t="n"/>
      <c r="LED285" s="1132" t="n"/>
      <c r="LEE285" s="1132" t="n"/>
      <c r="LEF285" s="1132" t="n"/>
      <c r="LEG285" s="1132" t="n"/>
      <c r="LEH285" s="1132" t="n"/>
      <c r="LEI285" s="1132" t="n"/>
      <c r="LEJ285" s="1132" t="n"/>
      <c r="LEK285" s="1132" t="n"/>
      <c r="LEL285" s="1132" t="n"/>
      <c r="LEM285" s="1132" t="n"/>
      <c r="LEN285" s="1132" t="n"/>
      <c r="LEO285" s="1132" t="n"/>
      <c r="LEP285" s="1132" t="n"/>
      <c r="LEQ285" s="1132" t="n"/>
      <c r="LER285" s="1132" t="n"/>
      <c r="LES285" s="1132" t="n"/>
      <c r="LET285" s="1132" t="n"/>
      <c r="LEU285" s="1132" t="n"/>
      <c r="LEV285" s="1132" t="n"/>
      <c r="LEW285" s="1132" t="n"/>
      <c r="LEX285" s="1132" t="n"/>
      <c r="LEY285" s="1132" t="n"/>
      <c r="LEZ285" s="1132" t="n"/>
      <c r="LFA285" s="1132" t="n"/>
      <c r="LFB285" s="1132" t="n"/>
      <c r="LFC285" s="1132" t="n"/>
      <c r="LFD285" s="1132" t="n"/>
      <c r="LFE285" s="1132" t="n"/>
      <c r="LFF285" s="1132" t="n"/>
      <c r="LFG285" s="1132" t="n"/>
      <c r="LFH285" s="1132" t="n"/>
      <c r="LFI285" s="1132" t="n"/>
      <c r="LFJ285" s="1132" t="n"/>
      <c r="LFK285" s="1132" t="n"/>
      <c r="LFL285" s="1132" t="n"/>
      <c r="LFM285" s="1132" t="n"/>
      <c r="LFN285" s="1132" t="n"/>
      <c r="LFO285" s="1132" t="n"/>
      <c r="LFP285" s="1132" t="n"/>
      <c r="LFQ285" s="1132" t="n"/>
      <c r="LFR285" s="1132" t="n"/>
      <c r="LFS285" s="1132" t="n"/>
      <c r="LFT285" s="1132" t="n"/>
      <c r="LFU285" s="1132" t="n"/>
      <c r="LFV285" s="1132" t="n"/>
      <c r="LFW285" s="1132" t="n"/>
      <c r="LFX285" s="1132" t="n"/>
      <c r="LFY285" s="1132" t="n"/>
      <c r="LFZ285" s="1132" t="n"/>
      <c r="LGA285" s="1132" t="n"/>
      <c r="LGB285" s="1132" t="n"/>
      <c r="LGC285" s="1132" t="n"/>
      <c r="LGD285" s="1132" t="n"/>
      <c r="LGE285" s="1132" t="n"/>
      <c r="LGF285" s="1132" t="n"/>
      <c r="LGG285" s="1132" t="n"/>
      <c r="LGH285" s="1132" t="n"/>
      <c r="LGI285" s="1132" t="n"/>
      <c r="LGJ285" s="1132" t="n"/>
      <c r="LGK285" s="1132" t="n"/>
      <c r="LGL285" s="1132" t="n"/>
      <c r="LGM285" s="1132" t="n"/>
      <c r="LGN285" s="1132" t="n"/>
      <c r="LGO285" s="1132" t="n"/>
      <c r="LGP285" s="1132" t="n"/>
      <c r="LGQ285" s="1132" t="n"/>
      <c r="LGR285" s="1132" t="n"/>
      <c r="LGS285" s="1132" t="n"/>
      <c r="LGT285" s="1132" t="n"/>
      <c r="LGU285" s="1132" t="n"/>
      <c r="LGV285" s="1132" t="n"/>
      <c r="LGW285" s="1132" t="n"/>
      <c r="LGX285" s="1132" t="n"/>
      <c r="LGY285" s="1132" t="n"/>
      <c r="LGZ285" s="1132" t="n"/>
      <c r="LHA285" s="1132" t="n"/>
      <c r="LHB285" s="1132" t="n"/>
      <c r="LHC285" s="1132" t="n"/>
      <c r="LHD285" s="1132" t="n"/>
      <c r="LHE285" s="1132" t="n"/>
      <c r="LHF285" s="1132" t="n"/>
      <c r="LHG285" s="1132" t="n"/>
      <c r="LHH285" s="1132" t="n"/>
      <c r="LHI285" s="1132" t="n"/>
      <c r="LHJ285" s="1132" t="n"/>
      <c r="LHK285" s="1132" t="n"/>
      <c r="LHL285" s="1132" t="n"/>
      <c r="LHM285" s="1132" t="n"/>
      <c r="LHN285" s="1132" t="n"/>
      <c r="LHO285" s="1132" t="n"/>
      <c r="LHP285" s="1132" t="n"/>
      <c r="LHQ285" s="1132" t="n"/>
      <c r="LHR285" s="1132" t="n"/>
      <c r="LHS285" s="1132" t="n"/>
      <c r="LHT285" s="1132" t="n"/>
      <c r="LHU285" s="1132" t="n"/>
      <c r="LHV285" s="1132" t="n"/>
      <c r="LHW285" s="1132" t="n"/>
      <c r="LHX285" s="1132" t="n"/>
      <c r="LHY285" s="1132" t="n"/>
      <c r="LHZ285" s="1132" t="n"/>
      <c r="LIA285" s="1132" t="n"/>
      <c r="LIB285" s="1132" t="n"/>
      <c r="LIC285" s="1132" t="n"/>
      <c r="LID285" s="1132" t="n"/>
      <c r="LIE285" s="1132" t="n"/>
      <c r="LIF285" s="1132" t="n"/>
      <c r="LIG285" s="1132" t="n"/>
      <c r="LIH285" s="1132" t="n"/>
      <c r="LII285" s="1132" t="n"/>
      <c r="LIJ285" s="1132" t="n"/>
      <c r="LIK285" s="1132" t="n"/>
      <c r="LIL285" s="1132" t="n"/>
      <c r="LIM285" s="1132" t="n"/>
      <c r="LIN285" s="1132" t="n"/>
      <c r="LIO285" s="1132" t="n"/>
      <c r="LIP285" s="1132" t="n"/>
      <c r="LIQ285" s="1132" t="n"/>
      <c r="LIR285" s="1132" t="n"/>
      <c r="LIS285" s="1132" t="n"/>
      <c r="LIT285" s="1132" t="n"/>
      <c r="LIU285" s="1132" t="n"/>
      <c r="LIV285" s="1132" t="n"/>
      <c r="LIW285" s="1132" t="n"/>
      <c r="LIX285" s="1132" t="n"/>
      <c r="LIY285" s="1132" t="n"/>
      <c r="LIZ285" s="1132" t="n"/>
      <c r="LJA285" s="1132" t="n"/>
      <c r="LJB285" s="1132" t="n"/>
      <c r="LJC285" s="1132" t="n"/>
      <c r="LJD285" s="1132" t="n"/>
      <c r="LJE285" s="1132" t="n"/>
      <c r="LJF285" s="1132" t="n"/>
      <c r="LJG285" s="1132" t="n"/>
      <c r="LJH285" s="1132" t="n"/>
      <c r="LJI285" s="1132" t="n"/>
      <c r="LJJ285" s="1132" t="n"/>
      <c r="LJK285" s="1132" t="n"/>
      <c r="LJL285" s="1132" t="n"/>
      <c r="LJM285" s="1132" t="n"/>
      <c r="LJN285" s="1132" t="n"/>
      <c r="LJO285" s="1132" t="n"/>
      <c r="LJP285" s="1132" t="n"/>
      <c r="LJQ285" s="1132" t="n"/>
      <c r="LJR285" s="1132" t="n"/>
      <c r="LJS285" s="1132" t="n"/>
      <c r="LJT285" s="1132" t="n"/>
      <c r="LJU285" s="1132" t="n"/>
      <c r="LJV285" s="1132" t="n"/>
      <c r="LJW285" s="1132" t="n"/>
      <c r="LJX285" s="1132" t="n"/>
      <c r="LJY285" s="1132" t="n"/>
      <c r="LJZ285" s="1132" t="n"/>
      <c r="LKA285" s="1132" t="n"/>
      <c r="LKB285" s="1132" t="n"/>
      <c r="LKC285" s="1132" t="n"/>
      <c r="LKD285" s="1132" t="n"/>
      <c r="LKE285" s="1132" t="n"/>
      <c r="LKF285" s="1132" t="n"/>
      <c r="LKG285" s="1132" t="n"/>
      <c r="LKH285" s="1132" t="n"/>
      <c r="LKI285" s="1132" t="n"/>
      <c r="LKJ285" s="1132" t="n"/>
      <c r="LKK285" s="1132" t="n"/>
      <c r="LKL285" s="1132" t="n"/>
      <c r="LKM285" s="1132" t="n"/>
      <c r="LKN285" s="1132" t="n"/>
      <c r="LKO285" s="1132" t="n"/>
      <c r="LKP285" s="1132" t="n"/>
      <c r="LKQ285" s="1132" t="n"/>
      <c r="LKR285" s="1132" t="n"/>
      <c r="LKS285" s="1132" t="n"/>
      <c r="LKT285" s="1132" t="n"/>
      <c r="LKU285" s="1132" t="n"/>
      <c r="LKV285" s="1132" t="n"/>
      <c r="LKW285" s="1132" t="n"/>
      <c r="LKX285" s="1132" t="n"/>
      <c r="LKY285" s="1132" t="n"/>
      <c r="LKZ285" s="1132" t="n"/>
      <c r="LLA285" s="1132" t="n"/>
      <c r="LLB285" s="1132" t="n"/>
      <c r="LLC285" s="1132" t="n"/>
      <c r="LLD285" s="1132" t="n"/>
      <c r="LLE285" s="1132" t="n"/>
      <c r="LLF285" s="1132" t="n"/>
      <c r="LLG285" s="1132" t="n"/>
      <c r="LLH285" s="1132" t="n"/>
      <c r="LLI285" s="1132" t="n"/>
      <c r="LLJ285" s="1132" t="n"/>
      <c r="LLK285" s="1132" t="n"/>
      <c r="LLL285" s="1132" t="n"/>
      <c r="LLM285" s="1132" t="n"/>
      <c r="LLN285" s="1132" t="n"/>
      <c r="LLO285" s="1132" t="n"/>
      <c r="LLP285" s="1132" t="n"/>
      <c r="LLQ285" s="1132" t="n"/>
      <c r="LLR285" s="1132" t="n"/>
      <c r="LLS285" s="1132" t="n"/>
      <c r="LLT285" s="1132" t="n"/>
      <c r="LLU285" s="1132" t="n"/>
      <c r="LLV285" s="1132" t="n"/>
      <c r="LLW285" s="1132" t="n"/>
      <c r="LLX285" s="1132" t="n"/>
      <c r="LLY285" s="1132" t="n"/>
      <c r="LLZ285" s="1132" t="n"/>
      <c r="LMA285" s="1132" t="n"/>
      <c r="LMB285" s="1132" t="n"/>
      <c r="LMC285" s="1132" t="n"/>
      <c r="LMD285" s="1132" t="n"/>
      <c r="LME285" s="1132" t="n"/>
      <c r="LMF285" s="1132" t="n"/>
      <c r="LMG285" s="1132" t="n"/>
      <c r="LMH285" s="1132" t="n"/>
      <c r="LMI285" s="1132" t="n"/>
      <c r="LMJ285" s="1132" t="n"/>
      <c r="LMK285" s="1132" t="n"/>
      <c r="LML285" s="1132" t="n"/>
      <c r="LMM285" s="1132" t="n"/>
      <c r="LMN285" s="1132" t="n"/>
      <c r="LMO285" s="1132" t="n"/>
      <c r="LMP285" s="1132" t="n"/>
      <c r="LMQ285" s="1132" t="n"/>
      <c r="LMR285" s="1132" t="n"/>
      <c r="LMS285" s="1132" t="n"/>
      <c r="LMT285" s="1132" t="n"/>
      <c r="LMU285" s="1132" t="n"/>
      <c r="LMV285" s="1132" t="n"/>
      <c r="LMW285" s="1132" t="n"/>
      <c r="LMX285" s="1132" t="n"/>
      <c r="LMY285" s="1132" t="n"/>
      <c r="LMZ285" s="1132" t="n"/>
      <c r="LNA285" s="1132" t="n"/>
      <c r="LNB285" s="1132" t="n"/>
      <c r="LNC285" s="1132" t="n"/>
      <c r="LND285" s="1132" t="n"/>
      <c r="LNE285" s="1132" t="n"/>
      <c r="LNF285" s="1132" t="n"/>
      <c r="LNG285" s="1132" t="n"/>
      <c r="LNH285" s="1132" t="n"/>
      <c r="LNI285" s="1132" t="n"/>
      <c r="LNJ285" s="1132" t="n"/>
      <c r="LNK285" s="1132" t="n"/>
      <c r="LNL285" s="1132" t="n"/>
      <c r="LNM285" s="1132" t="n"/>
      <c r="LNN285" s="1132" t="n"/>
      <c r="LNO285" s="1132" t="n"/>
      <c r="LNP285" s="1132" t="n"/>
      <c r="LNQ285" s="1132" t="n"/>
      <c r="LNR285" s="1132" t="n"/>
      <c r="LNS285" s="1132" t="n"/>
      <c r="LNT285" s="1132" t="n"/>
      <c r="LNU285" s="1132" t="n"/>
      <c r="LNV285" s="1132" t="n"/>
      <c r="LNW285" s="1132" t="n"/>
      <c r="LNX285" s="1132" t="n"/>
      <c r="LNY285" s="1132" t="n"/>
      <c r="LNZ285" s="1132" t="n"/>
      <c r="LOA285" s="1132" t="n"/>
      <c r="LOB285" s="1132" t="n"/>
      <c r="LOC285" s="1132" t="n"/>
      <c r="LOD285" s="1132" t="n"/>
      <c r="LOE285" s="1132" t="n"/>
      <c r="LOF285" s="1132" t="n"/>
      <c r="LOG285" s="1132" t="n"/>
      <c r="LOH285" s="1132" t="n"/>
      <c r="LOI285" s="1132" t="n"/>
      <c r="LOJ285" s="1132" t="n"/>
      <c r="LOK285" s="1132" t="n"/>
      <c r="LOL285" s="1132" t="n"/>
      <c r="LOM285" s="1132" t="n"/>
      <c r="LON285" s="1132" t="n"/>
      <c r="LOO285" s="1132" t="n"/>
      <c r="LOP285" s="1132" t="n"/>
      <c r="LOQ285" s="1132" t="n"/>
      <c r="LOR285" s="1132" t="n"/>
      <c r="LOS285" s="1132" t="n"/>
      <c r="LOT285" s="1132" t="n"/>
      <c r="LOU285" s="1132" t="n"/>
      <c r="LOV285" s="1132" t="n"/>
      <c r="LOW285" s="1132" t="n"/>
      <c r="LOX285" s="1132" t="n"/>
      <c r="LOY285" s="1132" t="n"/>
      <c r="LOZ285" s="1132" t="n"/>
      <c r="LPA285" s="1132" t="n"/>
      <c r="LPB285" s="1132" t="n"/>
      <c r="LPC285" s="1132" t="n"/>
      <c r="LPD285" s="1132" t="n"/>
      <c r="LPE285" s="1132" t="n"/>
      <c r="LPF285" s="1132" t="n"/>
      <c r="LPG285" s="1132" t="n"/>
      <c r="LPH285" s="1132" t="n"/>
      <c r="LPI285" s="1132" t="n"/>
      <c r="LPJ285" s="1132" t="n"/>
      <c r="LPK285" s="1132" t="n"/>
      <c r="LPL285" s="1132" t="n"/>
      <c r="LPM285" s="1132" t="n"/>
      <c r="LPN285" s="1132" t="n"/>
      <c r="LPO285" s="1132" t="n"/>
      <c r="LPP285" s="1132" t="n"/>
      <c r="LPQ285" s="1132" t="n"/>
      <c r="LPR285" s="1132" t="n"/>
      <c r="LPS285" s="1132" t="n"/>
      <c r="LPT285" s="1132" t="n"/>
      <c r="LPU285" s="1132" t="n"/>
      <c r="LPV285" s="1132" t="n"/>
      <c r="LPW285" s="1132" t="n"/>
      <c r="LPX285" s="1132" t="n"/>
      <c r="LPY285" s="1132" t="n"/>
      <c r="LPZ285" s="1132" t="n"/>
      <c r="LQA285" s="1132" t="n"/>
      <c r="LQB285" s="1132" t="n"/>
      <c r="LQC285" s="1132" t="n"/>
      <c r="LQD285" s="1132" t="n"/>
      <c r="LQE285" s="1132" t="n"/>
      <c r="LQF285" s="1132" t="n"/>
      <c r="LQG285" s="1132" t="n"/>
      <c r="LQH285" s="1132" t="n"/>
      <c r="LQI285" s="1132" t="n"/>
      <c r="LQJ285" s="1132" t="n"/>
      <c r="LQK285" s="1132" t="n"/>
      <c r="LQL285" s="1132" t="n"/>
      <c r="LQM285" s="1132" t="n"/>
      <c r="LQN285" s="1132" t="n"/>
      <c r="LQO285" s="1132" t="n"/>
      <c r="LQP285" s="1132" t="n"/>
      <c r="LQQ285" s="1132" t="n"/>
      <c r="LQR285" s="1132" t="n"/>
      <c r="LQS285" s="1132" t="n"/>
      <c r="LQT285" s="1132" t="n"/>
      <c r="LQU285" s="1132" t="n"/>
      <c r="LQV285" s="1132" t="n"/>
      <c r="LQW285" s="1132" t="n"/>
      <c r="LQX285" s="1132" t="n"/>
      <c r="LQY285" s="1132" t="n"/>
      <c r="LQZ285" s="1132" t="n"/>
      <c r="LRA285" s="1132" t="n"/>
      <c r="LRB285" s="1132" t="n"/>
      <c r="LRC285" s="1132" t="n"/>
      <c r="LRD285" s="1132" t="n"/>
      <c r="LRE285" s="1132" t="n"/>
      <c r="LRF285" s="1132" t="n"/>
      <c r="LRG285" s="1132" t="n"/>
      <c r="LRH285" s="1132" t="n"/>
      <c r="LRI285" s="1132" t="n"/>
      <c r="LRJ285" s="1132" t="n"/>
      <c r="LRK285" s="1132" t="n"/>
      <c r="LRL285" s="1132" t="n"/>
      <c r="LRM285" s="1132" t="n"/>
      <c r="LRN285" s="1132" t="n"/>
      <c r="LRO285" s="1132" t="n"/>
      <c r="LRP285" s="1132" t="n"/>
      <c r="LRQ285" s="1132" t="n"/>
      <c r="LRR285" s="1132" t="n"/>
      <c r="LRS285" s="1132" t="n"/>
      <c r="LRT285" s="1132" t="n"/>
      <c r="LRU285" s="1132" t="n"/>
      <c r="LRV285" s="1132" t="n"/>
      <c r="LRW285" s="1132" t="n"/>
      <c r="LRX285" s="1132" t="n"/>
      <c r="LRY285" s="1132" t="n"/>
      <c r="LRZ285" s="1132" t="n"/>
      <c r="LSA285" s="1132" t="n"/>
      <c r="LSB285" s="1132" t="n"/>
      <c r="LSC285" s="1132" t="n"/>
      <c r="LSD285" s="1132" t="n"/>
      <c r="LSE285" s="1132" t="n"/>
      <c r="LSF285" s="1132" t="n"/>
      <c r="LSG285" s="1132" t="n"/>
      <c r="LSH285" s="1132" t="n"/>
      <c r="LSI285" s="1132" t="n"/>
      <c r="LSJ285" s="1132" t="n"/>
      <c r="LSK285" s="1132" t="n"/>
      <c r="LSL285" s="1132" t="n"/>
      <c r="LSM285" s="1132" t="n"/>
      <c r="LSN285" s="1132" t="n"/>
      <c r="LSO285" s="1132" t="n"/>
      <c r="LSP285" s="1132" t="n"/>
      <c r="LSQ285" s="1132" t="n"/>
      <c r="LSR285" s="1132" t="n"/>
      <c r="LSS285" s="1132" t="n"/>
      <c r="LST285" s="1132" t="n"/>
      <c r="LSU285" s="1132" t="n"/>
      <c r="LSV285" s="1132" t="n"/>
      <c r="LSW285" s="1132" t="n"/>
      <c r="LSX285" s="1132" t="n"/>
      <c r="LSY285" s="1132" t="n"/>
      <c r="LSZ285" s="1132" t="n"/>
      <c r="LTA285" s="1132" t="n"/>
      <c r="LTB285" s="1132" t="n"/>
      <c r="LTC285" s="1132" t="n"/>
      <c r="LTD285" s="1132" t="n"/>
      <c r="LTE285" s="1132" t="n"/>
      <c r="LTF285" s="1132" t="n"/>
      <c r="LTG285" s="1132" t="n"/>
      <c r="LTH285" s="1132" t="n"/>
      <c r="LTI285" s="1132" t="n"/>
      <c r="LTJ285" s="1132" t="n"/>
      <c r="LTK285" s="1132" t="n"/>
      <c r="LTL285" s="1132" t="n"/>
      <c r="LTM285" s="1132" t="n"/>
      <c r="LTN285" s="1132" t="n"/>
      <c r="LTO285" s="1132" t="n"/>
      <c r="LTP285" s="1132" t="n"/>
      <c r="LTQ285" s="1132" t="n"/>
      <c r="LTR285" s="1132" t="n"/>
      <c r="LTS285" s="1132" t="n"/>
      <c r="LTT285" s="1132" t="n"/>
      <c r="LTU285" s="1132" t="n"/>
      <c r="LTV285" s="1132" t="n"/>
      <c r="LTW285" s="1132" t="n"/>
      <c r="LTX285" s="1132" t="n"/>
      <c r="LTY285" s="1132" t="n"/>
      <c r="LTZ285" s="1132" t="n"/>
      <c r="LUA285" s="1132" t="n"/>
      <c r="LUB285" s="1132" t="n"/>
      <c r="LUC285" s="1132" t="n"/>
      <c r="LUD285" s="1132" t="n"/>
      <c r="LUE285" s="1132" t="n"/>
      <c r="LUF285" s="1132" t="n"/>
      <c r="LUG285" s="1132" t="n"/>
      <c r="LUH285" s="1132" t="n"/>
      <c r="LUI285" s="1132" t="n"/>
      <c r="LUJ285" s="1132" t="n"/>
      <c r="LUK285" s="1132" t="n"/>
      <c r="LUL285" s="1132" t="n"/>
      <c r="LUM285" s="1132" t="n"/>
      <c r="LUN285" s="1132" t="n"/>
      <c r="LUO285" s="1132" t="n"/>
      <c r="LUP285" s="1132" t="n"/>
      <c r="LUQ285" s="1132" t="n"/>
      <c r="LUR285" s="1132" t="n"/>
      <c r="LUS285" s="1132" t="n"/>
      <c r="LUT285" s="1132" t="n"/>
      <c r="LUU285" s="1132" t="n"/>
      <c r="LUV285" s="1132" t="n"/>
      <c r="LUW285" s="1132" t="n"/>
      <c r="LUX285" s="1132" t="n"/>
      <c r="LUY285" s="1132" t="n"/>
      <c r="LUZ285" s="1132" t="n"/>
      <c r="LVA285" s="1132" t="n"/>
      <c r="LVB285" s="1132" t="n"/>
      <c r="LVC285" s="1132" t="n"/>
      <c r="LVD285" s="1132" t="n"/>
      <c r="LVE285" s="1132" t="n"/>
      <c r="LVF285" s="1132" t="n"/>
      <c r="LVG285" s="1132" t="n"/>
      <c r="LVH285" s="1132" t="n"/>
      <c r="LVI285" s="1132" t="n"/>
      <c r="LVJ285" s="1132" t="n"/>
      <c r="LVK285" s="1132" t="n"/>
      <c r="LVL285" s="1132" t="n"/>
      <c r="LVM285" s="1132" t="n"/>
      <c r="LVN285" s="1132" t="n"/>
      <c r="LVO285" s="1132" t="n"/>
      <c r="LVP285" s="1132" t="n"/>
      <c r="LVQ285" s="1132" t="n"/>
      <c r="LVR285" s="1132" t="n"/>
      <c r="LVS285" s="1132" t="n"/>
      <c r="LVT285" s="1132" t="n"/>
      <c r="LVU285" s="1132" t="n"/>
      <c r="LVV285" s="1132" t="n"/>
      <c r="LVW285" s="1132" t="n"/>
      <c r="LVX285" s="1132" t="n"/>
      <c r="LVY285" s="1132" t="n"/>
      <c r="LVZ285" s="1132" t="n"/>
      <c r="LWA285" s="1132" t="n"/>
      <c r="LWB285" s="1132" t="n"/>
      <c r="LWC285" s="1132" t="n"/>
      <c r="LWD285" s="1132" t="n"/>
      <c r="LWE285" s="1132" t="n"/>
      <c r="LWF285" s="1132" t="n"/>
      <c r="LWG285" s="1132" t="n"/>
      <c r="LWH285" s="1132" t="n"/>
      <c r="LWI285" s="1132" t="n"/>
      <c r="LWJ285" s="1132" t="n"/>
      <c r="LWK285" s="1132" t="n"/>
      <c r="LWL285" s="1132" t="n"/>
      <c r="LWM285" s="1132" t="n"/>
      <c r="LWN285" s="1132" t="n"/>
      <c r="LWO285" s="1132" t="n"/>
      <c r="LWP285" s="1132" t="n"/>
      <c r="LWQ285" s="1132" t="n"/>
      <c r="LWR285" s="1132" t="n"/>
      <c r="LWS285" s="1132" t="n"/>
      <c r="LWT285" s="1132" t="n"/>
      <c r="LWU285" s="1132" t="n"/>
      <c r="LWV285" s="1132" t="n"/>
      <c r="LWW285" s="1132" t="n"/>
      <c r="LWX285" s="1132" t="n"/>
      <c r="LWY285" s="1132" t="n"/>
      <c r="LWZ285" s="1132" t="n"/>
      <c r="LXA285" s="1132" t="n"/>
      <c r="LXB285" s="1132" t="n"/>
      <c r="LXC285" s="1132" t="n"/>
      <c r="LXD285" s="1132" t="n"/>
      <c r="LXE285" s="1132" t="n"/>
      <c r="LXF285" s="1132" t="n"/>
      <c r="LXG285" s="1132" t="n"/>
      <c r="LXH285" s="1132" t="n"/>
      <c r="LXI285" s="1132" t="n"/>
      <c r="LXJ285" s="1132" t="n"/>
      <c r="LXK285" s="1132" t="n"/>
      <c r="LXL285" s="1132" t="n"/>
      <c r="LXM285" s="1132" t="n"/>
      <c r="LXN285" s="1132" t="n"/>
      <c r="LXO285" s="1132" t="n"/>
      <c r="LXP285" s="1132" t="n"/>
      <c r="LXQ285" s="1132" t="n"/>
      <c r="LXR285" s="1132" t="n"/>
      <c r="LXS285" s="1132" t="n"/>
      <c r="LXT285" s="1132" t="n"/>
      <c r="LXU285" s="1132" t="n"/>
      <c r="LXV285" s="1132" t="n"/>
      <c r="LXW285" s="1132" t="n"/>
      <c r="LXX285" s="1132" t="n"/>
      <c r="LXY285" s="1132" t="n"/>
      <c r="LXZ285" s="1132" t="n"/>
      <c r="LYA285" s="1132" t="n"/>
      <c r="LYB285" s="1132" t="n"/>
      <c r="LYC285" s="1132" t="n"/>
      <c r="LYD285" s="1132" t="n"/>
      <c r="LYE285" s="1132" t="n"/>
      <c r="LYF285" s="1132" t="n"/>
      <c r="LYG285" s="1132" t="n"/>
      <c r="LYH285" s="1132" t="n"/>
      <c r="LYI285" s="1132" t="n"/>
      <c r="LYJ285" s="1132" t="n"/>
      <c r="LYK285" s="1132" t="n"/>
      <c r="LYL285" s="1132" t="n"/>
      <c r="LYM285" s="1132" t="n"/>
      <c r="LYN285" s="1132" t="n"/>
      <c r="LYO285" s="1132" t="n"/>
      <c r="LYP285" s="1132" t="n"/>
      <c r="LYQ285" s="1132" t="n"/>
      <c r="LYR285" s="1132" t="n"/>
      <c r="LYS285" s="1132" t="n"/>
      <c r="LYT285" s="1132" t="n"/>
      <c r="LYU285" s="1132" t="n"/>
      <c r="LYV285" s="1132" t="n"/>
      <c r="LYW285" s="1132" t="n"/>
      <c r="LYX285" s="1132" t="n"/>
      <c r="LYY285" s="1132" t="n"/>
      <c r="LYZ285" s="1132" t="n"/>
      <c r="LZA285" s="1132" t="n"/>
      <c r="LZB285" s="1132" t="n"/>
      <c r="LZC285" s="1132" t="n"/>
      <c r="LZD285" s="1132" t="n"/>
      <c r="LZE285" s="1132" t="n"/>
      <c r="LZF285" s="1132" t="n"/>
      <c r="LZG285" s="1132" t="n"/>
      <c r="LZH285" s="1132" t="n"/>
      <c r="LZI285" s="1132" t="n"/>
      <c r="LZJ285" s="1132" t="n"/>
      <c r="LZK285" s="1132" t="n"/>
      <c r="LZL285" s="1132" t="n"/>
      <c r="LZM285" s="1132" t="n"/>
      <c r="LZN285" s="1132" t="n"/>
      <c r="LZO285" s="1132" t="n"/>
      <c r="LZP285" s="1132" t="n"/>
      <c r="LZQ285" s="1132" t="n"/>
      <c r="LZR285" s="1132" t="n"/>
      <c r="LZS285" s="1132" t="n"/>
      <c r="LZT285" s="1132" t="n"/>
      <c r="LZU285" s="1132" t="n"/>
      <c r="LZV285" s="1132" t="n"/>
      <c r="LZW285" s="1132" t="n"/>
      <c r="LZX285" s="1132" t="n"/>
      <c r="LZY285" s="1132" t="n"/>
      <c r="LZZ285" s="1132" t="n"/>
      <c r="MAA285" s="1132" t="n"/>
      <c r="MAB285" s="1132" t="n"/>
      <c r="MAC285" s="1132" t="n"/>
      <c r="MAD285" s="1132" t="n"/>
      <c r="MAE285" s="1132" t="n"/>
      <c r="MAF285" s="1132" t="n"/>
      <c r="MAG285" s="1132" t="n"/>
      <c r="MAH285" s="1132" t="n"/>
      <c r="MAI285" s="1132" t="n"/>
      <c r="MAJ285" s="1132" t="n"/>
      <c r="MAK285" s="1132" t="n"/>
      <c r="MAL285" s="1132" t="n"/>
      <c r="MAM285" s="1132" t="n"/>
      <c r="MAN285" s="1132" t="n"/>
      <c r="MAO285" s="1132" t="n"/>
      <c r="MAP285" s="1132" t="n"/>
      <c r="MAQ285" s="1132" t="n"/>
      <c r="MAR285" s="1132" t="n"/>
      <c r="MAS285" s="1132" t="n"/>
      <c r="MAT285" s="1132" t="n"/>
      <c r="MAU285" s="1132" t="n"/>
      <c r="MAV285" s="1132" t="n"/>
      <c r="MAW285" s="1132" t="n"/>
      <c r="MAX285" s="1132" t="n"/>
      <c r="MAY285" s="1132" t="n"/>
      <c r="MAZ285" s="1132" t="n"/>
      <c r="MBA285" s="1132" t="n"/>
      <c r="MBB285" s="1132" t="n"/>
      <c r="MBC285" s="1132" t="n"/>
      <c r="MBD285" s="1132" t="n"/>
      <c r="MBE285" s="1132" t="n"/>
      <c r="MBF285" s="1132" t="n"/>
      <c r="MBG285" s="1132" t="n"/>
      <c r="MBH285" s="1132" t="n"/>
      <c r="MBI285" s="1132" t="n"/>
      <c r="MBJ285" s="1132" t="n"/>
      <c r="MBK285" s="1132" t="n"/>
      <c r="MBL285" s="1132" t="n"/>
      <c r="MBM285" s="1132" t="n"/>
      <c r="MBN285" s="1132" t="n"/>
      <c r="MBO285" s="1132" t="n"/>
      <c r="MBP285" s="1132" t="n"/>
      <c r="MBQ285" s="1132" t="n"/>
      <c r="MBR285" s="1132" t="n"/>
      <c r="MBS285" s="1132" t="n"/>
      <c r="MBT285" s="1132" t="n"/>
      <c r="MBU285" s="1132" t="n"/>
      <c r="MBV285" s="1132" t="n"/>
      <c r="MBW285" s="1132" t="n"/>
      <c r="MBX285" s="1132" t="n"/>
      <c r="MBY285" s="1132" t="n"/>
      <c r="MBZ285" s="1132" t="n"/>
      <c r="MCA285" s="1132" t="n"/>
      <c r="MCB285" s="1132" t="n"/>
      <c r="MCC285" s="1132" t="n"/>
      <c r="MCD285" s="1132" t="n"/>
      <c r="MCE285" s="1132" t="n"/>
      <c r="MCF285" s="1132" t="n"/>
      <c r="MCG285" s="1132" t="n"/>
      <c r="MCH285" s="1132" t="n"/>
      <c r="MCI285" s="1132" t="n"/>
      <c r="MCJ285" s="1132" t="n"/>
      <c r="MCK285" s="1132" t="n"/>
      <c r="MCL285" s="1132" t="n"/>
      <c r="MCM285" s="1132" t="n"/>
      <c r="MCN285" s="1132" t="n"/>
      <c r="MCO285" s="1132" t="n"/>
      <c r="MCP285" s="1132" t="n"/>
      <c r="MCQ285" s="1132" t="n"/>
      <c r="MCR285" s="1132" t="n"/>
      <c r="MCS285" s="1132" t="n"/>
      <c r="MCT285" s="1132" t="n"/>
      <c r="MCU285" s="1132" t="n"/>
      <c r="MCV285" s="1132" t="n"/>
      <c r="MCW285" s="1132" t="n"/>
      <c r="MCX285" s="1132" t="n"/>
      <c r="MCY285" s="1132" t="n"/>
      <c r="MCZ285" s="1132" t="n"/>
      <c r="MDA285" s="1132" t="n"/>
      <c r="MDB285" s="1132" t="n"/>
      <c r="MDC285" s="1132" t="n"/>
      <c r="MDD285" s="1132" t="n"/>
      <c r="MDE285" s="1132" t="n"/>
      <c r="MDF285" s="1132" t="n"/>
      <c r="MDG285" s="1132" t="n"/>
      <c r="MDH285" s="1132" t="n"/>
      <c r="MDI285" s="1132" t="n"/>
      <c r="MDJ285" s="1132" t="n"/>
      <c r="MDK285" s="1132" t="n"/>
      <c r="MDL285" s="1132" t="n"/>
      <c r="MDM285" s="1132" t="n"/>
      <c r="MDN285" s="1132" t="n"/>
      <c r="MDO285" s="1132" t="n"/>
      <c r="MDP285" s="1132" t="n"/>
      <c r="MDQ285" s="1132" t="n"/>
      <c r="MDR285" s="1132" t="n"/>
      <c r="MDS285" s="1132" t="n"/>
      <c r="MDT285" s="1132" t="n"/>
      <c r="MDU285" s="1132" t="n"/>
      <c r="MDV285" s="1132" t="n"/>
      <c r="MDW285" s="1132" t="n"/>
      <c r="MDX285" s="1132" t="n"/>
      <c r="MDY285" s="1132" t="n"/>
      <c r="MDZ285" s="1132" t="n"/>
      <c r="MEA285" s="1132" t="n"/>
      <c r="MEB285" s="1132" t="n"/>
      <c r="MEC285" s="1132" t="n"/>
      <c r="MED285" s="1132" t="n"/>
      <c r="MEE285" s="1132" t="n"/>
      <c r="MEF285" s="1132" t="n"/>
      <c r="MEG285" s="1132" t="n"/>
      <c r="MEH285" s="1132" t="n"/>
      <c r="MEI285" s="1132" t="n"/>
      <c r="MEJ285" s="1132" t="n"/>
      <c r="MEK285" s="1132" t="n"/>
      <c r="MEL285" s="1132" t="n"/>
      <c r="MEM285" s="1132" t="n"/>
      <c r="MEN285" s="1132" t="n"/>
      <c r="MEO285" s="1132" t="n"/>
      <c r="MEP285" s="1132" t="n"/>
      <c r="MEQ285" s="1132" t="n"/>
      <c r="MER285" s="1132" t="n"/>
      <c r="MES285" s="1132" t="n"/>
      <c r="MET285" s="1132" t="n"/>
      <c r="MEU285" s="1132" t="n"/>
      <c r="MEV285" s="1132" t="n"/>
      <c r="MEW285" s="1132" t="n"/>
      <c r="MEX285" s="1132" t="n"/>
      <c r="MEY285" s="1132" t="n"/>
      <c r="MEZ285" s="1132" t="n"/>
      <c r="MFA285" s="1132" t="n"/>
      <c r="MFB285" s="1132" t="n"/>
      <c r="MFC285" s="1132" t="n"/>
      <c r="MFD285" s="1132" t="n"/>
      <c r="MFE285" s="1132" t="n"/>
      <c r="MFF285" s="1132" t="n"/>
      <c r="MFG285" s="1132" t="n"/>
      <c r="MFH285" s="1132" t="n"/>
      <c r="MFI285" s="1132" t="n"/>
      <c r="MFJ285" s="1132" t="n"/>
      <c r="MFK285" s="1132" t="n"/>
      <c r="MFL285" s="1132" t="n"/>
      <c r="MFM285" s="1132" t="n"/>
      <c r="MFN285" s="1132" t="n"/>
      <c r="MFO285" s="1132" t="n"/>
      <c r="MFP285" s="1132" t="n"/>
      <c r="MFQ285" s="1132" t="n"/>
      <c r="MFR285" s="1132" t="n"/>
      <c r="MFS285" s="1132" t="n"/>
      <c r="MFT285" s="1132" t="n"/>
      <c r="MFU285" s="1132" t="n"/>
      <c r="MFV285" s="1132" t="n"/>
      <c r="MFW285" s="1132" t="n"/>
      <c r="MFX285" s="1132" t="n"/>
      <c r="MFY285" s="1132" t="n"/>
      <c r="MFZ285" s="1132" t="n"/>
      <c r="MGA285" s="1132" t="n"/>
      <c r="MGB285" s="1132" t="n"/>
      <c r="MGC285" s="1132" t="n"/>
      <c r="MGD285" s="1132" t="n"/>
      <c r="MGE285" s="1132" t="n"/>
      <c r="MGF285" s="1132" t="n"/>
      <c r="MGG285" s="1132" t="n"/>
      <c r="MGH285" s="1132" t="n"/>
      <c r="MGI285" s="1132" t="n"/>
      <c r="MGJ285" s="1132" t="n"/>
      <c r="MGK285" s="1132" t="n"/>
      <c r="MGL285" s="1132" t="n"/>
      <c r="MGM285" s="1132" t="n"/>
      <c r="MGN285" s="1132" t="n"/>
      <c r="MGO285" s="1132" t="n"/>
      <c r="MGP285" s="1132" t="n"/>
      <c r="MGQ285" s="1132" t="n"/>
      <c r="MGR285" s="1132" t="n"/>
      <c r="MGS285" s="1132" t="n"/>
      <c r="MGT285" s="1132" t="n"/>
      <c r="MGU285" s="1132" t="n"/>
      <c r="MGV285" s="1132" t="n"/>
      <c r="MGW285" s="1132" t="n"/>
      <c r="MGX285" s="1132" t="n"/>
      <c r="MGY285" s="1132" t="n"/>
      <c r="MGZ285" s="1132" t="n"/>
      <c r="MHA285" s="1132" t="n"/>
      <c r="MHB285" s="1132" t="n"/>
      <c r="MHC285" s="1132" t="n"/>
      <c r="MHD285" s="1132" t="n"/>
      <c r="MHE285" s="1132" t="n"/>
      <c r="MHF285" s="1132" t="n"/>
      <c r="MHG285" s="1132" t="n"/>
      <c r="MHH285" s="1132" t="n"/>
      <c r="MHI285" s="1132" t="n"/>
      <c r="MHJ285" s="1132" t="n"/>
      <c r="MHK285" s="1132" t="n"/>
      <c r="MHL285" s="1132" t="n"/>
      <c r="MHM285" s="1132" t="n"/>
      <c r="MHN285" s="1132" t="n"/>
      <c r="MHO285" s="1132" t="n"/>
      <c r="MHP285" s="1132" t="n"/>
      <c r="MHQ285" s="1132" t="n"/>
      <c r="MHR285" s="1132" t="n"/>
      <c r="MHS285" s="1132" t="n"/>
      <c r="MHT285" s="1132" t="n"/>
      <c r="MHU285" s="1132" t="n"/>
      <c r="MHV285" s="1132" t="n"/>
      <c r="MHW285" s="1132" t="n"/>
      <c r="MHX285" s="1132" t="n"/>
      <c r="MHY285" s="1132" t="n"/>
      <c r="MHZ285" s="1132" t="n"/>
      <c r="MIA285" s="1132" t="n"/>
      <c r="MIB285" s="1132" t="n"/>
      <c r="MIC285" s="1132" t="n"/>
      <c r="MID285" s="1132" t="n"/>
      <c r="MIE285" s="1132" t="n"/>
      <c r="MIF285" s="1132" t="n"/>
      <c r="MIG285" s="1132" t="n"/>
      <c r="MIH285" s="1132" t="n"/>
      <c r="MII285" s="1132" t="n"/>
      <c r="MIJ285" s="1132" t="n"/>
      <c r="MIK285" s="1132" t="n"/>
      <c r="MIL285" s="1132" t="n"/>
      <c r="MIM285" s="1132" t="n"/>
      <c r="MIN285" s="1132" t="n"/>
      <c r="MIO285" s="1132" t="n"/>
      <c r="MIP285" s="1132" t="n"/>
      <c r="MIQ285" s="1132" t="n"/>
      <c r="MIR285" s="1132" t="n"/>
      <c r="MIS285" s="1132" t="n"/>
      <c r="MIT285" s="1132" t="n"/>
      <c r="MIU285" s="1132" t="n"/>
      <c r="MIV285" s="1132" t="n"/>
      <c r="MIW285" s="1132" t="n"/>
      <c r="MIX285" s="1132" t="n"/>
      <c r="MIY285" s="1132" t="n"/>
      <c r="MIZ285" s="1132" t="n"/>
      <c r="MJA285" s="1132" t="n"/>
      <c r="MJB285" s="1132" t="n"/>
      <c r="MJC285" s="1132" t="n"/>
      <c r="MJD285" s="1132" t="n"/>
      <c r="MJE285" s="1132" t="n"/>
      <c r="MJF285" s="1132" t="n"/>
      <c r="MJG285" s="1132" t="n"/>
      <c r="MJH285" s="1132" t="n"/>
      <c r="MJI285" s="1132" t="n"/>
      <c r="MJJ285" s="1132" t="n"/>
      <c r="MJK285" s="1132" t="n"/>
      <c r="MJL285" s="1132" t="n"/>
      <c r="MJM285" s="1132" t="n"/>
      <c r="MJN285" s="1132" t="n"/>
      <c r="MJO285" s="1132" t="n"/>
      <c r="MJP285" s="1132" t="n"/>
      <c r="MJQ285" s="1132" t="n"/>
      <c r="MJR285" s="1132" t="n"/>
      <c r="MJS285" s="1132" t="n"/>
      <c r="MJT285" s="1132" t="n"/>
      <c r="MJU285" s="1132" t="n"/>
      <c r="MJV285" s="1132" t="n"/>
      <c r="MJW285" s="1132" t="n"/>
      <c r="MJX285" s="1132" t="n"/>
      <c r="MJY285" s="1132" t="n"/>
      <c r="MJZ285" s="1132" t="n"/>
      <c r="MKA285" s="1132" t="n"/>
      <c r="MKB285" s="1132" t="n"/>
      <c r="MKC285" s="1132" t="n"/>
      <c r="MKD285" s="1132" t="n"/>
      <c r="MKE285" s="1132" t="n"/>
      <c r="MKF285" s="1132" t="n"/>
      <c r="MKG285" s="1132" t="n"/>
      <c r="MKH285" s="1132" t="n"/>
      <c r="MKI285" s="1132" t="n"/>
      <c r="MKJ285" s="1132" t="n"/>
      <c r="MKK285" s="1132" t="n"/>
      <c r="MKL285" s="1132" t="n"/>
      <c r="MKM285" s="1132" t="n"/>
      <c r="MKN285" s="1132" t="n"/>
      <c r="MKO285" s="1132" t="n"/>
      <c r="MKP285" s="1132" t="n"/>
      <c r="MKQ285" s="1132" t="n"/>
      <c r="MKR285" s="1132" t="n"/>
      <c r="MKS285" s="1132" t="n"/>
      <c r="MKT285" s="1132" t="n"/>
      <c r="MKU285" s="1132" t="n"/>
      <c r="MKV285" s="1132" t="n"/>
      <c r="MKW285" s="1132" t="n"/>
      <c r="MKX285" s="1132" t="n"/>
      <c r="MKY285" s="1132" t="n"/>
      <c r="MKZ285" s="1132" t="n"/>
      <c r="MLA285" s="1132" t="n"/>
      <c r="MLB285" s="1132" t="n"/>
      <c r="MLC285" s="1132" t="n"/>
      <c r="MLD285" s="1132" t="n"/>
      <c r="MLE285" s="1132" t="n"/>
      <c r="MLF285" s="1132" t="n"/>
      <c r="MLG285" s="1132" t="n"/>
      <c r="MLH285" s="1132" t="n"/>
      <c r="MLI285" s="1132" t="n"/>
      <c r="MLJ285" s="1132" t="n"/>
      <c r="MLK285" s="1132" t="n"/>
      <c r="MLL285" s="1132" t="n"/>
      <c r="MLM285" s="1132" t="n"/>
      <c r="MLN285" s="1132" t="n"/>
      <c r="MLO285" s="1132" t="n"/>
      <c r="MLP285" s="1132" t="n"/>
      <c r="MLQ285" s="1132" t="n"/>
      <c r="MLR285" s="1132" t="n"/>
      <c r="MLS285" s="1132" t="n"/>
      <c r="MLT285" s="1132" t="n"/>
      <c r="MLU285" s="1132" t="n"/>
      <c r="MLV285" s="1132" t="n"/>
      <c r="MLW285" s="1132" t="n"/>
      <c r="MLX285" s="1132" t="n"/>
      <c r="MLY285" s="1132" t="n"/>
      <c r="MLZ285" s="1132" t="n"/>
      <c r="MMA285" s="1132" t="n"/>
      <c r="MMB285" s="1132" t="n"/>
      <c r="MMC285" s="1132" t="n"/>
      <c r="MMD285" s="1132" t="n"/>
      <c r="MME285" s="1132" t="n"/>
      <c r="MMF285" s="1132" t="n"/>
      <c r="MMG285" s="1132" t="n"/>
      <c r="MMH285" s="1132" t="n"/>
      <c r="MMI285" s="1132" t="n"/>
      <c r="MMJ285" s="1132" t="n"/>
      <c r="MMK285" s="1132" t="n"/>
      <c r="MML285" s="1132" t="n"/>
      <c r="MMM285" s="1132" t="n"/>
      <c r="MMN285" s="1132" t="n"/>
      <c r="MMO285" s="1132" t="n"/>
      <c r="MMP285" s="1132" t="n"/>
      <c r="MMQ285" s="1132" t="n"/>
      <c r="MMR285" s="1132" t="n"/>
      <c r="MMS285" s="1132" t="n"/>
      <c r="MMT285" s="1132" t="n"/>
      <c r="MMU285" s="1132" t="n"/>
      <c r="MMV285" s="1132" t="n"/>
      <c r="MMW285" s="1132" t="n"/>
      <c r="MMX285" s="1132" t="n"/>
      <c r="MMY285" s="1132" t="n"/>
      <c r="MMZ285" s="1132" t="n"/>
      <c r="MNA285" s="1132" t="n"/>
      <c r="MNB285" s="1132" t="n"/>
      <c r="MNC285" s="1132" t="n"/>
      <c r="MND285" s="1132" t="n"/>
      <c r="MNE285" s="1132" t="n"/>
      <c r="MNF285" s="1132" t="n"/>
      <c r="MNG285" s="1132" t="n"/>
      <c r="MNH285" s="1132" t="n"/>
      <c r="MNI285" s="1132" t="n"/>
      <c r="MNJ285" s="1132" t="n"/>
      <c r="MNK285" s="1132" t="n"/>
      <c r="MNL285" s="1132" t="n"/>
      <c r="MNM285" s="1132" t="n"/>
      <c r="MNN285" s="1132" t="n"/>
      <c r="MNO285" s="1132" t="n"/>
      <c r="MNP285" s="1132" t="n"/>
      <c r="MNQ285" s="1132" t="n"/>
      <c r="MNR285" s="1132" t="n"/>
      <c r="MNS285" s="1132" t="n"/>
      <c r="MNT285" s="1132" t="n"/>
      <c r="MNU285" s="1132" t="n"/>
      <c r="MNV285" s="1132" t="n"/>
      <c r="MNW285" s="1132" t="n"/>
      <c r="MNX285" s="1132" t="n"/>
      <c r="MNY285" s="1132" t="n"/>
      <c r="MNZ285" s="1132" t="n"/>
      <c r="MOA285" s="1132" t="n"/>
      <c r="MOB285" s="1132" t="n"/>
      <c r="MOC285" s="1132" t="n"/>
      <c r="MOD285" s="1132" t="n"/>
      <c r="MOE285" s="1132" t="n"/>
      <c r="MOF285" s="1132" t="n"/>
      <c r="MOG285" s="1132" t="n"/>
      <c r="MOH285" s="1132" t="n"/>
      <c r="MOI285" s="1132" t="n"/>
      <c r="MOJ285" s="1132" t="n"/>
      <c r="MOK285" s="1132" t="n"/>
      <c r="MOL285" s="1132" t="n"/>
      <c r="MOM285" s="1132" t="n"/>
      <c r="MON285" s="1132" t="n"/>
      <c r="MOO285" s="1132" t="n"/>
      <c r="MOP285" s="1132" t="n"/>
      <c r="MOQ285" s="1132" t="n"/>
      <c r="MOR285" s="1132" t="n"/>
      <c r="MOS285" s="1132" t="n"/>
      <c r="MOT285" s="1132" t="n"/>
      <c r="MOU285" s="1132" t="n"/>
      <c r="MOV285" s="1132" t="n"/>
      <c r="MOW285" s="1132" t="n"/>
      <c r="MOX285" s="1132" t="n"/>
      <c r="MOY285" s="1132" t="n"/>
      <c r="MOZ285" s="1132" t="n"/>
      <c r="MPA285" s="1132" t="n"/>
      <c r="MPB285" s="1132" t="n"/>
      <c r="MPC285" s="1132" t="n"/>
      <c r="MPD285" s="1132" t="n"/>
      <c r="MPE285" s="1132" t="n"/>
      <c r="MPF285" s="1132" t="n"/>
      <c r="MPG285" s="1132" t="n"/>
      <c r="MPH285" s="1132" t="n"/>
      <c r="MPI285" s="1132" t="n"/>
      <c r="MPJ285" s="1132" t="n"/>
      <c r="MPK285" s="1132" t="n"/>
      <c r="MPL285" s="1132" t="n"/>
      <c r="MPM285" s="1132" t="n"/>
      <c r="MPN285" s="1132" t="n"/>
      <c r="MPO285" s="1132" t="n"/>
      <c r="MPP285" s="1132" t="n"/>
      <c r="MPQ285" s="1132" t="n"/>
      <c r="MPR285" s="1132" t="n"/>
      <c r="MPS285" s="1132" t="n"/>
      <c r="MPT285" s="1132" t="n"/>
      <c r="MPU285" s="1132" t="n"/>
      <c r="MPV285" s="1132" t="n"/>
      <c r="MPW285" s="1132" t="n"/>
      <c r="MPX285" s="1132" t="n"/>
      <c r="MPY285" s="1132" t="n"/>
      <c r="MPZ285" s="1132" t="n"/>
      <c r="MQA285" s="1132" t="n"/>
      <c r="MQB285" s="1132" t="n"/>
      <c r="MQC285" s="1132" t="n"/>
      <c r="MQD285" s="1132" t="n"/>
      <c r="MQE285" s="1132" t="n"/>
      <c r="MQF285" s="1132" t="n"/>
      <c r="MQG285" s="1132" t="n"/>
      <c r="MQH285" s="1132" t="n"/>
      <c r="MQI285" s="1132" t="n"/>
      <c r="MQJ285" s="1132" t="n"/>
      <c r="MQK285" s="1132" t="n"/>
      <c r="MQL285" s="1132" t="n"/>
      <c r="MQM285" s="1132" t="n"/>
      <c r="MQN285" s="1132" t="n"/>
      <c r="MQO285" s="1132" t="n"/>
      <c r="MQP285" s="1132" t="n"/>
      <c r="MQQ285" s="1132" t="n"/>
      <c r="MQR285" s="1132" t="n"/>
      <c r="MQS285" s="1132" t="n"/>
      <c r="MQT285" s="1132" t="n"/>
      <c r="MQU285" s="1132" t="n"/>
      <c r="MQV285" s="1132" t="n"/>
      <c r="MQW285" s="1132" t="n"/>
      <c r="MQX285" s="1132" t="n"/>
      <c r="MQY285" s="1132" t="n"/>
      <c r="MQZ285" s="1132" t="n"/>
      <c r="MRA285" s="1132" t="n"/>
      <c r="MRB285" s="1132" t="n"/>
      <c r="MRC285" s="1132" t="n"/>
      <c r="MRD285" s="1132" t="n"/>
      <c r="MRE285" s="1132" t="n"/>
      <c r="MRF285" s="1132" t="n"/>
      <c r="MRG285" s="1132" t="n"/>
      <c r="MRH285" s="1132" t="n"/>
      <c r="MRI285" s="1132" t="n"/>
      <c r="MRJ285" s="1132" t="n"/>
      <c r="MRK285" s="1132" t="n"/>
      <c r="MRL285" s="1132" t="n"/>
      <c r="MRM285" s="1132" t="n"/>
      <c r="MRN285" s="1132" t="n"/>
      <c r="MRO285" s="1132" t="n"/>
      <c r="MRP285" s="1132" t="n"/>
      <c r="MRQ285" s="1132" t="n"/>
      <c r="MRR285" s="1132" t="n"/>
      <c r="MRS285" s="1132" t="n"/>
      <c r="MRT285" s="1132" t="n"/>
      <c r="MRU285" s="1132" t="n"/>
      <c r="MRV285" s="1132" t="n"/>
      <c r="MRW285" s="1132" t="n"/>
      <c r="MRX285" s="1132" t="n"/>
      <c r="MRY285" s="1132" t="n"/>
      <c r="MRZ285" s="1132" t="n"/>
      <c r="MSA285" s="1132" t="n"/>
      <c r="MSB285" s="1132" t="n"/>
      <c r="MSC285" s="1132" t="n"/>
      <c r="MSD285" s="1132" t="n"/>
      <c r="MSE285" s="1132" t="n"/>
      <c r="MSF285" s="1132" t="n"/>
      <c r="MSG285" s="1132" t="n"/>
      <c r="MSH285" s="1132" t="n"/>
      <c r="MSI285" s="1132" t="n"/>
      <c r="MSJ285" s="1132" t="n"/>
      <c r="MSK285" s="1132" t="n"/>
      <c r="MSL285" s="1132" t="n"/>
      <c r="MSM285" s="1132" t="n"/>
      <c r="MSN285" s="1132" t="n"/>
      <c r="MSO285" s="1132" t="n"/>
      <c r="MSP285" s="1132" t="n"/>
      <c r="MSQ285" s="1132" t="n"/>
      <c r="MSR285" s="1132" t="n"/>
      <c r="MSS285" s="1132" t="n"/>
      <c r="MST285" s="1132" t="n"/>
      <c r="MSU285" s="1132" t="n"/>
      <c r="MSV285" s="1132" t="n"/>
      <c r="MSW285" s="1132" t="n"/>
      <c r="MSX285" s="1132" t="n"/>
      <c r="MSY285" s="1132" t="n"/>
      <c r="MSZ285" s="1132" t="n"/>
      <c r="MTA285" s="1132" t="n"/>
      <c r="MTB285" s="1132" t="n"/>
      <c r="MTC285" s="1132" t="n"/>
      <c r="MTD285" s="1132" t="n"/>
      <c r="MTE285" s="1132" t="n"/>
      <c r="MTF285" s="1132" t="n"/>
      <c r="MTG285" s="1132" t="n"/>
      <c r="MTH285" s="1132" t="n"/>
      <c r="MTI285" s="1132" t="n"/>
      <c r="MTJ285" s="1132" t="n"/>
      <c r="MTK285" s="1132" t="n"/>
      <c r="MTL285" s="1132" t="n"/>
      <c r="MTM285" s="1132" t="n"/>
      <c r="MTN285" s="1132" t="n"/>
      <c r="MTO285" s="1132" t="n"/>
      <c r="MTP285" s="1132" t="n"/>
      <c r="MTQ285" s="1132" t="n"/>
      <c r="MTR285" s="1132" t="n"/>
      <c r="MTS285" s="1132" t="n"/>
      <c r="MTT285" s="1132" t="n"/>
      <c r="MTU285" s="1132" t="n"/>
      <c r="MTV285" s="1132" t="n"/>
      <c r="MTW285" s="1132" t="n"/>
      <c r="MTX285" s="1132" t="n"/>
      <c r="MTY285" s="1132" t="n"/>
      <c r="MTZ285" s="1132" t="n"/>
      <c r="MUA285" s="1132" t="n"/>
      <c r="MUB285" s="1132" t="n"/>
      <c r="MUC285" s="1132" t="n"/>
      <c r="MUD285" s="1132" t="n"/>
      <c r="MUE285" s="1132" t="n"/>
      <c r="MUF285" s="1132" t="n"/>
      <c r="MUG285" s="1132" t="n"/>
      <c r="MUH285" s="1132" t="n"/>
      <c r="MUI285" s="1132" t="n"/>
      <c r="MUJ285" s="1132" t="n"/>
      <c r="MUK285" s="1132" t="n"/>
      <c r="MUL285" s="1132" t="n"/>
      <c r="MUM285" s="1132" t="n"/>
      <c r="MUN285" s="1132" t="n"/>
      <c r="MUO285" s="1132" t="n"/>
      <c r="MUP285" s="1132" t="n"/>
      <c r="MUQ285" s="1132" t="n"/>
      <c r="MUR285" s="1132" t="n"/>
      <c r="MUS285" s="1132" t="n"/>
      <c r="MUT285" s="1132" t="n"/>
      <c r="MUU285" s="1132" t="n"/>
      <c r="MUV285" s="1132" t="n"/>
      <c r="MUW285" s="1132" t="n"/>
      <c r="MUX285" s="1132" t="n"/>
      <c r="MUY285" s="1132" t="n"/>
      <c r="MUZ285" s="1132" t="n"/>
      <c r="MVA285" s="1132" t="n"/>
      <c r="MVB285" s="1132" t="n"/>
      <c r="MVC285" s="1132" t="n"/>
      <c r="MVD285" s="1132" t="n"/>
      <c r="MVE285" s="1132" t="n"/>
      <c r="MVF285" s="1132" t="n"/>
      <c r="MVG285" s="1132" t="n"/>
      <c r="MVH285" s="1132" t="n"/>
      <c r="MVI285" s="1132" t="n"/>
      <c r="MVJ285" s="1132" t="n"/>
      <c r="MVK285" s="1132" t="n"/>
      <c r="MVL285" s="1132" t="n"/>
      <c r="MVM285" s="1132" t="n"/>
      <c r="MVN285" s="1132" t="n"/>
      <c r="MVO285" s="1132" t="n"/>
      <c r="MVP285" s="1132" t="n"/>
      <c r="MVQ285" s="1132" t="n"/>
      <c r="MVR285" s="1132" t="n"/>
      <c r="MVS285" s="1132" t="n"/>
      <c r="MVT285" s="1132" t="n"/>
      <c r="MVU285" s="1132" t="n"/>
      <c r="MVV285" s="1132" t="n"/>
      <c r="MVW285" s="1132" t="n"/>
      <c r="MVX285" s="1132" t="n"/>
      <c r="MVY285" s="1132" t="n"/>
      <c r="MVZ285" s="1132" t="n"/>
      <c r="MWA285" s="1132" t="n"/>
      <c r="MWB285" s="1132" t="n"/>
      <c r="MWC285" s="1132" t="n"/>
      <c r="MWD285" s="1132" t="n"/>
      <c r="MWE285" s="1132" t="n"/>
      <c r="MWF285" s="1132" t="n"/>
      <c r="MWG285" s="1132" t="n"/>
      <c r="MWH285" s="1132" t="n"/>
      <c r="MWI285" s="1132" t="n"/>
      <c r="MWJ285" s="1132" t="n"/>
      <c r="MWK285" s="1132" t="n"/>
      <c r="MWL285" s="1132" t="n"/>
      <c r="MWM285" s="1132" t="n"/>
      <c r="MWN285" s="1132" t="n"/>
      <c r="MWO285" s="1132" t="n"/>
      <c r="MWP285" s="1132" t="n"/>
      <c r="MWQ285" s="1132" t="n"/>
      <c r="MWR285" s="1132" t="n"/>
      <c r="MWS285" s="1132" t="n"/>
      <c r="MWT285" s="1132" t="n"/>
      <c r="MWU285" s="1132" t="n"/>
      <c r="MWV285" s="1132" t="n"/>
      <c r="MWW285" s="1132" t="n"/>
      <c r="MWX285" s="1132" t="n"/>
      <c r="MWY285" s="1132" t="n"/>
      <c r="MWZ285" s="1132" t="n"/>
      <c r="MXA285" s="1132" t="n"/>
      <c r="MXB285" s="1132" t="n"/>
      <c r="MXC285" s="1132" t="n"/>
      <c r="MXD285" s="1132" t="n"/>
      <c r="MXE285" s="1132" t="n"/>
      <c r="MXF285" s="1132" t="n"/>
      <c r="MXG285" s="1132" t="n"/>
      <c r="MXH285" s="1132" t="n"/>
      <c r="MXI285" s="1132" t="n"/>
      <c r="MXJ285" s="1132" t="n"/>
      <c r="MXK285" s="1132" t="n"/>
      <c r="MXL285" s="1132" t="n"/>
      <c r="MXM285" s="1132" t="n"/>
      <c r="MXN285" s="1132" t="n"/>
      <c r="MXO285" s="1132" t="n"/>
      <c r="MXP285" s="1132" t="n"/>
      <c r="MXQ285" s="1132" t="n"/>
      <c r="MXR285" s="1132" t="n"/>
      <c r="MXS285" s="1132" t="n"/>
      <c r="MXT285" s="1132" t="n"/>
      <c r="MXU285" s="1132" t="n"/>
      <c r="MXV285" s="1132" t="n"/>
      <c r="MXW285" s="1132" t="n"/>
      <c r="MXX285" s="1132" t="n"/>
      <c r="MXY285" s="1132" t="n"/>
      <c r="MXZ285" s="1132" t="n"/>
      <c r="MYA285" s="1132" t="n"/>
      <c r="MYB285" s="1132" t="n"/>
      <c r="MYC285" s="1132" t="n"/>
      <c r="MYD285" s="1132" t="n"/>
      <c r="MYE285" s="1132" t="n"/>
      <c r="MYF285" s="1132" t="n"/>
      <c r="MYG285" s="1132" t="n"/>
      <c r="MYH285" s="1132" t="n"/>
      <c r="MYI285" s="1132" t="n"/>
      <c r="MYJ285" s="1132" t="n"/>
      <c r="MYK285" s="1132" t="n"/>
      <c r="MYL285" s="1132" t="n"/>
      <c r="MYM285" s="1132" t="n"/>
      <c r="MYN285" s="1132" t="n"/>
      <c r="MYO285" s="1132" t="n"/>
      <c r="MYP285" s="1132" t="n"/>
      <c r="MYQ285" s="1132" t="n"/>
      <c r="MYR285" s="1132" t="n"/>
      <c r="MYS285" s="1132" t="n"/>
      <c r="MYT285" s="1132" t="n"/>
      <c r="MYU285" s="1132" t="n"/>
      <c r="MYV285" s="1132" t="n"/>
      <c r="MYW285" s="1132" t="n"/>
      <c r="MYX285" s="1132" t="n"/>
      <c r="MYY285" s="1132" t="n"/>
      <c r="MYZ285" s="1132" t="n"/>
      <c r="MZA285" s="1132" t="n"/>
      <c r="MZB285" s="1132" t="n"/>
      <c r="MZC285" s="1132" t="n"/>
      <c r="MZD285" s="1132" t="n"/>
      <c r="MZE285" s="1132" t="n"/>
      <c r="MZF285" s="1132" t="n"/>
      <c r="MZG285" s="1132" t="n"/>
      <c r="MZH285" s="1132" t="n"/>
      <c r="MZI285" s="1132" t="n"/>
      <c r="MZJ285" s="1132" t="n"/>
      <c r="MZK285" s="1132" t="n"/>
      <c r="MZL285" s="1132" t="n"/>
      <c r="MZM285" s="1132" t="n"/>
      <c r="MZN285" s="1132" t="n"/>
      <c r="MZO285" s="1132" t="n"/>
      <c r="MZP285" s="1132" t="n"/>
      <c r="MZQ285" s="1132" t="n"/>
      <c r="MZR285" s="1132" t="n"/>
      <c r="MZS285" s="1132" t="n"/>
      <c r="MZT285" s="1132" t="n"/>
      <c r="MZU285" s="1132" t="n"/>
      <c r="MZV285" s="1132" t="n"/>
      <c r="MZW285" s="1132" t="n"/>
      <c r="MZX285" s="1132" t="n"/>
      <c r="MZY285" s="1132" t="n"/>
      <c r="MZZ285" s="1132" t="n"/>
      <c r="NAA285" s="1132" t="n"/>
      <c r="NAB285" s="1132" t="n"/>
      <c r="NAC285" s="1132" t="n"/>
      <c r="NAD285" s="1132" t="n"/>
      <c r="NAE285" s="1132" t="n"/>
      <c r="NAF285" s="1132" t="n"/>
      <c r="NAG285" s="1132" t="n"/>
      <c r="NAH285" s="1132" t="n"/>
      <c r="NAI285" s="1132" t="n"/>
      <c r="NAJ285" s="1132" t="n"/>
      <c r="NAK285" s="1132" t="n"/>
      <c r="NAL285" s="1132" t="n"/>
      <c r="NAM285" s="1132" t="n"/>
      <c r="NAN285" s="1132" t="n"/>
      <c r="NAO285" s="1132" t="n"/>
      <c r="NAP285" s="1132" t="n"/>
      <c r="NAQ285" s="1132" t="n"/>
      <c r="NAR285" s="1132" t="n"/>
      <c r="NAS285" s="1132" t="n"/>
      <c r="NAT285" s="1132" t="n"/>
      <c r="NAU285" s="1132" t="n"/>
      <c r="NAV285" s="1132" t="n"/>
      <c r="NAW285" s="1132" t="n"/>
      <c r="NAX285" s="1132" t="n"/>
      <c r="NAY285" s="1132" t="n"/>
      <c r="NAZ285" s="1132" t="n"/>
      <c r="NBA285" s="1132" t="n"/>
      <c r="NBB285" s="1132" t="n"/>
      <c r="NBC285" s="1132" t="n"/>
      <c r="NBD285" s="1132" t="n"/>
      <c r="NBE285" s="1132" t="n"/>
      <c r="NBF285" s="1132" t="n"/>
      <c r="NBG285" s="1132" t="n"/>
      <c r="NBH285" s="1132" t="n"/>
      <c r="NBI285" s="1132" t="n"/>
      <c r="NBJ285" s="1132" t="n"/>
      <c r="NBK285" s="1132" t="n"/>
      <c r="NBL285" s="1132" t="n"/>
      <c r="NBM285" s="1132" t="n"/>
      <c r="NBN285" s="1132" t="n"/>
      <c r="NBO285" s="1132" t="n"/>
      <c r="NBP285" s="1132" t="n"/>
      <c r="NBQ285" s="1132" t="n"/>
      <c r="NBR285" s="1132" t="n"/>
      <c r="NBS285" s="1132" t="n"/>
      <c r="NBT285" s="1132" t="n"/>
      <c r="NBU285" s="1132" t="n"/>
      <c r="NBV285" s="1132" t="n"/>
      <c r="NBW285" s="1132" t="n"/>
      <c r="NBX285" s="1132" t="n"/>
      <c r="NBY285" s="1132" t="n"/>
      <c r="NBZ285" s="1132" t="n"/>
      <c r="NCA285" s="1132" t="n"/>
      <c r="NCB285" s="1132" t="n"/>
      <c r="NCC285" s="1132" t="n"/>
      <c r="NCD285" s="1132" t="n"/>
      <c r="NCE285" s="1132" t="n"/>
      <c r="NCF285" s="1132" t="n"/>
      <c r="NCG285" s="1132" t="n"/>
      <c r="NCH285" s="1132" t="n"/>
      <c r="NCI285" s="1132" t="n"/>
      <c r="NCJ285" s="1132" t="n"/>
      <c r="NCK285" s="1132" t="n"/>
      <c r="NCL285" s="1132" t="n"/>
      <c r="NCM285" s="1132" t="n"/>
      <c r="NCN285" s="1132" t="n"/>
      <c r="NCO285" s="1132" t="n"/>
      <c r="NCP285" s="1132" t="n"/>
      <c r="NCQ285" s="1132" t="n"/>
      <c r="NCR285" s="1132" t="n"/>
      <c r="NCS285" s="1132" t="n"/>
      <c r="NCT285" s="1132" t="n"/>
      <c r="NCU285" s="1132" t="n"/>
      <c r="NCV285" s="1132" t="n"/>
      <c r="NCW285" s="1132" t="n"/>
      <c r="NCX285" s="1132" t="n"/>
      <c r="NCY285" s="1132" t="n"/>
      <c r="NCZ285" s="1132" t="n"/>
      <c r="NDA285" s="1132" t="n"/>
      <c r="NDB285" s="1132" t="n"/>
      <c r="NDC285" s="1132" t="n"/>
      <c r="NDD285" s="1132" t="n"/>
      <c r="NDE285" s="1132" t="n"/>
      <c r="NDF285" s="1132" t="n"/>
      <c r="NDG285" s="1132" t="n"/>
      <c r="NDH285" s="1132" t="n"/>
      <c r="NDI285" s="1132" t="n"/>
      <c r="NDJ285" s="1132" t="n"/>
      <c r="NDK285" s="1132" t="n"/>
      <c r="NDL285" s="1132" t="n"/>
      <c r="NDM285" s="1132" t="n"/>
      <c r="NDN285" s="1132" t="n"/>
      <c r="NDO285" s="1132" t="n"/>
      <c r="NDP285" s="1132" t="n"/>
      <c r="NDQ285" s="1132" t="n"/>
      <c r="NDR285" s="1132" t="n"/>
      <c r="NDS285" s="1132" t="n"/>
      <c r="NDT285" s="1132" t="n"/>
      <c r="NDU285" s="1132" t="n"/>
      <c r="NDV285" s="1132" t="n"/>
      <c r="NDW285" s="1132" t="n"/>
      <c r="NDX285" s="1132" t="n"/>
      <c r="NDY285" s="1132" t="n"/>
      <c r="NDZ285" s="1132" t="n"/>
      <c r="NEA285" s="1132" t="n"/>
      <c r="NEB285" s="1132" t="n"/>
      <c r="NEC285" s="1132" t="n"/>
      <c r="NED285" s="1132" t="n"/>
      <c r="NEE285" s="1132" t="n"/>
      <c r="NEF285" s="1132" t="n"/>
      <c r="NEG285" s="1132" t="n"/>
      <c r="NEH285" s="1132" t="n"/>
      <c r="NEI285" s="1132" t="n"/>
      <c r="NEJ285" s="1132" t="n"/>
      <c r="NEK285" s="1132" t="n"/>
      <c r="NEL285" s="1132" t="n"/>
      <c r="NEM285" s="1132" t="n"/>
      <c r="NEN285" s="1132" t="n"/>
      <c r="NEO285" s="1132" t="n"/>
      <c r="NEP285" s="1132" t="n"/>
      <c r="NEQ285" s="1132" t="n"/>
      <c r="NER285" s="1132" t="n"/>
      <c r="NES285" s="1132" t="n"/>
      <c r="NET285" s="1132" t="n"/>
      <c r="NEU285" s="1132" t="n"/>
      <c r="NEV285" s="1132" t="n"/>
      <c r="NEW285" s="1132" t="n"/>
      <c r="NEX285" s="1132" t="n"/>
      <c r="NEY285" s="1132" t="n"/>
      <c r="NEZ285" s="1132" t="n"/>
      <c r="NFA285" s="1132" t="n"/>
      <c r="NFB285" s="1132" t="n"/>
      <c r="NFC285" s="1132" t="n"/>
      <c r="NFD285" s="1132" t="n"/>
      <c r="NFE285" s="1132" t="n"/>
      <c r="NFF285" s="1132" t="n"/>
      <c r="NFG285" s="1132" t="n"/>
      <c r="NFH285" s="1132" t="n"/>
      <c r="NFI285" s="1132" t="n"/>
      <c r="NFJ285" s="1132" t="n"/>
      <c r="NFK285" s="1132" t="n"/>
      <c r="NFL285" s="1132" t="n"/>
      <c r="NFM285" s="1132" t="n"/>
      <c r="NFN285" s="1132" t="n"/>
      <c r="NFO285" s="1132" t="n"/>
      <c r="NFP285" s="1132" t="n"/>
      <c r="NFQ285" s="1132" t="n"/>
      <c r="NFR285" s="1132" t="n"/>
      <c r="NFS285" s="1132" t="n"/>
      <c r="NFT285" s="1132" t="n"/>
      <c r="NFU285" s="1132" t="n"/>
      <c r="NFV285" s="1132" t="n"/>
      <c r="NFW285" s="1132" t="n"/>
      <c r="NFX285" s="1132" t="n"/>
      <c r="NFY285" s="1132" t="n"/>
      <c r="NFZ285" s="1132" t="n"/>
      <c r="NGA285" s="1132" t="n"/>
      <c r="NGB285" s="1132" t="n"/>
      <c r="NGC285" s="1132" t="n"/>
      <c r="NGD285" s="1132" t="n"/>
      <c r="NGE285" s="1132" t="n"/>
      <c r="NGF285" s="1132" t="n"/>
      <c r="NGG285" s="1132" t="n"/>
      <c r="NGH285" s="1132" t="n"/>
      <c r="NGI285" s="1132" t="n"/>
      <c r="NGJ285" s="1132" t="n"/>
      <c r="NGK285" s="1132" t="n"/>
      <c r="NGL285" s="1132" t="n"/>
      <c r="NGM285" s="1132" t="n"/>
      <c r="NGN285" s="1132" t="n"/>
      <c r="NGO285" s="1132" t="n"/>
      <c r="NGP285" s="1132" t="n"/>
      <c r="NGQ285" s="1132" t="n"/>
      <c r="NGR285" s="1132" t="n"/>
      <c r="NGS285" s="1132" t="n"/>
      <c r="NGT285" s="1132" t="n"/>
      <c r="NGU285" s="1132" t="n"/>
      <c r="NGV285" s="1132" t="n"/>
      <c r="NGW285" s="1132" t="n"/>
      <c r="NGX285" s="1132" t="n"/>
      <c r="NGY285" s="1132" t="n"/>
      <c r="NGZ285" s="1132" t="n"/>
      <c r="NHA285" s="1132" t="n"/>
      <c r="NHB285" s="1132" t="n"/>
      <c r="NHC285" s="1132" t="n"/>
      <c r="NHD285" s="1132" t="n"/>
      <c r="NHE285" s="1132" t="n"/>
      <c r="NHF285" s="1132" t="n"/>
      <c r="NHG285" s="1132" t="n"/>
      <c r="NHH285" s="1132" t="n"/>
      <c r="NHI285" s="1132" t="n"/>
      <c r="NHJ285" s="1132" t="n"/>
      <c r="NHK285" s="1132" t="n"/>
      <c r="NHL285" s="1132" t="n"/>
      <c r="NHM285" s="1132" t="n"/>
      <c r="NHN285" s="1132" t="n"/>
      <c r="NHO285" s="1132" t="n"/>
      <c r="NHP285" s="1132" t="n"/>
      <c r="NHQ285" s="1132" t="n"/>
      <c r="NHR285" s="1132" t="n"/>
      <c r="NHS285" s="1132" t="n"/>
      <c r="NHT285" s="1132" t="n"/>
      <c r="NHU285" s="1132" t="n"/>
      <c r="NHV285" s="1132" t="n"/>
      <c r="NHW285" s="1132" t="n"/>
      <c r="NHX285" s="1132" t="n"/>
      <c r="NHY285" s="1132" t="n"/>
      <c r="NHZ285" s="1132" t="n"/>
      <c r="NIA285" s="1132" t="n"/>
      <c r="NIB285" s="1132" t="n"/>
      <c r="NIC285" s="1132" t="n"/>
      <c r="NID285" s="1132" t="n"/>
      <c r="NIE285" s="1132" t="n"/>
      <c r="NIF285" s="1132" t="n"/>
      <c r="NIG285" s="1132" t="n"/>
      <c r="NIH285" s="1132" t="n"/>
      <c r="NII285" s="1132" t="n"/>
      <c r="NIJ285" s="1132" t="n"/>
      <c r="NIK285" s="1132" t="n"/>
      <c r="NIL285" s="1132" t="n"/>
      <c r="NIM285" s="1132" t="n"/>
      <c r="NIN285" s="1132" t="n"/>
      <c r="NIO285" s="1132" t="n"/>
      <c r="NIP285" s="1132" t="n"/>
      <c r="NIQ285" s="1132" t="n"/>
      <c r="NIR285" s="1132" t="n"/>
      <c r="NIS285" s="1132" t="n"/>
      <c r="NIT285" s="1132" t="n"/>
      <c r="NIU285" s="1132" t="n"/>
      <c r="NIV285" s="1132" t="n"/>
      <c r="NIW285" s="1132" t="n"/>
      <c r="NIX285" s="1132" t="n"/>
      <c r="NIY285" s="1132" t="n"/>
      <c r="NIZ285" s="1132" t="n"/>
      <c r="NJA285" s="1132" t="n"/>
      <c r="NJB285" s="1132" t="n"/>
      <c r="NJC285" s="1132" t="n"/>
      <c r="NJD285" s="1132" t="n"/>
      <c r="NJE285" s="1132" t="n"/>
      <c r="NJF285" s="1132" t="n"/>
      <c r="NJG285" s="1132" t="n"/>
      <c r="NJH285" s="1132" t="n"/>
      <c r="NJI285" s="1132" t="n"/>
      <c r="NJJ285" s="1132" t="n"/>
      <c r="NJK285" s="1132" t="n"/>
      <c r="NJL285" s="1132" t="n"/>
      <c r="NJM285" s="1132" t="n"/>
      <c r="NJN285" s="1132" t="n"/>
      <c r="NJO285" s="1132" t="n"/>
      <c r="NJP285" s="1132" t="n"/>
      <c r="NJQ285" s="1132" t="n"/>
      <c r="NJR285" s="1132" t="n"/>
      <c r="NJS285" s="1132" t="n"/>
      <c r="NJT285" s="1132" t="n"/>
      <c r="NJU285" s="1132" t="n"/>
      <c r="NJV285" s="1132" t="n"/>
      <c r="NJW285" s="1132" t="n"/>
      <c r="NJX285" s="1132" t="n"/>
      <c r="NJY285" s="1132" t="n"/>
      <c r="NJZ285" s="1132" t="n"/>
      <c r="NKA285" s="1132" t="n"/>
      <c r="NKB285" s="1132" t="n"/>
      <c r="NKC285" s="1132" t="n"/>
      <c r="NKD285" s="1132" t="n"/>
      <c r="NKE285" s="1132" t="n"/>
      <c r="NKF285" s="1132" t="n"/>
      <c r="NKG285" s="1132" t="n"/>
      <c r="NKH285" s="1132" t="n"/>
      <c r="NKI285" s="1132" t="n"/>
      <c r="NKJ285" s="1132" t="n"/>
      <c r="NKK285" s="1132" t="n"/>
      <c r="NKL285" s="1132" t="n"/>
      <c r="NKM285" s="1132" t="n"/>
      <c r="NKN285" s="1132" t="n"/>
      <c r="NKO285" s="1132" t="n"/>
      <c r="NKP285" s="1132" t="n"/>
      <c r="NKQ285" s="1132" t="n"/>
      <c r="NKR285" s="1132" t="n"/>
      <c r="NKS285" s="1132" t="n"/>
      <c r="NKT285" s="1132" t="n"/>
      <c r="NKU285" s="1132" t="n"/>
      <c r="NKV285" s="1132" t="n"/>
      <c r="NKW285" s="1132" t="n"/>
      <c r="NKX285" s="1132" t="n"/>
      <c r="NKY285" s="1132" t="n"/>
      <c r="NKZ285" s="1132" t="n"/>
      <c r="NLA285" s="1132" t="n"/>
      <c r="NLB285" s="1132" t="n"/>
      <c r="NLC285" s="1132" t="n"/>
      <c r="NLD285" s="1132" t="n"/>
      <c r="NLE285" s="1132" t="n"/>
      <c r="NLF285" s="1132" t="n"/>
      <c r="NLG285" s="1132" t="n"/>
      <c r="NLH285" s="1132" t="n"/>
      <c r="NLI285" s="1132" t="n"/>
      <c r="NLJ285" s="1132" t="n"/>
      <c r="NLK285" s="1132" t="n"/>
      <c r="NLL285" s="1132" t="n"/>
      <c r="NLM285" s="1132" t="n"/>
      <c r="NLN285" s="1132" t="n"/>
      <c r="NLO285" s="1132" t="n"/>
      <c r="NLP285" s="1132" t="n"/>
      <c r="NLQ285" s="1132" t="n"/>
      <c r="NLR285" s="1132" t="n"/>
      <c r="NLS285" s="1132" t="n"/>
      <c r="NLT285" s="1132" t="n"/>
      <c r="NLU285" s="1132" t="n"/>
      <c r="NLV285" s="1132" t="n"/>
      <c r="NLW285" s="1132" t="n"/>
      <c r="NLX285" s="1132" t="n"/>
      <c r="NLY285" s="1132" t="n"/>
      <c r="NLZ285" s="1132" t="n"/>
      <c r="NMA285" s="1132" t="n"/>
      <c r="NMB285" s="1132" t="n"/>
      <c r="NMC285" s="1132" t="n"/>
      <c r="NMD285" s="1132" t="n"/>
      <c r="NME285" s="1132" t="n"/>
      <c r="NMF285" s="1132" t="n"/>
      <c r="NMG285" s="1132" t="n"/>
      <c r="NMH285" s="1132" t="n"/>
      <c r="NMI285" s="1132" t="n"/>
      <c r="NMJ285" s="1132" t="n"/>
      <c r="NMK285" s="1132" t="n"/>
      <c r="NML285" s="1132" t="n"/>
      <c r="NMM285" s="1132" t="n"/>
      <c r="NMN285" s="1132" t="n"/>
      <c r="NMO285" s="1132" t="n"/>
      <c r="NMP285" s="1132" t="n"/>
      <c r="NMQ285" s="1132" t="n"/>
      <c r="NMR285" s="1132" t="n"/>
      <c r="NMS285" s="1132" t="n"/>
      <c r="NMT285" s="1132" t="n"/>
      <c r="NMU285" s="1132" t="n"/>
      <c r="NMV285" s="1132" t="n"/>
      <c r="NMW285" s="1132" t="n"/>
      <c r="NMX285" s="1132" t="n"/>
      <c r="NMY285" s="1132" t="n"/>
      <c r="NMZ285" s="1132" t="n"/>
      <c r="NNA285" s="1132" t="n"/>
      <c r="NNB285" s="1132" t="n"/>
      <c r="NNC285" s="1132" t="n"/>
      <c r="NND285" s="1132" t="n"/>
      <c r="NNE285" s="1132" t="n"/>
      <c r="NNF285" s="1132" t="n"/>
      <c r="NNG285" s="1132" t="n"/>
      <c r="NNH285" s="1132" t="n"/>
      <c r="NNI285" s="1132" t="n"/>
      <c r="NNJ285" s="1132" t="n"/>
      <c r="NNK285" s="1132" t="n"/>
      <c r="NNL285" s="1132" t="n"/>
      <c r="NNM285" s="1132" t="n"/>
      <c r="NNN285" s="1132" t="n"/>
      <c r="NNO285" s="1132" t="n"/>
      <c r="NNP285" s="1132" t="n"/>
      <c r="NNQ285" s="1132" t="n"/>
      <c r="NNR285" s="1132" t="n"/>
      <c r="NNS285" s="1132" t="n"/>
      <c r="NNT285" s="1132" t="n"/>
      <c r="NNU285" s="1132" t="n"/>
      <c r="NNV285" s="1132" t="n"/>
      <c r="NNW285" s="1132" t="n"/>
      <c r="NNX285" s="1132" t="n"/>
      <c r="NNY285" s="1132" t="n"/>
      <c r="NNZ285" s="1132" t="n"/>
      <c r="NOA285" s="1132" t="n"/>
      <c r="NOB285" s="1132" t="n"/>
      <c r="NOC285" s="1132" t="n"/>
      <c r="NOD285" s="1132" t="n"/>
      <c r="NOE285" s="1132" t="n"/>
      <c r="NOF285" s="1132" t="n"/>
      <c r="NOG285" s="1132" t="n"/>
      <c r="NOH285" s="1132" t="n"/>
      <c r="NOI285" s="1132" t="n"/>
      <c r="NOJ285" s="1132" t="n"/>
      <c r="NOK285" s="1132" t="n"/>
      <c r="NOL285" s="1132" t="n"/>
      <c r="NOM285" s="1132" t="n"/>
      <c r="NON285" s="1132" t="n"/>
      <c r="NOO285" s="1132" t="n"/>
      <c r="NOP285" s="1132" t="n"/>
      <c r="NOQ285" s="1132" t="n"/>
      <c r="NOR285" s="1132" t="n"/>
      <c r="NOS285" s="1132" t="n"/>
      <c r="NOT285" s="1132" t="n"/>
      <c r="NOU285" s="1132" t="n"/>
      <c r="NOV285" s="1132" t="n"/>
      <c r="NOW285" s="1132" t="n"/>
      <c r="NOX285" s="1132" t="n"/>
      <c r="NOY285" s="1132" t="n"/>
      <c r="NOZ285" s="1132" t="n"/>
      <c r="NPA285" s="1132" t="n"/>
      <c r="NPB285" s="1132" t="n"/>
      <c r="NPC285" s="1132" t="n"/>
      <c r="NPD285" s="1132" t="n"/>
      <c r="NPE285" s="1132" t="n"/>
      <c r="NPF285" s="1132" t="n"/>
      <c r="NPG285" s="1132" t="n"/>
      <c r="NPH285" s="1132" t="n"/>
      <c r="NPI285" s="1132" t="n"/>
      <c r="NPJ285" s="1132" t="n"/>
      <c r="NPK285" s="1132" t="n"/>
      <c r="NPL285" s="1132" t="n"/>
      <c r="NPM285" s="1132" t="n"/>
      <c r="NPN285" s="1132" t="n"/>
      <c r="NPO285" s="1132" t="n"/>
      <c r="NPP285" s="1132" t="n"/>
      <c r="NPQ285" s="1132" t="n"/>
      <c r="NPR285" s="1132" t="n"/>
      <c r="NPS285" s="1132" t="n"/>
      <c r="NPT285" s="1132" t="n"/>
      <c r="NPU285" s="1132" t="n"/>
      <c r="NPV285" s="1132" t="n"/>
      <c r="NPW285" s="1132" t="n"/>
      <c r="NPX285" s="1132" t="n"/>
      <c r="NPY285" s="1132" t="n"/>
      <c r="NPZ285" s="1132" t="n"/>
      <c r="NQA285" s="1132" t="n"/>
      <c r="NQB285" s="1132" t="n"/>
      <c r="NQC285" s="1132" t="n"/>
      <c r="NQD285" s="1132" t="n"/>
      <c r="NQE285" s="1132" t="n"/>
      <c r="NQF285" s="1132" t="n"/>
      <c r="NQG285" s="1132" t="n"/>
      <c r="NQH285" s="1132" t="n"/>
      <c r="NQI285" s="1132" t="n"/>
      <c r="NQJ285" s="1132" t="n"/>
      <c r="NQK285" s="1132" t="n"/>
      <c r="NQL285" s="1132" t="n"/>
      <c r="NQM285" s="1132" t="n"/>
      <c r="NQN285" s="1132" t="n"/>
      <c r="NQO285" s="1132" t="n"/>
      <c r="NQP285" s="1132" t="n"/>
      <c r="NQQ285" s="1132" t="n"/>
      <c r="NQR285" s="1132" t="n"/>
      <c r="NQS285" s="1132" t="n"/>
      <c r="NQT285" s="1132" t="n"/>
      <c r="NQU285" s="1132" t="n"/>
      <c r="NQV285" s="1132" t="n"/>
      <c r="NQW285" s="1132" t="n"/>
      <c r="NQX285" s="1132" t="n"/>
      <c r="NQY285" s="1132" t="n"/>
      <c r="NQZ285" s="1132" t="n"/>
      <c r="NRA285" s="1132" t="n"/>
      <c r="NRB285" s="1132" t="n"/>
      <c r="NRC285" s="1132" t="n"/>
      <c r="NRD285" s="1132" t="n"/>
      <c r="NRE285" s="1132" t="n"/>
      <c r="NRF285" s="1132" t="n"/>
      <c r="NRG285" s="1132" t="n"/>
      <c r="NRH285" s="1132" t="n"/>
      <c r="NRI285" s="1132" t="n"/>
      <c r="NRJ285" s="1132" t="n"/>
      <c r="NRK285" s="1132" t="n"/>
      <c r="NRL285" s="1132" t="n"/>
      <c r="NRM285" s="1132" t="n"/>
      <c r="NRN285" s="1132" t="n"/>
      <c r="NRO285" s="1132" t="n"/>
      <c r="NRP285" s="1132" t="n"/>
      <c r="NRQ285" s="1132" t="n"/>
      <c r="NRR285" s="1132" t="n"/>
      <c r="NRS285" s="1132" t="n"/>
      <c r="NRT285" s="1132" t="n"/>
      <c r="NRU285" s="1132" t="n"/>
      <c r="NRV285" s="1132" t="n"/>
      <c r="NRW285" s="1132" t="n"/>
      <c r="NRX285" s="1132" t="n"/>
      <c r="NRY285" s="1132" t="n"/>
      <c r="NRZ285" s="1132" t="n"/>
      <c r="NSA285" s="1132" t="n"/>
      <c r="NSB285" s="1132" t="n"/>
      <c r="NSC285" s="1132" t="n"/>
      <c r="NSD285" s="1132" t="n"/>
      <c r="NSE285" s="1132" t="n"/>
      <c r="NSF285" s="1132" t="n"/>
      <c r="NSG285" s="1132" t="n"/>
      <c r="NSH285" s="1132" t="n"/>
      <c r="NSI285" s="1132" t="n"/>
      <c r="NSJ285" s="1132" t="n"/>
      <c r="NSK285" s="1132" t="n"/>
      <c r="NSL285" s="1132" t="n"/>
      <c r="NSM285" s="1132" t="n"/>
      <c r="NSN285" s="1132" t="n"/>
      <c r="NSO285" s="1132" t="n"/>
      <c r="NSP285" s="1132" t="n"/>
      <c r="NSQ285" s="1132" t="n"/>
      <c r="NSR285" s="1132" t="n"/>
      <c r="NSS285" s="1132" t="n"/>
      <c r="NST285" s="1132" t="n"/>
      <c r="NSU285" s="1132" t="n"/>
      <c r="NSV285" s="1132" t="n"/>
      <c r="NSW285" s="1132" t="n"/>
      <c r="NSX285" s="1132" t="n"/>
      <c r="NSY285" s="1132" t="n"/>
      <c r="NSZ285" s="1132" t="n"/>
      <c r="NTA285" s="1132" t="n"/>
      <c r="NTB285" s="1132" t="n"/>
      <c r="NTC285" s="1132" t="n"/>
      <c r="NTD285" s="1132" t="n"/>
      <c r="NTE285" s="1132" t="n"/>
      <c r="NTF285" s="1132" t="n"/>
      <c r="NTG285" s="1132" t="n"/>
      <c r="NTH285" s="1132" t="n"/>
      <c r="NTI285" s="1132" t="n"/>
      <c r="NTJ285" s="1132" t="n"/>
      <c r="NTK285" s="1132" t="n"/>
      <c r="NTL285" s="1132" t="n"/>
      <c r="NTM285" s="1132" t="n"/>
      <c r="NTN285" s="1132" t="n"/>
      <c r="NTO285" s="1132" t="n"/>
      <c r="NTP285" s="1132" t="n"/>
      <c r="NTQ285" s="1132" t="n"/>
      <c r="NTR285" s="1132" t="n"/>
      <c r="NTS285" s="1132" t="n"/>
      <c r="NTT285" s="1132" t="n"/>
      <c r="NTU285" s="1132" t="n"/>
      <c r="NTV285" s="1132" t="n"/>
      <c r="NTW285" s="1132" t="n"/>
      <c r="NTX285" s="1132" t="n"/>
      <c r="NTY285" s="1132" t="n"/>
      <c r="NTZ285" s="1132" t="n"/>
      <c r="NUA285" s="1132" t="n"/>
      <c r="NUB285" s="1132" t="n"/>
      <c r="NUC285" s="1132" t="n"/>
      <c r="NUD285" s="1132" t="n"/>
      <c r="NUE285" s="1132" t="n"/>
      <c r="NUF285" s="1132" t="n"/>
      <c r="NUG285" s="1132" t="n"/>
      <c r="NUH285" s="1132" t="n"/>
      <c r="NUI285" s="1132" t="n"/>
      <c r="NUJ285" s="1132" t="n"/>
      <c r="NUK285" s="1132" t="n"/>
      <c r="NUL285" s="1132" t="n"/>
      <c r="NUM285" s="1132" t="n"/>
      <c r="NUN285" s="1132" t="n"/>
      <c r="NUO285" s="1132" t="n"/>
      <c r="NUP285" s="1132" t="n"/>
      <c r="NUQ285" s="1132" t="n"/>
      <c r="NUR285" s="1132" t="n"/>
      <c r="NUS285" s="1132" t="n"/>
      <c r="NUT285" s="1132" t="n"/>
      <c r="NUU285" s="1132" t="n"/>
      <c r="NUV285" s="1132" t="n"/>
      <c r="NUW285" s="1132" t="n"/>
      <c r="NUX285" s="1132" t="n"/>
      <c r="NUY285" s="1132" t="n"/>
      <c r="NUZ285" s="1132" t="n"/>
      <c r="NVA285" s="1132" t="n"/>
      <c r="NVB285" s="1132" t="n"/>
      <c r="NVC285" s="1132" t="n"/>
      <c r="NVD285" s="1132" t="n"/>
      <c r="NVE285" s="1132" t="n"/>
      <c r="NVF285" s="1132" t="n"/>
      <c r="NVG285" s="1132" t="n"/>
      <c r="NVH285" s="1132" t="n"/>
      <c r="NVI285" s="1132" t="n"/>
      <c r="NVJ285" s="1132" t="n"/>
      <c r="NVK285" s="1132" t="n"/>
      <c r="NVL285" s="1132" t="n"/>
      <c r="NVM285" s="1132" t="n"/>
      <c r="NVN285" s="1132" t="n"/>
      <c r="NVO285" s="1132" t="n"/>
      <c r="NVP285" s="1132" t="n"/>
      <c r="NVQ285" s="1132" t="n"/>
      <c r="NVR285" s="1132" t="n"/>
      <c r="NVS285" s="1132" t="n"/>
      <c r="NVT285" s="1132" t="n"/>
      <c r="NVU285" s="1132" t="n"/>
      <c r="NVV285" s="1132" t="n"/>
      <c r="NVW285" s="1132" t="n"/>
      <c r="NVX285" s="1132" t="n"/>
      <c r="NVY285" s="1132" t="n"/>
      <c r="NVZ285" s="1132" t="n"/>
      <c r="NWA285" s="1132" t="n"/>
      <c r="NWB285" s="1132" t="n"/>
      <c r="NWC285" s="1132" t="n"/>
      <c r="NWD285" s="1132" t="n"/>
      <c r="NWE285" s="1132" t="n"/>
      <c r="NWF285" s="1132" t="n"/>
      <c r="NWG285" s="1132" t="n"/>
      <c r="NWH285" s="1132" t="n"/>
      <c r="NWI285" s="1132" t="n"/>
      <c r="NWJ285" s="1132" t="n"/>
      <c r="NWK285" s="1132" t="n"/>
      <c r="NWL285" s="1132" t="n"/>
      <c r="NWM285" s="1132" t="n"/>
      <c r="NWN285" s="1132" t="n"/>
      <c r="NWO285" s="1132" t="n"/>
      <c r="NWP285" s="1132" t="n"/>
      <c r="NWQ285" s="1132" t="n"/>
      <c r="NWR285" s="1132" t="n"/>
      <c r="NWS285" s="1132" t="n"/>
      <c r="NWT285" s="1132" t="n"/>
      <c r="NWU285" s="1132" t="n"/>
      <c r="NWV285" s="1132" t="n"/>
      <c r="NWW285" s="1132" t="n"/>
      <c r="NWX285" s="1132" t="n"/>
      <c r="NWY285" s="1132" t="n"/>
      <c r="NWZ285" s="1132" t="n"/>
      <c r="NXA285" s="1132" t="n"/>
      <c r="NXB285" s="1132" t="n"/>
      <c r="NXC285" s="1132" t="n"/>
      <c r="NXD285" s="1132" t="n"/>
      <c r="NXE285" s="1132" t="n"/>
      <c r="NXF285" s="1132" t="n"/>
      <c r="NXG285" s="1132" t="n"/>
      <c r="NXH285" s="1132" t="n"/>
      <c r="NXI285" s="1132" t="n"/>
      <c r="NXJ285" s="1132" t="n"/>
      <c r="NXK285" s="1132" t="n"/>
      <c r="NXL285" s="1132" t="n"/>
      <c r="NXM285" s="1132" t="n"/>
      <c r="NXN285" s="1132" t="n"/>
      <c r="NXO285" s="1132" t="n"/>
      <c r="NXP285" s="1132" t="n"/>
      <c r="NXQ285" s="1132" t="n"/>
      <c r="NXR285" s="1132" t="n"/>
      <c r="NXS285" s="1132" t="n"/>
      <c r="NXT285" s="1132" t="n"/>
      <c r="NXU285" s="1132" t="n"/>
      <c r="NXV285" s="1132" t="n"/>
      <c r="NXW285" s="1132" t="n"/>
      <c r="NXX285" s="1132" t="n"/>
      <c r="NXY285" s="1132" t="n"/>
      <c r="NXZ285" s="1132" t="n"/>
      <c r="NYA285" s="1132" t="n"/>
      <c r="NYB285" s="1132" t="n"/>
      <c r="NYC285" s="1132" t="n"/>
      <c r="NYD285" s="1132" t="n"/>
      <c r="NYE285" s="1132" t="n"/>
      <c r="NYF285" s="1132" t="n"/>
      <c r="NYG285" s="1132" t="n"/>
      <c r="NYH285" s="1132" t="n"/>
      <c r="NYI285" s="1132" t="n"/>
      <c r="NYJ285" s="1132" t="n"/>
      <c r="NYK285" s="1132" t="n"/>
      <c r="NYL285" s="1132" t="n"/>
      <c r="NYM285" s="1132" t="n"/>
      <c r="NYN285" s="1132" t="n"/>
      <c r="NYO285" s="1132" t="n"/>
      <c r="NYP285" s="1132" t="n"/>
      <c r="NYQ285" s="1132" t="n"/>
      <c r="NYR285" s="1132" t="n"/>
      <c r="NYS285" s="1132" t="n"/>
      <c r="NYT285" s="1132" t="n"/>
      <c r="NYU285" s="1132" t="n"/>
      <c r="NYV285" s="1132" t="n"/>
      <c r="NYW285" s="1132" t="n"/>
      <c r="NYX285" s="1132" t="n"/>
      <c r="NYY285" s="1132" t="n"/>
      <c r="NYZ285" s="1132" t="n"/>
      <c r="NZA285" s="1132" t="n"/>
      <c r="NZB285" s="1132" t="n"/>
      <c r="NZC285" s="1132" t="n"/>
      <c r="NZD285" s="1132" t="n"/>
      <c r="NZE285" s="1132" t="n"/>
      <c r="NZF285" s="1132" t="n"/>
      <c r="NZG285" s="1132" t="n"/>
      <c r="NZH285" s="1132" t="n"/>
      <c r="NZI285" s="1132" t="n"/>
      <c r="NZJ285" s="1132" t="n"/>
      <c r="NZK285" s="1132" t="n"/>
      <c r="NZL285" s="1132" t="n"/>
      <c r="NZM285" s="1132" t="n"/>
      <c r="NZN285" s="1132" t="n"/>
      <c r="NZO285" s="1132" t="n"/>
      <c r="NZP285" s="1132" t="n"/>
      <c r="NZQ285" s="1132" t="n"/>
      <c r="NZR285" s="1132" t="n"/>
      <c r="NZS285" s="1132" t="n"/>
      <c r="NZT285" s="1132" t="n"/>
      <c r="NZU285" s="1132" t="n"/>
      <c r="NZV285" s="1132" t="n"/>
      <c r="NZW285" s="1132" t="n"/>
      <c r="NZX285" s="1132" t="n"/>
      <c r="NZY285" s="1132" t="n"/>
      <c r="NZZ285" s="1132" t="n"/>
      <c r="OAA285" s="1132" t="n"/>
      <c r="OAB285" s="1132" t="n"/>
      <c r="OAC285" s="1132" t="n"/>
      <c r="OAD285" s="1132" t="n"/>
      <c r="OAE285" s="1132" t="n"/>
      <c r="OAF285" s="1132" t="n"/>
      <c r="OAG285" s="1132" t="n"/>
      <c r="OAH285" s="1132" t="n"/>
      <c r="OAI285" s="1132" t="n"/>
      <c r="OAJ285" s="1132" t="n"/>
      <c r="OAK285" s="1132" t="n"/>
      <c r="OAL285" s="1132" t="n"/>
      <c r="OAM285" s="1132" t="n"/>
      <c r="OAN285" s="1132" t="n"/>
      <c r="OAO285" s="1132" t="n"/>
      <c r="OAP285" s="1132" t="n"/>
      <c r="OAQ285" s="1132" t="n"/>
      <c r="OAR285" s="1132" t="n"/>
      <c r="OAS285" s="1132" t="n"/>
      <c r="OAT285" s="1132" t="n"/>
      <c r="OAU285" s="1132" t="n"/>
      <c r="OAV285" s="1132" t="n"/>
      <c r="OAW285" s="1132" t="n"/>
      <c r="OAX285" s="1132" t="n"/>
      <c r="OAY285" s="1132" t="n"/>
      <c r="OAZ285" s="1132" t="n"/>
      <c r="OBA285" s="1132" t="n"/>
      <c r="OBB285" s="1132" t="n"/>
      <c r="OBC285" s="1132" t="n"/>
      <c r="OBD285" s="1132" t="n"/>
      <c r="OBE285" s="1132" t="n"/>
      <c r="OBF285" s="1132" t="n"/>
      <c r="OBG285" s="1132" t="n"/>
      <c r="OBH285" s="1132" t="n"/>
      <c r="OBI285" s="1132" t="n"/>
      <c r="OBJ285" s="1132" t="n"/>
      <c r="OBK285" s="1132" t="n"/>
      <c r="OBL285" s="1132" t="n"/>
      <c r="OBM285" s="1132" t="n"/>
      <c r="OBN285" s="1132" t="n"/>
      <c r="OBO285" s="1132" t="n"/>
      <c r="OBP285" s="1132" t="n"/>
      <c r="OBQ285" s="1132" t="n"/>
      <c r="OBR285" s="1132" t="n"/>
      <c r="OBS285" s="1132" t="n"/>
      <c r="OBT285" s="1132" t="n"/>
      <c r="OBU285" s="1132" t="n"/>
      <c r="OBV285" s="1132" t="n"/>
      <c r="OBW285" s="1132" t="n"/>
      <c r="OBX285" s="1132" t="n"/>
      <c r="OBY285" s="1132" t="n"/>
      <c r="OBZ285" s="1132" t="n"/>
      <c r="OCA285" s="1132" t="n"/>
      <c r="OCB285" s="1132" t="n"/>
      <c r="OCC285" s="1132" t="n"/>
      <c r="OCD285" s="1132" t="n"/>
      <c r="OCE285" s="1132" t="n"/>
      <c r="OCF285" s="1132" t="n"/>
      <c r="OCG285" s="1132" t="n"/>
      <c r="OCH285" s="1132" t="n"/>
      <c r="OCI285" s="1132" t="n"/>
      <c r="OCJ285" s="1132" t="n"/>
      <c r="OCK285" s="1132" t="n"/>
      <c r="OCL285" s="1132" t="n"/>
      <c r="OCM285" s="1132" t="n"/>
      <c r="OCN285" s="1132" t="n"/>
      <c r="OCO285" s="1132" t="n"/>
      <c r="OCP285" s="1132" t="n"/>
      <c r="OCQ285" s="1132" t="n"/>
      <c r="OCR285" s="1132" t="n"/>
      <c r="OCS285" s="1132" t="n"/>
      <c r="OCT285" s="1132" t="n"/>
      <c r="OCU285" s="1132" t="n"/>
      <c r="OCV285" s="1132" t="n"/>
      <c r="OCW285" s="1132" t="n"/>
      <c r="OCX285" s="1132" t="n"/>
      <c r="OCY285" s="1132" t="n"/>
      <c r="OCZ285" s="1132" t="n"/>
      <c r="ODA285" s="1132" t="n"/>
      <c r="ODB285" s="1132" t="n"/>
      <c r="ODC285" s="1132" t="n"/>
      <c r="ODD285" s="1132" t="n"/>
      <c r="ODE285" s="1132" t="n"/>
      <c r="ODF285" s="1132" t="n"/>
      <c r="ODG285" s="1132" t="n"/>
      <c r="ODH285" s="1132" t="n"/>
      <c r="ODI285" s="1132" t="n"/>
      <c r="ODJ285" s="1132" t="n"/>
      <c r="ODK285" s="1132" t="n"/>
      <c r="ODL285" s="1132" t="n"/>
      <c r="ODM285" s="1132" t="n"/>
      <c r="ODN285" s="1132" t="n"/>
      <c r="ODO285" s="1132" t="n"/>
      <c r="ODP285" s="1132" t="n"/>
      <c r="ODQ285" s="1132" t="n"/>
      <c r="ODR285" s="1132" t="n"/>
      <c r="ODS285" s="1132" t="n"/>
      <c r="ODT285" s="1132" t="n"/>
      <c r="ODU285" s="1132" t="n"/>
      <c r="ODV285" s="1132" t="n"/>
      <c r="ODW285" s="1132" t="n"/>
      <c r="ODX285" s="1132" t="n"/>
      <c r="ODY285" s="1132" t="n"/>
      <c r="ODZ285" s="1132" t="n"/>
      <c r="OEA285" s="1132" t="n"/>
      <c r="OEB285" s="1132" t="n"/>
      <c r="OEC285" s="1132" t="n"/>
      <c r="OED285" s="1132" t="n"/>
      <c r="OEE285" s="1132" t="n"/>
      <c r="OEF285" s="1132" t="n"/>
      <c r="OEG285" s="1132" t="n"/>
      <c r="OEH285" s="1132" t="n"/>
      <c r="OEI285" s="1132" t="n"/>
      <c r="OEJ285" s="1132" t="n"/>
      <c r="OEK285" s="1132" t="n"/>
      <c r="OEL285" s="1132" t="n"/>
      <c r="OEM285" s="1132" t="n"/>
      <c r="OEN285" s="1132" t="n"/>
      <c r="OEO285" s="1132" t="n"/>
      <c r="OEP285" s="1132" t="n"/>
      <c r="OEQ285" s="1132" t="n"/>
      <c r="OER285" s="1132" t="n"/>
      <c r="OES285" s="1132" t="n"/>
      <c r="OET285" s="1132" t="n"/>
      <c r="OEU285" s="1132" t="n"/>
      <c r="OEV285" s="1132" t="n"/>
      <c r="OEW285" s="1132" t="n"/>
      <c r="OEX285" s="1132" t="n"/>
      <c r="OEY285" s="1132" t="n"/>
      <c r="OEZ285" s="1132" t="n"/>
      <c r="OFA285" s="1132" t="n"/>
      <c r="OFB285" s="1132" t="n"/>
      <c r="OFC285" s="1132" t="n"/>
      <c r="OFD285" s="1132" t="n"/>
      <c r="OFE285" s="1132" t="n"/>
      <c r="OFF285" s="1132" t="n"/>
      <c r="OFG285" s="1132" t="n"/>
      <c r="OFH285" s="1132" t="n"/>
      <c r="OFI285" s="1132" t="n"/>
      <c r="OFJ285" s="1132" t="n"/>
      <c r="OFK285" s="1132" t="n"/>
      <c r="OFL285" s="1132" t="n"/>
      <c r="OFM285" s="1132" t="n"/>
      <c r="OFN285" s="1132" t="n"/>
      <c r="OFO285" s="1132" t="n"/>
      <c r="OFP285" s="1132" t="n"/>
      <c r="OFQ285" s="1132" t="n"/>
      <c r="OFR285" s="1132" t="n"/>
      <c r="OFS285" s="1132" t="n"/>
      <c r="OFT285" s="1132" t="n"/>
      <c r="OFU285" s="1132" t="n"/>
      <c r="OFV285" s="1132" t="n"/>
      <c r="OFW285" s="1132" t="n"/>
      <c r="OFX285" s="1132" t="n"/>
      <c r="OFY285" s="1132" t="n"/>
      <c r="OFZ285" s="1132" t="n"/>
      <c r="OGA285" s="1132" t="n"/>
      <c r="OGB285" s="1132" t="n"/>
      <c r="OGC285" s="1132" t="n"/>
      <c r="OGD285" s="1132" t="n"/>
      <c r="OGE285" s="1132" t="n"/>
      <c r="OGF285" s="1132" t="n"/>
      <c r="OGG285" s="1132" t="n"/>
      <c r="OGH285" s="1132" t="n"/>
      <c r="OGI285" s="1132" t="n"/>
      <c r="OGJ285" s="1132" t="n"/>
      <c r="OGK285" s="1132" t="n"/>
      <c r="OGL285" s="1132" t="n"/>
      <c r="OGM285" s="1132" t="n"/>
      <c r="OGN285" s="1132" t="n"/>
      <c r="OGO285" s="1132" t="n"/>
      <c r="OGP285" s="1132" t="n"/>
      <c r="OGQ285" s="1132" t="n"/>
      <c r="OGR285" s="1132" t="n"/>
      <c r="OGS285" s="1132" t="n"/>
      <c r="OGT285" s="1132" t="n"/>
      <c r="OGU285" s="1132" t="n"/>
      <c r="OGV285" s="1132" t="n"/>
      <c r="OGW285" s="1132" t="n"/>
      <c r="OGX285" s="1132" t="n"/>
      <c r="OGY285" s="1132" t="n"/>
      <c r="OGZ285" s="1132" t="n"/>
      <c r="OHA285" s="1132" t="n"/>
      <c r="OHB285" s="1132" t="n"/>
      <c r="OHC285" s="1132" t="n"/>
      <c r="OHD285" s="1132" t="n"/>
      <c r="OHE285" s="1132" t="n"/>
      <c r="OHF285" s="1132" t="n"/>
      <c r="OHG285" s="1132" t="n"/>
      <c r="OHH285" s="1132" t="n"/>
      <c r="OHI285" s="1132" t="n"/>
      <c r="OHJ285" s="1132" t="n"/>
      <c r="OHK285" s="1132" t="n"/>
      <c r="OHL285" s="1132" t="n"/>
      <c r="OHM285" s="1132" t="n"/>
      <c r="OHN285" s="1132" t="n"/>
      <c r="OHO285" s="1132" t="n"/>
      <c r="OHP285" s="1132" t="n"/>
      <c r="OHQ285" s="1132" t="n"/>
      <c r="OHR285" s="1132" t="n"/>
      <c r="OHS285" s="1132" t="n"/>
      <c r="OHT285" s="1132" t="n"/>
      <c r="OHU285" s="1132" t="n"/>
      <c r="OHV285" s="1132" t="n"/>
      <c r="OHW285" s="1132" t="n"/>
      <c r="OHX285" s="1132" t="n"/>
      <c r="OHY285" s="1132" t="n"/>
      <c r="OHZ285" s="1132" t="n"/>
      <c r="OIA285" s="1132" t="n"/>
      <c r="OIB285" s="1132" t="n"/>
      <c r="OIC285" s="1132" t="n"/>
      <c r="OID285" s="1132" t="n"/>
      <c r="OIE285" s="1132" t="n"/>
      <c r="OIF285" s="1132" t="n"/>
      <c r="OIG285" s="1132" t="n"/>
      <c r="OIH285" s="1132" t="n"/>
      <c r="OII285" s="1132" t="n"/>
      <c r="OIJ285" s="1132" t="n"/>
      <c r="OIK285" s="1132" t="n"/>
      <c r="OIL285" s="1132" t="n"/>
      <c r="OIM285" s="1132" t="n"/>
      <c r="OIN285" s="1132" t="n"/>
      <c r="OIO285" s="1132" t="n"/>
      <c r="OIP285" s="1132" t="n"/>
      <c r="OIQ285" s="1132" t="n"/>
      <c r="OIR285" s="1132" t="n"/>
      <c r="OIS285" s="1132" t="n"/>
      <c r="OIT285" s="1132" t="n"/>
      <c r="OIU285" s="1132" t="n"/>
      <c r="OIV285" s="1132" t="n"/>
      <c r="OIW285" s="1132" t="n"/>
      <c r="OIX285" s="1132" t="n"/>
      <c r="OIY285" s="1132" t="n"/>
      <c r="OIZ285" s="1132" t="n"/>
      <c r="OJA285" s="1132" t="n"/>
      <c r="OJB285" s="1132" t="n"/>
      <c r="OJC285" s="1132" t="n"/>
      <c r="OJD285" s="1132" t="n"/>
      <c r="OJE285" s="1132" t="n"/>
      <c r="OJF285" s="1132" t="n"/>
      <c r="OJG285" s="1132" t="n"/>
      <c r="OJH285" s="1132" t="n"/>
      <c r="OJI285" s="1132" t="n"/>
      <c r="OJJ285" s="1132" t="n"/>
      <c r="OJK285" s="1132" t="n"/>
      <c r="OJL285" s="1132" t="n"/>
      <c r="OJM285" s="1132" t="n"/>
      <c r="OJN285" s="1132" t="n"/>
      <c r="OJO285" s="1132" t="n"/>
      <c r="OJP285" s="1132" t="n"/>
      <c r="OJQ285" s="1132" t="n"/>
      <c r="OJR285" s="1132" t="n"/>
      <c r="OJS285" s="1132" t="n"/>
      <c r="OJT285" s="1132" t="n"/>
      <c r="OJU285" s="1132" t="n"/>
      <c r="OJV285" s="1132" t="n"/>
      <c r="OJW285" s="1132" t="n"/>
      <c r="OJX285" s="1132" t="n"/>
      <c r="OJY285" s="1132" t="n"/>
      <c r="OJZ285" s="1132" t="n"/>
      <c r="OKA285" s="1132" t="n"/>
      <c r="OKB285" s="1132" t="n"/>
      <c r="OKC285" s="1132" t="n"/>
      <c r="OKD285" s="1132" t="n"/>
      <c r="OKE285" s="1132" t="n"/>
      <c r="OKF285" s="1132" t="n"/>
      <c r="OKG285" s="1132" t="n"/>
      <c r="OKH285" s="1132" t="n"/>
      <c r="OKI285" s="1132" t="n"/>
      <c r="OKJ285" s="1132" t="n"/>
      <c r="OKK285" s="1132" t="n"/>
      <c r="OKL285" s="1132" t="n"/>
      <c r="OKM285" s="1132" t="n"/>
      <c r="OKN285" s="1132" t="n"/>
      <c r="OKO285" s="1132" t="n"/>
      <c r="OKP285" s="1132" t="n"/>
      <c r="OKQ285" s="1132" t="n"/>
      <c r="OKR285" s="1132" t="n"/>
      <c r="OKS285" s="1132" t="n"/>
      <c r="OKT285" s="1132" t="n"/>
      <c r="OKU285" s="1132" t="n"/>
      <c r="OKV285" s="1132" t="n"/>
      <c r="OKW285" s="1132" t="n"/>
      <c r="OKX285" s="1132" t="n"/>
      <c r="OKY285" s="1132" t="n"/>
      <c r="OKZ285" s="1132" t="n"/>
      <c r="OLA285" s="1132" t="n"/>
      <c r="OLB285" s="1132" t="n"/>
      <c r="OLC285" s="1132" t="n"/>
      <c r="OLD285" s="1132" t="n"/>
      <c r="OLE285" s="1132" t="n"/>
      <c r="OLF285" s="1132" t="n"/>
      <c r="OLG285" s="1132" t="n"/>
      <c r="OLH285" s="1132" t="n"/>
      <c r="OLI285" s="1132" t="n"/>
      <c r="OLJ285" s="1132" t="n"/>
      <c r="OLK285" s="1132" t="n"/>
      <c r="OLL285" s="1132" t="n"/>
      <c r="OLM285" s="1132" t="n"/>
      <c r="OLN285" s="1132" t="n"/>
      <c r="OLO285" s="1132" t="n"/>
      <c r="OLP285" s="1132" t="n"/>
      <c r="OLQ285" s="1132" t="n"/>
      <c r="OLR285" s="1132" t="n"/>
      <c r="OLS285" s="1132" t="n"/>
      <c r="OLT285" s="1132" t="n"/>
      <c r="OLU285" s="1132" t="n"/>
      <c r="OLV285" s="1132" t="n"/>
      <c r="OLW285" s="1132" t="n"/>
      <c r="OLX285" s="1132" t="n"/>
      <c r="OLY285" s="1132" t="n"/>
      <c r="OLZ285" s="1132" t="n"/>
      <c r="OMA285" s="1132" t="n"/>
      <c r="OMB285" s="1132" t="n"/>
      <c r="OMC285" s="1132" t="n"/>
      <c r="OMD285" s="1132" t="n"/>
      <c r="OME285" s="1132" t="n"/>
      <c r="OMF285" s="1132" t="n"/>
      <c r="OMG285" s="1132" t="n"/>
      <c r="OMH285" s="1132" t="n"/>
      <c r="OMI285" s="1132" t="n"/>
      <c r="OMJ285" s="1132" t="n"/>
      <c r="OMK285" s="1132" t="n"/>
      <c r="OML285" s="1132" t="n"/>
      <c r="OMM285" s="1132" t="n"/>
      <c r="OMN285" s="1132" t="n"/>
      <c r="OMO285" s="1132" t="n"/>
      <c r="OMP285" s="1132" t="n"/>
      <c r="OMQ285" s="1132" t="n"/>
      <c r="OMR285" s="1132" t="n"/>
      <c r="OMS285" s="1132" t="n"/>
      <c r="OMT285" s="1132" t="n"/>
      <c r="OMU285" s="1132" t="n"/>
      <c r="OMV285" s="1132" t="n"/>
      <c r="OMW285" s="1132" t="n"/>
      <c r="OMX285" s="1132" t="n"/>
      <c r="OMY285" s="1132" t="n"/>
      <c r="OMZ285" s="1132" t="n"/>
      <c r="ONA285" s="1132" t="n"/>
      <c r="ONB285" s="1132" t="n"/>
      <c r="ONC285" s="1132" t="n"/>
      <c r="OND285" s="1132" t="n"/>
      <c r="ONE285" s="1132" t="n"/>
      <c r="ONF285" s="1132" t="n"/>
      <c r="ONG285" s="1132" t="n"/>
      <c r="ONH285" s="1132" t="n"/>
      <c r="ONI285" s="1132" t="n"/>
      <c r="ONJ285" s="1132" t="n"/>
      <c r="ONK285" s="1132" t="n"/>
      <c r="ONL285" s="1132" t="n"/>
      <c r="ONM285" s="1132" t="n"/>
      <c r="ONN285" s="1132" t="n"/>
      <c r="ONO285" s="1132" t="n"/>
      <c r="ONP285" s="1132" t="n"/>
      <c r="ONQ285" s="1132" t="n"/>
      <c r="ONR285" s="1132" t="n"/>
      <c r="ONS285" s="1132" t="n"/>
      <c r="ONT285" s="1132" t="n"/>
      <c r="ONU285" s="1132" t="n"/>
      <c r="ONV285" s="1132" t="n"/>
      <c r="ONW285" s="1132" t="n"/>
      <c r="ONX285" s="1132" t="n"/>
      <c r="ONY285" s="1132" t="n"/>
      <c r="ONZ285" s="1132" t="n"/>
      <c r="OOA285" s="1132" t="n"/>
      <c r="OOB285" s="1132" t="n"/>
      <c r="OOC285" s="1132" t="n"/>
      <c r="OOD285" s="1132" t="n"/>
      <c r="OOE285" s="1132" t="n"/>
      <c r="OOF285" s="1132" t="n"/>
      <c r="OOG285" s="1132" t="n"/>
      <c r="OOH285" s="1132" t="n"/>
      <c r="OOI285" s="1132" t="n"/>
      <c r="OOJ285" s="1132" t="n"/>
      <c r="OOK285" s="1132" t="n"/>
      <c r="OOL285" s="1132" t="n"/>
      <c r="OOM285" s="1132" t="n"/>
      <c r="OON285" s="1132" t="n"/>
      <c r="OOO285" s="1132" t="n"/>
      <c r="OOP285" s="1132" t="n"/>
      <c r="OOQ285" s="1132" t="n"/>
      <c r="OOR285" s="1132" t="n"/>
      <c r="OOS285" s="1132" t="n"/>
      <c r="OOT285" s="1132" t="n"/>
      <c r="OOU285" s="1132" t="n"/>
      <c r="OOV285" s="1132" t="n"/>
      <c r="OOW285" s="1132" t="n"/>
      <c r="OOX285" s="1132" t="n"/>
      <c r="OOY285" s="1132" t="n"/>
      <c r="OOZ285" s="1132" t="n"/>
      <c r="OPA285" s="1132" t="n"/>
      <c r="OPB285" s="1132" t="n"/>
      <c r="OPC285" s="1132" t="n"/>
      <c r="OPD285" s="1132" t="n"/>
      <c r="OPE285" s="1132" t="n"/>
      <c r="OPF285" s="1132" t="n"/>
      <c r="OPG285" s="1132" t="n"/>
      <c r="OPH285" s="1132" t="n"/>
      <c r="OPI285" s="1132" t="n"/>
      <c r="OPJ285" s="1132" t="n"/>
      <c r="OPK285" s="1132" t="n"/>
      <c r="OPL285" s="1132" t="n"/>
      <c r="OPM285" s="1132" t="n"/>
      <c r="OPN285" s="1132" t="n"/>
      <c r="OPO285" s="1132" t="n"/>
      <c r="OPP285" s="1132" t="n"/>
      <c r="OPQ285" s="1132" t="n"/>
      <c r="OPR285" s="1132" t="n"/>
      <c r="OPS285" s="1132" t="n"/>
      <c r="OPT285" s="1132" t="n"/>
      <c r="OPU285" s="1132" t="n"/>
      <c r="OPV285" s="1132" t="n"/>
      <c r="OPW285" s="1132" t="n"/>
      <c r="OPX285" s="1132" t="n"/>
      <c r="OPY285" s="1132" t="n"/>
      <c r="OPZ285" s="1132" t="n"/>
      <c r="OQA285" s="1132" t="n"/>
      <c r="OQB285" s="1132" t="n"/>
      <c r="OQC285" s="1132" t="n"/>
      <c r="OQD285" s="1132" t="n"/>
      <c r="OQE285" s="1132" t="n"/>
      <c r="OQF285" s="1132" t="n"/>
      <c r="OQG285" s="1132" t="n"/>
      <c r="OQH285" s="1132" t="n"/>
      <c r="OQI285" s="1132" t="n"/>
      <c r="OQJ285" s="1132" t="n"/>
      <c r="OQK285" s="1132" t="n"/>
      <c r="OQL285" s="1132" t="n"/>
      <c r="OQM285" s="1132" t="n"/>
      <c r="OQN285" s="1132" t="n"/>
      <c r="OQO285" s="1132" t="n"/>
      <c r="OQP285" s="1132" t="n"/>
      <c r="OQQ285" s="1132" t="n"/>
      <c r="OQR285" s="1132" t="n"/>
      <c r="OQS285" s="1132" t="n"/>
      <c r="OQT285" s="1132" t="n"/>
      <c r="OQU285" s="1132" t="n"/>
      <c r="OQV285" s="1132" t="n"/>
      <c r="OQW285" s="1132" t="n"/>
      <c r="OQX285" s="1132" t="n"/>
      <c r="OQY285" s="1132" t="n"/>
      <c r="OQZ285" s="1132" t="n"/>
      <c r="ORA285" s="1132" t="n"/>
      <c r="ORB285" s="1132" t="n"/>
      <c r="ORC285" s="1132" t="n"/>
      <c r="ORD285" s="1132" t="n"/>
      <c r="ORE285" s="1132" t="n"/>
      <c r="ORF285" s="1132" t="n"/>
      <c r="ORG285" s="1132" t="n"/>
      <c r="ORH285" s="1132" t="n"/>
      <c r="ORI285" s="1132" t="n"/>
      <c r="ORJ285" s="1132" t="n"/>
      <c r="ORK285" s="1132" t="n"/>
      <c r="ORL285" s="1132" t="n"/>
      <c r="ORM285" s="1132" t="n"/>
      <c r="ORN285" s="1132" t="n"/>
      <c r="ORO285" s="1132" t="n"/>
      <c r="ORP285" s="1132" t="n"/>
      <c r="ORQ285" s="1132" t="n"/>
      <c r="ORR285" s="1132" t="n"/>
      <c r="ORS285" s="1132" t="n"/>
      <c r="ORT285" s="1132" t="n"/>
      <c r="ORU285" s="1132" t="n"/>
      <c r="ORV285" s="1132" t="n"/>
      <c r="ORW285" s="1132" t="n"/>
      <c r="ORX285" s="1132" t="n"/>
      <c r="ORY285" s="1132" t="n"/>
      <c r="ORZ285" s="1132" t="n"/>
      <c r="OSA285" s="1132" t="n"/>
      <c r="OSB285" s="1132" t="n"/>
      <c r="OSC285" s="1132" t="n"/>
      <c r="OSD285" s="1132" t="n"/>
      <c r="OSE285" s="1132" t="n"/>
      <c r="OSF285" s="1132" t="n"/>
      <c r="OSG285" s="1132" t="n"/>
      <c r="OSH285" s="1132" t="n"/>
      <c r="OSI285" s="1132" t="n"/>
      <c r="OSJ285" s="1132" t="n"/>
      <c r="OSK285" s="1132" t="n"/>
      <c r="OSL285" s="1132" t="n"/>
      <c r="OSM285" s="1132" t="n"/>
      <c r="OSN285" s="1132" t="n"/>
      <c r="OSO285" s="1132" t="n"/>
      <c r="OSP285" s="1132" t="n"/>
      <c r="OSQ285" s="1132" t="n"/>
      <c r="OSR285" s="1132" t="n"/>
      <c r="OSS285" s="1132" t="n"/>
      <c r="OST285" s="1132" t="n"/>
      <c r="OSU285" s="1132" t="n"/>
      <c r="OSV285" s="1132" t="n"/>
      <c r="OSW285" s="1132" t="n"/>
      <c r="OSX285" s="1132" t="n"/>
      <c r="OSY285" s="1132" t="n"/>
      <c r="OSZ285" s="1132" t="n"/>
      <c r="OTA285" s="1132" t="n"/>
      <c r="OTB285" s="1132" t="n"/>
      <c r="OTC285" s="1132" t="n"/>
      <c r="OTD285" s="1132" t="n"/>
      <c r="OTE285" s="1132" t="n"/>
      <c r="OTF285" s="1132" t="n"/>
      <c r="OTG285" s="1132" t="n"/>
      <c r="OTH285" s="1132" t="n"/>
      <c r="OTI285" s="1132" t="n"/>
      <c r="OTJ285" s="1132" t="n"/>
      <c r="OTK285" s="1132" t="n"/>
      <c r="OTL285" s="1132" t="n"/>
      <c r="OTM285" s="1132" t="n"/>
      <c r="OTN285" s="1132" t="n"/>
      <c r="OTO285" s="1132" t="n"/>
      <c r="OTP285" s="1132" t="n"/>
      <c r="OTQ285" s="1132" t="n"/>
      <c r="OTR285" s="1132" t="n"/>
      <c r="OTS285" s="1132" t="n"/>
      <c r="OTT285" s="1132" t="n"/>
      <c r="OTU285" s="1132" t="n"/>
      <c r="OTV285" s="1132" t="n"/>
      <c r="OTW285" s="1132" t="n"/>
      <c r="OTX285" s="1132" t="n"/>
      <c r="OTY285" s="1132" t="n"/>
      <c r="OTZ285" s="1132" t="n"/>
      <c r="OUA285" s="1132" t="n"/>
      <c r="OUB285" s="1132" t="n"/>
      <c r="OUC285" s="1132" t="n"/>
      <c r="OUD285" s="1132" t="n"/>
      <c r="OUE285" s="1132" t="n"/>
      <c r="OUF285" s="1132" t="n"/>
      <c r="OUG285" s="1132" t="n"/>
      <c r="OUH285" s="1132" t="n"/>
      <c r="OUI285" s="1132" t="n"/>
      <c r="OUJ285" s="1132" t="n"/>
      <c r="OUK285" s="1132" t="n"/>
      <c r="OUL285" s="1132" t="n"/>
      <c r="OUM285" s="1132" t="n"/>
      <c r="OUN285" s="1132" t="n"/>
      <c r="OUO285" s="1132" t="n"/>
      <c r="OUP285" s="1132" t="n"/>
      <c r="OUQ285" s="1132" t="n"/>
      <c r="OUR285" s="1132" t="n"/>
      <c r="OUS285" s="1132" t="n"/>
      <c r="OUT285" s="1132" t="n"/>
      <c r="OUU285" s="1132" t="n"/>
      <c r="OUV285" s="1132" t="n"/>
      <c r="OUW285" s="1132" t="n"/>
      <c r="OUX285" s="1132" t="n"/>
      <c r="OUY285" s="1132" t="n"/>
      <c r="OUZ285" s="1132" t="n"/>
      <c r="OVA285" s="1132" t="n"/>
      <c r="OVB285" s="1132" t="n"/>
      <c r="OVC285" s="1132" t="n"/>
      <c r="OVD285" s="1132" t="n"/>
      <c r="OVE285" s="1132" t="n"/>
      <c r="OVF285" s="1132" t="n"/>
      <c r="OVG285" s="1132" t="n"/>
      <c r="OVH285" s="1132" t="n"/>
      <c r="OVI285" s="1132" t="n"/>
      <c r="OVJ285" s="1132" t="n"/>
      <c r="OVK285" s="1132" t="n"/>
      <c r="OVL285" s="1132" t="n"/>
      <c r="OVM285" s="1132" t="n"/>
      <c r="OVN285" s="1132" t="n"/>
      <c r="OVO285" s="1132" t="n"/>
      <c r="OVP285" s="1132" t="n"/>
      <c r="OVQ285" s="1132" t="n"/>
      <c r="OVR285" s="1132" t="n"/>
      <c r="OVS285" s="1132" t="n"/>
      <c r="OVT285" s="1132" t="n"/>
      <c r="OVU285" s="1132" t="n"/>
      <c r="OVV285" s="1132" t="n"/>
      <c r="OVW285" s="1132" t="n"/>
      <c r="OVX285" s="1132" t="n"/>
      <c r="OVY285" s="1132" t="n"/>
      <c r="OVZ285" s="1132" t="n"/>
      <c r="OWA285" s="1132" t="n"/>
      <c r="OWB285" s="1132" t="n"/>
      <c r="OWC285" s="1132" t="n"/>
      <c r="OWD285" s="1132" t="n"/>
      <c r="OWE285" s="1132" t="n"/>
      <c r="OWF285" s="1132" t="n"/>
      <c r="OWG285" s="1132" t="n"/>
      <c r="OWH285" s="1132" t="n"/>
      <c r="OWI285" s="1132" t="n"/>
      <c r="OWJ285" s="1132" t="n"/>
      <c r="OWK285" s="1132" t="n"/>
      <c r="OWL285" s="1132" t="n"/>
      <c r="OWM285" s="1132" t="n"/>
      <c r="OWN285" s="1132" t="n"/>
      <c r="OWO285" s="1132" t="n"/>
      <c r="OWP285" s="1132" t="n"/>
      <c r="OWQ285" s="1132" t="n"/>
      <c r="OWR285" s="1132" t="n"/>
      <c r="OWS285" s="1132" t="n"/>
      <c r="OWT285" s="1132" t="n"/>
      <c r="OWU285" s="1132" t="n"/>
      <c r="OWV285" s="1132" t="n"/>
      <c r="OWW285" s="1132" t="n"/>
      <c r="OWX285" s="1132" t="n"/>
      <c r="OWY285" s="1132" t="n"/>
      <c r="OWZ285" s="1132" t="n"/>
      <c r="OXA285" s="1132" t="n"/>
      <c r="OXB285" s="1132" t="n"/>
      <c r="OXC285" s="1132" t="n"/>
      <c r="OXD285" s="1132" t="n"/>
      <c r="OXE285" s="1132" t="n"/>
      <c r="OXF285" s="1132" t="n"/>
      <c r="OXG285" s="1132" t="n"/>
      <c r="OXH285" s="1132" t="n"/>
      <c r="OXI285" s="1132" t="n"/>
      <c r="OXJ285" s="1132" t="n"/>
      <c r="OXK285" s="1132" t="n"/>
      <c r="OXL285" s="1132" t="n"/>
      <c r="OXM285" s="1132" t="n"/>
      <c r="OXN285" s="1132" t="n"/>
      <c r="OXO285" s="1132" t="n"/>
      <c r="OXP285" s="1132" t="n"/>
      <c r="OXQ285" s="1132" t="n"/>
      <c r="OXR285" s="1132" t="n"/>
      <c r="OXS285" s="1132" t="n"/>
      <c r="OXT285" s="1132" t="n"/>
      <c r="OXU285" s="1132" t="n"/>
      <c r="OXV285" s="1132" t="n"/>
      <c r="OXW285" s="1132" t="n"/>
      <c r="OXX285" s="1132" t="n"/>
      <c r="OXY285" s="1132" t="n"/>
      <c r="OXZ285" s="1132" t="n"/>
      <c r="OYA285" s="1132" t="n"/>
      <c r="OYB285" s="1132" t="n"/>
      <c r="OYC285" s="1132" t="n"/>
      <c r="OYD285" s="1132" t="n"/>
      <c r="OYE285" s="1132" t="n"/>
      <c r="OYF285" s="1132" t="n"/>
      <c r="OYG285" s="1132" t="n"/>
      <c r="OYH285" s="1132" t="n"/>
      <c r="OYI285" s="1132" t="n"/>
      <c r="OYJ285" s="1132" t="n"/>
      <c r="OYK285" s="1132" t="n"/>
      <c r="OYL285" s="1132" t="n"/>
      <c r="OYM285" s="1132" t="n"/>
      <c r="OYN285" s="1132" t="n"/>
      <c r="OYO285" s="1132" t="n"/>
      <c r="OYP285" s="1132" t="n"/>
      <c r="OYQ285" s="1132" t="n"/>
      <c r="OYR285" s="1132" t="n"/>
      <c r="OYS285" s="1132" t="n"/>
      <c r="OYT285" s="1132" t="n"/>
      <c r="OYU285" s="1132" t="n"/>
      <c r="OYV285" s="1132" t="n"/>
      <c r="OYW285" s="1132" t="n"/>
      <c r="OYX285" s="1132" t="n"/>
      <c r="OYY285" s="1132" t="n"/>
      <c r="OYZ285" s="1132" t="n"/>
      <c r="OZA285" s="1132" t="n"/>
      <c r="OZB285" s="1132" t="n"/>
      <c r="OZC285" s="1132" t="n"/>
      <c r="OZD285" s="1132" t="n"/>
      <c r="OZE285" s="1132" t="n"/>
      <c r="OZF285" s="1132" t="n"/>
      <c r="OZG285" s="1132" t="n"/>
      <c r="OZH285" s="1132" t="n"/>
      <c r="OZI285" s="1132" t="n"/>
      <c r="OZJ285" s="1132" t="n"/>
      <c r="OZK285" s="1132" t="n"/>
      <c r="OZL285" s="1132" t="n"/>
      <c r="OZM285" s="1132" t="n"/>
      <c r="OZN285" s="1132" t="n"/>
      <c r="OZO285" s="1132" t="n"/>
      <c r="OZP285" s="1132" t="n"/>
      <c r="OZQ285" s="1132" t="n"/>
      <c r="OZR285" s="1132" t="n"/>
      <c r="OZS285" s="1132" t="n"/>
      <c r="OZT285" s="1132" t="n"/>
      <c r="OZU285" s="1132" t="n"/>
      <c r="OZV285" s="1132" t="n"/>
      <c r="OZW285" s="1132" t="n"/>
      <c r="OZX285" s="1132" t="n"/>
      <c r="OZY285" s="1132" t="n"/>
      <c r="OZZ285" s="1132" t="n"/>
      <c r="PAA285" s="1132" t="n"/>
      <c r="PAB285" s="1132" t="n"/>
      <c r="PAC285" s="1132" t="n"/>
      <c r="PAD285" s="1132" t="n"/>
      <c r="PAE285" s="1132" t="n"/>
      <c r="PAF285" s="1132" t="n"/>
      <c r="PAG285" s="1132" t="n"/>
      <c r="PAH285" s="1132" t="n"/>
      <c r="PAI285" s="1132" t="n"/>
      <c r="PAJ285" s="1132" t="n"/>
      <c r="PAK285" s="1132" t="n"/>
      <c r="PAL285" s="1132" t="n"/>
      <c r="PAM285" s="1132" t="n"/>
      <c r="PAN285" s="1132" t="n"/>
      <c r="PAO285" s="1132" t="n"/>
      <c r="PAP285" s="1132" t="n"/>
      <c r="PAQ285" s="1132" t="n"/>
      <c r="PAR285" s="1132" t="n"/>
      <c r="PAS285" s="1132" t="n"/>
      <c r="PAT285" s="1132" t="n"/>
      <c r="PAU285" s="1132" t="n"/>
      <c r="PAV285" s="1132" t="n"/>
      <c r="PAW285" s="1132" t="n"/>
      <c r="PAX285" s="1132" t="n"/>
      <c r="PAY285" s="1132" t="n"/>
      <c r="PAZ285" s="1132" t="n"/>
      <c r="PBA285" s="1132" t="n"/>
      <c r="PBB285" s="1132" t="n"/>
      <c r="PBC285" s="1132" t="n"/>
      <c r="PBD285" s="1132" t="n"/>
      <c r="PBE285" s="1132" t="n"/>
      <c r="PBF285" s="1132" t="n"/>
      <c r="PBG285" s="1132" t="n"/>
      <c r="PBH285" s="1132" t="n"/>
      <c r="PBI285" s="1132" t="n"/>
      <c r="PBJ285" s="1132" t="n"/>
      <c r="PBK285" s="1132" t="n"/>
      <c r="PBL285" s="1132" t="n"/>
      <c r="PBM285" s="1132" t="n"/>
      <c r="PBN285" s="1132" t="n"/>
      <c r="PBO285" s="1132" t="n"/>
      <c r="PBP285" s="1132" t="n"/>
      <c r="PBQ285" s="1132" t="n"/>
      <c r="PBR285" s="1132" t="n"/>
      <c r="PBS285" s="1132" t="n"/>
      <c r="PBT285" s="1132" t="n"/>
      <c r="PBU285" s="1132" t="n"/>
      <c r="PBV285" s="1132" t="n"/>
      <c r="PBW285" s="1132" t="n"/>
      <c r="PBX285" s="1132" t="n"/>
      <c r="PBY285" s="1132" t="n"/>
      <c r="PBZ285" s="1132" t="n"/>
      <c r="PCA285" s="1132" t="n"/>
      <c r="PCB285" s="1132" t="n"/>
      <c r="PCC285" s="1132" t="n"/>
      <c r="PCD285" s="1132" t="n"/>
      <c r="PCE285" s="1132" t="n"/>
      <c r="PCF285" s="1132" t="n"/>
      <c r="PCG285" s="1132" t="n"/>
      <c r="PCH285" s="1132" t="n"/>
      <c r="PCI285" s="1132" t="n"/>
      <c r="PCJ285" s="1132" t="n"/>
      <c r="PCK285" s="1132" t="n"/>
      <c r="PCL285" s="1132" t="n"/>
      <c r="PCM285" s="1132" t="n"/>
      <c r="PCN285" s="1132" t="n"/>
      <c r="PCO285" s="1132" t="n"/>
      <c r="PCP285" s="1132" t="n"/>
      <c r="PCQ285" s="1132" t="n"/>
      <c r="PCR285" s="1132" t="n"/>
      <c r="PCS285" s="1132" t="n"/>
      <c r="PCT285" s="1132" t="n"/>
      <c r="PCU285" s="1132" t="n"/>
      <c r="PCV285" s="1132" t="n"/>
      <c r="PCW285" s="1132" t="n"/>
      <c r="PCX285" s="1132" t="n"/>
      <c r="PCY285" s="1132" t="n"/>
      <c r="PCZ285" s="1132" t="n"/>
      <c r="PDA285" s="1132" t="n"/>
      <c r="PDB285" s="1132" t="n"/>
      <c r="PDC285" s="1132" t="n"/>
      <c r="PDD285" s="1132" t="n"/>
      <c r="PDE285" s="1132" t="n"/>
      <c r="PDF285" s="1132" t="n"/>
      <c r="PDG285" s="1132" t="n"/>
      <c r="PDH285" s="1132" t="n"/>
      <c r="PDI285" s="1132" t="n"/>
      <c r="PDJ285" s="1132" t="n"/>
      <c r="PDK285" s="1132" t="n"/>
      <c r="PDL285" s="1132" t="n"/>
      <c r="PDM285" s="1132" t="n"/>
      <c r="PDN285" s="1132" t="n"/>
      <c r="PDO285" s="1132" t="n"/>
      <c r="PDP285" s="1132" t="n"/>
      <c r="PDQ285" s="1132" t="n"/>
      <c r="PDR285" s="1132" t="n"/>
      <c r="PDS285" s="1132" t="n"/>
      <c r="PDT285" s="1132" t="n"/>
      <c r="PDU285" s="1132" t="n"/>
      <c r="PDV285" s="1132" t="n"/>
      <c r="PDW285" s="1132" t="n"/>
      <c r="PDX285" s="1132" t="n"/>
      <c r="PDY285" s="1132" t="n"/>
      <c r="PDZ285" s="1132" t="n"/>
      <c r="PEA285" s="1132" t="n"/>
      <c r="PEB285" s="1132" t="n"/>
      <c r="PEC285" s="1132" t="n"/>
      <c r="PED285" s="1132" t="n"/>
      <c r="PEE285" s="1132" t="n"/>
      <c r="PEF285" s="1132" t="n"/>
      <c r="PEG285" s="1132" t="n"/>
      <c r="PEH285" s="1132" t="n"/>
      <c r="PEI285" s="1132" t="n"/>
      <c r="PEJ285" s="1132" t="n"/>
      <c r="PEK285" s="1132" t="n"/>
      <c r="PEL285" s="1132" t="n"/>
      <c r="PEM285" s="1132" t="n"/>
      <c r="PEN285" s="1132" t="n"/>
      <c r="PEO285" s="1132" t="n"/>
      <c r="PEP285" s="1132" t="n"/>
      <c r="PEQ285" s="1132" t="n"/>
      <c r="PER285" s="1132" t="n"/>
      <c r="PES285" s="1132" t="n"/>
      <c r="PET285" s="1132" t="n"/>
      <c r="PEU285" s="1132" t="n"/>
      <c r="PEV285" s="1132" t="n"/>
      <c r="PEW285" s="1132" t="n"/>
      <c r="PEX285" s="1132" t="n"/>
      <c r="PEY285" s="1132" t="n"/>
      <c r="PEZ285" s="1132" t="n"/>
      <c r="PFA285" s="1132" t="n"/>
      <c r="PFB285" s="1132" t="n"/>
      <c r="PFC285" s="1132" t="n"/>
      <c r="PFD285" s="1132" t="n"/>
      <c r="PFE285" s="1132" t="n"/>
      <c r="PFF285" s="1132" t="n"/>
      <c r="PFG285" s="1132" t="n"/>
      <c r="PFH285" s="1132" t="n"/>
      <c r="PFI285" s="1132" t="n"/>
      <c r="PFJ285" s="1132" t="n"/>
      <c r="PFK285" s="1132" t="n"/>
      <c r="PFL285" s="1132" t="n"/>
      <c r="PFM285" s="1132" t="n"/>
      <c r="PFN285" s="1132" t="n"/>
      <c r="PFO285" s="1132" t="n"/>
      <c r="PFP285" s="1132" t="n"/>
      <c r="PFQ285" s="1132" t="n"/>
      <c r="PFR285" s="1132" t="n"/>
      <c r="PFS285" s="1132" t="n"/>
      <c r="PFT285" s="1132" t="n"/>
      <c r="PFU285" s="1132" t="n"/>
      <c r="PFV285" s="1132" t="n"/>
      <c r="PFW285" s="1132" t="n"/>
      <c r="PFX285" s="1132" t="n"/>
      <c r="PFY285" s="1132" t="n"/>
      <c r="PFZ285" s="1132" t="n"/>
      <c r="PGA285" s="1132" t="n"/>
      <c r="PGB285" s="1132" t="n"/>
      <c r="PGC285" s="1132" t="n"/>
      <c r="PGD285" s="1132" t="n"/>
      <c r="PGE285" s="1132" t="n"/>
      <c r="PGF285" s="1132" t="n"/>
      <c r="PGG285" s="1132" t="n"/>
      <c r="PGH285" s="1132" t="n"/>
      <c r="PGI285" s="1132" t="n"/>
      <c r="PGJ285" s="1132" t="n"/>
      <c r="PGK285" s="1132" t="n"/>
      <c r="PGL285" s="1132" t="n"/>
      <c r="PGM285" s="1132" t="n"/>
      <c r="PGN285" s="1132" t="n"/>
      <c r="PGO285" s="1132" t="n"/>
      <c r="PGP285" s="1132" t="n"/>
      <c r="PGQ285" s="1132" t="n"/>
      <c r="PGR285" s="1132" t="n"/>
      <c r="PGS285" s="1132" t="n"/>
      <c r="PGT285" s="1132" t="n"/>
      <c r="PGU285" s="1132" t="n"/>
      <c r="PGV285" s="1132" t="n"/>
      <c r="PGW285" s="1132" t="n"/>
      <c r="PGX285" s="1132" t="n"/>
      <c r="PGY285" s="1132" t="n"/>
      <c r="PGZ285" s="1132" t="n"/>
      <c r="PHA285" s="1132" t="n"/>
      <c r="PHB285" s="1132" t="n"/>
      <c r="PHC285" s="1132" t="n"/>
      <c r="PHD285" s="1132" t="n"/>
      <c r="PHE285" s="1132" t="n"/>
      <c r="PHF285" s="1132" t="n"/>
      <c r="PHG285" s="1132" t="n"/>
      <c r="PHH285" s="1132" t="n"/>
      <c r="PHI285" s="1132" t="n"/>
      <c r="PHJ285" s="1132" t="n"/>
      <c r="PHK285" s="1132" t="n"/>
      <c r="PHL285" s="1132" t="n"/>
      <c r="PHM285" s="1132" t="n"/>
      <c r="PHN285" s="1132" t="n"/>
      <c r="PHO285" s="1132" t="n"/>
      <c r="PHP285" s="1132" t="n"/>
      <c r="PHQ285" s="1132" t="n"/>
      <c r="PHR285" s="1132" t="n"/>
      <c r="PHS285" s="1132" t="n"/>
      <c r="PHT285" s="1132" t="n"/>
      <c r="PHU285" s="1132" t="n"/>
      <c r="PHV285" s="1132" t="n"/>
      <c r="PHW285" s="1132" t="n"/>
      <c r="PHX285" s="1132" t="n"/>
      <c r="PHY285" s="1132" t="n"/>
      <c r="PHZ285" s="1132" t="n"/>
      <c r="PIA285" s="1132" t="n"/>
      <c r="PIB285" s="1132" t="n"/>
      <c r="PIC285" s="1132" t="n"/>
      <c r="PID285" s="1132" t="n"/>
      <c r="PIE285" s="1132" t="n"/>
      <c r="PIF285" s="1132" t="n"/>
      <c r="PIG285" s="1132" t="n"/>
      <c r="PIH285" s="1132" t="n"/>
      <c r="PII285" s="1132" t="n"/>
      <c r="PIJ285" s="1132" t="n"/>
      <c r="PIK285" s="1132" t="n"/>
      <c r="PIL285" s="1132" t="n"/>
      <c r="PIM285" s="1132" t="n"/>
      <c r="PIN285" s="1132" t="n"/>
      <c r="PIO285" s="1132" t="n"/>
      <c r="PIP285" s="1132" t="n"/>
      <c r="PIQ285" s="1132" t="n"/>
      <c r="PIR285" s="1132" t="n"/>
      <c r="PIS285" s="1132" t="n"/>
      <c r="PIT285" s="1132" t="n"/>
      <c r="PIU285" s="1132" t="n"/>
      <c r="PIV285" s="1132" t="n"/>
      <c r="PIW285" s="1132" t="n"/>
      <c r="PIX285" s="1132" t="n"/>
      <c r="PIY285" s="1132" t="n"/>
      <c r="PIZ285" s="1132" t="n"/>
      <c r="PJA285" s="1132" t="n"/>
      <c r="PJB285" s="1132" t="n"/>
      <c r="PJC285" s="1132" t="n"/>
      <c r="PJD285" s="1132" t="n"/>
      <c r="PJE285" s="1132" t="n"/>
      <c r="PJF285" s="1132" t="n"/>
      <c r="PJG285" s="1132" t="n"/>
      <c r="PJH285" s="1132" t="n"/>
      <c r="PJI285" s="1132" t="n"/>
      <c r="PJJ285" s="1132" t="n"/>
      <c r="PJK285" s="1132" t="n"/>
      <c r="PJL285" s="1132" t="n"/>
      <c r="PJM285" s="1132" t="n"/>
      <c r="PJN285" s="1132" t="n"/>
      <c r="PJO285" s="1132" t="n"/>
      <c r="PJP285" s="1132" t="n"/>
      <c r="PJQ285" s="1132" t="n"/>
      <c r="PJR285" s="1132" t="n"/>
      <c r="PJS285" s="1132" t="n"/>
      <c r="PJT285" s="1132" t="n"/>
      <c r="PJU285" s="1132" t="n"/>
      <c r="PJV285" s="1132" t="n"/>
      <c r="PJW285" s="1132" t="n"/>
      <c r="PJX285" s="1132" t="n"/>
      <c r="PJY285" s="1132" t="n"/>
      <c r="PJZ285" s="1132" t="n"/>
      <c r="PKA285" s="1132" t="n"/>
      <c r="PKB285" s="1132" t="n"/>
      <c r="PKC285" s="1132" t="n"/>
      <c r="PKD285" s="1132" t="n"/>
      <c r="PKE285" s="1132" t="n"/>
      <c r="PKF285" s="1132" t="n"/>
      <c r="PKG285" s="1132" t="n"/>
      <c r="PKH285" s="1132" t="n"/>
      <c r="PKI285" s="1132" t="n"/>
      <c r="PKJ285" s="1132" t="n"/>
      <c r="PKK285" s="1132" t="n"/>
      <c r="PKL285" s="1132" t="n"/>
      <c r="PKM285" s="1132" t="n"/>
      <c r="PKN285" s="1132" t="n"/>
      <c r="PKO285" s="1132" t="n"/>
      <c r="PKP285" s="1132" t="n"/>
      <c r="PKQ285" s="1132" t="n"/>
      <c r="PKR285" s="1132" t="n"/>
      <c r="PKS285" s="1132" t="n"/>
      <c r="PKT285" s="1132" t="n"/>
      <c r="PKU285" s="1132" t="n"/>
      <c r="PKV285" s="1132" t="n"/>
      <c r="PKW285" s="1132" t="n"/>
      <c r="PKX285" s="1132" t="n"/>
      <c r="PKY285" s="1132" t="n"/>
      <c r="PKZ285" s="1132" t="n"/>
      <c r="PLA285" s="1132" t="n"/>
      <c r="PLB285" s="1132" t="n"/>
      <c r="PLC285" s="1132" t="n"/>
      <c r="PLD285" s="1132" t="n"/>
      <c r="PLE285" s="1132" t="n"/>
      <c r="PLF285" s="1132" t="n"/>
      <c r="PLG285" s="1132" t="n"/>
      <c r="PLH285" s="1132" t="n"/>
      <c r="PLI285" s="1132" t="n"/>
      <c r="PLJ285" s="1132" t="n"/>
      <c r="PLK285" s="1132" t="n"/>
      <c r="PLL285" s="1132" t="n"/>
      <c r="PLM285" s="1132" t="n"/>
      <c r="PLN285" s="1132" t="n"/>
      <c r="PLO285" s="1132" t="n"/>
      <c r="PLP285" s="1132" t="n"/>
      <c r="PLQ285" s="1132" t="n"/>
      <c r="PLR285" s="1132" t="n"/>
      <c r="PLS285" s="1132" t="n"/>
      <c r="PLT285" s="1132" t="n"/>
      <c r="PLU285" s="1132" t="n"/>
      <c r="PLV285" s="1132" t="n"/>
      <c r="PLW285" s="1132" t="n"/>
      <c r="PLX285" s="1132" t="n"/>
      <c r="PLY285" s="1132" t="n"/>
      <c r="PLZ285" s="1132" t="n"/>
      <c r="PMA285" s="1132" t="n"/>
      <c r="PMB285" s="1132" t="n"/>
      <c r="PMC285" s="1132" t="n"/>
      <c r="PMD285" s="1132" t="n"/>
      <c r="PME285" s="1132" t="n"/>
      <c r="PMF285" s="1132" t="n"/>
      <c r="PMG285" s="1132" t="n"/>
      <c r="PMH285" s="1132" t="n"/>
      <c r="PMI285" s="1132" t="n"/>
      <c r="PMJ285" s="1132" t="n"/>
      <c r="PMK285" s="1132" t="n"/>
      <c r="PML285" s="1132" t="n"/>
      <c r="PMM285" s="1132" t="n"/>
      <c r="PMN285" s="1132" t="n"/>
      <c r="PMO285" s="1132" t="n"/>
      <c r="PMP285" s="1132" t="n"/>
      <c r="PMQ285" s="1132" t="n"/>
      <c r="PMR285" s="1132" t="n"/>
      <c r="PMS285" s="1132" t="n"/>
      <c r="PMT285" s="1132" t="n"/>
      <c r="PMU285" s="1132" t="n"/>
      <c r="PMV285" s="1132" t="n"/>
      <c r="PMW285" s="1132" t="n"/>
      <c r="PMX285" s="1132" t="n"/>
      <c r="PMY285" s="1132" t="n"/>
      <c r="PMZ285" s="1132" t="n"/>
      <c r="PNA285" s="1132" t="n"/>
      <c r="PNB285" s="1132" t="n"/>
      <c r="PNC285" s="1132" t="n"/>
      <c r="PND285" s="1132" t="n"/>
      <c r="PNE285" s="1132" t="n"/>
      <c r="PNF285" s="1132" t="n"/>
      <c r="PNG285" s="1132" t="n"/>
      <c r="PNH285" s="1132" t="n"/>
      <c r="PNI285" s="1132" t="n"/>
      <c r="PNJ285" s="1132" t="n"/>
      <c r="PNK285" s="1132" t="n"/>
      <c r="PNL285" s="1132" t="n"/>
      <c r="PNM285" s="1132" t="n"/>
      <c r="PNN285" s="1132" t="n"/>
      <c r="PNO285" s="1132" t="n"/>
      <c r="PNP285" s="1132" t="n"/>
      <c r="PNQ285" s="1132" t="n"/>
      <c r="PNR285" s="1132" t="n"/>
      <c r="PNS285" s="1132" t="n"/>
      <c r="PNT285" s="1132" t="n"/>
      <c r="PNU285" s="1132" t="n"/>
      <c r="PNV285" s="1132" t="n"/>
      <c r="PNW285" s="1132" t="n"/>
      <c r="PNX285" s="1132" t="n"/>
      <c r="PNY285" s="1132" t="n"/>
      <c r="PNZ285" s="1132" t="n"/>
      <c r="POA285" s="1132" t="n"/>
      <c r="POB285" s="1132" t="n"/>
      <c r="POC285" s="1132" t="n"/>
      <c r="POD285" s="1132" t="n"/>
      <c r="POE285" s="1132" t="n"/>
      <c r="POF285" s="1132" t="n"/>
      <c r="POG285" s="1132" t="n"/>
      <c r="POH285" s="1132" t="n"/>
      <c r="POI285" s="1132" t="n"/>
      <c r="POJ285" s="1132" t="n"/>
      <c r="POK285" s="1132" t="n"/>
      <c r="POL285" s="1132" t="n"/>
      <c r="POM285" s="1132" t="n"/>
      <c r="PON285" s="1132" t="n"/>
      <c r="POO285" s="1132" t="n"/>
      <c r="POP285" s="1132" t="n"/>
      <c r="POQ285" s="1132" t="n"/>
      <c r="POR285" s="1132" t="n"/>
      <c r="POS285" s="1132" t="n"/>
      <c r="POT285" s="1132" t="n"/>
      <c r="POU285" s="1132" t="n"/>
      <c r="POV285" s="1132" t="n"/>
      <c r="POW285" s="1132" t="n"/>
      <c r="POX285" s="1132" t="n"/>
      <c r="POY285" s="1132" t="n"/>
      <c r="POZ285" s="1132" t="n"/>
      <c r="PPA285" s="1132" t="n"/>
      <c r="PPB285" s="1132" t="n"/>
      <c r="PPC285" s="1132" t="n"/>
      <c r="PPD285" s="1132" t="n"/>
      <c r="PPE285" s="1132" t="n"/>
      <c r="PPF285" s="1132" t="n"/>
      <c r="PPG285" s="1132" t="n"/>
      <c r="PPH285" s="1132" t="n"/>
      <c r="PPI285" s="1132" t="n"/>
      <c r="PPJ285" s="1132" t="n"/>
      <c r="PPK285" s="1132" t="n"/>
      <c r="PPL285" s="1132" t="n"/>
      <c r="PPM285" s="1132" t="n"/>
      <c r="PPN285" s="1132" t="n"/>
      <c r="PPO285" s="1132" t="n"/>
      <c r="PPP285" s="1132" t="n"/>
      <c r="PPQ285" s="1132" t="n"/>
      <c r="PPR285" s="1132" t="n"/>
      <c r="PPS285" s="1132" t="n"/>
      <c r="PPT285" s="1132" t="n"/>
      <c r="PPU285" s="1132" t="n"/>
      <c r="PPV285" s="1132" t="n"/>
      <c r="PPW285" s="1132" t="n"/>
      <c r="PPX285" s="1132" t="n"/>
      <c r="PPY285" s="1132" t="n"/>
      <c r="PPZ285" s="1132" t="n"/>
      <c r="PQA285" s="1132" t="n"/>
      <c r="PQB285" s="1132" t="n"/>
      <c r="PQC285" s="1132" t="n"/>
      <c r="PQD285" s="1132" t="n"/>
      <c r="PQE285" s="1132" t="n"/>
      <c r="PQF285" s="1132" t="n"/>
      <c r="PQG285" s="1132" t="n"/>
      <c r="PQH285" s="1132" t="n"/>
      <c r="PQI285" s="1132" t="n"/>
      <c r="PQJ285" s="1132" t="n"/>
      <c r="PQK285" s="1132" t="n"/>
      <c r="PQL285" s="1132" t="n"/>
      <c r="PQM285" s="1132" t="n"/>
      <c r="PQN285" s="1132" t="n"/>
      <c r="PQO285" s="1132" t="n"/>
      <c r="PQP285" s="1132" t="n"/>
      <c r="PQQ285" s="1132" t="n"/>
      <c r="PQR285" s="1132" t="n"/>
      <c r="PQS285" s="1132" t="n"/>
      <c r="PQT285" s="1132" t="n"/>
      <c r="PQU285" s="1132" t="n"/>
      <c r="PQV285" s="1132" t="n"/>
      <c r="PQW285" s="1132" t="n"/>
      <c r="PQX285" s="1132" t="n"/>
      <c r="PQY285" s="1132" t="n"/>
      <c r="PQZ285" s="1132" t="n"/>
      <c r="PRA285" s="1132" t="n"/>
      <c r="PRB285" s="1132" t="n"/>
      <c r="PRC285" s="1132" t="n"/>
      <c r="PRD285" s="1132" t="n"/>
      <c r="PRE285" s="1132" t="n"/>
      <c r="PRF285" s="1132" t="n"/>
      <c r="PRG285" s="1132" t="n"/>
      <c r="PRH285" s="1132" t="n"/>
      <c r="PRI285" s="1132" t="n"/>
      <c r="PRJ285" s="1132" t="n"/>
      <c r="PRK285" s="1132" t="n"/>
      <c r="PRL285" s="1132" t="n"/>
      <c r="PRM285" s="1132" t="n"/>
      <c r="PRN285" s="1132" t="n"/>
      <c r="PRO285" s="1132" t="n"/>
      <c r="PRP285" s="1132" t="n"/>
      <c r="PRQ285" s="1132" t="n"/>
      <c r="PRR285" s="1132" t="n"/>
      <c r="PRS285" s="1132" t="n"/>
      <c r="PRT285" s="1132" t="n"/>
      <c r="PRU285" s="1132" t="n"/>
      <c r="PRV285" s="1132" t="n"/>
      <c r="PRW285" s="1132" t="n"/>
      <c r="PRX285" s="1132" t="n"/>
      <c r="PRY285" s="1132" t="n"/>
      <c r="PRZ285" s="1132" t="n"/>
      <c r="PSA285" s="1132" t="n"/>
      <c r="PSB285" s="1132" t="n"/>
      <c r="PSC285" s="1132" t="n"/>
      <c r="PSD285" s="1132" t="n"/>
      <c r="PSE285" s="1132" t="n"/>
      <c r="PSF285" s="1132" t="n"/>
      <c r="PSG285" s="1132" t="n"/>
      <c r="PSH285" s="1132" t="n"/>
      <c r="PSI285" s="1132" t="n"/>
      <c r="PSJ285" s="1132" t="n"/>
      <c r="PSK285" s="1132" t="n"/>
      <c r="PSL285" s="1132" t="n"/>
      <c r="PSM285" s="1132" t="n"/>
      <c r="PSN285" s="1132" t="n"/>
      <c r="PSO285" s="1132" t="n"/>
      <c r="PSP285" s="1132" t="n"/>
      <c r="PSQ285" s="1132" t="n"/>
      <c r="PSR285" s="1132" t="n"/>
      <c r="PSS285" s="1132" t="n"/>
      <c r="PST285" s="1132" t="n"/>
      <c r="PSU285" s="1132" t="n"/>
      <c r="PSV285" s="1132" t="n"/>
      <c r="PSW285" s="1132" t="n"/>
      <c r="PSX285" s="1132" t="n"/>
      <c r="PSY285" s="1132" t="n"/>
      <c r="PSZ285" s="1132" t="n"/>
      <c r="PTA285" s="1132" t="n"/>
      <c r="PTB285" s="1132" t="n"/>
      <c r="PTC285" s="1132" t="n"/>
      <c r="PTD285" s="1132" t="n"/>
      <c r="PTE285" s="1132" t="n"/>
      <c r="PTF285" s="1132" t="n"/>
      <c r="PTG285" s="1132" t="n"/>
      <c r="PTH285" s="1132" t="n"/>
      <c r="PTI285" s="1132" t="n"/>
      <c r="PTJ285" s="1132" t="n"/>
      <c r="PTK285" s="1132" t="n"/>
      <c r="PTL285" s="1132" t="n"/>
      <c r="PTM285" s="1132" t="n"/>
      <c r="PTN285" s="1132" t="n"/>
      <c r="PTO285" s="1132" t="n"/>
      <c r="PTP285" s="1132" t="n"/>
      <c r="PTQ285" s="1132" t="n"/>
      <c r="PTR285" s="1132" t="n"/>
      <c r="PTS285" s="1132" t="n"/>
      <c r="PTT285" s="1132" t="n"/>
      <c r="PTU285" s="1132" t="n"/>
      <c r="PTV285" s="1132" t="n"/>
      <c r="PTW285" s="1132" t="n"/>
      <c r="PTX285" s="1132" t="n"/>
      <c r="PTY285" s="1132" t="n"/>
      <c r="PTZ285" s="1132" t="n"/>
      <c r="PUA285" s="1132" t="n"/>
      <c r="PUB285" s="1132" t="n"/>
      <c r="PUC285" s="1132" t="n"/>
      <c r="PUD285" s="1132" t="n"/>
      <c r="PUE285" s="1132" t="n"/>
      <c r="PUF285" s="1132" t="n"/>
      <c r="PUG285" s="1132" t="n"/>
      <c r="PUH285" s="1132" t="n"/>
      <c r="PUI285" s="1132" t="n"/>
      <c r="PUJ285" s="1132" t="n"/>
      <c r="PUK285" s="1132" t="n"/>
      <c r="PUL285" s="1132" t="n"/>
      <c r="PUM285" s="1132" t="n"/>
      <c r="PUN285" s="1132" t="n"/>
      <c r="PUO285" s="1132" t="n"/>
      <c r="PUP285" s="1132" t="n"/>
      <c r="PUQ285" s="1132" t="n"/>
      <c r="PUR285" s="1132" t="n"/>
      <c r="PUS285" s="1132" t="n"/>
      <c r="PUT285" s="1132" t="n"/>
      <c r="PUU285" s="1132" t="n"/>
      <c r="PUV285" s="1132" t="n"/>
      <c r="PUW285" s="1132" t="n"/>
      <c r="PUX285" s="1132" t="n"/>
      <c r="PUY285" s="1132" t="n"/>
      <c r="PUZ285" s="1132" t="n"/>
      <c r="PVA285" s="1132" t="n"/>
      <c r="PVB285" s="1132" t="n"/>
      <c r="PVC285" s="1132" t="n"/>
      <c r="PVD285" s="1132" t="n"/>
      <c r="PVE285" s="1132" t="n"/>
      <c r="PVF285" s="1132" t="n"/>
      <c r="PVG285" s="1132" t="n"/>
      <c r="PVH285" s="1132" t="n"/>
      <c r="PVI285" s="1132" t="n"/>
      <c r="PVJ285" s="1132" t="n"/>
      <c r="PVK285" s="1132" t="n"/>
      <c r="PVL285" s="1132" t="n"/>
      <c r="PVM285" s="1132" t="n"/>
      <c r="PVN285" s="1132" t="n"/>
      <c r="PVO285" s="1132" t="n"/>
      <c r="PVP285" s="1132" t="n"/>
      <c r="PVQ285" s="1132" t="n"/>
      <c r="PVR285" s="1132" t="n"/>
      <c r="PVS285" s="1132" t="n"/>
      <c r="PVT285" s="1132" t="n"/>
      <c r="PVU285" s="1132" t="n"/>
      <c r="PVV285" s="1132" t="n"/>
      <c r="PVW285" s="1132" t="n"/>
      <c r="PVX285" s="1132" t="n"/>
      <c r="PVY285" s="1132" t="n"/>
      <c r="PVZ285" s="1132" t="n"/>
      <c r="PWA285" s="1132" t="n"/>
      <c r="PWB285" s="1132" t="n"/>
      <c r="PWC285" s="1132" t="n"/>
      <c r="PWD285" s="1132" t="n"/>
      <c r="PWE285" s="1132" t="n"/>
      <c r="PWF285" s="1132" t="n"/>
      <c r="PWG285" s="1132" t="n"/>
      <c r="PWH285" s="1132" t="n"/>
      <c r="PWI285" s="1132" t="n"/>
      <c r="PWJ285" s="1132" t="n"/>
      <c r="PWK285" s="1132" t="n"/>
      <c r="PWL285" s="1132" t="n"/>
      <c r="PWM285" s="1132" t="n"/>
      <c r="PWN285" s="1132" t="n"/>
      <c r="PWO285" s="1132" t="n"/>
      <c r="PWP285" s="1132" t="n"/>
      <c r="PWQ285" s="1132" t="n"/>
      <c r="PWR285" s="1132" t="n"/>
      <c r="PWS285" s="1132" t="n"/>
      <c r="PWT285" s="1132" t="n"/>
      <c r="PWU285" s="1132" t="n"/>
      <c r="PWV285" s="1132" t="n"/>
      <c r="PWW285" s="1132" t="n"/>
      <c r="PWX285" s="1132" t="n"/>
      <c r="PWY285" s="1132" t="n"/>
      <c r="PWZ285" s="1132" t="n"/>
      <c r="PXA285" s="1132" t="n"/>
      <c r="PXB285" s="1132" t="n"/>
      <c r="PXC285" s="1132" t="n"/>
      <c r="PXD285" s="1132" t="n"/>
      <c r="PXE285" s="1132" t="n"/>
      <c r="PXF285" s="1132" t="n"/>
      <c r="PXG285" s="1132" t="n"/>
      <c r="PXH285" s="1132" t="n"/>
      <c r="PXI285" s="1132" t="n"/>
      <c r="PXJ285" s="1132" t="n"/>
      <c r="PXK285" s="1132" t="n"/>
      <c r="PXL285" s="1132" t="n"/>
      <c r="PXM285" s="1132" t="n"/>
      <c r="PXN285" s="1132" t="n"/>
      <c r="PXO285" s="1132" t="n"/>
      <c r="PXP285" s="1132" t="n"/>
      <c r="PXQ285" s="1132" t="n"/>
      <c r="PXR285" s="1132" t="n"/>
      <c r="PXS285" s="1132" t="n"/>
      <c r="PXT285" s="1132" t="n"/>
      <c r="PXU285" s="1132" t="n"/>
      <c r="PXV285" s="1132" t="n"/>
      <c r="PXW285" s="1132" t="n"/>
      <c r="PXX285" s="1132" t="n"/>
      <c r="PXY285" s="1132" t="n"/>
      <c r="PXZ285" s="1132" t="n"/>
      <c r="PYA285" s="1132" t="n"/>
      <c r="PYB285" s="1132" t="n"/>
      <c r="PYC285" s="1132" t="n"/>
      <c r="PYD285" s="1132" t="n"/>
      <c r="PYE285" s="1132" t="n"/>
      <c r="PYF285" s="1132" t="n"/>
      <c r="PYG285" s="1132" t="n"/>
      <c r="PYH285" s="1132" t="n"/>
      <c r="PYI285" s="1132" t="n"/>
      <c r="PYJ285" s="1132" t="n"/>
      <c r="PYK285" s="1132" t="n"/>
      <c r="PYL285" s="1132" t="n"/>
      <c r="PYM285" s="1132" t="n"/>
      <c r="PYN285" s="1132" t="n"/>
      <c r="PYO285" s="1132" t="n"/>
      <c r="PYP285" s="1132" t="n"/>
      <c r="PYQ285" s="1132" t="n"/>
      <c r="PYR285" s="1132" t="n"/>
      <c r="PYS285" s="1132" t="n"/>
      <c r="PYT285" s="1132" t="n"/>
      <c r="PYU285" s="1132" t="n"/>
      <c r="PYV285" s="1132" t="n"/>
      <c r="PYW285" s="1132" t="n"/>
      <c r="PYX285" s="1132" t="n"/>
      <c r="PYY285" s="1132" t="n"/>
      <c r="PYZ285" s="1132" t="n"/>
      <c r="PZA285" s="1132" t="n"/>
      <c r="PZB285" s="1132" t="n"/>
      <c r="PZC285" s="1132" t="n"/>
      <c r="PZD285" s="1132" t="n"/>
      <c r="PZE285" s="1132" t="n"/>
      <c r="PZF285" s="1132" t="n"/>
      <c r="PZG285" s="1132" t="n"/>
      <c r="PZH285" s="1132" t="n"/>
      <c r="PZI285" s="1132" t="n"/>
      <c r="PZJ285" s="1132" t="n"/>
      <c r="PZK285" s="1132" t="n"/>
      <c r="PZL285" s="1132" t="n"/>
      <c r="PZM285" s="1132" t="n"/>
      <c r="PZN285" s="1132" t="n"/>
      <c r="PZO285" s="1132" t="n"/>
      <c r="PZP285" s="1132" t="n"/>
      <c r="PZQ285" s="1132" t="n"/>
      <c r="PZR285" s="1132" t="n"/>
      <c r="PZS285" s="1132" t="n"/>
      <c r="PZT285" s="1132" t="n"/>
      <c r="PZU285" s="1132" t="n"/>
      <c r="PZV285" s="1132" t="n"/>
      <c r="PZW285" s="1132" t="n"/>
      <c r="PZX285" s="1132" t="n"/>
      <c r="PZY285" s="1132" t="n"/>
      <c r="PZZ285" s="1132" t="n"/>
      <c r="QAA285" s="1132" t="n"/>
      <c r="QAB285" s="1132" t="n"/>
      <c r="QAC285" s="1132" t="n"/>
      <c r="QAD285" s="1132" t="n"/>
      <c r="QAE285" s="1132" t="n"/>
      <c r="QAF285" s="1132" t="n"/>
      <c r="QAG285" s="1132" t="n"/>
      <c r="QAH285" s="1132" t="n"/>
      <c r="QAI285" s="1132" t="n"/>
      <c r="QAJ285" s="1132" t="n"/>
      <c r="QAK285" s="1132" t="n"/>
      <c r="QAL285" s="1132" t="n"/>
      <c r="QAM285" s="1132" t="n"/>
      <c r="QAN285" s="1132" t="n"/>
      <c r="QAO285" s="1132" t="n"/>
      <c r="QAP285" s="1132" t="n"/>
      <c r="QAQ285" s="1132" t="n"/>
      <c r="QAR285" s="1132" t="n"/>
      <c r="QAS285" s="1132" t="n"/>
      <c r="QAT285" s="1132" t="n"/>
      <c r="QAU285" s="1132" t="n"/>
      <c r="QAV285" s="1132" t="n"/>
      <c r="QAW285" s="1132" t="n"/>
      <c r="QAX285" s="1132" t="n"/>
      <c r="QAY285" s="1132" t="n"/>
      <c r="QAZ285" s="1132" t="n"/>
      <c r="QBA285" s="1132" t="n"/>
      <c r="QBB285" s="1132" t="n"/>
      <c r="QBC285" s="1132" t="n"/>
      <c r="QBD285" s="1132" t="n"/>
      <c r="QBE285" s="1132" t="n"/>
      <c r="QBF285" s="1132" t="n"/>
      <c r="QBG285" s="1132" t="n"/>
      <c r="QBH285" s="1132" t="n"/>
      <c r="QBI285" s="1132" t="n"/>
      <c r="QBJ285" s="1132" t="n"/>
      <c r="QBK285" s="1132" t="n"/>
      <c r="QBL285" s="1132" t="n"/>
      <c r="QBM285" s="1132" t="n"/>
      <c r="QBN285" s="1132" t="n"/>
      <c r="QBO285" s="1132" t="n"/>
      <c r="QBP285" s="1132" t="n"/>
      <c r="QBQ285" s="1132" t="n"/>
      <c r="QBR285" s="1132" t="n"/>
      <c r="QBS285" s="1132" t="n"/>
      <c r="QBT285" s="1132" t="n"/>
      <c r="QBU285" s="1132" t="n"/>
      <c r="QBV285" s="1132" t="n"/>
      <c r="QBW285" s="1132" t="n"/>
      <c r="QBX285" s="1132" t="n"/>
      <c r="QBY285" s="1132" t="n"/>
      <c r="QBZ285" s="1132" t="n"/>
      <c r="QCA285" s="1132" t="n"/>
      <c r="QCB285" s="1132" t="n"/>
      <c r="QCC285" s="1132" t="n"/>
      <c r="QCD285" s="1132" t="n"/>
      <c r="QCE285" s="1132" t="n"/>
      <c r="QCF285" s="1132" t="n"/>
      <c r="QCG285" s="1132" t="n"/>
      <c r="QCH285" s="1132" t="n"/>
      <c r="QCI285" s="1132" t="n"/>
      <c r="QCJ285" s="1132" t="n"/>
      <c r="QCK285" s="1132" t="n"/>
      <c r="QCL285" s="1132" t="n"/>
      <c r="QCM285" s="1132" t="n"/>
      <c r="QCN285" s="1132" t="n"/>
      <c r="QCO285" s="1132" t="n"/>
      <c r="QCP285" s="1132" t="n"/>
      <c r="QCQ285" s="1132" t="n"/>
      <c r="QCR285" s="1132" t="n"/>
      <c r="QCS285" s="1132" t="n"/>
      <c r="QCT285" s="1132" t="n"/>
      <c r="QCU285" s="1132" t="n"/>
      <c r="QCV285" s="1132" t="n"/>
      <c r="QCW285" s="1132" t="n"/>
      <c r="QCX285" s="1132" t="n"/>
      <c r="QCY285" s="1132" t="n"/>
      <c r="QCZ285" s="1132" t="n"/>
      <c r="QDA285" s="1132" t="n"/>
      <c r="QDB285" s="1132" t="n"/>
      <c r="QDC285" s="1132" t="n"/>
      <c r="QDD285" s="1132" t="n"/>
      <c r="QDE285" s="1132" t="n"/>
      <c r="QDF285" s="1132" t="n"/>
      <c r="QDG285" s="1132" t="n"/>
      <c r="QDH285" s="1132" t="n"/>
      <c r="QDI285" s="1132" t="n"/>
      <c r="QDJ285" s="1132" t="n"/>
      <c r="QDK285" s="1132" t="n"/>
      <c r="QDL285" s="1132" t="n"/>
      <c r="QDM285" s="1132" t="n"/>
      <c r="QDN285" s="1132" t="n"/>
      <c r="QDO285" s="1132" t="n"/>
      <c r="QDP285" s="1132" t="n"/>
      <c r="QDQ285" s="1132" t="n"/>
      <c r="QDR285" s="1132" t="n"/>
      <c r="QDS285" s="1132" t="n"/>
      <c r="QDT285" s="1132" t="n"/>
      <c r="QDU285" s="1132" t="n"/>
      <c r="QDV285" s="1132" t="n"/>
      <c r="QDW285" s="1132" t="n"/>
      <c r="QDX285" s="1132" t="n"/>
      <c r="QDY285" s="1132" t="n"/>
      <c r="QDZ285" s="1132" t="n"/>
      <c r="QEA285" s="1132" t="n"/>
      <c r="QEB285" s="1132" t="n"/>
      <c r="QEC285" s="1132" t="n"/>
      <c r="QED285" s="1132" t="n"/>
      <c r="QEE285" s="1132" t="n"/>
      <c r="QEF285" s="1132" t="n"/>
      <c r="QEG285" s="1132" t="n"/>
      <c r="QEH285" s="1132" t="n"/>
      <c r="QEI285" s="1132" t="n"/>
      <c r="QEJ285" s="1132" t="n"/>
      <c r="QEK285" s="1132" t="n"/>
      <c r="QEL285" s="1132" t="n"/>
      <c r="QEM285" s="1132" t="n"/>
      <c r="QEN285" s="1132" t="n"/>
      <c r="QEO285" s="1132" t="n"/>
      <c r="QEP285" s="1132" t="n"/>
      <c r="QEQ285" s="1132" t="n"/>
      <c r="QER285" s="1132" t="n"/>
      <c r="QES285" s="1132" t="n"/>
      <c r="QET285" s="1132" t="n"/>
      <c r="QEU285" s="1132" t="n"/>
      <c r="QEV285" s="1132" t="n"/>
      <c r="QEW285" s="1132" t="n"/>
      <c r="QEX285" s="1132" t="n"/>
      <c r="QEY285" s="1132" t="n"/>
      <c r="QEZ285" s="1132" t="n"/>
      <c r="QFA285" s="1132" t="n"/>
      <c r="QFB285" s="1132" t="n"/>
      <c r="QFC285" s="1132" t="n"/>
      <c r="QFD285" s="1132" t="n"/>
      <c r="QFE285" s="1132" t="n"/>
      <c r="QFF285" s="1132" t="n"/>
      <c r="QFG285" s="1132" t="n"/>
      <c r="QFH285" s="1132" t="n"/>
      <c r="QFI285" s="1132" t="n"/>
      <c r="QFJ285" s="1132" t="n"/>
      <c r="QFK285" s="1132" t="n"/>
      <c r="QFL285" s="1132" t="n"/>
      <c r="QFM285" s="1132" t="n"/>
      <c r="QFN285" s="1132" t="n"/>
      <c r="QFO285" s="1132" t="n"/>
      <c r="QFP285" s="1132" t="n"/>
      <c r="QFQ285" s="1132" t="n"/>
      <c r="QFR285" s="1132" t="n"/>
      <c r="QFS285" s="1132" t="n"/>
      <c r="QFT285" s="1132" t="n"/>
      <c r="QFU285" s="1132" t="n"/>
      <c r="QFV285" s="1132" t="n"/>
      <c r="QFW285" s="1132" t="n"/>
      <c r="QFX285" s="1132" t="n"/>
      <c r="QFY285" s="1132" t="n"/>
      <c r="QFZ285" s="1132" t="n"/>
      <c r="QGA285" s="1132" t="n"/>
      <c r="QGB285" s="1132" t="n"/>
      <c r="QGC285" s="1132" t="n"/>
      <c r="QGD285" s="1132" t="n"/>
      <c r="QGE285" s="1132" t="n"/>
      <c r="QGF285" s="1132" t="n"/>
      <c r="QGG285" s="1132" t="n"/>
      <c r="QGH285" s="1132" t="n"/>
      <c r="QGI285" s="1132" t="n"/>
      <c r="QGJ285" s="1132" t="n"/>
      <c r="QGK285" s="1132" t="n"/>
      <c r="QGL285" s="1132" t="n"/>
      <c r="QGM285" s="1132" t="n"/>
      <c r="QGN285" s="1132" t="n"/>
      <c r="QGO285" s="1132" t="n"/>
      <c r="QGP285" s="1132" t="n"/>
      <c r="QGQ285" s="1132" t="n"/>
      <c r="QGR285" s="1132" t="n"/>
      <c r="QGS285" s="1132" t="n"/>
      <c r="QGT285" s="1132" t="n"/>
      <c r="QGU285" s="1132" t="n"/>
      <c r="QGV285" s="1132" t="n"/>
      <c r="QGW285" s="1132" t="n"/>
      <c r="QGX285" s="1132" t="n"/>
      <c r="QGY285" s="1132" t="n"/>
      <c r="QGZ285" s="1132" t="n"/>
      <c r="QHA285" s="1132" t="n"/>
      <c r="QHB285" s="1132" t="n"/>
      <c r="QHC285" s="1132" t="n"/>
      <c r="QHD285" s="1132" t="n"/>
      <c r="QHE285" s="1132" t="n"/>
      <c r="QHF285" s="1132" t="n"/>
      <c r="QHG285" s="1132" t="n"/>
      <c r="QHH285" s="1132" t="n"/>
      <c r="QHI285" s="1132" t="n"/>
      <c r="QHJ285" s="1132" t="n"/>
      <c r="QHK285" s="1132" t="n"/>
      <c r="QHL285" s="1132" t="n"/>
      <c r="QHM285" s="1132" t="n"/>
      <c r="QHN285" s="1132" t="n"/>
      <c r="QHO285" s="1132" t="n"/>
      <c r="QHP285" s="1132" t="n"/>
      <c r="QHQ285" s="1132" t="n"/>
      <c r="QHR285" s="1132" t="n"/>
      <c r="QHS285" s="1132" t="n"/>
      <c r="QHT285" s="1132" t="n"/>
      <c r="QHU285" s="1132" t="n"/>
      <c r="QHV285" s="1132" t="n"/>
      <c r="QHW285" s="1132" t="n"/>
      <c r="QHX285" s="1132" t="n"/>
      <c r="QHY285" s="1132" t="n"/>
      <c r="QHZ285" s="1132" t="n"/>
      <c r="QIA285" s="1132" t="n"/>
      <c r="QIB285" s="1132" t="n"/>
      <c r="QIC285" s="1132" t="n"/>
      <c r="QID285" s="1132" t="n"/>
      <c r="QIE285" s="1132" t="n"/>
      <c r="QIF285" s="1132" t="n"/>
      <c r="QIG285" s="1132" t="n"/>
      <c r="QIH285" s="1132" t="n"/>
      <c r="QII285" s="1132" t="n"/>
      <c r="QIJ285" s="1132" t="n"/>
      <c r="QIK285" s="1132" t="n"/>
      <c r="QIL285" s="1132" t="n"/>
      <c r="QIM285" s="1132" t="n"/>
      <c r="QIN285" s="1132" t="n"/>
      <c r="QIO285" s="1132" t="n"/>
      <c r="QIP285" s="1132" t="n"/>
      <c r="QIQ285" s="1132" t="n"/>
      <c r="QIR285" s="1132" t="n"/>
      <c r="QIS285" s="1132" t="n"/>
      <c r="QIT285" s="1132" t="n"/>
      <c r="QIU285" s="1132" t="n"/>
      <c r="QIV285" s="1132" t="n"/>
      <c r="QIW285" s="1132" t="n"/>
      <c r="QIX285" s="1132" t="n"/>
      <c r="QIY285" s="1132" t="n"/>
      <c r="QIZ285" s="1132" t="n"/>
      <c r="QJA285" s="1132" t="n"/>
      <c r="QJB285" s="1132" t="n"/>
      <c r="QJC285" s="1132" t="n"/>
      <c r="QJD285" s="1132" t="n"/>
      <c r="QJE285" s="1132" t="n"/>
      <c r="QJF285" s="1132" t="n"/>
      <c r="QJG285" s="1132" t="n"/>
      <c r="QJH285" s="1132" t="n"/>
      <c r="QJI285" s="1132" t="n"/>
      <c r="QJJ285" s="1132" t="n"/>
      <c r="QJK285" s="1132" t="n"/>
      <c r="QJL285" s="1132" t="n"/>
      <c r="QJM285" s="1132" t="n"/>
      <c r="QJN285" s="1132" t="n"/>
      <c r="QJO285" s="1132" t="n"/>
      <c r="QJP285" s="1132" t="n"/>
      <c r="QJQ285" s="1132" t="n"/>
      <c r="QJR285" s="1132" t="n"/>
      <c r="QJS285" s="1132" t="n"/>
      <c r="QJT285" s="1132" t="n"/>
      <c r="QJU285" s="1132" t="n"/>
      <c r="QJV285" s="1132" t="n"/>
      <c r="QJW285" s="1132" t="n"/>
      <c r="QJX285" s="1132" t="n"/>
      <c r="QJY285" s="1132" t="n"/>
      <c r="QJZ285" s="1132" t="n"/>
      <c r="QKA285" s="1132" t="n"/>
      <c r="QKB285" s="1132" t="n"/>
      <c r="QKC285" s="1132" t="n"/>
      <c r="QKD285" s="1132" t="n"/>
      <c r="QKE285" s="1132" t="n"/>
      <c r="QKF285" s="1132" t="n"/>
      <c r="QKG285" s="1132" t="n"/>
      <c r="QKH285" s="1132" t="n"/>
      <c r="QKI285" s="1132" t="n"/>
      <c r="QKJ285" s="1132" t="n"/>
      <c r="QKK285" s="1132" t="n"/>
      <c r="QKL285" s="1132" t="n"/>
      <c r="QKM285" s="1132" t="n"/>
      <c r="QKN285" s="1132" t="n"/>
      <c r="QKO285" s="1132" t="n"/>
      <c r="QKP285" s="1132" t="n"/>
      <c r="QKQ285" s="1132" t="n"/>
      <c r="QKR285" s="1132" t="n"/>
      <c r="QKS285" s="1132" t="n"/>
      <c r="QKT285" s="1132" t="n"/>
      <c r="QKU285" s="1132" t="n"/>
      <c r="QKV285" s="1132" t="n"/>
      <c r="QKW285" s="1132" t="n"/>
      <c r="QKX285" s="1132" t="n"/>
      <c r="QKY285" s="1132" t="n"/>
      <c r="QKZ285" s="1132" t="n"/>
      <c r="QLA285" s="1132" t="n"/>
      <c r="QLB285" s="1132" t="n"/>
      <c r="QLC285" s="1132" t="n"/>
      <c r="QLD285" s="1132" t="n"/>
      <c r="QLE285" s="1132" t="n"/>
      <c r="QLF285" s="1132" t="n"/>
      <c r="QLG285" s="1132" t="n"/>
      <c r="QLH285" s="1132" t="n"/>
      <c r="QLI285" s="1132" t="n"/>
      <c r="QLJ285" s="1132" t="n"/>
      <c r="QLK285" s="1132" t="n"/>
      <c r="QLL285" s="1132" t="n"/>
      <c r="QLM285" s="1132" t="n"/>
      <c r="QLN285" s="1132" t="n"/>
      <c r="QLO285" s="1132" t="n"/>
      <c r="QLP285" s="1132" t="n"/>
      <c r="QLQ285" s="1132" t="n"/>
      <c r="QLR285" s="1132" t="n"/>
      <c r="QLS285" s="1132" t="n"/>
      <c r="QLT285" s="1132" t="n"/>
      <c r="QLU285" s="1132" t="n"/>
      <c r="QLV285" s="1132" t="n"/>
      <c r="QLW285" s="1132" t="n"/>
      <c r="QLX285" s="1132" t="n"/>
      <c r="QLY285" s="1132" t="n"/>
      <c r="QLZ285" s="1132" t="n"/>
      <c r="QMA285" s="1132" t="n"/>
      <c r="QMB285" s="1132" t="n"/>
      <c r="QMC285" s="1132" t="n"/>
      <c r="QMD285" s="1132" t="n"/>
      <c r="QME285" s="1132" t="n"/>
      <c r="QMF285" s="1132" t="n"/>
      <c r="QMG285" s="1132" t="n"/>
      <c r="QMH285" s="1132" t="n"/>
      <c r="QMI285" s="1132" t="n"/>
      <c r="QMJ285" s="1132" t="n"/>
      <c r="QMK285" s="1132" t="n"/>
      <c r="QML285" s="1132" t="n"/>
      <c r="QMM285" s="1132" t="n"/>
      <c r="QMN285" s="1132" t="n"/>
      <c r="QMO285" s="1132" t="n"/>
      <c r="QMP285" s="1132" t="n"/>
      <c r="QMQ285" s="1132" t="n"/>
      <c r="QMR285" s="1132" t="n"/>
      <c r="QMS285" s="1132" t="n"/>
      <c r="QMT285" s="1132" t="n"/>
      <c r="QMU285" s="1132" t="n"/>
      <c r="QMV285" s="1132" t="n"/>
      <c r="QMW285" s="1132" t="n"/>
      <c r="QMX285" s="1132" t="n"/>
      <c r="QMY285" s="1132" t="n"/>
      <c r="QMZ285" s="1132" t="n"/>
      <c r="QNA285" s="1132" t="n"/>
      <c r="QNB285" s="1132" t="n"/>
      <c r="QNC285" s="1132" t="n"/>
      <c r="QND285" s="1132" t="n"/>
      <c r="QNE285" s="1132" t="n"/>
      <c r="QNF285" s="1132" t="n"/>
      <c r="QNG285" s="1132" t="n"/>
      <c r="QNH285" s="1132" t="n"/>
      <c r="QNI285" s="1132" t="n"/>
      <c r="QNJ285" s="1132" t="n"/>
      <c r="QNK285" s="1132" t="n"/>
      <c r="QNL285" s="1132" t="n"/>
      <c r="QNM285" s="1132" t="n"/>
      <c r="QNN285" s="1132" t="n"/>
      <c r="QNO285" s="1132" t="n"/>
      <c r="QNP285" s="1132" t="n"/>
      <c r="QNQ285" s="1132" t="n"/>
      <c r="QNR285" s="1132" t="n"/>
      <c r="QNS285" s="1132" t="n"/>
      <c r="QNT285" s="1132" t="n"/>
      <c r="QNU285" s="1132" t="n"/>
      <c r="QNV285" s="1132" t="n"/>
      <c r="QNW285" s="1132" t="n"/>
      <c r="QNX285" s="1132" t="n"/>
      <c r="QNY285" s="1132" t="n"/>
      <c r="QNZ285" s="1132" t="n"/>
      <c r="QOA285" s="1132" t="n"/>
      <c r="QOB285" s="1132" t="n"/>
      <c r="QOC285" s="1132" t="n"/>
      <c r="QOD285" s="1132" t="n"/>
      <c r="QOE285" s="1132" t="n"/>
      <c r="QOF285" s="1132" t="n"/>
      <c r="QOG285" s="1132" t="n"/>
      <c r="QOH285" s="1132" t="n"/>
      <c r="QOI285" s="1132" t="n"/>
      <c r="QOJ285" s="1132" t="n"/>
      <c r="QOK285" s="1132" t="n"/>
      <c r="QOL285" s="1132" t="n"/>
      <c r="QOM285" s="1132" t="n"/>
      <c r="QON285" s="1132" t="n"/>
      <c r="QOO285" s="1132" t="n"/>
      <c r="QOP285" s="1132" t="n"/>
      <c r="QOQ285" s="1132" t="n"/>
      <c r="QOR285" s="1132" t="n"/>
      <c r="QOS285" s="1132" t="n"/>
      <c r="QOT285" s="1132" t="n"/>
      <c r="QOU285" s="1132" t="n"/>
      <c r="QOV285" s="1132" t="n"/>
      <c r="QOW285" s="1132" t="n"/>
      <c r="QOX285" s="1132" t="n"/>
      <c r="QOY285" s="1132" t="n"/>
      <c r="QOZ285" s="1132" t="n"/>
      <c r="QPA285" s="1132" t="n"/>
      <c r="QPB285" s="1132" t="n"/>
      <c r="QPC285" s="1132" t="n"/>
      <c r="QPD285" s="1132" t="n"/>
      <c r="QPE285" s="1132" t="n"/>
      <c r="QPF285" s="1132" t="n"/>
      <c r="QPG285" s="1132" t="n"/>
      <c r="QPH285" s="1132" t="n"/>
      <c r="QPI285" s="1132" t="n"/>
      <c r="QPJ285" s="1132" t="n"/>
      <c r="QPK285" s="1132" t="n"/>
      <c r="QPL285" s="1132" t="n"/>
      <c r="QPM285" s="1132" t="n"/>
      <c r="QPN285" s="1132" t="n"/>
      <c r="QPO285" s="1132" t="n"/>
      <c r="QPP285" s="1132" t="n"/>
      <c r="QPQ285" s="1132" t="n"/>
      <c r="QPR285" s="1132" t="n"/>
      <c r="QPS285" s="1132" t="n"/>
      <c r="QPT285" s="1132" t="n"/>
      <c r="QPU285" s="1132" t="n"/>
      <c r="QPV285" s="1132" t="n"/>
      <c r="QPW285" s="1132" t="n"/>
      <c r="QPX285" s="1132" t="n"/>
      <c r="QPY285" s="1132" t="n"/>
      <c r="QPZ285" s="1132" t="n"/>
      <c r="QQA285" s="1132" t="n"/>
      <c r="QQB285" s="1132" t="n"/>
      <c r="QQC285" s="1132" t="n"/>
      <c r="QQD285" s="1132" t="n"/>
      <c r="QQE285" s="1132" t="n"/>
      <c r="QQF285" s="1132" t="n"/>
      <c r="QQG285" s="1132" t="n"/>
      <c r="QQH285" s="1132" t="n"/>
      <c r="QQI285" s="1132" t="n"/>
      <c r="QQJ285" s="1132" t="n"/>
      <c r="QQK285" s="1132" t="n"/>
      <c r="QQL285" s="1132" t="n"/>
      <c r="QQM285" s="1132" t="n"/>
      <c r="QQN285" s="1132" t="n"/>
      <c r="QQO285" s="1132" t="n"/>
      <c r="QQP285" s="1132" t="n"/>
      <c r="QQQ285" s="1132" t="n"/>
      <c r="QQR285" s="1132" t="n"/>
      <c r="QQS285" s="1132" t="n"/>
      <c r="QQT285" s="1132" t="n"/>
      <c r="QQU285" s="1132" t="n"/>
      <c r="QQV285" s="1132" t="n"/>
      <c r="QQW285" s="1132" t="n"/>
      <c r="QQX285" s="1132" t="n"/>
      <c r="QQY285" s="1132" t="n"/>
      <c r="QQZ285" s="1132" t="n"/>
      <c r="QRA285" s="1132" t="n"/>
      <c r="QRB285" s="1132" t="n"/>
      <c r="QRC285" s="1132" t="n"/>
      <c r="QRD285" s="1132" t="n"/>
      <c r="QRE285" s="1132" t="n"/>
      <c r="QRF285" s="1132" t="n"/>
      <c r="QRG285" s="1132" t="n"/>
      <c r="QRH285" s="1132" t="n"/>
      <c r="QRI285" s="1132" t="n"/>
      <c r="QRJ285" s="1132" t="n"/>
      <c r="QRK285" s="1132" t="n"/>
      <c r="QRL285" s="1132" t="n"/>
      <c r="QRM285" s="1132" t="n"/>
      <c r="QRN285" s="1132" t="n"/>
      <c r="QRO285" s="1132" t="n"/>
      <c r="QRP285" s="1132" t="n"/>
      <c r="QRQ285" s="1132" t="n"/>
      <c r="QRR285" s="1132" t="n"/>
      <c r="QRS285" s="1132" t="n"/>
      <c r="QRT285" s="1132" t="n"/>
      <c r="QRU285" s="1132" t="n"/>
      <c r="QRV285" s="1132" t="n"/>
      <c r="QRW285" s="1132" t="n"/>
      <c r="QRX285" s="1132" t="n"/>
      <c r="QRY285" s="1132" t="n"/>
      <c r="QRZ285" s="1132" t="n"/>
      <c r="QSA285" s="1132" t="n"/>
      <c r="QSB285" s="1132" t="n"/>
      <c r="QSC285" s="1132" t="n"/>
      <c r="QSD285" s="1132" t="n"/>
      <c r="QSE285" s="1132" t="n"/>
      <c r="QSF285" s="1132" t="n"/>
      <c r="QSG285" s="1132" t="n"/>
      <c r="QSH285" s="1132" t="n"/>
      <c r="QSI285" s="1132" t="n"/>
      <c r="QSJ285" s="1132" t="n"/>
      <c r="QSK285" s="1132" t="n"/>
      <c r="QSL285" s="1132" t="n"/>
      <c r="QSM285" s="1132" t="n"/>
      <c r="QSN285" s="1132" t="n"/>
      <c r="QSO285" s="1132" t="n"/>
      <c r="QSP285" s="1132" t="n"/>
      <c r="QSQ285" s="1132" t="n"/>
      <c r="QSR285" s="1132" t="n"/>
      <c r="QSS285" s="1132" t="n"/>
      <c r="QST285" s="1132" t="n"/>
      <c r="QSU285" s="1132" t="n"/>
      <c r="QSV285" s="1132" t="n"/>
      <c r="QSW285" s="1132" t="n"/>
      <c r="QSX285" s="1132" t="n"/>
      <c r="QSY285" s="1132" t="n"/>
      <c r="QSZ285" s="1132" t="n"/>
      <c r="QTA285" s="1132" t="n"/>
      <c r="QTB285" s="1132" t="n"/>
      <c r="QTC285" s="1132" t="n"/>
      <c r="QTD285" s="1132" t="n"/>
      <c r="QTE285" s="1132" t="n"/>
      <c r="QTF285" s="1132" t="n"/>
      <c r="QTG285" s="1132" t="n"/>
      <c r="QTH285" s="1132" t="n"/>
      <c r="QTI285" s="1132" t="n"/>
      <c r="QTJ285" s="1132" t="n"/>
      <c r="QTK285" s="1132" t="n"/>
      <c r="QTL285" s="1132" t="n"/>
      <c r="QTM285" s="1132" t="n"/>
      <c r="QTN285" s="1132" t="n"/>
      <c r="QTO285" s="1132" t="n"/>
      <c r="QTP285" s="1132" t="n"/>
      <c r="QTQ285" s="1132" t="n"/>
      <c r="QTR285" s="1132" t="n"/>
      <c r="QTS285" s="1132" t="n"/>
      <c r="QTT285" s="1132" t="n"/>
      <c r="QTU285" s="1132" t="n"/>
      <c r="QTV285" s="1132" t="n"/>
      <c r="QTW285" s="1132" t="n"/>
      <c r="QTX285" s="1132" t="n"/>
      <c r="QTY285" s="1132" t="n"/>
      <c r="QTZ285" s="1132" t="n"/>
      <c r="QUA285" s="1132" t="n"/>
      <c r="QUB285" s="1132" t="n"/>
      <c r="QUC285" s="1132" t="n"/>
      <c r="QUD285" s="1132" t="n"/>
      <c r="QUE285" s="1132" t="n"/>
      <c r="QUF285" s="1132" t="n"/>
      <c r="QUG285" s="1132" t="n"/>
      <c r="QUH285" s="1132" t="n"/>
      <c r="QUI285" s="1132" t="n"/>
      <c r="QUJ285" s="1132" t="n"/>
      <c r="QUK285" s="1132" t="n"/>
      <c r="QUL285" s="1132" t="n"/>
      <c r="QUM285" s="1132" t="n"/>
      <c r="QUN285" s="1132" t="n"/>
      <c r="QUO285" s="1132" t="n"/>
      <c r="QUP285" s="1132" t="n"/>
      <c r="QUQ285" s="1132" t="n"/>
      <c r="QUR285" s="1132" t="n"/>
      <c r="QUS285" s="1132" t="n"/>
      <c r="QUT285" s="1132" t="n"/>
      <c r="QUU285" s="1132" t="n"/>
      <c r="QUV285" s="1132" t="n"/>
      <c r="QUW285" s="1132" t="n"/>
      <c r="QUX285" s="1132" t="n"/>
      <c r="QUY285" s="1132" t="n"/>
      <c r="QUZ285" s="1132" t="n"/>
      <c r="QVA285" s="1132" t="n"/>
      <c r="QVB285" s="1132" t="n"/>
      <c r="QVC285" s="1132" t="n"/>
      <c r="QVD285" s="1132" t="n"/>
      <c r="QVE285" s="1132" t="n"/>
      <c r="QVF285" s="1132" t="n"/>
      <c r="QVG285" s="1132" t="n"/>
      <c r="QVH285" s="1132" t="n"/>
      <c r="QVI285" s="1132" t="n"/>
      <c r="QVJ285" s="1132" t="n"/>
      <c r="QVK285" s="1132" t="n"/>
      <c r="QVL285" s="1132" t="n"/>
      <c r="QVM285" s="1132" t="n"/>
      <c r="QVN285" s="1132" t="n"/>
      <c r="QVO285" s="1132" t="n"/>
      <c r="QVP285" s="1132" t="n"/>
      <c r="QVQ285" s="1132" t="n"/>
      <c r="QVR285" s="1132" t="n"/>
      <c r="QVS285" s="1132" t="n"/>
      <c r="QVT285" s="1132" t="n"/>
      <c r="QVU285" s="1132" t="n"/>
      <c r="QVV285" s="1132" t="n"/>
      <c r="QVW285" s="1132" t="n"/>
      <c r="QVX285" s="1132" t="n"/>
      <c r="QVY285" s="1132" t="n"/>
      <c r="QVZ285" s="1132" t="n"/>
      <c r="QWA285" s="1132" t="n"/>
      <c r="QWB285" s="1132" t="n"/>
      <c r="QWC285" s="1132" t="n"/>
      <c r="QWD285" s="1132" t="n"/>
      <c r="QWE285" s="1132" t="n"/>
      <c r="QWF285" s="1132" t="n"/>
      <c r="QWG285" s="1132" t="n"/>
      <c r="QWH285" s="1132" t="n"/>
      <c r="QWI285" s="1132" t="n"/>
      <c r="QWJ285" s="1132" t="n"/>
      <c r="QWK285" s="1132" t="n"/>
      <c r="QWL285" s="1132" t="n"/>
      <c r="QWM285" s="1132" t="n"/>
      <c r="QWN285" s="1132" t="n"/>
      <c r="QWO285" s="1132" t="n"/>
      <c r="QWP285" s="1132" t="n"/>
      <c r="QWQ285" s="1132" t="n"/>
      <c r="QWR285" s="1132" t="n"/>
      <c r="QWS285" s="1132" t="n"/>
      <c r="QWT285" s="1132" t="n"/>
      <c r="QWU285" s="1132" t="n"/>
      <c r="QWV285" s="1132" t="n"/>
      <c r="QWW285" s="1132" t="n"/>
      <c r="QWX285" s="1132" t="n"/>
      <c r="QWY285" s="1132" t="n"/>
      <c r="QWZ285" s="1132" t="n"/>
      <c r="QXA285" s="1132" t="n"/>
      <c r="QXB285" s="1132" t="n"/>
      <c r="QXC285" s="1132" t="n"/>
      <c r="QXD285" s="1132" t="n"/>
      <c r="QXE285" s="1132" t="n"/>
      <c r="QXF285" s="1132" t="n"/>
      <c r="QXG285" s="1132" t="n"/>
      <c r="QXH285" s="1132" t="n"/>
      <c r="QXI285" s="1132" t="n"/>
      <c r="QXJ285" s="1132" t="n"/>
      <c r="QXK285" s="1132" t="n"/>
      <c r="QXL285" s="1132" t="n"/>
      <c r="QXM285" s="1132" t="n"/>
      <c r="QXN285" s="1132" t="n"/>
      <c r="QXO285" s="1132" t="n"/>
      <c r="QXP285" s="1132" t="n"/>
      <c r="QXQ285" s="1132" t="n"/>
      <c r="QXR285" s="1132" t="n"/>
      <c r="QXS285" s="1132" t="n"/>
      <c r="QXT285" s="1132" t="n"/>
      <c r="QXU285" s="1132" t="n"/>
      <c r="QXV285" s="1132" t="n"/>
      <c r="QXW285" s="1132" t="n"/>
      <c r="QXX285" s="1132" t="n"/>
      <c r="QXY285" s="1132" t="n"/>
      <c r="QXZ285" s="1132" t="n"/>
      <c r="QYA285" s="1132" t="n"/>
      <c r="QYB285" s="1132" t="n"/>
      <c r="QYC285" s="1132" t="n"/>
      <c r="QYD285" s="1132" t="n"/>
      <c r="QYE285" s="1132" t="n"/>
      <c r="QYF285" s="1132" t="n"/>
      <c r="QYG285" s="1132" t="n"/>
      <c r="QYH285" s="1132" t="n"/>
      <c r="QYI285" s="1132" t="n"/>
      <c r="QYJ285" s="1132" t="n"/>
      <c r="QYK285" s="1132" t="n"/>
      <c r="QYL285" s="1132" t="n"/>
      <c r="QYM285" s="1132" t="n"/>
      <c r="QYN285" s="1132" t="n"/>
      <c r="QYO285" s="1132" t="n"/>
      <c r="QYP285" s="1132" t="n"/>
      <c r="QYQ285" s="1132" t="n"/>
      <c r="QYR285" s="1132" t="n"/>
      <c r="QYS285" s="1132" t="n"/>
      <c r="QYT285" s="1132" t="n"/>
      <c r="QYU285" s="1132" t="n"/>
      <c r="QYV285" s="1132" t="n"/>
      <c r="QYW285" s="1132" t="n"/>
      <c r="QYX285" s="1132" t="n"/>
      <c r="QYY285" s="1132" t="n"/>
      <c r="QYZ285" s="1132" t="n"/>
      <c r="QZA285" s="1132" t="n"/>
      <c r="QZB285" s="1132" t="n"/>
      <c r="QZC285" s="1132" t="n"/>
      <c r="QZD285" s="1132" t="n"/>
      <c r="QZE285" s="1132" t="n"/>
      <c r="QZF285" s="1132" t="n"/>
      <c r="QZG285" s="1132" t="n"/>
      <c r="QZH285" s="1132" t="n"/>
      <c r="QZI285" s="1132" t="n"/>
      <c r="QZJ285" s="1132" t="n"/>
      <c r="QZK285" s="1132" t="n"/>
      <c r="QZL285" s="1132" t="n"/>
      <c r="QZM285" s="1132" t="n"/>
      <c r="QZN285" s="1132" t="n"/>
      <c r="QZO285" s="1132" t="n"/>
      <c r="QZP285" s="1132" t="n"/>
      <c r="QZQ285" s="1132" t="n"/>
      <c r="QZR285" s="1132" t="n"/>
      <c r="QZS285" s="1132" t="n"/>
      <c r="QZT285" s="1132" t="n"/>
      <c r="QZU285" s="1132" t="n"/>
      <c r="QZV285" s="1132" t="n"/>
      <c r="QZW285" s="1132" t="n"/>
      <c r="QZX285" s="1132" t="n"/>
      <c r="QZY285" s="1132" t="n"/>
      <c r="QZZ285" s="1132" t="n"/>
      <c r="RAA285" s="1132" t="n"/>
      <c r="RAB285" s="1132" t="n"/>
      <c r="RAC285" s="1132" t="n"/>
      <c r="RAD285" s="1132" t="n"/>
      <c r="RAE285" s="1132" t="n"/>
      <c r="RAF285" s="1132" t="n"/>
      <c r="RAG285" s="1132" t="n"/>
      <c r="RAH285" s="1132" t="n"/>
      <c r="RAI285" s="1132" t="n"/>
      <c r="RAJ285" s="1132" t="n"/>
      <c r="RAK285" s="1132" t="n"/>
      <c r="RAL285" s="1132" t="n"/>
      <c r="RAM285" s="1132" t="n"/>
      <c r="RAN285" s="1132" t="n"/>
      <c r="RAO285" s="1132" t="n"/>
      <c r="RAP285" s="1132" t="n"/>
      <c r="RAQ285" s="1132" t="n"/>
      <c r="RAR285" s="1132" t="n"/>
      <c r="RAS285" s="1132" t="n"/>
      <c r="RAT285" s="1132" t="n"/>
      <c r="RAU285" s="1132" t="n"/>
      <c r="RAV285" s="1132" t="n"/>
      <c r="RAW285" s="1132" t="n"/>
      <c r="RAX285" s="1132" t="n"/>
      <c r="RAY285" s="1132" t="n"/>
      <c r="RAZ285" s="1132" t="n"/>
      <c r="RBA285" s="1132" t="n"/>
      <c r="RBB285" s="1132" t="n"/>
      <c r="RBC285" s="1132" t="n"/>
      <c r="RBD285" s="1132" t="n"/>
      <c r="RBE285" s="1132" t="n"/>
      <c r="RBF285" s="1132" t="n"/>
      <c r="RBG285" s="1132" t="n"/>
      <c r="RBH285" s="1132" t="n"/>
      <c r="RBI285" s="1132" t="n"/>
      <c r="RBJ285" s="1132" t="n"/>
      <c r="RBK285" s="1132" t="n"/>
      <c r="RBL285" s="1132" t="n"/>
      <c r="RBM285" s="1132" t="n"/>
      <c r="RBN285" s="1132" t="n"/>
      <c r="RBO285" s="1132" t="n"/>
      <c r="RBP285" s="1132" t="n"/>
      <c r="RBQ285" s="1132" t="n"/>
      <c r="RBR285" s="1132" t="n"/>
      <c r="RBS285" s="1132" t="n"/>
      <c r="RBT285" s="1132" t="n"/>
      <c r="RBU285" s="1132" t="n"/>
      <c r="RBV285" s="1132" t="n"/>
      <c r="RBW285" s="1132" t="n"/>
      <c r="RBX285" s="1132" t="n"/>
      <c r="RBY285" s="1132" t="n"/>
      <c r="RBZ285" s="1132" t="n"/>
      <c r="RCA285" s="1132" t="n"/>
      <c r="RCB285" s="1132" t="n"/>
      <c r="RCC285" s="1132" t="n"/>
      <c r="RCD285" s="1132" t="n"/>
      <c r="RCE285" s="1132" t="n"/>
      <c r="RCF285" s="1132" t="n"/>
      <c r="RCG285" s="1132" t="n"/>
      <c r="RCH285" s="1132" t="n"/>
      <c r="RCI285" s="1132" t="n"/>
      <c r="RCJ285" s="1132" t="n"/>
      <c r="RCK285" s="1132" t="n"/>
      <c r="RCL285" s="1132" t="n"/>
      <c r="RCM285" s="1132" t="n"/>
      <c r="RCN285" s="1132" t="n"/>
      <c r="RCO285" s="1132" t="n"/>
      <c r="RCP285" s="1132" t="n"/>
      <c r="RCQ285" s="1132" t="n"/>
      <c r="RCR285" s="1132" t="n"/>
      <c r="RCS285" s="1132" t="n"/>
      <c r="RCT285" s="1132" t="n"/>
      <c r="RCU285" s="1132" t="n"/>
      <c r="RCV285" s="1132" t="n"/>
      <c r="RCW285" s="1132" t="n"/>
      <c r="RCX285" s="1132" t="n"/>
      <c r="RCY285" s="1132" t="n"/>
      <c r="RCZ285" s="1132" t="n"/>
      <c r="RDA285" s="1132" t="n"/>
      <c r="RDB285" s="1132" t="n"/>
      <c r="RDC285" s="1132" t="n"/>
      <c r="RDD285" s="1132" t="n"/>
      <c r="RDE285" s="1132" t="n"/>
      <c r="RDF285" s="1132" t="n"/>
      <c r="RDG285" s="1132" t="n"/>
      <c r="RDH285" s="1132" t="n"/>
      <c r="RDI285" s="1132" t="n"/>
      <c r="RDJ285" s="1132" t="n"/>
      <c r="RDK285" s="1132" t="n"/>
      <c r="RDL285" s="1132" t="n"/>
      <c r="RDM285" s="1132" t="n"/>
      <c r="RDN285" s="1132" t="n"/>
      <c r="RDO285" s="1132" t="n"/>
      <c r="RDP285" s="1132" t="n"/>
      <c r="RDQ285" s="1132" t="n"/>
      <c r="RDR285" s="1132" t="n"/>
      <c r="RDS285" s="1132" t="n"/>
      <c r="RDT285" s="1132" t="n"/>
      <c r="RDU285" s="1132" t="n"/>
      <c r="RDV285" s="1132" t="n"/>
      <c r="RDW285" s="1132" t="n"/>
      <c r="RDX285" s="1132" t="n"/>
      <c r="RDY285" s="1132" t="n"/>
      <c r="RDZ285" s="1132" t="n"/>
      <c r="REA285" s="1132" t="n"/>
      <c r="REB285" s="1132" t="n"/>
      <c r="REC285" s="1132" t="n"/>
      <c r="RED285" s="1132" t="n"/>
      <c r="REE285" s="1132" t="n"/>
      <c r="REF285" s="1132" t="n"/>
      <c r="REG285" s="1132" t="n"/>
      <c r="REH285" s="1132" t="n"/>
      <c r="REI285" s="1132" t="n"/>
      <c r="REJ285" s="1132" t="n"/>
      <c r="REK285" s="1132" t="n"/>
      <c r="REL285" s="1132" t="n"/>
      <c r="REM285" s="1132" t="n"/>
      <c r="REN285" s="1132" t="n"/>
      <c r="REO285" s="1132" t="n"/>
      <c r="REP285" s="1132" t="n"/>
      <c r="REQ285" s="1132" t="n"/>
      <c r="RER285" s="1132" t="n"/>
      <c r="RES285" s="1132" t="n"/>
      <c r="RET285" s="1132" t="n"/>
      <c r="REU285" s="1132" t="n"/>
      <c r="REV285" s="1132" t="n"/>
      <c r="REW285" s="1132" t="n"/>
      <c r="REX285" s="1132" t="n"/>
      <c r="REY285" s="1132" t="n"/>
      <c r="REZ285" s="1132" t="n"/>
      <c r="RFA285" s="1132" t="n"/>
      <c r="RFB285" s="1132" t="n"/>
      <c r="RFC285" s="1132" t="n"/>
      <c r="RFD285" s="1132" t="n"/>
      <c r="RFE285" s="1132" t="n"/>
      <c r="RFF285" s="1132" t="n"/>
      <c r="RFG285" s="1132" t="n"/>
      <c r="RFH285" s="1132" t="n"/>
      <c r="RFI285" s="1132" t="n"/>
      <c r="RFJ285" s="1132" t="n"/>
      <c r="RFK285" s="1132" t="n"/>
      <c r="RFL285" s="1132" t="n"/>
      <c r="RFM285" s="1132" t="n"/>
      <c r="RFN285" s="1132" t="n"/>
      <c r="RFO285" s="1132" t="n"/>
      <c r="RFP285" s="1132" t="n"/>
      <c r="RFQ285" s="1132" t="n"/>
      <c r="RFR285" s="1132" t="n"/>
      <c r="RFS285" s="1132" t="n"/>
      <c r="RFT285" s="1132" t="n"/>
      <c r="RFU285" s="1132" t="n"/>
      <c r="RFV285" s="1132" t="n"/>
      <c r="RFW285" s="1132" t="n"/>
      <c r="RFX285" s="1132" t="n"/>
      <c r="RFY285" s="1132" t="n"/>
      <c r="RFZ285" s="1132" t="n"/>
      <c r="RGA285" s="1132" t="n"/>
      <c r="RGB285" s="1132" t="n"/>
      <c r="RGC285" s="1132" t="n"/>
      <c r="RGD285" s="1132" t="n"/>
      <c r="RGE285" s="1132" t="n"/>
      <c r="RGF285" s="1132" t="n"/>
      <c r="RGG285" s="1132" t="n"/>
      <c r="RGH285" s="1132" t="n"/>
      <c r="RGI285" s="1132" t="n"/>
      <c r="RGJ285" s="1132" t="n"/>
      <c r="RGK285" s="1132" t="n"/>
      <c r="RGL285" s="1132" t="n"/>
      <c r="RGM285" s="1132" t="n"/>
      <c r="RGN285" s="1132" t="n"/>
      <c r="RGO285" s="1132" t="n"/>
      <c r="RGP285" s="1132" t="n"/>
      <c r="RGQ285" s="1132" t="n"/>
      <c r="RGR285" s="1132" t="n"/>
      <c r="RGS285" s="1132" t="n"/>
      <c r="RGT285" s="1132" t="n"/>
      <c r="RGU285" s="1132" t="n"/>
      <c r="RGV285" s="1132" t="n"/>
      <c r="RGW285" s="1132" t="n"/>
      <c r="RGX285" s="1132" t="n"/>
      <c r="RGY285" s="1132" t="n"/>
      <c r="RGZ285" s="1132" t="n"/>
      <c r="RHA285" s="1132" t="n"/>
      <c r="RHB285" s="1132" t="n"/>
      <c r="RHC285" s="1132" t="n"/>
      <c r="RHD285" s="1132" t="n"/>
      <c r="RHE285" s="1132" t="n"/>
      <c r="RHF285" s="1132" t="n"/>
      <c r="RHG285" s="1132" t="n"/>
      <c r="RHH285" s="1132" t="n"/>
      <c r="RHI285" s="1132" t="n"/>
      <c r="RHJ285" s="1132" t="n"/>
      <c r="RHK285" s="1132" t="n"/>
      <c r="RHL285" s="1132" t="n"/>
      <c r="RHM285" s="1132" t="n"/>
      <c r="RHN285" s="1132" t="n"/>
      <c r="RHO285" s="1132" t="n"/>
      <c r="RHP285" s="1132" t="n"/>
      <c r="RHQ285" s="1132" t="n"/>
      <c r="RHR285" s="1132" t="n"/>
      <c r="RHS285" s="1132" t="n"/>
      <c r="RHT285" s="1132" t="n"/>
      <c r="RHU285" s="1132" t="n"/>
      <c r="RHV285" s="1132" t="n"/>
      <c r="RHW285" s="1132" t="n"/>
      <c r="RHX285" s="1132" t="n"/>
      <c r="RHY285" s="1132" t="n"/>
      <c r="RHZ285" s="1132" t="n"/>
      <c r="RIA285" s="1132" t="n"/>
      <c r="RIB285" s="1132" t="n"/>
      <c r="RIC285" s="1132" t="n"/>
      <c r="RID285" s="1132" t="n"/>
      <c r="RIE285" s="1132" t="n"/>
      <c r="RIF285" s="1132" t="n"/>
      <c r="RIG285" s="1132" t="n"/>
      <c r="RIH285" s="1132" t="n"/>
      <c r="RII285" s="1132" t="n"/>
      <c r="RIJ285" s="1132" t="n"/>
      <c r="RIK285" s="1132" t="n"/>
      <c r="RIL285" s="1132" t="n"/>
      <c r="RIM285" s="1132" t="n"/>
      <c r="RIN285" s="1132" t="n"/>
      <c r="RIO285" s="1132" t="n"/>
      <c r="RIP285" s="1132" t="n"/>
      <c r="RIQ285" s="1132" t="n"/>
      <c r="RIR285" s="1132" t="n"/>
      <c r="RIS285" s="1132" t="n"/>
      <c r="RIT285" s="1132" t="n"/>
      <c r="RIU285" s="1132" t="n"/>
      <c r="RIV285" s="1132" t="n"/>
      <c r="RIW285" s="1132" t="n"/>
      <c r="RIX285" s="1132" t="n"/>
      <c r="RIY285" s="1132" t="n"/>
      <c r="RIZ285" s="1132" t="n"/>
      <c r="RJA285" s="1132" t="n"/>
      <c r="RJB285" s="1132" t="n"/>
      <c r="RJC285" s="1132" t="n"/>
      <c r="RJD285" s="1132" t="n"/>
      <c r="RJE285" s="1132" t="n"/>
      <c r="RJF285" s="1132" t="n"/>
      <c r="RJG285" s="1132" t="n"/>
      <c r="RJH285" s="1132" t="n"/>
      <c r="RJI285" s="1132" t="n"/>
      <c r="RJJ285" s="1132" t="n"/>
      <c r="RJK285" s="1132" t="n"/>
      <c r="RJL285" s="1132" t="n"/>
      <c r="RJM285" s="1132" t="n"/>
      <c r="RJN285" s="1132" t="n"/>
      <c r="RJO285" s="1132" t="n"/>
      <c r="RJP285" s="1132" t="n"/>
      <c r="RJQ285" s="1132" t="n"/>
      <c r="RJR285" s="1132" t="n"/>
      <c r="RJS285" s="1132" t="n"/>
      <c r="RJT285" s="1132" t="n"/>
      <c r="RJU285" s="1132" t="n"/>
      <c r="RJV285" s="1132" t="n"/>
      <c r="RJW285" s="1132" t="n"/>
      <c r="RJX285" s="1132" t="n"/>
      <c r="RJY285" s="1132" t="n"/>
      <c r="RJZ285" s="1132" t="n"/>
      <c r="RKA285" s="1132" t="n"/>
      <c r="RKB285" s="1132" t="n"/>
      <c r="RKC285" s="1132" t="n"/>
      <c r="RKD285" s="1132" t="n"/>
      <c r="RKE285" s="1132" t="n"/>
      <c r="RKF285" s="1132" t="n"/>
      <c r="RKG285" s="1132" t="n"/>
      <c r="RKH285" s="1132" t="n"/>
      <c r="RKI285" s="1132" t="n"/>
      <c r="RKJ285" s="1132" t="n"/>
      <c r="RKK285" s="1132" t="n"/>
      <c r="RKL285" s="1132" t="n"/>
      <c r="RKM285" s="1132" t="n"/>
      <c r="RKN285" s="1132" t="n"/>
      <c r="RKO285" s="1132" t="n"/>
      <c r="RKP285" s="1132" t="n"/>
      <c r="RKQ285" s="1132" t="n"/>
      <c r="RKR285" s="1132" t="n"/>
      <c r="RKS285" s="1132" t="n"/>
      <c r="RKT285" s="1132" t="n"/>
      <c r="RKU285" s="1132" t="n"/>
      <c r="RKV285" s="1132" t="n"/>
      <c r="RKW285" s="1132" t="n"/>
      <c r="RKX285" s="1132" t="n"/>
      <c r="RKY285" s="1132" t="n"/>
      <c r="RKZ285" s="1132" t="n"/>
      <c r="RLA285" s="1132" t="n"/>
      <c r="RLB285" s="1132" t="n"/>
      <c r="RLC285" s="1132" t="n"/>
      <c r="RLD285" s="1132" t="n"/>
      <c r="RLE285" s="1132" t="n"/>
      <c r="RLF285" s="1132" t="n"/>
      <c r="RLG285" s="1132" t="n"/>
      <c r="RLH285" s="1132" t="n"/>
      <c r="RLI285" s="1132" t="n"/>
      <c r="RLJ285" s="1132" t="n"/>
      <c r="RLK285" s="1132" t="n"/>
      <c r="RLL285" s="1132" t="n"/>
      <c r="RLM285" s="1132" t="n"/>
      <c r="RLN285" s="1132" t="n"/>
      <c r="RLO285" s="1132" t="n"/>
      <c r="RLP285" s="1132" t="n"/>
      <c r="RLQ285" s="1132" t="n"/>
      <c r="RLR285" s="1132" t="n"/>
      <c r="RLS285" s="1132" t="n"/>
      <c r="RLT285" s="1132" t="n"/>
      <c r="RLU285" s="1132" t="n"/>
      <c r="RLV285" s="1132" t="n"/>
      <c r="RLW285" s="1132" t="n"/>
      <c r="RLX285" s="1132" t="n"/>
      <c r="RLY285" s="1132" t="n"/>
      <c r="RLZ285" s="1132" t="n"/>
      <c r="RMA285" s="1132" t="n"/>
      <c r="RMB285" s="1132" t="n"/>
      <c r="RMC285" s="1132" t="n"/>
      <c r="RMD285" s="1132" t="n"/>
      <c r="RME285" s="1132" t="n"/>
      <c r="RMF285" s="1132" t="n"/>
      <c r="RMG285" s="1132" t="n"/>
      <c r="RMH285" s="1132" t="n"/>
      <c r="RMI285" s="1132" t="n"/>
      <c r="RMJ285" s="1132" t="n"/>
      <c r="RMK285" s="1132" t="n"/>
      <c r="RML285" s="1132" t="n"/>
      <c r="RMM285" s="1132" t="n"/>
      <c r="RMN285" s="1132" t="n"/>
      <c r="RMO285" s="1132" t="n"/>
      <c r="RMP285" s="1132" t="n"/>
      <c r="RMQ285" s="1132" t="n"/>
      <c r="RMR285" s="1132" t="n"/>
      <c r="RMS285" s="1132" t="n"/>
      <c r="RMT285" s="1132" t="n"/>
      <c r="RMU285" s="1132" t="n"/>
      <c r="RMV285" s="1132" t="n"/>
      <c r="RMW285" s="1132" t="n"/>
      <c r="RMX285" s="1132" t="n"/>
      <c r="RMY285" s="1132" t="n"/>
      <c r="RMZ285" s="1132" t="n"/>
      <c r="RNA285" s="1132" t="n"/>
      <c r="RNB285" s="1132" t="n"/>
      <c r="RNC285" s="1132" t="n"/>
      <c r="RND285" s="1132" t="n"/>
      <c r="RNE285" s="1132" t="n"/>
      <c r="RNF285" s="1132" t="n"/>
      <c r="RNG285" s="1132" t="n"/>
      <c r="RNH285" s="1132" t="n"/>
      <c r="RNI285" s="1132" t="n"/>
      <c r="RNJ285" s="1132" t="n"/>
      <c r="RNK285" s="1132" t="n"/>
      <c r="RNL285" s="1132" t="n"/>
      <c r="RNM285" s="1132" t="n"/>
      <c r="RNN285" s="1132" t="n"/>
      <c r="RNO285" s="1132" t="n"/>
      <c r="RNP285" s="1132" t="n"/>
      <c r="RNQ285" s="1132" t="n"/>
      <c r="RNR285" s="1132" t="n"/>
      <c r="RNS285" s="1132" t="n"/>
      <c r="RNT285" s="1132" t="n"/>
      <c r="RNU285" s="1132" t="n"/>
      <c r="RNV285" s="1132" t="n"/>
      <c r="RNW285" s="1132" t="n"/>
      <c r="RNX285" s="1132" t="n"/>
      <c r="RNY285" s="1132" t="n"/>
      <c r="RNZ285" s="1132" t="n"/>
      <c r="ROA285" s="1132" t="n"/>
      <c r="ROB285" s="1132" t="n"/>
      <c r="ROC285" s="1132" t="n"/>
      <c r="ROD285" s="1132" t="n"/>
      <c r="ROE285" s="1132" t="n"/>
      <c r="ROF285" s="1132" t="n"/>
      <c r="ROG285" s="1132" t="n"/>
      <c r="ROH285" s="1132" t="n"/>
      <c r="ROI285" s="1132" t="n"/>
      <c r="ROJ285" s="1132" t="n"/>
      <c r="ROK285" s="1132" t="n"/>
      <c r="ROL285" s="1132" t="n"/>
      <c r="ROM285" s="1132" t="n"/>
      <c r="RON285" s="1132" t="n"/>
      <c r="ROO285" s="1132" t="n"/>
      <c r="ROP285" s="1132" t="n"/>
      <c r="ROQ285" s="1132" t="n"/>
      <c r="ROR285" s="1132" t="n"/>
      <c r="ROS285" s="1132" t="n"/>
      <c r="ROT285" s="1132" t="n"/>
      <c r="ROU285" s="1132" t="n"/>
      <c r="ROV285" s="1132" t="n"/>
      <c r="ROW285" s="1132" t="n"/>
      <c r="ROX285" s="1132" t="n"/>
      <c r="ROY285" s="1132" t="n"/>
      <c r="ROZ285" s="1132" t="n"/>
      <c r="RPA285" s="1132" t="n"/>
      <c r="RPB285" s="1132" t="n"/>
      <c r="RPC285" s="1132" t="n"/>
      <c r="RPD285" s="1132" t="n"/>
      <c r="RPE285" s="1132" t="n"/>
      <c r="RPF285" s="1132" t="n"/>
      <c r="RPG285" s="1132" t="n"/>
      <c r="RPH285" s="1132" t="n"/>
      <c r="RPI285" s="1132" t="n"/>
      <c r="RPJ285" s="1132" t="n"/>
      <c r="RPK285" s="1132" t="n"/>
      <c r="RPL285" s="1132" t="n"/>
      <c r="RPM285" s="1132" t="n"/>
      <c r="RPN285" s="1132" t="n"/>
      <c r="RPO285" s="1132" t="n"/>
      <c r="RPP285" s="1132" t="n"/>
      <c r="RPQ285" s="1132" t="n"/>
      <c r="RPR285" s="1132" t="n"/>
      <c r="RPS285" s="1132" t="n"/>
      <c r="RPT285" s="1132" t="n"/>
      <c r="RPU285" s="1132" t="n"/>
      <c r="RPV285" s="1132" t="n"/>
      <c r="RPW285" s="1132" t="n"/>
      <c r="RPX285" s="1132" t="n"/>
      <c r="RPY285" s="1132" t="n"/>
      <c r="RPZ285" s="1132" t="n"/>
      <c r="RQA285" s="1132" t="n"/>
      <c r="RQB285" s="1132" t="n"/>
      <c r="RQC285" s="1132" t="n"/>
      <c r="RQD285" s="1132" t="n"/>
      <c r="RQE285" s="1132" t="n"/>
      <c r="RQF285" s="1132" t="n"/>
      <c r="RQG285" s="1132" t="n"/>
      <c r="RQH285" s="1132" t="n"/>
      <c r="RQI285" s="1132" t="n"/>
      <c r="RQJ285" s="1132" t="n"/>
      <c r="RQK285" s="1132" t="n"/>
      <c r="RQL285" s="1132" t="n"/>
      <c r="RQM285" s="1132" t="n"/>
      <c r="RQN285" s="1132" t="n"/>
      <c r="RQO285" s="1132" t="n"/>
      <c r="RQP285" s="1132" t="n"/>
      <c r="RQQ285" s="1132" t="n"/>
      <c r="RQR285" s="1132" t="n"/>
      <c r="RQS285" s="1132" t="n"/>
      <c r="RQT285" s="1132" t="n"/>
      <c r="RQU285" s="1132" t="n"/>
      <c r="RQV285" s="1132" t="n"/>
      <c r="RQW285" s="1132" t="n"/>
      <c r="RQX285" s="1132" t="n"/>
      <c r="RQY285" s="1132" t="n"/>
      <c r="RQZ285" s="1132" t="n"/>
      <c r="RRA285" s="1132" t="n"/>
      <c r="RRB285" s="1132" t="n"/>
      <c r="RRC285" s="1132" t="n"/>
      <c r="RRD285" s="1132" t="n"/>
      <c r="RRE285" s="1132" t="n"/>
      <c r="RRF285" s="1132" t="n"/>
      <c r="RRG285" s="1132" t="n"/>
      <c r="RRH285" s="1132" t="n"/>
      <c r="RRI285" s="1132" t="n"/>
      <c r="RRJ285" s="1132" t="n"/>
      <c r="RRK285" s="1132" t="n"/>
      <c r="RRL285" s="1132" t="n"/>
      <c r="RRM285" s="1132" t="n"/>
      <c r="RRN285" s="1132" t="n"/>
      <c r="RRO285" s="1132" t="n"/>
      <c r="RRP285" s="1132" t="n"/>
      <c r="RRQ285" s="1132" t="n"/>
      <c r="RRR285" s="1132" t="n"/>
      <c r="RRS285" s="1132" t="n"/>
      <c r="RRT285" s="1132" t="n"/>
      <c r="RRU285" s="1132" t="n"/>
      <c r="RRV285" s="1132" t="n"/>
      <c r="RRW285" s="1132" t="n"/>
      <c r="RRX285" s="1132" t="n"/>
      <c r="RRY285" s="1132" t="n"/>
      <c r="RRZ285" s="1132" t="n"/>
      <c r="RSA285" s="1132" t="n"/>
      <c r="RSB285" s="1132" t="n"/>
      <c r="RSC285" s="1132" t="n"/>
      <c r="RSD285" s="1132" t="n"/>
      <c r="RSE285" s="1132" t="n"/>
      <c r="RSF285" s="1132" t="n"/>
      <c r="RSG285" s="1132" t="n"/>
      <c r="RSH285" s="1132" t="n"/>
      <c r="RSI285" s="1132" t="n"/>
      <c r="RSJ285" s="1132" t="n"/>
      <c r="RSK285" s="1132" t="n"/>
      <c r="RSL285" s="1132" t="n"/>
      <c r="RSM285" s="1132" t="n"/>
      <c r="RSN285" s="1132" t="n"/>
      <c r="RSO285" s="1132" t="n"/>
      <c r="RSP285" s="1132" t="n"/>
      <c r="RSQ285" s="1132" t="n"/>
      <c r="RSR285" s="1132" t="n"/>
      <c r="RSS285" s="1132" t="n"/>
      <c r="RST285" s="1132" t="n"/>
      <c r="RSU285" s="1132" t="n"/>
      <c r="RSV285" s="1132" t="n"/>
      <c r="RSW285" s="1132" t="n"/>
      <c r="RSX285" s="1132" t="n"/>
      <c r="RSY285" s="1132" t="n"/>
      <c r="RSZ285" s="1132" t="n"/>
      <c r="RTA285" s="1132" t="n"/>
      <c r="RTB285" s="1132" t="n"/>
      <c r="RTC285" s="1132" t="n"/>
      <c r="RTD285" s="1132" t="n"/>
      <c r="RTE285" s="1132" t="n"/>
      <c r="RTF285" s="1132" t="n"/>
      <c r="RTG285" s="1132" t="n"/>
      <c r="RTH285" s="1132" t="n"/>
      <c r="RTI285" s="1132" t="n"/>
      <c r="RTJ285" s="1132" t="n"/>
      <c r="RTK285" s="1132" t="n"/>
      <c r="RTL285" s="1132" t="n"/>
      <c r="RTM285" s="1132" t="n"/>
      <c r="RTN285" s="1132" t="n"/>
      <c r="RTO285" s="1132" t="n"/>
      <c r="RTP285" s="1132" t="n"/>
      <c r="RTQ285" s="1132" t="n"/>
      <c r="RTR285" s="1132" t="n"/>
      <c r="RTS285" s="1132" t="n"/>
      <c r="RTT285" s="1132" t="n"/>
      <c r="RTU285" s="1132" t="n"/>
      <c r="RTV285" s="1132" t="n"/>
      <c r="RTW285" s="1132" t="n"/>
      <c r="RTX285" s="1132" t="n"/>
      <c r="RTY285" s="1132" t="n"/>
      <c r="RTZ285" s="1132" t="n"/>
      <c r="RUA285" s="1132" t="n"/>
      <c r="RUB285" s="1132" t="n"/>
      <c r="RUC285" s="1132" t="n"/>
      <c r="RUD285" s="1132" t="n"/>
      <c r="RUE285" s="1132" t="n"/>
      <c r="RUF285" s="1132" t="n"/>
      <c r="RUG285" s="1132" t="n"/>
      <c r="RUH285" s="1132" t="n"/>
      <c r="RUI285" s="1132" t="n"/>
      <c r="RUJ285" s="1132" t="n"/>
      <c r="RUK285" s="1132" t="n"/>
      <c r="RUL285" s="1132" t="n"/>
      <c r="RUM285" s="1132" t="n"/>
      <c r="RUN285" s="1132" t="n"/>
      <c r="RUO285" s="1132" t="n"/>
      <c r="RUP285" s="1132" t="n"/>
      <c r="RUQ285" s="1132" t="n"/>
      <c r="RUR285" s="1132" t="n"/>
      <c r="RUS285" s="1132" t="n"/>
      <c r="RUT285" s="1132" t="n"/>
      <c r="RUU285" s="1132" t="n"/>
      <c r="RUV285" s="1132" t="n"/>
      <c r="RUW285" s="1132" t="n"/>
      <c r="RUX285" s="1132" t="n"/>
      <c r="RUY285" s="1132" t="n"/>
      <c r="RUZ285" s="1132" t="n"/>
      <c r="RVA285" s="1132" t="n"/>
      <c r="RVB285" s="1132" t="n"/>
      <c r="RVC285" s="1132" t="n"/>
      <c r="RVD285" s="1132" t="n"/>
      <c r="RVE285" s="1132" t="n"/>
      <c r="RVF285" s="1132" t="n"/>
      <c r="RVG285" s="1132" t="n"/>
      <c r="RVH285" s="1132" t="n"/>
      <c r="RVI285" s="1132" t="n"/>
      <c r="RVJ285" s="1132" t="n"/>
      <c r="RVK285" s="1132" t="n"/>
      <c r="RVL285" s="1132" t="n"/>
      <c r="RVM285" s="1132" t="n"/>
      <c r="RVN285" s="1132" t="n"/>
      <c r="RVO285" s="1132" t="n"/>
      <c r="RVP285" s="1132" t="n"/>
      <c r="RVQ285" s="1132" t="n"/>
      <c r="RVR285" s="1132" t="n"/>
      <c r="RVS285" s="1132" t="n"/>
      <c r="RVT285" s="1132" t="n"/>
      <c r="RVU285" s="1132" t="n"/>
      <c r="RVV285" s="1132" t="n"/>
      <c r="RVW285" s="1132" t="n"/>
      <c r="RVX285" s="1132" t="n"/>
      <c r="RVY285" s="1132" t="n"/>
      <c r="RVZ285" s="1132" t="n"/>
      <c r="RWA285" s="1132" t="n"/>
      <c r="RWB285" s="1132" t="n"/>
      <c r="RWC285" s="1132" t="n"/>
      <c r="RWD285" s="1132" t="n"/>
      <c r="RWE285" s="1132" t="n"/>
      <c r="RWF285" s="1132" t="n"/>
      <c r="RWG285" s="1132" t="n"/>
      <c r="RWH285" s="1132" t="n"/>
      <c r="RWI285" s="1132" t="n"/>
      <c r="RWJ285" s="1132" t="n"/>
      <c r="RWK285" s="1132" t="n"/>
      <c r="RWL285" s="1132" t="n"/>
      <c r="RWM285" s="1132" t="n"/>
      <c r="RWN285" s="1132" t="n"/>
      <c r="RWO285" s="1132" t="n"/>
      <c r="RWP285" s="1132" t="n"/>
      <c r="RWQ285" s="1132" t="n"/>
      <c r="RWR285" s="1132" t="n"/>
      <c r="RWS285" s="1132" t="n"/>
      <c r="RWT285" s="1132" t="n"/>
      <c r="RWU285" s="1132" t="n"/>
      <c r="RWV285" s="1132" t="n"/>
      <c r="RWW285" s="1132" t="n"/>
      <c r="RWX285" s="1132" t="n"/>
      <c r="RWY285" s="1132" t="n"/>
      <c r="RWZ285" s="1132" t="n"/>
      <c r="RXA285" s="1132" t="n"/>
      <c r="RXB285" s="1132" t="n"/>
      <c r="RXC285" s="1132" t="n"/>
      <c r="RXD285" s="1132" t="n"/>
      <c r="RXE285" s="1132" t="n"/>
      <c r="RXF285" s="1132" t="n"/>
      <c r="RXG285" s="1132" t="n"/>
      <c r="RXH285" s="1132" t="n"/>
      <c r="RXI285" s="1132" t="n"/>
      <c r="RXJ285" s="1132" t="n"/>
      <c r="RXK285" s="1132" t="n"/>
      <c r="RXL285" s="1132" t="n"/>
      <c r="RXM285" s="1132" t="n"/>
      <c r="RXN285" s="1132" t="n"/>
      <c r="RXO285" s="1132" t="n"/>
      <c r="RXP285" s="1132" t="n"/>
      <c r="RXQ285" s="1132" t="n"/>
      <c r="RXR285" s="1132" t="n"/>
      <c r="RXS285" s="1132" t="n"/>
      <c r="RXT285" s="1132" t="n"/>
      <c r="RXU285" s="1132" t="n"/>
      <c r="RXV285" s="1132" t="n"/>
      <c r="RXW285" s="1132" t="n"/>
      <c r="RXX285" s="1132" t="n"/>
      <c r="RXY285" s="1132" t="n"/>
      <c r="RXZ285" s="1132" t="n"/>
      <c r="RYA285" s="1132" t="n"/>
      <c r="RYB285" s="1132" t="n"/>
      <c r="RYC285" s="1132" t="n"/>
      <c r="RYD285" s="1132" t="n"/>
      <c r="RYE285" s="1132" t="n"/>
      <c r="RYF285" s="1132" t="n"/>
      <c r="RYG285" s="1132" t="n"/>
      <c r="RYH285" s="1132" t="n"/>
      <c r="RYI285" s="1132" t="n"/>
      <c r="RYJ285" s="1132" t="n"/>
      <c r="RYK285" s="1132" t="n"/>
      <c r="RYL285" s="1132" t="n"/>
      <c r="RYM285" s="1132" t="n"/>
      <c r="RYN285" s="1132" t="n"/>
      <c r="RYO285" s="1132" t="n"/>
      <c r="RYP285" s="1132" t="n"/>
      <c r="RYQ285" s="1132" t="n"/>
      <c r="RYR285" s="1132" t="n"/>
      <c r="RYS285" s="1132" t="n"/>
      <c r="RYT285" s="1132" t="n"/>
      <c r="RYU285" s="1132" t="n"/>
      <c r="RYV285" s="1132" t="n"/>
      <c r="RYW285" s="1132" t="n"/>
      <c r="RYX285" s="1132" t="n"/>
      <c r="RYY285" s="1132" t="n"/>
      <c r="RYZ285" s="1132" t="n"/>
      <c r="RZA285" s="1132" t="n"/>
      <c r="RZB285" s="1132" t="n"/>
      <c r="RZC285" s="1132" t="n"/>
      <c r="RZD285" s="1132" t="n"/>
      <c r="RZE285" s="1132" t="n"/>
      <c r="RZF285" s="1132" t="n"/>
      <c r="RZG285" s="1132" t="n"/>
      <c r="RZH285" s="1132" t="n"/>
      <c r="RZI285" s="1132" t="n"/>
      <c r="RZJ285" s="1132" t="n"/>
      <c r="RZK285" s="1132" t="n"/>
      <c r="RZL285" s="1132" t="n"/>
      <c r="RZM285" s="1132" t="n"/>
      <c r="RZN285" s="1132" t="n"/>
      <c r="RZO285" s="1132" t="n"/>
      <c r="RZP285" s="1132" t="n"/>
      <c r="RZQ285" s="1132" t="n"/>
      <c r="RZR285" s="1132" t="n"/>
      <c r="RZS285" s="1132" t="n"/>
      <c r="RZT285" s="1132" t="n"/>
      <c r="RZU285" s="1132" t="n"/>
      <c r="RZV285" s="1132" t="n"/>
      <c r="RZW285" s="1132" t="n"/>
      <c r="RZX285" s="1132" t="n"/>
      <c r="RZY285" s="1132" t="n"/>
      <c r="RZZ285" s="1132" t="n"/>
      <c r="SAA285" s="1132" t="n"/>
      <c r="SAB285" s="1132" t="n"/>
      <c r="SAC285" s="1132" t="n"/>
      <c r="SAD285" s="1132" t="n"/>
      <c r="SAE285" s="1132" t="n"/>
      <c r="SAF285" s="1132" t="n"/>
      <c r="SAG285" s="1132" t="n"/>
      <c r="SAH285" s="1132" t="n"/>
      <c r="SAI285" s="1132" t="n"/>
      <c r="SAJ285" s="1132" t="n"/>
      <c r="SAK285" s="1132" t="n"/>
      <c r="SAL285" s="1132" t="n"/>
      <c r="SAM285" s="1132" t="n"/>
      <c r="SAN285" s="1132" t="n"/>
      <c r="SAO285" s="1132" t="n"/>
      <c r="SAP285" s="1132" t="n"/>
      <c r="SAQ285" s="1132" t="n"/>
      <c r="SAR285" s="1132" t="n"/>
      <c r="SAS285" s="1132" t="n"/>
      <c r="SAT285" s="1132" t="n"/>
      <c r="SAU285" s="1132" t="n"/>
      <c r="SAV285" s="1132" t="n"/>
      <c r="SAW285" s="1132" t="n"/>
      <c r="SAX285" s="1132" t="n"/>
      <c r="SAY285" s="1132" t="n"/>
      <c r="SAZ285" s="1132" t="n"/>
      <c r="SBA285" s="1132" t="n"/>
      <c r="SBB285" s="1132" t="n"/>
      <c r="SBC285" s="1132" t="n"/>
      <c r="SBD285" s="1132" t="n"/>
      <c r="SBE285" s="1132" t="n"/>
      <c r="SBF285" s="1132" t="n"/>
      <c r="SBG285" s="1132" t="n"/>
      <c r="SBH285" s="1132" t="n"/>
      <c r="SBI285" s="1132" t="n"/>
      <c r="SBJ285" s="1132" t="n"/>
      <c r="SBK285" s="1132" t="n"/>
      <c r="SBL285" s="1132" t="n"/>
      <c r="SBM285" s="1132" t="n"/>
      <c r="SBN285" s="1132" t="n"/>
      <c r="SBO285" s="1132" t="n"/>
      <c r="SBP285" s="1132" t="n"/>
      <c r="SBQ285" s="1132" t="n"/>
      <c r="SBR285" s="1132" t="n"/>
      <c r="SBS285" s="1132" t="n"/>
      <c r="SBT285" s="1132" t="n"/>
      <c r="SBU285" s="1132" t="n"/>
      <c r="SBV285" s="1132" t="n"/>
      <c r="SBW285" s="1132" t="n"/>
      <c r="SBX285" s="1132" t="n"/>
      <c r="SBY285" s="1132" t="n"/>
      <c r="SBZ285" s="1132" t="n"/>
      <c r="SCA285" s="1132" t="n"/>
      <c r="SCB285" s="1132" t="n"/>
      <c r="SCC285" s="1132" t="n"/>
      <c r="SCD285" s="1132" t="n"/>
      <c r="SCE285" s="1132" t="n"/>
      <c r="SCF285" s="1132" t="n"/>
      <c r="SCG285" s="1132" t="n"/>
      <c r="SCH285" s="1132" t="n"/>
      <c r="SCI285" s="1132" t="n"/>
      <c r="SCJ285" s="1132" t="n"/>
      <c r="SCK285" s="1132" t="n"/>
      <c r="SCL285" s="1132" t="n"/>
      <c r="SCM285" s="1132" t="n"/>
      <c r="SCN285" s="1132" t="n"/>
      <c r="SCO285" s="1132" t="n"/>
      <c r="SCP285" s="1132" t="n"/>
      <c r="SCQ285" s="1132" t="n"/>
      <c r="SCR285" s="1132" t="n"/>
      <c r="SCS285" s="1132" t="n"/>
      <c r="SCT285" s="1132" t="n"/>
      <c r="SCU285" s="1132" t="n"/>
      <c r="SCV285" s="1132" t="n"/>
      <c r="SCW285" s="1132" t="n"/>
      <c r="SCX285" s="1132" t="n"/>
      <c r="SCY285" s="1132" t="n"/>
      <c r="SCZ285" s="1132" t="n"/>
      <c r="SDA285" s="1132" t="n"/>
      <c r="SDB285" s="1132" t="n"/>
      <c r="SDC285" s="1132" t="n"/>
      <c r="SDD285" s="1132" t="n"/>
      <c r="SDE285" s="1132" t="n"/>
      <c r="SDF285" s="1132" t="n"/>
      <c r="SDG285" s="1132" t="n"/>
      <c r="SDH285" s="1132" t="n"/>
      <c r="SDI285" s="1132" t="n"/>
      <c r="SDJ285" s="1132" t="n"/>
      <c r="SDK285" s="1132" t="n"/>
      <c r="SDL285" s="1132" t="n"/>
      <c r="SDM285" s="1132" t="n"/>
      <c r="SDN285" s="1132" t="n"/>
      <c r="SDO285" s="1132" t="n"/>
      <c r="SDP285" s="1132" t="n"/>
      <c r="SDQ285" s="1132" t="n"/>
      <c r="SDR285" s="1132" t="n"/>
      <c r="SDS285" s="1132" t="n"/>
      <c r="SDT285" s="1132" t="n"/>
      <c r="SDU285" s="1132" t="n"/>
      <c r="SDV285" s="1132" t="n"/>
      <c r="SDW285" s="1132" t="n"/>
      <c r="SDX285" s="1132" t="n"/>
      <c r="SDY285" s="1132" t="n"/>
      <c r="SDZ285" s="1132" t="n"/>
      <c r="SEA285" s="1132" t="n"/>
      <c r="SEB285" s="1132" t="n"/>
      <c r="SEC285" s="1132" t="n"/>
      <c r="SED285" s="1132" t="n"/>
      <c r="SEE285" s="1132" t="n"/>
      <c r="SEF285" s="1132" t="n"/>
      <c r="SEG285" s="1132" t="n"/>
      <c r="SEH285" s="1132" t="n"/>
      <c r="SEI285" s="1132" t="n"/>
      <c r="SEJ285" s="1132" t="n"/>
      <c r="SEK285" s="1132" t="n"/>
      <c r="SEL285" s="1132" t="n"/>
      <c r="SEM285" s="1132" t="n"/>
      <c r="SEN285" s="1132" t="n"/>
      <c r="SEO285" s="1132" t="n"/>
      <c r="SEP285" s="1132" t="n"/>
      <c r="SEQ285" s="1132" t="n"/>
      <c r="SER285" s="1132" t="n"/>
      <c r="SES285" s="1132" t="n"/>
      <c r="SET285" s="1132" t="n"/>
      <c r="SEU285" s="1132" t="n"/>
      <c r="SEV285" s="1132" t="n"/>
      <c r="SEW285" s="1132" t="n"/>
      <c r="SEX285" s="1132" t="n"/>
      <c r="SEY285" s="1132" t="n"/>
      <c r="SEZ285" s="1132" t="n"/>
      <c r="SFA285" s="1132" t="n"/>
      <c r="SFB285" s="1132" t="n"/>
      <c r="SFC285" s="1132" t="n"/>
      <c r="SFD285" s="1132" t="n"/>
      <c r="SFE285" s="1132" t="n"/>
      <c r="SFF285" s="1132" t="n"/>
      <c r="SFG285" s="1132" t="n"/>
      <c r="SFH285" s="1132" t="n"/>
      <c r="SFI285" s="1132" t="n"/>
      <c r="SFJ285" s="1132" t="n"/>
      <c r="SFK285" s="1132" t="n"/>
      <c r="SFL285" s="1132" t="n"/>
      <c r="SFM285" s="1132" t="n"/>
      <c r="SFN285" s="1132" t="n"/>
      <c r="SFO285" s="1132" t="n"/>
      <c r="SFP285" s="1132" t="n"/>
      <c r="SFQ285" s="1132" t="n"/>
      <c r="SFR285" s="1132" t="n"/>
      <c r="SFS285" s="1132" t="n"/>
      <c r="SFT285" s="1132" t="n"/>
      <c r="SFU285" s="1132" t="n"/>
      <c r="SFV285" s="1132" t="n"/>
      <c r="SFW285" s="1132" t="n"/>
      <c r="SFX285" s="1132" t="n"/>
      <c r="SFY285" s="1132" t="n"/>
      <c r="SFZ285" s="1132" t="n"/>
      <c r="SGA285" s="1132" t="n"/>
      <c r="SGB285" s="1132" t="n"/>
      <c r="SGC285" s="1132" t="n"/>
      <c r="SGD285" s="1132" t="n"/>
      <c r="SGE285" s="1132" t="n"/>
      <c r="SGF285" s="1132" t="n"/>
      <c r="SGG285" s="1132" t="n"/>
      <c r="SGH285" s="1132" t="n"/>
      <c r="SGI285" s="1132" t="n"/>
      <c r="SGJ285" s="1132" t="n"/>
      <c r="SGK285" s="1132" t="n"/>
      <c r="SGL285" s="1132" t="n"/>
      <c r="SGM285" s="1132" t="n"/>
      <c r="SGN285" s="1132" t="n"/>
      <c r="SGO285" s="1132" t="n"/>
      <c r="SGP285" s="1132" t="n"/>
      <c r="SGQ285" s="1132" t="n"/>
      <c r="SGR285" s="1132" t="n"/>
      <c r="SGS285" s="1132" t="n"/>
      <c r="SGT285" s="1132" t="n"/>
      <c r="SGU285" s="1132" t="n"/>
      <c r="SGV285" s="1132" t="n"/>
      <c r="SGW285" s="1132" t="n"/>
      <c r="SGX285" s="1132" t="n"/>
      <c r="SGY285" s="1132" t="n"/>
      <c r="SGZ285" s="1132" t="n"/>
      <c r="SHA285" s="1132" t="n"/>
      <c r="SHB285" s="1132" t="n"/>
      <c r="SHC285" s="1132" t="n"/>
      <c r="SHD285" s="1132" t="n"/>
      <c r="SHE285" s="1132" t="n"/>
      <c r="SHF285" s="1132" t="n"/>
      <c r="SHG285" s="1132" t="n"/>
      <c r="SHH285" s="1132" t="n"/>
      <c r="SHI285" s="1132" t="n"/>
      <c r="SHJ285" s="1132" t="n"/>
      <c r="SHK285" s="1132" t="n"/>
      <c r="SHL285" s="1132" t="n"/>
      <c r="SHM285" s="1132" t="n"/>
      <c r="SHN285" s="1132" t="n"/>
      <c r="SHO285" s="1132" t="n"/>
      <c r="SHP285" s="1132" t="n"/>
      <c r="SHQ285" s="1132" t="n"/>
      <c r="SHR285" s="1132" t="n"/>
      <c r="SHS285" s="1132" t="n"/>
      <c r="SHT285" s="1132" t="n"/>
      <c r="SHU285" s="1132" t="n"/>
      <c r="SHV285" s="1132" t="n"/>
      <c r="SHW285" s="1132" t="n"/>
      <c r="SHX285" s="1132" t="n"/>
      <c r="SHY285" s="1132" t="n"/>
      <c r="SHZ285" s="1132" t="n"/>
      <c r="SIA285" s="1132" t="n"/>
      <c r="SIB285" s="1132" t="n"/>
      <c r="SIC285" s="1132" t="n"/>
      <c r="SID285" s="1132" t="n"/>
      <c r="SIE285" s="1132" t="n"/>
      <c r="SIF285" s="1132" t="n"/>
      <c r="SIG285" s="1132" t="n"/>
      <c r="SIH285" s="1132" t="n"/>
      <c r="SII285" s="1132" t="n"/>
      <c r="SIJ285" s="1132" t="n"/>
      <c r="SIK285" s="1132" t="n"/>
      <c r="SIL285" s="1132" t="n"/>
      <c r="SIM285" s="1132" t="n"/>
      <c r="SIN285" s="1132" t="n"/>
      <c r="SIO285" s="1132" t="n"/>
      <c r="SIP285" s="1132" t="n"/>
      <c r="SIQ285" s="1132" t="n"/>
      <c r="SIR285" s="1132" t="n"/>
      <c r="SIS285" s="1132" t="n"/>
      <c r="SIT285" s="1132" t="n"/>
      <c r="SIU285" s="1132" t="n"/>
      <c r="SIV285" s="1132" t="n"/>
      <c r="SIW285" s="1132" t="n"/>
      <c r="SIX285" s="1132" t="n"/>
      <c r="SIY285" s="1132" t="n"/>
      <c r="SIZ285" s="1132" t="n"/>
      <c r="SJA285" s="1132" t="n"/>
      <c r="SJB285" s="1132" t="n"/>
      <c r="SJC285" s="1132" t="n"/>
      <c r="SJD285" s="1132" t="n"/>
      <c r="SJE285" s="1132" t="n"/>
      <c r="SJF285" s="1132" t="n"/>
      <c r="SJG285" s="1132" t="n"/>
      <c r="SJH285" s="1132" t="n"/>
      <c r="SJI285" s="1132" t="n"/>
      <c r="SJJ285" s="1132" t="n"/>
      <c r="SJK285" s="1132" t="n"/>
      <c r="SJL285" s="1132" t="n"/>
      <c r="SJM285" s="1132" t="n"/>
      <c r="SJN285" s="1132" t="n"/>
      <c r="SJO285" s="1132" t="n"/>
      <c r="SJP285" s="1132" t="n"/>
      <c r="SJQ285" s="1132" t="n"/>
      <c r="SJR285" s="1132" t="n"/>
      <c r="SJS285" s="1132" t="n"/>
      <c r="SJT285" s="1132" t="n"/>
      <c r="SJU285" s="1132" t="n"/>
      <c r="SJV285" s="1132" t="n"/>
      <c r="SJW285" s="1132" t="n"/>
      <c r="SJX285" s="1132" t="n"/>
      <c r="SJY285" s="1132" t="n"/>
      <c r="SJZ285" s="1132" t="n"/>
      <c r="SKA285" s="1132" t="n"/>
      <c r="SKB285" s="1132" t="n"/>
      <c r="SKC285" s="1132" t="n"/>
      <c r="SKD285" s="1132" t="n"/>
      <c r="SKE285" s="1132" t="n"/>
      <c r="SKF285" s="1132" t="n"/>
      <c r="SKG285" s="1132" t="n"/>
      <c r="SKH285" s="1132" t="n"/>
      <c r="SKI285" s="1132" t="n"/>
      <c r="SKJ285" s="1132" t="n"/>
      <c r="SKK285" s="1132" t="n"/>
      <c r="SKL285" s="1132" t="n"/>
      <c r="SKM285" s="1132" t="n"/>
      <c r="SKN285" s="1132" t="n"/>
      <c r="SKO285" s="1132" t="n"/>
      <c r="SKP285" s="1132" t="n"/>
      <c r="SKQ285" s="1132" t="n"/>
      <c r="SKR285" s="1132" t="n"/>
      <c r="SKS285" s="1132" t="n"/>
      <c r="SKT285" s="1132" t="n"/>
      <c r="SKU285" s="1132" t="n"/>
      <c r="SKV285" s="1132" t="n"/>
      <c r="SKW285" s="1132" t="n"/>
      <c r="SKX285" s="1132" t="n"/>
      <c r="SKY285" s="1132" t="n"/>
      <c r="SKZ285" s="1132" t="n"/>
      <c r="SLA285" s="1132" t="n"/>
      <c r="SLB285" s="1132" t="n"/>
      <c r="SLC285" s="1132" t="n"/>
      <c r="SLD285" s="1132" t="n"/>
      <c r="SLE285" s="1132" t="n"/>
      <c r="SLF285" s="1132" t="n"/>
      <c r="SLG285" s="1132" t="n"/>
      <c r="SLH285" s="1132" t="n"/>
      <c r="SLI285" s="1132" t="n"/>
      <c r="SLJ285" s="1132" t="n"/>
      <c r="SLK285" s="1132" t="n"/>
      <c r="SLL285" s="1132" t="n"/>
      <c r="SLM285" s="1132" t="n"/>
      <c r="SLN285" s="1132" t="n"/>
      <c r="SLO285" s="1132" t="n"/>
      <c r="SLP285" s="1132" t="n"/>
      <c r="SLQ285" s="1132" t="n"/>
      <c r="SLR285" s="1132" t="n"/>
      <c r="SLS285" s="1132" t="n"/>
      <c r="SLT285" s="1132" t="n"/>
      <c r="SLU285" s="1132" t="n"/>
      <c r="SLV285" s="1132" t="n"/>
      <c r="SLW285" s="1132" t="n"/>
      <c r="SLX285" s="1132" t="n"/>
      <c r="SLY285" s="1132" t="n"/>
      <c r="SLZ285" s="1132" t="n"/>
      <c r="SMA285" s="1132" t="n"/>
      <c r="SMB285" s="1132" t="n"/>
      <c r="SMC285" s="1132" t="n"/>
      <c r="SMD285" s="1132" t="n"/>
      <c r="SME285" s="1132" t="n"/>
      <c r="SMF285" s="1132" t="n"/>
      <c r="SMG285" s="1132" t="n"/>
      <c r="SMH285" s="1132" t="n"/>
      <c r="SMI285" s="1132" t="n"/>
      <c r="SMJ285" s="1132" t="n"/>
      <c r="SMK285" s="1132" t="n"/>
      <c r="SML285" s="1132" t="n"/>
      <c r="SMM285" s="1132" t="n"/>
      <c r="SMN285" s="1132" t="n"/>
      <c r="SMO285" s="1132" t="n"/>
      <c r="SMP285" s="1132" t="n"/>
      <c r="SMQ285" s="1132" t="n"/>
      <c r="SMR285" s="1132" t="n"/>
      <c r="SMS285" s="1132" t="n"/>
      <c r="SMT285" s="1132" t="n"/>
      <c r="SMU285" s="1132" t="n"/>
      <c r="SMV285" s="1132" t="n"/>
      <c r="SMW285" s="1132" t="n"/>
      <c r="SMX285" s="1132" t="n"/>
      <c r="SMY285" s="1132" t="n"/>
      <c r="SMZ285" s="1132" t="n"/>
      <c r="SNA285" s="1132" t="n"/>
      <c r="SNB285" s="1132" t="n"/>
      <c r="SNC285" s="1132" t="n"/>
      <c r="SND285" s="1132" t="n"/>
      <c r="SNE285" s="1132" t="n"/>
      <c r="SNF285" s="1132" t="n"/>
      <c r="SNG285" s="1132" t="n"/>
      <c r="SNH285" s="1132" t="n"/>
      <c r="SNI285" s="1132" t="n"/>
      <c r="SNJ285" s="1132" t="n"/>
      <c r="SNK285" s="1132" t="n"/>
      <c r="SNL285" s="1132" t="n"/>
      <c r="SNM285" s="1132" t="n"/>
      <c r="SNN285" s="1132" t="n"/>
      <c r="SNO285" s="1132" t="n"/>
      <c r="SNP285" s="1132" t="n"/>
      <c r="SNQ285" s="1132" t="n"/>
      <c r="SNR285" s="1132" t="n"/>
      <c r="SNS285" s="1132" t="n"/>
      <c r="SNT285" s="1132" t="n"/>
      <c r="SNU285" s="1132" t="n"/>
      <c r="SNV285" s="1132" t="n"/>
      <c r="SNW285" s="1132" t="n"/>
      <c r="SNX285" s="1132" t="n"/>
      <c r="SNY285" s="1132" t="n"/>
      <c r="SNZ285" s="1132" t="n"/>
      <c r="SOA285" s="1132" t="n"/>
      <c r="SOB285" s="1132" t="n"/>
      <c r="SOC285" s="1132" t="n"/>
      <c r="SOD285" s="1132" t="n"/>
      <c r="SOE285" s="1132" t="n"/>
      <c r="SOF285" s="1132" t="n"/>
      <c r="SOG285" s="1132" t="n"/>
      <c r="SOH285" s="1132" t="n"/>
      <c r="SOI285" s="1132" t="n"/>
      <c r="SOJ285" s="1132" t="n"/>
      <c r="SOK285" s="1132" t="n"/>
      <c r="SOL285" s="1132" t="n"/>
      <c r="SOM285" s="1132" t="n"/>
      <c r="SON285" s="1132" t="n"/>
      <c r="SOO285" s="1132" t="n"/>
      <c r="SOP285" s="1132" t="n"/>
      <c r="SOQ285" s="1132" t="n"/>
      <c r="SOR285" s="1132" t="n"/>
      <c r="SOS285" s="1132" t="n"/>
      <c r="SOT285" s="1132" t="n"/>
      <c r="SOU285" s="1132" t="n"/>
      <c r="SOV285" s="1132" t="n"/>
      <c r="SOW285" s="1132" t="n"/>
      <c r="SOX285" s="1132" t="n"/>
      <c r="SOY285" s="1132" t="n"/>
      <c r="SOZ285" s="1132" t="n"/>
      <c r="SPA285" s="1132" t="n"/>
      <c r="SPB285" s="1132" t="n"/>
      <c r="SPC285" s="1132" t="n"/>
      <c r="SPD285" s="1132" t="n"/>
      <c r="SPE285" s="1132" t="n"/>
      <c r="SPF285" s="1132" t="n"/>
      <c r="SPG285" s="1132" t="n"/>
      <c r="SPH285" s="1132" t="n"/>
      <c r="SPI285" s="1132" t="n"/>
      <c r="SPJ285" s="1132" t="n"/>
      <c r="SPK285" s="1132" t="n"/>
      <c r="SPL285" s="1132" t="n"/>
      <c r="SPM285" s="1132" t="n"/>
      <c r="SPN285" s="1132" t="n"/>
      <c r="SPO285" s="1132" t="n"/>
      <c r="SPP285" s="1132" t="n"/>
      <c r="SPQ285" s="1132" t="n"/>
      <c r="SPR285" s="1132" t="n"/>
      <c r="SPS285" s="1132" t="n"/>
      <c r="SPT285" s="1132" t="n"/>
      <c r="SPU285" s="1132" t="n"/>
      <c r="SPV285" s="1132" t="n"/>
      <c r="SPW285" s="1132" t="n"/>
      <c r="SPX285" s="1132" t="n"/>
      <c r="SPY285" s="1132" t="n"/>
      <c r="SPZ285" s="1132" t="n"/>
      <c r="SQA285" s="1132" t="n"/>
      <c r="SQB285" s="1132" t="n"/>
      <c r="SQC285" s="1132" t="n"/>
      <c r="SQD285" s="1132" t="n"/>
      <c r="SQE285" s="1132" t="n"/>
      <c r="SQF285" s="1132" t="n"/>
      <c r="SQG285" s="1132" t="n"/>
      <c r="SQH285" s="1132" t="n"/>
      <c r="SQI285" s="1132" t="n"/>
      <c r="SQJ285" s="1132" t="n"/>
      <c r="SQK285" s="1132" t="n"/>
      <c r="SQL285" s="1132" t="n"/>
      <c r="SQM285" s="1132" t="n"/>
      <c r="SQN285" s="1132" t="n"/>
      <c r="SQO285" s="1132" t="n"/>
      <c r="SQP285" s="1132" t="n"/>
      <c r="SQQ285" s="1132" t="n"/>
      <c r="SQR285" s="1132" t="n"/>
      <c r="SQS285" s="1132" t="n"/>
      <c r="SQT285" s="1132" t="n"/>
      <c r="SQU285" s="1132" t="n"/>
      <c r="SQV285" s="1132" t="n"/>
      <c r="SQW285" s="1132" t="n"/>
      <c r="SQX285" s="1132" t="n"/>
      <c r="SQY285" s="1132" t="n"/>
      <c r="SQZ285" s="1132" t="n"/>
      <c r="SRA285" s="1132" t="n"/>
      <c r="SRB285" s="1132" t="n"/>
      <c r="SRC285" s="1132" t="n"/>
      <c r="SRD285" s="1132" t="n"/>
      <c r="SRE285" s="1132" t="n"/>
      <c r="SRF285" s="1132" t="n"/>
      <c r="SRG285" s="1132" t="n"/>
      <c r="SRH285" s="1132" t="n"/>
      <c r="SRI285" s="1132" t="n"/>
      <c r="SRJ285" s="1132" t="n"/>
      <c r="SRK285" s="1132" t="n"/>
      <c r="SRL285" s="1132" t="n"/>
      <c r="SRM285" s="1132" t="n"/>
      <c r="SRN285" s="1132" t="n"/>
      <c r="SRO285" s="1132" t="n"/>
      <c r="SRP285" s="1132" t="n"/>
      <c r="SRQ285" s="1132" t="n"/>
      <c r="SRR285" s="1132" t="n"/>
      <c r="SRS285" s="1132" t="n"/>
      <c r="SRT285" s="1132" t="n"/>
      <c r="SRU285" s="1132" t="n"/>
      <c r="SRV285" s="1132" t="n"/>
      <c r="SRW285" s="1132" t="n"/>
      <c r="SRX285" s="1132" t="n"/>
      <c r="SRY285" s="1132" t="n"/>
      <c r="SRZ285" s="1132" t="n"/>
      <c r="SSA285" s="1132" t="n"/>
      <c r="SSB285" s="1132" t="n"/>
      <c r="SSC285" s="1132" t="n"/>
      <c r="SSD285" s="1132" t="n"/>
      <c r="SSE285" s="1132" t="n"/>
      <c r="SSF285" s="1132" t="n"/>
      <c r="SSG285" s="1132" t="n"/>
      <c r="SSH285" s="1132" t="n"/>
      <c r="SSI285" s="1132" t="n"/>
      <c r="SSJ285" s="1132" t="n"/>
      <c r="SSK285" s="1132" t="n"/>
      <c r="SSL285" s="1132" t="n"/>
      <c r="SSM285" s="1132" t="n"/>
      <c r="SSN285" s="1132" t="n"/>
      <c r="SSO285" s="1132" t="n"/>
      <c r="SSP285" s="1132" t="n"/>
      <c r="SSQ285" s="1132" t="n"/>
      <c r="SSR285" s="1132" t="n"/>
      <c r="SSS285" s="1132" t="n"/>
      <c r="SST285" s="1132" t="n"/>
      <c r="SSU285" s="1132" t="n"/>
      <c r="SSV285" s="1132" t="n"/>
      <c r="SSW285" s="1132" t="n"/>
      <c r="SSX285" s="1132" t="n"/>
      <c r="SSY285" s="1132" t="n"/>
      <c r="SSZ285" s="1132" t="n"/>
      <c r="STA285" s="1132" t="n"/>
      <c r="STB285" s="1132" t="n"/>
      <c r="STC285" s="1132" t="n"/>
      <c r="STD285" s="1132" t="n"/>
      <c r="STE285" s="1132" t="n"/>
      <c r="STF285" s="1132" t="n"/>
      <c r="STG285" s="1132" t="n"/>
      <c r="STH285" s="1132" t="n"/>
      <c r="STI285" s="1132" t="n"/>
      <c r="STJ285" s="1132" t="n"/>
      <c r="STK285" s="1132" t="n"/>
      <c r="STL285" s="1132" t="n"/>
      <c r="STM285" s="1132" t="n"/>
      <c r="STN285" s="1132" t="n"/>
      <c r="STO285" s="1132" t="n"/>
      <c r="STP285" s="1132" t="n"/>
      <c r="STQ285" s="1132" t="n"/>
      <c r="STR285" s="1132" t="n"/>
      <c r="STS285" s="1132" t="n"/>
      <c r="STT285" s="1132" t="n"/>
      <c r="STU285" s="1132" t="n"/>
      <c r="STV285" s="1132" t="n"/>
      <c r="STW285" s="1132" t="n"/>
      <c r="STX285" s="1132" t="n"/>
      <c r="STY285" s="1132" t="n"/>
      <c r="STZ285" s="1132" t="n"/>
      <c r="SUA285" s="1132" t="n"/>
      <c r="SUB285" s="1132" t="n"/>
      <c r="SUC285" s="1132" t="n"/>
      <c r="SUD285" s="1132" t="n"/>
      <c r="SUE285" s="1132" t="n"/>
      <c r="SUF285" s="1132" t="n"/>
      <c r="SUG285" s="1132" t="n"/>
      <c r="SUH285" s="1132" t="n"/>
      <c r="SUI285" s="1132" t="n"/>
      <c r="SUJ285" s="1132" t="n"/>
      <c r="SUK285" s="1132" t="n"/>
      <c r="SUL285" s="1132" t="n"/>
      <c r="SUM285" s="1132" t="n"/>
      <c r="SUN285" s="1132" t="n"/>
      <c r="SUO285" s="1132" t="n"/>
      <c r="SUP285" s="1132" t="n"/>
      <c r="SUQ285" s="1132" t="n"/>
      <c r="SUR285" s="1132" t="n"/>
      <c r="SUS285" s="1132" t="n"/>
      <c r="SUT285" s="1132" t="n"/>
      <c r="SUU285" s="1132" t="n"/>
      <c r="SUV285" s="1132" t="n"/>
      <c r="SUW285" s="1132" t="n"/>
      <c r="SUX285" s="1132" t="n"/>
      <c r="SUY285" s="1132" t="n"/>
      <c r="SUZ285" s="1132" t="n"/>
      <c r="SVA285" s="1132" t="n"/>
      <c r="SVB285" s="1132" t="n"/>
      <c r="SVC285" s="1132" t="n"/>
      <c r="SVD285" s="1132" t="n"/>
      <c r="SVE285" s="1132" t="n"/>
      <c r="SVF285" s="1132" t="n"/>
      <c r="SVG285" s="1132" t="n"/>
      <c r="SVH285" s="1132" t="n"/>
      <c r="SVI285" s="1132" t="n"/>
      <c r="SVJ285" s="1132" t="n"/>
      <c r="SVK285" s="1132" t="n"/>
      <c r="SVL285" s="1132" t="n"/>
      <c r="SVM285" s="1132" t="n"/>
      <c r="SVN285" s="1132" t="n"/>
      <c r="SVO285" s="1132" t="n"/>
      <c r="SVP285" s="1132" t="n"/>
      <c r="SVQ285" s="1132" t="n"/>
      <c r="SVR285" s="1132" t="n"/>
      <c r="SVS285" s="1132" t="n"/>
      <c r="SVT285" s="1132" t="n"/>
      <c r="SVU285" s="1132" t="n"/>
      <c r="SVV285" s="1132" t="n"/>
      <c r="SVW285" s="1132" t="n"/>
      <c r="SVX285" s="1132" t="n"/>
      <c r="SVY285" s="1132" t="n"/>
      <c r="SVZ285" s="1132" t="n"/>
      <c r="SWA285" s="1132" t="n"/>
      <c r="SWB285" s="1132" t="n"/>
      <c r="SWC285" s="1132" t="n"/>
      <c r="SWD285" s="1132" t="n"/>
      <c r="SWE285" s="1132" t="n"/>
      <c r="SWF285" s="1132" t="n"/>
      <c r="SWG285" s="1132" t="n"/>
      <c r="SWH285" s="1132" t="n"/>
      <c r="SWI285" s="1132" t="n"/>
      <c r="SWJ285" s="1132" t="n"/>
      <c r="SWK285" s="1132" t="n"/>
      <c r="SWL285" s="1132" t="n"/>
      <c r="SWM285" s="1132" t="n"/>
      <c r="SWN285" s="1132" t="n"/>
      <c r="SWO285" s="1132" t="n"/>
      <c r="SWP285" s="1132" t="n"/>
      <c r="SWQ285" s="1132" t="n"/>
      <c r="SWR285" s="1132" t="n"/>
      <c r="SWS285" s="1132" t="n"/>
      <c r="SWT285" s="1132" t="n"/>
      <c r="SWU285" s="1132" t="n"/>
      <c r="SWV285" s="1132" t="n"/>
      <c r="SWW285" s="1132" t="n"/>
      <c r="SWX285" s="1132" t="n"/>
      <c r="SWY285" s="1132" t="n"/>
      <c r="SWZ285" s="1132" t="n"/>
      <c r="SXA285" s="1132" t="n"/>
      <c r="SXB285" s="1132" t="n"/>
      <c r="SXC285" s="1132" t="n"/>
      <c r="SXD285" s="1132" t="n"/>
      <c r="SXE285" s="1132" t="n"/>
      <c r="SXF285" s="1132" t="n"/>
      <c r="SXG285" s="1132" t="n"/>
      <c r="SXH285" s="1132" t="n"/>
      <c r="SXI285" s="1132" t="n"/>
      <c r="SXJ285" s="1132" t="n"/>
      <c r="SXK285" s="1132" t="n"/>
      <c r="SXL285" s="1132" t="n"/>
      <c r="SXM285" s="1132" t="n"/>
      <c r="SXN285" s="1132" t="n"/>
      <c r="SXO285" s="1132" t="n"/>
      <c r="SXP285" s="1132" t="n"/>
      <c r="SXQ285" s="1132" t="n"/>
      <c r="SXR285" s="1132" t="n"/>
      <c r="SXS285" s="1132" t="n"/>
      <c r="SXT285" s="1132" t="n"/>
      <c r="SXU285" s="1132" t="n"/>
      <c r="SXV285" s="1132" t="n"/>
      <c r="SXW285" s="1132" t="n"/>
      <c r="SXX285" s="1132" t="n"/>
      <c r="SXY285" s="1132" t="n"/>
      <c r="SXZ285" s="1132" t="n"/>
      <c r="SYA285" s="1132" t="n"/>
      <c r="SYB285" s="1132" t="n"/>
      <c r="SYC285" s="1132" t="n"/>
      <c r="SYD285" s="1132" t="n"/>
      <c r="SYE285" s="1132" t="n"/>
      <c r="SYF285" s="1132" t="n"/>
      <c r="SYG285" s="1132" t="n"/>
      <c r="SYH285" s="1132" t="n"/>
      <c r="SYI285" s="1132" t="n"/>
      <c r="SYJ285" s="1132" t="n"/>
      <c r="SYK285" s="1132" t="n"/>
      <c r="SYL285" s="1132" t="n"/>
      <c r="SYM285" s="1132" t="n"/>
      <c r="SYN285" s="1132" t="n"/>
      <c r="SYO285" s="1132" t="n"/>
      <c r="SYP285" s="1132" t="n"/>
      <c r="SYQ285" s="1132" t="n"/>
      <c r="SYR285" s="1132" t="n"/>
      <c r="SYS285" s="1132" t="n"/>
      <c r="SYT285" s="1132" t="n"/>
      <c r="SYU285" s="1132" t="n"/>
      <c r="SYV285" s="1132" t="n"/>
      <c r="SYW285" s="1132" t="n"/>
      <c r="SYX285" s="1132" t="n"/>
      <c r="SYY285" s="1132" t="n"/>
      <c r="SYZ285" s="1132" t="n"/>
      <c r="SZA285" s="1132" t="n"/>
      <c r="SZB285" s="1132" t="n"/>
      <c r="SZC285" s="1132" t="n"/>
      <c r="SZD285" s="1132" t="n"/>
      <c r="SZE285" s="1132" t="n"/>
      <c r="SZF285" s="1132" t="n"/>
      <c r="SZG285" s="1132" t="n"/>
      <c r="SZH285" s="1132" t="n"/>
      <c r="SZI285" s="1132" t="n"/>
      <c r="SZJ285" s="1132" t="n"/>
      <c r="SZK285" s="1132" t="n"/>
      <c r="SZL285" s="1132" t="n"/>
      <c r="SZM285" s="1132" t="n"/>
      <c r="SZN285" s="1132" t="n"/>
      <c r="SZO285" s="1132" t="n"/>
      <c r="SZP285" s="1132" t="n"/>
      <c r="SZQ285" s="1132" t="n"/>
      <c r="SZR285" s="1132" t="n"/>
      <c r="SZS285" s="1132" t="n"/>
      <c r="SZT285" s="1132" t="n"/>
      <c r="SZU285" s="1132" t="n"/>
      <c r="SZV285" s="1132" t="n"/>
      <c r="SZW285" s="1132" t="n"/>
      <c r="SZX285" s="1132" t="n"/>
      <c r="SZY285" s="1132" t="n"/>
      <c r="SZZ285" s="1132" t="n"/>
      <c r="TAA285" s="1132" t="n"/>
      <c r="TAB285" s="1132" t="n"/>
      <c r="TAC285" s="1132" t="n"/>
      <c r="TAD285" s="1132" t="n"/>
      <c r="TAE285" s="1132" t="n"/>
      <c r="TAF285" s="1132" t="n"/>
      <c r="TAG285" s="1132" t="n"/>
      <c r="TAH285" s="1132" t="n"/>
      <c r="TAI285" s="1132" t="n"/>
      <c r="TAJ285" s="1132" t="n"/>
      <c r="TAK285" s="1132" t="n"/>
      <c r="TAL285" s="1132" t="n"/>
      <c r="TAM285" s="1132" t="n"/>
      <c r="TAN285" s="1132" t="n"/>
      <c r="TAO285" s="1132" t="n"/>
      <c r="TAP285" s="1132" t="n"/>
      <c r="TAQ285" s="1132" t="n"/>
      <c r="TAR285" s="1132" t="n"/>
      <c r="TAS285" s="1132" t="n"/>
      <c r="TAT285" s="1132" t="n"/>
      <c r="TAU285" s="1132" t="n"/>
      <c r="TAV285" s="1132" t="n"/>
      <c r="TAW285" s="1132" t="n"/>
      <c r="TAX285" s="1132" t="n"/>
      <c r="TAY285" s="1132" t="n"/>
      <c r="TAZ285" s="1132" t="n"/>
      <c r="TBA285" s="1132" t="n"/>
      <c r="TBB285" s="1132" t="n"/>
      <c r="TBC285" s="1132" t="n"/>
      <c r="TBD285" s="1132" t="n"/>
      <c r="TBE285" s="1132" t="n"/>
      <c r="TBF285" s="1132" t="n"/>
      <c r="TBG285" s="1132" t="n"/>
      <c r="TBH285" s="1132" t="n"/>
      <c r="TBI285" s="1132" t="n"/>
      <c r="TBJ285" s="1132" t="n"/>
      <c r="TBK285" s="1132" t="n"/>
      <c r="TBL285" s="1132" t="n"/>
      <c r="TBM285" s="1132" t="n"/>
      <c r="TBN285" s="1132" t="n"/>
      <c r="TBO285" s="1132" t="n"/>
      <c r="TBP285" s="1132" t="n"/>
      <c r="TBQ285" s="1132" t="n"/>
      <c r="TBR285" s="1132" t="n"/>
      <c r="TBS285" s="1132" t="n"/>
      <c r="TBT285" s="1132" t="n"/>
      <c r="TBU285" s="1132" t="n"/>
      <c r="TBV285" s="1132" t="n"/>
      <c r="TBW285" s="1132" t="n"/>
      <c r="TBX285" s="1132" t="n"/>
      <c r="TBY285" s="1132" t="n"/>
      <c r="TBZ285" s="1132" t="n"/>
      <c r="TCA285" s="1132" t="n"/>
      <c r="TCB285" s="1132" t="n"/>
      <c r="TCC285" s="1132" t="n"/>
      <c r="TCD285" s="1132" t="n"/>
      <c r="TCE285" s="1132" t="n"/>
      <c r="TCF285" s="1132" t="n"/>
      <c r="TCG285" s="1132" t="n"/>
      <c r="TCH285" s="1132" t="n"/>
      <c r="TCI285" s="1132" t="n"/>
      <c r="TCJ285" s="1132" t="n"/>
      <c r="TCK285" s="1132" t="n"/>
      <c r="TCL285" s="1132" t="n"/>
      <c r="TCM285" s="1132" t="n"/>
      <c r="TCN285" s="1132" t="n"/>
      <c r="TCO285" s="1132" t="n"/>
      <c r="TCP285" s="1132" t="n"/>
      <c r="TCQ285" s="1132" t="n"/>
      <c r="TCR285" s="1132" t="n"/>
      <c r="TCS285" s="1132" t="n"/>
      <c r="TCT285" s="1132" t="n"/>
      <c r="TCU285" s="1132" t="n"/>
      <c r="TCV285" s="1132" t="n"/>
      <c r="TCW285" s="1132" t="n"/>
      <c r="TCX285" s="1132" t="n"/>
      <c r="TCY285" s="1132" t="n"/>
      <c r="TCZ285" s="1132" t="n"/>
      <c r="TDA285" s="1132" t="n"/>
      <c r="TDB285" s="1132" t="n"/>
      <c r="TDC285" s="1132" t="n"/>
      <c r="TDD285" s="1132" t="n"/>
      <c r="TDE285" s="1132" t="n"/>
      <c r="TDF285" s="1132" t="n"/>
      <c r="TDG285" s="1132" t="n"/>
      <c r="TDH285" s="1132" t="n"/>
      <c r="TDI285" s="1132" t="n"/>
      <c r="TDJ285" s="1132" t="n"/>
      <c r="TDK285" s="1132" t="n"/>
      <c r="TDL285" s="1132" t="n"/>
      <c r="TDM285" s="1132" t="n"/>
      <c r="TDN285" s="1132" t="n"/>
      <c r="TDO285" s="1132" t="n"/>
      <c r="TDP285" s="1132" t="n"/>
      <c r="TDQ285" s="1132" t="n"/>
      <c r="TDR285" s="1132" t="n"/>
      <c r="TDS285" s="1132" t="n"/>
      <c r="TDT285" s="1132" t="n"/>
      <c r="TDU285" s="1132" t="n"/>
      <c r="TDV285" s="1132" t="n"/>
      <c r="TDW285" s="1132" t="n"/>
      <c r="TDX285" s="1132" t="n"/>
      <c r="TDY285" s="1132" t="n"/>
      <c r="TDZ285" s="1132" t="n"/>
      <c r="TEA285" s="1132" t="n"/>
      <c r="TEB285" s="1132" t="n"/>
      <c r="TEC285" s="1132" t="n"/>
      <c r="TED285" s="1132" t="n"/>
      <c r="TEE285" s="1132" t="n"/>
      <c r="TEF285" s="1132" t="n"/>
      <c r="TEG285" s="1132" t="n"/>
      <c r="TEH285" s="1132" t="n"/>
      <c r="TEI285" s="1132" t="n"/>
      <c r="TEJ285" s="1132" t="n"/>
      <c r="TEK285" s="1132" t="n"/>
      <c r="TEL285" s="1132" t="n"/>
      <c r="TEM285" s="1132" t="n"/>
      <c r="TEN285" s="1132" t="n"/>
      <c r="TEO285" s="1132" t="n"/>
      <c r="TEP285" s="1132" t="n"/>
      <c r="TEQ285" s="1132" t="n"/>
      <c r="TER285" s="1132" t="n"/>
      <c r="TES285" s="1132" t="n"/>
      <c r="TET285" s="1132" t="n"/>
      <c r="TEU285" s="1132" t="n"/>
      <c r="TEV285" s="1132" t="n"/>
      <c r="TEW285" s="1132" t="n"/>
      <c r="TEX285" s="1132" t="n"/>
      <c r="TEY285" s="1132" t="n"/>
      <c r="TEZ285" s="1132" t="n"/>
      <c r="TFA285" s="1132" t="n"/>
      <c r="TFB285" s="1132" t="n"/>
      <c r="TFC285" s="1132" t="n"/>
      <c r="TFD285" s="1132" t="n"/>
      <c r="TFE285" s="1132" t="n"/>
      <c r="TFF285" s="1132" t="n"/>
      <c r="TFG285" s="1132" t="n"/>
      <c r="TFH285" s="1132" t="n"/>
      <c r="TFI285" s="1132" t="n"/>
      <c r="TFJ285" s="1132" t="n"/>
      <c r="TFK285" s="1132" t="n"/>
      <c r="TFL285" s="1132" t="n"/>
      <c r="TFM285" s="1132" t="n"/>
      <c r="TFN285" s="1132" t="n"/>
      <c r="TFO285" s="1132" t="n"/>
      <c r="TFP285" s="1132" t="n"/>
      <c r="TFQ285" s="1132" t="n"/>
      <c r="TFR285" s="1132" t="n"/>
      <c r="TFS285" s="1132" t="n"/>
      <c r="TFT285" s="1132" t="n"/>
      <c r="TFU285" s="1132" t="n"/>
      <c r="TFV285" s="1132" t="n"/>
      <c r="TFW285" s="1132" t="n"/>
      <c r="TFX285" s="1132" t="n"/>
      <c r="TFY285" s="1132" t="n"/>
      <c r="TFZ285" s="1132" t="n"/>
      <c r="TGA285" s="1132" t="n"/>
      <c r="TGB285" s="1132" t="n"/>
      <c r="TGC285" s="1132" t="n"/>
      <c r="TGD285" s="1132" t="n"/>
      <c r="TGE285" s="1132" t="n"/>
      <c r="TGF285" s="1132" t="n"/>
      <c r="TGG285" s="1132" t="n"/>
      <c r="TGH285" s="1132" t="n"/>
      <c r="TGI285" s="1132" t="n"/>
      <c r="TGJ285" s="1132" t="n"/>
      <c r="TGK285" s="1132" t="n"/>
      <c r="TGL285" s="1132" t="n"/>
      <c r="TGM285" s="1132" t="n"/>
      <c r="TGN285" s="1132" t="n"/>
      <c r="TGO285" s="1132" t="n"/>
      <c r="TGP285" s="1132" t="n"/>
      <c r="TGQ285" s="1132" t="n"/>
      <c r="TGR285" s="1132" t="n"/>
      <c r="TGS285" s="1132" t="n"/>
      <c r="TGT285" s="1132" t="n"/>
      <c r="TGU285" s="1132" t="n"/>
      <c r="TGV285" s="1132" t="n"/>
      <c r="TGW285" s="1132" t="n"/>
      <c r="TGX285" s="1132" t="n"/>
      <c r="TGY285" s="1132" t="n"/>
      <c r="TGZ285" s="1132" t="n"/>
      <c r="THA285" s="1132" t="n"/>
      <c r="THB285" s="1132" t="n"/>
      <c r="THC285" s="1132" t="n"/>
      <c r="THD285" s="1132" t="n"/>
      <c r="THE285" s="1132" t="n"/>
      <c r="THF285" s="1132" t="n"/>
      <c r="THG285" s="1132" t="n"/>
      <c r="THH285" s="1132" t="n"/>
      <c r="THI285" s="1132" t="n"/>
      <c r="THJ285" s="1132" t="n"/>
      <c r="THK285" s="1132" t="n"/>
      <c r="THL285" s="1132" t="n"/>
      <c r="THM285" s="1132" t="n"/>
      <c r="THN285" s="1132" t="n"/>
      <c r="THO285" s="1132" t="n"/>
      <c r="THP285" s="1132" t="n"/>
      <c r="THQ285" s="1132" t="n"/>
      <c r="THR285" s="1132" t="n"/>
      <c r="THS285" s="1132" t="n"/>
      <c r="THT285" s="1132" t="n"/>
      <c r="THU285" s="1132" t="n"/>
      <c r="THV285" s="1132" t="n"/>
      <c r="THW285" s="1132" t="n"/>
      <c r="THX285" s="1132" t="n"/>
      <c r="THY285" s="1132" t="n"/>
      <c r="THZ285" s="1132" t="n"/>
      <c r="TIA285" s="1132" t="n"/>
      <c r="TIB285" s="1132" t="n"/>
      <c r="TIC285" s="1132" t="n"/>
      <c r="TID285" s="1132" t="n"/>
      <c r="TIE285" s="1132" t="n"/>
      <c r="TIF285" s="1132" t="n"/>
      <c r="TIG285" s="1132" t="n"/>
      <c r="TIH285" s="1132" t="n"/>
      <c r="TII285" s="1132" t="n"/>
      <c r="TIJ285" s="1132" t="n"/>
      <c r="TIK285" s="1132" t="n"/>
      <c r="TIL285" s="1132" t="n"/>
      <c r="TIM285" s="1132" t="n"/>
      <c r="TIN285" s="1132" t="n"/>
      <c r="TIO285" s="1132" t="n"/>
      <c r="TIP285" s="1132" t="n"/>
      <c r="TIQ285" s="1132" t="n"/>
      <c r="TIR285" s="1132" t="n"/>
      <c r="TIS285" s="1132" t="n"/>
      <c r="TIT285" s="1132" t="n"/>
      <c r="TIU285" s="1132" t="n"/>
      <c r="TIV285" s="1132" t="n"/>
      <c r="TIW285" s="1132" t="n"/>
      <c r="TIX285" s="1132" t="n"/>
      <c r="TIY285" s="1132" t="n"/>
      <c r="TIZ285" s="1132" t="n"/>
      <c r="TJA285" s="1132" t="n"/>
      <c r="TJB285" s="1132" t="n"/>
      <c r="TJC285" s="1132" t="n"/>
      <c r="TJD285" s="1132" t="n"/>
      <c r="TJE285" s="1132" t="n"/>
      <c r="TJF285" s="1132" t="n"/>
      <c r="TJG285" s="1132" t="n"/>
      <c r="TJH285" s="1132" t="n"/>
      <c r="TJI285" s="1132" t="n"/>
      <c r="TJJ285" s="1132" t="n"/>
      <c r="TJK285" s="1132" t="n"/>
      <c r="TJL285" s="1132" t="n"/>
      <c r="TJM285" s="1132" t="n"/>
      <c r="TJN285" s="1132" t="n"/>
      <c r="TJO285" s="1132" t="n"/>
      <c r="TJP285" s="1132" t="n"/>
      <c r="TJQ285" s="1132" t="n"/>
      <c r="TJR285" s="1132" t="n"/>
      <c r="TJS285" s="1132" t="n"/>
      <c r="TJT285" s="1132" t="n"/>
      <c r="TJU285" s="1132" t="n"/>
      <c r="TJV285" s="1132" t="n"/>
      <c r="TJW285" s="1132" t="n"/>
      <c r="TJX285" s="1132" t="n"/>
      <c r="TJY285" s="1132" t="n"/>
      <c r="TJZ285" s="1132" t="n"/>
      <c r="TKA285" s="1132" t="n"/>
      <c r="TKB285" s="1132" t="n"/>
      <c r="TKC285" s="1132" t="n"/>
      <c r="TKD285" s="1132" t="n"/>
      <c r="TKE285" s="1132" t="n"/>
      <c r="TKF285" s="1132" t="n"/>
      <c r="TKG285" s="1132" t="n"/>
      <c r="TKH285" s="1132" t="n"/>
      <c r="TKI285" s="1132" t="n"/>
      <c r="TKJ285" s="1132" t="n"/>
      <c r="TKK285" s="1132" t="n"/>
      <c r="TKL285" s="1132" t="n"/>
      <c r="TKM285" s="1132" t="n"/>
      <c r="TKN285" s="1132" t="n"/>
      <c r="TKO285" s="1132" t="n"/>
      <c r="TKP285" s="1132" t="n"/>
      <c r="TKQ285" s="1132" t="n"/>
      <c r="TKR285" s="1132" t="n"/>
      <c r="TKS285" s="1132" t="n"/>
      <c r="TKT285" s="1132" t="n"/>
      <c r="TKU285" s="1132" t="n"/>
      <c r="TKV285" s="1132" t="n"/>
      <c r="TKW285" s="1132" t="n"/>
      <c r="TKX285" s="1132" t="n"/>
      <c r="TKY285" s="1132" t="n"/>
      <c r="TKZ285" s="1132" t="n"/>
      <c r="TLA285" s="1132" t="n"/>
      <c r="TLB285" s="1132" t="n"/>
      <c r="TLC285" s="1132" t="n"/>
      <c r="TLD285" s="1132" t="n"/>
      <c r="TLE285" s="1132" t="n"/>
      <c r="TLF285" s="1132" t="n"/>
      <c r="TLG285" s="1132" t="n"/>
      <c r="TLH285" s="1132" t="n"/>
      <c r="TLI285" s="1132" t="n"/>
      <c r="TLJ285" s="1132" t="n"/>
      <c r="TLK285" s="1132" t="n"/>
      <c r="TLL285" s="1132" t="n"/>
      <c r="TLM285" s="1132" t="n"/>
      <c r="TLN285" s="1132" t="n"/>
      <c r="TLO285" s="1132" t="n"/>
      <c r="TLP285" s="1132" t="n"/>
      <c r="TLQ285" s="1132" t="n"/>
      <c r="TLR285" s="1132" t="n"/>
      <c r="TLS285" s="1132" t="n"/>
      <c r="TLT285" s="1132" t="n"/>
      <c r="TLU285" s="1132" t="n"/>
      <c r="TLV285" s="1132" t="n"/>
      <c r="TLW285" s="1132" t="n"/>
      <c r="TLX285" s="1132" t="n"/>
      <c r="TLY285" s="1132" t="n"/>
      <c r="TLZ285" s="1132" t="n"/>
      <c r="TMA285" s="1132" t="n"/>
      <c r="TMB285" s="1132" t="n"/>
      <c r="TMC285" s="1132" t="n"/>
      <c r="TMD285" s="1132" t="n"/>
      <c r="TME285" s="1132" t="n"/>
      <c r="TMF285" s="1132" t="n"/>
      <c r="TMG285" s="1132" t="n"/>
      <c r="TMH285" s="1132" t="n"/>
      <c r="TMI285" s="1132" t="n"/>
      <c r="TMJ285" s="1132" t="n"/>
      <c r="TMK285" s="1132" t="n"/>
      <c r="TML285" s="1132" t="n"/>
      <c r="TMM285" s="1132" t="n"/>
      <c r="TMN285" s="1132" t="n"/>
      <c r="TMO285" s="1132" t="n"/>
      <c r="TMP285" s="1132" t="n"/>
      <c r="TMQ285" s="1132" t="n"/>
      <c r="TMR285" s="1132" t="n"/>
      <c r="TMS285" s="1132" t="n"/>
      <c r="TMT285" s="1132" t="n"/>
      <c r="TMU285" s="1132" t="n"/>
      <c r="TMV285" s="1132" t="n"/>
      <c r="TMW285" s="1132" t="n"/>
      <c r="TMX285" s="1132" t="n"/>
      <c r="TMY285" s="1132" t="n"/>
      <c r="TMZ285" s="1132" t="n"/>
      <c r="TNA285" s="1132" t="n"/>
      <c r="TNB285" s="1132" t="n"/>
      <c r="TNC285" s="1132" t="n"/>
      <c r="TND285" s="1132" t="n"/>
      <c r="TNE285" s="1132" t="n"/>
      <c r="TNF285" s="1132" t="n"/>
      <c r="TNG285" s="1132" t="n"/>
      <c r="TNH285" s="1132" t="n"/>
      <c r="TNI285" s="1132" t="n"/>
      <c r="TNJ285" s="1132" t="n"/>
      <c r="TNK285" s="1132" t="n"/>
      <c r="TNL285" s="1132" t="n"/>
      <c r="TNM285" s="1132" t="n"/>
      <c r="TNN285" s="1132" t="n"/>
      <c r="TNO285" s="1132" t="n"/>
      <c r="TNP285" s="1132" t="n"/>
      <c r="TNQ285" s="1132" t="n"/>
      <c r="TNR285" s="1132" t="n"/>
      <c r="TNS285" s="1132" t="n"/>
      <c r="TNT285" s="1132" t="n"/>
      <c r="TNU285" s="1132" t="n"/>
      <c r="TNV285" s="1132" t="n"/>
      <c r="TNW285" s="1132" t="n"/>
      <c r="TNX285" s="1132" t="n"/>
      <c r="TNY285" s="1132" t="n"/>
      <c r="TNZ285" s="1132" t="n"/>
      <c r="TOA285" s="1132" t="n"/>
      <c r="TOB285" s="1132" t="n"/>
      <c r="TOC285" s="1132" t="n"/>
      <c r="TOD285" s="1132" t="n"/>
      <c r="TOE285" s="1132" t="n"/>
      <c r="TOF285" s="1132" t="n"/>
      <c r="TOG285" s="1132" t="n"/>
      <c r="TOH285" s="1132" t="n"/>
      <c r="TOI285" s="1132" t="n"/>
      <c r="TOJ285" s="1132" t="n"/>
      <c r="TOK285" s="1132" t="n"/>
      <c r="TOL285" s="1132" t="n"/>
      <c r="TOM285" s="1132" t="n"/>
      <c r="TON285" s="1132" t="n"/>
      <c r="TOO285" s="1132" t="n"/>
      <c r="TOP285" s="1132" t="n"/>
      <c r="TOQ285" s="1132" t="n"/>
      <c r="TOR285" s="1132" t="n"/>
      <c r="TOS285" s="1132" t="n"/>
      <c r="TOT285" s="1132" t="n"/>
      <c r="TOU285" s="1132" t="n"/>
      <c r="TOV285" s="1132" t="n"/>
      <c r="TOW285" s="1132" t="n"/>
      <c r="TOX285" s="1132" t="n"/>
      <c r="TOY285" s="1132" t="n"/>
      <c r="TOZ285" s="1132" t="n"/>
      <c r="TPA285" s="1132" t="n"/>
      <c r="TPB285" s="1132" t="n"/>
      <c r="TPC285" s="1132" t="n"/>
      <c r="TPD285" s="1132" t="n"/>
      <c r="TPE285" s="1132" t="n"/>
      <c r="TPF285" s="1132" t="n"/>
      <c r="TPG285" s="1132" t="n"/>
      <c r="TPH285" s="1132" t="n"/>
      <c r="TPI285" s="1132" t="n"/>
      <c r="TPJ285" s="1132" t="n"/>
      <c r="TPK285" s="1132" t="n"/>
      <c r="TPL285" s="1132" t="n"/>
      <c r="TPM285" s="1132" t="n"/>
      <c r="TPN285" s="1132" t="n"/>
      <c r="TPO285" s="1132" t="n"/>
      <c r="TPP285" s="1132" t="n"/>
      <c r="TPQ285" s="1132" t="n"/>
      <c r="TPR285" s="1132" t="n"/>
      <c r="TPS285" s="1132" t="n"/>
      <c r="TPT285" s="1132" t="n"/>
      <c r="TPU285" s="1132" t="n"/>
      <c r="TPV285" s="1132" t="n"/>
      <c r="TPW285" s="1132" t="n"/>
      <c r="TPX285" s="1132" t="n"/>
      <c r="TPY285" s="1132" t="n"/>
      <c r="TPZ285" s="1132" t="n"/>
      <c r="TQA285" s="1132" t="n"/>
      <c r="TQB285" s="1132" t="n"/>
      <c r="TQC285" s="1132" t="n"/>
      <c r="TQD285" s="1132" t="n"/>
      <c r="TQE285" s="1132" t="n"/>
      <c r="TQF285" s="1132" t="n"/>
      <c r="TQG285" s="1132" t="n"/>
      <c r="TQH285" s="1132" t="n"/>
      <c r="TQI285" s="1132" t="n"/>
      <c r="TQJ285" s="1132" t="n"/>
      <c r="TQK285" s="1132" t="n"/>
      <c r="TQL285" s="1132" t="n"/>
      <c r="TQM285" s="1132" t="n"/>
      <c r="TQN285" s="1132" t="n"/>
      <c r="TQO285" s="1132" t="n"/>
      <c r="TQP285" s="1132" t="n"/>
      <c r="TQQ285" s="1132" t="n"/>
      <c r="TQR285" s="1132" t="n"/>
      <c r="TQS285" s="1132" t="n"/>
      <c r="TQT285" s="1132" t="n"/>
      <c r="TQU285" s="1132" t="n"/>
      <c r="TQV285" s="1132" t="n"/>
      <c r="TQW285" s="1132" t="n"/>
      <c r="TQX285" s="1132" t="n"/>
      <c r="TQY285" s="1132" t="n"/>
      <c r="TQZ285" s="1132" t="n"/>
      <c r="TRA285" s="1132" t="n"/>
      <c r="TRB285" s="1132" t="n"/>
      <c r="TRC285" s="1132" t="n"/>
      <c r="TRD285" s="1132" t="n"/>
      <c r="TRE285" s="1132" t="n"/>
      <c r="TRF285" s="1132" t="n"/>
      <c r="TRG285" s="1132" t="n"/>
      <c r="TRH285" s="1132" t="n"/>
      <c r="TRI285" s="1132" t="n"/>
      <c r="TRJ285" s="1132" t="n"/>
      <c r="TRK285" s="1132" t="n"/>
      <c r="TRL285" s="1132" t="n"/>
      <c r="TRM285" s="1132" t="n"/>
      <c r="TRN285" s="1132" t="n"/>
      <c r="TRO285" s="1132" t="n"/>
      <c r="TRP285" s="1132" t="n"/>
      <c r="TRQ285" s="1132" t="n"/>
      <c r="TRR285" s="1132" t="n"/>
      <c r="TRS285" s="1132" t="n"/>
      <c r="TRT285" s="1132" t="n"/>
      <c r="TRU285" s="1132" t="n"/>
      <c r="TRV285" s="1132" t="n"/>
      <c r="TRW285" s="1132" t="n"/>
      <c r="TRX285" s="1132" t="n"/>
      <c r="TRY285" s="1132" t="n"/>
      <c r="TRZ285" s="1132" t="n"/>
      <c r="TSA285" s="1132" t="n"/>
      <c r="TSB285" s="1132" t="n"/>
      <c r="TSC285" s="1132" t="n"/>
      <c r="TSD285" s="1132" t="n"/>
      <c r="TSE285" s="1132" t="n"/>
      <c r="TSF285" s="1132" t="n"/>
      <c r="TSG285" s="1132" t="n"/>
      <c r="TSH285" s="1132" t="n"/>
      <c r="TSI285" s="1132" t="n"/>
      <c r="TSJ285" s="1132" t="n"/>
      <c r="TSK285" s="1132" t="n"/>
      <c r="TSL285" s="1132" t="n"/>
      <c r="TSM285" s="1132" t="n"/>
      <c r="TSN285" s="1132" t="n"/>
      <c r="TSO285" s="1132" t="n"/>
      <c r="TSP285" s="1132" t="n"/>
      <c r="TSQ285" s="1132" t="n"/>
      <c r="TSR285" s="1132" t="n"/>
      <c r="TSS285" s="1132" t="n"/>
      <c r="TST285" s="1132" t="n"/>
      <c r="TSU285" s="1132" t="n"/>
      <c r="TSV285" s="1132" t="n"/>
      <c r="TSW285" s="1132" t="n"/>
      <c r="TSX285" s="1132" t="n"/>
      <c r="TSY285" s="1132" t="n"/>
      <c r="TSZ285" s="1132" t="n"/>
      <c r="TTA285" s="1132" t="n"/>
      <c r="TTB285" s="1132" t="n"/>
      <c r="TTC285" s="1132" t="n"/>
      <c r="TTD285" s="1132" t="n"/>
      <c r="TTE285" s="1132" t="n"/>
      <c r="TTF285" s="1132" t="n"/>
      <c r="TTG285" s="1132" t="n"/>
      <c r="TTH285" s="1132" t="n"/>
      <c r="TTI285" s="1132" t="n"/>
      <c r="TTJ285" s="1132" t="n"/>
      <c r="TTK285" s="1132" t="n"/>
      <c r="TTL285" s="1132" t="n"/>
      <c r="TTM285" s="1132" t="n"/>
      <c r="TTN285" s="1132" t="n"/>
      <c r="TTO285" s="1132" t="n"/>
      <c r="TTP285" s="1132" t="n"/>
      <c r="TTQ285" s="1132" t="n"/>
      <c r="TTR285" s="1132" t="n"/>
      <c r="TTS285" s="1132" t="n"/>
      <c r="TTT285" s="1132" t="n"/>
      <c r="TTU285" s="1132" t="n"/>
      <c r="TTV285" s="1132" t="n"/>
      <c r="TTW285" s="1132" t="n"/>
      <c r="TTX285" s="1132" t="n"/>
      <c r="TTY285" s="1132" t="n"/>
      <c r="TTZ285" s="1132" t="n"/>
      <c r="TUA285" s="1132" t="n"/>
      <c r="TUB285" s="1132" t="n"/>
      <c r="TUC285" s="1132" t="n"/>
      <c r="TUD285" s="1132" t="n"/>
      <c r="TUE285" s="1132" t="n"/>
      <c r="TUF285" s="1132" t="n"/>
      <c r="TUG285" s="1132" t="n"/>
      <c r="TUH285" s="1132" t="n"/>
      <c r="TUI285" s="1132" t="n"/>
      <c r="TUJ285" s="1132" t="n"/>
      <c r="TUK285" s="1132" t="n"/>
      <c r="TUL285" s="1132" t="n"/>
      <c r="TUM285" s="1132" t="n"/>
      <c r="TUN285" s="1132" t="n"/>
      <c r="TUO285" s="1132" t="n"/>
      <c r="TUP285" s="1132" t="n"/>
      <c r="TUQ285" s="1132" t="n"/>
      <c r="TUR285" s="1132" t="n"/>
      <c r="TUS285" s="1132" t="n"/>
      <c r="TUT285" s="1132" t="n"/>
      <c r="TUU285" s="1132" t="n"/>
      <c r="TUV285" s="1132" t="n"/>
      <c r="TUW285" s="1132" t="n"/>
      <c r="TUX285" s="1132" t="n"/>
      <c r="TUY285" s="1132" t="n"/>
      <c r="TUZ285" s="1132" t="n"/>
      <c r="TVA285" s="1132" t="n"/>
      <c r="TVB285" s="1132" t="n"/>
      <c r="TVC285" s="1132" t="n"/>
      <c r="TVD285" s="1132" t="n"/>
      <c r="TVE285" s="1132" t="n"/>
      <c r="TVF285" s="1132" t="n"/>
      <c r="TVG285" s="1132" t="n"/>
      <c r="TVH285" s="1132" t="n"/>
      <c r="TVI285" s="1132" t="n"/>
      <c r="TVJ285" s="1132" t="n"/>
      <c r="TVK285" s="1132" t="n"/>
      <c r="TVL285" s="1132" t="n"/>
      <c r="TVM285" s="1132" t="n"/>
      <c r="TVN285" s="1132" t="n"/>
      <c r="TVO285" s="1132" t="n"/>
      <c r="TVP285" s="1132" t="n"/>
      <c r="TVQ285" s="1132" t="n"/>
      <c r="TVR285" s="1132" t="n"/>
      <c r="TVS285" s="1132" t="n"/>
      <c r="TVT285" s="1132" t="n"/>
      <c r="TVU285" s="1132" t="n"/>
      <c r="TVV285" s="1132" t="n"/>
      <c r="TVW285" s="1132" t="n"/>
      <c r="TVX285" s="1132" t="n"/>
      <c r="TVY285" s="1132" t="n"/>
      <c r="TVZ285" s="1132" t="n"/>
      <c r="TWA285" s="1132" t="n"/>
      <c r="TWB285" s="1132" t="n"/>
      <c r="TWC285" s="1132" t="n"/>
      <c r="TWD285" s="1132" t="n"/>
      <c r="TWE285" s="1132" t="n"/>
      <c r="TWF285" s="1132" t="n"/>
      <c r="TWG285" s="1132" t="n"/>
      <c r="TWH285" s="1132" t="n"/>
      <c r="TWI285" s="1132" t="n"/>
      <c r="TWJ285" s="1132" t="n"/>
      <c r="TWK285" s="1132" t="n"/>
      <c r="TWL285" s="1132" t="n"/>
      <c r="TWM285" s="1132" t="n"/>
      <c r="TWN285" s="1132" t="n"/>
      <c r="TWO285" s="1132" t="n"/>
      <c r="TWP285" s="1132" t="n"/>
      <c r="TWQ285" s="1132" t="n"/>
      <c r="TWR285" s="1132" t="n"/>
      <c r="TWS285" s="1132" t="n"/>
      <c r="TWT285" s="1132" t="n"/>
      <c r="TWU285" s="1132" t="n"/>
      <c r="TWV285" s="1132" t="n"/>
      <c r="TWW285" s="1132" t="n"/>
      <c r="TWX285" s="1132" t="n"/>
      <c r="TWY285" s="1132" t="n"/>
      <c r="TWZ285" s="1132" t="n"/>
      <c r="TXA285" s="1132" t="n"/>
      <c r="TXB285" s="1132" t="n"/>
      <c r="TXC285" s="1132" t="n"/>
      <c r="TXD285" s="1132" t="n"/>
      <c r="TXE285" s="1132" t="n"/>
      <c r="TXF285" s="1132" t="n"/>
      <c r="TXG285" s="1132" t="n"/>
      <c r="TXH285" s="1132" t="n"/>
      <c r="TXI285" s="1132" t="n"/>
      <c r="TXJ285" s="1132" t="n"/>
      <c r="TXK285" s="1132" t="n"/>
      <c r="TXL285" s="1132" t="n"/>
      <c r="TXM285" s="1132" t="n"/>
      <c r="TXN285" s="1132" t="n"/>
      <c r="TXO285" s="1132" t="n"/>
      <c r="TXP285" s="1132" t="n"/>
      <c r="TXQ285" s="1132" t="n"/>
      <c r="TXR285" s="1132" t="n"/>
      <c r="TXS285" s="1132" t="n"/>
      <c r="TXT285" s="1132" t="n"/>
      <c r="TXU285" s="1132" t="n"/>
      <c r="TXV285" s="1132" t="n"/>
      <c r="TXW285" s="1132" t="n"/>
      <c r="TXX285" s="1132" t="n"/>
      <c r="TXY285" s="1132" t="n"/>
      <c r="TXZ285" s="1132" t="n"/>
      <c r="TYA285" s="1132" t="n"/>
      <c r="TYB285" s="1132" t="n"/>
      <c r="TYC285" s="1132" t="n"/>
      <c r="TYD285" s="1132" t="n"/>
      <c r="TYE285" s="1132" t="n"/>
      <c r="TYF285" s="1132" t="n"/>
      <c r="TYG285" s="1132" t="n"/>
      <c r="TYH285" s="1132" t="n"/>
      <c r="TYI285" s="1132" t="n"/>
      <c r="TYJ285" s="1132" t="n"/>
      <c r="TYK285" s="1132" t="n"/>
      <c r="TYL285" s="1132" t="n"/>
      <c r="TYM285" s="1132" t="n"/>
      <c r="TYN285" s="1132" t="n"/>
      <c r="TYO285" s="1132" t="n"/>
      <c r="TYP285" s="1132" t="n"/>
      <c r="TYQ285" s="1132" t="n"/>
      <c r="TYR285" s="1132" t="n"/>
      <c r="TYS285" s="1132" t="n"/>
      <c r="TYT285" s="1132" t="n"/>
      <c r="TYU285" s="1132" t="n"/>
      <c r="TYV285" s="1132" t="n"/>
      <c r="TYW285" s="1132" t="n"/>
      <c r="TYX285" s="1132" t="n"/>
      <c r="TYY285" s="1132" t="n"/>
      <c r="TYZ285" s="1132" t="n"/>
      <c r="TZA285" s="1132" t="n"/>
      <c r="TZB285" s="1132" t="n"/>
      <c r="TZC285" s="1132" t="n"/>
      <c r="TZD285" s="1132" t="n"/>
      <c r="TZE285" s="1132" t="n"/>
      <c r="TZF285" s="1132" t="n"/>
      <c r="TZG285" s="1132" t="n"/>
      <c r="TZH285" s="1132" t="n"/>
      <c r="TZI285" s="1132" t="n"/>
      <c r="TZJ285" s="1132" t="n"/>
      <c r="TZK285" s="1132" t="n"/>
      <c r="TZL285" s="1132" t="n"/>
      <c r="TZM285" s="1132" t="n"/>
      <c r="TZN285" s="1132" t="n"/>
      <c r="TZO285" s="1132" t="n"/>
      <c r="TZP285" s="1132" t="n"/>
      <c r="TZQ285" s="1132" t="n"/>
      <c r="TZR285" s="1132" t="n"/>
      <c r="TZS285" s="1132" t="n"/>
      <c r="TZT285" s="1132" t="n"/>
      <c r="TZU285" s="1132" t="n"/>
      <c r="TZV285" s="1132" t="n"/>
      <c r="TZW285" s="1132" t="n"/>
      <c r="TZX285" s="1132" t="n"/>
      <c r="TZY285" s="1132" t="n"/>
      <c r="TZZ285" s="1132" t="n"/>
      <c r="UAA285" s="1132" t="n"/>
      <c r="UAB285" s="1132" t="n"/>
      <c r="UAC285" s="1132" t="n"/>
      <c r="UAD285" s="1132" t="n"/>
      <c r="UAE285" s="1132" t="n"/>
      <c r="UAF285" s="1132" t="n"/>
      <c r="UAG285" s="1132" t="n"/>
      <c r="UAH285" s="1132" t="n"/>
      <c r="UAI285" s="1132" t="n"/>
      <c r="UAJ285" s="1132" t="n"/>
      <c r="UAK285" s="1132" t="n"/>
      <c r="UAL285" s="1132" t="n"/>
      <c r="UAM285" s="1132" t="n"/>
      <c r="UAN285" s="1132" t="n"/>
      <c r="UAO285" s="1132" t="n"/>
      <c r="UAP285" s="1132" t="n"/>
      <c r="UAQ285" s="1132" t="n"/>
      <c r="UAR285" s="1132" t="n"/>
      <c r="UAS285" s="1132" t="n"/>
      <c r="UAT285" s="1132" t="n"/>
      <c r="UAU285" s="1132" t="n"/>
      <c r="UAV285" s="1132" t="n"/>
      <c r="UAW285" s="1132" t="n"/>
      <c r="UAX285" s="1132" t="n"/>
      <c r="UAY285" s="1132" t="n"/>
      <c r="UAZ285" s="1132" t="n"/>
      <c r="UBA285" s="1132" t="n"/>
      <c r="UBB285" s="1132" t="n"/>
      <c r="UBC285" s="1132" t="n"/>
      <c r="UBD285" s="1132" t="n"/>
      <c r="UBE285" s="1132" t="n"/>
      <c r="UBF285" s="1132" t="n"/>
      <c r="UBG285" s="1132" t="n"/>
      <c r="UBH285" s="1132" t="n"/>
      <c r="UBI285" s="1132" t="n"/>
      <c r="UBJ285" s="1132" t="n"/>
      <c r="UBK285" s="1132" t="n"/>
      <c r="UBL285" s="1132" t="n"/>
      <c r="UBM285" s="1132" t="n"/>
      <c r="UBN285" s="1132" t="n"/>
      <c r="UBO285" s="1132" t="n"/>
      <c r="UBP285" s="1132" t="n"/>
      <c r="UBQ285" s="1132" t="n"/>
      <c r="UBR285" s="1132" t="n"/>
      <c r="UBS285" s="1132" t="n"/>
      <c r="UBT285" s="1132" t="n"/>
      <c r="UBU285" s="1132" t="n"/>
      <c r="UBV285" s="1132" t="n"/>
      <c r="UBW285" s="1132" t="n"/>
      <c r="UBX285" s="1132" t="n"/>
      <c r="UBY285" s="1132" t="n"/>
      <c r="UBZ285" s="1132" t="n"/>
      <c r="UCA285" s="1132" t="n"/>
      <c r="UCB285" s="1132" t="n"/>
      <c r="UCC285" s="1132" t="n"/>
      <c r="UCD285" s="1132" t="n"/>
      <c r="UCE285" s="1132" t="n"/>
      <c r="UCF285" s="1132" t="n"/>
      <c r="UCG285" s="1132" t="n"/>
      <c r="UCH285" s="1132" t="n"/>
      <c r="UCI285" s="1132" t="n"/>
      <c r="UCJ285" s="1132" t="n"/>
      <c r="UCK285" s="1132" t="n"/>
      <c r="UCL285" s="1132" t="n"/>
      <c r="UCM285" s="1132" t="n"/>
      <c r="UCN285" s="1132" t="n"/>
      <c r="UCO285" s="1132" t="n"/>
      <c r="UCP285" s="1132" t="n"/>
      <c r="UCQ285" s="1132" t="n"/>
      <c r="UCR285" s="1132" t="n"/>
      <c r="UCS285" s="1132" t="n"/>
      <c r="UCT285" s="1132" t="n"/>
      <c r="UCU285" s="1132" t="n"/>
      <c r="UCV285" s="1132" t="n"/>
      <c r="UCW285" s="1132" t="n"/>
      <c r="UCX285" s="1132" t="n"/>
      <c r="UCY285" s="1132" t="n"/>
      <c r="UCZ285" s="1132" t="n"/>
      <c r="UDA285" s="1132" t="n"/>
      <c r="UDB285" s="1132" t="n"/>
      <c r="UDC285" s="1132" t="n"/>
      <c r="UDD285" s="1132" t="n"/>
      <c r="UDE285" s="1132" t="n"/>
      <c r="UDF285" s="1132" t="n"/>
      <c r="UDG285" s="1132" t="n"/>
      <c r="UDH285" s="1132" t="n"/>
      <c r="UDI285" s="1132" t="n"/>
      <c r="UDJ285" s="1132" t="n"/>
      <c r="UDK285" s="1132" t="n"/>
      <c r="UDL285" s="1132" t="n"/>
      <c r="UDM285" s="1132" t="n"/>
      <c r="UDN285" s="1132" t="n"/>
      <c r="UDO285" s="1132" t="n"/>
      <c r="UDP285" s="1132" t="n"/>
      <c r="UDQ285" s="1132" t="n"/>
      <c r="UDR285" s="1132" t="n"/>
      <c r="UDS285" s="1132" t="n"/>
      <c r="UDT285" s="1132" t="n"/>
      <c r="UDU285" s="1132" t="n"/>
      <c r="UDV285" s="1132" t="n"/>
      <c r="UDW285" s="1132" t="n"/>
      <c r="UDX285" s="1132" t="n"/>
      <c r="UDY285" s="1132" t="n"/>
      <c r="UDZ285" s="1132" t="n"/>
      <c r="UEA285" s="1132" t="n"/>
      <c r="UEB285" s="1132" t="n"/>
      <c r="UEC285" s="1132" t="n"/>
      <c r="UED285" s="1132" t="n"/>
      <c r="UEE285" s="1132" t="n"/>
      <c r="UEF285" s="1132" t="n"/>
      <c r="UEG285" s="1132" t="n"/>
      <c r="UEH285" s="1132" t="n"/>
      <c r="UEI285" s="1132" t="n"/>
      <c r="UEJ285" s="1132" t="n"/>
      <c r="UEK285" s="1132" t="n"/>
      <c r="UEL285" s="1132" t="n"/>
      <c r="UEM285" s="1132" t="n"/>
      <c r="UEN285" s="1132" t="n"/>
      <c r="UEO285" s="1132" t="n"/>
      <c r="UEP285" s="1132" t="n"/>
      <c r="UEQ285" s="1132" t="n"/>
      <c r="UER285" s="1132" t="n"/>
      <c r="UES285" s="1132" t="n"/>
      <c r="UET285" s="1132" t="n"/>
      <c r="UEU285" s="1132" t="n"/>
      <c r="UEV285" s="1132" t="n"/>
      <c r="UEW285" s="1132" t="n"/>
      <c r="UEX285" s="1132" t="n"/>
      <c r="UEY285" s="1132" t="n"/>
      <c r="UEZ285" s="1132" t="n"/>
      <c r="UFA285" s="1132" t="n"/>
      <c r="UFB285" s="1132" t="n"/>
      <c r="UFC285" s="1132" t="n"/>
      <c r="UFD285" s="1132" t="n"/>
      <c r="UFE285" s="1132" t="n"/>
      <c r="UFF285" s="1132" t="n"/>
      <c r="UFG285" s="1132" t="n"/>
      <c r="UFH285" s="1132" t="n"/>
      <c r="UFI285" s="1132" t="n"/>
      <c r="UFJ285" s="1132" t="n"/>
      <c r="UFK285" s="1132" t="n"/>
      <c r="UFL285" s="1132" t="n"/>
      <c r="UFM285" s="1132" t="n"/>
      <c r="UFN285" s="1132" t="n"/>
      <c r="UFO285" s="1132" t="n"/>
      <c r="UFP285" s="1132" t="n"/>
      <c r="UFQ285" s="1132" t="n"/>
      <c r="UFR285" s="1132" t="n"/>
      <c r="UFS285" s="1132" t="n"/>
      <c r="UFT285" s="1132" t="n"/>
      <c r="UFU285" s="1132" t="n"/>
      <c r="UFV285" s="1132" t="n"/>
      <c r="UFW285" s="1132" t="n"/>
      <c r="UFX285" s="1132" t="n"/>
      <c r="UFY285" s="1132" t="n"/>
      <c r="UFZ285" s="1132" t="n"/>
      <c r="UGA285" s="1132" t="n"/>
      <c r="UGB285" s="1132" t="n"/>
      <c r="UGC285" s="1132" t="n"/>
      <c r="UGD285" s="1132" t="n"/>
      <c r="UGE285" s="1132" t="n"/>
      <c r="UGF285" s="1132" t="n"/>
      <c r="UGG285" s="1132" t="n"/>
      <c r="UGH285" s="1132" t="n"/>
      <c r="UGI285" s="1132" t="n"/>
      <c r="UGJ285" s="1132" t="n"/>
      <c r="UGK285" s="1132" t="n"/>
      <c r="UGL285" s="1132" t="n"/>
      <c r="UGM285" s="1132" t="n"/>
      <c r="UGN285" s="1132" t="n"/>
      <c r="UGO285" s="1132" t="n"/>
      <c r="UGP285" s="1132" t="n"/>
      <c r="UGQ285" s="1132" t="n"/>
      <c r="UGR285" s="1132" t="n"/>
      <c r="UGS285" s="1132" t="n"/>
      <c r="UGT285" s="1132" t="n"/>
      <c r="UGU285" s="1132" t="n"/>
      <c r="UGV285" s="1132" t="n"/>
      <c r="UGW285" s="1132" t="n"/>
      <c r="UGX285" s="1132" t="n"/>
      <c r="UGY285" s="1132" t="n"/>
      <c r="UGZ285" s="1132" t="n"/>
      <c r="UHA285" s="1132" t="n"/>
      <c r="UHB285" s="1132" t="n"/>
      <c r="UHC285" s="1132" t="n"/>
      <c r="UHD285" s="1132" t="n"/>
      <c r="UHE285" s="1132" t="n"/>
      <c r="UHF285" s="1132" t="n"/>
      <c r="UHG285" s="1132" t="n"/>
      <c r="UHH285" s="1132" t="n"/>
      <c r="UHI285" s="1132" t="n"/>
      <c r="UHJ285" s="1132" t="n"/>
      <c r="UHK285" s="1132" t="n"/>
      <c r="UHL285" s="1132" t="n"/>
      <c r="UHM285" s="1132" t="n"/>
      <c r="UHN285" s="1132" t="n"/>
      <c r="UHO285" s="1132" t="n"/>
      <c r="UHP285" s="1132" t="n"/>
      <c r="UHQ285" s="1132" t="n"/>
      <c r="UHR285" s="1132" t="n"/>
      <c r="UHS285" s="1132" t="n"/>
      <c r="UHT285" s="1132" t="n"/>
      <c r="UHU285" s="1132" t="n"/>
      <c r="UHV285" s="1132" t="n"/>
      <c r="UHW285" s="1132" t="n"/>
      <c r="UHX285" s="1132" t="n"/>
      <c r="UHY285" s="1132" t="n"/>
      <c r="UHZ285" s="1132" t="n"/>
      <c r="UIA285" s="1132" t="n"/>
      <c r="UIB285" s="1132" t="n"/>
      <c r="UIC285" s="1132" t="n"/>
      <c r="UID285" s="1132" t="n"/>
      <c r="UIE285" s="1132" t="n"/>
      <c r="UIF285" s="1132" t="n"/>
      <c r="UIG285" s="1132" t="n"/>
      <c r="UIH285" s="1132" t="n"/>
      <c r="UII285" s="1132" t="n"/>
      <c r="UIJ285" s="1132" t="n"/>
      <c r="UIK285" s="1132" t="n"/>
      <c r="UIL285" s="1132" t="n"/>
      <c r="UIM285" s="1132" t="n"/>
      <c r="UIN285" s="1132" t="n"/>
      <c r="UIO285" s="1132" t="n"/>
      <c r="UIP285" s="1132" t="n"/>
      <c r="UIQ285" s="1132" t="n"/>
      <c r="UIR285" s="1132" t="n"/>
      <c r="UIS285" s="1132" t="n"/>
      <c r="UIT285" s="1132" t="n"/>
      <c r="UIU285" s="1132" t="n"/>
      <c r="UIV285" s="1132" t="n"/>
      <c r="UIW285" s="1132" t="n"/>
      <c r="UIX285" s="1132" t="n"/>
      <c r="UIY285" s="1132" t="n"/>
      <c r="UIZ285" s="1132" t="n"/>
      <c r="UJA285" s="1132" t="n"/>
      <c r="UJB285" s="1132" t="n"/>
      <c r="UJC285" s="1132" t="n"/>
      <c r="UJD285" s="1132" t="n"/>
      <c r="UJE285" s="1132" t="n"/>
      <c r="UJF285" s="1132" t="n"/>
      <c r="UJG285" s="1132" t="n"/>
      <c r="UJH285" s="1132" t="n"/>
      <c r="UJI285" s="1132" t="n"/>
      <c r="UJJ285" s="1132" t="n"/>
      <c r="UJK285" s="1132" t="n"/>
      <c r="UJL285" s="1132" t="n"/>
      <c r="UJM285" s="1132" t="n"/>
      <c r="UJN285" s="1132" t="n"/>
      <c r="UJO285" s="1132" t="n"/>
      <c r="UJP285" s="1132" t="n"/>
      <c r="UJQ285" s="1132" t="n"/>
      <c r="UJR285" s="1132" t="n"/>
      <c r="UJS285" s="1132" t="n"/>
      <c r="UJT285" s="1132" t="n"/>
      <c r="UJU285" s="1132" t="n"/>
      <c r="UJV285" s="1132" t="n"/>
      <c r="UJW285" s="1132" t="n"/>
      <c r="UJX285" s="1132" t="n"/>
      <c r="UJY285" s="1132" t="n"/>
      <c r="UJZ285" s="1132" t="n"/>
      <c r="UKA285" s="1132" t="n"/>
      <c r="UKB285" s="1132" t="n"/>
      <c r="UKC285" s="1132" t="n"/>
      <c r="UKD285" s="1132" t="n"/>
      <c r="UKE285" s="1132" t="n"/>
      <c r="UKF285" s="1132" t="n"/>
      <c r="UKG285" s="1132" t="n"/>
      <c r="UKH285" s="1132" t="n"/>
      <c r="UKI285" s="1132" t="n"/>
      <c r="UKJ285" s="1132" t="n"/>
      <c r="UKK285" s="1132" t="n"/>
      <c r="UKL285" s="1132" t="n"/>
      <c r="UKM285" s="1132" t="n"/>
      <c r="UKN285" s="1132" t="n"/>
      <c r="UKO285" s="1132" t="n"/>
      <c r="UKP285" s="1132" t="n"/>
      <c r="UKQ285" s="1132" t="n"/>
      <c r="UKR285" s="1132" t="n"/>
      <c r="UKS285" s="1132" t="n"/>
      <c r="UKT285" s="1132" t="n"/>
      <c r="UKU285" s="1132" t="n"/>
      <c r="UKV285" s="1132" t="n"/>
      <c r="UKW285" s="1132" t="n"/>
      <c r="UKX285" s="1132" t="n"/>
      <c r="UKY285" s="1132" t="n"/>
      <c r="UKZ285" s="1132" t="n"/>
      <c r="ULA285" s="1132" t="n"/>
      <c r="ULB285" s="1132" t="n"/>
      <c r="ULC285" s="1132" t="n"/>
      <c r="ULD285" s="1132" t="n"/>
      <c r="ULE285" s="1132" t="n"/>
      <c r="ULF285" s="1132" t="n"/>
      <c r="ULG285" s="1132" t="n"/>
      <c r="ULH285" s="1132" t="n"/>
      <c r="ULI285" s="1132" t="n"/>
      <c r="ULJ285" s="1132" t="n"/>
      <c r="ULK285" s="1132" t="n"/>
      <c r="ULL285" s="1132" t="n"/>
      <c r="ULM285" s="1132" t="n"/>
      <c r="ULN285" s="1132" t="n"/>
      <c r="ULO285" s="1132" t="n"/>
      <c r="ULP285" s="1132" t="n"/>
      <c r="ULQ285" s="1132" t="n"/>
      <c r="ULR285" s="1132" t="n"/>
      <c r="ULS285" s="1132" t="n"/>
      <c r="ULT285" s="1132" t="n"/>
      <c r="ULU285" s="1132" t="n"/>
      <c r="ULV285" s="1132" t="n"/>
      <c r="ULW285" s="1132" t="n"/>
      <c r="ULX285" s="1132" t="n"/>
      <c r="ULY285" s="1132" t="n"/>
      <c r="ULZ285" s="1132" t="n"/>
      <c r="UMA285" s="1132" t="n"/>
      <c r="UMB285" s="1132" t="n"/>
      <c r="UMC285" s="1132" t="n"/>
      <c r="UMD285" s="1132" t="n"/>
      <c r="UME285" s="1132" t="n"/>
      <c r="UMF285" s="1132" t="n"/>
      <c r="UMG285" s="1132" t="n"/>
      <c r="UMH285" s="1132" t="n"/>
      <c r="UMI285" s="1132" t="n"/>
      <c r="UMJ285" s="1132" t="n"/>
      <c r="UMK285" s="1132" t="n"/>
      <c r="UML285" s="1132" t="n"/>
      <c r="UMM285" s="1132" t="n"/>
      <c r="UMN285" s="1132" t="n"/>
      <c r="UMO285" s="1132" t="n"/>
      <c r="UMP285" s="1132" t="n"/>
      <c r="UMQ285" s="1132" t="n"/>
      <c r="UMR285" s="1132" t="n"/>
      <c r="UMS285" s="1132" t="n"/>
      <c r="UMT285" s="1132" t="n"/>
      <c r="UMU285" s="1132" t="n"/>
      <c r="UMV285" s="1132" t="n"/>
      <c r="UMW285" s="1132" t="n"/>
      <c r="UMX285" s="1132" t="n"/>
      <c r="UMY285" s="1132" t="n"/>
      <c r="UMZ285" s="1132" t="n"/>
      <c r="UNA285" s="1132" t="n"/>
      <c r="UNB285" s="1132" t="n"/>
      <c r="UNC285" s="1132" t="n"/>
      <c r="UND285" s="1132" t="n"/>
      <c r="UNE285" s="1132" t="n"/>
      <c r="UNF285" s="1132" t="n"/>
      <c r="UNG285" s="1132" t="n"/>
      <c r="UNH285" s="1132" t="n"/>
      <c r="UNI285" s="1132" t="n"/>
      <c r="UNJ285" s="1132" t="n"/>
      <c r="UNK285" s="1132" t="n"/>
      <c r="UNL285" s="1132" t="n"/>
      <c r="UNM285" s="1132" t="n"/>
      <c r="UNN285" s="1132" t="n"/>
      <c r="UNO285" s="1132" t="n"/>
      <c r="UNP285" s="1132" t="n"/>
      <c r="UNQ285" s="1132" t="n"/>
      <c r="UNR285" s="1132" t="n"/>
      <c r="UNS285" s="1132" t="n"/>
      <c r="UNT285" s="1132" t="n"/>
      <c r="UNU285" s="1132" t="n"/>
      <c r="UNV285" s="1132" t="n"/>
      <c r="UNW285" s="1132" t="n"/>
      <c r="UNX285" s="1132" t="n"/>
      <c r="UNY285" s="1132" t="n"/>
      <c r="UNZ285" s="1132" t="n"/>
      <c r="UOA285" s="1132" t="n"/>
      <c r="UOB285" s="1132" t="n"/>
      <c r="UOC285" s="1132" t="n"/>
      <c r="UOD285" s="1132" t="n"/>
      <c r="UOE285" s="1132" t="n"/>
      <c r="UOF285" s="1132" t="n"/>
      <c r="UOG285" s="1132" t="n"/>
      <c r="UOH285" s="1132" t="n"/>
      <c r="UOI285" s="1132" t="n"/>
      <c r="UOJ285" s="1132" t="n"/>
      <c r="UOK285" s="1132" t="n"/>
      <c r="UOL285" s="1132" t="n"/>
      <c r="UOM285" s="1132" t="n"/>
      <c r="UON285" s="1132" t="n"/>
      <c r="UOO285" s="1132" t="n"/>
      <c r="UOP285" s="1132" t="n"/>
      <c r="UOQ285" s="1132" t="n"/>
      <c r="UOR285" s="1132" t="n"/>
      <c r="UOS285" s="1132" t="n"/>
      <c r="UOT285" s="1132" t="n"/>
      <c r="UOU285" s="1132" t="n"/>
      <c r="UOV285" s="1132" t="n"/>
      <c r="UOW285" s="1132" t="n"/>
      <c r="UOX285" s="1132" t="n"/>
      <c r="UOY285" s="1132" t="n"/>
      <c r="UOZ285" s="1132" t="n"/>
      <c r="UPA285" s="1132" t="n"/>
      <c r="UPB285" s="1132" t="n"/>
      <c r="UPC285" s="1132" t="n"/>
      <c r="UPD285" s="1132" t="n"/>
      <c r="UPE285" s="1132" t="n"/>
      <c r="UPF285" s="1132" t="n"/>
      <c r="UPG285" s="1132" t="n"/>
      <c r="UPH285" s="1132" t="n"/>
      <c r="UPI285" s="1132" t="n"/>
      <c r="UPJ285" s="1132" t="n"/>
      <c r="UPK285" s="1132" t="n"/>
      <c r="UPL285" s="1132" t="n"/>
      <c r="UPM285" s="1132" t="n"/>
      <c r="UPN285" s="1132" t="n"/>
      <c r="UPO285" s="1132" t="n"/>
      <c r="UPP285" s="1132" t="n"/>
      <c r="UPQ285" s="1132" t="n"/>
      <c r="UPR285" s="1132" t="n"/>
      <c r="UPS285" s="1132" t="n"/>
      <c r="UPT285" s="1132" t="n"/>
      <c r="UPU285" s="1132" t="n"/>
      <c r="UPV285" s="1132" t="n"/>
      <c r="UPW285" s="1132" t="n"/>
      <c r="UPX285" s="1132" t="n"/>
      <c r="UPY285" s="1132" t="n"/>
      <c r="UPZ285" s="1132" t="n"/>
      <c r="UQA285" s="1132" t="n"/>
      <c r="UQB285" s="1132" t="n"/>
      <c r="UQC285" s="1132" t="n"/>
      <c r="UQD285" s="1132" t="n"/>
      <c r="UQE285" s="1132" t="n"/>
      <c r="UQF285" s="1132" t="n"/>
      <c r="UQG285" s="1132" t="n"/>
      <c r="UQH285" s="1132" t="n"/>
      <c r="UQI285" s="1132" t="n"/>
      <c r="UQJ285" s="1132" t="n"/>
      <c r="UQK285" s="1132" t="n"/>
      <c r="UQL285" s="1132" t="n"/>
      <c r="UQM285" s="1132" t="n"/>
      <c r="UQN285" s="1132" t="n"/>
      <c r="UQO285" s="1132" t="n"/>
      <c r="UQP285" s="1132" t="n"/>
      <c r="UQQ285" s="1132" t="n"/>
      <c r="UQR285" s="1132" t="n"/>
      <c r="UQS285" s="1132" t="n"/>
      <c r="UQT285" s="1132" t="n"/>
      <c r="UQU285" s="1132" t="n"/>
      <c r="UQV285" s="1132" t="n"/>
      <c r="UQW285" s="1132" t="n"/>
      <c r="UQX285" s="1132" t="n"/>
      <c r="UQY285" s="1132" t="n"/>
      <c r="UQZ285" s="1132" t="n"/>
      <c r="URA285" s="1132" t="n"/>
      <c r="URB285" s="1132" t="n"/>
      <c r="URC285" s="1132" t="n"/>
      <c r="URD285" s="1132" t="n"/>
      <c r="URE285" s="1132" t="n"/>
      <c r="URF285" s="1132" t="n"/>
      <c r="URG285" s="1132" t="n"/>
      <c r="URH285" s="1132" t="n"/>
      <c r="URI285" s="1132" t="n"/>
      <c r="URJ285" s="1132" t="n"/>
      <c r="URK285" s="1132" t="n"/>
      <c r="URL285" s="1132" t="n"/>
      <c r="URM285" s="1132" t="n"/>
      <c r="URN285" s="1132" t="n"/>
      <c r="URO285" s="1132" t="n"/>
      <c r="URP285" s="1132" t="n"/>
      <c r="URQ285" s="1132" t="n"/>
      <c r="URR285" s="1132" t="n"/>
      <c r="URS285" s="1132" t="n"/>
      <c r="URT285" s="1132" t="n"/>
      <c r="URU285" s="1132" t="n"/>
      <c r="URV285" s="1132" t="n"/>
      <c r="URW285" s="1132" t="n"/>
      <c r="URX285" s="1132" t="n"/>
      <c r="URY285" s="1132" t="n"/>
      <c r="URZ285" s="1132" t="n"/>
      <c r="USA285" s="1132" t="n"/>
      <c r="USB285" s="1132" t="n"/>
      <c r="USC285" s="1132" t="n"/>
      <c r="USD285" s="1132" t="n"/>
      <c r="USE285" s="1132" t="n"/>
      <c r="USF285" s="1132" t="n"/>
      <c r="USG285" s="1132" t="n"/>
      <c r="USH285" s="1132" t="n"/>
      <c r="USI285" s="1132" t="n"/>
      <c r="USJ285" s="1132" t="n"/>
      <c r="USK285" s="1132" t="n"/>
      <c r="USL285" s="1132" t="n"/>
      <c r="USM285" s="1132" t="n"/>
      <c r="USN285" s="1132" t="n"/>
      <c r="USO285" s="1132" t="n"/>
      <c r="USP285" s="1132" t="n"/>
      <c r="USQ285" s="1132" t="n"/>
      <c r="USR285" s="1132" t="n"/>
      <c r="USS285" s="1132" t="n"/>
      <c r="UST285" s="1132" t="n"/>
      <c r="USU285" s="1132" t="n"/>
      <c r="USV285" s="1132" t="n"/>
      <c r="USW285" s="1132" t="n"/>
      <c r="USX285" s="1132" t="n"/>
      <c r="USY285" s="1132" t="n"/>
      <c r="USZ285" s="1132" t="n"/>
      <c r="UTA285" s="1132" t="n"/>
      <c r="UTB285" s="1132" t="n"/>
      <c r="UTC285" s="1132" t="n"/>
      <c r="UTD285" s="1132" t="n"/>
      <c r="UTE285" s="1132" t="n"/>
      <c r="UTF285" s="1132" t="n"/>
      <c r="UTG285" s="1132" t="n"/>
      <c r="UTH285" s="1132" t="n"/>
      <c r="UTI285" s="1132" t="n"/>
      <c r="UTJ285" s="1132" t="n"/>
      <c r="UTK285" s="1132" t="n"/>
      <c r="UTL285" s="1132" t="n"/>
      <c r="UTM285" s="1132" t="n"/>
      <c r="UTN285" s="1132" t="n"/>
      <c r="UTO285" s="1132" t="n"/>
      <c r="UTP285" s="1132" t="n"/>
      <c r="UTQ285" s="1132" t="n"/>
      <c r="UTR285" s="1132" t="n"/>
      <c r="UTS285" s="1132" t="n"/>
      <c r="UTT285" s="1132" t="n"/>
      <c r="UTU285" s="1132" t="n"/>
      <c r="UTV285" s="1132" t="n"/>
      <c r="UTW285" s="1132" t="n"/>
      <c r="UTX285" s="1132" t="n"/>
      <c r="UTY285" s="1132" t="n"/>
      <c r="UTZ285" s="1132" t="n"/>
      <c r="UUA285" s="1132" t="n"/>
      <c r="UUB285" s="1132" t="n"/>
      <c r="UUC285" s="1132" t="n"/>
      <c r="UUD285" s="1132" t="n"/>
      <c r="UUE285" s="1132" t="n"/>
      <c r="UUF285" s="1132" t="n"/>
      <c r="UUG285" s="1132" t="n"/>
      <c r="UUH285" s="1132" t="n"/>
      <c r="UUI285" s="1132" t="n"/>
      <c r="UUJ285" s="1132" t="n"/>
      <c r="UUK285" s="1132" t="n"/>
      <c r="UUL285" s="1132" t="n"/>
      <c r="UUM285" s="1132" t="n"/>
      <c r="UUN285" s="1132" t="n"/>
      <c r="UUO285" s="1132" t="n"/>
      <c r="UUP285" s="1132" t="n"/>
      <c r="UUQ285" s="1132" t="n"/>
      <c r="UUR285" s="1132" t="n"/>
      <c r="UUS285" s="1132" t="n"/>
      <c r="UUT285" s="1132" t="n"/>
      <c r="UUU285" s="1132" t="n"/>
      <c r="UUV285" s="1132" t="n"/>
      <c r="UUW285" s="1132" t="n"/>
      <c r="UUX285" s="1132" t="n"/>
      <c r="UUY285" s="1132" t="n"/>
      <c r="UUZ285" s="1132" t="n"/>
      <c r="UVA285" s="1132" t="n"/>
      <c r="UVB285" s="1132" t="n"/>
      <c r="UVC285" s="1132" t="n"/>
      <c r="UVD285" s="1132" t="n"/>
      <c r="UVE285" s="1132" t="n"/>
      <c r="UVF285" s="1132" t="n"/>
      <c r="UVG285" s="1132" t="n"/>
      <c r="UVH285" s="1132" t="n"/>
      <c r="UVI285" s="1132" t="n"/>
      <c r="UVJ285" s="1132" t="n"/>
      <c r="UVK285" s="1132" t="n"/>
      <c r="UVL285" s="1132" t="n"/>
      <c r="UVM285" s="1132" t="n"/>
      <c r="UVN285" s="1132" t="n"/>
      <c r="UVO285" s="1132" t="n"/>
      <c r="UVP285" s="1132" t="n"/>
      <c r="UVQ285" s="1132" t="n"/>
      <c r="UVR285" s="1132" t="n"/>
      <c r="UVS285" s="1132" t="n"/>
      <c r="UVT285" s="1132" t="n"/>
      <c r="UVU285" s="1132" t="n"/>
      <c r="UVV285" s="1132" t="n"/>
      <c r="UVW285" s="1132" t="n"/>
      <c r="UVX285" s="1132" t="n"/>
      <c r="UVY285" s="1132" t="n"/>
      <c r="UVZ285" s="1132" t="n"/>
      <c r="UWA285" s="1132" t="n"/>
      <c r="UWB285" s="1132" t="n"/>
      <c r="UWC285" s="1132" t="n"/>
      <c r="UWD285" s="1132" t="n"/>
      <c r="UWE285" s="1132" t="n"/>
      <c r="UWF285" s="1132" t="n"/>
      <c r="UWG285" s="1132" t="n"/>
      <c r="UWH285" s="1132" t="n"/>
      <c r="UWI285" s="1132" t="n"/>
      <c r="UWJ285" s="1132" t="n"/>
      <c r="UWK285" s="1132" t="n"/>
      <c r="UWL285" s="1132" t="n"/>
      <c r="UWM285" s="1132" t="n"/>
      <c r="UWN285" s="1132" t="n"/>
      <c r="UWO285" s="1132" t="n"/>
      <c r="UWP285" s="1132" t="n"/>
      <c r="UWQ285" s="1132" t="n"/>
      <c r="UWR285" s="1132" t="n"/>
      <c r="UWS285" s="1132" t="n"/>
      <c r="UWT285" s="1132" t="n"/>
      <c r="UWU285" s="1132" t="n"/>
      <c r="UWV285" s="1132" t="n"/>
      <c r="UWW285" s="1132" t="n"/>
      <c r="UWX285" s="1132" t="n"/>
      <c r="UWY285" s="1132" t="n"/>
      <c r="UWZ285" s="1132" t="n"/>
      <c r="UXA285" s="1132" t="n"/>
      <c r="UXB285" s="1132" t="n"/>
      <c r="UXC285" s="1132" t="n"/>
      <c r="UXD285" s="1132" t="n"/>
      <c r="UXE285" s="1132" t="n"/>
      <c r="UXF285" s="1132" t="n"/>
      <c r="UXG285" s="1132" t="n"/>
      <c r="UXH285" s="1132" t="n"/>
      <c r="UXI285" s="1132" t="n"/>
      <c r="UXJ285" s="1132" t="n"/>
      <c r="UXK285" s="1132" t="n"/>
      <c r="UXL285" s="1132" t="n"/>
      <c r="UXM285" s="1132" t="n"/>
      <c r="UXN285" s="1132" t="n"/>
      <c r="UXO285" s="1132" t="n"/>
      <c r="UXP285" s="1132" t="n"/>
      <c r="UXQ285" s="1132" t="n"/>
      <c r="UXR285" s="1132" t="n"/>
      <c r="UXS285" s="1132" t="n"/>
      <c r="UXT285" s="1132" t="n"/>
      <c r="UXU285" s="1132" t="n"/>
      <c r="UXV285" s="1132" t="n"/>
      <c r="UXW285" s="1132" t="n"/>
      <c r="UXX285" s="1132" t="n"/>
      <c r="UXY285" s="1132" t="n"/>
      <c r="UXZ285" s="1132" t="n"/>
      <c r="UYA285" s="1132" t="n"/>
      <c r="UYB285" s="1132" t="n"/>
      <c r="UYC285" s="1132" t="n"/>
      <c r="UYD285" s="1132" t="n"/>
      <c r="UYE285" s="1132" t="n"/>
      <c r="UYF285" s="1132" t="n"/>
      <c r="UYG285" s="1132" t="n"/>
      <c r="UYH285" s="1132" t="n"/>
      <c r="UYI285" s="1132" t="n"/>
      <c r="UYJ285" s="1132" t="n"/>
      <c r="UYK285" s="1132" t="n"/>
      <c r="UYL285" s="1132" t="n"/>
      <c r="UYM285" s="1132" t="n"/>
      <c r="UYN285" s="1132" t="n"/>
      <c r="UYO285" s="1132" t="n"/>
      <c r="UYP285" s="1132" t="n"/>
      <c r="UYQ285" s="1132" t="n"/>
      <c r="UYR285" s="1132" t="n"/>
      <c r="UYS285" s="1132" t="n"/>
      <c r="UYT285" s="1132" t="n"/>
      <c r="UYU285" s="1132" t="n"/>
      <c r="UYV285" s="1132" t="n"/>
      <c r="UYW285" s="1132" t="n"/>
      <c r="UYX285" s="1132" t="n"/>
      <c r="UYY285" s="1132" t="n"/>
      <c r="UYZ285" s="1132" t="n"/>
      <c r="UZA285" s="1132" t="n"/>
      <c r="UZB285" s="1132" t="n"/>
      <c r="UZC285" s="1132" t="n"/>
      <c r="UZD285" s="1132" t="n"/>
      <c r="UZE285" s="1132" t="n"/>
      <c r="UZF285" s="1132" t="n"/>
      <c r="UZG285" s="1132" t="n"/>
      <c r="UZH285" s="1132" t="n"/>
      <c r="UZI285" s="1132" t="n"/>
      <c r="UZJ285" s="1132" t="n"/>
      <c r="UZK285" s="1132" t="n"/>
      <c r="UZL285" s="1132" t="n"/>
      <c r="UZM285" s="1132" t="n"/>
      <c r="UZN285" s="1132" t="n"/>
      <c r="UZO285" s="1132" t="n"/>
      <c r="UZP285" s="1132" t="n"/>
      <c r="UZQ285" s="1132" t="n"/>
      <c r="UZR285" s="1132" t="n"/>
      <c r="UZS285" s="1132" t="n"/>
      <c r="UZT285" s="1132" t="n"/>
      <c r="UZU285" s="1132" t="n"/>
      <c r="UZV285" s="1132" t="n"/>
      <c r="UZW285" s="1132" t="n"/>
      <c r="UZX285" s="1132" t="n"/>
      <c r="UZY285" s="1132" t="n"/>
      <c r="UZZ285" s="1132" t="n"/>
      <c r="VAA285" s="1132" t="n"/>
      <c r="VAB285" s="1132" t="n"/>
      <c r="VAC285" s="1132" t="n"/>
      <c r="VAD285" s="1132" t="n"/>
      <c r="VAE285" s="1132" t="n"/>
      <c r="VAF285" s="1132" t="n"/>
      <c r="VAG285" s="1132" t="n"/>
      <c r="VAH285" s="1132" t="n"/>
      <c r="VAI285" s="1132" t="n"/>
      <c r="VAJ285" s="1132" t="n"/>
      <c r="VAK285" s="1132" t="n"/>
      <c r="VAL285" s="1132" t="n"/>
      <c r="VAM285" s="1132" t="n"/>
      <c r="VAN285" s="1132" t="n"/>
      <c r="VAO285" s="1132" t="n"/>
      <c r="VAP285" s="1132" t="n"/>
      <c r="VAQ285" s="1132" t="n"/>
      <c r="VAR285" s="1132" t="n"/>
      <c r="VAS285" s="1132" t="n"/>
      <c r="VAT285" s="1132" t="n"/>
      <c r="VAU285" s="1132" t="n"/>
      <c r="VAV285" s="1132" t="n"/>
      <c r="VAW285" s="1132" t="n"/>
      <c r="VAX285" s="1132" t="n"/>
      <c r="VAY285" s="1132" t="n"/>
      <c r="VAZ285" s="1132" t="n"/>
      <c r="VBA285" s="1132" t="n"/>
      <c r="VBB285" s="1132" t="n"/>
      <c r="VBC285" s="1132" t="n"/>
      <c r="VBD285" s="1132" t="n"/>
      <c r="VBE285" s="1132" t="n"/>
      <c r="VBF285" s="1132" t="n"/>
      <c r="VBG285" s="1132" t="n"/>
      <c r="VBH285" s="1132" t="n"/>
      <c r="VBI285" s="1132" t="n"/>
      <c r="VBJ285" s="1132" t="n"/>
      <c r="VBK285" s="1132" t="n"/>
      <c r="VBL285" s="1132" t="n"/>
      <c r="VBM285" s="1132" t="n"/>
      <c r="VBN285" s="1132" t="n"/>
      <c r="VBO285" s="1132" t="n"/>
      <c r="VBP285" s="1132" t="n"/>
      <c r="VBQ285" s="1132" t="n"/>
      <c r="VBR285" s="1132" t="n"/>
      <c r="VBS285" s="1132" t="n"/>
      <c r="VBT285" s="1132" t="n"/>
      <c r="VBU285" s="1132" t="n"/>
      <c r="VBV285" s="1132" t="n"/>
      <c r="VBW285" s="1132" t="n"/>
      <c r="VBX285" s="1132" t="n"/>
      <c r="VBY285" s="1132" t="n"/>
      <c r="VBZ285" s="1132" t="n"/>
      <c r="VCA285" s="1132" t="n"/>
      <c r="VCB285" s="1132" t="n"/>
      <c r="VCC285" s="1132" t="n"/>
      <c r="VCD285" s="1132" t="n"/>
      <c r="VCE285" s="1132" t="n"/>
      <c r="VCF285" s="1132" t="n"/>
      <c r="VCG285" s="1132" t="n"/>
      <c r="VCH285" s="1132" t="n"/>
      <c r="VCI285" s="1132" t="n"/>
      <c r="VCJ285" s="1132" t="n"/>
      <c r="VCK285" s="1132" t="n"/>
      <c r="VCL285" s="1132" t="n"/>
      <c r="VCM285" s="1132" t="n"/>
      <c r="VCN285" s="1132" t="n"/>
      <c r="VCO285" s="1132" t="n"/>
      <c r="VCP285" s="1132" t="n"/>
      <c r="VCQ285" s="1132" t="n"/>
      <c r="VCR285" s="1132" t="n"/>
      <c r="VCS285" s="1132" t="n"/>
      <c r="VCT285" s="1132" t="n"/>
      <c r="VCU285" s="1132" t="n"/>
      <c r="VCV285" s="1132" t="n"/>
      <c r="VCW285" s="1132" t="n"/>
      <c r="VCX285" s="1132" t="n"/>
      <c r="VCY285" s="1132" t="n"/>
      <c r="VCZ285" s="1132" t="n"/>
      <c r="VDA285" s="1132" t="n"/>
      <c r="VDB285" s="1132" t="n"/>
      <c r="VDC285" s="1132" t="n"/>
      <c r="VDD285" s="1132" t="n"/>
      <c r="VDE285" s="1132" t="n"/>
      <c r="VDF285" s="1132" t="n"/>
      <c r="VDG285" s="1132" t="n"/>
      <c r="VDH285" s="1132" t="n"/>
      <c r="VDI285" s="1132" t="n"/>
      <c r="VDJ285" s="1132" t="n"/>
      <c r="VDK285" s="1132" t="n"/>
      <c r="VDL285" s="1132" t="n"/>
      <c r="VDM285" s="1132" t="n"/>
      <c r="VDN285" s="1132" t="n"/>
      <c r="VDO285" s="1132" t="n"/>
      <c r="VDP285" s="1132" t="n"/>
      <c r="VDQ285" s="1132" t="n"/>
      <c r="VDR285" s="1132" t="n"/>
      <c r="VDS285" s="1132" t="n"/>
      <c r="VDT285" s="1132" t="n"/>
      <c r="VDU285" s="1132" t="n"/>
      <c r="VDV285" s="1132" t="n"/>
      <c r="VDW285" s="1132" t="n"/>
      <c r="VDX285" s="1132" t="n"/>
      <c r="VDY285" s="1132" t="n"/>
      <c r="VDZ285" s="1132" t="n"/>
      <c r="VEA285" s="1132" t="n"/>
      <c r="VEB285" s="1132" t="n"/>
      <c r="VEC285" s="1132" t="n"/>
      <c r="VED285" s="1132" t="n"/>
      <c r="VEE285" s="1132" t="n"/>
      <c r="VEF285" s="1132" t="n"/>
      <c r="VEG285" s="1132" t="n"/>
      <c r="VEH285" s="1132" t="n"/>
      <c r="VEI285" s="1132" t="n"/>
      <c r="VEJ285" s="1132" t="n"/>
      <c r="VEK285" s="1132" t="n"/>
      <c r="VEL285" s="1132" t="n"/>
      <c r="VEM285" s="1132" t="n"/>
      <c r="VEN285" s="1132" t="n"/>
      <c r="VEO285" s="1132" t="n"/>
      <c r="VEP285" s="1132" t="n"/>
      <c r="VEQ285" s="1132" t="n"/>
      <c r="VER285" s="1132" t="n"/>
      <c r="VES285" s="1132" t="n"/>
      <c r="VET285" s="1132" t="n"/>
      <c r="VEU285" s="1132" t="n"/>
      <c r="VEV285" s="1132" t="n"/>
      <c r="VEW285" s="1132" t="n"/>
      <c r="VEX285" s="1132" t="n"/>
      <c r="VEY285" s="1132" t="n"/>
      <c r="VEZ285" s="1132" t="n"/>
      <c r="VFA285" s="1132" t="n"/>
      <c r="VFB285" s="1132" t="n"/>
      <c r="VFC285" s="1132" t="n"/>
      <c r="VFD285" s="1132" t="n"/>
      <c r="VFE285" s="1132" t="n"/>
      <c r="VFF285" s="1132" t="n"/>
      <c r="VFG285" s="1132" t="n"/>
      <c r="VFH285" s="1132" t="n"/>
      <c r="VFI285" s="1132" t="n"/>
      <c r="VFJ285" s="1132" t="n"/>
      <c r="VFK285" s="1132" t="n"/>
      <c r="VFL285" s="1132" t="n"/>
      <c r="VFM285" s="1132" t="n"/>
      <c r="VFN285" s="1132" t="n"/>
      <c r="VFO285" s="1132" t="n"/>
      <c r="VFP285" s="1132" t="n"/>
      <c r="VFQ285" s="1132" t="n"/>
      <c r="VFR285" s="1132" t="n"/>
      <c r="VFS285" s="1132" t="n"/>
      <c r="VFT285" s="1132" t="n"/>
      <c r="VFU285" s="1132" t="n"/>
      <c r="VFV285" s="1132" t="n"/>
      <c r="VFW285" s="1132" t="n"/>
      <c r="VFX285" s="1132" t="n"/>
      <c r="VFY285" s="1132" t="n"/>
      <c r="VFZ285" s="1132" t="n"/>
      <c r="VGA285" s="1132" t="n"/>
      <c r="VGB285" s="1132" t="n"/>
      <c r="VGC285" s="1132" t="n"/>
      <c r="VGD285" s="1132" t="n"/>
      <c r="VGE285" s="1132" t="n"/>
      <c r="VGF285" s="1132" t="n"/>
      <c r="VGG285" s="1132" t="n"/>
      <c r="VGH285" s="1132" t="n"/>
      <c r="VGI285" s="1132" t="n"/>
      <c r="VGJ285" s="1132" t="n"/>
      <c r="VGK285" s="1132" t="n"/>
      <c r="VGL285" s="1132" t="n"/>
      <c r="VGM285" s="1132" t="n"/>
      <c r="VGN285" s="1132" t="n"/>
      <c r="VGO285" s="1132" t="n"/>
      <c r="VGP285" s="1132" t="n"/>
      <c r="VGQ285" s="1132" t="n"/>
      <c r="VGR285" s="1132" t="n"/>
      <c r="VGS285" s="1132" t="n"/>
      <c r="VGT285" s="1132" t="n"/>
      <c r="VGU285" s="1132" t="n"/>
      <c r="VGV285" s="1132" t="n"/>
      <c r="VGW285" s="1132" t="n"/>
      <c r="VGX285" s="1132" t="n"/>
      <c r="VGY285" s="1132" t="n"/>
      <c r="VGZ285" s="1132" t="n"/>
      <c r="VHA285" s="1132" t="n"/>
      <c r="VHB285" s="1132" t="n"/>
      <c r="VHC285" s="1132" t="n"/>
      <c r="VHD285" s="1132" t="n"/>
      <c r="VHE285" s="1132" t="n"/>
      <c r="VHF285" s="1132" t="n"/>
      <c r="VHG285" s="1132" t="n"/>
      <c r="VHH285" s="1132" t="n"/>
      <c r="VHI285" s="1132" t="n"/>
      <c r="VHJ285" s="1132" t="n"/>
      <c r="VHK285" s="1132" t="n"/>
      <c r="VHL285" s="1132" t="n"/>
      <c r="VHM285" s="1132" t="n"/>
      <c r="VHN285" s="1132" t="n"/>
      <c r="VHO285" s="1132" t="n"/>
      <c r="VHP285" s="1132" t="n"/>
      <c r="VHQ285" s="1132" t="n"/>
      <c r="VHR285" s="1132" t="n"/>
      <c r="VHS285" s="1132" t="n"/>
      <c r="VHT285" s="1132" t="n"/>
      <c r="VHU285" s="1132" t="n"/>
      <c r="VHV285" s="1132" t="n"/>
      <c r="VHW285" s="1132" t="n"/>
      <c r="VHX285" s="1132" t="n"/>
      <c r="VHY285" s="1132" t="n"/>
      <c r="VHZ285" s="1132" t="n"/>
      <c r="VIA285" s="1132" t="n"/>
      <c r="VIB285" s="1132" t="n"/>
      <c r="VIC285" s="1132" t="n"/>
      <c r="VID285" s="1132" t="n"/>
      <c r="VIE285" s="1132" t="n"/>
      <c r="VIF285" s="1132" t="n"/>
      <c r="VIG285" s="1132" t="n"/>
      <c r="VIH285" s="1132" t="n"/>
      <c r="VII285" s="1132" t="n"/>
      <c r="VIJ285" s="1132" t="n"/>
      <c r="VIK285" s="1132" t="n"/>
      <c r="VIL285" s="1132" t="n"/>
      <c r="VIM285" s="1132" t="n"/>
      <c r="VIN285" s="1132" t="n"/>
      <c r="VIO285" s="1132" t="n"/>
      <c r="VIP285" s="1132" t="n"/>
      <c r="VIQ285" s="1132" t="n"/>
      <c r="VIR285" s="1132" t="n"/>
      <c r="VIS285" s="1132" t="n"/>
      <c r="VIT285" s="1132" t="n"/>
      <c r="VIU285" s="1132" t="n"/>
      <c r="VIV285" s="1132" t="n"/>
      <c r="VIW285" s="1132" t="n"/>
      <c r="VIX285" s="1132" t="n"/>
      <c r="VIY285" s="1132" t="n"/>
      <c r="VIZ285" s="1132" t="n"/>
      <c r="VJA285" s="1132" t="n"/>
      <c r="VJB285" s="1132" t="n"/>
      <c r="VJC285" s="1132" t="n"/>
      <c r="VJD285" s="1132" t="n"/>
      <c r="VJE285" s="1132" t="n"/>
      <c r="VJF285" s="1132" t="n"/>
      <c r="VJG285" s="1132" t="n"/>
      <c r="VJH285" s="1132" t="n"/>
      <c r="VJI285" s="1132" t="n"/>
      <c r="VJJ285" s="1132" t="n"/>
      <c r="VJK285" s="1132" t="n"/>
      <c r="VJL285" s="1132" t="n"/>
      <c r="VJM285" s="1132" t="n"/>
      <c r="VJN285" s="1132" t="n"/>
      <c r="VJO285" s="1132" t="n"/>
      <c r="VJP285" s="1132" t="n"/>
      <c r="VJQ285" s="1132" t="n"/>
      <c r="VJR285" s="1132" t="n"/>
      <c r="VJS285" s="1132" t="n"/>
      <c r="VJT285" s="1132" t="n"/>
      <c r="VJU285" s="1132" t="n"/>
      <c r="VJV285" s="1132" t="n"/>
      <c r="VJW285" s="1132" t="n"/>
      <c r="VJX285" s="1132" t="n"/>
      <c r="VJY285" s="1132" t="n"/>
      <c r="VJZ285" s="1132" t="n"/>
      <c r="VKA285" s="1132" t="n"/>
      <c r="VKB285" s="1132" t="n"/>
      <c r="VKC285" s="1132" t="n"/>
      <c r="VKD285" s="1132" t="n"/>
      <c r="VKE285" s="1132" t="n"/>
      <c r="VKF285" s="1132" t="n"/>
      <c r="VKG285" s="1132" t="n"/>
      <c r="VKH285" s="1132" t="n"/>
      <c r="VKI285" s="1132" t="n"/>
      <c r="VKJ285" s="1132" t="n"/>
      <c r="VKK285" s="1132" t="n"/>
      <c r="VKL285" s="1132" t="n"/>
      <c r="VKM285" s="1132" t="n"/>
      <c r="VKN285" s="1132" t="n"/>
      <c r="VKO285" s="1132" t="n"/>
      <c r="VKP285" s="1132" t="n"/>
      <c r="VKQ285" s="1132" t="n"/>
      <c r="VKR285" s="1132" t="n"/>
      <c r="VKS285" s="1132" t="n"/>
      <c r="VKT285" s="1132" t="n"/>
      <c r="VKU285" s="1132" t="n"/>
      <c r="VKV285" s="1132" t="n"/>
      <c r="VKW285" s="1132" t="n"/>
      <c r="VKX285" s="1132" t="n"/>
      <c r="VKY285" s="1132" t="n"/>
      <c r="VKZ285" s="1132" t="n"/>
      <c r="VLA285" s="1132" t="n"/>
      <c r="VLB285" s="1132" t="n"/>
      <c r="VLC285" s="1132" t="n"/>
      <c r="VLD285" s="1132" t="n"/>
      <c r="VLE285" s="1132" t="n"/>
      <c r="VLF285" s="1132" t="n"/>
      <c r="VLG285" s="1132" t="n"/>
      <c r="VLH285" s="1132" t="n"/>
      <c r="VLI285" s="1132" t="n"/>
      <c r="VLJ285" s="1132" t="n"/>
      <c r="VLK285" s="1132" t="n"/>
      <c r="VLL285" s="1132" t="n"/>
      <c r="VLM285" s="1132" t="n"/>
      <c r="VLN285" s="1132" t="n"/>
      <c r="VLO285" s="1132" t="n"/>
      <c r="VLP285" s="1132" t="n"/>
      <c r="VLQ285" s="1132" t="n"/>
      <c r="VLR285" s="1132" t="n"/>
      <c r="VLS285" s="1132" t="n"/>
      <c r="VLT285" s="1132" t="n"/>
      <c r="VLU285" s="1132" t="n"/>
      <c r="VLV285" s="1132" t="n"/>
      <c r="VLW285" s="1132" t="n"/>
      <c r="VLX285" s="1132" t="n"/>
      <c r="VLY285" s="1132" t="n"/>
      <c r="VLZ285" s="1132" t="n"/>
      <c r="VMA285" s="1132" t="n"/>
      <c r="VMB285" s="1132" t="n"/>
      <c r="VMC285" s="1132" t="n"/>
      <c r="VMD285" s="1132" t="n"/>
      <c r="VME285" s="1132" t="n"/>
      <c r="VMF285" s="1132" t="n"/>
      <c r="VMG285" s="1132" t="n"/>
      <c r="VMH285" s="1132" t="n"/>
      <c r="VMI285" s="1132" t="n"/>
      <c r="VMJ285" s="1132" t="n"/>
      <c r="VMK285" s="1132" t="n"/>
      <c r="VML285" s="1132" t="n"/>
      <c r="VMM285" s="1132" t="n"/>
      <c r="VMN285" s="1132" t="n"/>
      <c r="VMO285" s="1132" t="n"/>
      <c r="VMP285" s="1132" t="n"/>
      <c r="VMQ285" s="1132" t="n"/>
      <c r="VMR285" s="1132" t="n"/>
      <c r="VMS285" s="1132" t="n"/>
      <c r="VMT285" s="1132" t="n"/>
      <c r="VMU285" s="1132" t="n"/>
      <c r="VMV285" s="1132" t="n"/>
      <c r="VMW285" s="1132" t="n"/>
      <c r="VMX285" s="1132" t="n"/>
      <c r="VMY285" s="1132" t="n"/>
      <c r="VMZ285" s="1132" t="n"/>
      <c r="VNA285" s="1132" t="n"/>
      <c r="VNB285" s="1132" t="n"/>
      <c r="VNC285" s="1132" t="n"/>
      <c r="VND285" s="1132" t="n"/>
      <c r="VNE285" s="1132" t="n"/>
      <c r="VNF285" s="1132" t="n"/>
      <c r="VNG285" s="1132" t="n"/>
      <c r="VNH285" s="1132" t="n"/>
      <c r="VNI285" s="1132" t="n"/>
      <c r="VNJ285" s="1132" t="n"/>
      <c r="VNK285" s="1132" t="n"/>
      <c r="VNL285" s="1132" t="n"/>
      <c r="VNM285" s="1132" t="n"/>
      <c r="VNN285" s="1132" t="n"/>
      <c r="VNO285" s="1132" t="n"/>
      <c r="VNP285" s="1132" t="n"/>
      <c r="VNQ285" s="1132" t="n"/>
      <c r="VNR285" s="1132" t="n"/>
      <c r="VNS285" s="1132" t="n"/>
      <c r="VNT285" s="1132" t="n"/>
      <c r="VNU285" s="1132" t="n"/>
      <c r="VNV285" s="1132" t="n"/>
      <c r="VNW285" s="1132" t="n"/>
      <c r="VNX285" s="1132" t="n"/>
      <c r="VNY285" s="1132" t="n"/>
      <c r="VNZ285" s="1132" t="n"/>
      <c r="VOA285" s="1132" t="n"/>
      <c r="VOB285" s="1132" t="n"/>
      <c r="VOC285" s="1132" t="n"/>
      <c r="VOD285" s="1132" t="n"/>
      <c r="VOE285" s="1132" t="n"/>
      <c r="VOF285" s="1132" t="n"/>
      <c r="VOG285" s="1132" t="n"/>
      <c r="VOH285" s="1132" t="n"/>
      <c r="VOI285" s="1132" t="n"/>
      <c r="VOJ285" s="1132" t="n"/>
      <c r="VOK285" s="1132" t="n"/>
      <c r="VOL285" s="1132" t="n"/>
      <c r="VOM285" s="1132" t="n"/>
      <c r="VON285" s="1132" t="n"/>
      <c r="VOO285" s="1132" t="n"/>
      <c r="VOP285" s="1132" t="n"/>
      <c r="VOQ285" s="1132" t="n"/>
      <c r="VOR285" s="1132" t="n"/>
      <c r="VOS285" s="1132" t="n"/>
      <c r="VOT285" s="1132" t="n"/>
      <c r="VOU285" s="1132" t="n"/>
      <c r="VOV285" s="1132" t="n"/>
      <c r="VOW285" s="1132" t="n"/>
      <c r="VOX285" s="1132" t="n"/>
      <c r="VOY285" s="1132" t="n"/>
      <c r="VOZ285" s="1132" t="n"/>
      <c r="VPA285" s="1132" t="n"/>
      <c r="VPB285" s="1132" t="n"/>
      <c r="VPC285" s="1132" t="n"/>
      <c r="VPD285" s="1132" t="n"/>
      <c r="VPE285" s="1132" t="n"/>
      <c r="VPF285" s="1132" t="n"/>
      <c r="VPG285" s="1132" t="n"/>
      <c r="VPH285" s="1132" t="n"/>
      <c r="VPI285" s="1132" t="n"/>
      <c r="VPJ285" s="1132" t="n"/>
      <c r="VPK285" s="1132" t="n"/>
      <c r="VPL285" s="1132" t="n"/>
      <c r="VPM285" s="1132" t="n"/>
      <c r="VPN285" s="1132" t="n"/>
      <c r="VPO285" s="1132" t="n"/>
      <c r="VPP285" s="1132" t="n"/>
      <c r="VPQ285" s="1132" t="n"/>
      <c r="VPR285" s="1132" t="n"/>
      <c r="VPS285" s="1132" t="n"/>
      <c r="VPT285" s="1132" t="n"/>
      <c r="VPU285" s="1132" t="n"/>
      <c r="VPV285" s="1132" t="n"/>
      <c r="VPW285" s="1132" t="n"/>
      <c r="VPX285" s="1132" t="n"/>
      <c r="VPY285" s="1132" t="n"/>
      <c r="VPZ285" s="1132" t="n"/>
      <c r="VQA285" s="1132" t="n"/>
      <c r="VQB285" s="1132" t="n"/>
      <c r="VQC285" s="1132" t="n"/>
      <c r="VQD285" s="1132" t="n"/>
      <c r="VQE285" s="1132" t="n"/>
      <c r="VQF285" s="1132" t="n"/>
      <c r="VQG285" s="1132" t="n"/>
      <c r="VQH285" s="1132" t="n"/>
      <c r="VQI285" s="1132" t="n"/>
      <c r="VQJ285" s="1132" t="n"/>
      <c r="VQK285" s="1132" t="n"/>
      <c r="VQL285" s="1132" t="n"/>
      <c r="VQM285" s="1132" t="n"/>
      <c r="VQN285" s="1132" t="n"/>
      <c r="VQO285" s="1132" t="n"/>
      <c r="VQP285" s="1132" t="n"/>
      <c r="VQQ285" s="1132" t="n"/>
      <c r="VQR285" s="1132" t="n"/>
      <c r="VQS285" s="1132" t="n"/>
      <c r="VQT285" s="1132" t="n"/>
      <c r="VQU285" s="1132" t="n"/>
      <c r="VQV285" s="1132" t="n"/>
      <c r="VQW285" s="1132" t="n"/>
      <c r="VQX285" s="1132" t="n"/>
      <c r="VQY285" s="1132" t="n"/>
      <c r="VQZ285" s="1132" t="n"/>
      <c r="VRA285" s="1132" t="n"/>
      <c r="VRB285" s="1132" t="n"/>
      <c r="VRC285" s="1132" t="n"/>
      <c r="VRD285" s="1132" t="n"/>
      <c r="VRE285" s="1132" t="n"/>
      <c r="VRF285" s="1132" t="n"/>
      <c r="VRG285" s="1132" t="n"/>
      <c r="VRH285" s="1132" t="n"/>
      <c r="VRI285" s="1132" t="n"/>
      <c r="VRJ285" s="1132" t="n"/>
      <c r="VRK285" s="1132" t="n"/>
      <c r="VRL285" s="1132" t="n"/>
      <c r="VRM285" s="1132" t="n"/>
      <c r="VRN285" s="1132" t="n"/>
      <c r="VRO285" s="1132" t="n"/>
      <c r="VRP285" s="1132" t="n"/>
      <c r="VRQ285" s="1132" t="n"/>
      <c r="VRR285" s="1132" t="n"/>
      <c r="VRS285" s="1132" t="n"/>
      <c r="VRT285" s="1132" t="n"/>
      <c r="VRU285" s="1132" t="n"/>
      <c r="VRV285" s="1132" t="n"/>
      <c r="VRW285" s="1132" t="n"/>
      <c r="VRX285" s="1132" t="n"/>
      <c r="VRY285" s="1132" t="n"/>
      <c r="VRZ285" s="1132" t="n"/>
      <c r="VSA285" s="1132" t="n"/>
      <c r="VSB285" s="1132" t="n"/>
      <c r="VSC285" s="1132" t="n"/>
      <c r="VSD285" s="1132" t="n"/>
      <c r="VSE285" s="1132" t="n"/>
      <c r="VSF285" s="1132" t="n"/>
      <c r="VSG285" s="1132" t="n"/>
      <c r="VSH285" s="1132" t="n"/>
      <c r="VSI285" s="1132" t="n"/>
      <c r="VSJ285" s="1132" t="n"/>
      <c r="VSK285" s="1132" t="n"/>
      <c r="VSL285" s="1132" t="n"/>
      <c r="VSM285" s="1132" t="n"/>
      <c r="VSN285" s="1132" t="n"/>
      <c r="VSO285" s="1132" t="n"/>
      <c r="VSP285" s="1132" t="n"/>
      <c r="VSQ285" s="1132" t="n"/>
      <c r="VSR285" s="1132" t="n"/>
      <c r="VSS285" s="1132" t="n"/>
      <c r="VST285" s="1132" t="n"/>
      <c r="VSU285" s="1132" t="n"/>
      <c r="VSV285" s="1132" t="n"/>
      <c r="VSW285" s="1132" t="n"/>
      <c r="VSX285" s="1132" t="n"/>
      <c r="VSY285" s="1132" t="n"/>
      <c r="VSZ285" s="1132" t="n"/>
      <c r="VTA285" s="1132" t="n"/>
      <c r="VTB285" s="1132" t="n"/>
      <c r="VTC285" s="1132" t="n"/>
      <c r="VTD285" s="1132" t="n"/>
      <c r="VTE285" s="1132" t="n"/>
      <c r="VTF285" s="1132" t="n"/>
      <c r="VTG285" s="1132" t="n"/>
      <c r="VTH285" s="1132" t="n"/>
      <c r="VTI285" s="1132" t="n"/>
      <c r="VTJ285" s="1132" t="n"/>
      <c r="VTK285" s="1132" t="n"/>
      <c r="VTL285" s="1132" t="n"/>
      <c r="VTM285" s="1132" t="n"/>
      <c r="VTN285" s="1132" t="n"/>
      <c r="VTO285" s="1132" t="n"/>
      <c r="VTP285" s="1132" t="n"/>
      <c r="VTQ285" s="1132" t="n"/>
      <c r="VTR285" s="1132" t="n"/>
      <c r="VTS285" s="1132" t="n"/>
      <c r="VTT285" s="1132" t="n"/>
      <c r="VTU285" s="1132" t="n"/>
      <c r="VTV285" s="1132" t="n"/>
      <c r="VTW285" s="1132" t="n"/>
      <c r="VTX285" s="1132" t="n"/>
      <c r="VTY285" s="1132" t="n"/>
      <c r="VTZ285" s="1132" t="n"/>
      <c r="VUA285" s="1132" t="n"/>
      <c r="VUB285" s="1132" t="n"/>
      <c r="VUC285" s="1132" t="n"/>
      <c r="VUD285" s="1132" t="n"/>
      <c r="VUE285" s="1132" t="n"/>
      <c r="VUF285" s="1132" t="n"/>
      <c r="VUG285" s="1132" t="n"/>
      <c r="VUH285" s="1132" t="n"/>
      <c r="VUI285" s="1132" t="n"/>
      <c r="VUJ285" s="1132" t="n"/>
      <c r="VUK285" s="1132" t="n"/>
      <c r="VUL285" s="1132" t="n"/>
      <c r="VUM285" s="1132" t="n"/>
      <c r="VUN285" s="1132" t="n"/>
      <c r="VUO285" s="1132" t="n"/>
      <c r="VUP285" s="1132" t="n"/>
      <c r="VUQ285" s="1132" t="n"/>
      <c r="VUR285" s="1132" t="n"/>
      <c r="VUS285" s="1132" t="n"/>
      <c r="VUT285" s="1132" t="n"/>
      <c r="VUU285" s="1132" t="n"/>
      <c r="VUV285" s="1132" t="n"/>
      <c r="VUW285" s="1132" t="n"/>
      <c r="VUX285" s="1132" t="n"/>
      <c r="VUY285" s="1132" t="n"/>
      <c r="VUZ285" s="1132" t="n"/>
      <c r="VVA285" s="1132" t="n"/>
      <c r="VVB285" s="1132" t="n"/>
      <c r="VVC285" s="1132" t="n"/>
      <c r="VVD285" s="1132" t="n"/>
      <c r="VVE285" s="1132" t="n"/>
      <c r="VVF285" s="1132" t="n"/>
      <c r="VVG285" s="1132" t="n"/>
      <c r="VVH285" s="1132" t="n"/>
      <c r="VVI285" s="1132" t="n"/>
      <c r="VVJ285" s="1132" t="n"/>
      <c r="VVK285" s="1132" t="n"/>
      <c r="VVL285" s="1132" t="n"/>
      <c r="VVM285" s="1132" t="n"/>
      <c r="VVN285" s="1132" t="n"/>
      <c r="VVO285" s="1132" t="n"/>
      <c r="VVP285" s="1132" t="n"/>
      <c r="VVQ285" s="1132" t="n"/>
      <c r="VVR285" s="1132" t="n"/>
      <c r="VVS285" s="1132" t="n"/>
      <c r="VVT285" s="1132" t="n"/>
      <c r="VVU285" s="1132" t="n"/>
      <c r="VVV285" s="1132" t="n"/>
      <c r="VVW285" s="1132" t="n"/>
      <c r="VVX285" s="1132" t="n"/>
      <c r="VVY285" s="1132" t="n"/>
      <c r="VVZ285" s="1132" t="n"/>
      <c r="VWA285" s="1132" t="n"/>
      <c r="VWB285" s="1132" t="n"/>
      <c r="VWC285" s="1132" t="n"/>
      <c r="VWD285" s="1132" t="n"/>
      <c r="VWE285" s="1132" t="n"/>
      <c r="VWF285" s="1132" t="n"/>
      <c r="VWG285" s="1132" t="n"/>
      <c r="VWH285" s="1132" t="n"/>
      <c r="VWI285" s="1132" t="n"/>
      <c r="VWJ285" s="1132" t="n"/>
      <c r="VWK285" s="1132" t="n"/>
      <c r="VWL285" s="1132" t="n"/>
      <c r="VWM285" s="1132" t="n"/>
      <c r="VWN285" s="1132" t="n"/>
      <c r="VWO285" s="1132" t="n"/>
      <c r="VWP285" s="1132" t="n"/>
      <c r="VWQ285" s="1132" t="n"/>
      <c r="VWR285" s="1132" t="n"/>
      <c r="VWS285" s="1132" t="n"/>
      <c r="VWT285" s="1132" t="n"/>
      <c r="VWU285" s="1132" t="n"/>
      <c r="VWV285" s="1132" t="n"/>
      <c r="VWW285" s="1132" t="n"/>
      <c r="VWX285" s="1132" t="n"/>
      <c r="VWY285" s="1132" t="n"/>
      <c r="VWZ285" s="1132" t="n"/>
      <c r="VXA285" s="1132" t="n"/>
      <c r="VXB285" s="1132" t="n"/>
      <c r="VXC285" s="1132" t="n"/>
      <c r="VXD285" s="1132" t="n"/>
      <c r="VXE285" s="1132" t="n"/>
      <c r="VXF285" s="1132" t="n"/>
      <c r="VXG285" s="1132" t="n"/>
      <c r="VXH285" s="1132" t="n"/>
      <c r="VXI285" s="1132" t="n"/>
      <c r="VXJ285" s="1132" t="n"/>
      <c r="VXK285" s="1132" t="n"/>
      <c r="VXL285" s="1132" t="n"/>
      <c r="VXM285" s="1132" t="n"/>
      <c r="VXN285" s="1132" t="n"/>
      <c r="VXO285" s="1132" t="n"/>
      <c r="VXP285" s="1132" t="n"/>
      <c r="VXQ285" s="1132" t="n"/>
      <c r="VXR285" s="1132" t="n"/>
      <c r="VXS285" s="1132" t="n"/>
      <c r="VXT285" s="1132" t="n"/>
      <c r="VXU285" s="1132" t="n"/>
      <c r="VXV285" s="1132" t="n"/>
      <c r="VXW285" s="1132" t="n"/>
      <c r="VXX285" s="1132" t="n"/>
      <c r="VXY285" s="1132" t="n"/>
      <c r="VXZ285" s="1132" t="n"/>
      <c r="VYA285" s="1132" t="n"/>
      <c r="VYB285" s="1132" t="n"/>
      <c r="VYC285" s="1132" t="n"/>
      <c r="VYD285" s="1132" t="n"/>
      <c r="VYE285" s="1132" t="n"/>
      <c r="VYF285" s="1132" t="n"/>
      <c r="VYG285" s="1132" t="n"/>
      <c r="VYH285" s="1132" t="n"/>
      <c r="VYI285" s="1132" t="n"/>
      <c r="VYJ285" s="1132" t="n"/>
      <c r="VYK285" s="1132" t="n"/>
      <c r="VYL285" s="1132" t="n"/>
      <c r="VYM285" s="1132" t="n"/>
      <c r="VYN285" s="1132" t="n"/>
      <c r="VYO285" s="1132" t="n"/>
      <c r="VYP285" s="1132" t="n"/>
      <c r="VYQ285" s="1132" t="n"/>
      <c r="VYR285" s="1132" t="n"/>
      <c r="VYS285" s="1132" t="n"/>
      <c r="VYT285" s="1132" t="n"/>
      <c r="VYU285" s="1132" t="n"/>
      <c r="VYV285" s="1132" t="n"/>
      <c r="VYW285" s="1132" t="n"/>
      <c r="VYX285" s="1132" t="n"/>
      <c r="VYY285" s="1132" t="n"/>
      <c r="VYZ285" s="1132" t="n"/>
      <c r="VZA285" s="1132" t="n"/>
      <c r="VZB285" s="1132" t="n"/>
      <c r="VZC285" s="1132" t="n"/>
      <c r="VZD285" s="1132" t="n"/>
      <c r="VZE285" s="1132" t="n"/>
      <c r="VZF285" s="1132" t="n"/>
      <c r="VZG285" s="1132" t="n"/>
      <c r="VZH285" s="1132" t="n"/>
      <c r="VZI285" s="1132" t="n"/>
      <c r="VZJ285" s="1132" t="n"/>
      <c r="VZK285" s="1132" t="n"/>
      <c r="VZL285" s="1132" t="n"/>
      <c r="VZM285" s="1132" t="n"/>
      <c r="VZN285" s="1132" t="n"/>
      <c r="VZO285" s="1132" t="n"/>
      <c r="VZP285" s="1132" t="n"/>
      <c r="VZQ285" s="1132" t="n"/>
      <c r="VZR285" s="1132" t="n"/>
      <c r="VZS285" s="1132" t="n"/>
      <c r="VZT285" s="1132" t="n"/>
      <c r="VZU285" s="1132" t="n"/>
      <c r="VZV285" s="1132" t="n"/>
      <c r="VZW285" s="1132" t="n"/>
      <c r="VZX285" s="1132" t="n"/>
      <c r="VZY285" s="1132" t="n"/>
      <c r="VZZ285" s="1132" t="n"/>
      <c r="WAA285" s="1132" t="n"/>
      <c r="WAB285" s="1132" t="n"/>
      <c r="WAC285" s="1132" t="n"/>
      <c r="WAD285" s="1132" t="n"/>
      <c r="WAE285" s="1132" t="n"/>
      <c r="WAF285" s="1132" t="n"/>
      <c r="WAG285" s="1132" t="n"/>
      <c r="WAH285" s="1132" t="n"/>
      <c r="WAI285" s="1132" t="n"/>
      <c r="WAJ285" s="1132" t="n"/>
      <c r="WAK285" s="1132" t="n"/>
      <c r="WAL285" s="1132" t="n"/>
      <c r="WAM285" s="1132" t="n"/>
      <c r="WAN285" s="1132" t="n"/>
      <c r="WAO285" s="1132" t="n"/>
      <c r="WAP285" s="1132" t="n"/>
      <c r="WAQ285" s="1132" t="n"/>
      <c r="WAR285" s="1132" t="n"/>
      <c r="WAS285" s="1132" t="n"/>
      <c r="WAT285" s="1132" t="n"/>
      <c r="WAU285" s="1132" t="n"/>
      <c r="WAV285" s="1132" t="n"/>
      <c r="WAW285" s="1132" t="n"/>
      <c r="WAX285" s="1132" t="n"/>
      <c r="WAY285" s="1132" t="n"/>
      <c r="WAZ285" s="1132" t="n"/>
      <c r="WBA285" s="1132" t="n"/>
      <c r="WBB285" s="1132" t="n"/>
      <c r="WBC285" s="1132" t="n"/>
      <c r="WBD285" s="1132" t="n"/>
      <c r="WBE285" s="1132" t="n"/>
      <c r="WBF285" s="1132" t="n"/>
      <c r="WBG285" s="1132" t="n"/>
      <c r="WBH285" s="1132" t="n"/>
      <c r="WBI285" s="1132" t="n"/>
      <c r="WBJ285" s="1132" t="n"/>
      <c r="WBK285" s="1132" t="n"/>
      <c r="WBL285" s="1132" t="n"/>
      <c r="WBM285" s="1132" t="n"/>
      <c r="WBN285" s="1132" t="n"/>
      <c r="WBO285" s="1132" t="n"/>
      <c r="WBP285" s="1132" t="n"/>
      <c r="WBQ285" s="1132" t="n"/>
      <c r="WBR285" s="1132" t="n"/>
      <c r="WBS285" s="1132" t="n"/>
      <c r="WBT285" s="1132" t="n"/>
      <c r="WBU285" s="1132" t="n"/>
      <c r="WBV285" s="1132" t="n"/>
      <c r="WBW285" s="1132" t="n"/>
      <c r="WBX285" s="1132" t="n"/>
      <c r="WBY285" s="1132" t="n"/>
      <c r="WBZ285" s="1132" t="n"/>
      <c r="WCA285" s="1132" t="n"/>
      <c r="WCB285" s="1132" t="n"/>
      <c r="WCC285" s="1132" t="n"/>
      <c r="WCD285" s="1132" t="n"/>
      <c r="WCE285" s="1132" t="n"/>
      <c r="WCF285" s="1132" t="n"/>
      <c r="WCG285" s="1132" t="n"/>
      <c r="WCH285" s="1132" t="n"/>
      <c r="WCI285" s="1132" t="n"/>
      <c r="WCJ285" s="1132" t="n"/>
      <c r="WCK285" s="1132" t="n"/>
      <c r="WCL285" s="1132" t="n"/>
      <c r="WCM285" s="1132" t="n"/>
      <c r="WCN285" s="1132" t="n"/>
      <c r="WCO285" s="1132" t="n"/>
      <c r="WCP285" s="1132" t="n"/>
      <c r="WCQ285" s="1132" t="n"/>
      <c r="WCR285" s="1132" t="n"/>
      <c r="WCS285" s="1132" t="n"/>
      <c r="WCT285" s="1132" t="n"/>
      <c r="WCU285" s="1132" t="n"/>
      <c r="WCV285" s="1132" t="n"/>
      <c r="WCW285" s="1132" t="n"/>
      <c r="WCX285" s="1132" t="n"/>
      <c r="WCY285" s="1132" t="n"/>
      <c r="WCZ285" s="1132" t="n"/>
      <c r="WDA285" s="1132" t="n"/>
      <c r="WDB285" s="1132" t="n"/>
      <c r="WDC285" s="1132" t="n"/>
      <c r="WDD285" s="1132" t="n"/>
      <c r="WDE285" s="1132" t="n"/>
      <c r="WDF285" s="1132" t="n"/>
      <c r="WDG285" s="1132" t="n"/>
      <c r="WDH285" s="1132" t="n"/>
      <c r="WDI285" s="1132" t="n"/>
      <c r="WDJ285" s="1132" t="n"/>
      <c r="WDK285" s="1132" t="n"/>
      <c r="WDL285" s="1132" t="n"/>
      <c r="WDM285" s="1132" t="n"/>
      <c r="WDN285" s="1132" t="n"/>
      <c r="WDO285" s="1132" t="n"/>
      <c r="WDP285" s="1132" t="n"/>
      <c r="WDQ285" s="1132" t="n"/>
      <c r="WDR285" s="1132" t="n"/>
      <c r="WDS285" s="1132" t="n"/>
      <c r="WDT285" s="1132" t="n"/>
      <c r="WDU285" s="1132" t="n"/>
      <c r="WDV285" s="1132" t="n"/>
      <c r="WDW285" s="1132" t="n"/>
      <c r="WDX285" s="1132" t="n"/>
      <c r="WDY285" s="1132" t="n"/>
      <c r="WDZ285" s="1132" t="n"/>
      <c r="WEA285" s="1132" t="n"/>
      <c r="WEB285" s="1132" t="n"/>
      <c r="WEC285" s="1132" t="n"/>
      <c r="WED285" s="1132" t="n"/>
      <c r="WEE285" s="1132" t="n"/>
      <c r="WEF285" s="1132" t="n"/>
      <c r="WEG285" s="1132" t="n"/>
      <c r="WEH285" s="1132" t="n"/>
      <c r="WEI285" s="1132" t="n"/>
      <c r="WEJ285" s="1132" t="n"/>
      <c r="WEK285" s="1132" t="n"/>
      <c r="WEL285" s="1132" t="n"/>
      <c r="WEM285" s="1132" t="n"/>
      <c r="WEN285" s="1132" t="n"/>
      <c r="WEO285" s="1132" t="n"/>
      <c r="WEP285" s="1132" t="n"/>
      <c r="WEQ285" s="1132" t="n"/>
      <c r="WER285" s="1132" t="n"/>
      <c r="WES285" s="1132" t="n"/>
      <c r="WET285" s="1132" t="n"/>
      <c r="WEU285" s="1132" t="n"/>
      <c r="WEV285" s="1132" t="n"/>
      <c r="WEW285" s="1132" t="n"/>
      <c r="WEX285" s="1132" t="n"/>
      <c r="WEY285" s="1132" t="n"/>
      <c r="WEZ285" s="1132" t="n"/>
      <c r="WFA285" s="1132" t="n"/>
      <c r="WFB285" s="1132" t="n"/>
      <c r="WFC285" s="1132" t="n"/>
      <c r="WFD285" s="1132" t="n"/>
      <c r="WFE285" s="1132" t="n"/>
      <c r="WFF285" s="1132" t="n"/>
      <c r="WFG285" s="1132" t="n"/>
      <c r="WFH285" s="1132" t="n"/>
      <c r="WFI285" s="1132" t="n"/>
      <c r="WFJ285" s="1132" t="n"/>
      <c r="WFK285" s="1132" t="n"/>
      <c r="WFL285" s="1132" t="n"/>
      <c r="WFM285" s="1132" t="n"/>
      <c r="WFN285" s="1132" t="n"/>
      <c r="WFO285" s="1132" t="n"/>
      <c r="WFP285" s="1132" t="n"/>
      <c r="WFQ285" s="1132" t="n"/>
      <c r="WFR285" s="1132" t="n"/>
      <c r="WFS285" s="1132" t="n"/>
      <c r="WFT285" s="1132" t="n"/>
      <c r="WFU285" s="1132" t="n"/>
      <c r="WFV285" s="1132" t="n"/>
      <c r="WFW285" s="1132" t="n"/>
      <c r="WFX285" s="1132" t="n"/>
      <c r="WFY285" s="1132" t="n"/>
      <c r="WFZ285" s="1132" t="n"/>
      <c r="WGA285" s="1132" t="n"/>
      <c r="WGB285" s="1132" t="n"/>
      <c r="WGC285" s="1132" t="n"/>
      <c r="WGD285" s="1132" t="n"/>
      <c r="WGE285" s="1132" t="n"/>
      <c r="WGF285" s="1132" t="n"/>
      <c r="WGG285" s="1132" t="n"/>
      <c r="WGH285" s="1132" t="n"/>
      <c r="WGI285" s="1132" t="n"/>
      <c r="WGJ285" s="1132" t="n"/>
      <c r="WGK285" s="1132" t="n"/>
      <c r="WGL285" s="1132" t="n"/>
      <c r="WGM285" s="1132" t="n"/>
      <c r="WGN285" s="1132" t="n"/>
      <c r="WGO285" s="1132" t="n"/>
      <c r="WGP285" s="1132" t="n"/>
      <c r="WGQ285" s="1132" t="n"/>
      <c r="WGR285" s="1132" t="n"/>
      <c r="WGS285" s="1132" t="n"/>
      <c r="WGT285" s="1132" t="n"/>
      <c r="WGU285" s="1132" t="n"/>
      <c r="WGV285" s="1132" t="n"/>
      <c r="WGW285" s="1132" t="n"/>
      <c r="WGX285" s="1132" t="n"/>
      <c r="WGY285" s="1132" t="n"/>
      <c r="WGZ285" s="1132" t="n"/>
      <c r="WHA285" s="1132" t="n"/>
      <c r="WHB285" s="1132" t="n"/>
      <c r="WHC285" s="1132" t="n"/>
      <c r="WHD285" s="1132" t="n"/>
      <c r="WHE285" s="1132" t="n"/>
      <c r="WHF285" s="1132" t="n"/>
      <c r="WHG285" s="1132" t="n"/>
      <c r="WHH285" s="1132" t="n"/>
      <c r="WHI285" s="1132" t="n"/>
      <c r="WHJ285" s="1132" t="n"/>
      <c r="WHK285" s="1132" t="n"/>
      <c r="WHL285" s="1132" t="n"/>
      <c r="WHM285" s="1132" t="n"/>
      <c r="WHN285" s="1132" t="n"/>
      <c r="WHO285" s="1132" t="n"/>
      <c r="WHP285" s="1132" t="n"/>
      <c r="WHQ285" s="1132" t="n"/>
      <c r="WHR285" s="1132" t="n"/>
      <c r="WHS285" s="1132" t="n"/>
      <c r="WHT285" s="1132" t="n"/>
      <c r="WHU285" s="1132" t="n"/>
      <c r="WHV285" s="1132" t="n"/>
      <c r="WHW285" s="1132" t="n"/>
      <c r="WHX285" s="1132" t="n"/>
      <c r="WHY285" s="1132" t="n"/>
      <c r="WHZ285" s="1132" t="n"/>
      <c r="WIA285" s="1132" t="n"/>
      <c r="WIB285" s="1132" t="n"/>
      <c r="WIC285" s="1132" t="n"/>
      <c r="WID285" s="1132" t="n"/>
      <c r="WIE285" s="1132" t="n"/>
      <c r="WIF285" s="1132" t="n"/>
      <c r="WIG285" s="1132" t="n"/>
      <c r="WIH285" s="1132" t="n"/>
      <c r="WII285" s="1132" t="n"/>
      <c r="WIJ285" s="1132" t="n"/>
      <c r="WIK285" s="1132" t="n"/>
      <c r="WIL285" s="1132" t="n"/>
      <c r="WIM285" s="1132" t="n"/>
      <c r="WIN285" s="1132" t="n"/>
      <c r="WIO285" s="1132" t="n"/>
      <c r="WIP285" s="1132" t="n"/>
      <c r="WIQ285" s="1132" t="n"/>
      <c r="WIR285" s="1132" t="n"/>
      <c r="WIS285" s="1132" t="n"/>
      <c r="WIT285" s="1132" t="n"/>
      <c r="WIU285" s="1132" t="n"/>
      <c r="WIV285" s="1132" t="n"/>
      <c r="WIW285" s="1132" t="n"/>
      <c r="WIX285" s="1132" t="n"/>
      <c r="WIY285" s="1132" t="n"/>
      <c r="WIZ285" s="1132" t="n"/>
      <c r="WJA285" s="1132" t="n"/>
      <c r="WJB285" s="1132" t="n"/>
      <c r="WJC285" s="1132" t="n"/>
      <c r="WJD285" s="1132" t="n"/>
      <c r="WJE285" s="1132" t="n"/>
      <c r="WJF285" s="1132" t="n"/>
      <c r="WJG285" s="1132" t="n"/>
      <c r="WJH285" s="1132" t="n"/>
      <c r="WJI285" s="1132" t="n"/>
      <c r="WJJ285" s="1132" t="n"/>
      <c r="WJK285" s="1132" t="n"/>
      <c r="WJL285" s="1132" t="n"/>
      <c r="WJM285" s="1132" t="n"/>
      <c r="WJN285" s="1132" t="n"/>
      <c r="WJO285" s="1132" t="n"/>
      <c r="WJP285" s="1132" t="n"/>
      <c r="WJQ285" s="1132" t="n"/>
      <c r="WJR285" s="1132" t="n"/>
      <c r="WJS285" s="1132" t="n"/>
      <c r="WJT285" s="1132" t="n"/>
      <c r="WJU285" s="1132" t="n"/>
      <c r="WJV285" s="1132" t="n"/>
      <c r="WJW285" s="1132" t="n"/>
      <c r="WJX285" s="1132" t="n"/>
      <c r="WJY285" s="1132" t="n"/>
      <c r="WJZ285" s="1132" t="n"/>
      <c r="WKA285" s="1132" t="n"/>
      <c r="WKB285" s="1132" t="n"/>
      <c r="WKC285" s="1132" t="n"/>
      <c r="WKD285" s="1132" t="n"/>
      <c r="WKE285" s="1132" t="n"/>
      <c r="WKF285" s="1132" t="n"/>
      <c r="WKG285" s="1132" t="n"/>
      <c r="WKH285" s="1132" t="n"/>
      <c r="WKI285" s="1132" t="n"/>
      <c r="WKJ285" s="1132" t="n"/>
      <c r="WKK285" s="1132" t="n"/>
      <c r="WKL285" s="1132" t="n"/>
      <c r="WKM285" s="1132" t="n"/>
      <c r="WKN285" s="1132" t="n"/>
      <c r="WKO285" s="1132" t="n"/>
      <c r="WKP285" s="1132" t="n"/>
      <c r="WKQ285" s="1132" t="n"/>
      <c r="WKR285" s="1132" t="n"/>
      <c r="WKS285" s="1132" t="n"/>
      <c r="WKT285" s="1132" t="n"/>
      <c r="WKU285" s="1132" t="n"/>
      <c r="WKV285" s="1132" t="n"/>
      <c r="WKW285" s="1132" t="n"/>
      <c r="WKX285" s="1132" t="n"/>
      <c r="WKY285" s="1132" t="n"/>
      <c r="WKZ285" s="1132" t="n"/>
      <c r="WLA285" s="1132" t="n"/>
      <c r="WLB285" s="1132" t="n"/>
      <c r="WLC285" s="1132" t="n"/>
      <c r="WLD285" s="1132" t="n"/>
      <c r="WLE285" s="1132" t="n"/>
      <c r="WLF285" s="1132" t="n"/>
      <c r="WLG285" s="1132" t="n"/>
      <c r="WLH285" s="1132" t="n"/>
      <c r="WLI285" s="1132" t="n"/>
      <c r="WLJ285" s="1132" t="n"/>
      <c r="WLK285" s="1132" t="n"/>
      <c r="WLL285" s="1132" t="n"/>
      <c r="WLM285" s="1132" t="n"/>
      <c r="WLN285" s="1132" t="n"/>
      <c r="WLO285" s="1132" t="n"/>
      <c r="WLP285" s="1132" t="n"/>
      <c r="WLQ285" s="1132" t="n"/>
      <c r="WLR285" s="1132" t="n"/>
      <c r="WLS285" s="1132" t="n"/>
      <c r="WLT285" s="1132" t="n"/>
      <c r="WLU285" s="1132" t="n"/>
      <c r="WLV285" s="1132" t="n"/>
      <c r="WLW285" s="1132" t="n"/>
      <c r="WLX285" s="1132" t="n"/>
      <c r="WLY285" s="1132" t="n"/>
      <c r="WLZ285" s="1132" t="n"/>
      <c r="WMA285" s="1132" t="n"/>
      <c r="WMB285" s="1132" t="n"/>
      <c r="WMC285" s="1132" t="n"/>
      <c r="WMD285" s="1132" t="n"/>
      <c r="WME285" s="1132" t="n"/>
      <c r="WMF285" s="1132" t="n"/>
      <c r="WMG285" s="1132" t="n"/>
      <c r="WMH285" s="1132" t="n"/>
      <c r="WMI285" s="1132" t="n"/>
      <c r="WMJ285" s="1132" t="n"/>
      <c r="WMK285" s="1132" t="n"/>
      <c r="WML285" s="1132" t="n"/>
      <c r="WMM285" s="1132" t="n"/>
      <c r="WMN285" s="1132" t="n"/>
      <c r="WMO285" s="1132" t="n"/>
      <c r="WMP285" s="1132" t="n"/>
      <c r="WMQ285" s="1132" t="n"/>
      <c r="WMR285" s="1132" t="n"/>
      <c r="WMS285" s="1132" t="n"/>
      <c r="WMT285" s="1132" t="n"/>
      <c r="WMU285" s="1132" t="n"/>
      <c r="WMV285" s="1132" t="n"/>
      <c r="WMW285" s="1132" t="n"/>
      <c r="WMX285" s="1132" t="n"/>
      <c r="WMY285" s="1132" t="n"/>
      <c r="WMZ285" s="1132" t="n"/>
      <c r="WNA285" s="1132" t="n"/>
      <c r="WNB285" s="1132" t="n"/>
      <c r="WNC285" s="1132" t="n"/>
      <c r="WND285" s="1132" t="n"/>
      <c r="WNE285" s="1132" t="n"/>
      <c r="WNF285" s="1132" t="n"/>
      <c r="WNG285" s="1132" t="n"/>
      <c r="WNH285" s="1132" t="n"/>
      <c r="WNI285" s="1132" t="n"/>
      <c r="WNJ285" s="1132" t="n"/>
      <c r="WNK285" s="1132" t="n"/>
      <c r="WNL285" s="1132" t="n"/>
      <c r="WNM285" s="1132" t="n"/>
      <c r="WNN285" s="1132" t="n"/>
      <c r="WNO285" s="1132" t="n"/>
      <c r="WNP285" s="1132" t="n"/>
      <c r="WNQ285" s="1132" t="n"/>
      <c r="WNR285" s="1132" t="n"/>
      <c r="WNS285" s="1132" t="n"/>
      <c r="WNT285" s="1132" t="n"/>
      <c r="WNU285" s="1132" t="n"/>
      <c r="WNV285" s="1132" t="n"/>
      <c r="WNW285" s="1132" t="n"/>
      <c r="WNX285" s="1132" t="n"/>
      <c r="WNY285" s="1132" t="n"/>
      <c r="WNZ285" s="1132" t="n"/>
      <c r="WOA285" s="1132" t="n"/>
      <c r="WOB285" s="1132" t="n"/>
      <c r="WOC285" s="1132" t="n"/>
      <c r="WOD285" s="1132" t="n"/>
      <c r="WOE285" s="1132" t="n"/>
      <c r="WOF285" s="1132" t="n"/>
      <c r="WOG285" s="1132" t="n"/>
      <c r="WOH285" s="1132" t="n"/>
      <c r="WOI285" s="1132" t="n"/>
      <c r="WOJ285" s="1132" t="n"/>
      <c r="WOK285" s="1132" t="n"/>
      <c r="WOL285" s="1132" t="n"/>
      <c r="WOM285" s="1132" t="n"/>
      <c r="WON285" s="1132" t="n"/>
      <c r="WOO285" s="1132" t="n"/>
      <c r="WOP285" s="1132" t="n"/>
      <c r="WOQ285" s="1132" t="n"/>
      <c r="WOR285" s="1132" t="n"/>
      <c r="WOS285" s="1132" t="n"/>
      <c r="WOT285" s="1132" t="n"/>
      <c r="WOU285" s="1132" t="n"/>
      <c r="WOV285" s="1132" t="n"/>
      <c r="WOW285" s="1132" t="n"/>
      <c r="WOX285" s="1132" t="n"/>
      <c r="WOY285" s="1132" t="n"/>
      <c r="WOZ285" s="1132" t="n"/>
      <c r="WPA285" s="1132" t="n"/>
      <c r="WPB285" s="1132" t="n"/>
      <c r="WPC285" s="1132" t="n"/>
      <c r="WPD285" s="1132" t="n"/>
      <c r="WPE285" s="1132" t="n"/>
      <c r="WPF285" s="1132" t="n"/>
      <c r="WPG285" s="1132" t="n"/>
      <c r="WPH285" s="1132" t="n"/>
      <c r="WPI285" s="1132" t="n"/>
      <c r="WPJ285" s="1132" t="n"/>
      <c r="WPK285" s="1132" t="n"/>
      <c r="WPL285" s="1132" t="n"/>
      <c r="WPM285" s="1132" t="n"/>
      <c r="WPN285" s="1132" t="n"/>
      <c r="WPO285" s="1132" t="n"/>
      <c r="WPP285" s="1132" t="n"/>
      <c r="WPQ285" s="1132" t="n"/>
      <c r="WPR285" s="1132" t="n"/>
      <c r="WPS285" s="1132" t="n"/>
      <c r="WPT285" s="1132" t="n"/>
      <c r="WPU285" s="1132" t="n"/>
      <c r="WPV285" s="1132" t="n"/>
      <c r="WPW285" s="1132" t="n"/>
      <c r="WPX285" s="1132" t="n"/>
      <c r="WPY285" s="1132" t="n"/>
      <c r="WPZ285" s="1132" t="n"/>
      <c r="WQA285" s="1132" t="n"/>
      <c r="WQB285" s="1132" t="n"/>
      <c r="WQC285" s="1132" t="n"/>
      <c r="WQD285" s="1132" t="n"/>
      <c r="WQE285" s="1132" t="n"/>
      <c r="WQF285" s="1132" t="n"/>
      <c r="WQG285" s="1132" t="n"/>
      <c r="WQH285" s="1132" t="n"/>
      <c r="WQI285" s="1132" t="n"/>
      <c r="WQJ285" s="1132" t="n"/>
      <c r="WQK285" s="1132" t="n"/>
      <c r="WQL285" s="1132" t="n"/>
      <c r="WQM285" s="1132" t="n"/>
      <c r="WQN285" s="1132" t="n"/>
      <c r="WQO285" s="1132" t="n"/>
      <c r="WQP285" s="1132" t="n"/>
      <c r="WQQ285" s="1132" t="n"/>
      <c r="WQR285" s="1132" t="n"/>
      <c r="WQS285" s="1132" t="n"/>
      <c r="WQT285" s="1132" t="n"/>
      <c r="WQU285" s="1132" t="n"/>
      <c r="WQV285" s="1132" t="n"/>
      <c r="WQW285" s="1132" t="n"/>
      <c r="WQX285" s="1132" t="n"/>
      <c r="WQY285" s="1132" t="n"/>
      <c r="WQZ285" s="1132" t="n"/>
      <c r="WRA285" s="1132" t="n"/>
      <c r="WRB285" s="1132" t="n"/>
      <c r="WRC285" s="1132" t="n"/>
      <c r="WRD285" s="1132" t="n"/>
      <c r="WRE285" s="1132" t="n"/>
      <c r="WRF285" s="1132" t="n"/>
      <c r="WRG285" s="1132" t="n"/>
      <c r="WRH285" s="1132" t="n"/>
      <c r="WRI285" s="1132" t="n"/>
      <c r="WRJ285" s="1132" t="n"/>
      <c r="WRK285" s="1132" t="n"/>
      <c r="WRL285" s="1132" t="n"/>
      <c r="WRM285" s="1132" t="n"/>
      <c r="WRN285" s="1132" t="n"/>
      <c r="WRO285" s="1132" t="n"/>
      <c r="WRP285" s="1132" t="n"/>
      <c r="WRQ285" s="1132" t="n"/>
      <c r="WRR285" s="1132" t="n"/>
      <c r="WRS285" s="1132" t="n"/>
      <c r="WRT285" s="1132" t="n"/>
      <c r="WRU285" s="1132" t="n"/>
      <c r="WRV285" s="1132" t="n"/>
      <c r="WRW285" s="1132" t="n"/>
      <c r="WRX285" s="1132" t="n"/>
      <c r="WRY285" s="1132" t="n"/>
      <c r="WRZ285" s="1132" t="n"/>
      <c r="WSA285" s="1132" t="n"/>
      <c r="WSB285" s="1132" t="n"/>
      <c r="WSC285" s="1132" t="n"/>
      <c r="WSD285" s="1132" t="n"/>
      <c r="WSE285" s="1132" t="n"/>
      <c r="WSF285" s="1132" t="n"/>
      <c r="WSG285" s="1132" t="n"/>
      <c r="WSH285" s="1132" t="n"/>
      <c r="WSI285" s="1132" t="n"/>
      <c r="WSJ285" s="1132" t="n"/>
      <c r="WSK285" s="1132" t="n"/>
      <c r="WSL285" s="1132" t="n"/>
      <c r="WSM285" s="1132" t="n"/>
      <c r="WSN285" s="1132" t="n"/>
      <c r="WSO285" s="1132" t="n"/>
      <c r="WSP285" s="1132" t="n"/>
      <c r="WSQ285" s="1132" t="n"/>
      <c r="WSR285" s="1132" t="n"/>
      <c r="WSS285" s="1132" t="n"/>
      <c r="WST285" s="1132" t="n"/>
      <c r="WSU285" s="1132" t="n"/>
      <c r="WSV285" s="1132" t="n"/>
      <c r="WSW285" s="1132" t="n"/>
      <c r="WSX285" s="1132" t="n"/>
      <c r="WSY285" s="1132" t="n"/>
      <c r="WSZ285" s="1132" t="n"/>
      <c r="WTA285" s="1132" t="n"/>
      <c r="WTB285" s="1132" t="n"/>
      <c r="WTC285" s="1132" t="n"/>
      <c r="WTD285" s="1132" t="n"/>
      <c r="WTE285" s="1132" t="n"/>
      <c r="WTF285" s="1132" t="n"/>
      <c r="WTG285" s="1132" t="n"/>
      <c r="WTH285" s="1132" t="n"/>
      <c r="WTI285" s="1132" t="n"/>
      <c r="WTJ285" s="1132" t="n"/>
      <c r="WTK285" s="1132" t="n"/>
      <c r="WTL285" s="1132" t="n"/>
      <c r="WTM285" s="1132" t="n"/>
      <c r="WTN285" s="1132" t="n"/>
      <c r="WTO285" s="1132" t="n"/>
      <c r="WTP285" s="1132" t="n"/>
      <c r="WTQ285" s="1132" t="n"/>
      <c r="WTR285" s="1132" t="n"/>
      <c r="WTS285" s="1132" t="n"/>
      <c r="WTT285" s="1132" t="n"/>
      <c r="WTU285" s="1132" t="n"/>
      <c r="WTV285" s="1132" t="n"/>
      <c r="WTW285" s="1132" t="n"/>
      <c r="WTX285" s="1132" t="n"/>
      <c r="WTY285" s="1132" t="n"/>
      <c r="WTZ285" s="1132" t="n"/>
      <c r="WUA285" s="1132" t="n"/>
      <c r="WUB285" s="1132" t="n"/>
      <c r="WUC285" s="1132" t="n"/>
      <c r="WUD285" s="1132" t="n"/>
      <c r="WUE285" s="1132" t="n"/>
      <c r="WUF285" s="1132" t="n"/>
      <c r="WUG285" s="1132" t="n"/>
      <c r="WUH285" s="1132" t="n"/>
      <c r="WUI285" s="1132" t="n"/>
      <c r="WUJ285" s="1132" t="n"/>
      <c r="WUK285" s="1132" t="n"/>
      <c r="WUL285" s="1132" t="n"/>
      <c r="WUM285" s="1132" t="n"/>
      <c r="WUN285" s="1132" t="n"/>
      <c r="WUO285" s="1132" t="n"/>
      <c r="WUP285" s="1132" t="n"/>
      <c r="WUQ285" s="1132" t="n"/>
      <c r="WUR285" s="1132" t="n"/>
      <c r="WUS285" s="1132" t="n"/>
      <c r="WUT285" s="1132" t="n"/>
      <c r="WUU285" s="1132" t="n"/>
      <c r="WUV285" s="1132" t="n"/>
      <c r="WUW285" s="1132" t="n"/>
      <c r="WUX285" s="1132" t="n"/>
      <c r="WUY285" s="1132" t="n"/>
      <c r="WUZ285" s="1132" t="n"/>
      <c r="WVA285" s="1132" t="n"/>
      <c r="WVB285" s="1132" t="n"/>
      <c r="WVC285" s="1132" t="n"/>
      <c r="WVD285" s="1132" t="n"/>
      <c r="WVE285" s="1132" t="n"/>
      <c r="WVF285" s="1132" t="n"/>
      <c r="WVG285" s="1132" t="n"/>
      <c r="WVH285" s="1132" t="n"/>
      <c r="WVI285" s="1132" t="n"/>
      <c r="WVJ285" s="1132" t="n"/>
      <c r="WVK285" s="1132" t="n"/>
      <c r="WVL285" s="1132" t="n"/>
      <c r="WVM285" s="1132" t="n"/>
      <c r="WVN285" s="1132" t="n"/>
      <c r="WVO285" s="1132" t="n"/>
      <c r="WVP285" s="1132" t="n"/>
      <c r="WVQ285" s="1132" t="n"/>
      <c r="WVR285" s="1132" t="n"/>
      <c r="WVS285" s="1132" t="n"/>
      <c r="WVT285" s="1132" t="n"/>
      <c r="WVU285" s="1132" t="n"/>
      <c r="WVV285" s="1132" t="n"/>
      <c r="WVW285" s="1132" t="n"/>
      <c r="WVX285" s="1132" t="n"/>
      <c r="WVY285" s="1132" t="n"/>
      <c r="WVZ285" s="1132" t="n"/>
      <c r="WWA285" s="1132" t="n"/>
      <c r="WWB285" s="1132" t="n"/>
      <c r="WWC285" s="1132" t="n"/>
      <c r="WWD285" s="1132" t="n"/>
      <c r="WWE285" s="1132" t="n"/>
      <c r="WWF285" s="1132" t="n"/>
      <c r="WWG285" s="1132" t="n"/>
      <c r="WWH285" s="1132" t="n"/>
      <c r="WWI285" s="1132" t="n"/>
      <c r="WWJ285" s="1132" t="n"/>
      <c r="WWK285" s="1132" t="n"/>
      <c r="WWL285" s="1132" t="n"/>
      <c r="WWM285" s="1132" t="n"/>
      <c r="WWN285" s="1132" t="n"/>
      <c r="WWO285" s="1132" t="n"/>
      <c r="WWP285" s="1132" t="n"/>
      <c r="WWQ285" s="1132" t="n"/>
      <c r="WWR285" s="1132" t="n"/>
      <c r="WWS285" s="1132" t="n"/>
      <c r="WWT285" s="1132" t="n"/>
      <c r="WWU285" s="1132" t="n"/>
      <c r="WWV285" s="1132" t="n"/>
      <c r="WWW285" s="1132" t="n"/>
      <c r="WWX285" s="1132" t="n"/>
      <c r="WWY285" s="1132" t="n"/>
      <c r="WWZ285" s="1132" t="n"/>
      <c r="WXA285" s="1132" t="n"/>
      <c r="WXB285" s="1132" t="n"/>
      <c r="WXC285" s="1132" t="n"/>
      <c r="WXD285" s="1132" t="n"/>
      <c r="WXE285" s="1132" t="n"/>
      <c r="WXF285" s="1132" t="n"/>
      <c r="WXG285" s="1132" t="n"/>
      <c r="WXH285" s="1132" t="n"/>
      <c r="WXI285" s="1132" t="n"/>
      <c r="WXJ285" s="1132" t="n"/>
      <c r="WXK285" s="1132" t="n"/>
      <c r="WXL285" s="1132" t="n"/>
      <c r="WXM285" s="1132" t="n"/>
      <c r="WXN285" s="1132" t="n"/>
      <c r="WXO285" s="1132" t="n"/>
      <c r="WXP285" s="1132" t="n"/>
      <c r="WXQ285" s="1132" t="n"/>
      <c r="WXR285" s="1132" t="n"/>
      <c r="WXS285" s="1132" t="n"/>
      <c r="WXT285" s="1132" t="n"/>
      <c r="WXU285" s="1132" t="n"/>
      <c r="WXV285" s="1132" t="n"/>
      <c r="WXW285" s="1132" t="n"/>
      <c r="WXX285" s="1132" t="n"/>
      <c r="WXY285" s="1132" t="n"/>
      <c r="WXZ285" s="1132" t="n"/>
      <c r="WYA285" s="1132" t="n"/>
      <c r="WYB285" s="1132" t="n"/>
      <c r="WYC285" s="1132" t="n"/>
      <c r="WYD285" s="1132" t="n"/>
      <c r="WYE285" s="1132" t="n"/>
      <c r="WYF285" s="1132" t="n"/>
      <c r="WYG285" s="1132" t="n"/>
      <c r="WYH285" s="1132" t="n"/>
      <c r="WYI285" s="1132" t="n"/>
      <c r="WYJ285" s="1132" t="n"/>
      <c r="WYK285" s="1132" t="n"/>
      <c r="WYL285" s="1132" t="n"/>
      <c r="WYM285" s="1132" t="n"/>
      <c r="WYN285" s="1132" t="n"/>
      <c r="WYO285" s="1132" t="n"/>
      <c r="WYP285" s="1132" t="n"/>
      <c r="WYQ285" s="1132" t="n"/>
      <c r="WYR285" s="1132" t="n"/>
      <c r="WYS285" s="1132" t="n"/>
      <c r="WYT285" s="1132" t="n"/>
      <c r="WYU285" s="1132" t="n"/>
      <c r="WYV285" s="1132" t="n"/>
      <c r="WYW285" s="1132" t="n"/>
      <c r="WYX285" s="1132" t="n"/>
      <c r="WYY285" s="1132" t="n"/>
      <c r="WYZ285" s="1132" t="n"/>
      <c r="WZA285" s="1132" t="n"/>
      <c r="WZB285" s="1132" t="n"/>
      <c r="WZC285" s="1132" t="n"/>
      <c r="WZD285" s="1132" t="n"/>
      <c r="WZE285" s="1132" t="n"/>
      <c r="WZF285" s="1132" t="n"/>
      <c r="WZG285" s="1132" t="n"/>
      <c r="WZH285" s="1132" t="n"/>
      <c r="WZI285" s="1132" t="n"/>
      <c r="WZJ285" s="1132" t="n"/>
      <c r="WZK285" s="1132" t="n"/>
      <c r="WZL285" s="1132" t="n"/>
      <c r="WZM285" s="1132" t="n"/>
      <c r="WZN285" s="1132" t="n"/>
      <c r="WZO285" s="1132" t="n"/>
      <c r="WZP285" s="1132" t="n"/>
      <c r="WZQ285" s="1132" t="n"/>
      <c r="WZR285" s="1132" t="n"/>
      <c r="WZS285" s="1132" t="n"/>
      <c r="WZT285" s="1132" t="n"/>
      <c r="WZU285" s="1132" t="n"/>
      <c r="WZV285" s="1132" t="n"/>
      <c r="WZW285" s="1132" t="n"/>
      <c r="WZX285" s="1132" t="n"/>
      <c r="WZY285" s="1132" t="n"/>
      <c r="WZZ285" s="1132" t="n"/>
      <c r="XAA285" s="1132" t="n"/>
      <c r="XAB285" s="1132" t="n"/>
      <c r="XAC285" s="1132" t="n"/>
      <c r="XAD285" s="1132" t="n"/>
      <c r="XAE285" s="1132" t="n"/>
      <c r="XAF285" s="1132" t="n"/>
      <c r="XAG285" s="1132" t="n"/>
      <c r="XAH285" s="1132" t="n"/>
      <c r="XAI285" s="1132" t="n"/>
      <c r="XAJ285" s="1132" t="n"/>
      <c r="XAK285" s="1132" t="n"/>
      <c r="XAL285" s="1132" t="n"/>
      <c r="XAM285" s="1132" t="n"/>
      <c r="XAN285" s="1132" t="n"/>
      <c r="XAO285" s="1132" t="n"/>
      <c r="XAP285" s="1132" t="n"/>
      <c r="XAQ285" s="1132" t="n"/>
      <c r="XAR285" s="1132" t="n"/>
      <c r="XAS285" s="1132" t="n"/>
      <c r="XAT285" s="1132" t="n"/>
      <c r="XAU285" s="1132" t="n"/>
      <c r="XAV285" s="1132" t="n"/>
      <c r="XAW285" s="1132" t="n"/>
      <c r="XAX285" s="1132" t="n"/>
      <c r="XAY285" s="1132" t="n"/>
      <c r="XAZ285" s="1132" t="n"/>
      <c r="XBA285" s="1132" t="n"/>
      <c r="XBB285" s="1132" t="n"/>
      <c r="XBC285" s="1132" t="n"/>
      <c r="XBD285" s="1132" t="n"/>
      <c r="XBE285" s="1132" t="n"/>
      <c r="XBF285" s="1132" t="n"/>
      <c r="XBG285" s="1132" t="n"/>
      <c r="XBH285" s="1132" t="n"/>
      <c r="XBI285" s="1132" t="n"/>
      <c r="XBJ285" s="1132" t="n"/>
      <c r="XBK285" s="1132" t="n"/>
      <c r="XBL285" s="1132" t="n"/>
      <c r="XBM285" s="1132" t="n"/>
      <c r="XBN285" s="1132" t="n"/>
      <c r="XBO285" s="1132" t="n"/>
      <c r="XBP285" s="1132" t="n"/>
      <c r="XBQ285" s="1132" t="n"/>
      <c r="XBR285" s="1132" t="n"/>
      <c r="XBS285" s="1132" t="n"/>
      <c r="XBT285" s="1132" t="n"/>
      <c r="XBU285" s="1132" t="n"/>
      <c r="XBV285" s="1132" t="n"/>
      <c r="XBW285" s="1132" t="n"/>
      <c r="XBX285" s="1132" t="n"/>
      <c r="XBY285" s="1132" t="n"/>
      <c r="XBZ285" s="1132" t="n"/>
      <c r="XCA285" s="1132" t="n"/>
      <c r="XCB285" s="1132" t="n"/>
      <c r="XCC285" s="1132" t="n"/>
      <c r="XCD285" s="1132" t="n"/>
      <c r="XCE285" s="1132" t="n"/>
      <c r="XCF285" s="1132" t="n"/>
      <c r="XCG285" s="1132" t="n"/>
      <c r="XCH285" s="1132" t="n"/>
      <c r="XCI285" s="1132" t="n"/>
      <c r="XCJ285" s="1132" t="n"/>
      <c r="XCK285" s="1132" t="n"/>
      <c r="XCL285" s="1132" t="n"/>
      <c r="XCM285" s="1132" t="n"/>
      <c r="XCN285" s="1132" t="n"/>
      <c r="XCO285" s="1132" t="n"/>
      <c r="XCP285" s="1132" t="n"/>
      <c r="XCQ285" s="1132" t="n"/>
      <c r="XCR285" s="1132" t="n"/>
      <c r="XCS285" s="1132" t="n"/>
      <c r="XCT285" s="1132" t="n"/>
      <c r="XCU285" s="1132" t="n"/>
      <c r="XCV285" s="1132" t="n"/>
      <c r="XCW285" s="1132" t="n"/>
      <c r="XCX285" s="1132" t="n"/>
      <c r="XCY285" s="1132" t="n"/>
      <c r="XCZ285" s="1132" t="n"/>
      <c r="XDA285" s="1132" t="n"/>
      <c r="XDB285" s="1132" t="n"/>
      <c r="XDC285" s="1132" t="n"/>
      <c r="XDD285" s="1132" t="n"/>
      <c r="XDE285" s="1132" t="n"/>
      <c r="XDF285" s="1132" t="n"/>
      <c r="XDG285" s="1132" t="n"/>
      <c r="XDH285" s="1132" t="n"/>
      <c r="XDI285" s="1132" t="n"/>
      <c r="XDJ285" s="1132" t="n"/>
      <c r="XDK285" s="1132" t="n"/>
      <c r="XDL285" s="1132" t="n"/>
      <c r="XDM285" s="1132" t="n"/>
      <c r="XDN285" s="1132" t="n"/>
      <c r="XDO285" s="1132" t="n"/>
      <c r="XDP285" s="1132" t="n"/>
      <c r="XDQ285" s="1132" t="n"/>
      <c r="XDR285" s="1132" t="n"/>
      <c r="XDS285" s="1132" t="n"/>
      <c r="XDT285" s="1132" t="n"/>
      <c r="XDU285" s="1132" t="n"/>
      <c r="XDV285" s="1132" t="n"/>
      <c r="XDW285" s="1132" t="n"/>
      <c r="XDX285" s="1132" t="n"/>
      <c r="XDY285" s="1132" t="n"/>
      <c r="XDZ285" s="1132" t="n"/>
      <c r="XEA285" s="1132" t="n"/>
      <c r="XEB285" s="1132" t="n"/>
      <c r="XEC285" s="1132" t="n"/>
      <c r="XED285" s="1132" t="n"/>
      <c r="XEE285" s="1132" t="n"/>
      <c r="XEF285" s="1132" t="n"/>
      <c r="XEG285" s="1132" t="n"/>
      <c r="XEH285" s="1132" t="n"/>
      <c r="XEI285" s="1132" t="n"/>
      <c r="XEJ285" s="1132" t="n"/>
      <c r="XEK285" s="1132" t="n"/>
      <c r="XEL285" s="1132" t="n"/>
      <c r="XEM285" s="1132" t="n"/>
      <c r="XEN285" s="1132" t="n"/>
      <c r="XEO285" s="1132" t="n"/>
      <c r="XEP285" s="1132" t="n"/>
      <c r="XEQ285" s="1132" t="n"/>
      <c r="XER285" s="1132" t="n"/>
      <c r="XES285" s="1132" t="n"/>
      <c r="XET285" s="1132" t="n"/>
      <c r="XEU285" s="1132" t="n"/>
      <c r="XEV285" s="1132" t="n"/>
      <c r="XEW285" s="1132" t="n"/>
      <c r="XEX285" s="1132" t="n"/>
      <c r="XEY285" s="1132" t="n"/>
      <c r="XEZ285" s="1132" t="n"/>
      <c r="XFA285" s="1132" t="n"/>
      <c r="XFB285" s="1132" t="n"/>
      <c r="XFC285" s="1132" t="n"/>
      <c r="XFD285" s="1132" t="n"/>
    </row>
    <row r="286" ht="12.75" customHeight="1" s="1134">
      <c r="A286" s="1132" t="n"/>
      <c r="B286" s="1132" t="n"/>
      <c r="C286" s="1132" t="n"/>
      <c r="D286" s="1132" t="n"/>
      <c r="E286" s="1132" t="n"/>
      <c r="F286" s="1132" t="n"/>
      <c r="G286" s="1132" t="n"/>
      <c r="H286" s="1132" t="n"/>
      <c r="I286" s="1132" t="n"/>
      <c r="J286" s="1132" t="n"/>
      <c r="K286" s="1132" t="n"/>
      <c r="L286" s="1344" t="n"/>
      <c r="M286" s="1132" t="n"/>
      <c r="N286" s="1344" t="n"/>
      <c r="O286" s="1132" t="n"/>
      <c r="P286" s="1132" t="n"/>
      <c r="Q286" s="1132" t="n"/>
      <c r="R286" s="1132" t="n"/>
      <c r="S286" s="1132" t="n"/>
      <c r="T286" s="1132" t="n"/>
      <c r="U286" s="1132" t="n"/>
      <c r="V286" s="1132" t="n"/>
      <c r="W286" s="1132" t="n"/>
      <c r="X286" s="1132" t="n"/>
      <c r="Y286" s="1132" t="n"/>
      <c r="Z286" s="1132" t="n"/>
      <c r="AA286" s="1132" t="n"/>
      <c r="AB286" s="1132" t="n"/>
      <c r="AC286" s="1132" t="n"/>
      <c r="AD286" s="1132" t="n"/>
      <c r="AE286" s="1132" t="n"/>
      <c r="AF286" s="1132" t="n"/>
      <c r="AG286" s="1132" t="n"/>
      <c r="AH286" s="1132" t="n"/>
      <c r="AI286" s="1132" t="n"/>
      <c r="AJ286" s="1132" t="n"/>
      <c r="AK286" s="1132" t="n"/>
      <c r="AL286" s="1132" t="n"/>
      <c r="AM286" s="1132" t="n"/>
      <c r="AN286" s="1132" t="n"/>
      <c r="AO286" s="1132" t="n"/>
      <c r="AP286" s="1132" t="n"/>
      <c r="AQ286" s="1132" t="n"/>
      <c r="AR286" s="1132" t="n"/>
      <c r="AS286" s="1132" t="n"/>
      <c r="AT286" s="1132" t="n"/>
      <c r="AU286" s="1132" t="n"/>
      <c r="AV286" s="1132" t="n"/>
      <c r="AW286" s="1132" t="n"/>
      <c r="AX286" s="1132" t="n"/>
      <c r="AY286" s="1132" t="n"/>
      <c r="AZ286" s="1132" t="n"/>
      <c r="BA286" s="1132" t="n"/>
      <c r="BB286" s="1132" t="n"/>
      <c r="BC286" s="1132" t="n"/>
      <c r="BD286" s="1132" t="n"/>
      <c r="BE286" s="1132" t="n"/>
      <c r="BF286" s="1132" t="n"/>
      <c r="BG286" s="1132" t="n"/>
      <c r="BH286" s="1132" t="n"/>
      <c r="BI286" s="1132" t="n"/>
      <c r="BJ286" s="1132" t="n"/>
      <c r="BK286" s="1132" t="n"/>
      <c r="BL286" s="1132" t="n"/>
      <c r="BM286" s="1132" t="n"/>
      <c r="BN286" s="1132" t="n"/>
      <c r="BO286" s="1132" t="n"/>
      <c r="BP286" s="1132" t="n"/>
      <c r="BQ286" s="1132" t="n"/>
      <c r="BR286" s="1132" t="n"/>
      <c r="BS286" s="1132" t="n"/>
      <c r="BT286" s="1132" t="n"/>
      <c r="BU286" s="1132" t="n"/>
      <c r="BV286" s="1132" t="n"/>
      <c r="BW286" s="1132" t="n"/>
      <c r="BX286" s="1132" t="n"/>
      <c r="BY286" s="1132" t="n"/>
      <c r="BZ286" s="1132" t="n"/>
      <c r="CA286" s="1132" t="n"/>
      <c r="CB286" s="1132" t="n"/>
      <c r="CC286" s="1132" t="n"/>
      <c r="CD286" s="1132" t="n"/>
      <c r="CE286" s="1132" t="n"/>
      <c r="CF286" s="1132" t="n"/>
      <c r="CG286" s="1132" t="n"/>
      <c r="CH286" s="1132" t="n"/>
      <c r="CI286" s="1132" t="n"/>
      <c r="CJ286" s="1132" t="n"/>
      <c r="CK286" s="1132" t="n"/>
      <c r="CL286" s="1132" t="n"/>
      <c r="CM286" s="1132" t="n"/>
      <c r="CN286" s="1132" t="n"/>
      <c r="CO286" s="1132" t="n"/>
      <c r="CP286" s="1132" t="n"/>
      <c r="CQ286" s="1132" t="n"/>
      <c r="CR286" s="1132" t="n"/>
      <c r="CS286" s="1132" t="n"/>
      <c r="CT286" s="1132" t="n"/>
      <c r="CU286" s="1132" t="n"/>
      <c r="CV286" s="1132" t="n"/>
      <c r="CW286" s="1132" t="n"/>
      <c r="CX286" s="1132" t="n"/>
      <c r="CY286" s="1132" t="n"/>
      <c r="CZ286" s="1132" t="n"/>
      <c r="DA286" s="1132" t="n"/>
      <c r="DB286" s="1132" t="n"/>
      <c r="DC286" s="1132" t="n"/>
      <c r="DD286" s="1132" t="n"/>
      <c r="DE286" s="1132" t="n"/>
      <c r="DF286" s="1132" t="n"/>
      <c r="DG286" s="1132" t="n"/>
      <c r="DH286" s="1132" t="n"/>
      <c r="DI286" s="1132" t="n"/>
      <c r="DJ286" s="1132" t="n"/>
      <c r="DK286" s="1132" t="n"/>
      <c r="DL286" s="1132" t="n"/>
      <c r="DM286" s="1132" t="n"/>
      <c r="DN286" s="1132" t="n"/>
      <c r="DO286" s="1132" t="n"/>
      <c r="DP286" s="1132" t="n"/>
      <c r="DQ286" s="1132" t="n"/>
      <c r="DR286" s="1132" t="n"/>
      <c r="DS286" s="1132" t="n"/>
      <c r="DT286" s="1132" t="n"/>
      <c r="DU286" s="1132" t="n"/>
      <c r="DV286" s="1132" t="n"/>
      <c r="DW286" s="1132" t="n"/>
      <c r="DX286" s="1132" t="n"/>
      <c r="DY286" s="1132" t="n"/>
      <c r="DZ286" s="1132" t="n"/>
      <c r="EA286" s="1132" t="n"/>
      <c r="EB286" s="1132" t="n"/>
      <c r="EC286" s="1132" t="n"/>
      <c r="ED286" s="1132" t="n"/>
      <c r="EE286" s="1132" t="n"/>
      <c r="EF286" s="1132" t="n"/>
      <c r="EG286" s="1132" t="n"/>
      <c r="EH286" s="1132" t="n"/>
      <c r="EI286" s="1132" t="n"/>
      <c r="EJ286" s="1132" t="n"/>
      <c r="EK286" s="1132" t="n"/>
      <c r="EL286" s="1132" t="n"/>
      <c r="EM286" s="1132" t="n"/>
      <c r="EN286" s="1132" t="n"/>
      <c r="EO286" s="1132" t="n"/>
      <c r="EP286" s="1132" t="n"/>
      <c r="EQ286" s="1132" t="n"/>
      <c r="ER286" s="1132" t="n"/>
      <c r="ES286" s="1132" t="n"/>
      <c r="ET286" s="1132" t="n"/>
      <c r="EU286" s="1132" t="n"/>
      <c r="EV286" s="1132" t="n"/>
      <c r="EW286" s="1132" t="n"/>
      <c r="EX286" s="1132" t="n"/>
      <c r="EY286" s="1132" t="n"/>
      <c r="EZ286" s="1132" t="n"/>
      <c r="FA286" s="1132" t="n"/>
      <c r="FB286" s="1132" t="n"/>
      <c r="FC286" s="1132" t="n"/>
      <c r="FD286" s="1132" t="n"/>
      <c r="FE286" s="1132" t="n"/>
      <c r="FF286" s="1132" t="n"/>
      <c r="FG286" s="1132" t="n"/>
      <c r="FH286" s="1132" t="n"/>
      <c r="FI286" s="1132" t="n"/>
      <c r="FJ286" s="1132" t="n"/>
      <c r="FK286" s="1132" t="n"/>
      <c r="FL286" s="1132" t="n"/>
      <c r="FM286" s="1132" t="n"/>
      <c r="FN286" s="1132" t="n"/>
      <c r="FO286" s="1132" t="n"/>
      <c r="FP286" s="1132" t="n"/>
      <c r="FQ286" s="1132" t="n"/>
      <c r="FR286" s="1132" t="n"/>
      <c r="FS286" s="1132" t="n"/>
      <c r="FT286" s="1132" t="n"/>
      <c r="FU286" s="1132" t="n"/>
      <c r="FV286" s="1132" t="n"/>
      <c r="FW286" s="1132" t="n"/>
      <c r="FX286" s="1132" t="n"/>
      <c r="FY286" s="1132" t="n"/>
      <c r="FZ286" s="1132" t="n"/>
      <c r="GA286" s="1132" t="n"/>
      <c r="GB286" s="1132" t="n"/>
      <c r="GC286" s="1132" t="n"/>
      <c r="GD286" s="1132" t="n"/>
      <c r="GE286" s="1132" t="n"/>
      <c r="GF286" s="1132" t="n"/>
      <c r="GG286" s="1132" t="n"/>
      <c r="GH286" s="1132" t="n"/>
      <c r="GI286" s="1132" t="n"/>
      <c r="GJ286" s="1132" t="n"/>
      <c r="GK286" s="1132" t="n"/>
      <c r="GL286" s="1132" t="n"/>
      <c r="GM286" s="1132" t="n"/>
      <c r="GN286" s="1132" t="n"/>
      <c r="GO286" s="1132" t="n"/>
      <c r="GP286" s="1132" t="n"/>
      <c r="GQ286" s="1132" t="n"/>
      <c r="GR286" s="1132" t="n"/>
      <c r="GS286" s="1132" t="n"/>
      <c r="GT286" s="1132" t="n"/>
      <c r="GU286" s="1132" t="n"/>
      <c r="GV286" s="1132" t="n"/>
      <c r="GW286" s="1132" t="n"/>
      <c r="GX286" s="1132" t="n"/>
      <c r="GY286" s="1132" t="n"/>
      <c r="GZ286" s="1132" t="n"/>
      <c r="HA286" s="1132" t="n"/>
      <c r="HB286" s="1132" t="n"/>
      <c r="HC286" s="1132" t="n"/>
      <c r="HD286" s="1132" t="n"/>
      <c r="HE286" s="1132" t="n"/>
      <c r="HF286" s="1132" t="n"/>
      <c r="HG286" s="1132" t="n"/>
      <c r="HH286" s="1132" t="n"/>
      <c r="HI286" s="1132" t="n"/>
      <c r="HJ286" s="1132" t="n"/>
      <c r="HK286" s="1132" t="n"/>
      <c r="HL286" s="1132" t="n"/>
      <c r="HM286" s="1132" t="n"/>
      <c r="HN286" s="1132" t="n"/>
      <c r="HO286" s="1132" t="n"/>
      <c r="HP286" s="1132" t="n"/>
      <c r="HQ286" s="1132" t="n"/>
      <c r="HR286" s="1132" t="n"/>
      <c r="HS286" s="1132" t="n"/>
      <c r="HT286" s="1132" t="n"/>
      <c r="HU286" s="1132" t="n"/>
      <c r="HV286" s="1132" t="n"/>
      <c r="HW286" s="1132" t="n"/>
      <c r="HX286" s="1132" t="n"/>
      <c r="HY286" s="1132" t="n"/>
      <c r="HZ286" s="1132" t="n"/>
      <c r="IA286" s="1132" t="n"/>
      <c r="IB286" s="1132" t="n"/>
      <c r="IC286" s="1132" t="n"/>
      <c r="ID286" s="1132" t="n"/>
      <c r="IE286" s="1132" t="n"/>
      <c r="IF286" s="1132" t="n"/>
      <c r="IG286" s="1132" t="n"/>
      <c r="IH286" s="1132" t="n"/>
      <c r="II286" s="1132" t="n"/>
      <c r="IJ286" s="1132" t="n"/>
      <c r="IK286" s="1132" t="n"/>
      <c r="IL286" s="1132" t="n"/>
      <c r="IM286" s="1132" t="n"/>
      <c r="IN286" s="1132" t="n"/>
      <c r="IO286" s="1132" t="n"/>
      <c r="IP286" s="1132" t="n"/>
      <c r="IQ286" s="1132" t="n"/>
      <c r="IR286" s="1132" t="n"/>
      <c r="IS286" s="1132" t="n"/>
      <c r="IT286" s="1132" t="n"/>
      <c r="IU286" s="1132" t="n"/>
      <c r="IV286" s="1132" t="n"/>
      <c r="IW286" s="1132" t="n"/>
      <c r="IX286" s="1132" t="n"/>
      <c r="IY286" s="1132" t="n"/>
      <c r="IZ286" s="1132" t="n"/>
      <c r="JA286" s="1132" t="n"/>
      <c r="JB286" s="1132" t="n"/>
      <c r="JC286" s="1132" t="n"/>
      <c r="JD286" s="1132" t="n"/>
      <c r="JE286" s="1132" t="n"/>
      <c r="JF286" s="1132" t="n"/>
      <c r="JG286" s="1132" t="n"/>
      <c r="JH286" s="1132" t="n"/>
      <c r="JI286" s="1132" t="n"/>
      <c r="JJ286" s="1132" t="n"/>
      <c r="JK286" s="1132" t="n"/>
      <c r="JL286" s="1132" t="n"/>
      <c r="JM286" s="1132" t="n"/>
      <c r="JN286" s="1132" t="n"/>
      <c r="JO286" s="1132" t="n"/>
      <c r="JP286" s="1132" t="n"/>
      <c r="JQ286" s="1132" t="n"/>
      <c r="JR286" s="1132" t="n"/>
      <c r="JS286" s="1132" t="n"/>
      <c r="JT286" s="1132" t="n"/>
      <c r="JU286" s="1132" t="n"/>
      <c r="JV286" s="1132" t="n"/>
      <c r="JW286" s="1132" t="n"/>
      <c r="JX286" s="1132" t="n"/>
      <c r="JY286" s="1132" t="n"/>
      <c r="JZ286" s="1132" t="n"/>
      <c r="KA286" s="1132" t="n"/>
      <c r="KB286" s="1132" t="n"/>
      <c r="KC286" s="1132" t="n"/>
      <c r="KD286" s="1132" t="n"/>
      <c r="KE286" s="1132" t="n"/>
      <c r="KF286" s="1132" t="n"/>
      <c r="KG286" s="1132" t="n"/>
      <c r="KH286" s="1132" t="n"/>
      <c r="KI286" s="1132" t="n"/>
      <c r="KJ286" s="1132" t="n"/>
      <c r="KK286" s="1132" t="n"/>
      <c r="KL286" s="1132" t="n"/>
      <c r="KM286" s="1132" t="n"/>
      <c r="KN286" s="1132" t="n"/>
      <c r="KO286" s="1132" t="n"/>
      <c r="KP286" s="1132" t="n"/>
      <c r="KQ286" s="1132" t="n"/>
      <c r="KR286" s="1132" t="n"/>
      <c r="KS286" s="1132" t="n"/>
      <c r="KT286" s="1132" t="n"/>
      <c r="KU286" s="1132" t="n"/>
      <c r="KV286" s="1132" t="n"/>
      <c r="KW286" s="1132" t="n"/>
      <c r="KX286" s="1132" t="n"/>
      <c r="KY286" s="1132" t="n"/>
      <c r="KZ286" s="1132" t="n"/>
      <c r="LA286" s="1132" t="n"/>
      <c r="LB286" s="1132" t="n"/>
      <c r="LC286" s="1132" t="n"/>
      <c r="LD286" s="1132" t="n"/>
      <c r="LE286" s="1132" t="n"/>
      <c r="LF286" s="1132" t="n"/>
      <c r="LG286" s="1132" t="n"/>
      <c r="LH286" s="1132" t="n"/>
      <c r="LI286" s="1132" t="n"/>
      <c r="LJ286" s="1132" t="n"/>
      <c r="LK286" s="1132" t="n"/>
      <c r="LL286" s="1132" t="n"/>
      <c r="LM286" s="1132" t="n"/>
      <c r="LN286" s="1132" t="n"/>
      <c r="LO286" s="1132" t="n"/>
      <c r="LP286" s="1132" t="n"/>
      <c r="LQ286" s="1132" t="n"/>
      <c r="LR286" s="1132" t="n"/>
      <c r="LS286" s="1132" t="n"/>
      <c r="LT286" s="1132" t="n"/>
      <c r="LU286" s="1132" t="n"/>
      <c r="LV286" s="1132" t="n"/>
      <c r="LW286" s="1132" t="n"/>
      <c r="LX286" s="1132" t="n"/>
      <c r="LY286" s="1132" t="n"/>
      <c r="LZ286" s="1132" t="n"/>
      <c r="MA286" s="1132" t="n"/>
      <c r="MB286" s="1132" t="n"/>
      <c r="MC286" s="1132" t="n"/>
      <c r="MD286" s="1132" t="n"/>
      <c r="ME286" s="1132" t="n"/>
      <c r="MF286" s="1132" t="n"/>
      <c r="MG286" s="1132" t="n"/>
      <c r="MH286" s="1132" t="n"/>
      <c r="MI286" s="1132" t="n"/>
      <c r="MJ286" s="1132" t="n"/>
      <c r="MK286" s="1132" t="n"/>
      <c r="ML286" s="1132" t="n"/>
      <c r="MM286" s="1132" t="n"/>
      <c r="MN286" s="1132" t="n"/>
      <c r="MO286" s="1132" t="n"/>
      <c r="MP286" s="1132" t="n"/>
      <c r="MQ286" s="1132" t="n"/>
      <c r="MR286" s="1132" t="n"/>
      <c r="MS286" s="1132" t="n"/>
      <c r="MT286" s="1132" t="n"/>
      <c r="MU286" s="1132" t="n"/>
      <c r="MV286" s="1132" t="n"/>
      <c r="MW286" s="1132" t="n"/>
      <c r="MX286" s="1132" t="n"/>
      <c r="MY286" s="1132" t="n"/>
      <c r="MZ286" s="1132" t="n"/>
      <c r="NA286" s="1132" t="n"/>
      <c r="NB286" s="1132" t="n"/>
      <c r="NC286" s="1132" t="n"/>
      <c r="ND286" s="1132" t="n"/>
      <c r="NE286" s="1132" t="n"/>
      <c r="NF286" s="1132" t="n"/>
      <c r="NG286" s="1132" t="n"/>
      <c r="NH286" s="1132" t="n"/>
      <c r="NI286" s="1132" t="n"/>
      <c r="NJ286" s="1132" t="n"/>
      <c r="NK286" s="1132" t="n"/>
      <c r="NL286" s="1132" t="n"/>
      <c r="NM286" s="1132" t="n"/>
      <c r="NN286" s="1132" t="n"/>
      <c r="NO286" s="1132" t="n"/>
      <c r="NP286" s="1132" t="n"/>
      <c r="NQ286" s="1132" t="n"/>
      <c r="NR286" s="1132" t="n"/>
      <c r="NS286" s="1132" t="n"/>
      <c r="NT286" s="1132" t="n"/>
      <c r="NU286" s="1132" t="n"/>
      <c r="NV286" s="1132" t="n"/>
      <c r="NW286" s="1132" t="n"/>
      <c r="NX286" s="1132" t="n"/>
      <c r="NY286" s="1132" t="n"/>
      <c r="NZ286" s="1132" t="n"/>
      <c r="OA286" s="1132" t="n"/>
      <c r="OB286" s="1132" t="n"/>
      <c r="OC286" s="1132" t="n"/>
      <c r="OD286" s="1132" t="n"/>
      <c r="OE286" s="1132" t="n"/>
      <c r="OF286" s="1132" t="n"/>
      <c r="OG286" s="1132" t="n"/>
      <c r="OH286" s="1132" t="n"/>
      <c r="OI286" s="1132" t="n"/>
      <c r="OJ286" s="1132" t="n"/>
      <c r="OK286" s="1132" t="n"/>
      <c r="OL286" s="1132" t="n"/>
      <c r="OM286" s="1132" t="n"/>
      <c r="ON286" s="1132" t="n"/>
      <c r="OO286" s="1132" t="n"/>
      <c r="OP286" s="1132" t="n"/>
      <c r="OQ286" s="1132" t="n"/>
      <c r="OR286" s="1132" t="n"/>
      <c r="OS286" s="1132" t="n"/>
      <c r="OT286" s="1132" t="n"/>
      <c r="OU286" s="1132" t="n"/>
      <c r="OV286" s="1132" t="n"/>
      <c r="OW286" s="1132" t="n"/>
      <c r="OX286" s="1132" t="n"/>
      <c r="OY286" s="1132" t="n"/>
      <c r="OZ286" s="1132" t="n"/>
      <c r="PA286" s="1132" t="n"/>
      <c r="PB286" s="1132" t="n"/>
      <c r="PC286" s="1132" t="n"/>
      <c r="PD286" s="1132" t="n"/>
      <c r="PE286" s="1132" t="n"/>
      <c r="PF286" s="1132" t="n"/>
      <c r="PG286" s="1132" t="n"/>
      <c r="PH286" s="1132" t="n"/>
      <c r="PI286" s="1132" t="n"/>
      <c r="PJ286" s="1132" t="n"/>
      <c r="PK286" s="1132" t="n"/>
      <c r="PL286" s="1132" t="n"/>
      <c r="PM286" s="1132" t="n"/>
      <c r="PN286" s="1132" t="n"/>
      <c r="PO286" s="1132" t="n"/>
      <c r="PP286" s="1132" t="n"/>
      <c r="PQ286" s="1132" t="n"/>
      <c r="PR286" s="1132" t="n"/>
      <c r="PS286" s="1132" t="n"/>
      <c r="PT286" s="1132" t="n"/>
      <c r="PU286" s="1132" t="n"/>
      <c r="PV286" s="1132" t="n"/>
      <c r="PW286" s="1132" t="n"/>
      <c r="PX286" s="1132" t="n"/>
      <c r="PY286" s="1132" t="n"/>
      <c r="PZ286" s="1132" t="n"/>
      <c r="QA286" s="1132" t="n"/>
      <c r="QB286" s="1132" t="n"/>
      <c r="QC286" s="1132" t="n"/>
      <c r="QD286" s="1132" t="n"/>
      <c r="QE286" s="1132" t="n"/>
      <c r="QF286" s="1132" t="n"/>
      <c r="QG286" s="1132" t="n"/>
      <c r="QH286" s="1132" t="n"/>
      <c r="QI286" s="1132" t="n"/>
      <c r="QJ286" s="1132" t="n"/>
      <c r="QK286" s="1132" t="n"/>
      <c r="QL286" s="1132" t="n"/>
      <c r="QM286" s="1132" t="n"/>
      <c r="QN286" s="1132" t="n"/>
      <c r="QO286" s="1132" t="n"/>
      <c r="QP286" s="1132" t="n"/>
      <c r="QQ286" s="1132" t="n"/>
      <c r="QR286" s="1132" t="n"/>
      <c r="QS286" s="1132" t="n"/>
      <c r="QT286" s="1132" t="n"/>
      <c r="QU286" s="1132" t="n"/>
      <c r="QV286" s="1132" t="n"/>
      <c r="QW286" s="1132" t="n"/>
      <c r="QX286" s="1132" t="n"/>
      <c r="QY286" s="1132" t="n"/>
      <c r="QZ286" s="1132" t="n"/>
      <c r="RA286" s="1132" t="n"/>
      <c r="RB286" s="1132" t="n"/>
      <c r="RC286" s="1132" t="n"/>
      <c r="RD286" s="1132" t="n"/>
      <c r="RE286" s="1132" t="n"/>
      <c r="RF286" s="1132" t="n"/>
      <c r="RG286" s="1132" t="n"/>
      <c r="RH286" s="1132" t="n"/>
      <c r="RI286" s="1132" t="n"/>
      <c r="RJ286" s="1132" t="n"/>
      <c r="RK286" s="1132" t="n"/>
      <c r="RL286" s="1132" t="n"/>
      <c r="RM286" s="1132" t="n"/>
      <c r="RN286" s="1132" t="n"/>
      <c r="RO286" s="1132" t="n"/>
      <c r="RP286" s="1132" t="n"/>
      <c r="RQ286" s="1132" t="n"/>
      <c r="RR286" s="1132" t="n"/>
      <c r="RS286" s="1132" t="n"/>
      <c r="RT286" s="1132" t="n"/>
      <c r="RU286" s="1132" t="n"/>
      <c r="RV286" s="1132" t="n"/>
      <c r="RW286" s="1132" t="n"/>
      <c r="RX286" s="1132" t="n"/>
      <c r="RY286" s="1132" t="n"/>
      <c r="RZ286" s="1132" t="n"/>
      <c r="SA286" s="1132" t="n"/>
      <c r="SB286" s="1132" t="n"/>
      <c r="SC286" s="1132" t="n"/>
      <c r="SD286" s="1132" t="n"/>
      <c r="SE286" s="1132" t="n"/>
      <c r="SF286" s="1132" t="n"/>
      <c r="SG286" s="1132" t="n"/>
      <c r="SH286" s="1132" t="n"/>
      <c r="SI286" s="1132" t="n"/>
      <c r="SJ286" s="1132" t="n"/>
      <c r="SK286" s="1132" t="n"/>
      <c r="SL286" s="1132" t="n"/>
      <c r="SM286" s="1132" t="n"/>
      <c r="SN286" s="1132" t="n"/>
      <c r="SO286" s="1132" t="n"/>
      <c r="SP286" s="1132" t="n"/>
      <c r="SQ286" s="1132" t="n"/>
      <c r="SR286" s="1132" t="n"/>
      <c r="SS286" s="1132" t="n"/>
      <c r="ST286" s="1132" t="n"/>
      <c r="SU286" s="1132" t="n"/>
      <c r="SV286" s="1132" t="n"/>
      <c r="SW286" s="1132" t="n"/>
      <c r="SX286" s="1132" t="n"/>
      <c r="SY286" s="1132" t="n"/>
      <c r="SZ286" s="1132" t="n"/>
      <c r="TA286" s="1132" t="n"/>
      <c r="TB286" s="1132" t="n"/>
      <c r="TC286" s="1132" t="n"/>
      <c r="TD286" s="1132" t="n"/>
      <c r="TE286" s="1132" t="n"/>
      <c r="TF286" s="1132" t="n"/>
      <c r="TG286" s="1132" t="n"/>
      <c r="TH286" s="1132" t="n"/>
      <c r="TI286" s="1132" t="n"/>
      <c r="TJ286" s="1132" t="n"/>
      <c r="TK286" s="1132" t="n"/>
      <c r="TL286" s="1132" t="n"/>
      <c r="TM286" s="1132" t="n"/>
      <c r="TN286" s="1132" t="n"/>
      <c r="TO286" s="1132" t="n"/>
      <c r="TP286" s="1132" t="n"/>
      <c r="TQ286" s="1132" t="n"/>
      <c r="TR286" s="1132" t="n"/>
      <c r="TS286" s="1132" t="n"/>
      <c r="TT286" s="1132" t="n"/>
      <c r="TU286" s="1132" t="n"/>
      <c r="TV286" s="1132" t="n"/>
      <c r="TW286" s="1132" t="n"/>
      <c r="TX286" s="1132" t="n"/>
      <c r="TY286" s="1132" t="n"/>
      <c r="TZ286" s="1132" t="n"/>
      <c r="UA286" s="1132" t="n"/>
      <c r="UB286" s="1132" t="n"/>
      <c r="UC286" s="1132" t="n"/>
      <c r="UD286" s="1132" t="n"/>
      <c r="UE286" s="1132" t="n"/>
      <c r="UF286" s="1132" t="n"/>
      <c r="UG286" s="1132" t="n"/>
      <c r="UH286" s="1132" t="n"/>
      <c r="UI286" s="1132" t="n"/>
      <c r="UJ286" s="1132" t="n"/>
      <c r="UK286" s="1132" t="n"/>
      <c r="UL286" s="1132" t="n"/>
      <c r="UM286" s="1132" t="n"/>
      <c r="UN286" s="1132" t="n"/>
      <c r="UO286" s="1132" t="n"/>
      <c r="UP286" s="1132" t="n"/>
      <c r="UQ286" s="1132" t="n"/>
      <c r="UR286" s="1132" t="n"/>
      <c r="US286" s="1132" t="n"/>
      <c r="UT286" s="1132" t="n"/>
      <c r="UU286" s="1132" t="n"/>
      <c r="UV286" s="1132" t="n"/>
      <c r="UW286" s="1132" t="n"/>
      <c r="UX286" s="1132" t="n"/>
      <c r="UY286" s="1132" t="n"/>
      <c r="UZ286" s="1132" t="n"/>
      <c r="VA286" s="1132" t="n"/>
      <c r="VB286" s="1132" t="n"/>
      <c r="VC286" s="1132" t="n"/>
      <c r="VD286" s="1132" t="n"/>
      <c r="VE286" s="1132" t="n"/>
      <c r="VF286" s="1132" t="n"/>
      <c r="VG286" s="1132" t="n"/>
      <c r="VH286" s="1132" t="n"/>
      <c r="VI286" s="1132" t="n"/>
      <c r="VJ286" s="1132" t="n"/>
      <c r="VK286" s="1132" t="n"/>
      <c r="VL286" s="1132" t="n"/>
      <c r="VM286" s="1132" t="n"/>
      <c r="VN286" s="1132" t="n"/>
      <c r="VO286" s="1132" t="n"/>
      <c r="VP286" s="1132" t="n"/>
      <c r="VQ286" s="1132" t="n"/>
      <c r="VR286" s="1132" t="n"/>
      <c r="VS286" s="1132" t="n"/>
      <c r="VT286" s="1132" t="n"/>
      <c r="VU286" s="1132" t="n"/>
      <c r="VV286" s="1132" t="n"/>
      <c r="VW286" s="1132" t="n"/>
      <c r="VX286" s="1132" t="n"/>
      <c r="VY286" s="1132" t="n"/>
      <c r="VZ286" s="1132" t="n"/>
      <c r="WA286" s="1132" t="n"/>
      <c r="WB286" s="1132" t="n"/>
      <c r="WC286" s="1132" t="n"/>
      <c r="WD286" s="1132" t="n"/>
      <c r="WE286" s="1132" t="n"/>
      <c r="WF286" s="1132" t="n"/>
      <c r="WG286" s="1132" t="n"/>
      <c r="WH286" s="1132" t="n"/>
      <c r="WI286" s="1132" t="n"/>
      <c r="WJ286" s="1132" t="n"/>
      <c r="WK286" s="1132" t="n"/>
      <c r="WL286" s="1132" t="n"/>
      <c r="WM286" s="1132" t="n"/>
      <c r="WN286" s="1132" t="n"/>
      <c r="WO286" s="1132" t="n"/>
      <c r="WP286" s="1132" t="n"/>
      <c r="WQ286" s="1132" t="n"/>
      <c r="WR286" s="1132" t="n"/>
      <c r="WS286" s="1132" t="n"/>
      <c r="WT286" s="1132" t="n"/>
      <c r="WU286" s="1132" t="n"/>
      <c r="WV286" s="1132" t="n"/>
      <c r="WW286" s="1132" t="n"/>
      <c r="WX286" s="1132" t="n"/>
      <c r="WY286" s="1132" t="n"/>
      <c r="WZ286" s="1132" t="n"/>
      <c r="XA286" s="1132" t="n"/>
      <c r="XB286" s="1132" t="n"/>
      <c r="XC286" s="1132" t="n"/>
      <c r="XD286" s="1132" t="n"/>
      <c r="XE286" s="1132" t="n"/>
      <c r="XF286" s="1132" t="n"/>
      <c r="XG286" s="1132" t="n"/>
      <c r="XH286" s="1132" t="n"/>
      <c r="XI286" s="1132" t="n"/>
      <c r="XJ286" s="1132" t="n"/>
      <c r="XK286" s="1132" t="n"/>
      <c r="XL286" s="1132" t="n"/>
      <c r="XM286" s="1132" t="n"/>
      <c r="XN286" s="1132" t="n"/>
      <c r="XO286" s="1132" t="n"/>
      <c r="XP286" s="1132" t="n"/>
      <c r="XQ286" s="1132" t="n"/>
      <c r="XR286" s="1132" t="n"/>
      <c r="XS286" s="1132" t="n"/>
      <c r="XT286" s="1132" t="n"/>
      <c r="XU286" s="1132" t="n"/>
      <c r="XV286" s="1132" t="n"/>
      <c r="XW286" s="1132" t="n"/>
      <c r="XX286" s="1132" t="n"/>
      <c r="XY286" s="1132" t="n"/>
      <c r="XZ286" s="1132" t="n"/>
      <c r="YA286" s="1132" t="n"/>
      <c r="YB286" s="1132" t="n"/>
      <c r="YC286" s="1132" t="n"/>
      <c r="YD286" s="1132" t="n"/>
      <c r="YE286" s="1132" t="n"/>
      <c r="YF286" s="1132" t="n"/>
      <c r="YG286" s="1132" t="n"/>
      <c r="YH286" s="1132" t="n"/>
      <c r="YI286" s="1132" t="n"/>
      <c r="YJ286" s="1132" t="n"/>
      <c r="YK286" s="1132" t="n"/>
      <c r="YL286" s="1132" t="n"/>
      <c r="YM286" s="1132" t="n"/>
      <c r="YN286" s="1132" t="n"/>
      <c r="YO286" s="1132" t="n"/>
      <c r="YP286" s="1132" t="n"/>
      <c r="YQ286" s="1132" t="n"/>
      <c r="YR286" s="1132" t="n"/>
      <c r="YS286" s="1132" t="n"/>
      <c r="YT286" s="1132" t="n"/>
      <c r="YU286" s="1132" t="n"/>
      <c r="YV286" s="1132" t="n"/>
      <c r="YW286" s="1132" t="n"/>
      <c r="YX286" s="1132" t="n"/>
      <c r="YY286" s="1132" t="n"/>
      <c r="YZ286" s="1132" t="n"/>
      <c r="ZA286" s="1132" t="n"/>
      <c r="ZB286" s="1132" t="n"/>
      <c r="ZC286" s="1132" t="n"/>
      <c r="ZD286" s="1132" t="n"/>
      <c r="ZE286" s="1132" t="n"/>
      <c r="ZF286" s="1132" t="n"/>
      <c r="ZG286" s="1132" t="n"/>
      <c r="ZH286" s="1132" t="n"/>
      <c r="ZI286" s="1132" t="n"/>
      <c r="ZJ286" s="1132" t="n"/>
      <c r="ZK286" s="1132" t="n"/>
      <c r="ZL286" s="1132" t="n"/>
      <c r="ZM286" s="1132" t="n"/>
      <c r="ZN286" s="1132" t="n"/>
      <c r="ZO286" s="1132" t="n"/>
      <c r="ZP286" s="1132" t="n"/>
      <c r="ZQ286" s="1132" t="n"/>
      <c r="ZR286" s="1132" t="n"/>
      <c r="ZS286" s="1132" t="n"/>
      <c r="ZT286" s="1132" t="n"/>
      <c r="ZU286" s="1132" t="n"/>
      <c r="ZV286" s="1132" t="n"/>
      <c r="ZW286" s="1132" t="n"/>
      <c r="ZX286" s="1132" t="n"/>
      <c r="ZY286" s="1132" t="n"/>
      <c r="ZZ286" s="1132" t="n"/>
      <c r="AAA286" s="1132" t="n"/>
      <c r="AAB286" s="1132" t="n"/>
      <c r="AAC286" s="1132" t="n"/>
      <c r="AAD286" s="1132" t="n"/>
      <c r="AAE286" s="1132" t="n"/>
      <c r="AAF286" s="1132" t="n"/>
      <c r="AAG286" s="1132" t="n"/>
      <c r="AAH286" s="1132" t="n"/>
      <c r="AAI286" s="1132" t="n"/>
      <c r="AAJ286" s="1132" t="n"/>
      <c r="AAK286" s="1132" t="n"/>
      <c r="AAL286" s="1132" t="n"/>
      <c r="AAM286" s="1132" t="n"/>
      <c r="AAN286" s="1132" t="n"/>
      <c r="AAO286" s="1132" t="n"/>
      <c r="AAP286" s="1132" t="n"/>
      <c r="AAQ286" s="1132" t="n"/>
      <c r="AAR286" s="1132" t="n"/>
      <c r="AAS286" s="1132" t="n"/>
      <c r="AAT286" s="1132" t="n"/>
      <c r="AAU286" s="1132" t="n"/>
      <c r="AAV286" s="1132" t="n"/>
      <c r="AAW286" s="1132" t="n"/>
      <c r="AAX286" s="1132" t="n"/>
      <c r="AAY286" s="1132" t="n"/>
      <c r="AAZ286" s="1132" t="n"/>
      <c r="ABA286" s="1132" t="n"/>
      <c r="ABB286" s="1132" t="n"/>
      <c r="ABC286" s="1132" t="n"/>
      <c r="ABD286" s="1132" t="n"/>
      <c r="ABE286" s="1132" t="n"/>
      <c r="ABF286" s="1132" t="n"/>
      <c r="ABG286" s="1132" t="n"/>
      <c r="ABH286" s="1132" t="n"/>
      <c r="ABI286" s="1132" t="n"/>
      <c r="ABJ286" s="1132" t="n"/>
      <c r="ABK286" s="1132" t="n"/>
      <c r="ABL286" s="1132" t="n"/>
      <c r="ABM286" s="1132" t="n"/>
      <c r="ABN286" s="1132" t="n"/>
      <c r="ABO286" s="1132" t="n"/>
      <c r="ABP286" s="1132" t="n"/>
      <c r="ABQ286" s="1132" t="n"/>
      <c r="ABR286" s="1132" t="n"/>
      <c r="ABS286" s="1132" t="n"/>
      <c r="ABT286" s="1132" t="n"/>
      <c r="ABU286" s="1132" t="n"/>
      <c r="ABV286" s="1132" t="n"/>
      <c r="ABW286" s="1132" t="n"/>
      <c r="ABX286" s="1132" t="n"/>
      <c r="ABY286" s="1132" t="n"/>
      <c r="ABZ286" s="1132" t="n"/>
      <c r="ACA286" s="1132" t="n"/>
      <c r="ACB286" s="1132" t="n"/>
      <c r="ACC286" s="1132" t="n"/>
      <c r="ACD286" s="1132" t="n"/>
      <c r="ACE286" s="1132" t="n"/>
      <c r="ACF286" s="1132" t="n"/>
      <c r="ACG286" s="1132" t="n"/>
      <c r="ACH286" s="1132" t="n"/>
      <c r="ACI286" s="1132" t="n"/>
      <c r="ACJ286" s="1132" t="n"/>
      <c r="ACK286" s="1132" t="n"/>
      <c r="ACL286" s="1132" t="n"/>
      <c r="ACM286" s="1132" t="n"/>
      <c r="ACN286" s="1132" t="n"/>
      <c r="ACO286" s="1132" t="n"/>
      <c r="ACP286" s="1132" t="n"/>
      <c r="ACQ286" s="1132" t="n"/>
      <c r="ACR286" s="1132" t="n"/>
      <c r="ACS286" s="1132" t="n"/>
      <c r="ACT286" s="1132" t="n"/>
      <c r="ACU286" s="1132" t="n"/>
      <c r="ACV286" s="1132" t="n"/>
      <c r="ACW286" s="1132" t="n"/>
      <c r="ACX286" s="1132" t="n"/>
      <c r="ACY286" s="1132" t="n"/>
      <c r="ACZ286" s="1132" t="n"/>
      <c r="ADA286" s="1132" t="n"/>
      <c r="ADB286" s="1132" t="n"/>
      <c r="ADC286" s="1132" t="n"/>
      <c r="ADD286" s="1132" t="n"/>
      <c r="ADE286" s="1132" t="n"/>
      <c r="ADF286" s="1132" t="n"/>
      <c r="ADG286" s="1132" t="n"/>
      <c r="ADH286" s="1132" t="n"/>
      <c r="ADI286" s="1132" t="n"/>
      <c r="ADJ286" s="1132" t="n"/>
      <c r="ADK286" s="1132" t="n"/>
      <c r="ADL286" s="1132" t="n"/>
      <c r="ADM286" s="1132" t="n"/>
      <c r="ADN286" s="1132" t="n"/>
      <c r="ADO286" s="1132" t="n"/>
      <c r="ADP286" s="1132" t="n"/>
      <c r="ADQ286" s="1132" t="n"/>
      <c r="ADR286" s="1132" t="n"/>
      <c r="ADS286" s="1132" t="n"/>
      <c r="ADT286" s="1132" t="n"/>
      <c r="ADU286" s="1132" t="n"/>
      <c r="ADV286" s="1132" t="n"/>
      <c r="ADW286" s="1132" t="n"/>
      <c r="ADX286" s="1132" t="n"/>
      <c r="ADY286" s="1132" t="n"/>
      <c r="ADZ286" s="1132" t="n"/>
      <c r="AEA286" s="1132" t="n"/>
      <c r="AEB286" s="1132" t="n"/>
      <c r="AEC286" s="1132" t="n"/>
      <c r="AED286" s="1132" t="n"/>
      <c r="AEE286" s="1132" t="n"/>
      <c r="AEF286" s="1132" t="n"/>
      <c r="AEG286" s="1132" t="n"/>
      <c r="AEH286" s="1132" t="n"/>
      <c r="AEI286" s="1132" t="n"/>
      <c r="AEJ286" s="1132" t="n"/>
      <c r="AEK286" s="1132" t="n"/>
      <c r="AEL286" s="1132" t="n"/>
      <c r="AEM286" s="1132" t="n"/>
      <c r="AEN286" s="1132" t="n"/>
      <c r="AEO286" s="1132" t="n"/>
      <c r="AEP286" s="1132" t="n"/>
      <c r="AEQ286" s="1132" t="n"/>
      <c r="AER286" s="1132" t="n"/>
      <c r="AES286" s="1132" t="n"/>
      <c r="AET286" s="1132" t="n"/>
      <c r="AEU286" s="1132" t="n"/>
      <c r="AEV286" s="1132" t="n"/>
      <c r="AEW286" s="1132" t="n"/>
      <c r="AEX286" s="1132" t="n"/>
      <c r="AEY286" s="1132" t="n"/>
      <c r="AEZ286" s="1132" t="n"/>
      <c r="AFA286" s="1132" t="n"/>
      <c r="AFB286" s="1132" t="n"/>
      <c r="AFC286" s="1132" t="n"/>
      <c r="AFD286" s="1132" t="n"/>
      <c r="AFE286" s="1132" t="n"/>
      <c r="AFF286" s="1132" t="n"/>
      <c r="AFG286" s="1132" t="n"/>
      <c r="AFH286" s="1132" t="n"/>
      <c r="AFI286" s="1132" t="n"/>
      <c r="AFJ286" s="1132" t="n"/>
      <c r="AFK286" s="1132" t="n"/>
      <c r="AFL286" s="1132" t="n"/>
      <c r="AFM286" s="1132" t="n"/>
      <c r="AFN286" s="1132" t="n"/>
      <c r="AFO286" s="1132" t="n"/>
      <c r="AFP286" s="1132" t="n"/>
      <c r="AFQ286" s="1132" t="n"/>
      <c r="AFR286" s="1132" t="n"/>
      <c r="AFS286" s="1132" t="n"/>
      <c r="AFT286" s="1132" t="n"/>
      <c r="AFU286" s="1132" t="n"/>
      <c r="AFV286" s="1132" t="n"/>
      <c r="AFW286" s="1132" t="n"/>
      <c r="AFX286" s="1132" t="n"/>
      <c r="AFY286" s="1132" t="n"/>
      <c r="AFZ286" s="1132" t="n"/>
      <c r="AGA286" s="1132" t="n"/>
      <c r="AGB286" s="1132" t="n"/>
      <c r="AGC286" s="1132" t="n"/>
      <c r="AGD286" s="1132" t="n"/>
      <c r="AGE286" s="1132" t="n"/>
      <c r="AGF286" s="1132" t="n"/>
      <c r="AGG286" s="1132" t="n"/>
      <c r="AGH286" s="1132" t="n"/>
      <c r="AGI286" s="1132" t="n"/>
      <c r="AGJ286" s="1132" t="n"/>
      <c r="AGK286" s="1132" t="n"/>
      <c r="AGL286" s="1132" t="n"/>
      <c r="AGM286" s="1132" t="n"/>
      <c r="AGN286" s="1132" t="n"/>
      <c r="AGO286" s="1132" t="n"/>
      <c r="AGP286" s="1132" t="n"/>
      <c r="AGQ286" s="1132" t="n"/>
      <c r="AGR286" s="1132" t="n"/>
      <c r="AGS286" s="1132" t="n"/>
      <c r="AGT286" s="1132" t="n"/>
      <c r="AGU286" s="1132" t="n"/>
      <c r="AGV286" s="1132" t="n"/>
      <c r="AGW286" s="1132" t="n"/>
      <c r="AGX286" s="1132" t="n"/>
      <c r="AGY286" s="1132" t="n"/>
      <c r="AGZ286" s="1132" t="n"/>
      <c r="AHA286" s="1132" t="n"/>
      <c r="AHB286" s="1132" t="n"/>
      <c r="AHC286" s="1132" t="n"/>
      <c r="AHD286" s="1132" t="n"/>
      <c r="AHE286" s="1132" t="n"/>
      <c r="AHF286" s="1132" t="n"/>
      <c r="AHG286" s="1132" t="n"/>
      <c r="AHH286" s="1132" t="n"/>
      <c r="AHI286" s="1132" t="n"/>
      <c r="AHJ286" s="1132" t="n"/>
      <c r="AHK286" s="1132" t="n"/>
      <c r="AHL286" s="1132" t="n"/>
      <c r="AHM286" s="1132" t="n"/>
      <c r="AHN286" s="1132" t="n"/>
      <c r="AHO286" s="1132" t="n"/>
      <c r="AHP286" s="1132" t="n"/>
      <c r="AHQ286" s="1132" t="n"/>
      <c r="AHR286" s="1132" t="n"/>
      <c r="AHS286" s="1132" t="n"/>
      <c r="AHT286" s="1132" t="n"/>
      <c r="AHU286" s="1132" t="n"/>
      <c r="AHV286" s="1132" t="n"/>
      <c r="AHW286" s="1132" t="n"/>
      <c r="AHX286" s="1132" t="n"/>
      <c r="AHY286" s="1132" t="n"/>
      <c r="AHZ286" s="1132" t="n"/>
      <c r="AIA286" s="1132" t="n"/>
      <c r="AIB286" s="1132" t="n"/>
      <c r="AIC286" s="1132" t="n"/>
      <c r="AID286" s="1132" t="n"/>
      <c r="AIE286" s="1132" t="n"/>
      <c r="AIF286" s="1132" t="n"/>
      <c r="AIG286" s="1132" t="n"/>
      <c r="AIH286" s="1132" t="n"/>
      <c r="AII286" s="1132" t="n"/>
      <c r="AIJ286" s="1132" t="n"/>
      <c r="AIK286" s="1132" t="n"/>
      <c r="AIL286" s="1132" t="n"/>
      <c r="AIM286" s="1132" t="n"/>
      <c r="AIN286" s="1132" t="n"/>
      <c r="AIO286" s="1132" t="n"/>
      <c r="AIP286" s="1132" t="n"/>
      <c r="AIQ286" s="1132" t="n"/>
      <c r="AIR286" s="1132" t="n"/>
      <c r="AIS286" s="1132" t="n"/>
      <c r="AIT286" s="1132" t="n"/>
      <c r="AIU286" s="1132" t="n"/>
      <c r="AIV286" s="1132" t="n"/>
      <c r="AIW286" s="1132" t="n"/>
      <c r="AIX286" s="1132" t="n"/>
      <c r="AIY286" s="1132" t="n"/>
      <c r="AIZ286" s="1132" t="n"/>
      <c r="AJA286" s="1132" t="n"/>
      <c r="AJB286" s="1132" t="n"/>
      <c r="AJC286" s="1132" t="n"/>
      <c r="AJD286" s="1132" t="n"/>
      <c r="AJE286" s="1132" t="n"/>
      <c r="AJF286" s="1132" t="n"/>
      <c r="AJG286" s="1132" t="n"/>
      <c r="AJH286" s="1132" t="n"/>
      <c r="AJI286" s="1132" t="n"/>
      <c r="AJJ286" s="1132" t="n"/>
      <c r="AJK286" s="1132" t="n"/>
      <c r="AJL286" s="1132" t="n"/>
      <c r="AJM286" s="1132" t="n"/>
      <c r="AJN286" s="1132" t="n"/>
      <c r="AJO286" s="1132" t="n"/>
      <c r="AJP286" s="1132" t="n"/>
      <c r="AJQ286" s="1132" t="n"/>
      <c r="AJR286" s="1132" t="n"/>
      <c r="AJS286" s="1132" t="n"/>
      <c r="AJT286" s="1132" t="n"/>
      <c r="AJU286" s="1132" t="n"/>
      <c r="AJV286" s="1132" t="n"/>
      <c r="AJW286" s="1132" t="n"/>
      <c r="AJX286" s="1132" t="n"/>
      <c r="AJY286" s="1132" t="n"/>
      <c r="AJZ286" s="1132" t="n"/>
      <c r="AKA286" s="1132" t="n"/>
      <c r="AKB286" s="1132" t="n"/>
      <c r="AKC286" s="1132" t="n"/>
      <c r="AKD286" s="1132" t="n"/>
      <c r="AKE286" s="1132" t="n"/>
      <c r="AKF286" s="1132" t="n"/>
      <c r="AKG286" s="1132" t="n"/>
      <c r="AKH286" s="1132" t="n"/>
      <c r="AKI286" s="1132" t="n"/>
      <c r="AKJ286" s="1132" t="n"/>
      <c r="AKK286" s="1132" t="n"/>
      <c r="AKL286" s="1132" t="n"/>
      <c r="AKM286" s="1132" t="n"/>
      <c r="AKN286" s="1132" t="n"/>
      <c r="AKO286" s="1132" t="n"/>
      <c r="AKP286" s="1132" t="n"/>
      <c r="AKQ286" s="1132" t="n"/>
      <c r="AKR286" s="1132" t="n"/>
      <c r="AKS286" s="1132" t="n"/>
      <c r="AKT286" s="1132" t="n"/>
      <c r="AKU286" s="1132" t="n"/>
      <c r="AKV286" s="1132" t="n"/>
      <c r="AKW286" s="1132" t="n"/>
      <c r="AKX286" s="1132" t="n"/>
      <c r="AKY286" s="1132" t="n"/>
      <c r="AKZ286" s="1132" t="n"/>
      <c r="ALA286" s="1132" t="n"/>
      <c r="ALB286" s="1132" t="n"/>
      <c r="ALC286" s="1132" t="n"/>
      <c r="ALD286" s="1132" t="n"/>
      <c r="ALE286" s="1132" t="n"/>
      <c r="ALF286" s="1132" t="n"/>
      <c r="ALG286" s="1132" t="n"/>
      <c r="ALH286" s="1132" t="n"/>
      <c r="ALI286" s="1132" t="n"/>
      <c r="ALJ286" s="1132" t="n"/>
      <c r="ALK286" s="1132" t="n"/>
      <c r="ALL286" s="1132" t="n"/>
      <c r="ALM286" s="1132" t="n"/>
      <c r="ALN286" s="1132" t="n"/>
      <c r="ALO286" s="1132" t="n"/>
      <c r="ALP286" s="1132" t="n"/>
      <c r="ALQ286" s="1132" t="n"/>
      <c r="ALR286" s="1132" t="n"/>
      <c r="ALS286" s="1132" t="n"/>
      <c r="ALT286" s="1132" t="n"/>
      <c r="ALU286" s="1132" t="n"/>
      <c r="ALV286" s="1132" t="n"/>
      <c r="ALW286" s="1132" t="n"/>
      <c r="ALX286" s="1132" t="n"/>
      <c r="ALY286" s="1132" t="n"/>
      <c r="ALZ286" s="1132" t="n"/>
      <c r="AMA286" s="1132" t="n"/>
      <c r="AMB286" s="1132" t="n"/>
      <c r="AMC286" s="1132" t="n"/>
      <c r="AMD286" s="1132" t="n"/>
      <c r="AME286" s="1132" t="n"/>
      <c r="AMF286" s="1132" t="n"/>
      <c r="AMG286" s="1132" t="n"/>
      <c r="AMH286" s="1132" t="n"/>
      <c r="AMI286" s="1132" t="n"/>
      <c r="AMJ286" s="1132" t="n"/>
      <c r="AMK286" s="1132" t="n"/>
      <c r="AML286" s="1132" t="n"/>
      <c r="AMM286" s="1132" t="n"/>
      <c r="AMN286" s="1132" t="n"/>
      <c r="AMO286" s="1132" t="n"/>
      <c r="AMP286" s="1132" t="n"/>
      <c r="AMQ286" s="1132" t="n"/>
      <c r="AMR286" s="1132" t="n"/>
      <c r="AMS286" s="1132" t="n"/>
      <c r="AMT286" s="1132" t="n"/>
      <c r="AMU286" s="1132" t="n"/>
      <c r="AMV286" s="1132" t="n"/>
      <c r="AMW286" s="1132" t="n"/>
      <c r="AMX286" s="1132" t="n"/>
      <c r="AMY286" s="1132" t="n"/>
      <c r="AMZ286" s="1132" t="n"/>
      <c r="ANA286" s="1132" t="n"/>
      <c r="ANB286" s="1132" t="n"/>
      <c r="ANC286" s="1132" t="n"/>
      <c r="AND286" s="1132" t="n"/>
      <c r="ANE286" s="1132" t="n"/>
      <c r="ANF286" s="1132" t="n"/>
      <c r="ANG286" s="1132" t="n"/>
      <c r="ANH286" s="1132" t="n"/>
      <c r="ANI286" s="1132" t="n"/>
      <c r="ANJ286" s="1132" t="n"/>
      <c r="ANK286" s="1132" t="n"/>
      <c r="ANL286" s="1132" t="n"/>
      <c r="ANM286" s="1132" t="n"/>
      <c r="ANN286" s="1132" t="n"/>
      <c r="ANO286" s="1132" t="n"/>
      <c r="ANP286" s="1132" t="n"/>
      <c r="ANQ286" s="1132" t="n"/>
      <c r="ANR286" s="1132" t="n"/>
      <c r="ANS286" s="1132" t="n"/>
      <c r="ANT286" s="1132" t="n"/>
      <c r="ANU286" s="1132" t="n"/>
      <c r="ANV286" s="1132" t="n"/>
      <c r="ANW286" s="1132" t="n"/>
      <c r="ANX286" s="1132" t="n"/>
      <c r="ANY286" s="1132" t="n"/>
      <c r="ANZ286" s="1132" t="n"/>
      <c r="AOA286" s="1132" t="n"/>
      <c r="AOB286" s="1132" t="n"/>
      <c r="AOC286" s="1132" t="n"/>
      <c r="AOD286" s="1132" t="n"/>
      <c r="AOE286" s="1132" t="n"/>
      <c r="AOF286" s="1132" t="n"/>
      <c r="AOG286" s="1132" t="n"/>
      <c r="AOH286" s="1132" t="n"/>
      <c r="AOI286" s="1132" t="n"/>
      <c r="AOJ286" s="1132" t="n"/>
      <c r="AOK286" s="1132" t="n"/>
      <c r="AOL286" s="1132" t="n"/>
      <c r="AOM286" s="1132" t="n"/>
      <c r="AON286" s="1132" t="n"/>
      <c r="AOO286" s="1132" t="n"/>
      <c r="AOP286" s="1132" t="n"/>
      <c r="AOQ286" s="1132" t="n"/>
      <c r="AOR286" s="1132" t="n"/>
      <c r="AOS286" s="1132" t="n"/>
      <c r="AOT286" s="1132" t="n"/>
      <c r="AOU286" s="1132" t="n"/>
      <c r="AOV286" s="1132" t="n"/>
      <c r="AOW286" s="1132" t="n"/>
      <c r="AOX286" s="1132" t="n"/>
      <c r="AOY286" s="1132" t="n"/>
      <c r="AOZ286" s="1132" t="n"/>
      <c r="APA286" s="1132" t="n"/>
      <c r="APB286" s="1132" t="n"/>
      <c r="APC286" s="1132" t="n"/>
      <c r="APD286" s="1132" t="n"/>
      <c r="APE286" s="1132" t="n"/>
      <c r="APF286" s="1132" t="n"/>
      <c r="APG286" s="1132" t="n"/>
      <c r="APH286" s="1132" t="n"/>
      <c r="API286" s="1132" t="n"/>
      <c r="APJ286" s="1132" t="n"/>
      <c r="APK286" s="1132" t="n"/>
      <c r="APL286" s="1132" t="n"/>
      <c r="APM286" s="1132" t="n"/>
      <c r="APN286" s="1132" t="n"/>
      <c r="APO286" s="1132" t="n"/>
      <c r="APP286" s="1132" t="n"/>
      <c r="APQ286" s="1132" t="n"/>
      <c r="APR286" s="1132" t="n"/>
      <c r="APS286" s="1132" t="n"/>
      <c r="APT286" s="1132" t="n"/>
      <c r="APU286" s="1132" t="n"/>
      <c r="APV286" s="1132" t="n"/>
      <c r="APW286" s="1132" t="n"/>
      <c r="APX286" s="1132" t="n"/>
      <c r="APY286" s="1132" t="n"/>
      <c r="APZ286" s="1132" t="n"/>
      <c r="AQA286" s="1132" t="n"/>
      <c r="AQB286" s="1132" t="n"/>
      <c r="AQC286" s="1132" t="n"/>
      <c r="AQD286" s="1132" t="n"/>
      <c r="AQE286" s="1132" t="n"/>
      <c r="AQF286" s="1132" t="n"/>
      <c r="AQG286" s="1132" t="n"/>
      <c r="AQH286" s="1132" t="n"/>
      <c r="AQI286" s="1132" t="n"/>
      <c r="AQJ286" s="1132" t="n"/>
      <c r="AQK286" s="1132" t="n"/>
      <c r="AQL286" s="1132" t="n"/>
      <c r="AQM286" s="1132" t="n"/>
      <c r="AQN286" s="1132" t="n"/>
      <c r="AQO286" s="1132" t="n"/>
      <c r="AQP286" s="1132" t="n"/>
      <c r="AQQ286" s="1132" t="n"/>
      <c r="AQR286" s="1132" t="n"/>
      <c r="AQS286" s="1132" t="n"/>
      <c r="AQT286" s="1132" t="n"/>
      <c r="AQU286" s="1132" t="n"/>
      <c r="AQV286" s="1132" t="n"/>
      <c r="AQW286" s="1132" t="n"/>
      <c r="AQX286" s="1132" t="n"/>
      <c r="AQY286" s="1132" t="n"/>
      <c r="AQZ286" s="1132" t="n"/>
      <c r="ARA286" s="1132" t="n"/>
      <c r="ARB286" s="1132" t="n"/>
      <c r="ARC286" s="1132" t="n"/>
      <c r="ARD286" s="1132" t="n"/>
      <c r="ARE286" s="1132" t="n"/>
      <c r="ARF286" s="1132" t="n"/>
      <c r="ARG286" s="1132" t="n"/>
      <c r="ARH286" s="1132" t="n"/>
      <c r="ARI286" s="1132" t="n"/>
      <c r="ARJ286" s="1132" t="n"/>
      <c r="ARK286" s="1132" t="n"/>
      <c r="ARL286" s="1132" t="n"/>
      <c r="ARM286" s="1132" t="n"/>
      <c r="ARN286" s="1132" t="n"/>
      <c r="ARO286" s="1132" t="n"/>
      <c r="ARP286" s="1132" t="n"/>
      <c r="ARQ286" s="1132" t="n"/>
      <c r="ARR286" s="1132" t="n"/>
      <c r="ARS286" s="1132" t="n"/>
      <c r="ART286" s="1132" t="n"/>
      <c r="ARU286" s="1132" t="n"/>
      <c r="ARV286" s="1132" t="n"/>
      <c r="ARW286" s="1132" t="n"/>
      <c r="ARX286" s="1132" t="n"/>
      <c r="ARY286" s="1132" t="n"/>
      <c r="ARZ286" s="1132" t="n"/>
      <c r="ASA286" s="1132" t="n"/>
      <c r="ASB286" s="1132" t="n"/>
      <c r="ASC286" s="1132" t="n"/>
      <c r="ASD286" s="1132" t="n"/>
      <c r="ASE286" s="1132" t="n"/>
      <c r="ASF286" s="1132" t="n"/>
      <c r="ASG286" s="1132" t="n"/>
      <c r="ASH286" s="1132" t="n"/>
      <c r="ASI286" s="1132" t="n"/>
      <c r="ASJ286" s="1132" t="n"/>
      <c r="ASK286" s="1132" t="n"/>
      <c r="ASL286" s="1132" t="n"/>
      <c r="ASM286" s="1132" t="n"/>
      <c r="ASN286" s="1132" t="n"/>
      <c r="ASO286" s="1132" t="n"/>
      <c r="ASP286" s="1132" t="n"/>
      <c r="ASQ286" s="1132" t="n"/>
      <c r="ASR286" s="1132" t="n"/>
      <c r="ASS286" s="1132" t="n"/>
      <c r="AST286" s="1132" t="n"/>
      <c r="ASU286" s="1132" t="n"/>
      <c r="ASV286" s="1132" t="n"/>
      <c r="ASW286" s="1132" t="n"/>
      <c r="ASX286" s="1132" t="n"/>
      <c r="ASY286" s="1132" t="n"/>
      <c r="ASZ286" s="1132" t="n"/>
      <c r="ATA286" s="1132" t="n"/>
      <c r="ATB286" s="1132" t="n"/>
      <c r="ATC286" s="1132" t="n"/>
      <c r="ATD286" s="1132" t="n"/>
      <c r="ATE286" s="1132" t="n"/>
      <c r="ATF286" s="1132" t="n"/>
      <c r="ATG286" s="1132" t="n"/>
      <c r="ATH286" s="1132" t="n"/>
      <c r="ATI286" s="1132" t="n"/>
      <c r="ATJ286" s="1132" t="n"/>
      <c r="ATK286" s="1132" t="n"/>
      <c r="ATL286" s="1132" t="n"/>
      <c r="ATM286" s="1132" t="n"/>
      <c r="ATN286" s="1132" t="n"/>
      <c r="ATO286" s="1132" t="n"/>
      <c r="ATP286" s="1132" t="n"/>
      <c r="ATQ286" s="1132" t="n"/>
      <c r="ATR286" s="1132" t="n"/>
      <c r="ATS286" s="1132" t="n"/>
      <c r="ATT286" s="1132" t="n"/>
      <c r="ATU286" s="1132" t="n"/>
      <c r="ATV286" s="1132" t="n"/>
      <c r="ATW286" s="1132" t="n"/>
      <c r="ATX286" s="1132" t="n"/>
      <c r="ATY286" s="1132" t="n"/>
      <c r="ATZ286" s="1132" t="n"/>
      <c r="AUA286" s="1132" t="n"/>
      <c r="AUB286" s="1132" t="n"/>
      <c r="AUC286" s="1132" t="n"/>
      <c r="AUD286" s="1132" t="n"/>
      <c r="AUE286" s="1132" t="n"/>
      <c r="AUF286" s="1132" t="n"/>
      <c r="AUG286" s="1132" t="n"/>
      <c r="AUH286" s="1132" t="n"/>
      <c r="AUI286" s="1132" t="n"/>
      <c r="AUJ286" s="1132" t="n"/>
      <c r="AUK286" s="1132" t="n"/>
      <c r="AUL286" s="1132" t="n"/>
      <c r="AUM286" s="1132" t="n"/>
      <c r="AUN286" s="1132" t="n"/>
      <c r="AUO286" s="1132" t="n"/>
      <c r="AUP286" s="1132" t="n"/>
      <c r="AUQ286" s="1132" t="n"/>
      <c r="AUR286" s="1132" t="n"/>
      <c r="AUS286" s="1132" t="n"/>
      <c r="AUT286" s="1132" t="n"/>
      <c r="AUU286" s="1132" t="n"/>
      <c r="AUV286" s="1132" t="n"/>
      <c r="AUW286" s="1132" t="n"/>
      <c r="AUX286" s="1132" t="n"/>
      <c r="AUY286" s="1132" t="n"/>
      <c r="AUZ286" s="1132" t="n"/>
      <c r="AVA286" s="1132" t="n"/>
      <c r="AVB286" s="1132" t="n"/>
      <c r="AVC286" s="1132" t="n"/>
      <c r="AVD286" s="1132" t="n"/>
      <c r="AVE286" s="1132" t="n"/>
      <c r="AVF286" s="1132" t="n"/>
      <c r="AVG286" s="1132" t="n"/>
      <c r="AVH286" s="1132" t="n"/>
      <c r="AVI286" s="1132" t="n"/>
      <c r="AVJ286" s="1132" t="n"/>
      <c r="AVK286" s="1132" t="n"/>
      <c r="AVL286" s="1132" t="n"/>
      <c r="AVM286" s="1132" t="n"/>
      <c r="AVN286" s="1132" t="n"/>
      <c r="AVO286" s="1132" t="n"/>
      <c r="AVP286" s="1132" t="n"/>
      <c r="AVQ286" s="1132" t="n"/>
      <c r="AVR286" s="1132" t="n"/>
      <c r="AVS286" s="1132" t="n"/>
      <c r="AVT286" s="1132" t="n"/>
      <c r="AVU286" s="1132" t="n"/>
      <c r="AVV286" s="1132" t="n"/>
      <c r="AVW286" s="1132" t="n"/>
      <c r="AVX286" s="1132" t="n"/>
      <c r="AVY286" s="1132" t="n"/>
      <c r="AVZ286" s="1132" t="n"/>
      <c r="AWA286" s="1132" t="n"/>
      <c r="AWB286" s="1132" t="n"/>
      <c r="AWC286" s="1132" t="n"/>
      <c r="AWD286" s="1132" t="n"/>
      <c r="AWE286" s="1132" t="n"/>
      <c r="AWF286" s="1132" t="n"/>
      <c r="AWG286" s="1132" t="n"/>
      <c r="AWH286" s="1132" t="n"/>
      <c r="AWI286" s="1132" t="n"/>
      <c r="AWJ286" s="1132" t="n"/>
      <c r="AWK286" s="1132" t="n"/>
      <c r="AWL286" s="1132" t="n"/>
      <c r="AWM286" s="1132" t="n"/>
      <c r="AWN286" s="1132" t="n"/>
      <c r="AWO286" s="1132" t="n"/>
      <c r="AWP286" s="1132" t="n"/>
      <c r="AWQ286" s="1132" t="n"/>
      <c r="AWR286" s="1132" t="n"/>
      <c r="AWS286" s="1132" t="n"/>
      <c r="AWT286" s="1132" t="n"/>
      <c r="AWU286" s="1132" t="n"/>
      <c r="AWV286" s="1132" t="n"/>
      <c r="AWW286" s="1132" t="n"/>
      <c r="AWX286" s="1132" t="n"/>
      <c r="AWY286" s="1132" t="n"/>
      <c r="AWZ286" s="1132" t="n"/>
      <c r="AXA286" s="1132" t="n"/>
      <c r="AXB286" s="1132" t="n"/>
      <c r="AXC286" s="1132" t="n"/>
      <c r="AXD286" s="1132" t="n"/>
      <c r="AXE286" s="1132" t="n"/>
      <c r="AXF286" s="1132" t="n"/>
      <c r="AXG286" s="1132" t="n"/>
      <c r="AXH286" s="1132" t="n"/>
      <c r="AXI286" s="1132" t="n"/>
      <c r="AXJ286" s="1132" t="n"/>
      <c r="AXK286" s="1132" t="n"/>
      <c r="AXL286" s="1132" t="n"/>
      <c r="AXM286" s="1132" t="n"/>
      <c r="AXN286" s="1132" t="n"/>
      <c r="AXO286" s="1132" t="n"/>
      <c r="AXP286" s="1132" t="n"/>
      <c r="AXQ286" s="1132" t="n"/>
      <c r="AXR286" s="1132" t="n"/>
      <c r="AXS286" s="1132" t="n"/>
      <c r="AXT286" s="1132" t="n"/>
      <c r="AXU286" s="1132" t="n"/>
      <c r="AXV286" s="1132" t="n"/>
      <c r="AXW286" s="1132" t="n"/>
      <c r="AXX286" s="1132" t="n"/>
      <c r="AXY286" s="1132" t="n"/>
      <c r="AXZ286" s="1132" t="n"/>
      <c r="AYA286" s="1132" t="n"/>
      <c r="AYB286" s="1132" t="n"/>
      <c r="AYC286" s="1132" t="n"/>
      <c r="AYD286" s="1132" t="n"/>
      <c r="AYE286" s="1132" t="n"/>
      <c r="AYF286" s="1132" t="n"/>
      <c r="AYG286" s="1132" t="n"/>
      <c r="AYH286" s="1132" t="n"/>
      <c r="AYI286" s="1132" t="n"/>
      <c r="AYJ286" s="1132" t="n"/>
      <c r="AYK286" s="1132" t="n"/>
      <c r="AYL286" s="1132" t="n"/>
      <c r="AYM286" s="1132" t="n"/>
      <c r="AYN286" s="1132" t="n"/>
      <c r="AYO286" s="1132" t="n"/>
      <c r="AYP286" s="1132" t="n"/>
      <c r="AYQ286" s="1132" t="n"/>
      <c r="AYR286" s="1132" t="n"/>
      <c r="AYS286" s="1132" t="n"/>
      <c r="AYT286" s="1132" t="n"/>
      <c r="AYU286" s="1132" t="n"/>
      <c r="AYV286" s="1132" t="n"/>
      <c r="AYW286" s="1132" t="n"/>
      <c r="AYX286" s="1132" t="n"/>
      <c r="AYY286" s="1132" t="n"/>
      <c r="AYZ286" s="1132" t="n"/>
      <c r="AZA286" s="1132" t="n"/>
      <c r="AZB286" s="1132" t="n"/>
      <c r="AZC286" s="1132" t="n"/>
      <c r="AZD286" s="1132" t="n"/>
      <c r="AZE286" s="1132" t="n"/>
      <c r="AZF286" s="1132" t="n"/>
      <c r="AZG286" s="1132" t="n"/>
      <c r="AZH286" s="1132" t="n"/>
      <c r="AZI286" s="1132" t="n"/>
      <c r="AZJ286" s="1132" t="n"/>
      <c r="AZK286" s="1132" t="n"/>
      <c r="AZL286" s="1132" t="n"/>
      <c r="AZM286" s="1132" t="n"/>
      <c r="AZN286" s="1132" t="n"/>
      <c r="AZO286" s="1132" t="n"/>
      <c r="AZP286" s="1132" t="n"/>
      <c r="AZQ286" s="1132" t="n"/>
      <c r="AZR286" s="1132" t="n"/>
      <c r="AZS286" s="1132" t="n"/>
      <c r="AZT286" s="1132" t="n"/>
      <c r="AZU286" s="1132" t="n"/>
      <c r="AZV286" s="1132" t="n"/>
      <c r="AZW286" s="1132" t="n"/>
      <c r="AZX286" s="1132" t="n"/>
      <c r="AZY286" s="1132" t="n"/>
      <c r="AZZ286" s="1132" t="n"/>
      <c r="BAA286" s="1132" t="n"/>
      <c r="BAB286" s="1132" t="n"/>
      <c r="BAC286" s="1132" t="n"/>
      <c r="BAD286" s="1132" t="n"/>
      <c r="BAE286" s="1132" t="n"/>
      <c r="BAF286" s="1132" t="n"/>
      <c r="BAG286" s="1132" t="n"/>
      <c r="BAH286" s="1132" t="n"/>
      <c r="BAI286" s="1132" t="n"/>
      <c r="BAJ286" s="1132" t="n"/>
      <c r="BAK286" s="1132" t="n"/>
      <c r="BAL286" s="1132" t="n"/>
      <c r="BAM286" s="1132" t="n"/>
      <c r="BAN286" s="1132" t="n"/>
      <c r="BAO286" s="1132" t="n"/>
      <c r="BAP286" s="1132" t="n"/>
      <c r="BAQ286" s="1132" t="n"/>
      <c r="BAR286" s="1132" t="n"/>
      <c r="BAS286" s="1132" t="n"/>
      <c r="BAT286" s="1132" t="n"/>
      <c r="BAU286" s="1132" t="n"/>
      <c r="BAV286" s="1132" t="n"/>
      <c r="BAW286" s="1132" t="n"/>
      <c r="BAX286" s="1132" t="n"/>
      <c r="BAY286" s="1132" t="n"/>
      <c r="BAZ286" s="1132" t="n"/>
      <c r="BBA286" s="1132" t="n"/>
      <c r="BBB286" s="1132" t="n"/>
      <c r="BBC286" s="1132" t="n"/>
      <c r="BBD286" s="1132" t="n"/>
      <c r="BBE286" s="1132" t="n"/>
      <c r="BBF286" s="1132" t="n"/>
      <c r="BBG286" s="1132" t="n"/>
      <c r="BBH286" s="1132" t="n"/>
      <c r="BBI286" s="1132" t="n"/>
      <c r="BBJ286" s="1132" t="n"/>
      <c r="BBK286" s="1132" t="n"/>
      <c r="BBL286" s="1132" t="n"/>
      <c r="BBM286" s="1132" t="n"/>
      <c r="BBN286" s="1132" t="n"/>
      <c r="BBO286" s="1132" t="n"/>
      <c r="BBP286" s="1132" t="n"/>
      <c r="BBQ286" s="1132" t="n"/>
      <c r="BBR286" s="1132" t="n"/>
      <c r="BBS286" s="1132" t="n"/>
      <c r="BBT286" s="1132" t="n"/>
      <c r="BBU286" s="1132" t="n"/>
      <c r="BBV286" s="1132" t="n"/>
      <c r="BBW286" s="1132" t="n"/>
      <c r="BBX286" s="1132" t="n"/>
      <c r="BBY286" s="1132" t="n"/>
      <c r="BBZ286" s="1132" t="n"/>
      <c r="BCA286" s="1132" t="n"/>
      <c r="BCB286" s="1132" t="n"/>
      <c r="BCC286" s="1132" t="n"/>
      <c r="BCD286" s="1132" t="n"/>
      <c r="BCE286" s="1132" t="n"/>
      <c r="BCF286" s="1132" t="n"/>
      <c r="BCG286" s="1132" t="n"/>
      <c r="BCH286" s="1132" t="n"/>
      <c r="BCI286" s="1132" t="n"/>
      <c r="BCJ286" s="1132" t="n"/>
      <c r="BCK286" s="1132" t="n"/>
      <c r="BCL286" s="1132" t="n"/>
      <c r="BCM286" s="1132" t="n"/>
      <c r="BCN286" s="1132" t="n"/>
      <c r="BCO286" s="1132" t="n"/>
      <c r="BCP286" s="1132" t="n"/>
      <c r="BCQ286" s="1132" t="n"/>
      <c r="BCR286" s="1132" t="n"/>
      <c r="BCS286" s="1132" t="n"/>
      <c r="BCT286" s="1132" t="n"/>
      <c r="BCU286" s="1132" t="n"/>
      <c r="BCV286" s="1132" t="n"/>
      <c r="BCW286" s="1132" t="n"/>
      <c r="BCX286" s="1132" t="n"/>
      <c r="BCY286" s="1132" t="n"/>
      <c r="BCZ286" s="1132" t="n"/>
      <c r="BDA286" s="1132" t="n"/>
      <c r="BDB286" s="1132" t="n"/>
      <c r="BDC286" s="1132" t="n"/>
      <c r="BDD286" s="1132" t="n"/>
      <c r="BDE286" s="1132" t="n"/>
      <c r="BDF286" s="1132" t="n"/>
      <c r="BDG286" s="1132" t="n"/>
      <c r="BDH286" s="1132" t="n"/>
      <c r="BDI286" s="1132" t="n"/>
      <c r="BDJ286" s="1132" t="n"/>
      <c r="BDK286" s="1132" t="n"/>
      <c r="BDL286" s="1132" t="n"/>
      <c r="BDM286" s="1132" t="n"/>
      <c r="BDN286" s="1132" t="n"/>
      <c r="BDO286" s="1132" t="n"/>
      <c r="BDP286" s="1132" t="n"/>
      <c r="BDQ286" s="1132" t="n"/>
      <c r="BDR286" s="1132" t="n"/>
      <c r="BDS286" s="1132" t="n"/>
      <c r="BDT286" s="1132" t="n"/>
      <c r="BDU286" s="1132" t="n"/>
      <c r="BDV286" s="1132" t="n"/>
      <c r="BDW286" s="1132" t="n"/>
      <c r="BDX286" s="1132" t="n"/>
      <c r="BDY286" s="1132" t="n"/>
      <c r="BDZ286" s="1132" t="n"/>
      <c r="BEA286" s="1132" t="n"/>
      <c r="BEB286" s="1132" t="n"/>
      <c r="BEC286" s="1132" t="n"/>
      <c r="BED286" s="1132" t="n"/>
      <c r="BEE286" s="1132" t="n"/>
      <c r="BEF286" s="1132" t="n"/>
      <c r="BEG286" s="1132" t="n"/>
      <c r="BEH286" s="1132" t="n"/>
      <c r="BEI286" s="1132" t="n"/>
      <c r="BEJ286" s="1132" t="n"/>
      <c r="BEK286" s="1132" t="n"/>
      <c r="BEL286" s="1132" t="n"/>
      <c r="BEM286" s="1132" t="n"/>
      <c r="BEN286" s="1132" t="n"/>
      <c r="BEO286" s="1132" t="n"/>
      <c r="BEP286" s="1132" t="n"/>
      <c r="BEQ286" s="1132" t="n"/>
      <c r="BER286" s="1132" t="n"/>
      <c r="BES286" s="1132" t="n"/>
      <c r="BET286" s="1132" t="n"/>
      <c r="BEU286" s="1132" t="n"/>
      <c r="BEV286" s="1132" t="n"/>
      <c r="BEW286" s="1132" t="n"/>
      <c r="BEX286" s="1132" t="n"/>
      <c r="BEY286" s="1132" t="n"/>
      <c r="BEZ286" s="1132" t="n"/>
      <c r="BFA286" s="1132" t="n"/>
      <c r="BFB286" s="1132" t="n"/>
      <c r="BFC286" s="1132" t="n"/>
      <c r="BFD286" s="1132" t="n"/>
      <c r="BFE286" s="1132" t="n"/>
      <c r="BFF286" s="1132" t="n"/>
      <c r="BFG286" s="1132" t="n"/>
      <c r="BFH286" s="1132" t="n"/>
      <c r="BFI286" s="1132" t="n"/>
      <c r="BFJ286" s="1132" t="n"/>
      <c r="BFK286" s="1132" t="n"/>
      <c r="BFL286" s="1132" t="n"/>
      <c r="BFM286" s="1132" t="n"/>
      <c r="BFN286" s="1132" t="n"/>
      <c r="BFO286" s="1132" t="n"/>
      <c r="BFP286" s="1132" t="n"/>
      <c r="BFQ286" s="1132" t="n"/>
      <c r="BFR286" s="1132" t="n"/>
      <c r="BFS286" s="1132" t="n"/>
      <c r="BFT286" s="1132" t="n"/>
      <c r="BFU286" s="1132" t="n"/>
      <c r="BFV286" s="1132" t="n"/>
      <c r="BFW286" s="1132" t="n"/>
      <c r="BFX286" s="1132" t="n"/>
      <c r="BFY286" s="1132" t="n"/>
      <c r="BFZ286" s="1132" t="n"/>
      <c r="BGA286" s="1132" t="n"/>
      <c r="BGB286" s="1132" t="n"/>
      <c r="BGC286" s="1132" t="n"/>
      <c r="BGD286" s="1132" t="n"/>
      <c r="BGE286" s="1132" t="n"/>
      <c r="BGF286" s="1132" t="n"/>
      <c r="BGG286" s="1132" t="n"/>
      <c r="BGH286" s="1132" t="n"/>
      <c r="BGI286" s="1132" t="n"/>
      <c r="BGJ286" s="1132" t="n"/>
      <c r="BGK286" s="1132" t="n"/>
      <c r="BGL286" s="1132" t="n"/>
      <c r="BGM286" s="1132" t="n"/>
      <c r="BGN286" s="1132" t="n"/>
      <c r="BGO286" s="1132" t="n"/>
      <c r="BGP286" s="1132" t="n"/>
      <c r="BGQ286" s="1132" t="n"/>
      <c r="BGR286" s="1132" t="n"/>
      <c r="BGS286" s="1132" t="n"/>
      <c r="BGT286" s="1132" t="n"/>
      <c r="BGU286" s="1132" t="n"/>
      <c r="BGV286" s="1132" t="n"/>
      <c r="BGW286" s="1132" t="n"/>
      <c r="BGX286" s="1132" t="n"/>
      <c r="BGY286" s="1132" t="n"/>
      <c r="BGZ286" s="1132" t="n"/>
      <c r="BHA286" s="1132" t="n"/>
      <c r="BHB286" s="1132" t="n"/>
      <c r="BHC286" s="1132" t="n"/>
      <c r="BHD286" s="1132" t="n"/>
      <c r="BHE286" s="1132" t="n"/>
      <c r="BHF286" s="1132" t="n"/>
      <c r="BHG286" s="1132" t="n"/>
      <c r="BHH286" s="1132" t="n"/>
      <c r="BHI286" s="1132" t="n"/>
      <c r="BHJ286" s="1132" t="n"/>
      <c r="BHK286" s="1132" t="n"/>
      <c r="BHL286" s="1132" t="n"/>
      <c r="BHM286" s="1132" t="n"/>
      <c r="BHN286" s="1132" t="n"/>
      <c r="BHO286" s="1132" t="n"/>
      <c r="BHP286" s="1132" t="n"/>
      <c r="BHQ286" s="1132" t="n"/>
      <c r="BHR286" s="1132" t="n"/>
      <c r="BHS286" s="1132" t="n"/>
      <c r="BHT286" s="1132" t="n"/>
      <c r="BHU286" s="1132" t="n"/>
      <c r="BHV286" s="1132" t="n"/>
      <c r="BHW286" s="1132" t="n"/>
      <c r="BHX286" s="1132" t="n"/>
      <c r="BHY286" s="1132" t="n"/>
      <c r="BHZ286" s="1132" t="n"/>
      <c r="BIA286" s="1132" t="n"/>
      <c r="BIB286" s="1132" t="n"/>
      <c r="BIC286" s="1132" t="n"/>
      <c r="BID286" s="1132" t="n"/>
      <c r="BIE286" s="1132" t="n"/>
      <c r="BIF286" s="1132" t="n"/>
      <c r="BIG286" s="1132" t="n"/>
      <c r="BIH286" s="1132" t="n"/>
      <c r="BII286" s="1132" t="n"/>
      <c r="BIJ286" s="1132" t="n"/>
      <c r="BIK286" s="1132" t="n"/>
      <c r="BIL286" s="1132" t="n"/>
      <c r="BIM286" s="1132" t="n"/>
      <c r="BIN286" s="1132" t="n"/>
      <c r="BIO286" s="1132" t="n"/>
      <c r="BIP286" s="1132" t="n"/>
      <c r="BIQ286" s="1132" t="n"/>
      <c r="BIR286" s="1132" t="n"/>
      <c r="BIS286" s="1132" t="n"/>
      <c r="BIT286" s="1132" t="n"/>
      <c r="BIU286" s="1132" t="n"/>
      <c r="BIV286" s="1132" t="n"/>
      <c r="BIW286" s="1132" t="n"/>
      <c r="BIX286" s="1132" t="n"/>
      <c r="BIY286" s="1132" t="n"/>
      <c r="BIZ286" s="1132" t="n"/>
      <c r="BJA286" s="1132" t="n"/>
      <c r="BJB286" s="1132" t="n"/>
      <c r="BJC286" s="1132" t="n"/>
      <c r="BJD286" s="1132" t="n"/>
      <c r="BJE286" s="1132" t="n"/>
      <c r="BJF286" s="1132" t="n"/>
      <c r="BJG286" s="1132" t="n"/>
      <c r="BJH286" s="1132" t="n"/>
      <c r="BJI286" s="1132" t="n"/>
      <c r="BJJ286" s="1132" t="n"/>
      <c r="BJK286" s="1132" t="n"/>
      <c r="BJL286" s="1132" t="n"/>
      <c r="BJM286" s="1132" t="n"/>
      <c r="BJN286" s="1132" t="n"/>
      <c r="BJO286" s="1132" t="n"/>
      <c r="BJP286" s="1132" t="n"/>
      <c r="BJQ286" s="1132" t="n"/>
      <c r="BJR286" s="1132" t="n"/>
      <c r="BJS286" s="1132" t="n"/>
      <c r="BJT286" s="1132" t="n"/>
      <c r="BJU286" s="1132" t="n"/>
      <c r="BJV286" s="1132" t="n"/>
      <c r="BJW286" s="1132" t="n"/>
      <c r="BJX286" s="1132" t="n"/>
      <c r="BJY286" s="1132" t="n"/>
      <c r="BJZ286" s="1132" t="n"/>
      <c r="BKA286" s="1132" t="n"/>
      <c r="BKB286" s="1132" t="n"/>
      <c r="BKC286" s="1132" t="n"/>
      <c r="BKD286" s="1132" t="n"/>
      <c r="BKE286" s="1132" t="n"/>
      <c r="BKF286" s="1132" t="n"/>
      <c r="BKG286" s="1132" t="n"/>
      <c r="BKH286" s="1132" t="n"/>
      <c r="BKI286" s="1132" t="n"/>
      <c r="BKJ286" s="1132" t="n"/>
      <c r="BKK286" s="1132" t="n"/>
      <c r="BKL286" s="1132" t="n"/>
      <c r="BKM286" s="1132" t="n"/>
      <c r="BKN286" s="1132" t="n"/>
      <c r="BKO286" s="1132" t="n"/>
      <c r="BKP286" s="1132" t="n"/>
      <c r="BKQ286" s="1132" t="n"/>
      <c r="BKR286" s="1132" t="n"/>
      <c r="BKS286" s="1132" t="n"/>
      <c r="BKT286" s="1132" t="n"/>
      <c r="BKU286" s="1132" t="n"/>
      <c r="BKV286" s="1132" t="n"/>
      <c r="BKW286" s="1132" t="n"/>
      <c r="BKX286" s="1132" t="n"/>
      <c r="BKY286" s="1132" t="n"/>
      <c r="BKZ286" s="1132" t="n"/>
      <c r="BLA286" s="1132" t="n"/>
      <c r="BLB286" s="1132" t="n"/>
      <c r="BLC286" s="1132" t="n"/>
      <c r="BLD286" s="1132" t="n"/>
      <c r="BLE286" s="1132" t="n"/>
      <c r="BLF286" s="1132" t="n"/>
      <c r="BLG286" s="1132" t="n"/>
      <c r="BLH286" s="1132" t="n"/>
      <c r="BLI286" s="1132" t="n"/>
      <c r="BLJ286" s="1132" t="n"/>
      <c r="BLK286" s="1132" t="n"/>
      <c r="BLL286" s="1132" t="n"/>
      <c r="BLM286" s="1132" t="n"/>
      <c r="BLN286" s="1132" t="n"/>
      <c r="BLO286" s="1132" t="n"/>
      <c r="BLP286" s="1132" t="n"/>
      <c r="BLQ286" s="1132" t="n"/>
      <c r="BLR286" s="1132" t="n"/>
      <c r="BLS286" s="1132" t="n"/>
      <c r="BLT286" s="1132" t="n"/>
      <c r="BLU286" s="1132" t="n"/>
      <c r="BLV286" s="1132" t="n"/>
      <c r="BLW286" s="1132" t="n"/>
      <c r="BLX286" s="1132" t="n"/>
      <c r="BLY286" s="1132" t="n"/>
      <c r="BLZ286" s="1132" t="n"/>
      <c r="BMA286" s="1132" t="n"/>
      <c r="BMB286" s="1132" t="n"/>
      <c r="BMC286" s="1132" t="n"/>
      <c r="BMD286" s="1132" t="n"/>
      <c r="BME286" s="1132" t="n"/>
      <c r="BMF286" s="1132" t="n"/>
      <c r="BMG286" s="1132" t="n"/>
      <c r="BMH286" s="1132" t="n"/>
      <c r="BMI286" s="1132" t="n"/>
      <c r="BMJ286" s="1132" t="n"/>
      <c r="BMK286" s="1132" t="n"/>
      <c r="BML286" s="1132" t="n"/>
      <c r="BMM286" s="1132" t="n"/>
      <c r="BMN286" s="1132" t="n"/>
      <c r="BMO286" s="1132" t="n"/>
      <c r="BMP286" s="1132" t="n"/>
      <c r="BMQ286" s="1132" t="n"/>
      <c r="BMR286" s="1132" t="n"/>
      <c r="BMS286" s="1132" t="n"/>
      <c r="BMT286" s="1132" t="n"/>
      <c r="BMU286" s="1132" t="n"/>
      <c r="BMV286" s="1132" t="n"/>
      <c r="BMW286" s="1132" t="n"/>
      <c r="BMX286" s="1132" t="n"/>
      <c r="BMY286" s="1132" t="n"/>
      <c r="BMZ286" s="1132" t="n"/>
      <c r="BNA286" s="1132" t="n"/>
      <c r="BNB286" s="1132" t="n"/>
      <c r="BNC286" s="1132" t="n"/>
      <c r="BND286" s="1132" t="n"/>
      <c r="BNE286" s="1132" t="n"/>
      <c r="BNF286" s="1132" t="n"/>
      <c r="BNG286" s="1132" t="n"/>
      <c r="BNH286" s="1132" t="n"/>
      <c r="BNI286" s="1132" t="n"/>
      <c r="BNJ286" s="1132" t="n"/>
      <c r="BNK286" s="1132" t="n"/>
      <c r="BNL286" s="1132" t="n"/>
      <c r="BNM286" s="1132" t="n"/>
      <c r="BNN286" s="1132" t="n"/>
      <c r="BNO286" s="1132" t="n"/>
      <c r="BNP286" s="1132" t="n"/>
      <c r="BNQ286" s="1132" t="n"/>
      <c r="BNR286" s="1132" t="n"/>
      <c r="BNS286" s="1132" t="n"/>
      <c r="BNT286" s="1132" t="n"/>
      <c r="BNU286" s="1132" t="n"/>
      <c r="BNV286" s="1132" t="n"/>
      <c r="BNW286" s="1132" t="n"/>
      <c r="BNX286" s="1132" t="n"/>
      <c r="BNY286" s="1132" t="n"/>
      <c r="BNZ286" s="1132" t="n"/>
      <c r="BOA286" s="1132" t="n"/>
      <c r="BOB286" s="1132" t="n"/>
      <c r="BOC286" s="1132" t="n"/>
      <c r="BOD286" s="1132" t="n"/>
      <c r="BOE286" s="1132" t="n"/>
      <c r="BOF286" s="1132" t="n"/>
      <c r="BOG286" s="1132" t="n"/>
      <c r="BOH286" s="1132" t="n"/>
      <c r="BOI286" s="1132" t="n"/>
      <c r="BOJ286" s="1132" t="n"/>
      <c r="BOK286" s="1132" t="n"/>
      <c r="BOL286" s="1132" t="n"/>
      <c r="BOM286" s="1132" t="n"/>
      <c r="BON286" s="1132" t="n"/>
      <c r="BOO286" s="1132" t="n"/>
      <c r="BOP286" s="1132" t="n"/>
      <c r="BOQ286" s="1132" t="n"/>
      <c r="BOR286" s="1132" t="n"/>
      <c r="BOS286" s="1132" t="n"/>
      <c r="BOT286" s="1132" t="n"/>
      <c r="BOU286" s="1132" t="n"/>
      <c r="BOV286" s="1132" t="n"/>
      <c r="BOW286" s="1132" t="n"/>
      <c r="BOX286" s="1132" t="n"/>
      <c r="BOY286" s="1132" t="n"/>
      <c r="BOZ286" s="1132" t="n"/>
      <c r="BPA286" s="1132" t="n"/>
      <c r="BPB286" s="1132" t="n"/>
      <c r="BPC286" s="1132" t="n"/>
      <c r="BPD286" s="1132" t="n"/>
      <c r="BPE286" s="1132" t="n"/>
      <c r="BPF286" s="1132" t="n"/>
      <c r="BPG286" s="1132" t="n"/>
      <c r="BPH286" s="1132" t="n"/>
      <c r="BPI286" s="1132" t="n"/>
      <c r="BPJ286" s="1132" t="n"/>
      <c r="BPK286" s="1132" t="n"/>
      <c r="BPL286" s="1132" t="n"/>
      <c r="BPM286" s="1132" t="n"/>
      <c r="BPN286" s="1132" t="n"/>
      <c r="BPO286" s="1132" t="n"/>
      <c r="BPP286" s="1132" t="n"/>
      <c r="BPQ286" s="1132" t="n"/>
      <c r="BPR286" s="1132" t="n"/>
      <c r="BPS286" s="1132" t="n"/>
      <c r="BPT286" s="1132" t="n"/>
      <c r="BPU286" s="1132" t="n"/>
      <c r="BPV286" s="1132" t="n"/>
      <c r="BPW286" s="1132" t="n"/>
      <c r="BPX286" s="1132" t="n"/>
      <c r="BPY286" s="1132" t="n"/>
      <c r="BPZ286" s="1132" t="n"/>
      <c r="BQA286" s="1132" t="n"/>
      <c r="BQB286" s="1132" t="n"/>
      <c r="BQC286" s="1132" t="n"/>
      <c r="BQD286" s="1132" t="n"/>
      <c r="BQE286" s="1132" t="n"/>
      <c r="BQF286" s="1132" t="n"/>
      <c r="BQG286" s="1132" t="n"/>
      <c r="BQH286" s="1132" t="n"/>
      <c r="BQI286" s="1132" t="n"/>
      <c r="BQJ286" s="1132" t="n"/>
      <c r="BQK286" s="1132" t="n"/>
      <c r="BQL286" s="1132" t="n"/>
      <c r="BQM286" s="1132" t="n"/>
      <c r="BQN286" s="1132" t="n"/>
      <c r="BQO286" s="1132" t="n"/>
      <c r="BQP286" s="1132" t="n"/>
      <c r="BQQ286" s="1132" t="n"/>
      <c r="BQR286" s="1132" t="n"/>
      <c r="BQS286" s="1132" t="n"/>
      <c r="BQT286" s="1132" t="n"/>
      <c r="BQU286" s="1132" t="n"/>
      <c r="BQV286" s="1132" t="n"/>
      <c r="BQW286" s="1132" t="n"/>
      <c r="BQX286" s="1132" t="n"/>
      <c r="BQY286" s="1132" t="n"/>
      <c r="BQZ286" s="1132" t="n"/>
      <c r="BRA286" s="1132" t="n"/>
      <c r="BRB286" s="1132" t="n"/>
      <c r="BRC286" s="1132" t="n"/>
      <c r="BRD286" s="1132" t="n"/>
      <c r="BRE286" s="1132" t="n"/>
      <c r="BRF286" s="1132" t="n"/>
      <c r="BRG286" s="1132" t="n"/>
      <c r="BRH286" s="1132" t="n"/>
      <c r="BRI286" s="1132" t="n"/>
      <c r="BRJ286" s="1132" t="n"/>
      <c r="BRK286" s="1132" t="n"/>
      <c r="BRL286" s="1132" t="n"/>
      <c r="BRM286" s="1132" t="n"/>
      <c r="BRN286" s="1132" t="n"/>
      <c r="BRO286" s="1132" t="n"/>
      <c r="BRP286" s="1132" t="n"/>
      <c r="BRQ286" s="1132" t="n"/>
      <c r="BRR286" s="1132" t="n"/>
      <c r="BRS286" s="1132" t="n"/>
      <c r="BRT286" s="1132" t="n"/>
      <c r="BRU286" s="1132" t="n"/>
      <c r="BRV286" s="1132" t="n"/>
      <c r="BRW286" s="1132" t="n"/>
      <c r="BRX286" s="1132" t="n"/>
      <c r="BRY286" s="1132" t="n"/>
      <c r="BRZ286" s="1132" t="n"/>
      <c r="BSA286" s="1132" t="n"/>
      <c r="BSB286" s="1132" t="n"/>
      <c r="BSC286" s="1132" t="n"/>
      <c r="BSD286" s="1132" t="n"/>
      <c r="BSE286" s="1132" t="n"/>
      <c r="BSF286" s="1132" t="n"/>
      <c r="BSG286" s="1132" t="n"/>
      <c r="BSH286" s="1132" t="n"/>
      <c r="BSI286" s="1132" t="n"/>
      <c r="BSJ286" s="1132" t="n"/>
      <c r="BSK286" s="1132" t="n"/>
      <c r="BSL286" s="1132" t="n"/>
      <c r="BSM286" s="1132" t="n"/>
      <c r="BSN286" s="1132" t="n"/>
      <c r="BSO286" s="1132" t="n"/>
      <c r="BSP286" s="1132" t="n"/>
      <c r="BSQ286" s="1132" t="n"/>
      <c r="BSR286" s="1132" t="n"/>
      <c r="BSS286" s="1132" t="n"/>
      <c r="BST286" s="1132" t="n"/>
      <c r="BSU286" s="1132" t="n"/>
      <c r="BSV286" s="1132" t="n"/>
      <c r="BSW286" s="1132" t="n"/>
      <c r="BSX286" s="1132" t="n"/>
      <c r="BSY286" s="1132" t="n"/>
      <c r="BSZ286" s="1132" t="n"/>
      <c r="BTA286" s="1132" t="n"/>
      <c r="BTB286" s="1132" t="n"/>
      <c r="BTC286" s="1132" t="n"/>
      <c r="BTD286" s="1132" t="n"/>
      <c r="BTE286" s="1132" t="n"/>
      <c r="BTF286" s="1132" t="n"/>
      <c r="BTG286" s="1132" t="n"/>
      <c r="BTH286" s="1132" t="n"/>
      <c r="BTI286" s="1132" t="n"/>
      <c r="BTJ286" s="1132" t="n"/>
      <c r="BTK286" s="1132" t="n"/>
      <c r="BTL286" s="1132" t="n"/>
      <c r="BTM286" s="1132" t="n"/>
      <c r="BTN286" s="1132" t="n"/>
      <c r="BTO286" s="1132" t="n"/>
      <c r="BTP286" s="1132" t="n"/>
      <c r="BTQ286" s="1132" t="n"/>
      <c r="BTR286" s="1132" t="n"/>
      <c r="BTS286" s="1132" t="n"/>
      <c r="BTT286" s="1132" t="n"/>
      <c r="BTU286" s="1132" t="n"/>
      <c r="BTV286" s="1132" t="n"/>
      <c r="BTW286" s="1132" t="n"/>
      <c r="BTX286" s="1132" t="n"/>
      <c r="BTY286" s="1132" t="n"/>
      <c r="BTZ286" s="1132" t="n"/>
      <c r="BUA286" s="1132" t="n"/>
      <c r="BUB286" s="1132" t="n"/>
      <c r="BUC286" s="1132" t="n"/>
      <c r="BUD286" s="1132" t="n"/>
      <c r="BUE286" s="1132" t="n"/>
      <c r="BUF286" s="1132" t="n"/>
      <c r="BUG286" s="1132" t="n"/>
      <c r="BUH286" s="1132" t="n"/>
      <c r="BUI286" s="1132" t="n"/>
      <c r="BUJ286" s="1132" t="n"/>
      <c r="BUK286" s="1132" t="n"/>
      <c r="BUL286" s="1132" t="n"/>
      <c r="BUM286" s="1132" t="n"/>
      <c r="BUN286" s="1132" t="n"/>
      <c r="BUO286" s="1132" t="n"/>
      <c r="BUP286" s="1132" t="n"/>
      <c r="BUQ286" s="1132" t="n"/>
      <c r="BUR286" s="1132" t="n"/>
      <c r="BUS286" s="1132" t="n"/>
      <c r="BUT286" s="1132" t="n"/>
      <c r="BUU286" s="1132" t="n"/>
      <c r="BUV286" s="1132" t="n"/>
      <c r="BUW286" s="1132" t="n"/>
      <c r="BUX286" s="1132" t="n"/>
      <c r="BUY286" s="1132" t="n"/>
      <c r="BUZ286" s="1132" t="n"/>
      <c r="BVA286" s="1132" t="n"/>
      <c r="BVB286" s="1132" t="n"/>
      <c r="BVC286" s="1132" t="n"/>
      <c r="BVD286" s="1132" t="n"/>
      <c r="BVE286" s="1132" t="n"/>
      <c r="BVF286" s="1132" t="n"/>
      <c r="BVG286" s="1132" t="n"/>
      <c r="BVH286" s="1132" t="n"/>
      <c r="BVI286" s="1132" t="n"/>
      <c r="BVJ286" s="1132" t="n"/>
      <c r="BVK286" s="1132" t="n"/>
      <c r="BVL286" s="1132" t="n"/>
      <c r="BVM286" s="1132" t="n"/>
      <c r="BVN286" s="1132" t="n"/>
      <c r="BVO286" s="1132" t="n"/>
      <c r="BVP286" s="1132" t="n"/>
      <c r="BVQ286" s="1132" t="n"/>
      <c r="BVR286" s="1132" t="n"/>
      <c r="BVS286" s="1132" t="n"/>
      <c r="BVT286" s="1132" t="n"/>
      <c r="BVU286" s="1132" t="n"/>
      <c r="BVV286" s="1132" t="n"/>
      <c r="BVW286" s="1132" t="n"/>
      <c r="BVX286" s="1132" t="n"/>
      <c r="BVY286" s="1132" t="n"/>
      <c r="BVZ286" s="1132" t="n"/>
      <c r="BWA286" s="1132" t="n"/>
      <c r="BWB286" s="1132" t="n"/>
      <c r="BWC286" s="1132" t="n"/>
      <c r="BWD286" s="1132" t="n"/>
      <c r="BWE286" s="1132" t="n"/>
      <c r="BWF286" s="1132" t="n"/>
      <c r="BWG286" s="1132" t="n"/>
      <c r="BWH286" s="1132" t="n"/>
      <c r="BWI286" s="1132" t="n"/>
      <c r="BWJ286" s="1132" t="n"/>
      <c r="BWK286" s="1132" t="n"/>
      <c r="BWL286" s="1132" t="n"/>
      <c r="BWM286" s="1132" t="n"/>
      <c r="BWN286" s="1132" t="n"/>
      <c r="BWO286" s="1132" t="n"/>
      <c r="BWP286" s="1132" t="n"/>
      <c r="BWQ286" s="1132" t="n"/>
      <c r="BWR286" s="1132" t="n"/>
      <c r="BWS286" s="1132" t="n"/>
      <c r="BWT286" s="1132" t="n"/>
      <c r="BWU286" s="1132" t="n"/>
      <c r="BWV286" s="1132" t="n"/>
      <c r="BWW286" s="1132" t="n"/>
      <c r="BWX286" s="1132" t="n"/>
      <c r="BWY286" s="1132" t="n"/>
      <c r="BWZ286" s="1132" t="n"/>
      <c r="BXA286" s="1132" t="n"/>
      <c r="BXB286" s="1132" t="n"/>
      <c r="BXC286" s="1132" t="n"/>
      <c r="BXD286" s="1132" t="n"/>
      <c r="BXE286" s="1132" t="n"/>
      <c r="BXF286" s="1132" t="n"/>
      <c r="BXG286" s="1132" t="n"/>
      <c r="BXH286" s="1132" t="n"/>
      <c r="BXI286" s="1132" t="n"/>
      <c r="BXJ286" s="1132" t="n"/>
      <c r="BXK286" s="1132" t="n"/>
      <c r="BXL286" s="1132" t="n"/>
      <c r="BXM286" s="1132" t="n"/>
      <c r="BXN286" s="1132" t="n"/>
      <c r="BXO286" s="1132" t="n"/>
      <c r="BXP286" s="1132" t="n"/>
      <c r="BXQ286" s="1132" t="n"/>
      <c r="BXR286" s="1132" t="n"/>
      <c r="BXS286" s="1132" t="n"/>
      <c r="BXT286" s="1132" t="n"/>
      <c r="BXU286" s="1132" t="n"/>
      <c r="BXV286" s="1132" t="n"/>
      <c r="BXW286" s="1132" t="n"/>
      <c r="BXX286" s="1132" t="n"/>
      <c r="BXY286" s="1132" t="n"/>
      <c r="BXZ286" s="1132" t="n"/>
      <c r="BYA286" s="1132" t="n"/>
      <c r="BYB286" s="1132" t="n"/>
      <c r="BYC286" s="1132" t="n"/>
      <c r="BYD286" s="1132" t="n"/>
      <c r="BYE286" s="1132" t="n"/>
      <c r="BYF286" s="1132" t="n"/>
      <c r="BYG286" s="1132" t="n"/>
      <c r="BYH286" s="1132" t="n"/>
      <c r="BYI286" s="1132" t="n"/>
      <c r="BYJ286" s="1132" t="n"/>
      <c r="BYK286" s="1132" t="n"/>
      <c r="BYL286" s="1132" t="n"/>
      <c r="BYM286" s="1132" t="n"/>
      <c r="BYN286" s="1132" t="n"/>
      <c r="BYO286" s="1132" t="n"/>
      <c r="BYP286" s="1132" t="n"/>
      <c r="BYQ286" s="1132" t="n"/>
      <c r="BYR286" s="1132" t="n"/>
      <c r="BYS286" s="1132" t="n"/>
      <c r="BYT286" s="1132" t="n"/>
      <c r="BYU286" s="1132" t="n"/>
      <c r="BYV286" s="1132" t="n"/>
      <c r="BYW286" s="1132" t="n"/>
      <c r="BYX286" s="1132" t="n"/>
      <c r="BYY286" s="1132" t="n"/>
      <c r="BYZ286" s="1132" t="n"/>
      <c r="BZA286" s="1132" t="n"/>
      <c r="BZB286" s="1132" t="n"/>
      <c r="BZC286" s="1132" t="n"/>
      <c r="BZD286" s="1132" t="n"/>
      <c r="BZE286" s="1132" t="n"/>
      <c r="BZF286" s="1132" t="n"/>
      <c r="BZG286" s="1132" t="n"/>
      <c r="BZH286" s="1132" t="n"/>
      <c r="BZI286" s="1132" t="n"/>
      <c r="BZJ286" s="1132" t="n"/>
      <c r="BZK286" s="1132" t="n"/>
      <c r="BZL286" s="1132" t="n"/>
      <c r="BZM286" s="1132" t="n"/>
      <c r="BZN286" s="1132" t="n"/>
      <c r="BZO286" s="1132" t="n"/>
      <c r="BZP286" s="1132" t="n"/>
      <c r="BZQ286" s="1132" t="n"/>
      <c r="BZR286" s="1132" t="n"/>
      <c r="BZS286" s="1132" t="n"/>
      <c r="BZT286" s="1132" t="n"/>
      <c r="BZU286" s="1132" t="n"/>
      <c r="BZV286" s="1132" t="n"/>
      <c r="BZW286" s="1132" t="n"/>
      <c r="BZX286" s="1132" t="n"/>
      <c r="BZY286" s="1132" t="n"/>
      <c r="BZZ286" s="1132" t="n"/>
      <c r="CAA286" s="1132" t="n"/>
      <c r="CAB286" s="1132" t="n"/>
      <c r="CAC286" s="1132" t="n"/>
      <c r="CAD286" s="1132" t="n"/>
      <c r="CAE286" s="1132" t="n"/>
      <c r="CAF286" s="1132" t="n"/>
      <c r="CAG286" s="1132" t="n"/>
      <c r="CAH286" s="1132" t="n"/>
      <c r="CAI286" s="1132" t="n"/>
      <c r="CAJ286" s="1132" t="n"/>
      <c r="CAK286" s="1132" t="n"/>
      <c r="CAL286" s="1132" t="n"/>
      <c r="CAM286" s="1132" t="n"/>
      <c r="CAN286" s="1132" t="n"/>
      <c r="CAO286" s="1132" t="n"/>
      <c r="CAP286" s="1132" t="n"/>
      <c r="CAQ286" s="1132" t="n"/>
      <c r="CAR286" s="1132" t="n"/>
      <c r="CAS286" s="1132" t="n"/>
      <c r="CAT286" s="1132" t="n"/>
      <c r="CAU286" s="1132" t="n"/>
      <c r="CAV286" s="1132" t="n"/>
      <c r="CAW286" s="1132" t="n"/>
      <c r="CAX286" s="1132" t="n"/>
      <c r="CAY286" s="1132" t="n"/>
      <c r="CAZ286" s="1132" t="n"/>
      <c r="CBA286" s="1132" t="n"/>
      <c r="CBB286" s="1132" t="n"/>
      <c r="CBC286" s="1132" t="n"/>
      <c r="CBD286" s="1132" t="n"/>
      <c r="CBE286" s="1132" t="n"/>
      <c r="CBF286" s="1132" t="n"/>
      <c r="CBG286" s="1132" t="n"/>
      <c r="CBH286" s="1132" t="n"/>
      <c r="CBI286" s="1132" t="n"/>
      <c r="CBJ286" s="1132" t="n"/>
      <c r="CBK286" s="1132" t="n"/>
      <c r="CBL286" s="1132" t="n"/>
      <c r="CBM286" s="1132" t="n"/>
      <c r="CBN286" s="1132" t="n"/>
      <c r="CBO286" s="1132" t="n"/>
      <c r="CBP286" s="1132" t="n"/>
      <c r="CBQ286" s="1132" t="n"/>
      <c r="CBR286" s="1132" t="n"/>
      <c r="CBS286" s="1132" t="n"/>
      <c r="CBT286" s="1132" t="n"/>
      <c r="CBU286" s="1132" t="n"/>
      <c r="CBV286" s="1132" t="n"/>
      <c r="CBW286" s="1132" t="n"/>
      <c r="CBX286" s="1132" t="n"/>
      <c r="CBY286" s="1132" t="n"/>
      <c r="CBZ286" s="1132" t="n"/>
      <c r="CCA286" s="1132" t="n"/>
      <c r="CCB286" s="1132" t="n"/>
      <c r="CCC286" s="1132" t="n"/>
      <c r="CCD286" s="1132" t="n"/>
      <c r="CCE286" s="1132" t="n"/>
      <c r="CCF286" s="1132" t="n"/>
      <c r="CCG286" s="1132" t="n"/>
      <c r="CCH286" s="1132" t="n"/>
      <c r="CCI286" s="1132" t="n"/>
      <c r="CCJ286" s="1132" t="n"/>
      <c r="CCK286" s="1132" t="n"/>
      <c r="CCL286" s="1132" t="n"/>
      <c r="CCM286" s="1132" t="n"/>
      <c r="CCN286" s="1132" t="n"/>
      <c r="CCO286" s="1132" t="n"/>
      <c r="CCP286" s="1132" t="n"/>
      <c r="CCQ286" s="1132" t="n"/>
      <c r="CCR286" s="1132" t="n"/>
      <c r="CCS286" s="1132" t="n"/>
      <c r="CCT286" s="1132" t="n"/>
      <c r="CCU286" s="1132" t="n"/>
      <c r="CCV286" s="1132" t="n"/>
      <c r="CCW286" s="1132" t="n"/>
      <c r="CCX286" s="1132" t="n"/>
      <c r="CCY286" s="1132" t="n"/>
      <c r="CCZ286" s="1132" t="n"/>
      <c r="CDA286" s="1132" t="n"/>
      <c r="CDB286" s="1132" t="n"/>
      <c r="CDC286" s="1132" t="n"/>
      <c r="CDD286" s="1132" t="n"/>
      <c r="CDE286" s="1132" t="n"/>
      <c r="CDF286" s="1132" t="n"/>
      <c r="CDG286" s="1132" t="n"/>
      <c r="CDH286" s="1132" t="n"/>
      <c r="CDI286" s="1132" t="n"/>
      <c r="CDJ286" s="1132" t="n"/>
      <c r="CDK286" s="1132" t="n"/>
      <c r="CDL286" s="1132" t="n"/>
      <c r="CDM286" s="1132" t="n"/>
      <c r="CDN286" s="1132" t="n"/>
      <c r="CDO286" s="1132" t="n"/>
      <c r="CDP286" s="1132" t="n"/>
      <c r="CDQ286" s="1132" t="n"/>
      <c r="CDR286" s="1132" t="n"/>
      <c r="CDS286" s="1132" t="n"/>
      <c r="CDT286" s="1132" t="n"/>
      <c r="CDU286" s="1132" t="n"/>
      <c r="CDV286" s="1132" t="n"/>
      <c r="CDW286" s="1132" t="n"/>
      <c r="CDX286" s="1132" t="n"/>
      <c r="CDY286" s="1132" t="n"/>
      <c r="CDZ286" s="1132" t="n"/>
      <c r="CEA286" s="1132" t="n"/>
      <c r="CEB286" s="1132" t="n"/>
      <c r="CEC286" s="1132" t="n"/>
      <c r="CED286" s="1132" t="n"/>
      <c r="CEE286" s="1132" t="n"/>
      <c r="CEF286" s="1132" t="n"/>
      <c r="CEG286" s="1132" t="n"/>
      <c r="CEH286" s="1132" t="n"/>
      <c r="CEI286" s="1132" t="n"/>
      <c r="CEJ286" s="1132" t="n"/>
      <c r="CEK286" s="1132" t="n"/>
      <c r="CEL286" s="1132" t="n"/>
      <c r="CEM286" s="1132" t="n"/>
      <c r="CEN286" s="1132" t="n"/>
      <c r="CEO286" s="1132" t="n"/>
      <c r="CEP286" s="1132" t="n"/>
      <c r="CEQ286" s="1132" t="n"/>
      <c r="CER286" s="1132" t="n"/>
      <c r="CES286" s="1132" t="n"/>
      <c r="CET286" s="1132" t="n"/>
      <c r="CEU286" s="1132" t="n"/>
      <c r="CEV286" s="1132" t="n"/>
      <c r="CEW286" s="1132" t="n"/>
      <c r="CEX286" s="1132" t="n"/>
      <c r="CEY286" s="1132" t="n"/>
      <c r="CEZ286" s="1132" t="n"/>
      <c r="CFA286" s="1132" t="n"/>
      <c r="CFB286" s="1132" t="n"/>
      <c r="CFC286" s="1132" t="n"/>
      <c r="CFD286" s="1132" t="n"/>
      <c r="CFE286" s="1132" t="n"/>
      <c r="CFF286" s="1132" t="n"/>
      <c r="CFG286" s="1132" t="n"/>
      <c r="CFH286" s="1132" t="n"/>
      <c r="CFI286" s="1132" t="n"/>
      <c r="CFJ286" s="1132" t="n"/>
      <c r="CFK286" s="1132" t="n"/>
      <c r="CFL286" s="1132" t="n"/>
      <c r="CFM286" s="1132" t="n"/>
      <c r="CFN286" s="1132" t="n"/>
      <c r="CFO286" s="1132" t="n"/>
      <c r="CFP286" s="1132" t="n"/>
      <c r="CFQ286" s="1132" t="n"/>
      <c r="CFR286" s="1132" t="n"/>
      <c r="CFS286" s="1132" t="n"/>
      <c r="CFT286" s="1132" t="n"/>
      <c r="CFU286" s="1132" t="n"/>
      <c r="CFV286" s="1132" t="n"/>
      <c r="CFW286" s="1132" t="n"/>
      <c r="CFX286" s="1132" t="n"/>
      <c r="CFY286" s="1132" t="n"/>
      <c r="CFZ286" s="1132" t="n"/>
      <c r="CGA286" s="1132" t="n"/>
      <c r="CGB286" s="1132" t="n"/>
      <c r="CGC286" s="1132" t="n"/>
      <c r="CGD286" s="1132" t="n"/>
      <c r="CGE286" s="1132" t="n"/>
      <c r="CGF286" s="1132" t="n"/>
      <c r="CGG286" s="1132" t="n"/>
      <c r="CGH286" s="1132" t="n"/>
      <c r="CGI286" s="1132" t="n"/>
      <c r="CGJ286" s="1132" t="n"/>
      <c r="CGK286" s="1132" t="n"/>
      <c r="CGL286" s="1132" t="n"/>
      <c r="CGM286" s="1132" t="n"/>
      <c r="CGN286" s="1132" t="n"/>
      <c r="CGO286" s="1132" t="n"/>
      <c r="CGP286" s="1132" t="n"/>
      <c r="CGQ286" s="1132" t="n"/>
      <c r="CGR286" s="1132" t="n"/>
      <c r="CGS286" s="1132" t="n"/>
      <c r="CGT286" s="1132" t="n"/>
      <c r="CGU286" s="1132" t="n"/>
      <c r="CGV286" s="1132" t="n"/>
      <c r="CGW286" s="1132" t="n"/>
      <c r="CGX286" s="1132" t="n"/>
      <c r="CGY286" s="1132" t="n"/>
      <c r="CGZ286" s="1132" t="n"/>
      <c r="CHA286" s="1132" t="n"/>
      <c r="CHB286" s="1132" t="n"/>
      <c r="CHC286" s="1132" t="n"/>
      <c r="CHD286" s="1132" t="n"/>
      <c r="CHE286" s="1132" t="n"/>
      <c r="CHF286" s="1132" t="n"/>
      <c r="CHG286" s="1132" t="n"/>
      <c r="CHH286" s="1132" t="n"/>
      <c r="CHI286" s="1132" t="n"/>
      <c r="CHJ286" s="1132" t="n"/>
      <c r="CHK286" s="1132" t="n"/>
      <c r="CHL286" s="1132" t="n"/>
      <c r="CHM286" s="1132" t="n"/>
      <c r="CHN286" s="1132" t="n"/>
      <c r="CHO286" s="1132" t="n"/>
      <c r="CHP286" s="1132" t="n"/>
      <c r="CHQ286" s="1132" t="n"/>
      <c r="CHR286" s="1132" t="n"/>
      <c r="CHS286" s="1132" t="n"/>
      <c r="CHT286" s="1132" t="n"/>
      <c r="CHU286" s="1132" t="n"/>
      <c r="CHV286" s="1132" t="n"/>
      <c r="CHW286" s="1132" t="n"/>
      <c r="CHX286" s="1132" t="n"/>
      <c r="CHY286" s="1132" t="n"/>
      <c r="CHZ286" s="1132" t="n"/>
      <c r="CIA286" s="1132" t="n"/>
      <c r="CIB286" s="1132" t="n"/>
      <c r="CIC286" s="1132" t="n"/>
      <c r="CID286" s="1132" t="n"/>
      <c r="CIE286" s="1132" t="n"/>
      <c r="CIF286" s="1132" t="n"/>
      <c r="CIG286" s="1132" t="n"/>
      <c r="CIH286" s="1132" t="n"/>
      <c r="CII286" s="1132" t="n"/>
      <c r="CIJ286" s="1132" t="n"/>
      <c r="CIK286" s="1132" t="n"/>
      <c r="CIL286" s="1132" t="n"/>
      <c r="CIM286" s="1132" t="n"/>
      <c r="CIN286" s="1132" t="n"/>
      <c r="CIO286" s="1132" t="n"/>
      <c r="CIP286" s="1132" t="n"/>
      <c r="CIQ286" s="1132" t="n"/>
      <c r="CIR286" s="1132" t="n"/>
      <c r="CIS286" s="1132" t="n"/>
      <c r="CIT286" s="1132" t="n"/>
      <c r="CIU286" s="1132" t="n"/>
      <c r="CIV286" s="1132" t="n"/>
      <c r="CIW286" s="1132" t="n"/>
      <c r="CIX286" s="1132" t="n"/>
      <c r="CIY286" s="1132" t="n"/>
      <c r="CIZ286" s="1132" t="n"/>
      <c r="CJA286" s="1132" t="n"/>
      <c r="CJB286" s="1132" t="n"/>
      <c r="CJC286" s="1132" t="n"/>
      <c r="CJD286" s="1132" t="n"/>
      <c r="CJE286" s="1132" t="n"/>
      <c r="CJF286" s="1132" t="n"/>
      <c r="CJG286" s="1132" t="n"/>
      <c r="CJH286" s="1132" t="n"/>
      <c r="CJI286" s="1132" t="n"/>
      <c r="CJJ286" s="1132" t="n"/>
      <c r="CJK286" s="1132" t="n"/>
      <c r="CJL286" s="1132" t="n"/>
      <c r="CJM286" s="1132" t="n"/>
      <c r="CJN286" s="1132" t="n"/>
      <c r="CJO286" s="1132" t="n"/>
      <c r="CJP286" s="1132" t="n"/>
      <c r="CJQ286" s="1132" t="n"/>
      <c r="CJR286" s="1132" t="n"/>
      <c r="CJS286" s="1132" t="n"/>
      <c r="CJT286" s="1132" t="n"/>
      <c r="CJU286" s="1132" t="n"/>
      <c r="CJV286" s="1132" t="n"/>
      <c r="CJW286" s="1132" t="n"/>
      <c r="CJX286" s="1132" t="n"/>
      <c r="CJY286" s="1132" t="n"/>
      <c r="CJZ286" s="1132" t="n"/>
      <c r="CKA286" s="1132" t="n"/>
      <c r="CKB286" s="1132" t="n"/>
      <c r="CKC286" s="1132" t="n"/>
      <c r="CKD286" s="1132" t="n"/>
      <c r="CKE286" s="1132" t="n"/>
      <c r="CKF286" s="1132" t="n"/>
      <c r="CKG286" s="1132" t="n"/>
      <c r="CKH286" s="1132" t="n"/>
      <c r="CKI286" s="1132" t="n"/>
      <c r="CKJ286" s="1132" t="n"/>
      <c r="CKK286" s="1132" t="n"/>
      <c r="CKL286" s="1132" t="n"/>
      <c r="CKM286" s="1132" t="n"/>
      <c r="CKN286" s="1132" t="n"/>
      <c r="CKO286" s="1132" t="n"/>
      <c r="CKP286" s="1132" t="n"/>
      <c r="CKQ286" s="1132" t="n"/>
      <c r="CKR286" s="1132" t="n"/>
      <c r="CKS286" s="1132" t="n"/>
      <c r="CKT286" s="1132" t="n"/>
      <c r="CKU286" s="1132" t="n"/>
      <c r="CKV286" s="1132" t="n"/>
      <c r="CKW286" s="1132" t="n"/>
      <c r="CKX286" s="1132" t="n"/>
      <c r="CKY286" s="1132" t="n"/>
      <c r="CKZ286" s="1132" t="n"/>
      <c r="CLA286" s="1132" t="n"/>
      <c r="CLB286" s="1132" t="n"/>
      <c r="CLC286" s="1132" t="n"/>
      <c r="CLD286" s="1132" t="n"/>
      <c r="CLE286" s="1132" t="n"/>
      <c r="CLF286" s="1132" t="n"/>
      <c r="CLG286" s="1132" t="n"/>
      <c r="CLH286" s="1132" t="n"/>
      <c r="CLI286" s="1132" t="n"/>
      <c r="CLJ286" s="1132" t="n"/>
      <c r="CLK286" s="1132" t="n"/>
      <c r="CLL286" s="1132" t="n"/>
      <c r="CLM286" s="1132" t="n"/>
      <c r="CLN286" s="1132" t="n"/>
      <c r="CLO286" s="1132" t="n"/>
      <c r="CLP286" s="1132" t="n"/>
      <c r="CLQ286" s="1132" t="n"/>
      <c r="CLR286" s="1132" t="n"/>
      <c r="CLS286" s="1132" t="n"/>
      <c r="CLT286" s="1132" t="n"/>
      <c r="CLU286" s="1132" t="n"/>
      <c r="CLV286" s="1132" t="n"/>
      <c r="CLW286" s="1132" t="n"/>
      <c r="CLX286" s="1132" t="n"/>
      <c r="CLY286" s="1132" t="n"/>
      <c r="CLZ286" s="1132" t="n"/>
      <c r="CMA286" s="1132" t="n"/>
      <c r="CMB286" s="1132" t="n"/>
      <c r="CMC286" s="1132" t="n"/>
      <c r="CMD286" s="1132" t="n"/>
      <c r="CME286" s="1132" t="n"/>
      <c r="CMF286" s="1132" t="n"/>
      <c r="CMG286" s="1132" t="n"/>
      <c r="CMH286" s="1132" t="n"/>
      <c r="CMI286" s="1132" t="n"/>
      <c r="CMJ286" s="1132" t="n"/>
      <c r="CMK286" s="1132" t="n"/>
      <c r="CML286" s="1132" t="n"/>
      <c r="CMM286" s="1132" t="n"/>
      <c r="CMN286" s="1132" t="n"/>
      <c r="CMO286" s="1132" t="n"/>
      <c r="CMP286" s="1132" t="n"/>
      <c r="CMQ286" s="1132" t="n"/>
      <c r="CMR286" s="1132" t="n"/>
      <c r="CMS286" s="1132" t="n"/>
      <c r="CMT286" s="1132" t="n"/>
      <c r="CMU286" s="1132" t="n"/>
      <c r="CMV286" s="1132" t="n"/>
      <c r="CMW286" s="1132" t="n"/>
      <c r="CMX286" s="1132" t="n"/>
      <c r="CMY286" s="1132" t="n"/>
      <c r="CMZ286" s="1132" t="n"/>
      <c r="CNA286" s="1132" t="n"/>
      <c r="CNB286" s="1132" t="n"/>
      <c r="CNC286" s="1132" t="n"/>
      <c r="CND286" s="1132" t="n"/>
      <c r="CNE286" s="1132" t="n"/>
      <c r="CNF286" s="1132" t="n"/>
      <c r="CNG286" s="1132" t="n"/>
      <c r="CNH286" s="1132" t="n"/>
      <c r="CNI286" s="1132" t="n"/>
      <c r="CNJ286" s="1132" t="n"/>
      <c r="CNK286" s="1132" t="n"/>
      <c r="CNL286" s="1132" t="n"/>
      <c r="CNM286" s="1132" t="n"/>
      <c r="CNN286" s="1132" t="n"/>
      <c r="CNO286" s="1132" t="n"/>
      <c r="CNP286" s="1132" t="n"/>
      <c r="CNQ286" s="1132" t="n"/>
      <c r="CNR286" s="1132" t="n"/>
      <c r="CNS286" s="1132" t="n"/>
      <c r="CNT286" s="1132" t="n"/>
      <c r="CNU286" s="1132" t="n"/>
      <c r="CNV286" s="1132" t="n"/>
      <c r="CNW286" s="1132" t="n"/>
      <c r="CNX286" s="1132" t="n"/>
      <c r="CNY286" s="1132" t="n"/>
      <c r="CNZ286" s="1132" t="n"/>
      <c r="COA286" s="1132" t="n"/>
      <c r="COB286" s="1132" t="n"/>
      <c r="COC286" s="1132" t="n"/>
      <c r="COD286" s="1132" t="n"/>
      <c r="COE286" s="1132" t="n"/>
      <c r="COF286" s="1132" t="n"/>
      <c r="COG286" s="1132" t="n"/>
      <c r="COH286" s="1132" t="n"/>
      <c r="COI286" s="1132" t="n"/>
      <c r="COJ286" s="1132" t="n"/>
      <c r="COK286" s="1132" t="n"/>
      <c r="COL286" s="1132" t="n"/>
      <c r="COM286" s="1132" t="n"/>
      <c r="CON286" s="1132" t="n"/>
      <c r="COO286" s="1132" t="n"/>
      <c r="COP286" s="1132" t="n"/>
      <c r="COQ286" s="1132" t="n"/>
      <c r="COR286" s="1132" t="n"/>
      <c r="COS286" s="1132" t="n"/>
      <c r="COT286" s="1132" t="n"/>
      <c r="COU286" s="1132" t="n"/>
      <c r="COV286" s="1132" t="n"/>
      <c r="COW286" s="1132" t="n"/>
      <c r="COX286" s="1132" t="n"/>
      <c r="COY286" s="1132" t="n"/>
      <c r="COZ286" s="1132" t="n"/>
      <c r="CPA286" s="1132" t="n"/>
      <c r="CPB286" s="1132" t="n"/>
      <c r="CPC286" s="1132" t="n"/>
      <c r="CPD286" s="1132" t="n"/>
      <c r="CPE286" s="1132" t="n"/>
      <c r="CPF286" s="1132" t="n"/>
      <c r="CPG286" s="1132" t="n"/>
      <c r="CPH286" s="1132" t="n"/>
      <c r="CPI286" s="1132" t="n"/>
      <c r="CPJ286" s="1132" t="n"/>
      <c r="CPK286" s="1132" t="n"/>
      <c r="CPL286" s="1132" t="n"/>
      <c r="CPM286" s="1132" t="n"/>
      <c r="CPN286" s="1132" t="n"/>
      <c r="CPO286" s="1132" t="n"/>
      <c r="CPP286" s="1132" t="n"/>
      <c r="CPQ286" s="1132" t="n"/>
      <c r="CPR286" s="1132" t="n"/>
      <c r="CPS286" s="1132" t="n"/>
      <c r="CPT286" s="1132" t="n"/>
      <c r="CPU286" s="1132" t="n"/>
      <c r="CPV286" s="1132" t="n"/>
      <c r="CPW286" s="1132" t="n"/>
      <c r="CPX286" s="1132" t="n"/>
      <c r="CPY286" s="1132" t="n"/>
      <c r="CPZ286" s="1132" t="n"/>
      <c r="CQA286" s="1132" t="n"/>
      <c r="CQB286" s="1132" t="n"/>
      <c r="CQC286" s="1132" t="n"/>
      <c r="CQD286" s="1132" t="n"/>
      <c r="CQE286" s="1132" t="n"/>
      <c r="CQF286" s="1132" t="n"/>
      <c r="CQG286" s="1132" t="n"/>
      <c r="CQH286" s="1132" t="n"/>
      <c r="CQI286" s="1132" t="n"/>
      <c r="CQJ286" s="1132" t="n"/>
      <c r="CQK286" s="1132" t="n"/>
      <c r="CQL286" s="1132" t="n"/>
      <c r="CQM286" s="1132" t="n"/>
      <c r="CQN286" s="1132" t="n"/>
      <c r="CQO286" s="1132" t="n"/>
      <c r="CQP286" s="1132" t="n"/>
      <c r="CQQ286" s="1132" t="n"/>
      <c r="CQR286" s="1132" t="n"/>
      <c r="CQS286" s="1132" t="n"/>
      <c r="CQT286" s="1132" t="n"/>
      <c r="CQU286" s="1132" t="n"/>
      <c r="CQV286" s="1132" t="n"/>
      <c r="CQW286" s="1132" t="n"/>
      <c r="CQX286" s="1132" t="n"/>
      <c r="CQY286" s="1132" t="n"/>
      <c r="CQZ286" s="1132" t="n"/>
      <c r="CRA286" s="1132" t="n"/>
      <c r="CRB286" s="1132" t="n"/>
      <c r="CRC286" s="1132" t="n"/>
      <c r="CRD286" s="1132" t="n"/>
      <c r="CRE286" s="1132" t="n"/>
      <c r="CRF286" s="1132" t="n"/>
      <c r="CRG286" s="1132" t="n"/>
      <c r="CRH286" s="1132" t="n"/>
      <c r="CRI286" s="1132" t="n"/>
      <c r="CRJ286" s="1132" t="n"/>
      <c r="CRK286" s="1132" t="n"/>
      <c r="CRL286" s="1132" t="n"/>
      <c r="CRM286" s="1132" t="n"/>
      <c r="CRN286" s="1132" t="n"/>
      <c r="CRO286" s="1132" t="n"/>
      <c r="CRP286" s="1132" t="n"/>
      <c r="CRQ286" s="1132" t="n"/>
      <c r="CRR286" s="1132" t="n"/>
      <c r="CRS286" s="1132" t="n"/>
      <c r="CRT286" s="1132" t="n"/>
      <c r="CRU286" s="1132" t="n"/>
      <c r="CRV286" s="1132" t="n"/>
      <c r="CRW286" s="1132" t="n"/>
      <c r="CRX286" s="1132" t="n"/>
      <c r="CRY286" s="1132" t="n"/>
      <c r="CRZ286" s="1132" t="n"/>
      <c r="CSA286" s="1132" t="n"/>
      <c r="CSB286" s="1132" t="n"/>
      <c r="CSC286" s="1132" t="n"/>
      <c r="CSD286" s="1132" t="n"/>
      <c r="CSE286" s="1132" t="n"/>
      <c r="CSF286" s="1132" t="n"/>
      <c r="CSG286" s="1132" t="n"/>
      <c r="CSH286" s="1132" t="n"/>
      <c r="CSI286" s="1132" t="n"/>
      <c r="CSJ286" s="1132" t="n"/>
      <c r="CSK286" s="1132" t="n"/>
      <c r="CSL286" s="1132" t="n"/>
      <c r="CSM286" s="1132" t="n"/>
      <c r="CSN286" s="1132" t="n"/>
      <c r="CSO286" s="1132" t="n"/>
      <c r="CSP286" s="1132" t="n"/>
      <c r="CSQ286" s="1132" t="n"/>
      <c r="CSR286" s="1132" t="n"/>
      <c r="CSS286" s="1132" t="n"/>
      <c r="CST286" s="1132" t="n"/>
      <c r="CSU286" s="1132" t="n"/>
      <c r="CSV286" s="1132" t="n"/>
      <c r="CSW286" s="1132" t="n"/>
      <c r="CSX286" s="1132" t="n"/>
      <c r="CSY286" s="1132" t="n"/>
      <c r="CSZ286" s="1132" t="n"/>
      <c r="CTA286" s="1132" t="n"/>
      <c r="CTB286" s="1132" t="n"/>
      <c r="CTC286" s="1132" t="n"/>
      <c r="CTD286" s="1132" t="n"/>
      <c r="CTE286" s="1132" t="n"/>
      <c r="CTF286" s="1132" t="n"/>
      <c r="CTG286" s="1132" t="n"/>
      <c r="CTH286" s="1132" t="n"/>
      <c r="CTI286" s="1132" t="n"/>
      <c r="CTJ286" s="1132" t="n"/>
      <c r="CTK286" s="1132" t="n"/>
      <c r="CTL286" s="1132" t="n"/>
      <c r="CTM286" s="1132" t="n"/>
      <c r="CTN286" s="1132" t="n"/>
      <c r="CTO286" s="1132" t="n"/>
      <c r="CTP286" s="1132" t="n"/>
      <c r="CTQ286" s="1132" t="n"/>
      <c r="CTR286" s="1132" t="n"/>
      <c r="CTS286" s="1132" t="n"/>
      <c r="CTT286" s="1132" t="n"/>
      <c r="CTU286" s="1132" t="n"/>
      <c r="CTV286" s="1132" t="n"/>
      <c r="CTW286" s="1132" t="n"/>
      <c r="CTX286" s="1132" t="n"/>
      <c r="CTY286" s="1132" t="n"/>
      <c r="CTZ286" s="1132" t="n"/>
      <c r="CUA286" s="1132" t="n"/>
      <c r="CUB286" s="1132" t="n"/>
      <c r="CUC286" s="1132" t="n"/>
      <c r="CUD286" s="1132" t="n"/>
      <c r="CUE286" s="1132" t="n"/>
      <c r="CUF286" s="1132" t="n"/>
      <c r="CUG286" s="1132" t="n"/>
      <c r="CUH286" s="1132" t="n"/>
      <c r="CUI286" s="1132" t="n"/>
      <c r="CUJ286" s="1132" t="n"/>
      <c r="CUK286" s="1132" t="n"/>
      <c r="CUL286" s="1132" t="n"/>
      <c r="CUM286" s="1132" t="n"/>
      <c r="CUN286" s="1132" t="n"/>
      <c r="CUO286" s="1132" t="n"/>
      <c r="CUP286" s="1132" t="n"/>
      <c r="CUQ286" s="1132" t="n"/>
      <c r="CUR286" s="1132" t="n"/>
      <c r="CUS286" s="1132" t="n"/>
      <c r="CUT286" s="1132" t="n"/>
      <c r="CUU286" s="1132" t="n"/>
      <c r="CUV286" s="1132" t="n"/>
      <c r="CUW286" s="1132" t="n"/>
      <c r="CUX286" s="1132" t="n"/>
      <c r="CUY286" s="1132" t="n"/>
      <c r="CUZ286" s="1132" t="n"/>
      <c r="CVA286" s="1132" t="n"/>
      <c r="CVB286" s="1132" t="n"/>
      <c r="CVC286" s="1132" t="n"/>
      <c r="CVD286" s="1132" t="n"/>
      <c r="CVE286" s="1132" t="n"/>
      <c r="CVF286" s="1132" t="n"/>
      <c r="CVG286" s="1132" t="n"/>
      <c r="CVH286" s="1132" t="n"/>
      <c r="CVI286" s="1132" t="n"/>
      <c r="CVJ286" s="1132" t="n"/>
      <c r="CVK286" s="1132" t="n"/>
      <c r="CVL286" s="1132" t="n"/>
      <c r="CVM286" s="1132" t="n"/>
      <c r="CVN286" s="1132" t="n"/>
      <c r="CVO286" s="1132" t="n"/>
      <c r="CVP286" s="1132" t="n"/>
      <c r="CVQ286" s="1132" t="n"/>
      <c r="CVR286" s="1132" t="n"/>
      <c r="CVS286" s="1132" t="n"/>
      <c r="CVT286" s="1132" t="n"/>
      <c r="CVU286" s="1132" t="n"/>
      <c r="CVV286" s="1132" t="n"/>
      <c r="CVW286" s="1132" t="n"/>
      <c r="CVX286" s="1132" t="n"/>
      <c r="CVY286" s="1132" t="n"/>
      <c r="CVZ286" s="1132" t="n"/>
      <c r="CWA286" s="1132" t="n"/>
      <c r="CWB286" s="1132" t="n"/>
      <c r="CWC286" s="1132" t="n"/>
      <c r="CWD286" s="1132" t="n"/>
      <c r="CWE286" s="1132" t="n"/>
      <c r="CWF286" s="1132" t="n"/>
      <c r="CWG286" s="1132" t="n"/>
      <c r="CWH286" s="1132" t="n"/>
      <c r="CWI286" s="1132" t="n"/>
      <c r="CWJ286" s="1132" t="n"/>
      <c r="CWK286" s="1132" t="n"/>
      <c r="CWL286" s="1132" t="n"/>
      <c r="CWM286" s="1132" t="n"/>
      <c r="CWN286" s="1132" t="n"/>
      <c r="CWO286" s="1132" t="n"/>
      <c r="CWP286" s="1132" t="n"/>
      <c r="CWQ286" s="1132" t="n"/>
      <c r="CWR286" s="1132" t="n"/>
      <c r="CWS286" s="1132" t="n"/>
      <c r="CWT286" s="1132" t="n"/>
      <c r="CWU286" s="1132" t="n"/>
      <c r="CWV286" s="1132" t="n"/>
      <c r="CWW286" s="1132" t="n"/>
      <c r="CWX286" s="1132" t="n"/>
      <c r="CWY286" s="1132" t="n"/>
      <c r="CWZ286" s="1132" t="n"/>
      <c r="CXA286" s="1132" t="n"/>
      <c r="CXB286" s="1132" t="n"/>
      <c r="CXC286" s="1132" t="n"/>
      <c r="CXD286" s="1132" t="n"/>
      <c r="CXE286" s="1132" t="n"/>
      <c r="CXF286" s="1132" t="n"/>
      <c r="CXG286" s="1132" t="n"/>
      <c r="CXH286" s="1132" t="n"/>
      <c r="CXI286" s="1132" t="n"/>
      <c r="CXJ286" s="1132" t="n"/>
      <c r="CXK286" s="1132" t="n"/>
      <c r="CXL286" s="1132" t="n"/>
      <c r="CXM286" s="1132" t="n"/>
      <c r="CXN286" s="1132" t="n"/>
      <c r="CXO286" s="1132" t="n"/>
      <c r="CXP286" s="1132" t="n"/>
      <c r="CXQ286" s="1132" t="n"/>
      <c r="CXR286" s="1132" t="n"/>
      <c r="CXS286" s="1132" t="n"/>
      <c r="CXT286" s="1132" t="n"/>
      <c r="CXU286" s="1132" t="n"/>
      <c r="CXV286" s="1132" t="n"/>
      <c r="CXW286" s="1132" t="n"/>
      <c r="CXX286" s="1132" t="n"/>
      <c r="CXY286" s="1132" t="n"/>
      <c r="CXZ286" s="1132" t="n"/>
      <c r="CYA286" s="1132" t="n"/>
      <c r="CYB286" s="1132" t="n"/>
      <c r="CYC286" s="1132" t="n"/>
      <c r="CYD286" s="1132" t="n"/>
      <c r="CYE286" s="1132" t="n"/>
      <c r="CYF286" s="1132" t="n"/>
      <c r="CYG286" s="1132" t="n"/>
      <c r="CYH286" s="1132" t="n"/>
      <c r="CYI286" s="1132" t="n"/>
      <c r="CYJ286" s="1132" t="n"/>
      <c r="CYK286" s="1132" t="n"/>
      <c r="CYL286" s="1132" t="n"/>
      <c r="CYM286" s="1132" t="n"/>
      <c r="CYN286" s="1132" t="n"/>
      <c r="CYO286" s="1132" t="n"/>
      <c r="CYP286" s="1132" t="n"/>
      <c r="CYQ286" s="1132" t="n"/>
      <c r="CYR286" s="1132" t="n"/>
      <c r="CYS286" s="1132" t="n"/>
      <c r="CYT286" s="1132" t="n"/>
      <c r="CYU286" s="1132" t="n"/>
      <c r="CYV286" s="1132" t="n"/>
      <c r="CYW286" s="1132" t="n"/>
      <c r="CYX286" s="1132" t="n"/>
      <c r="CYY286" s="1132" t="n"/>
      <c r="CYZ286" s="1132" t="n"/>
      <c r="CZA286" s="1132" t="n"/>
      <c r="CZB286" s="1132" t="n"/>
      <c r="CZC286" s="1132" t="n"/>
      <c r="CZD286" s="1132" t="n"/>
      <c r="CZE286" s="1132" t="n"/>
      <c r="CZF286" s="1132" t="n"/>
      <c r="CZG286" s="1132" t="n"/>
      <c r="CZH286" s="1132" t="n"/>
      <c r="CZI286" s="1132" t="n"/>
      <c r="CZJ286" s="1132" t="n"/>
      <c r="CZK286" s="1132" t="n"/>
      <c r="CZL286" s="1132" t="n"/>
      <c r="CZM286" s="1132" t="n"/>
      <c r="CZN286" s="1132" t="n"/>
      <c r="CZO286" s="1132" t="n"/>
      <c r="CZP286" s="1132" t="n"/>
      <c r="CZQ286" s="1132" t="n"/>
      <c r="CZR286" s="1132" t="n"/>
      <c r="CZS286" s="1132" t="n"/>
      <c r="CZT286" s="1132" t="n"/>
      <c r="CZU286" s="1132" t="n"/>
      <c r="CZV286" s="1132" t="n"/>
      <c r="CZW286" s="1132" t="n"/>
      <c r="CZX286" s="1132" t="n"/>
      <c r="CZY286" s="1132" t="n"/>
      <c r="CZZ286" s="1132" t="n"/>
      <c r="DAA286" s="1132" t="n"/>
      <c r="DAB286" s="1132" t="n"/>
      <c r="DAC286" s="1132" t="n"/>
      <c r="DAD286" s="1132" t="n"/>
      <c r="DAE286" s="1132" t="n"/>
      <c r="DAF286" s="1132" t="n"/>
      <c r="DAG286" s="1132" t="n"/>
      <c r="DAH286" s="1132" t="n"/>
      <c r="DAI286" s="1132" t="n"/>
      <c r="DAJ286" s="1132" t="n"/>
      <c r="DAK286" s="1132" t="n"/>
      <c r="DAL286" s="1132" t="n"/>
      <c r="DAM286" s="1132" t="n"/>
      <c r="DAN286" s="1132" t="n"/>
      <c r="DAO286" s="1132" t="n"/>
      <c r="DAP286" s="1132" t="n"/>
      <c r="DAQ286" s="1132" t="n"/>
      <c r="DAR286" s="1132" t="n"/>
      <c r="DAS286" s="1132" t="n"/>
      <c r="DAT286" s="1132" t="n"/>
      <c r="DAU286" s="1132" t="n"/>
      <c r="DAV286" s="1132" t="n"/>
      <c r="DAW286" s="1132" t="n"/>
      <c r="DAX286" s="1132" t="n"/>
      <c r="DAY286" s="1132" t="n"/>
      <c r="DAZ286" s="1132" t="n"/>
      <c r="DBA286" s="1132" t="n"/>
      <c r="DBB286" s="1132" t="n"/>
      <c r="DBC286" s="1132" t="n"/>
      <c r="DBD286" s="1132" t="n"/>
      <c r="DBE286" s="1132" t="n"/>
      <c r="DBF286" s="1132" t="n"/>
      <c r="DBG286" s="1132" t="n"/>
      <c r="DBH286" s="1132" t="n"/>
      <c r="DBI286" s="1132" t="n"/>
      <c r="DBJ286" s="1132" t="n"/>
      <c r="DBK286" s="1132" t="n"/>
      <c r="DBL286" s="1132" t="n"/>
      <c r="DBM286" s="1132" t="n"/>
      <c r="DBN286" s="1132" t="n"/>
      <c r="DBO286" s="1132" t="n"/>
      <c r="DBP286" s="1132" t="n"/>
      <c r="DBQ286" s="1132" t="n"/>
      <c r="DBR286" s="1132" t="n"/>
      <c r="DBS286" s="1132" t="n"/>
      <c r="DBT286" s="1132" t="n"/>
      <c r="DBU286" s="1132" t="n"/>
      <c r="DBV286" s="1132" t="n"/>
      <c r="DBW286" s="1132" t="n"/>
      <c r="DBX286" s="1132" t="n"/>
      <c r="DBY286" s="1132" t="n"/>
      <c r="DBZ286" s="1132" t="n"/>
      <c r="DCA286" s="1132" t="n"/>
      <c r="DCB286" s="1132" t="n"/>
      <c r="DCC286" s="1132" t="n"/>
      <c r="DCD286" s="1132" t="n"/>
      <c r="DCE286" s="1132" t="n"/>
      <c r="DCF286" s="1132" t="n"/>
      <c r="DCG286" s="1132" t="n"/>
      <c r="DCH286" s="1132" t="n"/>
      <c r="DCI286" s="1132" t="n"/>
      <c r="DCJ286" s="1132" t="n"/>
      <c r="DCK286" s="1132" t="n"/>
      <c r="DCL286" s="1132" t="n"/>
      <c r="DCM286" s="1132" t="n"/>
      <c r="DCN286" s="1132" t="n"/>
      <c r="DCO286" s="1132" t="n"/>
      <c r="DCP286" s="1132" t="n"/>
      <c r="DCQ286" s="1132" t="n"/>
      <c r="DCR286" s="1132" t="n"/>
      <c r="DCS286" s="1132" t="n"/>
      <c r="DCT286" s="1132" t="n"/>
      <c r="DCU286" s="1132" t="n"/>
      <c r="DCV286" s="1132" t="n"/>
      <c r="DCW286" s="1132" t="n"/>
      <c r="DCX286" s="1132" t="n"/>
      <c r="DCY286" s="1132" t="n"/>
      <c r="DCZ286" s="1132" t="n"/>
      <c r="DDA286" s="1132" t="n"/>
      <c r="DDB286" s="1132" t="n"/>
      <c r="DDC286" s="1132" t="n"/>
      <c r="DDD286" s="1132" t="n"/>
      <c r="DDE286" s="1132" t="n"/>
      <c r="DDF286" s="1132" t="n"/>
      <c r="DDG286" s="1132" t="n"/>
      <c r="DDH286" s="1132" t="n"/>
      <c r="DDI286" s="1132" t="n"/>
      <c r="DDJ286" s="1132" t="n"/>
      <c r="DDK286" s="1132" t="n"/>
      <c r="DDL286" s="1132" t="n"/>
      <c r="DDM286" s="1132" t="n"/>
      <c r="DDN286" s="1132" t="n"/>
      <c r="DDO286" s="1132" t="n"/>
      <c r="DDP286" s="1132" t="n"/>
      <c r="DDQ286" s="1132" t="n"/>
      <c r="DDR286" s="1132" t="n"/>
      <c r="DDS286" s="1132" t="n"/>
      <c r="DDT286" s="1132" t="n"/>
      <c r="DDU286" s="1132" t="n"/>
      <c r="DDV286" s="1132" t="n"/>
      <c r="DDW286" s="1132" t="n"/>
      <c r="DDX286" s="1132" t="n"/>
      <c r="DDY286" s="1132" t="n"/>
      <c r="DDZ286" s="1132" t="n"/>
      <c r="DEA286" s="1132" t="n"/>
      <c r="DEB286" s="1132" t="n"/>
      <c r="DEC286" s="1132" t="n"/>
      <c r="DED286" s="1132" t="n"/>
      <c r="DEE286" s="1132" t="n"/>
      <c r="DEF286" s="1132" t="n"/>
      <c r="DEG286" s="1132" t="n"/>
      <c r="DEH286" s="1132" t="n"/>
      <c r="DEI286" s="1132" t="n"/>
      <c r="DEJ286" s="1132" t="n"/>
      <c r="DEK286" s="1132" t="n"/>
      <c r="DEL286" s="1132" t="n"/>
      <c r="DEM286" s="1132" t="n"/>
      <c r="DEN286" s="1132" t="n"/>
      <c r="DEO286" s="1132" t="n"/>
      <c r="DEP286" s="1132" t="n"/>
      <c r="DEQ286" s="1132" t="n"/>
      <c r="DER286" s="1132" t="n"/>
      <c r="DES286" s="1132" t="n"/>
      <c r="DET286" s="1132" t="n"/>
      <c r="DEU286" s="1132" t="n"/>
      <c r="DEV286" s="1132" t="n"/>
      <c r="DEW286" s="1132" t="n"/>
      <c r="DEX286" s="1132" t="n"/>
      <c r="DEY286" s="1132" t="n"/>
      <c r="DEZ286" s="1132" t="n"/>
      <c r="DFA286" s="1132" t="n"/>
      <c r="DFB286" s="1132" t="n"/>
      <c r="DFC286" s="1132" t="n"/>
      <c r="DFD286" s="1132" t="n"/>
      <c r="DFE286" s="1132" t="n"/>
      <c r="DFF286" s="1132" t="n"/>
      <c r="DFG286" s="1132" t="n"/>
      <c r="DFH286" s="1132" t="n"/>
      <c r="DFI286" s="1132" t="n"/>
      <c r="DFJ286" s="1132" t="n"/>
      <c r="DFK286" s="1132" t="n"/>
      <c r="DFL286" s="1132" t="n"/>
      <c r="DFM286" s="1132" t="n"/>
      <c r="DFN286" s="1132" t="n"/>
      <c r="DFO286" s="1132" t="n"/>
      <c r="DFP286" s="1132" t="n"/>
      <c r="DFQ286" s="1132" t="n"/>
      <c r="DFR286" s="1132" t="n"/>
      <c r="DFS286" s="1132" t="n"/>
      <c r="DFT286" s="1132" t="n"/>
      <c r="DFU286" s="1132" t="n"/>
      <c r="DFV286" s="1132" t="n"/>
      <c r="DFW286" s="1132" t="n"/>
      <c r="DFX286" s="1132" t="n"/>
      <c r="DFY286" s="1132" t="n"/>
      <c r="DFZ286" s="1132" t="n"/>
      <c r="DGA286" s="1132" t="n"/>
      <c r="DGB286" s="1132" t="n"/>
      <c r="DGC286" s="1132" t="n"/>
      <c r="DGD286" s="1132" t="n"/>
      <c r="DGE286" s="1132" t="n"/>
      <c r="DGF286" s="1132" t="n"/>
      <c r="DGG286" s="1132" t="n"/>
      <c r="DGH286" s="1132" t="n"/>
      <c r="DGI286" s="1132" t="n"/>
      <c r="DGJ286" s="1132" t="n"/>
      <c r="DGK286" s="1132" t="n"/>
      <c r="DGL286" s="1132" t="n"/>
      <c r="DGM286" s="1132" t="n"/>
      <c r="DGN286" s="1132" t="n"/>
      <c r="DGO286" s="1132" t="n"/>
      <c r="DGP286" s="1132" t="n"/>
      <c r="DGQ286" s="1132" t="n"/>
      <c r="DGR286" s="1132" t="n"/>
      <c r="DGS286" s="1132" t="n"/>
      <c r="DGT286" s="1132" t="n"/>
      <c r="DGU286" s="1132" t="n"/>
      <c r="DGV286" s="1132" t="n"/>
      <c r="DGW286" s="1132" t="n"/>
      <c r="DGX286" s="1132" t="n"/>
      <c r="DGY286" s="1132" t="n"/>
      <c r="DGZ286" s="1132" t="n"/>
      <c r="DHA286" s="1132" t="n"/>
      <c r="DHB286" s="1132" t="n"/>
      <c r="DHC286" s="1132" t="n"/>
      <c r="DHD286" s="1132" t="n"/>
      <c r="DHE286" s="1132" t="n"/>
      <c r="DHF286" s="1132" t="n"/>
      <c r="DHG286" s="1132" t="n"/>
      <c r="DHH286" s="1132" t="n"/>
      <c r="DHI286" s="1132" t="n"/>
      <c r="DHJ286" s="1132" t="n"/>
      <c r="DHK286" s="1132" t="n"/>
      <c r="DHL286" s="1132" t="n"/>
      <c r="DHM286" s="1132" t="n"/>
      <c r="DHN286" s="1132" t="n"/>
      <c r="DHO286" s="1132" t="n"/>
      <c r="DHP286" s="1132" t="n"/>
      <c r="DHQ286" s="1132" t="n"/>
      <c r="DHR286" s="1132" t="n"/>
      <c r="DHS286" s="1132" t="n"/>
      <c r="DHT286" s="1132" t="n"/>
      <c r="DHU286" s="1132" t="n"/>
      <c r="DHV286" s="1132" t="n"/>
      <c r="DHW286" s="1132" t="n"/>
      <c r="DHX286" s="1132" t="n"/>
      <c r="DHY286" s="1132" t="n"/>
      <c r="DHZ286" s="1132" t="n"/>
      <c r="DIA286" s="1132" t="n"/>
      <c r="DIB286" s="1132" t="n"/>
      <c r="DIC286" s="1132" t="n"/>
      <c r="DID286" s="1132" t="n"/>
      <c r="DIE286" s="1132" t="n"/>
      <c r="DIF286" s="1132" t="n"/>
      <c r="DIG286" s="1132" t="n"/>
      <c r="DIH286" s="1132" t="n"/>
      <c r="DII286" s="1132" t="n"/>
      <c r="DIJ286" s="1132" t="n"/>
      <c r="DIK286" s="1132" t="n"/>
      <c r="DIL286" s="1132" t="n"/>
      <c r="DIM286" s="1132" t="n"/>
      <c r="DIN286" s="1132" t="n"/>
      <c r="DIO286" s="1132" t="n"/>
      <c r="DIP286" s="1132" t="n"/>
      <c r="DIQ286" s="1132" t="n"/>
      <c r="DIR286" s="1132" t="n"/>
      <c r="DIS286" s="1132" t="n"/>
      <c r="DIT286" s="1132" t="n"/>
      <c r="DIU286" s="1132" t="n"/>
      <c r="DIV286" s="1132" t="n"/>
      <c r="DIW286" s="1132" t="n"/>
      <c r="DIX286" s="1132" t="n"/>
      <c r="DIY286" s="1132" t="n"/>
      <c r="DIZ286" s="1132" t="n"/>
      <c r="DJA286" s="1132" t="n"/>
      <c r="DJB286" s="1132" t="n"/>
      <c r="DJC286" s="1132" t="n"/>
      <c r="DJD286" s="1132" t="n"/>
      <c r="DJE286" s="1132" t="n"/>
      <c r="DJF286" s="1132" t="n"/>
      <c r="DJG286" s="1132" t="n"/>
      <c r="DJH286" s="1132" t="n"/>
      <c r="DJI286" s="1132" t="n"/>
      <c r="DJJ286" s="1132" t="n"/>
      <c r="DJK286" s="1132" t="n"/>
      <c r="DJL286" s="1132" t="n"/>
      <c r="DJM286" s="1132" t="n"/>
      <c r="DJN286" s="1132" t="n"/>
      <c r="DJO286" s="1132" t="n"/>
      <c r="DJP286" s="1132" t="n"/>
      <c r="DJQ286" s="1132" t="n"/>
      <c r="DJR286" s="1132" t="n"/>
      <c r="DJS286" s="1132" t="n"/>
      <c r="DJT286" s="1132" t="n"/>
      <c r="DJU286" s="1132" t="n"/>
      <c r="DJV286" s="1132" t="n"/>
      <c r="DJW286" s="1132" t="n"/>
      <c r="DJX286" s="1132" t="n"/>
      <c r="DJY286" s="1132" t="n"/>
      <c r="DJZ286" s="1132" t="n"/>
      <c r="DKA286" s="1132" t="n"/>
      <c r="DKB286" s="1132" t="n"/>
      <c r="DKC286" s="1132" t="n"/>
      <c r="DKD286" s="1132" t="n"/>
      <c r="DKE286" s="1132" t="n"/>
      <c r="DKF286" s="1132" t="n"/>
      <c r="DKG286" s="1132" t="n"/>
      <c r="DKH286" s="1132" t="n"/>
      <c r="DKI286" s="1132" t="n"/>
      <c r="DKJ286" s="1132" t="n"/>
      <c r="DKK286" s="1132" t="n"/>
      <c r="DKL286" s="1132" t="n"/>
      <c r="DKM286" s="1132" t="n"/>
      <c r="DKN286" s="1132" t="n"/>
      <c r="DKO286" s="1132" t="n"/>
      <c r="DKP286" s="1132" t="n"/>
      <c r="DKQ286" s="1132" t="n"/>
      <c r="DKR286" s="1132" t="n"/>
      <c r="DKS286" s="1132" t="n"/>
      <c r="DKT286" s="1132" t="n"/>
      <c r="DKU286" s="1132" t="n"/>
      <c r="DKV286" s="1132" t="n"/>
      <c r="DKW286" s="1132" t="n"/>
      <c r="DKX286" s="1132" t="n"/>
      <c r="DKY286" s="1132" t="n"/>
      <c r="DKZ286" s="1132" t="n"/>
      <c r="DLA286" s="1132" t="n"/>
      <c r="DLB286" s="1132" t="n"/>
      <c r="DLC286" s="1132" t="n"/>
      <c r="DLD286" s="1132" t="n"/>
      <c r="DLE286" s="1132" t="n"/>
      <c r="DLF286" s="1132" t="n"/>
      <c r="DLG286" s="1132" t="n"/>
      <c r="DLH286" s="1132" t="n"/>
      <c r="DLI286" s="1132" t="n"/>
      <c r="DLJ286" s="1132" t="n"/>
      <c r="DLK286" s="1132" t="n"/>
      <c r="DLL286" s="1132" t="n"/>
      <c r="DLM286" s="1132" t="n"/>
      <c r="DLN286" s="1132" t="n"/>
      <c r="DLO286" s="1132" t="n"/>
      <c r="DLP286" s="1132" t="n"/>
      <c r="DLQ286" s="1132" t="n"/>
      <c r="DLR286" s="1132" t="n"/>
      <c r="DLS286" s="1132" t="n"/>
      <c r="DLT286" s="1132" t="n"/>
      <c r="DLU286" s="1132" t="n"/>
      <c r="DLV286" s="1132" t="n"/>
      <c r="DLW286" s="1132" t="n"/>
      <c r="DLX286" s="1132" t="n"/>
      <c r="DLY286" s="1132" t="n"/>
      <c r="DLZ286" s="1132" t="n"/>
      <c r="DMA286" s="1132" t="n"/>
      <c r="DMB286" s="1132" t="n"/>
      <c r="DMC286" s="1132" t="n"/>
      <c r="DMD286" s="1132" t="n"/>
      <c r="DME286" s="1132" t="n"/>
      <c r="DMF286" s="1132" t="n"/>
      <c r="DMG286" s="1132" t="n"/>
      <c r="DMH286" s="1132" t="n"/>
      <c r="DMI286" s="1132" t="n"/>
      <c r="DMJ286" s="1132" t="n"/>
      <c r="DMK286" s="1132" t="n"/>
      <c r="DML286" s="1132" t="n"/>
      <c r="DMM286" s="1132" t="n"/>
      <c r="DMN286" s="1132" t="n"/>
      <c r="DMO286" s="1132" t="n"/>
      <c r="DMP286" s="1132" t="n"/>
      <c r="DMQ286" s="1132" t="n"/>
      <c r="DMR286" s="1132" t="n"/>
      <c r="DMS286" s="1132" t="n"/>
      <c r="DMT286" s="1132" t="n"/>
      <c r="DMU286" s="1132" t="n"/>
      <c r="DMV286" s="1132" t="n"/>
      <c r="DMW286" s="1132" t="n"/>
      <c r="DMX286" s="1132" t="n"/>
      <c r="DMY286" s="1132" t="n"/>
      <c r="DMZ286" s="1132" t="n"/>
      <c r="DNA286" s="1132" t="n"/>
      <c r="DNB286" s="1132" t="n"/>
      <c r="DNC286" s="1132" t="n"/>
      <c r="DND286" s="1132" t="n"/>
      <c r="DNE286" s="1132" t="n"/>
      <c r="DNF286" s="1132" t="n"/>
      <c r="DNG286" s="1132" t="n"/>
      <c r="DNH286" s="1132" t="n"/>
      <c r="DNI286" s="1132" t="n"/>
      <c r="DNJ286" s="1132" t="n"/>
      <c r="DNK286" s="1132" t="n"/>
      <c r="DNL286" s="1132" t="n"/>
      <c r="DNM286" s="1132" t="n"/>
      <c r="DNN286" s="1132" t="n"/>
      <c r="DNO286" s="1132" t="n"/>
      <c r="DNP286" s="1132" t="n"/>
      <c r="DNQ286" s="1132" t="n"/>
      <c r="DNR286" s="1132" t="n"/>
      <c r="DNS286" s="1132" t="n"/>
      <c r="DNT286" s="1132" t="n"/>
      <c r="DNU286" s="1132" t="n"/>
      <c r="DNV286" s="1132" t="n"/>
      <c r="DNW286" s="1132" t="n"/>
      <c r="DNX286" s="1132" t="n"/>
      <c r="DNY286" s="1132" t="n"/>
      <c r="DNZ286" s="1132" t="n"/>
      <c r="DOA286" s="1132" t="n"/>
      <c r="DOB286" s="1132" t="n"/>
      <c r="DOC286" s="1132" t="n"/>
      <c r="DOD286" s="1132" t="n"/>
      <c r="DOE286" s="1132" t="n"/>
      <c r="DOF286" s="1132" t="n"/>
      <c r="DOG286" s="1132" t="n"/>
      <c r="DOH286" s="1132" t="n"/>
      <c r="DOI286" s="1132" t="n"/>
      <c r="DOJ286" s="1132" t="n"/>
      <c r="DOK286" s="1132" t="n"/>
      <c r="DOL286" s="1132" t="n"/>
      <c r="DOM286" s="1132" t="n"/>
      <c r="DON286" s="1132" t="n"/>
      <c r="DOO286" s="1132" t="n"/>
      <c r="DOP286" s="1132" t="n"/>
      <c r="DOQ286" s="1132" t="n"/>
      <c r="DOR286" s="1132" t="n"/>
      <c r="DOS286" s="1132" t="n"/>
      <c r="DOT286" s="1132" t="n"/>
      <c r="DOU286" s="1132" t="n"/>
      <c r="DOV286" s="1132" t="n"/>
      <c r="DOW286" s="1132" t="n"/>
      <c r="DOX286" s="1132" t="n"/>
      <c r="DOY286" s="1132" t="n"/>
      <c r="DOZ286" s="1132" t="n"/>
      <c r="DPA286" s="1132" t="n"/>
      <c r="DPB286" s="1132" t="n"/>
      <c r="DPC286" s="1132" t="n"/>
      <c r="DPD286" s="1132" t="n"/>
      <c r="DPE286" s="1132" t="n"/>
      <c r="DPF286" s="1132" t="n"/>
      <c r="DPG286" s="1132" t="n"/>
      <c r="DPH286" s="1132" t="n"/>
      <c r="DPI286" s="1132" t="n"/>
      <c r="DPJ286" s="1132" t="n"/>
      <c r="DPK286" s="1132" t="n"/>
      <c r="DPL286" s="1132" t="n"/>
      <c r="DPM286" s="1132" t="n"/>
      <c r="DPN286" s="1132" t="n"/>
      <c r="DPO286" s="1132" t="n"/>
      <c r="DPP286" s="1132" t="n"/>
      <c r="DPQ286" s="1132" t="n"/>
      <c r="DPR286" s="1132" t="n"/>
      <c r="DPS286" s="1132" t="n"/>
      <c r="DPT286" s="1132" t="n"/>
      <c r="DPU286" s="1132" t="n"/>
      <c r="DPV286" s="1132" t="n"/>
      <c r="DPW286" s="1132" t="n"/>
      <c r="DPX286" s="1132" t="n"/>
      <c r="DPY286" s="1132" t="n"/>
      <c r="DPZ286" s="1132" t="n"/>
      <c r="DQA286" s="1132" t="n"/>
      <c r="DQB286" s="1132" t="n"/>
      <c r="DQC286" s="1132" t="n"/>
      <c r="DQD286" s="1132" t="n"/>
      <c r="DQE286" s="1132" t="n"/>
      <c r="DQF286" s="1132" t="n"/>
      <c r="DQG286" s="1132" t="n"/>
      <c r="DQH286" s="1132" t="n"/>
      <c r="DQI286" s="1132" t="n"/>
      <c r="DQJ286" s="1132" t="n"/>
      <c r="DQK286" s="1132" t="n"/>
      <c r="DQL286" s="1132" t="n"/>
      <c r="DQM286" s="1132" t="n"/>
      <c r="DQN286" s="1132" t="n"/>
      <c r="DQO286" s="1132" t="n"/>
      <c r="DQP286" s="1132" t="n"/>
      <c r="DQQ286" s="1132" t="n"/>
      <c r="DQR286" s="1132" t="n"/>
      <c r="DQS286" s="1132" t="n"/>
      <c r="DQT286" s="1132" t="n"/>
      <c r="DQU286" s="1132" t="n"/>
      <c r="DQV286" s="1132" t="n"/>
      <c r="DQW286" s="1132" t="n"/>
      <c r="DQX286" s="1132" t="n"/>
      <c r="DQY286" s="1132" t="n"/>
      <c r="DQZ286" s="1132" t="n"/>
      <c r="DRA286" s="1132" t="n"/>
      <c r="DRB286" s="1132" t="n"/>
      <c r="DRC286" s="1132" t="n"/>
      <c r="DRD286" s="1132" t="n"/>
      <c r="DRE286" s="1132" t="n"/>
      <c r="DRF286" s="1132" t="n"/>
      <c r="DRG286" s="1132" t="n"/>
      <c r="DRH286" s="1132" t="n"/>
      <c r="DRI286" s="1132" t="n"/>
      <c r="DRJ286" s="1132" t="n"/>
      <c r="DRK286" s="1132" t="n"/>
      <c r="DRL286" s="1132" t="n"/>
      <c r="DRM286" s="1132" t="n"/>
      <c r="DRN286" s="1132" t="n"/>
      <c r="DRO286" s="1132" t="n"/>
      <c r="DRP286" s="1132" t="n"/>
      <c r="DRQ286" s="1132" t="n"/>
      <c r="DRR286" s="1132" t="n"/>
      <c r="DRS286" s="1132" t="n"/>
      <c r="DRT286" s="1132" t="n"/>
      <c r="DRU286" s="1132" t="n"/>
      <c r="DRV286" s="1132" t="n"/>
      <c r="DRW286" s="1132" t="n"/>
      <c r="DRX286" s="1132" t="n"/>
      <c r="DRY286" s="1132" t="n"/>
      <c r="DRZ286" s="1132" t="n"/>
      <c r="DSA286" s="1132" t="n"/>
      <c r="DSB286" s="1132" t="n"/>
      <c r="DSC286" s="1132" t="n"/>
      <c r="DSD286" s="1132" t="n"/>
      <c r="DSE286" s="1132" t="n"/>
      <c r="DSF286" s="1132" t="n"/>
      <c r="DSG286" s="1132" t="n"/>
      <c r="DSH286" s="1132" t="n"/>
      <c r="DSI286" s="1132" t="n"/>
      <c r="DSJ286" s="1132" t="n"/>
      <c r="DSK286" s="1132" t="n"/>
      <c r="DSL286" s="1132" t="n"/>
      <c r="DSM286" s="1132" t="n"/>
      <c r="DSN286" s="1132" t="n"/>
      <c r="DSO286" s="1132" t="n"/>
      <c r="DSP286" s="1132" t="n"/>
      <c r="DSQ286" s="1132" t="n"/>
      <c r="DSR286" s="1132" t="n"/>
      <c r="DSS286" s="1132" t="n"/>
      <c r="DST286" s="1132" t="n"/>
      <c r="DSU286" s="1132" t="n"/>
      <c r="DSV286" s="1132" t="n"/>
      <c r="DSW286" s="1132" t="n"/>
      <c r="DSX286" s="1132" t="n"/>
      <c r="DSY286" s="1132" t="n"/>
      <c r="DSZ286" s="1132" t="n"/>
      <c r="DTA286" s="1132" t="n"/>
      <c r="DTB286" s="1132" t="n"/>
      <c r="DTC286" s="1132" t="n"/>
      <c r="DTD286" s="1132" t="n"/>
      <c r="DTE286" s="1132" t="n"/>
      <c r="DTF286" s="1132" t="n"/>
      <c r="DTG286" s="1132" t="n"/>
      <c r="DTH286" s="1132" t="n"/>
      <c r="DTI286" s="1132" t="n"/>
      <c r="DTJ286" s="1132" t="n"/>
      <c r="DTK286" s="1132" t="n"/>
      <c r="DTL286" s="1132" t="n"/>
      <c r="DTM286" s="1132" t="n"/>
      <c r="DTN286" s="1132" t="n"/>
      <c r="DTO286" s="1132" t="n"/>
      <c r="DTP286" s="1132" t="n"/>
      <c r="DTQ286" s="1132" t="n"/>
      <c r="DTR286" s="1132" t="n"/>
      <c r="DTS286" s="1132" t="n"/>
      <c r="DTT286" s="1132" t="n"/>
      <c r="DTU286" s="1132" t="n"/>
      <c r="DTV286" s="1132" t="n"/>
      <c r="DTW286" s="1132" t="n"/>
      <c r="DTX286" s="1132" t="n"/>
      <c r="DTY286" s="1132" t="n"/>
      <c r="DTZ286" s="1132" t="n"/>
      <c r="DUA286" s="1132" t="n"/>
      <c r="DUB286" s="1132" t="n"/>
      <c r="DUC286" s="1132" t="n"/>
      <c r="DUD286" s="1132" t="n"/>
      <c r="DUE286" s="1132" t="n"/>
      <c r="DUF286" s="1132" t="n"/>
      <c r="DUG286" s="1132" t="n"/>
      <c r="DUH286" s="1132" t="n"/>
      <c r="DUI286" s="1132" t="n"/>
      <c r="DUJ286" s="1132" t="n"/>
      <c r="DUK286" s="1132" t="n"/>
      <c r="DUL286" s="1132" t="n"/>
      <c r="DUM286" s="1132" t="n"/>
      <c r="DUN286" s="1132" t="n"/>
      <c r="DUO286" s="1132" t="n"/>
      <c r="DUP286" s="1132" t="n"/>
      <c r="DUQ286" s="1132" t="n"/>
      <c r="DUR286" s="1132" t="n"/>
      <c r="DUS286" s="1132" t="n"/>
      <c r="DUT286" s="1132" t="n"/>
      <c r="DUU286" s="1132" t="n"/>
      <c r="DUV286" s="1132" t="n"/>
      <c r="DUW286" s="1132" t="n"/>
      <c r="DUX286" s="1132" t="n"/>
      <c r="DUY286" s="1132" t="n"/>
      <c r="DUZ286" s="1132" t="n"/>
      <c r="DVA286" s="1132" t="n"/>
      <c r="DVB286" s="1132" t="n"/>
      <c r="DVC286" s="1132" t="n"/>
      <c r="DVD286" s="1132" t="n"/>
      <c r="DVE286" s="1132" t="n"/>
      <c r="DVF286" s="1132" t="n"/>
      <c r="DVG286" s="1132" t="n"/>
      <c r="DVH286" s="1132" t="n"/>
      <c r="DVI286" s="1132" t="n"/>
      <c r="DVJ286" s="1132" t="n"/>
      <c r="DVK286" s="1132" t="n"/>
      <c r="DVL286" s="1132" t="n"/>
      <c r="DVM286" s="1132" t="n"/>
      <c r="DVN286" s="1132" t="n"/>
      <c r="DVO286" s="1132" t="n"/>
      <c r="DVP286" s="1132" t="n"/>
      <c r="DVQ286" s="1132" t="n"/>
      <c r="DVR286" s="1132" t="n"/>
      <c r="DVS286" s="1132" t="n"/>
      <c r="DVT286" s="1132" t="n"/>
      <c r="DVU286" s="1132" t="n"/>
      <c r="DVV286" s="1132" t="n"/>
      <c r="DVW286" s="1132" t="n"/>
      <c r="DVX286" s="1132" t="n"/>
      <c r="DVY286" s="1132" t="n"/>
      <c r="DVZ286" s="1132" t="n"/>
      <c r="DWA286" s="1132" t="n"/>
      <c r="DWB286" s="1132" t="n"/>
      <c r="DWC286" s="1132" t="n"/>
      <c r="DWD286" s="1132" t="n"/>
      <c r="DWE286" s="1132" t="n"/>
      <c r="DWF286" s="1132" t="n"/>
      <c r="DWG286" s="1132" t="n"/>
      <c r="DWH286" s="1132" t="n"/>
      <c r="DWI286" s="1132" t="n"/>
      <c r="DWJ286" s="1132" t="n"/>
      <c r="DWK286" s="1132" t="n"/>
      <c r="DWL286" s="1132" t="n"/>
      <c r="DWM286" s="1132" t="n"/>
      <c r="DWN286" s="1132" t="n"/>
      <c r="DWO286" s="1132" t="n"/>
      <c r="DWP286" s="1132" t="n"/>
      <c r="DWQ286" s="1132" t="n"/>
      <c r="DWR286" s="1132" t="n"/>
      <c r="DWS286" s="1132" t="n"/>
      <c r="DWT286" s="1132" t="n"/>
      <c r="DWU286" s="1132" t="n"/>
      <c r="DWV286" s="1132" t="n"/>
      <c r="DWW286" s="1132" t="n"/>
      <c r="DWX286" s="1132" t="n"/>
      <c r="DWY286" s="1132" t="n"/>
      <c r="DWZ286" s="1132" t="n"/>
      <c r="DXA286" s="1132" t="n"/>
      <c r="DXB286" s="1132" t="n"/>
      <c r="DXC286" s="1132" t="n"/>
      <c r="DXD286" s="1132" t="n"/>
      <c r="DXE286" s="1132" t="n"/>
      <c r="DXF286" s="1132" t="n"/>
      <c r="DXG286" s="1132" t="n"/>
      <c r="DXH286" s="1132" t="n"/>
      <c r="DXI286" s="1132" t="n"/>
      <c r="DXJ286" s="1132" t="n"/>
      <c r="DXK286" s="1132" t="n"/>
      <c r="DXL286" s="1132" t="n"/>
      <c r="DXM286" s="1132" t="n"/>
      <c r="DXN286" s="1132" t="n"/>
      <c r="DXO286" s="1132" t="n"/>
      <c r="DXP286" s="1132" t="n"/>
      <c r="DXQ286" s="1132" t="n"/>
      <c r="DXR286" s="1132" t="n"/>
      <c r="DXS286" s="1132" t="n"/>
      <c r="DXT286" s="1132" t="n"/>
      <c r="DXU286" s="1132" t="n"/>
      <c r="DXV286" s="1132" t="n"/>
      <c r="DXW286" s="1132" t="n"/>
      <c r="DXX286" s="1132" t="n"/>
      <c r="DXY286" s="1132" t="n"/>
      <c r="DXZ286" s="1132" t="n"/>
      <c r="DYA286" s="1132" t="n"/>
      <c r="DYB286" s="1132" t="n"/>
      <c r="DYC286" s="1132" t="n"/>
      <c r="DYD286" s="1132" t="n"/>
      <c r="DYE286" s="1132" t="n"/>
      <c r="DYF286" s="1132" t="n"/>
      <c r="DYG286" s="1132" t="n"/>
      <c r="DYH286" s="1132" t="n"/>
      <c r="DYI286" s="1132" t="n"/>
      <c r="DYJ286" s="1132" t="n"/>
      <c r="DYK286" s="1132" t="n"/>
      <c r="DYL286" s="1132" t="n"/>
      <c r="DYM286" s="1132" t="n"/>
      <c r="DYN286" s="1132" t="n"/>
      <c r="DYO286" s="1132" t="n"/>
      <c r="DYP286" s="1132" t="n"/>
      <c r="DYQ286" s="1132" t="n"/>
      <c r="DYR286" s="1132" t="n"/>
      <c r="DYS286" s="1132" t="n"/>
      <c r="DYT286" s="1132" t="n"/>
      <c r="DYU286" s="1132" t="n"/>
      <c r="DYV286" s="1132" t="n"/>
      <c r="DYW286" s="1132" t="n"/>
      <c r="DYX286" s="1132" t="n"/>
      <c r="DYY286" s="1132" t="n"/>
      <c r="DYZ286" s="1132" t="n"/>
      <c r="DZA286" s="1132" t="n"/>
      <c r="DZB286" s="1132" t="n"/>
      <c r="DZC286" s="1132" t="n"/>
      <c r="DZD286" s="1132" t="n"/>
      <c r="DZE286" s="1132" t="n"/>
      <c r="DZF286" s="1132" t="n"/>
      <c r="DZG286" s="1132" t="n"/>
      <c r="DZH286" s="1132" t="n"/>
      <c r="DZI286" s="1132" t="n"/>
      <c r="DZJ286" s="1132" t="n"/>
      <c r="DZK286" s="1132" t="n"/>
      <c r="DZL286" s="1132" t="n"/>
      <c r="DZM286" s="1132" t="n"/>
      <c r="DZN286" s="1132" t="n"/>
      <c r="DZO286" s="1132" t="n"/>
      <c r="DZP286" s="1132" t="n"/>
      <c r="DZQ286" s="1132" t="n"/>
      <c r="DZR286" s="1132" t="n"/>
      <c r="DZS286" s="1132" t="n"/>
      <c r="DZT286" s="1132" t="n"/>
      <c r="DZU286" s="1132" t="n"/>
      <c r="DZV286" s="1132" t="n"/>
      <c r="DZW286" s="1132" t="n"/>
      <c r="DZX286" s="1132" t="n"/>
      <c r="DZY286" s="1132" t="n"/>
      <c r="DZZ286" s="1132" t="n"/>
      <c r="EAA286" s="1132" t="n"/>
      <c r="EAB286" s="1132" t="n"/>
      <c r="EAC286" s="1132" t="n"/>
      <c r="EAD286" s="1132" t="n"/>
      <c r="EAE286" s="1132" t="n"/>
      <c r="EAF286" s="1132" t="n"/>
      <c r="EAG286" s="1132" t="n"/>
      <c r="EAH286" s="1132" t="n"/>
      <c r="EAI286" s="1132" t="n"/>
      <c r="EAJ286" s="1132" t="n"/>
      <c r="EAK286" s="1132" t="n"/>
      <c r="EAL286" s="1132" t="n"/>
      <c r="EAM286" s="1132" t="n"/>
      <c r="EAN286" s="1132" t="n"/>
      <c r="EAO286" s="1132" t="n"/>
      <c r="EAP286" s="1132" t="n"/>
      <c r="EAQ286" s="1132" t="n"/>
      <c r="EAR286" s="1132" t="n"/>
      <c r="EAS286" s="1132" t="n"/>
      <c r="EAT286" s="1132" t="n"/>
      <c r="EAU286" s="1132" t="n"/>
      <c r="EAV286" s="1132" t="n"/>
      <c r="EAW286" s="1132" t="n"/>
      <c r="EAX286" s="1132" t="n"/>
      <c r="EAY286" s="1132" t="n"/>
      <c r="EAZ286" s="1132" t="n"/>
      <c r="EBA286" s="1132" t="n"/>
      <c r="EBB286" s="1132" t="n"/>
      <c r="EBC286" s="1132" t="n"/>
      <c r="EBD286" s="1132" t="n"/>
      <c r="EBE286" s="1132" t="n"/>
      <c r="EBF286" s="1132" t="n"/>
      <c r="EBG286" s="1132" t="n"/>
      <c r="EBH286" s="1132" t="n"/>
      <c r="EBI286" s="1132" t="n"/>
      <c r="EBJ286" s="1132" t="n"/>
      <c r="EBK286" s="1132" t="n"/>
      <c r="EBL286" s="1132" t="n"/>
      <c r="EBM286" s="1132" t="n"/>
      <c r="EBN286" s="1132" t="n"/>
      <c r="EBO286" s="1132" t="n"/>
      <c r="EBP286" s="1132" t="n"/>
      <c r="EBQ286" s="1132" t="n"/>
      <c r="EBR286" s="1132" t="n"/>
      <c r="EBS286" s="1132" t="n"/>
      <c r="EBT286" s="1132" t="n"/>
      <c r="EBU286" s="1132" t="n"/>
      <c r="EBV286" s="1132" t="n"/>
      <c r="EBW286" s="1132" t="n"/>
      <c r="EBX286" s="1132" t="n"/>
      <c r="EBY286" s="1132" t="n"/>
      <c r="EBZ286" s="1132" t="n"/>
      <c r="ECA286" s="1132" t="n"/>
      <c r="ECB286" s="1132" t="n"/>
      <c r="ECC286" s="1132" t="n"/>
      <c r="ECD286" s="1132" t="n"/>
      <c r="ECE286" s="1132" t="n"/>
      <c r="ECF286" s="1132" t="n"/>
      <c r="ECG286" s="1132" t="n"/>
      <c r="ECH286" s="1132" t="n"/>
      <c r="ECI286" s="1132" t="n"/>
      <c r="ECJ286" s="1132" t="n"/>
      <c r="ECK286" s="1132" t="n"/>
      <c r="ECL286" s="1132" t="n"/>
      <c r="ECM286" s="1132" t="n"/>
      <c r="ECN286" s="1132" t="n"/>
      <c r="ECO286" s="1132" t="n"/>
      <c r="ECP286" s="1132" t="n"/>
      <c r="ECQ286" s="1132" t="n"/>
      <c r="ECR286" s="1132" t="n"/>
      <c r="ECS286" s="1132" t="n"/>
      <c r="ECT286" s="1132" t="n"/>
      <c r="ECU286" s="1132" t="n"/>
      <c r="ECV286" s="1132" t="n"/>
      <c r="ECW286" s="1132" t="n"/>
      <c r="ECX286" s="1132" t="n"/>
      <c r="ECY286" s="1132" t="n"/>
      <c r="ECZ286" s="1132" t="n"/>
      <c r="EDA286" s="1132" t="n"/>
      <c r="EDB286" s="1132" t="n"/>
      <c r="EDC286" s="1132" t="n"/>
      <c r="EDD286" s="1132" t="n"/>
      <c r="EDE286" s="1132" t="n"/>
      <c r="EDF286" s="1132" t="n"/>
      <c r="EDG286" s="1132" t="n"/>
      <c r="EDH286" s="1132" t="n"/>
      <c r="EDI286" s="1132" t="n"/>
      <c r="EDJ286" s="1132" t="n"/>
      <c r="EDK286" s="1132" t="n"/>
      <c r="EDL286" s="1132" t="n"/>
      <c r="EDM286" s="1132" t="n"/>
      <c r="EDN286" s="1132" t="n"/>
      <c r="EDO286" s="1132" t="n"/>
      <c r="EDP286" s="1132" t="n"/>
      <c r="EDQ286" s="1132" t="n"/>
      <c r="EDR286" s="1132" t="n"/>
      <c r="EDS286" s="1132" t="n"/>
      <c r="EDT286" s="1132" t="n"/>
      <c r="EDU286" s="1132" t="n"/>
      <c r="EDV286" s="1132" t="n"/>
      <c r="EDW286" s="1132" t="n"/>
      <c r="EDX286" s="1132" t="n"/>
      <c r="EDY286" s="1132" t="n"/>
      <c r="EDZ286" s="1132" t="n"/>
      <c r="EEA286" s="1132" t="n"/>
      <c r="EEB286" s="1132" t="n"/>
      <c r="EEC286" s="1132" t="n"/>
      <c r="EED286" s="1132" t="n"/>
      <c r="EEE286" s="1132" t="n"/>
      <c r="EEF286" s="1132" t="n"/>
      <c r="EEG286" s="1132" t="n"/>
      <c r="EEH286" s="1132" t="n"/>
      <c r="EEI286" s="1132" t="n"/>
      <c r="EEJ286" s="1132" t="n"/>
      <c r="EEK286" s="1132" t="n"/>
      <c r="EEL286" s="1132" t="n"/>
      <c r="EEM286" s="1132" t="n"/>
      <c r="EEN286" s="1132" t="n"/>
      <c r="EEO286" s="1132" t="n"/>
      <c r="EEP286" s="1132" t="n"/>
      <c r="EEQ286" s="1132" t="n"/>
      <c r="EER286" s="1132" t="n"/>
      <c r="EES286" s="1132" t="n"/>
      <c r="EET286" s="1132" t="n"/>
      <c r="EEU286" s="1132" t="n"/>
      <c r="EEV286" s="1132" t="n"/>
      <c r="EEW286" s="1132" t="n"/>
      <c r="EEX286" s="1132" t="n"/>
      <c r="EEY286" s="1132" t="n"/>
      <c r="EEZ286" s="1132" t="n"/>
      <c r="EFA286" s="1132" t="n"/>
      <c r="EFB286" s="1132" t="n"/>
      <c r="EFC286" s="1132" t="n"/>
      <c r="EFD286" s="1132" t="n"/>
      <c r="EFE286" s="1132" t="n"/>
      <c r="EFF286" s="1132" t="n"/>
      <c r="EFG286" s="1132" t="n"/>
      <c r="EFH286" s="1132" t="n"/>
      <c r="EFI286" s="1132" t="n"/>
      <c r="EFJ286" s="1132" t="n"/>
      <c r="EFK286" s="1132" t="n"/>
      <c r="EFL286" s="1132" t="n"/>
      <c r="EFM286" s="1132" t="n"/>
      <c r="EFN286" s="1132" t="n"/>
      <c r="EFO286" s="1132" t="n"/>
      <c r="EFP286" s="1132" t="n"/>
      <c r="EFQ286" s="1132" t="n"/>
      <c r="EFR286" s="1132" t="n"/>
      <c r="EFS286" s="1132" t="n"/>
      <c r="EFT286" s="1132" t="n"/>
      <c r="EFU286" s="1132" t="n"/>
      <c r="EFV286" s="1132" t="n"/>
      <c r="EFW286" s="1132" t="n"/>
      <c r="EFX286" s="1132" t="n"/>
      <c r="EFY286" s="1132" t="n"/>
      <c r="EFZ286" s="1132" t="n"/>
      <c r="EGA286" s="1132" t="n"/>
      <c r="EGB286" s="1132" t="n"/>
      <c r="EGC286" s="1132" t="n"/>
      <c r="EGD286" s="1132" t="n"/>
      <c r="EGE286" s="1132" t="n"/>
      <c r="EGF286" s="1132" t="n"/>
      <c r="EGG286" s="1132" t="n"/>
      <c r="EGH286" s="1132" t="n"/>
      <c r="EGI286" s="1132" t="n"/>
      <c r="EGJ286" s="1132" t="n"/>
      <c r="EGK286" s="1132" t="n"/>
      <c r="EGL286" s="1132" t="n"/>
      <c r="EGM286" s="1132" t="n"/>
      <c r="EGN286" s="1132" t="n"/>
      <c r="EGO286" s="1132" t="n"/>
      <c r="EGP286" s="1132" t="n"/>
      <c r="EGQ286" s="1132" t="n"/>
      <c r="EGR286" s="1132" t="n"/>
      <c r="EGS286" s="1132" t="n"/>
      <c r="EGT286" s="1132" t="n"/>
      <c r="EGU286" s="1132" t="n"/>
      <c r="EGV286" s="1132" t="n"/>
      <c r="EGW286" s="1132" t="n"/>
      <c r="EGX286" s="1132" t="n"/>
      <c r="EGY286" s="1132" t="n"/>
      <c r="EGZ286" s="1132" t="n"/>
      <c r="EHA286" s="1132" t="n"/>
      <c r="EHB286" s="1132" t="n"/>
      <c r="EHC286" s="1132" t="n"/>
      <c r="EHD286" s="1132" t="n"/>
      <c r="EHE286" s="1132" t="n"/>
      <c r="EHF286" s="1132" t="n"/>
      <c r="EHG286" s="1132" t="n"/>
      <c r="EHH286" s="1132" t="n"/>
      <c r="EHI286" s="1132" t="n"/>
      <c r="EHJ286" s="1132" t="n"/>
      <c r="EHK286" s="1132" t="n"/>
      <c r="EHL286" s="1132" t="n"/>
      <c r="EHM286" s="1132" t="n"/>
      <c r="EHN286" s="1132" t="n"/>
      <c r="EHO286" s="1132" t="n"/>
      <c r="EHP286" s="1132" t="n"/>
      <c r="EHQ286" s="1132" t="n"/>
      <c r="EHR286" s="1132" t="n"/>
      <c r="EHS286" s="1132" t="n"/>
      <c r="EHT286" s="1132" t="n"/>
      <c r="EHU286" s="1132" t="n"/>
      <c r="EHV286" s="1132" t="n"/>
      <c r="EHW286" s="1132" t="n"/>
      <c r="EHX286" s="1132" t="n"/>
      <c r="EHY286" s="1132" t="n"/>
      <c r="EHZ286" s="1132" t="n"/>
      <c r="EIA286" s="1132" t="n"/>
      <c r="EIB286" s="1132" t="n"/>
      <c r="EIC286" s="1132" t="n"/>
      <c r="EID286" s="1132" t="n"/>
      <c r="EIE286" s="1132" t="n"/>
      <c r="EIF286" s="1132" t="n"/>
      <c r="EIG286" s="1132" t="n"/>
      <c r="EIH286" s="1132" t="n"/>
      <c r="EII286" s="1132" t="n"/>
      <c r="EIJ286" s="1132" t="n"/>
      <c r="EIK286" s="1132" t="n"/>
      <c r="EIL286" s="1132" t="n"/>
      <c r="EIM286" s="1132" t="n"/>
      <c r="EIN286" s="1132" t="n"/>
      <c r="EIO286" s="1132" t="n"/>
      <c r="EIP286" s="1132" t="n"/>
      <c r="EIQ286" s="1132" t="n"/>
      <c r="EIR286" s="1132" t="n"/>
      <c r="EIS286" s="1132" t="n"/>
      <c r="EIT286" s="1132" t="n"/>
      <c r="EIU286" s="1132" t="n"/>
      <c r="EIV286" s="1132" t="n"/>
      <c r="EIW286" s="1132" t="n"/>
      <c r="EIX286" s="1132" t="n"/>
      <c r="EIY286" s="1132" t="n"/>
      <c r="EIZ286" s="1132" t="n"/>
      <c r="EJA286" s="1132" t="n"/>
      <c r="EJB286" s="1132" t="n"/>
      <c r="EJC286" s="1132" t="n"/>
      <c r="EJD286" s="1132" t="n"/>
      <c r="EJE286" s="1132" t="n"/>
      <c r="EJF286" s="1132" t="n"/>
      <c r="EJG286" s="1132" t="n"/>
      <c r="EJH286" s="1132" t="n"/>
      <c r="EJI286" s="1132" t="n"/>
      <c r="EJJ286" s="1132" t="n"/>
      <c r="EJK286" s="1132" t="n"/>
      <c r="EJL286" s="1132" t="n"/>
      <c r="EJM286" s="1132" t="n"/>
      <c r="EJN286" s="1132" t="n"/>
      <c r="EJO286" s="1132" t="n"/>
      <c r="EJP286" s="1132" t="n"/>
      <c r="EJQ286" s="1132" t="n"/>
      <c r="EJR286" s="1132" t="n"/>
      <c r="EJS286" s="1132" t="n"/>
      <c r="EJT286" s="1132" t="n"/>
      <c r="EJU286" s="1132" t="n"/>
      <c r="EJV286" s="1132" t="n"/>
      <c r="EJW286" s="1132" t="n"/>
      <c r="EJX286" s="1132" t="n"/>
      <c r="EJY286" s="1132" t="n"/>
      <c r="EJZ286" s="1132" t="n"/>
      <c r="EKA286" s="1132" t="n"/>
      <c r="EKB286" s="1132" t="n"/>
      <c r="EKC286" s="1132" t="n"/>
      <c r="EKD286" s="1132" t="n"/>
      <c r="EKE286" s="1132" t="n"/>
      <c r="EKF286" s="1132" t="n"/>
      <c r="EKG286" s="1132" t="n"/>
      <c r="EKH286" s="1132" t="n"/>
      <c r="EKI286" s="1132" t="n"/>
      <c r="EKJ286" s="1132" t="n"/>
      <c r="EKK286" s="1132" t="n"/>
      <c r="EKL286" s="1132" t="n"/>
      <c r="EKM286" s="1132" t="n"/>
      <c r="EKN286" s="1132" t="n"/>
      <c r="EKO286" s="1132" t="n"/>
      <c r="EKP286" s="1132" t="n"/>
      <c r="EKQ286" s="1132" t="n"/>
      <c r="EKR286" s="1132" t="n"/>
      <c r="EKS286" s="1132" t="n"/>
      <c r="EKT286" s="1132" t="n"/>
      <c r="EKU286" s="1132" t="n"/>
      <c r="EKV286" s="1132" t="n"/>
      <c r="EKW286" s="1132" t="n"/>
      <c r="EKX286" s="1132" t="n"/>
      <c r="EKY286" s="1132" t="n"/>
      <c r="EKZ286" s="1132" t="n"/>
      <c r="ELA286" s="1132" t="n"/>
      <c r="ELB286" s="1132" t="n"/>
      <c r="ELC286" s="1132" t="n"/>
      <c r="ELD286" s="1132" t="n"/>
      <c r="ELE286" s="1132" t="n"/>
      <c r="ELF286" s="1132" t="n"/>
      <c r="ELG286" s="1132" t="n"/>
      <c r="ELH286" s="1132" t="n"/>
      <c r="ELI286" s="1132" t="n"/>
      <c r="ELJ286" s="1132" t="n"/>
      <c r="ELK286" s="1132" t="n"/>
      <c r="ELL286" s="1132" t="n"/>
      <c r="ELM286" s="1132" t="n"/>
      <c r="ELN286" s="1132" t="n"/>
      <c r="ELO286" s="1132" t="n"/>
      <c r="ELP286" s="1132" t="n"/>
      <c r="ELQ286" s="1132" t="n"/>
      <c r="ELR286" s="1132" t="n"/>
      <c r="ELS286" s="1132" t="n"/>
      <c r="ELT286" s="1132" t="n"/>
      <c r="ELU286" s="1132" t="n"/>
      <c r="ELV286" s="1132" t="n"/>
      <c r="ELW286" s="1132" t="n"/>
      <c r="ELX286" s="1132" t="n"/>
      <c r="ELY286" s="1132" t="n"/>
      <c r="ELZ286" s="1132" t="n"/>
      <c r="EMA286" s="1132" t="n"/>
      <c r="EMB286" s="1132" t="n"/>
      <c r="EMC286" s="1132" t="n"/>
      <c r="EMD286" s="1132" t="n"/>
      <c r="EME286" s="1132" t="n"/>
      <c r="EMF286" s="1132" t="n"/>
      <c r="EMG286" s="1132" t="n"/>
      <c r="EMH286" s="1132" t="n"/>
      <c r="EMI286" s="1132" t="n"/>
      <c r="EMJ286" s="1132" t="n"/>
      <c r="EMK286" s="1132" t="n"/>
      <c r="EML286" s="1132" t="n"/>
      <c r="EMM286" s="1132" t="n"/>
      <c r="EMN286" s="1132" t="n"/>
      <c r="EMO286" s="1132" t="n"/>
      <c r="EMP286" s="1132" t="n"/>
      <c r="EMQ286" s="1132" t="n"/>
      <c r="EMR286" s="1132" t="n"/>
      <c r="EMS286" s="1132" t="n"/>
      <c r="EMT286" s="1132" t="n"/>
      <c r="EMU286" s="1132" t="n"/>
      <c r="EMV286" s="1132" t="n"/>
      <c r="EMW286" s="1132" t="n"/>
      <c r="EMX286" s="1132" t="n"/>
      <c r="EMY286" s="1132" t="n"/>
      <c r="EMZ286" s="1132" t="n"/>
      <c r="ENA286" s="1132" t="n"/>
      <c r="ENB286" s="1132" t="n"/>
      <c r="ENC286" s="1132" t="n"/>
      <c r="END286" s="1132" t="n"/>
      <c r="ENE286" s="1132" t="n"/>
      <c r="ENF286" s="1132" t="n"/>
      <c r="ENG286" s="1132" t="n"/>
      <c r="ENH286" s="1132" t="n"/>
      <c r="ENI286" s="1132" t="n"/>
      <c r="ENJ286" s="1132" t="n"/>
      <c r="ENK286" s="1132" t="n"/>
      <c r="ENL286" s="1132" t="n"/>
      <c r="ENM286" s="1132" t="n"/>
      <c r="ENN286" s="1132" t="n"/>
      <c r="ENO286" s="1132" t="n"/>
      <c r="ENP286" s="1132" t="n"/>
      <c r="ENQ286" s="1132" t="n"/>
      <c r="ENR286" s="1132" t="n"/>
      <c r="ENS286" s="1132" t="n"/>
      <c r="ENT286" s="1132" t="n"/>
      <c r="ENU286" s="1132" t="n"/>
      <c r="ENV286" s="1132" t="n"/>
      <c r="ENW286" s="1132" t="n"/>
      <c r="ENX286" s="1132" t="n"/>
      <c r="ENY286" s="1132" t="n"/>
      <c r="ENZ286" s="1132" t="n"/>
      <c r="EOA286" s="1132" t="n"/>
      <c r="EOB286" s="1132" t="n"/>
      <c r="EOC286" s="1132" t="n"/>
      <c r="EOD286" s="1132" t="n"/>
      <c r="EOE286" s="1132" t="n"/>
      <c r="EOF286" s="1132" t="n"/>
      <c r="EOG286" s="1132" t="n"/>
      <c r="EOH286" s="1132" t="n"/>
      <c r="EOI286" s="1132" t="n"/>
      <c r="EOJ286" s="1132" t="n"/>
      <c r="EOK286" s="1132" t="n"/>
      <c r="EOL286" s="1132" t="n"/>
      <c r="EOM286" s="1132" t="n"/>
      <c r="EON286" s="1132" t="n"/>
      <c r="EOO286" s="1132" t="n"/>
      <c r="EOP286" s="1132" t="n"/>
      <c r="EOQ286" s="1132" t="n"/>
      <c r="EOR286" s="1132" t="n"/>
      <c r="EOS286" s="1132" t="n"/>
      <c r="EOT286" s="1132" t="n"/>
      <c r="EOU286" s="1132" t="n"/>
      <c r="EOV286" s="1132" t="n"/>
      <c r="EOW286" s="1132" t="n"/>
      <c r="EOX286" s="1132" t="n"/>
      <c r="EOY286" s="1132" t="n"/>
      <c r="EOZ286" s="1132" t="n"/>
      <c r="EPA286" s="1132" t="n"/>
      <c r="EPB286" s="1132" t="n"/>
      <c r="EPC286" s="1132" t="n"/>
      <c r="EPD286" s="1132" t="n"/>
      <c r="EPE286" s="1132" t="n"/>
      <c r="EPF286" s="1132" t="n"/>
      <c r="EPG286" s="1132" t="n"/>
      <c r="EPH286" s="1132" t="n"/>
      <c r="EPI286" s="1132" t="n"/>
      <c r="EPJ286" s="1132" t="n"/>
      <c r="EPK286" s="1132" t="n"/>
      <c r="EPL286" s="1132" t="n"/>
      <c r="EPM286" s="1132" t="n"/>
      <c r="EPN286" s="1132" t="n"/>
      <c r="EPO286" s="1132" t="n"/>
      <c r="EPP286" s="1132" t="n"/>
      <c r="EPQ286" s="1132" t="n"/>
      <c r="EPR286" s="1132" t="n"/>
      <c r="EPS286" s="1132" t="n"/>
      <c r="EPT286" s="1132" t="n"/>
      <c r="EPU286" s="1132" t="n"/>
      <c r="EPV286" s="1132" t="n"/>
      <c r="EPW286" s="1132" t="n"/>
      <c r="EPX286" s="1132" t="n"/>
      <c r="EPY286" s="1132" t="n"/>
      <c r="EPZ286" s="1132" t="n"/>
      <c r="EQA286" s="1132" t="n"/>
      <c r="EQB286" s="1132" t="n"/>
      <c r="EQC286" s="1132" t="n"/>
      <c r="EQD286" s="1132" t="n"/>
      <c r="EQE286" s="1132" t="n"/>
      <c r="EQF286" s="1132" t="n"/>
      <c r="EQG286" s="1132" t="n"/>
      <c r="EQH286" s="1132" t="n"/>
      <c r="EQI286" s="1132" t="n"/>
      <c r="EQJ286" s="1132" t="n"/>
      <c r="EQK286" s="1132" t="n"/>
      <c r="EQL286" s="1132" t="n"/>
      <c r="EQM286" s="1132" t="n"/>
      <c r="EQN286" s="1132" t="n"/>
      <c r="EQO286" s="1132" t="n"/>
      <c r="EQP286" s="1132" t="n"/>
      <c r="EQQ286" s="1132" t="n"/>
      <c r="EQR286" s="1132" t="n"/>
      <c r="EQS286" s="1132" t="n"/>
      <c r="EQT286" s="1132" t="n"/>
      <c r="EQU286" s="1132" t="n"/>
      <c r="EQV286" s="1132" t="n"/>
      <c r="EQW286" s="1132" t="n"/>
      <c r="EQX286" s="1132" t="n"/>
      <c r="EQY286" s="1132" t="n"/>
      <c r="EQZ286" s="1132" t="n"/>
      <c r="ERA286" s="1132" t="n"/>
      <c r="ERB286" s="1132" t="n"/>
      <c r="ERC286" s="1132" t="n"/>
      <c r="ERD286" s="1132" t="n"/>
      <c r="ERE286" s="1132" t="n"/>
      <c r="ERF286" s="1132" t="n"/>
      <c r="ERG286" s="1132" t="n"/>
      <c r="ERH286" s="1132" t="n"/>
      <c r="ERI286" s="1132" t="n"/>
      <c r="ERJ286" s="1132" t="n"/>
      <c r="ERK286" s="1132" t="n"/>
      <c r="ERL286" s="1132" t="n"/>
      <c r="ERM286" s="1132" t="n"/>
      <c r="ERN286" s="1132" t="n"/>
      <c r="ERO286" s="1132" t="n"/>
      <c r="ERP286" s="1132" t="n"/>
      <c r="ERQ286" s="1132" t="n"/>
      <c r="ERR286" s="1132" t="n"/>
      <c r="ERS286" s="1132" t="n"/>
      <c r="ERT286" s="1132" t="n"/>
      <c r="ERU286" s="1132" t="n"/>
      <c r="ERV286" s="1132" t="n"/>
      <c r="ERW286" s="1132" t="n"/>
      <c r="ERX286" s="1132" t="n"/>
      <c r="ERY286" s="1132" t="n"/>
      <c r="ERZ286" s="1132" t="n"/>
      <c r="ESA286" s="1132" t="n"/>
      <c r="ESB286" s="1132" t="n"/>
      <c r="ESC286" s="1132" t="n"/>
      <c r="ESD286" s="1132" t="n"/>
      <c r="ESE286" s="1132" t="n"/>
      <c r="ESF286" s="1132" t="n"/>
      <c r="ESG286" s="1132" t="n"/>
      <c r="ESH286" s="1132" t="n"/>
      <c r="ESI286" s="1132" t="n"/>
      <c r="ESJ286" s="1132" t="n"/>
      <c r="ESK286" s="1132" t="n"/>
      <c r="ESL286" s="1132" t="n"/>
      <c r="ESM286" s="1132" t="n"/>
      <c r="ESN286" s="1132" t="n"/>
      <c r="ESO286" s="1132" t="n"/>
      <c r="ESP286" s="1132" t="n"/>
      <c r="ESQ286" s="1132" t="n"/>
      <c r="ESR286" s="1132" t="n"/>
      <c r="ESS286" s="1132" t="n"/>
      <c r="EST286" s="1132" t="n"/>
      <c r="ESU286" s="1132" t="n"/>
      <c r="ESV286" s="1132" t="n"/>
      <c r="ESW286" s="1132" t="n"/>
      <c r="ESX286" s="1132" t="n"/>
      <c r="ESY286" s="1132" t="n"/>
      <c r="ESZ286" s="1132" t="n"/>
      <c r="ETA286" s="1132" t="n"/>
      <c r="ETB286" s="1132" t="n"/>
      <c r="ETC286" s="1132" t="n"/>
      <c r="ETD286" s="1132" t="n"/>
      <c r="ETE286" s="1132" t="n"/>
      <c r="ETF286" s="1132" t="n"/>
      <c r="ETG286" s="1132" t="n"/>
      <c r="ETH286" s="1132" t="n"/>
      <c r="ETI286" s="1132" t="n"/>
      <c r="ETJ286" s="1132" t="n"/>
      <c r="ETK286" s="1132" t="n"/>
      <c r="ETL286" s="1132" t="n"/>
      <c r="ETM286" s="1132" t="n"/>
      <c r="ETN286" s="1132" t="n"/>
      <c r="ETO286" s="1132" t="n"/>
      <c r="ETP286" s="1132" t="n"/>
      <c r="ETQ286" s="1132" t="n"/>
      <c r="ETR286" s="1132" t="n"/>
      <c r="ETS286" s="1132" t="n"/>
      <c r="ETT286" s="1132" t="n"/>
      <c r="ETU286" s="1132" t="n"/>
      <c r="ETV286" s="1132" t="n"/>
      <c r="ETW286" s="1132" t="n"/>
      <c r="ETX286" s="1132" t="n"/>
      <c r="ETY286" s="1132" t="n"/>
      <c r="ETZ286" s="1132" t="n"/>
      <c r="EUA286" s="1132" t="n"/>
      <c r="EUB286" s="1132" t="n"/>
      <c r="EUC286" s="1132" t="n"/>
      <c r="EUD286" s="1132" t="n"/>
      <c r="EUE286" s="1132" t="n"/>
      <c r="EUF286" s="1132" t="n"/>
      <c r="EUG286" s="1132" t="n"/>
      <c r="EUH286" s="1132" t="n"/>
      <c r="EUI286" s="1132" t="n"/>
      <c r="EUJ286" s="1132" t="n"/>
      <c r="EUK286" s="1132" t="n"/>
      <c r="EUL286" s="1132" t="n"/>
      <c r="EUM286" s="1132" t="n"/>
      <c r="EUN286" s="1132" t="n"/>
      <c r="EUO286" s="1132" t="n"/>
      <c r="EUP286" s="1132" t="n"/>
      <c r="EUQ286" s="1132" t="n"/>
      <c r="EUR286" s="1132" t="n"/>
      <c r="EUS286" s="1132" t="n"/>
      <c r="EUT286" s="1132" t="n"/>
      <c r="EUU286" s="1132" t="n"/>
      <c r="EUV286" s="1132" t="n"/>
      <c r="EUW286" s="1132" t="n"/>
      <c r="EUX286" s="1132" t="n"/>
      <c r="EUY286" s="1132" t="n"/>
      <c r="EUZ286" s="1132" t="n"/>
      <c r="EVA286" s="1132" t="n"/>
      <c r="EVB286" s="1132" t="n"/>
      <c r="EVC286" s="1132" t="n"/>
      <c r="EVD286" s="1132" t="n"/>
      <c r="EVE286" s="1132" t="n"/>
      <c r="EVF286" s="1132" t="n"/>
      <c r="EVG286" s="1132" t="n"/>
      <c r="EVH286" s="1132" t="n"/>
      <c r="EVI286" s="1132" t="n"/>
      <c r="EVJ286" s="1132" t="n"/>
      <c r="EVK286" s="1132" t="n"/>
      <c r="EVL286" s="1132" t="n"/>
      <c r="EVM286" s="1132" t="n"/>
      <c r="EVN286" s="1132" t="n"/>
      <c r="EVO286" s="1132" t="n"/>
      <c r="EVP286" s="1132" t="n"/>
      <c r="EVQ286" s="1132" t="n"/>
      <c r="EVR286" s="1132" t="n"/>
      <c r="EVS286" s="1132" t="n"/>
      <c r="EVT286" s="1132" t="n"/>
      <c r="EVU286" s="1132" t="n"/>
      <c r="EVV286" s="1132" t="n"/>
      <c r="EVW286" s="1132" t="n"/>
      <c r="EVX286" s="1132" t="n"/>
      <c r="EVY286" s="1132" t="n"/>
      <c r="EVZ286" s="1132" t="n"/>
      <c r="EWA286" s="1132" t="n"/>
      <c r="EWB286" s="1132" t="n"/>
      <c r="EWC286" s="1132" t="n"/>
      <c r="EWD286" s="1132" t="n"/>
      <c r="EWE286" s="1132" t="n"/>
      <c r="EWF286" s="1132" t="n"/>
      <c r="EWG286" s="1132" t="n"/>
      <c r="EWH286" s="1132" t="n"/>
      <c r="EWI286" s="1132" t="n"/>
      <c r="EWJ286" s="1132" t="n"/>
      <c r="EWK286" s="1132" t="n"/>
      <c r="EWL286" s="1132" t="n"/>
      <c r="EWM286" s="1132" t="n"/>
      <c r="EWN286" s="1132" t="n"/>
      <c r="EWO286" s="1132" t="n"/>
      <c r="EWP286" s="1132" t="n"/>
      <c r="EWQ286" s="1132" t="n"/>
      <c r="EWR286" s="1132" t="n"/>
      <c r="EWS286" s="1132" t="n"/>
      <c r="EWT286" s="1132" t="n"/>
      <c r="EWU286" s="1132" t="n"/>
      <c r="EWV286" s="1132" t="n"/>
      <c r="EWW286" s="1132" t="n"/>
      <c r="EWX286" s="1132" t="n"/>
      <c r="EWY286" s="1132" t="n"/>
      <c r="EWZ286" s="1132" t="n"/>
      <c r="EXA286" s="1132" t="n"/>
      <c r="EXB286" s="1132" t="n"/>
      <c r="EXC286" s="1132" t="n"/>
      <c r="EXD286" s="1132" t="n"/>
      <c r="EXE286" s="1132" t="n"/>
      <c r="EXF286" s="1132" t="n"/>
      <c r="EXG286" s="1132" t="n"/>
      <c r="EXH286" s="1132" t="n"/>
      <c r="EXI286" s="1132" t="n"/>
      <c r="EXJ286" s="1132" t="n"/>
      <c r="EXK286" s="1132" t="n"/>
      <c r="EXL286" s="1132" t="n"/>
      <c r="EXM286" s="1132" t="n"/>
      <c r="EXN286" s="1132" t="n"/>
      <c r="EXO286" s="1132" t="n"/>
      <c r="EXP286" s="1132" t="n"/>
      <c r="EXQ286" s="1132" t="n"/>
      <c r="EXR286" s="1132" t="n"/>
      <c r="EXS286" s="1132" t="n"/>
      <c r="EXT286" s="1132" t="n"/>
      <c r="EXU286" s="1132" t="n"/>
      <c r="EXV286" s="1132" t="n"/>
      <c r="EXW286" s="1132" t="n"/>
      <c r="EXX286" s="1132" t="n"/>
      <c r="EXY286" s="1132" t="n"/>
      <c r="EXZ286" s="1132" t="n"/>
      <c r="EYA286" s="1132" t="n"/>
      <c r="EYB286" s="1132" t="n"/>
      <c r="EYC286" s="1132" t="n"/>
      <c r="EYD286" s="1132" t="n"/>
      <c r="EYE286" s="1132" t="n"/>
      <c r="EYF286" s="1132" t="n"/>
      <c r="EYG286" s="1132" t="n"/>
      <c r="EYH286" s="1132" t="n"/>
      <c r="EYI286" s="1132" t="n"/>
      <c r="EYJ286" s="1132" t="n"/>
      <c r="EYK286" s="1132" t="n"/>
      <c r="EYL286" s="1132" t="n"/>
      <c r="EYM286" s="1132" t="n"/>
      <c r="EYN286" s="1132" t="n"/>
      <c r="EYO286" s="1132" t="n"/>
      <c r="EYP286" s="1132" t="n"/>
      <c r="EYQ286" s="1132" t="n"/>
      <c r="EYR286" s="1132" t="n"/>
      <c r="EYS286" s="1132" t="n"/>
      <c r="EYT286" s="1132" t="n"/>
      <c r="EYU286" s="1132" t="n"/>
      <c r="EYV286" s="1132" t="n"/>
      <c r="EYW286" s="1132" t="n"/>
      <c r="EYX286" s="1132" t="n"/>
      <c r="EYY286" s="1132" t="n"/>
      <c r="EYZ286" s="1132" t="n"/>
      <c r="EZA286" s="1132" t="n"/>
      <c r="EZB286" s="1132" t="n"/>
      <c r="EZC286" s="1132" t="n"/>
      <c r="EZD286" s="1132" t="n"/>
      <c r="EZE286" s="1132" t="n"/>
      <c r="EZF286" s="1132" t="n"/>
      <c r="EZG286" s="1132" t="n"/>
      <c r="EZH286" s="1132" t="n"/>
      <c r="EZI286" s="1132" t="n"/>
      <c r="EZJ286" s="1132" t="n"/>
      <c r="EZK286" s="1132" t="n"/>
      <c r="EZL286" s="1132" t="n"/>
      <c r="EZM286" s="1132" t="n"/>
      <c r="EZN286" s="1132" t="n"/>
      <c r="EZO286" s="1132" t="n"/>
      <c r="EZP286" s="1132" t="n"/>
      <c r="EZQ286" s="1132" t="n"/>
      <c r="EZR286" s="1132" t="n"/>
      <c r="EZS286" s="1132" t="n"/>
      <c r="EZT286" s="1132" t="n"/>
      <c r="EZU286" s="1132" t="n"/>
      <c r="EZV286" s="1132" t="n"/>
      <c r="EZW286" s="1132" t="n"/>
      <c r="EZX286" s="1132" t="n"/>
      <c r="EZY286" s="1132" t="n"/>
      <c r="EZZ286" s="1132" t="n"/>
      <c r="FAA286" s="1132" t="n"/>
      <c r="FAB286" s="1132" t="n"/>
      <c r="FAC286" s="1132" t="n"/>
      <c r="FAD286" s="1132" t="n"/>
      <c r="FAE286" s="1132" t="n"/>
      <c r="FAF286" s="1132" t="n"/>
      <c r="FAG286" s="1132" t="n"/>
      <c r="FAH286" s="1132" t="n"/>
      <c r="FAI286" s="1132" t="n"/>
      <c r="FAJ286" s="1132" t="n"/>
      <c r="FAK286" s="1132" t="n"/>
      <c r="FAL286" s="1132" t="n"/>
      <c r="FAM286" s="1132" t="n"/>
      <c r="FAN286" s="1132" t="n"/>
      <c r="FAO286" s="1132" t="n"/>
      <c r="FAP286" s="1132" t="n"/>
      <c r="FAQ286" s="1132" t="n"/>
      <c r="FAR286" s="1132" t="n"/>
      <c r="FAS286" s="1132" t="n"/>
      <c r="FAT286" s="1132" t="n"/>
      <c r="FAU286" s="1132" t="n"/>
      <c r="FAV286" s="1132" t="n"/>
      <c r="FAW286" s="1132" t="n"/>
      <c r="FAX286" s="1132" t="n"/>
      <c r="FAY286" s="1132" t="n"/>
      <c r="FAZ286" s="1132" t="n"/>
      <c r="FBA286" s="1132" t="n"/>
      <c r="FBB286" s="1132" t="n"/>
      <c r="FBC286" s="1132" t="n"/>
      <c r="FBD286" s="1132" t="n"/>
      <c r="FBE286" s="1132" t="n"/>
      <c r="FBF286" s="1132" t="n"/>
      <c r="FBG286" s="1132" t="n"/>
      <c r="FBH286" s="1132" t="n"/>
      <c r="FBI286" s="1132" t="n"/>
      <c r="FBJ286" s="1132" t="n"/>
      <c r="FBK286" s="1132" t="n"/>
      <c r="FBL286" s="1132" t="n"/>
      <c r="FBM286" s="1132" t="n"/>
      <c r="FBN286" s="1132" t="n"/>
      <c r="FBO286" s="1132" t="n"/>
      <c r="FBP286" s="1132" t="n"/>
      <c r="FBQ286" s="1132" t="n"/>
      <c r="FBR286" s="1132" t="n"/>
      <c r="FBS286" s="1132" t="n"/>
      <c r="FBT286" s="1132" t="n"/>
      <c r="FBU286" s="1132" t="n"/>
      <c r="FBV286" s="1132" t="n"/>
      <c r="FBW286" s="1132" t="n"/>
      <c r="FBX286" s="1132" t="n"/>
      <c r="FBY286" s="1132" t="n"/>
      <c r="FBZ286" s="1132" t="n"/>
      <c r="FCA286" s="1132" t="n"/>
      <c r="FCB286" s="1132" t="n"/>
      <c r="FCC286" s="1132" t="n"/>
      <c r="FCD286" s="1132" t="n"/>
      <c r="FCE286" s="1132" t="n"/>
      <c r="FCF286" s="1132" t="n"/>
      <c r="FCG286" s="1132" t="n"/>
      <c r="FCH286" s="1132" t="n"/>
      <c r="FCI286" s="1132" t="n"/>
      <c r="FCJ286" s="1132" t="n"/>
      <c r="FCK286" s="1132" t="n"/>
      <c r="FCL286" s="1132" t="n"/>
      <c r="FCM286" s="1132" t="n"/>
      <c r="FCN286" s="1132" t="n"/>
      <c r="FCO286" s="1132" t="n"/>
      <c r="FCP286" s="1132" t="n"/>
      <c r="FCQ286" s="1132" t="n"/>
      <c r="FCR286" s="1132" t="n"/>
      <c r="FCS286" s="1132" t="n"/>
      <c r="FCT286" s="1132" t="n"/>
      <c r="FCU286" s="1132" t="n"/>
      <c r="FCV286" s="1132" t="n"/>
      <c r="FCW286" s="1132" t="n"/>
      <c r="FCX286" s="1132" t="n"/>
      <c r="FCY286" s="1132" t="n"/>
      <c r="FCZ286" s="1132" t="n"/>
      <c r="FDA286" s="1132" t="n"/>
      <c r="FDB286" s="1132" t="n"/>
      <c r="FDC286" s="1132" t="n"/>
      <c r="FDD286" s="1132" t="n"/>
      <c r="FDE286" s="1132" t="n"/>
      <c r="FDF286" s="1132" t="n"/>
      <c r="FDG286" s="1132" t="n"/>
      <c r="FDH286" s="1132" t="n"/>
      <c r="FDI286" s="1132" t="n"/>
      <c r="FDJ286" s="1132" t="n"/>
      <c r="FDK286" s="1132" t="n"/>
      <c r="FDL286" s="1132" t="n"/>
      <c r="FDM286" s="1132" t="n"/>
      <c r="FDN286" s="1132" t="n"/>
      <c r="FDO286" s="1132" t="n"/>
      <c r="FDP286" s="1132" t="n"/>
      <c r="FDQ286" s="1132" t="n"/>
      <c r="FDR286" s="1132" t="n"/>
      <c r="FDS286" s="1132" t="n"/>
      <c r="FDT286" s="1132" t="n"/>
      <c r="FDU286" s="1132" t="n"/>
      <c r="FDV286" s="1132" t="n"/>
      <c r="FDW286" s="1132" t="n"/>
      <c r="FDX286" s="1132" t="n"/>
      <c r="FDY286" s="1132" t="n"/>
      <c r="FDZ286" s="1132" t="n"/>
      <c r="FEA286" s="1132" t="n"/>
      <c r="FEB286" s="1132" t="n"/>
      <c r="FEC286" s="1132" t="n"/>
      <c r="FED286" s="1132" t="n"/>
      <c r="FEE286" s="1132" t="n"/>
      <c r="FEF286" s="1132" t="n"/>
      <c r="FEG286" s="1132" t="n"/>
      <c r="FEH286" s="1132" t="n"/>
      <c r="FEI286" s="1132" t="n"/>
      <c r="FEJ286" s="1132" t="n"/>
      <c r="FEK286" s="1132" t="n"/>
      <c r="FEL286" s="1132" t="n"/>
      <c r="FEM286" s="1132" t="n"/>
      <c r="FEN286" s="1132" t="n"/>
      <c r="FEO286" s="1132" t="n"/>
      <c r="FEP286" s="1132" t="n"/>
      <c r="FEQ286" s="1132" t="n"/>
      <c r="FER286" s="1132" t="n"/>
      <c r="FES286" s="1132" t="n"/>
      <c r="FET286" s="1132" t="n"/>
      <c r="FEU286" s="1132" t="n"/>
      <c r="FEV286" s="1132" t="n"/>
      <c r="FEW286" s="1132" t="n"/>
      <c r="FEX286" s="1132" t="n"/>
      <c r="FEY286" s="1132" t="n"/>
      <c r="FEZ286" s="1132" t="n"/>
      <c r="FFA286" s="1132" t="n"/>
      <c r="FFB286" s="1132" t="n"/>
      <c r="FFC286" s="1132" t="n"/>
      <c r="FFD286" s="1132" t="n"/>
      <c r="FFE286" s="1132" t="n"/>
      <c r="FFF286" s="1132" t="n"/>
      <c r="FFG286" s="1132" t="n"/>
      <c r="FFH286" s="1132" t="n"/>
      <c r="FFI286" s="1132" t="n"/>
      <c r="FFJ286" s="1132" t="n"/>
      <c r="FFK286" s="1132" t="n"/>
      <c r="FFL286" s="1132" t="n"/>
      <c r="FFM286" s="1132" t="n"/>
      <c r="FFN286" s="1132" t="n"/>
      <c r="FFO286" s="1132" t="n"/>
      <c r="FFP286" s="1132" t="n"/>
      <c r="FFQ286" s="1132" t="n"/>
      <c r="FFR286" s="1132" t="n"/>
      <c r="FFS286" s="1132" t="n"/>
      <c r="FFT286" s="1132" t="n"/>
      <c r="FFU286" s="1132" t="n"/>
      <c r="FFV286" s="1132" t="n"/>
      <c r="FFW286" s="1132" t="n"/>
      <c r="FFX286" s="1132" t="n"/>
      <c r="FFY286" s="1132" t="n"/>
      <c r="FFZ286" s="1132" t="n"/>
      <c r="FGA286" s="1132" t="n"/>
      <c r="FGB286" s="1132" t="n"/>
      <c r="FGC286" s="1132" t="n"/>
      <c r="FGD286" s="1132" t="n"/>
      <c r="FGE286" s="1132" t="n"/>
      <c r="FGF286" s="1132" t="n"/>
      <c r="FGG286" s="1132" t="n"/>
      <c r="FGH286" s="1132" t="n"/>
      <c r="FGI286" s="1132" t="n"/>
      <c r="FGJ286" s="1132" t="n"/>
      <c r="FGK286" s="1132" t="n"/>
      <c r="FGL286" s="1132" t="n"/>
      <c r="FGM286" s="1132" t="n"/>
      <c r="FGN286" s="1132" t="n"/>
      <c r="FGO286" s="1132" t="n"/>
      <c r="FGP286" s="1132" t="n"/>
      <c r="FGQ286" s="1132" t="n"/>
      <c r="FGR286" s="1132" t="n"/>
      <c r="FGS286" s="1132" t="n"/>
      <c r="FGT286" s="1132" t="n"/>
      <c r="FGU286" s="1132" t="n"/>
      <c r="FGV286" s="1132" t="n"/>
      <c r="FGW286" s="1132" t="n"/>
      <c r="FGX286" s="1132" t="n"/>
      <c r="FGY286" s="1132" t="n"/>
      <c r="FGZ286" s="1132" t="n"/>
      <c r="FHA286" s="1132" t="n"/>
      <c r="FHB286" s="1132" t="n"/>
      <c r="FHC286" s="1132" t="n"/>
      <c r="FHD286" s="1132" t="n"/>
      <c r="FHE286" s="1132" t="n"/>
      <c r="FHF286" s="1132" t="n"/>
      <c r="FHG286" s="1132" t="n"/>
      <c r="FHH286" s="1132" t="n"/>
      <c r="FHI286" s="1132" t="n"/>
      <c r="FHJ286" s="1132" t="n"/>
      <c r="FHK286" s="1132" t="n"/>
      <c r="FHL286" s="1132" t="n"/>
      <c r="FHM286" s="1132" t="n"/>
      <c r="FHN286" s="1132" t="n"/>
      <c r="FHO286" s="1132" t="n"/>
      <c r="FHP286" s="1132" t="n"/>
      <c r="FHQ286" s="1132" t="n"/>
      <c r="FHR286" s="1132" t="n"/>
      <c r="FHS286" s="1132" t="n"/>
      <c r="FHT286" s="1132" t="n"/>
      <c r="FHU286" s="1132" t="n"/>
      <c r="FHV286" s="1132" t="n"/>
      <c r="FHW286" s="1132" t="n"/>
      <c r="FHX286" s="1132" t="n"/>
      <c r="FHY286" s="1132" t="n"/>
      <c r="FHZ286" s="1132" t="n"/>
      <c r="FIA286" s="1132" t="n"/>
      <c r="FIB286" s="1132" t="n"/>
      <c r="FIC286" s="1132" t="n"/>
      <c r="FID286" s="1132" t="n"/>
      <c r="FIE286" s="1132" t="n"/>
      <c r="FIF286" s="1132" t="n"/>
      <c r="FIG286" s="1132" t="n"/>
      <c r="FIH286" s="1132" t="n"/>
      <c r="FII286" s="1132" t="n"/>
      <c r="FIJ286" s="1132" t="n"/>
      <c r="FIK286" s="1132" t="n"/>
      <c r="FIL286" s="1132" t="n"/>
      <c r="FIM286" s="1132" t="n"/>
      <c r="FIN286" s="1132" t="n"/>
      <c r="FIO286" s="1132" t="n"/>
      <c r="FIP286" s="1132" t="n"/>
      <c r="FIQ286" s="1132" t="n"/>
      <c r="FIR286" s="1132" t="n"/>
      <c r="FIS286" s="1132" t="n"/>
      <c r="FIT286" s="1132" t="n"/>
      <c r="FIU286" s="1132" t="n"/>
      <c r="FIV286" s="1132" t="n"/>
      <c r="FIW286" s="1132" t="n"/>
      <c r="FIX286" s="1132" t="n"/>
      <c r="FIY286" s="1132" t="n"/>
      <c r="FIZ286" s="1132" t="n"/>
      <c r="FJA286" s="1132" t="n"/>
      <c r="FJB286" s="1132" t="n"/>
      <c r="FJC286" s="1132" t="n"/>
      <c r="FJD286" s="1132" t="n"/>
      <c r="FJE286" s="1132" t="n"/>
      <c r="FJF286" s="1132" t="n"/>
      <c r="FJG286" s="1132" t="n"/>
      <c r="FJH286" s="1132" t="n"/>
      <c r="FJI286" s="1132" t="n"/>
      <c r="FJJ286" s="1132" t="n"/>
      <c r="FJK286" s="1132" t="n"/>
      <c r="FJL286" s="1132" t="n"/>
      <c r="FJM286" s="1132" t="n"/>
      <c r="FJN286" s="1132" t="n"/>
      <c r="FJO286" s="1132" t="n"/>
      <c r="FJP286" s="1132" t="n"/>
      <c r="FJQ286" s="1132" t="n"/>
      <c r="FJR286" s="1132" t="n"/>
      <c r="FJS286" s="1132" t="n"/>
      <c r="FJT286" s="1132" t="n"/>
      <c r="FJU286" s="1132" t="n"/>
      <c r="FJV286" s="1132" t="n"/>
      <c r="FJW286" s="1132" t="n"/>
      <c r="FJX286" s="1132" t="n"/>
      <c r="FJY286" s="1132" t="n"/>
      <c r="FJZ286" s="1132" t="n"/>
      <c r="FKA286" s="1132" t="n"/>
      <c r="FKB286" s="1132" t="n"/>
      <c r="FKC286" s="1132" t="n"/>
      <c r="FKD286" s="1132" t="n"/>
      <c r="FKE286" s="1132" t="n"/>
      <c r="FKF286" s="1132" t="n"/>
      <c r="FKG286" s="1132" t="n"/>
      <c r="FKH286" s="1132" t="n"/>
      <c r="FKI286" s="1132" t="n"/>
      <c r="FKJ286" s="1132" t="n"/>
      <c r="FKK286" s="1132" t="n"/>
      <c r="FKL286" s="1132" t="n"/>
      <c r="FKM286" s="1132" t="n"/>
      <c r="FKN286" s="1132" t="n"/>
      <c r="FKO286" s="1132" t="n"/>
      <c r="FKP286" s="1132" t="n"/>
      <c r="FKQ286" s="1132" t="n"/>
      <c r="FKR286" s="1132" t="n"/>
      <c r="FKS286" s="1132" t="n"/>
      <c r="FKT286" s="1132" t="n"/>
      <c r="FKU286" s="1132" t="n"/>
      <c r="FKV286" s="1132" t="n"/>
      <c r="FKW286" s="1132" t="n"/>
      <c r="FKX286" s="1132" t="n"/>
      <c r="FKY286" s="1132" t="n"/>
      <c r="FKZ286" s="1132" t="n"/>
      <c r="FLA286" s="1132" t="n"/>
      <c r="FLB286" s="1132" t="n"/>
      <c r="FLC286" s="1132" t="n"/>
      <c r="FLD286" s="1132" t="n"/>
      <c r="FLE286" s="1132" t="n"/>
      <c r="FLF286" s="1132" t="n"/>
      <c r="FLG286" s="1132" t="n"/>
      <c r="FLH286" s="1132" t="n"/>
      <c r="FLI286" s="1132" t="n"/>
      <c r="FLJ286" s="1132" t="n"/>
      <c r="FLK286" s="1132" t="n"/>
      <c r="FLL286" s="1132" t="n"/>
      <c r="FLM286" s="1132" t="n"/>
      <c r="FLN286" s="1132" t="n"/>
      <c r="FLO286" s="1132" t="n"/>
      <c r="FLP286" s="1132" t="n"/>
      <c r="FLQ286" s="1132" t="n"/>
      <c r="FLR286" s="1132" t="n"/>
      <c r="FLS286" s="1132" t="n"/>
      <c r="FLT286" s="1132" t="n"/>
      <c r="FLU286" s="1132" t="n"/>
      <c r="FLV286" s="1132" t="n"/>
      <c r="FLW286" s="1132" t="n"/>
      <c r="FLX286" s="1132" t="n"/>
      <c r="FLY286" s="1132" t="n"/>
      <c r="FLZ286" s="1132" t="n"/>
      <c r="FMA286" s="1132" t="n"/>
      <c r="FMB286" s="1132" t="n"/>
      <c r="FMC286" s="1132" t="n"/>
      <c r="FMD286" s="1132" t="n"/>
      <c r="FME286" s="1132" t="n"/>
      <c r="FMF286" s="1132" t="n"/>
      <c r="FMG286" s="1132" t="n"/>
      <c r="FMH286" s="1132" t="n"/>
      <c r="FMI286" s="1132" t="n"/>
      <c r="FMJ286" s="1132" t="n"/>
      <c r="FMK286" s="1132" t="n"/>
      <c r="FML286" s="1132" t="n"/>
      <c r="FMM286" s="1132" t="n"/>
      <c r="FMN286" s="1132" t="n"/>
      <c r="FMO286" s="1132" t="n"/>
      <c r="FMP286" s="1132" t="n"/>
      <c r="FMQ286" s="1132" t="n"/>
      <c r="FMR286" s="1132" t="n"/>
      <c r="FMS286" s="1132" t="n"/>
      <c r="FMT286" s="1132" t="n"/>
      <c r="FMU286" s="1132" t="n"/>
      <c r="FMV286" s="1132" t="n"/>
      <c r="FMW286" s="1132" t="n"/>
      <c r="FMX286" s="1132" t="n"/>
      <c r="FMY286" s="1132" t="n"/>
      <c r="FMZ286" s="1132" t="n"/>
      <c r="FNA286" s="1132" t="n"/>
      <c r="FNB286" s="1132" t="n"/>
      <c r="FNC286" s="1132" t="n"/>
      <c r="FND286" s="1132" t="n"/>
      <c r="FNE286" s="1132" t="n"/>
      <c r="FNF286" s="1132" t="n"/>
      <c r="FNG286" s="1132" t="n"/>
      <c r="FNH286" s="1132" t="n"/>
      <c r="FNI286" s="1132" t="n"/>
      <c r="FNJ286" s="1132" t="n"/>
      <c r="FNK286" s="1132" t="n"/>
      <c r="FNL286" s="1132" t="n"/>
      <c r="FNM286" s="1132" t="n"/>
      <c r="FNN286" s="1132" t="n"/>
      <c r="FNO286" s="1132" t="n"/>
      <c r="FNP286" s="1132" t="n"/>
      <c r="FNQ286" s="1132" t="n"/>
      <c r="FNR286" s="1132" t="n"/>
      <c r="FNS286" s="1132" t="n"/>
      <c r="FNT286" s="1132" t="n"/>
      <c r="FNU286" s="1132" t="n"/>
      <c r="FNV286" s="1132" t="n"/>
      <c r="FNW286" s="1132" t="n"/>
      <c r="FNX286" s="1132" t="n"/>
      <c r="FNY286" s="1132" t="n"/>
      <c r="FNZ286" s="1132" t="n"/>
      <c r="FOA286" s="1132" t="n"/>
      <c r="FOB286" s="1132" t="n"/>
      <c r="FOC286" s="1132" t="n"/>
      <c r="FOD286" s="1132" t="n"/>
      <c r="FOE286" s="1132" t="n"/>
      <c r="FOF286" s="1132" t="n"/>
      <c r="FOG286" s="1132" t="n"/>
      <c r="FOH286" s="1132" t="n"/>
      <c r="FOI286" s="1132" t="n"/>
      <c r="FOJ286" s="1132" t="n"/>
      <c r="FOK286" s="1132" t="n"/>
      <c r="FOL286" s="1132" t="n"/>
      <c r="FOM286" s="1132" t="n"/>
      <c r="FON286" s="1132" t="n"/>
      <c r="FOO286" s="1132" t="n"/>
      <c r="FOP286" s="1132" t="n"/>
      <c r="FOQ286" s="1132" t="n"/>
      <c r="FOR286" s="1132" t="n"/>
      <c r="FOS286" s="1132" t="n"/>
      <c r="FOT286" s="1132" t="n"/>
      <c r="FOU286" s="1132" t="n"/>
      <c r="FOV286" s="1132" t="n"/>
      <c r="FOW286" s="1132" t="n"/>
      <c r="FOX286" s="1132" t="n"/>
      <c r="FOY286" s="1132" t="n"/>
      <c r="FOZ286" s="1132" t="n"/>
      <c r="FPA286" s="1132" t="n"/>
      <c r="FPB286" s="1132" t="n"/>
      <c r="FPC286" s="1132" t="n"/>
      <c r="FPD286" s="1132" t="n"/>
      <c r="FPE286" s="1132" t="n"/>
      <c r="FPF286" s="1132" t="n"/>
      <c r="FPG286" s="1132" t="n"/>
      <c r="FPH286" s="1132" t="n"/>
      <c r="FPI286" s="1132" t="n"/>
      <c r="FPJ286" s="1132" t="n"/>
      <c r="FPK286" s="1132" t="n"/>
      <c r="FPL286" s="1132" t="n"/>
      <c r="FPM286" s="1132" t="n"/>
      <c r="FPN286" s="1132" t="n"/>
      <c r="FPO286" s="1132" t="n"/>
      <c r="FPP286" s="1132" t="n"/>
      <c r="FPQ286" s="1132" t="n"/>
      <c r="FPR286" s="1132" t="n"/>
      <c r="FPS286" s="1132" t="n"/>
      <c r="FPT286" s="1132" t="n"/>
      <c r="FPU286" s="1132" t="n"/>
      <c r="FPV286" s="1132" t="n"/>
      <c r="FPW286" s="1132" t="n"/>
      <c r="FPX286" s="1132" t="n"/>
      <c r="FPY286" s="1132" t="n"/>
      <c r="FPZ286" s="1132" t="n"/>
      <c r="FQA286" s="1132" t="n"/>
      <c r="FQB286" s="1132" t="n"/>
      <c r="FQC286" s="1132" t="n"/>
      <c r="FQD286" s="1132" t="n"/>
      <c r="FQE286" s="1132" t="n"/>
      <c r="FQF286" s="1132" t="n"/>
      <c r="FQG286" s="1132" t="n"/>
      <c r="FQH286" s="1132" t="n"/>
      <c r="FQI286" s="1132" t="n"/>
      <c r="FQJ286" s="1132" t="n"/>
      <c r="FQK286" s="1132" t="n"/>
      <c r="FQL286" s="1132" t="n"/>
      <c r="FQM286" s="1132" t="n"/>
      <c r="FQN286" s="1132" t="n"/>
      <c r="FQO286" s="1132" t="n"/>
      <c r="FQP286" s="1132" t="n"/>
      <c r="FQQ286" s="1132" t="n"/>
      <c r="FQR286" s="1132" t="n"/>
      <c r="FQS286" s="1132" t="n"/>
      <c r="FQT286" s="1132" t="n"/>
      <c r="FQU286" s="1132" t="n"/>
      <c r="FQV286" s="1132" t="n"/>
      <c r="FQW286" s="1132" t="n"/>
      <c r="FQX286" s="1132" t="n"/>
      <c r="FQY286" s="1132" t="n"/>
      <c r="FQZ286" s="1132" t="n"/>
      <c r="FRA286" s="1132" t="n"/>
      <c r="FRB286" s="1132" t="n"/>
      <c r="FRC286" s="1132" t="n"/>
      <c r="FRD286" s="1132" t="n"/>
      <c r="FRE286" s="1132" t="n"/>
      <c r="FRF286" s="1132" t="n"/>
      <c r="FRG286" s="1132" t="n"/>
      <c r="FRH286" s="1132" t="n"/>
      <c r="FRI286" s="1132" t="n"/>
      <c r="FRJ286" s="1132" t="n"/>
      <c r="FRK286" s="1132" t="n"/>
      <c r="FRL286" s="1132" t="n"/>
      <c r="FRM286" s="1132" t="n"/>
      <c r="FRN286" s="1132" t="n"/>
      <c r="FRO286" s="1132" t="n"/>
      <c r="FRP286" s="1132" t="n"/>
      <c r="FRQ286" s="1132" t="n"/>
      <c r="FRR286" s="1132" t="n"/>
      <c r="FRS286" s="1132" t="n"/>
      <c r="FRT286" s="1132" t="n"/>
      <c r="FRU286" s="1132" t="n"/>
      <c r="FRV286" s="1132" t="n"/>
      <c r="FRW286" s="1132" t="n"/>
      <c r="FRX286" s="1132" t="n"/>
      <c r="FRY286" s="1132" t="n"/>
      <c r="FRZ286" s="1132" t="n"/>
      <c r="FSA286" s="1132" t="n"/>
      <c r="FSB286" s="1132" t="n"/>
      <c r="FSC286" s="1132" t="n"/>
      <c r="FSD286" s="1132" t="n"/>
      <c r="FSE286" s="1132" t="n"/>
      <c r="FSF286" s="1132" t="n"/>
      <c r="FSG286" s="1132" t="n"/>
      <c r="FSH286" s="1132" t="n"/>
      <c r="FSI286" s="1132" t="n"/>
      <c r="FSJ286" s="1132" t="n"/>
      <c r="FSK286" s="1132" t="n"/>
      <c r="FSL286" s="1132" t="n"/>
      <c r="FSM286" s="1132" t="n"/>
      <c r="FSN286" s="1132" t="n"/>
      <c r="FSO286" s="1132" t="n"/>
      <c r="FSP286" s="1132" t="n"/>
      <c r="FSQ286" s="1132" t="n"/>
      <c r="FSR286" s="1132" t="n"/>
      <c r="FSS286" s="1132" t="n"/>
      <c r="FST286" s="1132" t="n"/>
      <c r="FSU286" s="1132" t="n"/>
      <c r="FSV286" s="1132" t="n"/>
      <c r="FSW286" s="1132" t="n"/>
      <c r="FSX286" s="1132" t="n"/>
      <c r="FSY286" s="1132" t="n"/>
      <c r="FSZ286" s="1132" t="n"/>
      <c r="FTA286" s="1132" t="n"/>
      <c r="FTB286" s="1132" t="n"/>
      <c r="FTC286" s="1132" t="n"/>
      <c r="FTD286" s="1132" t="n"/>
      <c r="FTE286" s="1132" t="n"/>
      <c r="FTF286" s="1132" t="n"/>
      <c r="FTG286" s="1132" t="n"/>
      <c r="FTH286" s="1132" t="n"/>
      <c r="FTI286" s="1132" t="n"/>
      <c r="FTJ286" s="1132" t="n"/>
      <c r="FTK286" s="1132" t="n"/>
      <c r="FTL286" s="1132" t="n"/>
      <c r="FTM286" s="1132" t="n"/>
      <c r="FTN286" s="1132" t="n"/>
      <c r="FTO286" s="1132" t="n"/>
      <c r="FTP286" s="1132" t="n"/>
      <c r="FTQ286" s="1132" t="n"/>
      <c r="FTR286" s="1132" t="n"/>
      <c r="FTS286" s="1132" t="n"/>
      <c r="FTT286" s="1132" t="n"/>
      <c r="FTU286" s="1132" t="n"/>
      <c r="FTV286" s="1132" t="n"/>
      <c r="FTW286" s="1132" t="n"/>
      <c r="FTX286" s="1132" t="n"/>
      <c r="FTY286" s="1132" t="n"/>
      <c r="FTZ286" s="1132" t="n"/>
      <c r="FUA286" s="1132" t="n"/>
      <c r="FUB286" s="1132" t="n"/>
      <c r="FUC286" s="1132" t="n"/>
      <c r="FUD286" s="1132" t="n"/>
      <c r="FUE286" s="1132" t="n"/>
      <c r="FUF286" s="1132" t="n"/>
      <c r="FUG286" s="1132" t="n"/>
      <c r="FUH286" s="1132" t="n"/>
      <c r="FUI286" s="1132" t="n"/>
      <c r="FUJ286" s="1132" t="n"/>
      <c r="FUK286" s="1132" t="n"/>
      <c r="FUL286" s="1132" t="n"/>
      <c r="FUM286" s="1132" t="n"/>
      <c r="FUN286" s="1132" t="n"/>
      <c r="FUO286" s="1132" t="n"/>
      <c r="FUP286" s="1132" t="n"/>
      <c r="FUQ286" s="1132" t="n"/>
      <c r="FUR286" s="1132" t="n"/>
      <c r="FUS286" s="1132" t="n"/>
      <c r="FUT286" s="1132" t="n"/>
      <c r="FUU286" s="1132" t="n"/>
      <c r="FUV286" s="1132" t="n"/>
      <c r="FUW286" s="1132" t="n"/>
      <c r="FUX286" s="1132" t="n"/>
      <c r="FUY286" s="1132" t="n"/>
      <c r="FUZ286" s="1132" t="n"/>
      <c r="FVA286" s="1132" t="n"/>
      <c r="FVB286" s="1132" t="n"/>
      <c r="FVC286" s="1132" t="n"/>
      <c r="FVD286" s="1132" t="n"/>
      <c r="FVE286" s="1132" t="n"/>
      <c r="FVF286" s="1132" t="n"/>
      <c r="FVG286" s="1132" t="n"/>
      <c r="FVH286" s="1132" t="n"/>
      <c r="FVI286" s="1132" t="n"/>
      <c r="FVJ286" s="1132" t="n"/>
      <c r="FVK286" s="1132" t="n"/>
      <c r="FVL286" s="1132" t="n"/>
      <c r="FVM286" s="1132" t="n"/>
      <c r="FVN286" s="1132" t="n"/>
      <c r="FVO286" s="1132" t="n"/>
      <c r="FVP286" s="1132" t="n"/>
      <c r="FVQ286" s="1132" t="n"/>
      <c r="FVR286" s="1132" t="n"/>
      <c r="FVS286" s="1132" t="n"/>
      <c r="FVT286" s="1132" t="n"/>
      <c r="FVU286" s="1132" t="n"/>
      <c r="FVV286" s="1132" t="n"/>
      <c r="FVW286" s="1132" t="n"/>
      <c r="FVX286" s="1132" t="n"/>
      <c r="FVY286" s="1132" t="n"/>
      <c r="FVZ286" s="1132" t="n"/>
      <c r="FWA286" s="1132" t="n"/>
      <c r="FWB286" s="1132" t="n"/>
      <c r="FWC286" s="1132" t="n"/>
      <c r="FWD286" s="1132" t="n"/>
      <c r="FWE286" s="1132" t="n"/>
      <c r="FWF286" s="1132" t="n"/>
      <c r="FWG286" s="1132" t="n"/>
      <c r="FWH286" s="1132" t="n"/>
      <c r="FWI286" s="1132" t="n"/>
      <c r="FWJ286" s="1132" t="n"/>
      <c r="FWK286" s="1132" t="n"/>
      <c r="FWL286" s="1132" t="n"/>
      <c r="FWM286" s="1132" t="n"/>
      <c r="FWN286" s="1132" t="n"/>
      <c r="FWO286" s="1132" t="n"/>
      <c r="FWP286" s="1132" t="n"/>
      <c r="FWQ286" s="1132" t="n"/>
      <c r="FWR286" s="1132" t="n"/>
      <c r="FWS286" s="1132" t="n"/>
      <c r="FWT286" s="1132" t="n"/>
      <c r="FWU286" s="1132" t="n"/>
      <c r="FWV286" s="1132" t="n"/>
      <c r="FWW286" s="1132" t="n"/>
      <c r="FWX286" s="1132" t="n"/>
      <c r="FWY286" s="1132" t="n"/>
      <c r="FWZ286" s="1132" t="n"/>
      <c r="FXA286" s="1132" t="n"/>
      <c r="FXB286" s="1132" t="n"/>
      <c r="FXC286" s="1132" t="n"/>
      <c r="FXD286" s="1132" t="n"/>
      <c r="FXE286" s="1132" t="n"/>
      <c r="FXF286" s="1132" t="n"/>
      <c r="FXG286" s="1132" t="n"/>
      <c r="FXH286" s="1132" t="n"/>
      <c r="FXI286" s="1132" t="n"/>
      <c r="FXJ286" s="1132" t="n"/>
      <c r="FXK286" s="1132" t="n"/>
      <c r="FXL286" s="1132" t="n"/>
      <c r="FXM286" s="1132" t="n"/>
      <c r="FXN286" s="1132" t="n"/>
      <c r="FXO286" s="1132" t="n"/>
      <c r="FXP286" s="1132" t="n"/>
      <c r="FXQ286" s="1132" t="n"/>
      <c r="FXR286" s="1132" t="n"/>
      <c r="FXS286" s="1132" t="n"/>
      <c r="FXT286" s="1132" t="n"/>
      <c r="FXU286" s="1132" t="n"/>
      <c r="FXV286" s="1132" t="n"/>
      <c r="FXW286" s="1132" t="n"/>
      <c r="FXX286" s="1132" t="n"/>
      <c r="FXY286" s="1132" t="n"/>
      <c r="FXZ286" s="1132" t="n"/>
      <c r="FYA286" s="1132" t="n"/>
      <c r="FYB286" s="1132" t="n"/>
      <c r="FYC286" s="1132" t="n"/>
      <c r="FYD286" s="1132" t="n"/>
      <c r="FYE286" s="1132" t="n"/>
      <c r="FYF286" s="1132" t="n"/>
      <c r="FYG286" s="1132" t="n"/>
      <c r="FYH286" s="1132" t="n"/>
      <c r="FYI286" s="1132" t="n"/>
      <c r="FYJ286" s="1132" t="n"/>
      <c r="FYK286" s="1132" t="n"/>
      <c r="FYL286" s="1132" t="n"/>
      <c r="FYM286" s="1132" t="n"/>
      <c r="FYN286" s="1132" t="n"/>
      <c r="FYO286" s="1132" t="n"/>
      <c r="FYP286" s="1132" t="n"/>
      <c r="FYQ286" s="1132" t="n"/>
      <c r="FYR286" s="1132" t="n"/>
      <c r="FYS286" s="1132" t="n"/>
      <c r="FYT286" s="1132" t="n"/>
      <c r="FYU286" s="1132" t="n"/>
      <c r="FYV286" s="1132" t="n"/>
      <c r="FYW286" s="1132" t="n"/>
      <c r="FYX286" s="1132" t="n"/>
      <c r="FYY286" s="1132" t="n"/>
      <c r="FYZ286" s="1132" t="n"/>
      <c r="FZA286" s="1132" t="n"/>
      <c r="FZB286" s="1132" t="n"/>
      <c r="FZC286" s="1132" t="n"/>
      <c r="FZD286" s="1132" t="n"/>
      <c r="FZE286" s="1132" t="n"/>
      <c r="FZF286" s="1132" t="n"/>
      <c r="FZG286" s="1132" t="n"/>
      <c r="FZH286" s="1132" t="n"/>
      <c r="FZI286" s="1132" t="n"/>
      <c r="FZJ286" s="1132" t="n"/>
      <c r="FZK286" s="1132" t="n"/>
      <c r="FZL286" s="1132" t="n"/>
      <c r="FZM286" s="1132" t="n"/>
      <c r="FZN286" s="1132" t="n"/>
      <c r="FZO286" s="1132" t="n"/>
      <c r="FZP286" s="1132" t="n"/>
      <c r="FZQ286" s="1132" t="n"/>
      <c r="FZR286" s="1132" t="n"/>
      <c r="FZS286" s="1132" t="n"/>
      <c r="FZT286" s="1132" t="n"/>
      <c r="FZU286" s="1132" t="n"/>
      <c r="FZV286" s="1132" t="n"/>
      <c r="FZW286" s="1132" t="n"/>
      <c r="FZX286" s="1132" t="n"/>
      <c r="FZY286" s="1132" t="n"/>
      <c r="FZZ286" s="1132" t="n"/>
      <c r="GAA286" s="1132" t="n"/>
      <c r="GAB286" s="1132" t="n"/>
      <c r="GAC286" s="1132" t="n"/>
      <c r="GAD286" s="1132" t="n"/>
      <c r="GAE286" s="1132" t="n"/>
      <c r="GAF286" s="1132" t="n"/>
      <c r="GAG286" s="1132" t="n"/>
      <c r="GAH286" s="1132" t="n"/>
      <c r="GAI286" s="1132" t="n"/>
      <c r="GAJ286" s="1132" t="n"/>
      <c r="GAK286" s="1132" t="n"/>
      <c r="GAL286" s="1132" t="n"/>
      <c r="GAM286" s="1132" t="n"/>
      <c r="GAN286" s="1132" t="n"/>
      <c r="GAO286" s="1132" t="n"/>
      <c r="GAP286" s="1132" t="n"/>
      <c r="GAQ286" s="1132" t="n"/>
      <c r="GAR286" s="1132" t="n"/>
      <c r="GAS286" s="1132" t="n"/>
      <c r="GAT286" s="1132" t="n"/>
      <c r="GAU286" s="1132" t="n"/>
      <c r="GAV286" s="1132" t="n"/>
      <c r="GAW286" s="1132" t="n"/>
      <c r="GAX286" s="1132" t="n"/>
      <c r="GAY286" s="1132" t="n"/>
      <c r="GAZ286" s="1132" t="n"/>
      <c r="GBA286" s="1132" t="n"/>
      <c r="GBB286" s="1132" t="n"/>
      <c r="GBC286" s="1132" t="n"/>
      <c r="GBD286" s="1132" t="n"/>
      <c r="GBE286" s="1132" t="n"/>
      <c r="GBF286" s="1132" t="n"/>
      <c r="GBG286" s="1132" t="n"/>
      <c r="GBH286" s="1132" t="n"/>
      <c r="GBI286" s="1132" t="n"/>
      <c r="GBJ286" s="1132" t="n"/>
      <c r="GBK286" s="1132" t="n"/>
      <c r="GBL286" s="1132" t="n"/>
      <c r="GBM286" s="1132" t="n"/>
      <c r="GBN286" s="1132" t="n"/>
      <c r="GBO286" s="1132" t="n"/>
      <c r="GBP286" s="1132" t="n"/>
      <c r="GBQ286" s="1132" t="n"/>
      <c r="GBR286" s="1132" t="n"/>
      <c r="GBS286" s="1132" t="n"/>
      <c r="GBT286" s="1132" t="n"/>
      <c r="GBU286" s="1132" t="n"/>
      <c r="GBV286" s="1132" t="n"/>
      <c r="GBW286" s="1132" t="n"/>
      <c r="GBX286" s="1132" t="n"/>
      <c r="GBY286" s="1132" t="n"/>
      <c r="GBZ286" s="1132" t="n"/>
      <c r="GCA286" s="1132" t="n"/>
      <c r="GCB286" s="1132" t="n"/>
      <c r="GCC286" s="1132" t="n"/>
      <c r="GCD286" s="1132" t="n"/>
      <c r="GCE286" s="1132" t="n"/>
      <c r="GCF286" s="1132" t="n"/>
      <c r="GCG286" s="1132" t="n"/>
      <c r="GCH286" s="1132" t="n"/>
      <c r="GCI286" s="1132" t="n"/>
      <c r="GCJ286" s="1132" t="n"/>
      <c r="GCK286" s="1132" t="n"/>
      <c r="GCL286" s="1132" t="n"/>
      <c r="GCM286" s="1132" t="n"/>
      <c r="GCN286" s="1132" t="n"/>
      <c r="GCO286" s="1132" t="n"/>
      <c r="GCP286" s="1132" t="n"/>
      <c r="GCQ286" s="1132" t="n"/>
      <c r="GCR286" s="1132" t="n"/>
      <c r="GCS286" s="1132" t="n"/>
      <c r="GCT286" s="1132" t="n"/>
      <c r="GCU286" s="1132" t="n"/>
      <c r="GCV286" s="1132" t="n"/>
      <c r="GCW286" s="1132" t="n"/>
      <c r="GCX286" s="1132" t="n"/>
      <c r="GCY286" s="1132" t="n"/>
      <c r="GCZ286" s="1132" t="n"/>
      <c r="GDA286" s="1132" t="n"/>
      <c r="GDB286" s="1132" t="n"/>
      <c r="GDC286" s="1132" t="n"/>
      <c r="GDD286" s="1132" t="n"/>
      <c r="GDE286" s="1132" t="n"/>
      <c r="GDF286" s="1132" t="n"/>
      <c r="GDG286" s="1132" t="n"/>
      <c r="GDH286" s="1132" t="n"/>
      <c r="GDI286" s="1132" t="n"/>
      <c r="GDJ286" s="1132" t="n"/>
      <c r="GDK286" s="1132" t="n"/>
      <c r="GDL286" s="1132" t="n"/>
      <c r="GDM286" s="1132" t="n"/>
      <c r="GDN286" s="1132" t="n"/>
      <c r="GDO286" s="1132" t="n"/>
      <c r="GDP286" s="1132" t="n"/>
      <c r="GDQ286" s="1132" t="n"/>
      <c r="GDR286" s="1132" t="n"/>
      <c r="GDS286" s="1132" t="n"/>
      <c r="GDT286" s="1132" t="n"/>
      <c r="GDU286" s="1132" t="n"/>
      <c r="GDV286" s="1132" t="n"/>
      <c r="GDW286" s="1132" t="n"/>
      <c r="GDX286" s="1132" t="n"/>
      <c r="GDY286" s="1132" t="n"/>
      <c r="GDZ286" s="1132" t="n"/>
      <c r="GEA286" s="1132" t="n"/>
      <c r="GEB286" s="1132" t="n"/>
      <c r="GEC286" s="1132" t="n"/>
      <c r="GED286" s="1132" t="n"/>
      <c r="GEE286" s="1132" t="n"/>
      <c r="GEF286" s="1132" t="n"/>
      <c r="GEG286" s="1132" t="n"/>
      <c r="GEH286" s="1132" t="n"/>
      <c r="GEI286" s="1132" t="n"/>
      <c r="GEJ286" s="1132" t="n"/>
      <c r="GEK286" s="1132" t="n"/>
      <c r="GEL286" s="1132" t="n"/>
      <c r="GEM286" s="1132" t="n"/>
      <c r="GEN286" s="1132" t="n"/>
      <c r="GEO286" s="1132" t="n"/>
      <c r="GEP286" s="1132" t="n"/>
      <c r="GEQ286" s="1132" t="n"/>
      <c r="GER286" s="1132" t="n"/>
      <c r="GES286" s="1132" t="n"/>
      <c r="GET286" s="1132" t="n"/>
      <c r="GEU286" s="1132" t="n"/>
      <c r="GEV286" s="1132" t="n"/>
      <c r="GEW286" s="1132" t="n"/>
      <c r="GEX286" s="1132" t="n"/>
      <c r="GEY286" s="1132" t="n"/>
      <c r="GEZ286" s="1132" t="n"/>
      <c r="GFA286" s="1132" t="n"/>
      <c r="GFB286" s="1132" t="n"/>
      <c r="GFC286" s="1132" t="n"/>
      <c r="GFD286" s="1132" t="n"/>
      <c r="GFE286" s="1132" t="n"/>
      <c r="GFF286" s="1132" t="n"/>
      <c r="GFG286" s="1132" t="n"/>
      <c r="GFH286" s="1132" t="n"/>
      <c r="GFI286" s="1132" t="n"/>
      <c r="GFJ286" s="1132" t="n"/>
      <c r="GFK286" s="1132" t="n"/>
      <c r="GFL286" s="1132" t="n"/>
      <c r="GFM286" s="1132" t="n"/>
      <c r="GFN286" s="1132" t="n"/>
      <c r="GFO286" s="1132" t="n"/>
      <c r="GFP286" s="1132" t="n"/>
      <c r="GFQ286" s="1132" t="n"/>
      <c r="GFR286" s="1132" t="n"/>
      <c r="GFS286" s="1132" t="n"/>
      <c r="GFT286" s="1132" t="n"/>
      <c r="GFU286" s="1132" t="n"/>
      <c r="GFV286" s="1132" t="n"/>
      <c r="GFW286" s="1132" t="n"/>
      <c r="GFX286" s="1132" t="n"/>
      <c r="GFY286" s="1132" t="n"/>
      <c r="GFZ286" s="1132" t="n"/>
      <c r="GGA286" s="1132" t="n"/>
      <c r="GGB286" s="1132" t="n"/>
      <c r="GGC286" s="1132" t="n"/>
      <c r="GGD286" s="1132" t="n"/>
      <c r="GGE286" s="1132" t="n"/>
      <c r="GGF286" s="1132" t="n"/>
      <c r="GGG286" s="1132" t="n"/>
      <c r="GGH286" s="1132" t="n"/>
      <c r="GGI286" s="1132" t="n"/>
      <c r="GGJ286" s="1132" t="n"/>
      <c r="GGK286" s="1132" t="n"/>
      <c r="GGL286" s="1132" t="n"/>
      <c r="GGM286" s="1132" t="n"/>
      <c r="GGN286" s="1132" t="n"/>
      <c r="GGO286" s="1132" t="n"/>
      <c r="GGP286" s="1132" t="n"/>
      <c r="GGQ286" s="1132" t="n"/>
      <c r="GGR286" s="1132" t="n"/>
      <c r="GGS286" s="1132" t="n"/>
      <c r="GGT286" s="1132" t="n"/>
      <c r="GGU286" s="1132" t="n"/>
      <c r="GGV286" s="1132" t="n"/>
      <c r="GGW286" s="1132" t="n"/>
      <c r="GGX286" s="1132" t="n"/>
      <c r="GGY286" s="1132" t="n"/>
      <c r="GGZ286" s="1132" t="n"/>
      <c r="GHA286" s="1132" t="n"/>
      <c r="GHB286" s="1132" t="n"/>
      <c r="GHC286" s="1132" t="n"/>
      <c r="GHD286" s="1132" t="n"/>
      <c r="GHE286" s="1132" t="n"/>
      <c r="GHF286" s="1132" t="n"/>
      <c r="GHG286" s="1132" t="n"/>
      <c r="GHH286" s="1132" t="n"/>
      <c r="GHI286" s="1132" t="n"/>
      <c r="GHJ286" s="1132" t="n"/>
      <c r="GHK286" s="1132" t="n"/>
      <c r="GHL286" s="1132" t="n"/>
      <c r="GHM286" s="1132" t="n"/>
      <c r="GHN286" s="1132" t="n"/>
      <c r="GHO286" s="1132" t="n"/>
      <c r="GHP286" s="1132" t="n"/>
      <c r="GHQ286" s="1132" t="n"/>
      <c r="GHR286" s="1132" t="n"/>
      <c r="GHS286" s="1132" t="n"/>
      <c r="GHT286" s="1132" t="n"/>
      <c r="GHU286" s="1132" t="n"/>
      <c r="GHV286" s="1132" t="n"/>
      <c r="GHW286" s="1132" t="n"/>
      <c r="GHX286" s="1132" t="n"/>
      <c r="GHY286" s="1132" t="n"/>
      <c r="GHZ286" s="1132" t="n"/>
      <c r="GIA286" s="1132" t="n"/>
      <c r="GIB286" s="1132" t="n"/>
      <c r="GIC286" s="1132" t="n"/>
      <c r="GID286" s="1132" t="n"/>
      <c r="GIE286" s="1132" t="n"/>
      <c r="GIF286" s="1132" t="n"/>
      <c r="GIG286" s="1132" t="n"/>
      <c r="GIH286" s="1132" t="n"/>
      <c r="GII286" s="1132" t="n"/>
      <c r="GIJ286" s="1132" t="n"/>
      <c r="GIK286" s="1132" t="n"/>
      <c r="GIL286" s="1132" t="n"/>
      <c r="GIM286" s="1132" t="n"/>
      <c r="GIN286" s="1132" t="n"/>
      <c r="GIO286" s="1132" t="n"/>
      <c r="GIP286" s="1132" t="n"/>
      <c r="GIQ286" s="1132" t="n"/>
      <c r="GIR286" s="1132" t="n"/>
      <c r="GIS286" s="1132" t="n"/>
      <c r="GIT286" s="1132" t="n"/>
      <c r="GIU286" s="1132" t="n"/>
      <c r="GIV286" s="1132" t="n"/>
      <c r="GIW286" s="1132" t="n"/>
      <c r="GIX286" s="1132" t="n"/>
      <c r="GIY286" s="1132" t="n"/>
      <c r="GIZ286" s="1132" t="n"/>
      <c r="GJA286" s="1132" t="n"/>
      <c r="GJB286" s="1132" t="n"/>
      <c r="GJC286" s="1132" t="n"/>
      <c r="GJD286" s="1132" t="n"/>
      <c r="GJE286" s="1132" t="n"/>
      <c r="GJF286" s="1132" t="n"/>
      <c r="GJG286" s="1132" t="n"/>
      <c r="GJH286" s="1132" t="n"/>
      <c r="GJI286" s="1132" t="n"/>
      <c r="GJJ286" s="1132" t="n"/>
      <c r="GJK286" s="1132" t="n"/>
      <c r="GJL286" s="1132" t="n"/>
      <c r="GJM286" s="1132" t="n"/>
      <c r="GJN286" s="1132" t="n"/>
      <c r="GJO286" s="1132" t="n"/>
      <c r="GJP286" s="1132" t="n"/>
      <c r="GJQ286" s="1132" t="n"/>
      <c r="GJR286" s="1132" t="n"/>
      <c r="GJS286" s="1132" t="n"/>
      <c r="GJT286" s="1132" t="n"/>
      <c r="GJU286" s="1132" t="n"/>
      <c r="GJV286" s="1132" t="n"/>
      <c r="GJW286" s="1132" t="n"/>
      <c r="GJX286" s="1132" t="n"/>
      <c r="GJY286" s="1132" t="n"/>
      <c r="GJZ286" s="1132" t="n"/>
      <c r="GKA286" s="1132" t="n"/>
      <c r="GKB286" s="1132" t="n"/>
      <c r="GKC286" s="1132" t="n"/>
      <c r="GKD286" s="1132" t="n"/>
      <c r="GKE286" s="1132" t="n"/>
      <c r="GKF286" s="1132" t="n"/>
      <c r="GKG286" s="1132" t="n"/>
      <c r="GKH286" s="1132" t="n"/>
      <c r="GKI286" s="1132" t="n"/>
      <c r="GKJ286" s="1132" t="n"/>
      <c r="GKK286" s="1132" t="n"/>
      <c r="GKL286" s="1132" t="n"/>
      <c r="GKM286" s="1132" t="n"/>
      <c r="GKN286" s="1132" t="n"/>
      <c r="GKO286" s="1132" t="n"/>
      <c r="GKP286" s="1132" t="n"/>
      <c r="GKQ286" s="1132" t="n"/>
      <c r="GKR286" s="1132" t="n"/>
      <c r="GKS286" s="1132" t="n"/>
      <c r="GKT286" s="1132" t="n"/>
      <c r="GKU286" s="1132" t="n"/>
      <c r="GKV286" s="1132" t="n"/>
      <c r="GKW286" s="1132" t="n"/>
      <c r="GKX286" s="1132" t="n"/>
      <c r="GKY286" s="1132" t="n"/>
      <c r="GKZ286" s="1132" t="n"/>
      <c r="GLA286" s="1132" t="n"/>
      <c r="GLB286" s="1132" t="n"/>
      <c r="GLC286" s="1132" t="n"/>
      <c r="GLD286" s="1132" t="n"/>
      <c r="GLE286" s="1132" t="n"/>
      <c r="GLF286" s="1132" t="n"/>
      <c r="GLG286" s="1132" t="n"/>
      <c r="GLH286" s="1132" t="n"/>
      <c r="GLI286" s="1132" t="n"/>
      <c r="GLJ286" s="1132" t="n"/>
      <c r="GLK286" s="1132" t="n"/>
      <c r="GLL286" s="1132" t="n"/>
      <c r="GLM286" s="1132" t="n"/>
      <c r="GLN286" s="1132" t="n"/>
      <c r="GLO286" s="1132" t="n"/>
      <c r="GLP286" s="1132" t="n"/>
      <c r="GLQ286" s="1132" t="n"/>
      <c r="GLR286" s="1132" t="n"/>
      <c r="GLS286" s="1132" t="n"/>
      <c r="GLT286" s="1132" t="n"/>
      <c r="GLU286" s="1132" t="n"/>
      <c r="GLV286" s="1132" t="n"/>
      <c r="GLW286" s="1132" t="n"/>
      <c r="GLX286" s="1132" t="n"/>
      <c r="GLY286" s="1132" t="n"/>
      <c r="GLZ286" s="1132" t="n"/>
      <c r="GMA286" s="1132" t="n"/>
      <c r="GMB286" s="1132" t="n"/>
      <c r="GMC286" s="1132" t="n"/>
      <c r="GMD286" s="1132" t="n"/>
      <c r="GME286" s="1132" t="n"/>
      <c r="GMF286" s="1132" t="n"/>
      <c r="GMG286" s="1132" t="n"/>
      <c r="GMH286" s="1132" t="n"/>
      <c r="GMI286" s="1132" t="n"/>
      <c r="GMJ286" s="1132" t="n"/>
      <c r="GMK286" s="1132" t="n"/>
      <c r="GML286" s="1132" t="n"/>
      <c r="GMM286" s="1132" t="n"/>
      <c r="GMN286" s="1132" t="n"/>
      <c r="GMO286" s="1132" t="n"/>
      <c r="GMP286" s="1132" t="n"/>
      <c r="GMQ286" s="1132" t="n"/>
      <c r="GMR286" s="1132" t="n"/>
      <c r="GMS286" s="1132" t="n"/>
      <c r="GMT286" s="1132" t="n"/>
      <c r="GMU286" s="1132" t="n"/>
      <c r="GMV286" s="1132" t="n"/>
      <c r="GMW286" s="1132" t="n"/>
      <c r="GMX286" s="1132" t="n"/>
      <c r="GMY286" s="1132" t="n"/>
      <c r="GMZ286" s="1132" t="n"/>
      <c r="GNA286" s="1132" t="n"/>
      <c r="GNB286" s="1132" t="n"/>
      <c r="GNC286" s="1132" t="n"/>
      <c r="GND286" s="1132" t="n"/>
      <c r="GNE286" s="1132" t="n"/>
      <c r="GNF286" s="1132" t="n"/>
      <c r="GNG286" s="1132" t="n"/>
      <c r="GNH286" s="1132" t="n"/>
      <c r="GNI286" s="1132" t="n"/>
      <c r="GNJ286" s="1132" t="n"/>
      <c r="GNK286" s="1132" t="n"/>
      <c r="GNL286" s="1132" t="n"/>
      <c r="GNM286" s="1132" t="n"/>
      <c r="GNN286" s="1132" t="n"/>
      <c r="GNO286" s="1132" t="n"/>
      <c r="GNP286" s="1132" t="n"/>
      <c r="GNQ286" s="1132" t="n"/>
      <c r="GNR286" s="1132" t="n"/>
      <c r="GNS286" s="1132" t="n"/>
      <c r="GNT286" s="1132" t="n"/>
      <c r="GNU286" s="1132" t="n"/>
      <c r="GNV286" s="1132" t="n"/>
      <c r="GNW286" s="1132" t="n"/>
      <c r="GNX286" s="1132" t="n"/>
      <c r="GNY286" s="1132" t="n"/>
      <c r="GNZ286" s="1132" t="n"/>
      <c r="GOA286" s="1132" t="n"/>
      <c r="GOB286" s="1132" t="n"/>
      <c r="GOC286" s="1132" t="n"/>
      <c r="GOD286" s="1132" t="n"/>
      <c r="GOE286" s="1132" t="n"/>
      <c r="GOF286" s="1132" t="n"/>
      <c r="GOG286" s="1132" t="n"/>
      <c r="GOH286" s="1132" t="n"/>
      <c r="GOI286" s="1132" t="n"/>
      <c r="GOJ286" s="1132" t="n"/>
      <c r="GOK286" s="1132" t="n"/>
      <c r="GOL286" s="1132" t="n"/>
      <c r="GOM286" s="1132" t="n"/>
      <c r="GON286" s="1132" t="n"/>
      <c r="GOO286" s="1132" t="n"/>
      <c r="GOP286" s="1132" t="n"/>
      <c r="GOQ286" s="1132" t="n"/>
      <c r="GOR286" s="1132" t="n"/>
      <c r="GOS286" s="1132" t="n"/>
      <c r="GOT286" s="1132" t="n"/>
      <c r="GOU286" s="1132" t="n"/>
      <c r="GOV286" s="1132" t="n"/>
      <c r="GOW286" s="1132" t="n"/>
      <c r="GOX286" s="1132" t="n"/>
      <c r="GOY286" s="1132" t="n"/>
      <c r="GOZ286" s="1132" t="n"/>
      <c r="GPA286" s="1132" t="n"/>
      <c r="GPB286" s="1132" t="n"/>
      <c r="GPC286" s="1132" t="n"/>
      <c r="GPD286" s="1132" t="n"/>
      <c r="GPE286" s="1132" t="n"/>
      <c r="GPF286" s="1132" t="n"/>
      <c r="GPG286" s="1132" t="n"/>
      <c r="GPH286" s="1132" t="n"/>
      <c r="GPI286" s="1132" t="n"/>
      <c r="GPJ286" s="1132" t="n"/>
      <c r="GPK286" s="1132" t="n"/>
      <c r="GPL286" s="1132" t="n"/>
      <c r="GPM286" s="1132" t="n"/>
      <c r="GPN286" s="1132" t="n"/>
      <c r="GPO286" s="1132" t="n"/>
      <c r="GPP286" s="1132" t="n"/>
      <c r="GPQ286" s="1132" t="n"/>
      <c r="GPR286" s="1132" t="n"/>
      <c r="GPS286" s="1132" t="n"/>
      <c r="GPT286" s="1132" t="n"/>
      <c r="GPU286" s="1132" t="n"/>
      <c r="GPV286" s="1132" t="n"/>
      <c r="GPW286" s="1132" t="n"/>
      <c r="GPX286" s="1132" t="n"/>
      <c r="GPY286" s="1132" t="n"/>
      <c r="GPZ286" s="1132" t="n"/>
      <c r="GQA286" s="1132" t="n"/>
      <c r="GQB286" s="1132" t="n"/>
      <c r="GQC286" s="1132" t="n"/>
      <c r="GQD286" s="1132" t="n"/>
      <c r="GQE286" s="1132" t="n"/>
      <c r="GQF286" s="1132" t="n"/>
      <c r="GQG286" s="1132" t="n"/>
      <c r="GQH286" s="1132" t="n"/>
      <c r="GQI286" s="1132" t="n"/>
      <c r="GQJ286" s="1132" t="n"/>
      <c r="GQK286" s="1132" t="n"/>
      <c r="GQL286" s="1132" t="n"/>
      <c r="GQM286" s="1132" t="n"/>
      <c r="GQN286" s="1132" t="n"/>
      <c r="GQO286" s="1132" t="n"/>
      <c r="GQP286" s="1132" t="n"/>
      <c r="GQQ286" s="1132" t="n"/>
      <c r="GQR286" s="1132" t="n"/>
      <c r="GQS286" s="1132" t="n"/>
      <c r="GQT286" s="1132" t="n"/>
      <c r="GQU286" s="1132" t="n"/>
      <c r="GQV286" s="1132" t="n"/>
      <c r="GQW286" s="1132" t="n"/>
      <c r="GQX286" s="1132" t="n"/>
      <c r="GQY286" s="1132" t="n"/>
      <c r="GQZ286" s="1132" t="n"/>
      <c r="GRA286" s="1132" t="n"/>
      <c r="GRB286" s="1132" t="n"/>
      <c r="GRC286" s="1132" t="n"/>
      <c r="GRD286" s="1132" t="n"/>
      <c r="GRE286" s="1132" t="n"/>
      <c r="GRF286" s="1132" t="n"/>
      <c r="GRG286" s="1132" t="n"/>
      <c r="GRH286" s="1132" t="n"/>
      <c r="GRI286" s="1132" t="n"/>
      <c r="GRJ286" s="1132" t="n"/>
      <c r="GRK286" s="1132" t="n"/>
      <c r="GRL286" s="1132" t="n"/>
      <c r="GRM286" s="1132" t="n"/>
      <c r="GRN286" s="1132" t="n"/>
      <c r="GRO286" s="1132" t="n"/>
      <c r="GRP286" s="1132" t="n"/>
      <c r="GRQ286" s="1132" t="n"/>
      <c r="GRR286" s="1132" t="n"/>
      <c r="GRS286" s="1132" t="n"/>
      <c r="GRT286" s="1132" t="n"/>
      <c r="GRU286" s="1132" t="n"/>
      <c r="GRV286" s="1132" t="n"/>
      <c r="GRW286" s="1132" t="n"/>
      <c r="GRX286" s="1132" t="n"/>
      <c r="GRY286" s="1132" t="n"/>
      <c r="GRZ286" s="1132" t="n"/>
      <c r="GSA286" s="1132" t="n"/>
      <c r="GSB286" s="1132" t="n"/>
      <c r="GSC286" s="1132" t="n"/>
      <c r="GSD286" s="1132" t="n"/>
      <c r="GSE286" s="1132" t="n"/>
      <c r="GSF286" s="1132" t="n"/>
      <c r="GSG286" s="1132" t="n"/>
      <c r="GSH286" s="1132" t="n"/>
      <c r="GSI286" s="1132" t="n"/>
      <c r="GSJ286" s="1132" t="n"/>
      <c r="GSK286" s="1132" t="n"/>
      <c r="GSL286" s="1132" t="n"/>
      <c r="GSM286" s="1132" t="n"/>
      <c r="GSN286" s="1132" t="n"/>
      <c r="GSO286" s="1132" t="n"/>
      <c r="GSP286" s="1132" t="n"/>
      <c r="GSQ286" s="1132" t="n"/>
      <c r="GSR286" s="1132" t="n"/>
      <c r="GSS286" s="1132" t="n"/>
      <c r="GST286" s="1132" t="n"/>
      <c r="GSU286" s="1132" t="n"/>
      <c r="GSV286" s="1132" t="n"/>
      <c r="GSW286" s="1132" t="n"/>
      <c r="GSX286" s="1132" t="n"/>
      <c r="GSY286" s="1132" t="n"/>
      <c r="GSZ286" s="1132" t="n"/>
      <c r="GTA286" s="1132" t="n"/>
      <c r="GTB286" s="1132" t="n"/>
      <c r="GTC286" s="1132" t="n"/>
      <c r="GTD286" s="1132" t="n"/>
      <c r="GTE286" s="1132" t="n"/>
      <c r="GTF286" s="1132" t="n"/>
      <c r="GTG286" s="1132" t="n"/>
      <c r="GTH286" s="1132" t="n"/>
      <c r="GTI286" s="1132" t="n"/>
      <c r="GTJ286" s="1132" t="n"/>
      <c r="GTK286" s="1132" t="n"/>
      <c r="GTL286" s="1132" t="n"/>
      <c r="GTM286" s="1132" t="n"/>
      <c r="GTN286" s="1132" t="n"/>
      <c r="GTO286" s="1132" t="n"/>
      <c r="GTP286" s="1132" t="n"/>
      <c r="GTQ286" s="1132" t="n"/>
      <c r="GTR286" s="1132" t="n"/>
      <c r="GTS286" s="1132" t="n"/>
      <c r="GTT286" s="1132" t="n"/>
      <c r="GTU286" s="1132" t="n"/>
      <c r="GTV286" s="1132" t="n"/>
      <c r="GTW286" s="1132" t="n"/>
      <c r="GTX286" s="1132" t="n"/>
      <c r="GTY286" s="1132" t="n"/>
      <c r="GTZ286" s="1132" t="n"/>
      <c r="GUA286" s="1132" t="n"/>
      <c r="GUB286" s="1132" t="n"/>
      <c r="GUC286" s="1132" t="n"/>
      <c r="GUD286" s="1132" t="n"/>
      <c r="GUE286" s="1132" t="n"/>
      <c r="GUF286" s="1132" t="n"/>
      <c r="GUG286" s="1132" t="n"/>
      <c r="GUH286" s="1132" t="n"/>
      <c r="GUI286" s="1132" t="n"/>
      <c r="GUJ286" s="1132" t="n"/>
      <c r="GUK286" s="1132" t="n"/>
      <c r="GUL286" s="1132" t="n"/>
      <c r="GUM286" s="1132" t="n"/>
      <c r="GUN286" s="1132" t="n"/>
      <c r="GUO286" s="1132" t="n"/>
      <c r="GUP286" s="1132" t="n"/>
      <c r="GUQ286" s="1132" t="n"/>
      <c r="GUR286" s="1132" t="n"/>
      <c r="GUS286" s="1132" t="n"/>
      <c r="GUT286" s="1132" t="n"/>
      <c r="GUU286" s="1132" t="n"/>
      <c r="GUV286" s="1132" t="n"/>
      <c r="GUW286" s="1132" t="n"/>
      <c r="GUX286" s="1132" t="n"/>
      <c r="GUY286" s="1132" t="n"/>
      <c r="GUZ286" s="1132" t="n"/>
      <c r="GVA286" s="1132" t="n"/>
      <c r="GVB286" s="1132" t="n"/>
      <c r="GVC286" s="1132" t="n"/>
      <c r="GVD286" s="1132" t="n"/>
      <c r="GVE286" s="1132" t="n"/>
      <c r="GVF286" s="1132" t="n"/>
      <c r="GVG286" s="1132" t="n"/>
      <c r="GVH286" s="1132" t="n"/>
      <c r="GVI286" s="1132" t="n"/>
      <c r="GVJ286" s="1132" t="n"/>
      <c r="GVK286" s="1132" t="n"/>
      <c r="GVL286" s="1132" t="n"/>
      <c r="GVM286" s="1132" t="n"/>
      <c r="GVN286" s="1132" t="n"/>
      <c r="GVO286" s="1132" t="n"/>
      <c r="GVP286" s="1132" t="n"/>
      <c r="GVQ286" s="1132" t="n"/>
      <c r="GVR286" s="1132" t="n"/>
      <c r="GVS286" s="1132" t="n"/>
      <c r="GVT286" s="1132" t="n"/>
      <c r="GVU286" s="1132" t="n"/>
      <c r="GVV286" s="1132" t="n"/>
      <c r="GVW286" s="1132" t="n"/>
      <c r="GVX286" s="1132" t="n"/>
      <c r="GVY286" s="1132" t="n"/>
      <c r="GVZ286" s="1132" t="n"/>
      <c r="GWA286" s="1132" t="n"/>
      <c r="GWB286" s="1132" t="n"/>
      <c r="GWC286" s="1132" t="n"/>
      <c r="GWD286" s="1132" t="n"/>
      <c r="GWE286" s="1132" t="n"/>
      <c r="GWF286" s="1132" t="n"/>
      <c r="GWG286" s="1132" t="n"/>
      <c r="GWH286" s="1132" t="n"/>
      <c r="GWI286" s="1132" t="n"/>
      <c r="GWJ286" s="1132" t="n"/>
      <c r="GWK286" s="1132" t="n"/>
      <c r="GWL286" s="1132" t="n"/>
      <c r="GWM286" s="1132" t="n"/>
      <c r="GWN286" s="1132" t="n"/>
      <c r="GWO286" s="1132" t="n"/>
      <c r="GWP286" s="1132" t="n"/>
      <c r="GWQ286" s="1132" t="n"/>
      <c r="GWR286" s="1132" t="n"/>
      <c r="GWS286" s="1132" t="n"/>
      <c r="GWT286" s="1132" t="n"/>
      <c r="GWU286" s="1132" t="n"/>
      <c r="GWV286" s="1132" t="n"/>
      <c r="GWW286" s="1132" t="n"/>
      <c r="GWX286" s="1132" t="n"/>
      <c r="GWY286" s="1132" t="n"/>
      <c r="GWZ286" s="1132" t="n"/>
      <c r="GXA286" s="1132" t="n"/>
      <c r="GXB286" s="1132" t="n"/>
      <c r="GXC286" s="1132" t="n"/>
      <c r="GXD286" s="1132" t="n"/>
      <c r="GXE286" s="1132" t="n"/>
      <c r="GXF286" s="1132" t="n"/>
      <c r="GXG286" s="1132" t="n"/>
      <c r="GXH286" s="1132" t="n"/>
      <c r="GXI286" s="1132" t="n"/>
      <c r="GXJ286" s="1132" t="n"/>
      <c r="GXK286" s="1132" t="n"/>
      <c r="GXL286" s="1132" t="n"/>
      <c r="GXM286" s="1132" t="n"/>
      <c r="GXN286" s="1132" t="n"/>
      <c r="GXO286" s="1132" t="n"/>
      <c r="GXP286" s="1132" t="n"/>
      <c r="GXQ286" s="1132" t="n"/>
      <c r="GXR286" s="1132" t="n"/>
      <c r="GXS286" s="1132" t="n"/>
      <c r="GXT286" s="1132" t="n"/>
      <c r="GXU286" s="1132" t="n"/>
      <c r="GXV286" s="1132" t="n"/>
      <c r="GXW286" s="1132" t="n"/>
      <c r="GXX286" s="1132" t="n"/>
      <c r="GXY286" s="1132" t="n"/>
      <c r="GXZ286" s="1132" t="n"/>
      <c r="GYA286" s="1132" t="n"/>
      <c r="GYB286" s="1132" t="n"/>
      <c r="GYC286" s="1132" t="n"/>
      <c r="GYD286" s="1132" t="n"/>
      <c r="GYE286" s="1132" t="n"/>
      <c r="GYF286" s="1132" t="n"/>
      <c r="GYG286" s="1132" t="n"/>
      <c r="GYH286" s="1132" t="n"/>
      <c r="GYI286" s="1132" t="n"/>
      <c r="GYJ286" s="1132" t="n"/>
      <c r="GYK286" s="1132" t="n"/>
      <c r="GYL286" s="1132" t="n"/>
      <c r="GYM286" s="1132" t="n"/>
      <c r="GYN286" s="1132" t="n"/>
      <c r="GYO286" s="1132" t="n"/>
      <c r="GYP286" s="1132" t="n"/>
      <c r="GYQ286" s="1132" t="n"/>
      <c r="GYR286" s="1132" t="n"/>
      <c r="GYS286" s="1132" t="n"/>
      <c r="GYT286" s="1132" t="n"/>
      <c r="GYU286" s="1132" t="n"/>
      <c r="GYV286" s="1132" t="n"/>
      <c r="GYW286" s="1132" t="n"/>
      <c r="GYX286" s="1132" t="n"/>
      <c r="GYY286" s="1132" t="n"/>
      <c r="GYZ286" s="1132" t="n"/>
      <c r="GZA286" s="1132" t="n"/>
      <c r="GZB286" s="1132" t="n"/>
      <c r="GZC286" s="1132" t="n"/>
      <c r="GZD286" s="1132" t="n"/>
      <c r="GZE286" s="1132" t="n"/>
      <c r="GZF286" s="1132" t="n"/>
      <c r="GZG286" s="1132" t="n"/>
      <c r="GZH286" s="1132" t="n"/>
      <c r="GZI286" s="1132" t="n"/>
      <c r="GZJ286" s="1132" t="n"/>
      <c r="GZK286" s="1132" t="n"/>
      <c r="GZL286" s="1132" t="n"/>
      <c r="GZM286" s="1132" t="n"/>
      <c r="GZN286" s="1132" t="n"/>
      <c r="GZO286" s="1132" t="n"/>
      <c r="GZP286" s="1132" t="n"/>
      <c r="GZQ286" s="1132" t="n"/>
      <c r="GZR286" s="1132" t="n"/>
      <c r="GZS286" s="1132" t="n"/>
      <c r="GZT286" s="1132" t="n"/>
      <c r="GZU286" s="1132" t="n"/>
      <c r="GZV286" s="1132" t="n"/>
      <c r="GZW286" s="1132" t="n"/>
      <c r="GZX286" s="1132" t="n"/>
      <c r="GZY286" s="1132" t="n"/>
      <c r="GZZ286" s="1132" t="n"/>
      <c r="HAA286" s="1132" t="n"/>
      <c r="HAB286" s="1132" t="n"/>
      <c r="HAC286" s="1132" t="n"/>
      <c r="HAD286" s="1132" t="n"/>
      <c r="HAE286" s="1132" t="n"/>
      <c r="HAF286" s="1132" t="n"/>
      <c r="HAG286" s="1132" t="n"/>
      <c r="HAH286" s="1132" t="n"/>
      <c r="HAI286" s="1132" t="n"/>
      <c r="HAJ286" s="1132" t="n"/>
      <c r="HAK286" s="1132" t="n"/>
      <c r="HAL286" s="1132" t="n"/>
      <c r="HAM286" s="1132" t="n"/>
      <c r="HAN286" s="1132" t="n"/>
      <c r="HAO286" s="1132" t="n"/>
      <c r="HAP286" s="1132" t="n"/>
      <c r="HAQ286" s="1132" t="n"/>
      <c r="HAR286" s="1132" t="n"/>
      <c r="HAS286" s="1132" t="n"/>
      <c r="HAT286" s="1132" t="n"/>
      <c r="HAU286" s="1132" t="n"/>
      <c r="HAV286" s="1132" t="n"/>
      <c r="HAW286" s="1132" t="n"/>
      <c r="HAX286" s="1132" t="n"/>
      <c r="HAY286" s="1132" t="n"/>
      <c r="HAZ286" s="1132" t="n"/>
      <c r="HBA286" s="1132" t="n"/>
      <c r="HBB286" s="1132" t="n"/>
      <c r="HBC286" s="1132" t="n"/>
      <c r="HBD286" s="1132" t="n"/>
      <c r="HBE286" s="1132" t="n"/>
      <c r="HBF286" s="1132" t="n"/>
      <c r="HBG286" s="1132" t="n"/>
      <c r="HBH286" s="1132" t="n"/>
      <c r="HBI286" s="1132" t="n"/>
      <c r="HBJ286" s="1132" t="n"/>
      <c r="HBK286" s="1132" t="n"/>
      <c r="HBL286" s="1132" t="n"/>
      <c r="HBM286" s="1132" t="n"/>
      <c r="HBN286" s="1132" t="n"/>
      <c r="HBO286" s="1132" t="n"/>
      <c r="HBP286" s="1132" t="n"/>
      <c r="HBQ286" s="1132" t="n"/>
      <c r="HBR286" s="1132" t="n"/>
      <c r="HBS286" s="1132" t="n"/>
      <c r="HBT286" s="1132" t="n"/>
      <c r="HBU286" s="1132" t="n"/>
      <c r="HBV286" s="1132" t="n"/>
      <c r="HBW286" s="1132" t="n"/>
      <c r="HBX286" s="1132" t="n"/>
      <c r="HBY286" s="1132" t="n"/>
      <c r="HBZ286" s="1132" t="n"/>
      <c r="HCA286" s="1132" t="n"/>
      <c r="HCB286" s="1132" t="n"/>
      <c r="HCC286" s="1132" t="n"/>
      <c r="HCD286" s="1132" t="n"/>
      <c r="HCE286" s="1132" t="n"/>
      <c r="HCF286" s="1132" t="n"/>
      <c r="HCG286" s="1132" t="n"/>
      <c r="HCH286" s="1132" t="n"/>
      <c r="HCI286" s="1132" t="n"/>
      <c r="HCJ286" s="1132" t="n"/>
      <c r="HCK286" s="1132" t="n"/>
      <c r="HCL286" s="1132" t="n"/>
      <c r="HCM286" s="1132" t="n"/>
      <c r="HCN286" s="1132" t="n"/>
      <c r="HCO286" s="1132" t="n"/>
      <c r="HCP286" s="1132" t="n"/>
      <c r="HCQ286" s="1132" t="n"/>
      <c r="HCR286" s="1132" t="n"/>
      <c r="HCS286" s="1132" t="n"/>
      <c r="HCT286" s="1132" t="n"/>
      <c r="HCU286" s="1132" t="n"/>
      <c r="HCV286" s="1132" t="n"/>
      <c r="HCW286" s="1132" t="n"/>
      <c r="HCX286" s="1132" t="n"/>
      <c r="HCY286" s="1132" t="n"/>
      <c r="HCZ286" s="1132" t="n"/>
      <c r="HDA286" s="1132" t="n"/>
      <c r="HDB286" s="1132" t="n"/>
      <c r="HDC286" s="1132" t="n"/>
      <c r="HDD286" s="1132" t="n"/>
      <c r="HDE286" s="1132" t="n"/>
      <c r="HDF286" s="1132" t="n"/>
      <c r="HDG286" s="1132" t="n"/>
      <c r="HDH286" s="1132" t="n"/>
      <c r="HDI286" s="1132" t="n"/>
      <c r="HDJ286" s="1132" t="n"/>
      <c r="HDK286" s="1132" t="n"/>
      <c r="HDL286" s="1132" t="n"/>
      <c r="HDM286" s="1132" t="n"/>
      <c r="HDN286" s="1132" t="n"/>
      <c r="HDO286" s="1132" t="n"/>
      <c r="HDP286" s="1132" t="n"/>
      <c r="HDQ286" s="1132" t="n"/>
      <c r="HDR286" s="1132" t="n"/>
      <c r="HDS286" s="1132" t="n"/>
      <c r="HDT286" s="1132" t="n"/>
      <c r="HDU286" s="1132" t="n"/>
      <c r="HDV286" s="1132" t="n"/>
      <c r="HDW286" s="1132" t="n"/>
      <c r="HDX286" s="1132" t="n"/>
      <c r="HDY286" s="1132" t="n"/>
      <c r="HDZ286" s="1132" t="n"/>
      <c r="HEA286" s="1132" t="n"/>
      <c r="HEB286" s="1132" t="n"/>
      <c r="HEC286" s="1132" t="n"/>
      <c r="HED286" s="1132" t="n"/>
      <c r="HEE286" s="1132" t="n"/>
      <c r="HEF286" s="1132" t="n"/>
      <c r="HEG286" s="1132" t="n"/>
      <c r="HEH286" s="1132" t="n"/>
      <c r="HEI286" s="1132" t="n"/>
      <c r="HEJ286" s="1132" t="n"/>
      <c r="HEK286" s="1132" t="n"/>
      <c r="HEL286" s="1132" t="n"/>
      <c r="HEM286" s="1132" t="n"/>
      <c r="HEN286" s="1132" t="n"/>
      <c r="HEO286" s="1132" t="n"/>
      <c r="HEP286" s="1132" t="n"/>
      <c r="HEQ286" s="1132" t="n"/>
      <c r="HER286" s="1132" t="n"/>
      <c r="HES286" s="1132" t="n"/>
      <c r="HET286" s="1132" t="n"/>
      <c r="HEU286" s="1132" t="n"/>
      <c r="HEV286" s="1132" t="n"/>
      <c r="HEW286" s="1132" t="n"/>
      <c r="HEX286" s="1132" t="n"/>
      <c r="HEY286" s="1132" t="n"/>
      <c r="HEZ286" s="1132" t="n"/>
      <c r="HFA286" s="1132" t="n"/>
      <c r="HFB286" s="1132" t="n"/>
      <c r="HFC286" s="1132" t="n"/>
      <c r="HFD286" s="1132" t="n"/>
      <c r="HFE286" s="1132" t="n"/>
      <c r="HFF286" s="1132" t="n"/>
      <c r="HFG286" s="1132" t="n"/>
      <c r="HFH286" s="1132" t="n"/>
      <c r="HFI286" s="1132" t="n"/>
      <c r="HFJ286" s="1132" t="n"/>
      <c r="HFK286" s="1132" t="n"/>
      <c r="HFL286" s="1132" t="n"/>
      <c r="HFM286" s="1132" t="n"/>
      <c r="HFN286" s="1132" t="n"/>
      <c r="HFO286" s="1132" t="n"/>
      <c r="HFP286" s="1132" t="n"/>
      <c r="HFQ286" s="1132" t="n"/>
      <c r="HFR286" s="1132" t="n"/>
      <c r="HFS286" s="1132" t="n"/>
      <c r="HFT286" s="1132" t="n"/>
      <c r="HFU286" s="1132" t="n"/>
      <c r="HFV286" s="1132" t="n"/>
      <c r="HFW286" s="1132" t="n"/>
      <c r="HFX286" s="1132" t="n"/>
      <c r="HFY286" s="1132" t="n"/>
      <c r="HFZ286" s="1132" t="n"/>
      <c r="HGA286" s="1132" t="n"/>
      <c r="HGB286" s="1132" t="n"/>
      <c r="HGC286" s="1132" t="n"/>
      <c r="HGD286" s="1132" t="n"/>
      <c r="HGE286" s="1132" t="n"/>
      <c r="HGF286" s="1132" t="n"/>
      <c r="HGG286" s="1132" t="n"/>
      <c r="HGH286" s="1132" t="n"/>
      <c r="HGI286" s="1132" t="n"/>
      <c r="HGJ286" s="1132" t="n"/>
      <c r="HGK286" s="1132" t="n"/>
      <c r="HGL286" s="1132" t="n"/>
      <c r="HGM286" s="1132" t="n"/>
      <c r="HGN286" s="1132" t="n"/>
      <c r="HGO286" s="1132" t="n"/>
      <c r="HGP286" s="1132" t="n"/>
      <c r="HGQ286" s="1132" t="n"/>
      <c r="HGR286" s="1132" t="n"/>
      <c r="HGS286" s="1132" t="n"/>
      <c r="HGT286" s="1132" t="n"/>
      <c r="HGU286" s="1132" t="n"/>
      <c r="HGV286" s="1132" t="n"/>
      <c r="HGW286" s="1132" t="n"/>
      <c r="HGX286" s="1132" t="n"/>
      <c r="HGY286" s="1132" t="n"/>
      <c r="HGZ286" s="1132" t="n"/>
      <c r="HHA286" s="1132" t="n"/>
      <c r="HHB286" s="1132" t="n"/>
      <c r="HHC286" s="1132" t="n"/>
      <c r="HHD286" s="1132" t="n"/>
      <c r="HHE286" s="1132" t="n"/>
      <c r="HHF286" s="1132" t="n"/>
      <c r="HHG286" s="1132" t="n"/>
      <c r="HHH286" s="1132" t="n"/>
      <c r="HHI286" s="1132" t="n"/>
      <c r="HHJ286" s="1132" t="n"/>
      <c r="HHK286" s="1132" t="n"/>
      <c r="HHL286" s="1132" t="n"/>
      <c r="HHM286" s="1132" t="n"/>
      <c r="HHN286" s="1132" t="n"/>
      <c r="HHO286" s="1132" t="n"/>
      <c r="HHP286" s="1132" t="n"/>
      <c r="HHQ286" s="1132" t="n"/>
      <c r="HHR286" s="1132" t="n"/>
      <c r="HHS286" s="1132" t="n"/>
      <c r="HHT286" s="1132" t="n"/>
      <c r="HHU286" s="1132" t="n"/>
      <c r="HHV286" s="1132" t="n"/>
      <c r="HHW286" s="1132" t="n"/>
      <c r="HHX286" s="1132" t="n"/>
      <c r="HHY286" s="1132" t="n"/>
      <c r="HHZ286" s="1132" t="n"/>
      <c r="HIA286" s="1132" t="n"/>
      <c r="HIB286" s="1132" t="n"/>
      <c r="HIC286" s="1132" t="n"/>
      <c r="HID286" s="1132" t="n"/>
      <c r="HIE286" s="1132" t="n"/>
      <c r="HIF286" s="1132" t="n"/>
      <c r="HIG286" s="1132" t="n"/>
      <c r="HIH286" s="1132" t="n"/>
      <c r="HII286" s="1132" t="n"/>
      <c r="HIJ286" s="1132" t="n"/>
      <c r="HIK286" s="1132" t="n"/>
      <c r="HIL286" s="1132" t="n"/>
      <c r="HIM286" s="1132" t="n"/>
      <c r="HIN286" s="1132" t="n"/>
      <c r="HIO286" s="1132" t="n"/>
      <c r="HIP286" s="1132" t="n"/>
      <c r="HIQ286" s="1132" t="n"/>
      <c r="HIR286" s="1132" t="n"/>
      <c r="HIS286" s="1132" t="n"/>
      <c r="HIT286" s="1132" t="n"/>
      <c r="HIU286" s="1132" t="n"/>
      <c r="HIV286" s="1132" t="n"/>
      <c r="HIW286" s="1132" t="n"/>
      <c r="HIX286" s="1132" t="n"/>
      <c r="HIY286" s="1132" t="n"/>
      <c r="HIZ286" s="1132" t="n"/>
      <c r="HJA286" s="1132" t="n"/>
      <c r="HJB286" s="1132" t="n"/>
      <c r="HJC286" s="1132" t="n"/>
      <c r="HJD286" s="1132" t="n"/>
      <c r="HJE286" s="1132" t="n"/>
      <c r="HJF286" s="1132" t="n"/>
      <c r="HJG286" s="1132" t="n"/>
      <c r="HJH286" s="1132" t="n"/>
      <c r="HJI286" s="1132" t="n"/>
      <c r="HJJ286" s="1132" t="n"/>
      <c r="HJK286" s="1132" t="n"/>
      <c r="HJL286" s="1132" t="n"/>
      <c r="HJM286" s="1132" t="n"/>
      <c r="HJN286" s="1132" t="n"/>
      <c r="HJO286" s="1132" t="n"/>
      <c r="HJP286" s="1132" t="n"/>
      <c r="HJQ286" s="1132" t="n"/>
      <c r="HJR286" s="1132" t="n"/>
      <c r="HJS286" s="1132" t="n"/>
      <c r="HJT286" s="1132" t="n"/>
      <c r="HJU286" s="1132" t="n"/>
      <c r="HJV286" s="1132" t="n"/>
      <c r="HJW286" s="1132" t="n"/>
      <c r="HJX286" s="1132" t="n"/>
      <c r="HJY286" s="1132" t="n"/>
      <c r="HJZ286" s="1132" t="n"/>
      <c r="HKA286" s="1132" t="n"/>
      <c r="HKB286" s="1132" t="n"/>
      <c r="HKC286" s="1132" t="n"/>
      <c r="HKD286" s="1132" t="n"/>
      <c r="HKE286" s="1132" t="n"/>
      <c r="HKF286" s="1132" t="n"/>
      <c r="HKG286" s="1132" t="n"/>
      <c r="HKH286" s="1132" t="n"/>
      <c r="HKI286" s="1132" t="n"/>
      <c r="HKJ286" s="1132" t="n"/>
      <c r="HKK286" s="1132" t="n"/>
      <c r="HKL286" s="1132" t="n"/>
      <c r="HKM286" s="1132" t="n"/>
      <c r="HKN286" s="1132" t="n"/>
      <c r="HKO286" s="1132" t="n"/>
      <c r="HKP286" s="1132" t="n"/>
      <c r="HKQ286" s="1132" t="n"/>
      <c r="HKR286" s="1132" t="n"/>
      <c r="HKS286" s="1132" t="n"/>
      <c r="HKT286" s="1132" t="n"/>
      <c r="HKU286" s="1132" t="n"/>
      <c r="HKV286" s="1132" t="n"/>
      <c r="HKW286" s="1132" t="n"/>
      <c r="HKX286" s="1132" t="n"/>
      <c r="HKY286" s="1132" t="n"/>
      <c r="HKZ286" s="1132" t="n"/>
      <c r="HLA286" s="1132" t="n"/>
      <c r="HLB286" s="1132" t="n"/>
      <c r="HLC286" s="1132" t="n"/>
      <c r="HLD286" s="1132" t="n"/>
      <c r="HLE286" s="1132" t="n"/>
      <c r="HLF286" s="1132" t="n"/>
      <c r="HLG286" s="1132" t="n"/>
      <c r="HLH286" s="1132" t="n"/>
      <c r="HLI286" s="1132" t="n"/>
      <c r="HLJ286" s="1132" t="n"/>
      <c r="HLK286" s="1132" t="n"/>
      <c r="HLL286" s="1132" t="n"/>
      <c r="HLM286" s="1132" t="n"/>
      <c r="HLN286" s="1132" t="n"/>
      <c r="HLO286" s="1132" t="n"/>
      <c r="HLP286" s="1132" t="n"/>
      <c r="HLQ286" s="1132" t="n"/>
      <c r="HLR286" s="1132" t="n"/>
      <c r="HLS286" s="1132" t="n"/>
      <c r="HLT286" s="1132" t="n"/>
      <c r="HLU286" s="1132" t="n"/>
      <c r="HLV286" s="1132" t="n"/>
      <c r="HLW286" s="1132" t="n"/>
      <c r="HLX286" s="1132" t="n"/>
      <c r="HLY286" s="1132" t="n"/>
      <c r="HLZ286" s="1132" t="n"/>
      <c r="HMA286" s="1132" t="n"/>
      <c r="HMB286" s="1132" t="n"/>
      <c r="HMC286" s="1132" t="n"/>
      <c r="HMD286" s="1132" t="n"/>
      <c r="HME286" s="1132" t="n"/>
      <c r="HMF286" s="1132" t="n"/>
      <c r="HMG286" s="1132" t="n"/>
      <c r="HMH286" s="1132" t="n"/>
      <c r="HMI286" s="1132" t="n"/>
      <c r="HMJ286" s="1132" t="n"/>
      <c r="HMK286" s="1132" t="n"/>
      <c r="HML286" s="1132" t="n"/>
      <c r="HMM286" s="1132" t="n"/>
      <c r="HMN286" s="1132" t="n"/>
      <c r="HMO286" s="1132" t="n"/>
      <c r="HMP286" s="1132" t="n"/>
      <c r="HMQ286" s="1132" t="n"/>
      <c r="HMR286" s="1132" t="n"/>
      <c r="HMS286" s="1132" t="n"/>
      <c r="HMT286" s="1132" t="n"/>
      <c r="HMU286" s="1132" t="n"/>
      <c r="HMV286" s="1132" t="n"/>
      <c r="HMW286" s="1132" t="n"/>
      <c r="HMX286" s="1132" t="n"/>
      <c r="HMY286" s="1132" t="n"/>
      <c r="HMZ286" s="1132" t="n"/>
      <c r="HNA286" s="1132" t="n"/>
      <c r="HNB286" s="1132" t="n"/>
      <c r="HNC286" s="1132" t="n"/>
      <c r="HND286" s="1132" t="n"/>
      <c r="HNE286" s="1132" t="n"/>
      <c r="HNF286" s="1132" t="n"/>
      <c r="HNG286" s="1132" t="n"/>
      <c r="HNH286" s="1132" t="n"/>
      <c r="HNI286" s="1132" t="n"/>
      <c r="HNJ286" s="1132" t="n"/>
      <c r="HNK286" s="1132" t="n"/>
      <c r="HNL286" s="1132" t="n"/>
      <c r="HNM286" s="1132" t="n"/>
      <c r="HNN286" s="1132" t="n"/>
      <c r="HNO286" s="1132" t="n"/>
      <c r="HNP286" s="1132" t="n"/>
      <c r="HNQ286" s="1132" t="n"/>
      <c r="HNR286" s="1132" t="n"/>
      <c r="HNS286" s="1132" t="n"/>
      <c r="HNT286" s="1132" t="n"/>
      <c r="HNU286" s="1132" t="n"/>
      <c r="HNV286" s="1132" t="n"/>
      <c r="HNW286" s="1132" t="n"/>
      <c r="HNX286" s="1132" t="n"/>
      <c r="HNY286" s="1132" t="n"/>
      <c r="HNZ286" s="1132" t="n"/>
      <c r="HOA286" s="1132" t="n"/>
      <c r="HOB286" s="1132" t="n"/>
      <c r="HOC286" s="1132" t="n"/>
      <c r="HOD286" s="1132" t="n"/>
      <c r="HOE286" s="1132" t="n"/>
      <c r="HOF286" s="1132" t="n"/>
      <c r="HOG286" s="1132" t="n"/>
      <c r="HOH286" s="1132" t="n"/>
      <c r="HOI286" s="1132" t="n"/>
      <c r="HOJ286" s="1132" t="n"/>
      <c r="HOK286" s="1132" t="n"/>
      <c r="HOL286" s="1132" t="n"/>
      <c r="HOM286" s="1132" t="n"/>
      <c r="HON286" s="1132" t="n"/>
      <c r="HOO286" s="1132" t="n"/>
      <c r="HOP286" s="1132" t="n"/>
      <c r="HOQ286" s="1132" t="n"/>
      <c r="HOR286" s="1132" t="n"/>
      <c r="HOS286" s="1132" t="n"/>
      <c r="HOT286" s="1132" t="n"/>
      <c r="HOU286" s="1132" t="n"/>
      <c r="HOV286" s="1132" t="n"/>
      <c r="HOW286" s="1132" t="n"/>
      <c r="HOX286" s="1132" t="n"/>
      <c r="HOY286" s="1132" t="n"/>
      <c r="HOZ286" s="1132" t="n"/>
      <c r="HPA286" s="1132" t="n"/>
      <c r="HPB286" s="1132" t="n"/>
      <c r="HPC286" s="1132" t="n"/>
      <c r="HPD286" s="1132" t="n"/>
      <c r="HPE286" s="1132" t="n"/>
      <c r="HPF286" s="1132" t="n"/>
      <c r="HPG286" s="1132" t="n"/>
      <c r="HPH286" s="1132" t="n"/>
      <c r="HPI286" s="1132" t="n"/>
      <c r="HPJ286" s="1132" t="n"/>
      <c r="HPK286" s="1132" t="n"/>
      <c r="HPL286" s="1132" t="n"/>
      <c r="HPM286" s="1132" t="n"/>
      <c r="HPN286" s="1132" t="n"/>
      <c r="HPO286" s="1132" t="n"/>
      <c r="HPP286" s="1132" t="n"/>
      <c r="HPQ286" s="1132" t="n"/>
      <c r="HPR286" s="1132" t="n"/>
      <c r="HPS286" s="1132" t="n"/>
      <c r="HPT286" s="1132" t="n"/>
      <c r="HPU286" s="1132" t="n"/>
      <c r="HPV286" s="1132" t="n"/>
      <c r="HPW286" s="1132" t="n"/>
      <c r="HPX286" s="1132" t="n"/>
      <c r="HPY286" s="1132" t="n"/>
      <c r="HPZ286" s="1132" t="n"/>
      <c r="HQA286" s="1132" t="n"/>
      <c r="HQB286" s="1132" t="n"/>
      <c r="HQC286" s="1132" t="n"/>
      <c r="HQD286" s="1132" t="n"/>
      <c r="HQE286" s="1132" t="n"/>
      <c r="HQF286" s="1132" t="n"/>
      <c r="HQG286" s="1132" t="n"/>
      <c r="HQH286" s="1132" t="n"/>
      <c r="HQI286" s="1132" t="n"/>
      <c r="HQJ286" s="1132" t="n"/>
      <c r="HQK286" s="1132" t="n"/>
      <c r="HQL286" s="1132" t="n"/>
      <c r="HQM286" s="1132" t="n"/>
      <c r="HQN286" s="1132" t="n"/>
      <c r="HQO286" s="1132" t="n"/>
      <c r="HQP286" s="1132" t="n"/>
      <c r="HQQ286" s="1132" t="n"/>
      <c r="HQR286" s="1132" t="n"/>
      <c r="HQS286" s="1132" t="n"/>
      <c r="HQT286" s="1132" t="n"/>
      <c r="HQU286" s="1132" t="n"/>
      <c r="HQV286" s="1132" t="n"/>
      <c r="HQW286" s="1132" t="n"/>
      <c r="HQX286" s="1132" t="n"/>
      <c r="HQY286" s="1132" t="n"/>
      <c r="HQZ286" s="1132" t="n"/>
      <c r="HRA286" s="1132" t="n"/>
      <c r="HRB286" s="1132" t="n"/>
      <c r="HRC286" s="1132" t="n"/>
      <c r="HRD286" s="1132" t="n"/>
      <c r="HRE286" s="1132" t="n"/>
      <c r="HRF286" s="1132" t="n"/>
      <c r="HRG286" s="1132" t="n"/>
      <c r="HRH286" s="1132" t="n"/>
      <c r="HRI286" s="1132" t="n"/>
      <c r="HRJ286" s="1132" t="n"/>
      <c r="HRK286" s="1132" t="n"/>
      <c r="HRL286" s="1132" t="n"/>
      <c r="HRM286" s="1132" t="n"/>
      <c r="HRN286" s="1132" t="n"/>
      <c r="HRO286" s="1132" t="n"/>
      <c r="HRP286" s="1132" t="n"/>
      <c r="HRQ286" s="1132" t="n"/>
      <c r="HRR286" s="1132" t="n"/>
      <c r="HRS286" s="1132" t="n"/>
      <c r="HRT286" s="1132" t="n"/>
      <c r="HRU286" s="1132" t="n"/>
      <c r="HRV286" s="1132" t="n"/>
      <c r="HRW286" s="1132" t="n"/>
      <c r="HRX286" s="1132" t="n"/>
      <c r="HRY286" s="1132" t="n"/>
      <c r="HRZ286" s="1132" t="n"/>
      <c r="HSA286" s="1132" t="n"/>
      <c r="HSB286" s="1132" t="n"/>
      <c r="HSC286" s="1132" t="n"/>
      <c r="HSD286" s="1132" t="n"/>
      <c r="HSE286" s="1132" t="n"/>
      <c r="HSF286" s="1132" t="n"/>
      <c r="HSG286" s="1132" t="n"/>
      <c r="HSH286" s="1132" t="n"/>
      <c r="HSI286" s="1132" t="n"/>
      <c r="HSJ286" s="1132" t="n"/>
      <c r="HSK286" s="1132" t="n"/>
      <c r="HSL286" s="1132" t="n"/>
      <c r="HSM286" s="1132" t="n"/>
      <c r="HSN286" s="1132" t="n"/>
      <c r="HSO286" s="1132" t="n"/>
      <c r="HSP286" s="1132" t="n"/>
      <c r="HSQ286" s="1132" t="n"/>
      <c r="HSR286" s="1132" t="n"/>
      <c r="HSS286" s="1132" t="n"/>
      <c r="HST286" s="1132" t="n"/>
      <c r="HSU286" s="1132" t="n"/>
      <c r="HSV286" s="1132" t="n"/>
      <c r="HSW286" s="1132" t="n"/>
      <c r="HSX286" s="1132" t="n"/>
      <c r="HSY286" s="1132" t="n"/>
      <c r="HSZ286" s="1132" t="n"/>
      <c r="HTA286" s="1132" t="n"/>
      <c r="HTB286" s="1132" t="n"/>
      <c r="HTC286" s="1132" t="n"/>
      <c r="HTD286" s="1132" t="n"/>
      <c r="HTE286" s="1132" t="n"/>
      <c r="HTF286" s="1132" t="n"/>
      <c r="HTG286" s="1132" t="n"/>
      <c r="HTH286" s="1132" t="n"/>
      <c r="HTI286" s="1132" t="n"/>
      <c r="HTJ286" s="1132" t="n"/>
      <c r="HTK286" s="1132" t="n"/>
      <c r="HTL286" s="1132" t="n"/>
      <c r="HTM286" s="1132" t="n"/>
      <c r="HTN286" s="1132" t="n"/>
      <c r="HTO286" s="1132" t="n"/>
      <c r="HTP286" s="1132" t="n"/>
      <c r="HTQ286" s="1132" t="n"/>
      <c r="HTR286" s="1132" t="n"/>
      <c r="HTS286" s="1132" t="n"/>
      <c r="HTT286" s="1132" t="n"/>
      <c r="HTU286" s="1132" t="n"/>
      <c r="HTV286" s="1132" t="n"/>
      <c r="HTW286" s="1132" t="n"/>
      <c r="HTX286" s="1132" t="n"/>
      <c r="HTY286" s="1132" t="n"/>
      <c r="HTZ286" s="1132" t="n"/>
      <c r="HUA286" s="1132" t="n"/>
      <c r="HUB286" s="1132" t="n"/>
      <c r="HUC286" s="1132" t="n"/>
      <c r="HUD286" s="1132" t="n"/>
      <c r="HUE286" s="1132" t="n"/>
      <c r="HUF286" s="1132" t="n"/>
      <c r="HUG286" s="1132" t="n"/>
      <c r="HUH286" s="1132" t="n"/>
      <c r="HUI286" s="1132" t="n"/>
      <c r="HUJ286" s="1132" t="n"/>
      <c r="HUK286" s="1132" t="n"/>
      <c r="HUL286" s="1132" t="n"/>
      <c r="HUM286" s="1132" t="n"/>
      <c r="HUN286" s="1132" t="n"/>
      <c r="HUO286" s="1132" t="n"/>
      <c r="HUP286" s="1132" t="n"/>
      <c r="HUQ286" s="1132" t="n"/>
      <c r="HUR286" s="1132" t="n"/>
      <c r="HUS286" s="1132" t="n"/>
      <c r="HUT286" s="1132" t="n"/>
      <c r="HUU286" s="1132" t="n"/>
      <c r="HUV286" s="1132" t="n"/>
      <c r="HUW286" s="1132" t="n"/>
      <c r="HUX286" s="1132" t="n"/>
      <c r="HUY286" s="1132" t="n"/>
      <c r="HUZ286" s="1132" t="n"/>
      <c r="HVA286" s="1132" t="n"/>
      <c r="HVB286" s="1132" t="n"/>
      <c r="HVC286" s="1132" t="n"/>
      <c r="HVD286" s="1132" t="n"/>
      <c r="HVE286" s="1132" t="n"/>
      <c r="HVF286" s="1132" t="n"/>
      <c r="HVG286" s="1132" t="n"/>
      <c r="HVH286" s="1132" t="n"/>
      <c r="HVI286" s="1132" t="n"/>
      <c r="HVJ286" s="1132" t="n"/>
      <c r="HVK286" s="1132" t="n"/>
      <c r="HVL286" s="1132" t="n"/>
      <c r="HVM286" s="1132" t="n"/>
      <c r="HVN286" s="1132" t="n"/>
      <c r="HVO286" s="1132" t="n"/>
      <c r="HVP286" s="1132" t="n"/>
      <c r="HVQ286" s="1132" t="n"/>
      <c r="HVR286" s="1132" t="n"/>
      <c r="HVS286" s="1132" t="n"/>
      <c r="HVT286" s="1132" t="n"/>
      <c r="HVU286" s="1132" t="n"/>
      <c r="HVV286" s="1132" t="n"/>
      <c r="HVW286" s="1132" t="n"/>
      <c r="HVX286" s="1132" t="n"/>
      <c r="HVY286" s="1132" t="n"/>
      <c r="HVZ286" s="1132" t="n"/>
      <c r="HWA286" s="1132" t="n"/>
      <c r="HWB286" s="1132" t="n"/>
      <c r="HWC286" s="1132" t="n"/>
      <c r="HWD286" s="1132" t="n"/>
      <c r="HWE286" s="1132" t="n"/>
      <c r="HWF286" s="1132" t="n"/>
      <c r="HWG286" s="1132" t="n"/>
      <c r="HWH286" s="1132" t="n"/>
      <c r="HWI286" s="1132" t="n"/>
      <c r="HWJ286" s="1132" t="n"/>
      <c r="HWK286" s="1132" t="n"/>
      <c r="HWL286" s="1132" t="n"/>
      <c r="HWM286" s="1132" t="n"/>
      <c r="HWN286" s="1132" t="n"/>
      <c r="HWO286" s="1132" t="n"/>
      <c r="HWP286" s="1132" t="n"/>
      <c r="HWQ286" s="1132" t="n"/>
      <c r="HWR286" s="1132" t="n"/>
      <c r="HWS286" s="1132" t="n"/>
      <c r="HWT286" s="1132" t="n"/>
      <c r="HWU286" s="1132" t="n"/>
      <c r="HWV286" s="1132" t="n"/>
      <c r="HWW286" s="1132" t="n"/>
      <c r="HWX286" s="1132" t="n"/>
      <c r="HWY286" s="1132" t="n"/>
      <c r="HWZ286" s="1132" t="n"/>
      <c r="HXA286" s="1132" t="n"/>
      <c r="HXB286" s="1132" t="n"/>
      <c r="HXC286" s="1132" t="n"/>
      <c r="HXD286" s="1132" t="n"/>
      <c r="HXE286" s="1132" t="n"/>
      <c r="HXF286" s="1132" t="n"/>
      <c r="HXG286" s="1132" t="n"/>
      <c r="HXH286" s="1132" t="n"/>
      <c r="HXI286" s="1132" t="n"/>
      <c r="HXJ286" s="1132" t="n"/>
      <c r="HXK286" s="1132" t="n"/>
      <c r="HXL286" s="1132" t="n"/>
      <c r="HXM286" s="1132" t="n"/>
      <c r="HXN286" s="1132" t="n"/>
      <c r="HXO286" s="1132" t="n"/>
      <c r="HXP286" s="1132" t="n"/>
      <c r="HXQ286" s="1132" t="n"/>
      <c r="HXR286" s="1132" t="n"/>
      <c r="HXS286" s="1132" t="n"/>
      <c r="HXT286" s="1132" t="n"/>
      <c r="HXU286" s="1132" t="n"/>
      <c r="HXV286" s="1132" t="n"/>
      <c r="HXW286" s="1132" t="n"/>
      <c r="HXX286" s="1132" t="n"/>
      <c r="HXY286" s="1132" t="n"/>
      <c r="HXZ286" s="1132" t="n"/>
      <c r="HYA286" s="1132" t="n"/>
      <c r="HYB286" s="1132" t="n"/>
      <c r="HYC286" s="1132" t="n"/>
      <c r="HYD286" s="1132" t="n"/>
      <c r="HYE286" s="1132" t="n"/>
      <c r="HYF286" s="1132" t="n"/>
      <c r="HYG286" s="1132" t="n"/>
      <c r="HYH286" s="1132" t="n"/>
      <c r="HYI286" s="1132" t="n"/>
      <c r="HYJ286" s="1132" t="n"/>
      <c r="HYK286" s="1132" t="n"/>
      <c r="HYL286" s="1132" t="n"/>
      <c r="HYM286" s="1132" t="n"/>
      <c r="HYN286" s="1132" t="n"/>
      <c r="HYO286" s="1132" t="n"/>
      <c r="HYP286" s="1132" t="n"/>
      <c r="HYQ286" s="1132" t="n"/>
      <c r="HYR286" s="1132" t="n"/>
      <c r="HYS286" s="1132" t="n"/>
      <c r="HYT286" s="1132" t="n"/>
      <c r="HYU286" s="1132" t="n"/>
      <c r="HYV286" s="1132" t="n"/>
      <c r="HYW286" s="1132" t="n"/>
      <c r="HYX286" s="1132" t="n"/>
      <c r="HYY286" s="1132" t="n"/>
      <c r="HYZ286" s="1132" t="n"/>
      <c r="HZA286" s="1132" t="n"/>
      <c r="HZB286" s="1132" t="n"/>
      <c r="HZC286" s="1132" t="n"/>
      <c r="HZD286" s="1132" t="n"/>
      <c r="HZE286" s="1132" t="n"/>
      <c r="HZF286" s="1132" t="n"/>
      <c r="HZG286" s="1132" t="n"/>
      <c r="HZH286" s="1132" t="n"/>
      <c r="HZI286" s="1132" t="n"/>
      <c r="HZJ286" s="1132" t="n"/>
      <c r="HZK286" s="1132" t="n"/>
      <c r="HZL286" s="1132" t="n"/>
      <c r="HZM286" s="1132" t="n"/>
      <c r="HZN286" s="1132" t="n"/>
      <c r="HZO286" s="1132" t="n"/>
      <c r="HZP286" s="1132" t="n"/>
      <c r="HZQ286" s="1132" t="n"/>
      <c r="HZR286" s="1132" t="n"/>
      <c r="HZS286" s="1132" t="n"/>
      <c r="HZT286" s="1132" t="n"/>
      <c r="HZU286" s="1132" t="n"/>
      <c r="HZV286" s="1132" t="n"/>
      <c r="HZW286" s="1132" t="n"/>
      <c r="HZX286" s="1132" t="n"/>
      <c r="HZY286" s="1132" t="n"/>
      <c r="HZZ286" s="1132" t="n"/>
      <c r="IAA286" s="1132" t="n"/>
      <c r="IAB286" s="1132" t="n"/>
      <c r="IAC286" s="1132" t="n"/>
      <c r="IAD286" s="1132" t="n"/>
      <c r="IAE286" s="1132" t="n"/>
      <c r="IAF286" s="1132" t="n"/>
      <c r="IAG286" s="1132" t="n"/>
      <c r="IAH286" s="1132" t="n"/>
      <c r="IAI286" s="1132" t="n"/>
      <c r="IAJ286" s="1132" t="n"/>
      <c r="IAK286" s="1132" t="n"/>
      <c r="IAL286" s="1132" t="n"/>
      <c r="IAM286" s="1132" t="n"/>
      <c r="IAN286" s="1132" t="n"/>
      <c r="IAO286" s="1132" t="n"/>
      <c r="IAP286" s="1132" t="n"/>
      <c r="IAQ286" s="1132" t="n"/>
      <c r="IAR286" s="1132" t="n"/>
      <c r="IAS286" s="1132" t="n"/>
      <c r="IAT286" s="1132" t="n"/>
      <c r="IAU286" s="1132" t="n"/>
      <c r="IAV286" s="1132" t="n"/>
      <c r="IAW286" s="1132" t="n"/>
      <c r="IAX286" s="1132" t="n"/>
      <c r="IAY286" s="1132" t="n"/>
      <c r="IAZ286" s="1132" t="n"/>
      <c r="IBA286" s="1132" t="n"/>
      <c r="IBB286" s="1132" t="n"/>
      <c r="IBC286" s="1132" t="n"/>
      <c r="IBD286" s="1132" t="n"/>
      <c r="IBE286" s="1132" t="n"/>
      <c r="IBF286" s="1132" t="n"/>
      <c r="IBG286" s="1132" t="n"/>
      <c r="IBH286" s="1132" t="n"/>
      <c r="IBI286" s="1132" t="n"/>
      <c r="IBJ286" s="1132" t="n"/>
      <c r="IBK286" s="1132" t="n"/>
      <c r="IBL286" s="1132" t="n"/>
      <c r="IBM286" s="1132" t="n"/>
      <c r="IBN286" s="1132" t="n"/>
      <c r="IBO286" s="1132" t="n"/>
      <c r="IBP286" s="1132" t="n"/>
      <c r="IBQ286" s="1132" t="n"/>
      <c r="IBR286" s="1132" t="n"/>
      <c r="IBS286" s="1132" t="n"/>
      <c r="IBT286" s="1132" t="n"/>
      <c r="IBU286" s="1132" t="n"/>
      <c r="IBV286" s="1132" t="n"/>
      <c r="IBW286" s="1132" t="n"/>
      <c r="IBX286" s="1132" t="n"/>
      <c r="IBY286" s="1132" t="n"/>
      <c r="IBZ286" s="1132" t="n"/>
      <c r="ICA286" s="1132" t="n"/>
      <c r="ICB286" s="1132" t="n"/>
      <c r="ICC286" s="1132" t="n"/>
      <c r="ICD286" s="1132" t="n"/>
      <c r="ICE286" s="1132" t="n"/>
      <c r="ICF286" s="1132" t="n"/>
      <c r="ICG286" s="1132" t="n"/>
      <c r="ICH286" s="1132" t="n"/>
      <c r="ICI286" s="1132" t="n"/>
      <c r="ICJ286" s="1132" t="n"/>
      <c r="ICK286" s="1132" t="n"/>
      <c r="ICL286" s="1132" t="n"/>
      <c r="ICM286" s="1132" t="n"/>
      <c r="ICN286" s="1132" t="n"/>
      <c r="ICO286" s="1132" t="n"/>
      <c r="ICP286" s="1132" t="n"/>
      <c r="ICQ286" s="1132" t="n"/>
      <c r="ICR286" s="1132" t="n"/>
      <c r="ICS286" s="1132" t="n"/>
      <c r="ICT286" s="1132" t="n"/>
      <c r="ICU286" s="1132" t="n"/>
      <c r="ICV286" s="1132" t="n"/>
      <c r="ICW286" s="1132" t="n"/>
      <c r="ICX286" s="1132" t="n"/>
      <c r="ICY286" s="1132" t="n"/>
      <c r="ICZ286" s="1132" t="n"/>
      <c r="IDA286" s="1132" t="n"/>
      <c r="IDB286" s="1132" t="n"/>
      <c r="IDC286" s="1132" t="n"/>
      <c r="IDD286" s="1132" t="n"/>
      <c r="IDE286" s="1132" t="n"/>
      <c r="IDF286" s="1132" t="n"/>
      <c r="IDG286" s="1132" t="n"/>
      <c r="IDH286" s="1132" t="n"/>
      <c r="IDI286" s="1132" t="n"/>
      <c r="IDJ286" s="1132" t="n"/>
      <c r="IDK286" s="1132" t="n"/>
      <c r="IDL286" s="1132" t="n"/>
      <c r="IDM286" s="1132" t="n"/>
      <c r="IDN286" s="1132" t="n"/>
      <c r="IDO286" s="1132" t="n"/>
      <c r="IDP286" s="1132" t="n"/>
      <c r="IDQ286" s="1132" t="n"/>
      <c r="IDR286" s="1132" t="n"/>
      <c r="IDS286" s="1132" t="n"/>
      <c r="IDT286" s="1132" t="n"/>
      <c r="IDU286" s="1132" t="n"/>
      <c r="IDV286" s="1132" t="n"/>
      <c r="IDW286" s="1132" t="n"/>
      <c r="IDX286" s="1132" t="n"/>
      <c r="IDY286" s="1132" t="n"/>
      <c r="IDZ286" s="1132" t="n"/>
      <c r="IEA286" s="1132" t="n"/>
      <c r="IEB286" s="1132" t="n"/>
      <c r="IEC286" s="1132" t="n"/>
      <c r="IED286" s="1132" t="n"/>
      <c r="IEE286" s="1132" t="n"/>
      <c r="IEF286" s="1132" t="n"/>
      <c r="IEG286" s="1132" t="n"/>
      <c r="IEH286" s="1132" t="n"/>
      <c r="IEI286" s="1132" t="n"/>
      <c r="IEJ286" s="1132" t="n"/>
      <c r="IEK286" s="1132" t="n"/>
      <c r="IEL286" s="1132" t="n"/>
      <c r="IEM286" s="1132" t="n"/>
      <c r="IEN286" s="1132" t="n"/>
      <c r="IEO286" s="1132" t="n"/>
      <c r="IEP286" s="1132" t="n"/>
      <c r="IEQ286" s="1132" t="n"/>
      <c r="IER286" s="1132" t="n"/>
      <c r="IES286" s="1132" t="n"/>
      <c r="IET286" s="1132" t="n"/>
      <c r="IEU286" s="1132" t="n"/>
      <c r="IEV286" s="1132" t="n"/>
      <c r="IEW286" s="1132" t="n"/>
      <c r="IEX286" s="1132" t="n"/>
      <c r="IEY286" s="1132" t="n"/>
      <c r="IEZ286" s="1132" t="n"/>
      <c r="IFA286" s="1132" t="n"/>
      <c r="IFB286" s="1132" t="n"/>
      <c r="IFC286" s="1132" t="n"/>
      <c r="IFD286" s="1132" t="n"/>
      <c r="IFE286" s="1132" t="n"/>
      <c r="IFF286" s="1132" t="n"/>
      <c r="IFG286" s="1132" t="n"/>
      <c r="IFH286" s="1132" t="n"/>
      <c r="IFI286" s="1132" t="n"/>
      <c r="IFJ286" s="1132" t="n"/>
      <c r="IFK286" s="1132" t="n"/>
      <c r="IFL286" s="1132" t="n"/>
      <c r="IFM286" s="1132" t="n"/>
      <c r="IFN286" s="1132" t="n"/>
      <c r="IFO286" s="1132" t="n"/>
      <c r="IFP286" s="1132" t="n"/>
      <c r="IFQ286" s="1132" t="n"/>
      <c r="IFR286" s="1132" t="n"/>
      <c r="IFS286" s="1132" t="n"/>
      <c r="IFT286" s="1132" t="n"/>
      <c r="IFU286" s="1132" t="n"/>
      <c r="IFV286" s="1132" t="n"/>
      <c r="IFW286" s="1132" t="n"/>
      <c r="IFX286" s="1132" t="n"/>
      <c r="IFY286" s="1132" t="n"/>
      <c r="IFZ286" s="1132" t="n"/>
      <c r="IGA286" s="1132" t="n"/>
      <c r="IGB286" s="1132" t="n"/>
      <c r="IGC286" s="1132" t="n"/>
      <c r="IGD286" s="1132" t="n"/>
      <c r="IGE286" s="1132" t="n"/>
      <c r="IGF286" s="1132" t="n"/>
      <c r="IGG286" s="1132" t="n"/>
      <c r="IGH286" s="1132" t="n"/>
      <c r="IGI286" s="1132" t="n"/>
      <c r="IGJ286" s="1132" t="n"/>
      <c r="IGK286" s="1132" t="n"/>
      <c r="IGL286" s="1132" t="n"/>
      <c r="IGM286" s="1132" t="n"/>
      <c r="IGN286" s="1132" t="n"/>
      <c r="IGO286" s="1132" t="n"/>
      <c r="IGP286" s="1132" t="n"/>
      <c r="IGQ286" s="1132" t="n"/>
      <c r="IGR286" s="1132" t="n"/>
      <c r="IGS286" s="1132" t="n"/>
      <c r="IGT286" s="1132" t="n"/>
      <c r="IGU286" s="1132" t="n"/>
      <c r="IGV286" s="1132" t="n"/>
      <c r="IGW286" s="1132" t="n"/>
      <c r="IGX286" s="1132" t="n"/>
      <c r="IGY286" s="1132" t="n"/>
      <c r="IGZ286" s="1132" t="n"/>
      <c r="IHA286" s="1132" t="n"/>
      <c r="IHB286" s="1132" t="n"/>
      <c r="IHC286" s="1132" t="n"/>
      <c r="IHD286" s="1132" t="n"/>
      <c r="IHE286" s="1132" t="n"/>
      <c r="IHF286" s="1132" t="n"/>
      <c r="IHG286" s="1132" t="n"/>
      <c r="IHH286" s="1132" t="n"/>
      <c r="IHI286" s="1132" t="n"/>
      <c r="IHJ286" s="1132" t="n"/>
      <c r="IHK286" s="1132" t="n"/>
      <c r="IHL286" s="1132" t="n"/>
      <c r="IHM286" s="1132" t="n"/>
      <c r="IHN286" s="1132" t="n"/>
      <c r="IHO286" s="1132" t="n"/>
      <c r="IHP286" s="1132" t="n"/>
      <c r="IHQ286" s="1132" t="n"/>
      <c r="IHR286" s="1132" t="n"/>
      <c r="IHS286" s="1132" t="n"/>
      <c r="IHT286" s="1132" t="n"/>
      <c r="IHU286" s="1132" t="n"/>
      <c r="IHV286" s="1132" t="n"/>
      <c r="IHW286" s="1132" t="n"/>
      <c r="IHX286" s="1132" t="n"/>
      <c r="IHY286" s="1132" t="n"/>
      <c r="IHZ286" s="1132" t="n"/>
      <c r="IIA286" s="1132" t="n"/>
      <c r="IIB286" s="1132" t="n"/>
      <c r="IIC286" s="1132" t="n"/>
      <c r="IID286" s="1132" t="n"/>
      <c r="IIE286" s="1132" t="n"/>
      <c r="IIF286" s="1132" t="n"/>
      <c r="IIG286" s="1132" t="n"/>
      <c r="IIH286" s="1132" t="n"/>
      <c r="III286" s="1132" t="n"/>
      <c r="IIJ286" s="1132" t="n"/>
      <c r="IIK286" s="1132" t="n"/>
      <c r="IIL286" s="1132" t="n"/>
      <c r="IIM286" s="1132" t="n"/>
      <c r="IIN286" s="1132" t="n"/>
      <c r="IIO286" s="1132" t="n"/>
      <c r="IIP286" s="1132" t="n"/>
      <c r="IIQ286" s="1132" t="n"/>
      <c r="IIR286" s="1132" t="n"/>
      <c r="IIS286" s="1132" t="n"/>
      <c r="IIT286" s="1132" t="n"/>
      <c r="IIU286" s="1132" t="n"/>
      <c r="IIV286" s="1132" t="n"/>
      <c r="IIW286" s="1132" t="n"/>
      <c r="IIX286" s="1132" t="n"/>
      <c r="IIY286" s="1132" t="n"/>
      <c r="IIZ286" s="1132" t="n"/>
      <c r="IJA286" s="1132" t="n"/>
      <c r="IJB286" s="1132" t="n"/>
      <c r="IJC286" s="1132" t="n"/>
      <c r="IJD286" s="1132" t="n"/>
      <c r="IJE286" s="1132" t="n"/>
      <c r="IJF286" s="1132" t="n"/>
      <c r="IJG286" s="1132" t="n"/>
      <c r="IJH286" s="1132" t="n"/>
      <c r="IJI286" s="1132" t="n"/>
      <c r="IJJ286" s="1132" t="n"/>
      <c r="IJK286" s="1132" t="n"/>
      <c r="IJL286" s="1132" t="n"/>
      <c r="IJM286" s="1132" t="n"/>
      <c r="IJN286" s="1132" t="n"/>
      <c r="IJO286" s="1132" t="n"/>
      <c r="IJP286" s="1132" t="n"/>
      <c r="IJQ286" s="1132" t="n"/>
      <c r="IJR286" s="1132" t="n"/>
      <c r="IJS286" s="1132" t="n"/>
      <c r="IJT286" s="1132" t="n"/>
      <c r="IJU286" s="1132" t="n"/>
      <c r="IJV286" s="1132" t="n"/>
      <c r="IJW286" s="1132" t="n"/>
      <c r="IJX286" s="1132" t="n"/>
      <c r="IJY286" s="1132" t="n"/>
      <c r="IJZ286" s="1132" t="n"/>
      <c r="IKA286" s="1132" t="n"/>
      <c r="IKB286" s="1132" t="n"/>
      <c r="IKC286" s="1132" t="n"/>
      <c r="IKD286" s="1132" t="n"/>
      <c r="IKE286" s="1132" t="n"/>
      <c r="IKF286" s="1132" t="n"/>
      <c r="IKG286" s="1132" t="n"/>
      <c r="IKH286" s="1132" t="n"/>
      <c r="IKI286" s="1132" t="n"/>
      <c r="IKJ286" s="1132" t="n"/>
      <c r="IKK286" s="1132" t="n"/>
      <c r="IKL286" s="1132" t="n"/>
      <c r="IKM286" s="1132" t="n"/>
      <c r="IKN286" s="1132" t="n"/>
      <c r="IKO286" s="1132" t="n"/>
      <c r="IKP286" s="1132" t="n"/>
      <c r="IKQ286" s="1132" t="n"/>
      <c r="IKR286" s="1132" t="n"/>
      <c r="IKS286" s="1132" t="n"/>
      <c r="IKT286" s="1132" t="n"/>
      <c r="IKU286" s="1132" t="n"/>
      <c r="IKV286" s="1132" t="n"/>
      <c r="IKW286" s="1132" t="n"/>
      <c r="IKX286" s="1132" t="n"/>
      <c r="IKY286" s="1132" t="n"/>
      <c r="IKZ286" s="1132" t="n"/>
      <c r="ILA286" s="1132" t="n"/>
      <c r="ILB286" s="1132" t="n"/>
      <c r="ILC286" s="1132" t="n"/>
      <c r="ILD286" s="1132" t="n"/>
      <c r="ILE286" s="1132" t="n"/>
      <c r="ILF286" s="1132" t="n"/>
      <c r="ILG286" s="1132" t="n"/>
      <c r="ILH286" s="1132" t="n"/>
      <c r="ILI286" s="1132" t="n"/>
      <c r="ILJ286" s="1132" t="n"/>
      <c r="ILK286" s="1132" t="n"/>
      <c r="ILL286" s="1132" t="n"/>
      <c r="ILM286" s="1132" t="n"/>
      <c r="ILN286" s="1132" t="n"/>
      <c r="ILO286" s="1132" t="n"/>
      <c r="ILP286" s="1132" t="n"/>
      <c r="ILQ286" s="1132" t="n"/>
      <c r="ILR286" s="1132" t="n"/>
      <c r="ILS286" s="1132" t="n"/>
      <c r="ILT286" s="1132" t="n"/>
      <c r="ILU286" s="1132" t="n"/>
      <c r="ILV286" s="1132" t="n"/>
      <c r="ILW286" s="1132" t="n"/>
      <c r="ILX286" s="1132" t="n"/>
      <c r="ILY286" s="1132" t="n"/>
      <c r="ILZ286" s="1132" t="n"/>
      <c r="IMA286" s="1132" t="n"/>
      <c r="IMB286" s="1132" t="n"/>
      <c r="IMC286" s="1132" t="n"/>
      <c r="IMD286" s="1132" t="n"/>
      <c r="IME286" s="1132" t="n"/>
      <c r="IMF286" s="1132" t="n"/>
      <c r="IMG286" s="1132" t="n"/>
      <c r="IMH286" s="1132" t="n"/>
      <c r="IMI286" s="1132" t="n"/>
      <c r="IMJ286" s="1132" t="n"/>
      <c r="IMK286" s="1132" t="n"/>
      <c r="IML286" s="1132" t="n"/>
      <c r="IMM286" s="1132" t="n"/>
      <c r="IMN286" s="1132" t="n"/>
      <c r="IMO286" s="1132" t="n"/>
      <c r="IMP286" s="1132" t="n"/>
      <c r="IMQ286" s="1132" t="n"/>
      <c r="IMR286" s="1132" t="n"/>
      <c r="IMS286" s="1132" t="n"/>
      <c r="IMT286" s="1132" t="n"/>
      <c r="IMU286" s="1132" t="n"/>
      <c r="IMV286" s="1132" t="n"/>
      <c r="IMW286" s="1132" t="n"/>
      <c r="IMX286" s="1132" t="n"/>
      <c r="IMY286" s="1132" t="n"/>
      <c r="IMZ286" s="1132" t="n"/>
      <c r="INA286" s="1132" t="n"/>
      <c r="INB286" s="1132" t="n"/>
      <c r="INC286" s="1132" t="n"/>
      <c r="IND286" s="1132" t="n"/>
      <c r="INE286" s="1132" t="n"/>
      <c r="INF286" s="1132" t="n"/>
      <c r="ING286" s="1132" t="n"/>
      <c r="INH286" s="1132" t="n"/>
      <c r="INI286" s="1132" t="n"/>
      <c r="INJ286" s="1132" t="n"/>
      <c r="INK286" s="1132" t="n"/>
      <c r="INL286" s="1132" t="n"/>
      <c r="INM286" s="1132" t="n"/>
      <c r="INN286" s="1132" t="n"/>
      <c r="INO286" s="1132" t="n"/>
      <c r="INP286" s="1132" t="n"/>
      <c r="INQ286" s="1132" t="n"/>
      <c r="INR286" s="1132" t="n"/>
      <c r="INS286" s="1132" t="n"/>
      <c r="INT286" s="1132" t="n"/>
      <c r="INU286" s="1132" t="n"/>
      <c r="INV286" s="1132" t="n"/>
      <c r="INW286" s="1132" t="n"/>
      <c r="INX286" s="1132" t="n"/>
      <c r="INY286" s="1132" t="n"/>
      <c r="INZ286" s="1132" t="n"/>
      <c r="IOA286" s="1132" t="n"/>
      <c r="IOB286" s="1132" t="n"/>
      <c r="IOC286" s="1132" t="n"/>
      <c r="IOD286" s="1132" t="n"/>
      <c r="IOE286" s="1132" t="n"/>
      <c r="IOF286" s="1132" t="n"/>
      <c r="IOG286" s="1132" t="n"/>
      <c r="IOH286" s="1132" t="n"/>
      <c r="IOI286" s="1132" t="n"/>
      <c r="IOJ286" s="1132" t="n"/>
      <c r="IOK286" s="1132" t="n"/>
      <c r="IOL286" s="1132" t="n"/>
      <c r="IOM286" s="1132" t="n"/>
      <c r="ION286" s="1132" t="n"/>
      <c r="IOO286" s="1132" t="n"/>
      <c r="IOP286" s="1132" t="n"/>
      <c r="IOQ286" s="1132" t="n"/>
      <c r="IOR286" s="1132" t="n"/>
      <c r="IOS286" s="1132" t="n"/>
      <c r="IOT286" s="1132" t="n"/>
      <c r="IOU286" s="1132" t="n"/>
      <c r="IOV286" s="1132" t="n"/>
      <c r="IOW286" s="1132" t="n"/>
      <c r="IOX286" s="1132" t="n"/>
      <c r="IOY286" s="1132" t="n"/>
      <c r="IOZ286" s="1132" t="n"/>
      <c r="IPA286" s="1132" t="n"/>
      <c r="IPB286" s="1132" t="n"/>
      <c r="IPC286" s="1132" t="n"/>
      <c r="IPD286" s="1132" t="n"/>
      <c r="IPE286" s="1132" t="n"/>
      <c r="IPF286" s="1132" t="n"/>
      <c r="IPG286" s="1132" t="n"/>
      <c r="IPH286" s="1132" t="n"/>
      <c r="IPI286" s="1132" t="n"/>
      <c r="IPJ286" s="1132" t="n"/>
      <c r="IPK286" s="1132" t="n"/>
      <c r="IPL286" s="1132" t="n"/>
      <c r="IPM286" s="1132" t="n"/>
      <c r="IPN286" s="1132" t="n"/>
      <c r="IPO286" s="1132" t="n"/>
      <c r="IPP286" s="1132" t="n"/>
      <c r="IPQ286" s="1132" t="n"/>
      <c r="IPR286" s="1132" t="n"/>
      <c r="IPS286" s="1132" t="n"/>
      <c r="IPT286" s="1132" t="n"/>
      <c r="IPU286" s="1132" t="n"/>
      <c r="IPV286" s="1132" t="n"/>
      <c r="IPW286" s="1132" t="n"/>
      <c r="IPX286" s="1132" t="n"/>
      <c r="IPY286" s="1132" t="n"/>
      <c r="IPZ286" s="1132" t="n"/>
      <c r="IQA286" s="1132" t="n"/>
      <c r="IQB286" s="1132" t="n"/>
      <c r="IQC286" s="1132" t="n"/>
      <c r="IQD286" s="1132" t="n"/>
      <c r="IQE286" s="1132" t="n"/>
      <c r="IQF286" s="1132" t="n"/>
      <c r="IQG286" s="1132" t="n"/>
      <c r="IQH286" s="1132" t="n"/>
      <c r="IQI286" s="1132" t="n"/>
      <c r="IQJ286" s="1132" t="n"/>
      <c r="IQK286" s="1132" t="n"/>
      <c r="IQL286" s="1132" t="n"/>
      <c r="IQM286" s="1132" t="n"/>
      <c r="IQN286" s="1132" t="n"/>
      <c r="IQO286" s="1132" t="n"/>
      <c r="IQP286" s="1132" t="n"/>
      <c r="IQQ286" s="1132" t="n"/>
      <c r="IQR286" s="1132" t="n"/>
      <c r="IQS286" s="1132" t="n"/>
      <c r="IQT286" s="1132" t="n"/>
      <c r="IQU286" s="1132" t="n"/>
      <c r="IQV286" s="1132" t="n"/>
      <c r="IQW286" s="1132" t="n"/>
      <c r="IQX286" s="1132" t="n"/>
      <c r="IQY286" s="1132" t="n"/>
      <c r="IQZ286" s="1132" t="n"/>
      <c r="IRA286" s="1132" t="n"/>
      <c r="IRB286" s="1132" t="n"/>
      <c r="IRC286" s="1132" t="n"/>
      <c r="IRD286" s="1132" t="n"/>
      <c r="IRE286" s="1132" t="n"/>
      <c r="IRF286" s="1132" t="n"/>
      <c r="IRG286" s="1132" t="n"/>
      <c r="IRH286" s="1132" t="n"/>
      <c r="IRI286" s="1132" t="n"/>
      <c r="IRJ286" s="1132" t="n"/>
      <c r="IRK286" s="1132" t="n"/>
      <c r="IRL286" s="1132" t="n"/>
      <c r="IRM286" s="1132" t="n"/>
      <c r="IRN286" s="1132" t="n"/>
      <c r="IRO286" s="1132" t="n"/>
      <c r="IRP286" s="1132" t="n"/>
      <c r="IRQ286" s="1132" t="n"/>
      <c r="IRR286" s="1132" t="n"/>
      <c r="IRS286" s="1132" t="n"/>
      <c r="IRT286" s="1132" t="n"/>
      <c r="IRU286" s="1132" t="n"/>
      <c r="IRV286" s="1132" t="n"/>
      <c r="IRW286" s="1132" t="n"/>
      <c r="IRX286" s="1132" t="n"/>
      <c r="IRY286" s="1132" t="n"/>
      <c r="IRZ286" s="1132" t="n"/>
      <c r="ISA286" s="1132" t="n"/>
      <c r="ISB286" s="1132" t="n"/>
      <c r="ISC286" s="1132" t="n"/>
      <c r="ISD286" s="1132" t="n"/>
      <c r="ISE286" s="1132" t="n"/>
      <c r="ISF286" s="1132" t="n"/>
      <c r="ISG286" s="1132" t="n"/>
      <c r="ISH286" s="1132" t="n"/>
      <c r="ISI286" s="1132" t="n"/>
      <c r="ISJ286" s="1132" t="n"/>
      <c r="ISK286" s="1132" t="n"/>
      <c r="ISL286" s="1132" t="n"/>
      <c r="ISM286" s="1132" t="n"/>
      <c r="ISN286" s="1132" t="n"/>
      <c r="ISO286" s="1132" t="n"/>
      <c r="ISP286" s="1132" t="n"/>
      <c r="ISQ286" s="1132" t="n"/>
      <c r="ISR286" s="1132" t="n"/>
      <c r="ISS286" s="1132" t="n"/>
      <c r="IST286" s="1132" t="n"/>
      <c r="ISU286" s="1132" t="n"/>
      <c r="ISV286" s="1132" t="n"/>
      <c r="ISW286" s="1132" t="n"/>
      <c r="ISX286" s="1132" t="n"/>
      <c r="ISY286" s="1132" t="n"/>
      <c r="ISZ286" s="1132" t="n"/>
      <c r="ITA286" s="1132" t="n"/>
      <c r="ITB286" s="1132" t="n"/>
      <c r="ITC286" s="1132" t="n"/>
      <c r="ITD286" s="1132" t="n"/>
      <c r="ITE286" s="1132" t="n"/>
      <c r="ITF286" s="1132" t="n"/>
      <c r="ITG286" s="1132" t="n"/>
      <c r="ITH286" s="1132" t="n"/>
      <c r="ITI286" s="1132" t="n"/>
      <c r="ITJ286" s="1132" t="n"/>
      <c r="ITK286" s="1132" t="n"/>
      <c r="ITL286" s="1132" t="n"/>
      <c r="ITM286" s="1132" t="n"/>
      <c r="ITN286" s="1132" t="n"/>
      <c r="ITO286" s="1132" t="n"/>
      <c r="ITP286" s="1132" t="n"/>
      <c r="ITQ286" s="1132" t="n"/>
      <c r="ITR286" s="1132" t="n"/>
      <c r="ITS286" s="1132" t="n"/>
      <c r="ITT286" s="1132" t="n"/>
      <c r="ITU286" s="1132" t="n"/>
      <c r="ITV286" s="1132" t="n"/>
      <c r="ITW286" s="1132" t="n"/>
      <c r="ITX286" s="1132" t="n"/>
      <c r="ITY286" s="1132" t="n"/>
      <c r="ITZ286" s="1132" t="n"/>
      <c r="IUA286" s="1132" t="n"/>
      <c r="IUB286" s="1132" t="n"/>
      <c r="IUC286" s="1132" t="n"/>
      <c r="IUD286" s="1132" t="n"/>
      <c r="IUE286" s="1132" t="n"/>
      <c r="IUF286" s="1132" t="n"/>
      <c r="IUG286" s="1132" t="n"/>
      <c r="IUH286" s="1132" t="n"/>
      <c r="IUI286" s="1132" t="n"/>
      <c r="IUJ286" s="1132" t="n"/>
      <c r="IUK286" s="1132" t="n"/>
      <c r="IUL286" s="1132" t="n"/>
      <c r="IUM286" s="1132" t="n"/>
      <c r="IUN286" s="1132" t="n"/>
      <c r="IUO286" s="1132" t="n"/>
      <c r="IUP286" s="1132" t="n"/>
      <c r="IUQ286" s="1132" t="n"/>
      <c r="IUR286" s="1132" t="n"/>
      <c r="IUS286" s="1132" t="n"/>
      <c r="IUT286" s="1132" t="n"/>
      <c r="IUU286" s="1132" t="n"/>
      <c r="IUV286" s="1132" t="n"/>
      <c r="IUW286" s="1132" t="n"/>
      <c r="IUX286" s="1132" t="n"/>
      <c r="IUY286" s="1132" t="n"/>
      <c r="IUZ286" s="1132" t="n"/>
      <c r="IVA286" s="1132" t="n"/>
      <c r="IVB286" s="1132" t="n"/>
      <c r="IVC286" s="1132" t="n"/>
      <c r="IVD286" s="1132" t="n"/>
      <c r="IVE286" s="1132" t="n"/>
      <c r="IVF286" s="1132" t="n"/>
      <c r="IVG286" s="1132" t="n"/>
      <c r="IVH286" s="1132" t="n"/>
      <c r="IVI286" s="1132" t="n"/>
      <c r="IVJ286" s="1132" t="n"/>
      <c r="IVK286" s="1132" t="n"/>
      <c r="IVL286" s="1132" t="n"/>
      <c r="IVM286" s="1132" t="n"/>
      <c r="IVN286" s="1132" t="n"/>
      <c r="IVO286" s="1132" t="n"/>
      <c r="IVP286" s="1132" t="n"/>
      <c r="IVQ286" s="1132" t="n"/>
      <c r="IVR286" s="1132" t="n"/>
      <c r="IVS286" s="1132" t="n"/>
      <c r="IVT286" s="1132" t="n"/>
      <c r="IVU286" s="1132" t="n"/>
      <c r="IVV286" s="1132" t="n"/>
      <c r="IVW286" s="1132" t="n"/>
      <c r="IVX286" s="1132" t="n"/>
      <c r="IVY286" s="1132" t="n"/>
      <c r="IVZ286" s="1132" t="n"/>
      <c r="IWA286" s="1132" t="n"/>
      <c r="IWB286" s="1132" t="n"/>
      <c r="IWC286" s="1132" t="n"/>
      <c r="IWD286" s="1132" t="n"/>
      <c r="IWE286" s="1132" t="n"/>
      <c r="IWF286" s="1132" t="n"/>
      <c r="IWG286" s="1132" t="n"/>
      <c r="IWH286" s="1132" t="n"/>
      <c r="IWI286" s="1132" t="n"/>
      <c r="IWJ286" s="1132" t="n"/>
      <c r="IWK286" s="1132" t="n"/>
      <c r="IWL286" s="1132" t="n"/>
      <c r="IWM286" s="1132" t="n"/>
      <c r="IWN286" s="1132" t="n"/>
      <c r="IWO286" s="1132" t="n"/>
      <c r="IWP286" s="1132" t="n"/>
      <c r="IWQ286" s="1132" t="n"/>
      <c r="IWR286" s="1132" t="n"/>
      <c r="IWS286" s="1132" t="n"/>
      <c r="IWT286" s="1132" t="n"/>
      <c r="IWU286" s="1132" t="n"/>
      <c r="IWV286" s="1132" t="n"/>
      <c r="IWW286" s="1132" t="n"/>
      <c r="IWX286" s="1132" t="n"/>
      <c r="IWY286" s="1132" t="n"/>
      <c r="IWZ286" s="1132" t="n"/>
      <c r="IXA286" s="1132" t="n"/>
      <c r="IXB286" s="1132" t="n"/>
      <c r="IXC286" s="1132" t="n"/>
      <c r="IXD286" s="1132" t="n"/>
      <c r="IXE286" s="1132" t="n"/>
      <c r="IXF286" s="1132" t="n"/>
      <c r="IXG286" s="1132" t="n"/>
      <c r="IXH286" s="1132" t="n"/>
      <c r="IXI286" s="1132" t="n"/>
      <c r="IXJ286" s="1132" t="n"/>
      <c r="IXK286" s="1132" t="n"/>
      <c r="IXL286" s="1132" t="n"/>
      <c r="IXM286" s="1132" t="n"/>
      <c r="IXN286" s="1132" t="n"/>
      <c r="IXO286" s="1132" t="n"/>
      <c r="IXP286" s="1132" t="n"/>
      <c r="IXQ286" s="1132" t="n"/>
      <c r="IXR286" s="1132" t="n"/>
      <c r="IXS286" s="1132" t="n"/>
      <c r="IXT286" s="1132" t="n"/>
      <c r="IXU286" s="1132" t="n"/>
      <c r="IXV286" s="1132" t="n"/>
      <c r="IXW286" s="1132" t="n"/>
      <c r="IXX286" s="1132" t="n"/>
      <c r="IXY286" s="1132" t="n"/>
      <c r="IXZ286" s="1132" t="n"/>
      <c r="IYA286" s="1132" t="n"/>
      <c r="IYB286" s="1132" t="n"/>
      <c r="IYC286" s="1132" t="n"/>
      <c r="IYD286" s="1132" t="n"/>
      <c r="IYE286" s="1132" t="n"/>
      <c r="IYF286" s="1132" t="n"/>
      <c r="IYG286" s="1132" t="n"/>
      <c r="IYH286" s="1132" t="n"/>
      <c r="IYI286" s="1132" t="n"/>
      <c r="IYJ286" s="1132" t="n"/>
      <c r="IYK286" s="1132" t="n"/>
      <c r="IYL286" s="1132" t="n"/>
      <c r="IYM286" s="1132" t="n"/>
      <c r="IYN286" s="1132" t="n"/>
      <c r="IYO286" s="1132" t="n"/>
      <c r="IYP286" s="1132" t="n"/>
      <c r="IYQ286" s="1132" t="n"/>
      <c r="IYR286" s="1132" t="n"/>
      <c r="IYS286" s="1132" t="n"/>
      <c r="IYT286" s="1132" t="n"/>
      <c r="IYU286" s="1132" t="n"/>
      <c r="IYV286" s="1132" t="n"/>
      <c r="IYW286" s="1132" t="n"/>
      <c r="IYX286" s="1132" t="n"/>
      <c r="IYY286" s="1132" t="n"/>
      <c r="IYZ286" s="1132" t="n"/>
      <c r="IZA286" s="1132" t="n"/>
      <c r="IZB286" s="1132" t="n"/>
      <c r="IZC286" s="1132" t="n"/>
      <c r="IZD286" s="1132" t="n"/>
      <c r="IZE286" s="1132" t="n"/>
      <c r="IZF286" s="1132" t="n"/>
      <c r="IZG286" s="1132" t="n"/>
      <c r="IZH286" s="1132" t="n"/>
      <c r="IZI286" s="1132" t="n"/>
      <c r="IZJ286" s="1132" t="n"/>
      <c r="IZK286" s="1132" t="n"/>
      <c r="IZL286" s="1132" t="n"/>
      <c r="IZM286" s="1132" t="n"/>
      <c r="IZN286" s="1132" t="n"/>
      <c r="IZO286" s="1132" t="n"/>
      <c r="IZP286" s="1132" t="n"/>
      <c r="IZQ286" s="1132" t="n"/>
      <c r="IZR286" s="1132" t="n"/>
      <c r="IZS286" s="1132" t="n"/>
      <c r="IZT286" s="1132" t="n"/>
      <c r="IZU286" s="1132" t="n"/>
      <c r="IZV286" s="1132" t="n"/>
      <c r="IZW286" s="1132" t="n"/>
      <c r="IZX286" s="1132" t="n"/>
      <c r="IZY286" s="1132" t="n"/>
      <c r="IZZ286" s="1132" t="n"/>
      <c r="JAA286" s="1132" t="n"/>
      <c r="JAB286" s="1132" t="n"/>
      <c r="JAC286" s="1132" t="n"/>
      <c r="JAD286" s="1132" t="n"/>
      <c r="JAE286" s="1132" t="n"/>
      <c r="JAF286" s="1132" t="n"/>
      <c r="JAG286" s="1132" t="n"/>
      <c r="JAH286" s="1132" t="n"/>
      <c r="JAI286" s="1132" t="n"/>
      <c r="JAJ286" s="1132" t="n"/>
      <c r="JAK286" s="1132" t="n"/>
      <c r="JAL286" s="1132" t="n"/>
      <c r="JAM286" s="1132" t="n"/>
      <c r="JAN286" s="1132" t="n"/>
      <c r="JAO286" s="1132" t="n"/>
      <c r="JAP286" s="1132" t="n"/>
      <c r="JAQ286" s="1132" t="n"/>
      <c r="JAR286" s="1132" t="n"/>
      <c r="JAS286" s="1132" t="n"/>
      <c r="JAT286" s="1132" t="n"/>
      <c r="JAU286" s="1132" t="n"/>
      <c r="JAV286" s="1132" t="n"/>
      <c r="JAW286" s="1132" t="n"/>
      <c r="JAX286" s="1132" t="n"/>
      <c r="JAY286" s="1132" t="n"/>
      <c r="JAZ286" s="1132" t="n"/>
      <c r="JBA286" s="1132" t="n"/>
      <c r="JBB286" s="1132" t="n"/>
      <c r="JBC286" s="1132" t="n"/>
      <c r="JBD286" s="1132" t="n"/>
      <c r="JBE286" s="1132" t="n"/>
      <c r="JBF286" s="1132" t="n"/>
      <c r="JBG286" s="1132" t="n"/>
      <c r="JBH286" s="1132" t="n"/>
      <c r="JBI286" s="1132" t="n"/>
      <c r="JBJ286" s="1132" t="n"/>
      <c r="JBK286" s="1132" t="n"/>
      <c r="JBL286" s="1132" t="n"/>
      <c r="JBM286" s="1132" t="n"/>
      <c r="JBN286" s="1132" t="n"/>
      <c r="JBO286" s="1132" t="n"/>
      <c r="JBP286" s="1132" t="n"/>
      <c r="JBQ286" s="1132" t="n"/>
      <c r="JBR286" s="1132" t="n"/>
      <c r="JBS286" s="1132" t="n"/>
      <c r="JBT286" s="1132" t="n"/>
      <c r="JBU286" s="1132" t="n"/>
      <c r="JBV286" s="1132" t="n"/>
      <c r="JBW286" s="1132" t="n"/>
      <c r="JBX286" s="1132" t="n"/>
      <c r="JBY286" s="1132" t="n"/>
      <c r="JBZ286" s="1132" t="n"/>
      <c r="JCA286" s="1132" t="n"/>
      <c r="JCB286" s="1132" t="n"/>
      <c r="JCC286" s="1132" t="n"/>
      <c r="JCD286" s="1132" t="n"/>
      <c r="JCE286" s="1132" t="n"/>
      <c r="JCF286" s="1132" t="n"/>
      <c r="JCG286" s="1132" t="n"/>
      <c r="JCH286" s="1132" t="n"/>
      <c r="JCI286" s="1132" t="n"/>
      <c r="JCJ286" s="1132" t="n"/>
      <c r="JCK286" s="1132" t="n"/>
      <c r="JCL286" s="1132" t="n"/>
      <c r="JCM286" s="1132" t="n"/>
      <c r="JCN286" s="1132" t="n"/>
      <c r="JCO286" s="1132" t="n"/>
      <c r="JCP286" s="1132" t="n"/>
      <c r="JCQ286" s="1132" t="n"/>
      <c r="JCR286" s="1132" t="n"/>
      <c r="JCS286" s="1132" t="n"/>
      <c r="JCT286" s="1132" t="n"/>
      <c r="JCU286" s="1132" t="n"/>
      <c r="JCV286" s="1132" t="n"/>
      <c r="JCW286" s="1132" t="n"/>
      <c r="JCX286" s="1132" t="n"/>
      <c r="JCY286" s="1132" t="n"/>
      <c r="JCZ286" s="1132" t="n"/>
      <c r="JDA286" s="1132" t="n"/>
      <c r="JDB286" s="1132" t="n"/>
      <c r="JDC286" s="1132" t="n"/>
      <c r="JDD286" s="1132" t="n"/>
      <c r="JDE286" s="1132" t="n"/>
      <c r="JDF286" s="1132" t="n"/>
      <c r="JDG286" s="1132" t="n"/>
      <c r="JDH286" s="1132" t="n"/>
      <c r="JDI286" s="1132" t="n"/>
      <c r="JDJ286" s="1132" t="n"/>
      <c r="JDK286" s="1132" t="n"/>
      <c r="JDL286" s="1132" t="n"/>
      <c r="JDM286" s="1132" t="n"/>
      <c r="JDN286" s="1132" t="n"/>
      <c r="JDO286" s="1132" t="n"/>
      <c r="JDP286" s="1132" t="n"/>
      <c r="JDQ286" s="1132" t="n"/>
      <c r="JDR286" s="1132" t="n"/>
      <c r="JDS286" s="1132" t="n"/>
      <c r="JDT286" s="1132" t="n"/>
      <c r="JDU286" s="1132" t="n"/>
      <c r="JDV286" s="1132" t="n"/>
      <c r="JDW286" s="1132" t="n"/>
      <c r="JDX286" s="1132" t="n"/>
      <c r="JDY286" s="1132" t="n"/>
      <c r="JDZ286" s="1132" t="n"/>
      <c r="JEA286" s="1132" t="n"/>
      <c r="JEB286" s="1132" t="n"/>
      <c r="JEC286" s="1132" t="n"/>
      <c r="JED286" s="1132" t="n"/>
      <c r="JEE286" s="1132" t="n"/>
      <c r="JEF286" s="1132" t="n"/>
      <c r="JEG286" s="1132" t="n"/>
      <c r="JEH286" s="1132" t="n"/>
      <c r="JEI286" s="1132" t="n"/>
      <c r="JEJ286" s="1132" t="n"/>
      <c r="JEK286" s="1132" t="n"/>
      <c r="JEL286" s="1132" t="n"/>
      <c r="JEM286" s="1132" t="n"/>
      <c r="JEN286" s="1132" t="n"/>
      <c r="JEO286" s="1132" t="n"/>
      <c r="JEP286" s="1132" t="n"/>
      <c r="JEQ286" s="1132" t="n"/>
      <c r="JER286" s="1132" t="n"/>
      <c r="JES286" s="1132" t="n"/>
      <c r="JET286" s="1132" t="n"/>
      <c r="JEU286" s="1132" t="n"/>
      <c r="JEV286" s="1132" t="n"/>
      <c r="JEW286" s="1132" t="n"/>
      <c r="JEX286" s="1132" t="n"/>
      <c r="JEY286" s="1132" t="n"/>
      <c r="JEZ286" s="1132" t="n"/>
      <c r="JFA286" s="1132" t="n"/>
      <c r="JFB286" s="1132" t="n"/>
      <c r="JFC286" s="1132" t="n"/>
      <c r="JFD286" s="1132" t="n"/>
      <c r="JFE286" s="1132" t="n"/>
      <c r="JFF286" s="1132" t="n"/>
      <c r="JFG286" s="1132" t="n"/>
      <c r="JFH286" s="1132" t="n"/>
      <c r="JFI286" s="1132" t="n"/>
      <c r="JFJ286" s="1132" t="n"/>
      <c r="JFK286" s="1132" t="n"/>
      <c r="JFL286" s="1132" t="n"/>
      <c r="JFM286" s="1132" t="n"/>
      <c r="JFN286" s="1132" t="n"/>
      <c r="JFO286" s="1132" t="n"/>
      <c r="JFP286" s="1132" t="n"/>
      <c r="JFQ286" s="1132" t="n"/>
      <c r="JFR286" s="1132" t="n"/>
      <c r="JFS286" s="1132" t="n"/>
      <c r="JFT286" s="1132" t="n"/>
      <c r="JFU286" s="1132" t="n"/>
      <c r="JFV286" s="1132" t="n"/>
      <c r="JFW286" s="1132" t="n"/>
      <c r="JFX286" s="1132" t="n"/>
      <c r="JFY286" s="1132" t="n"/>
      <c r="JFZ286" s="1132" t="n"/>
      <c r="JGA286" s="1132" t="n"/>
      <c r="JGB286" s="1132" t="n"/>
      <c r="JGC286" s="1132" t="n"/>
      <c r="JGD286" s="1132" t="n"/>
      <c r="JGE286" s="1132" t="n"/>
      <c r="JGF286" s="1132" t="n"/>
      <c r="JGG286" s="1132" t="n"/>
      <c r="JGH286" s="1132" t="n"/>
      <c r="JGI286" s="1132" t="n"/>
      <c r="JGJ286" s="1132" t="n"/>
      <c r="JGK286" s="1132" t="n"/>
      <c r="JGL286" s="1132" t="n"/>
      <c r="JGM286" s="1132" t="n"/>
      <c r="JGN286" s="1132" t="n"/>
      <c r="JGO286" s="1132" t="n"/>
      <c r="JGP286" s="1132" t="n"/>
      <c r="JGQ286" s="1132" t="n"/>
      <c r="JGR286" s="1132" t="n"/>
      <c r="JGS286" s="1132" t="n"/>
      <c r="JGT286" s="1132" t="n"/>
      <c r="JGU286" s="1132" t="n"/>
      <c r="JGV286" s="1132" t="n"/>
      <c r="JGW286" s="1132" t="n"/>
      <c r="JGX286" s="1132" t="n"/>
      <c r="JGY286" s="1132" t="n"/>
      <c r="JGZ286" s="1132" t="n"/>
      <c r="JHA286" s="1132" t="n"/>
      <c r="JHB286" s="1132" t="n"/>
      <c r="JHC286" s="1132" t="n"/>
      <c r="JHD286" s="1132" t="n"/>
      <c r="JHE286" s="1132" t="n"/>
      <c r="JHF286" s="1132" t="n"/>
      <c r="JHG286" s="1132" t="n"/>
      <c r="JHH286" s="1132" t="n"/>
      <c r="JHI286" s="1132" t="n"/>
      <c r="JHJ286" s="1132" t="n"/>
      <c r="JHK286" s="1132" t="n"/>
      <c r="JHL286" s="1132" t="n"/>
      <c r="JHM286" s="1132" t="n"/>
      <c r="JHN286" s="1132" t="n"/>
      <c r="JHO286" s="1132" t="n"/>
      <c r="JHP286" s="1132" t="n"/>
      <c r="JHQ286" s="1132" t="n"/>
      <c r="JHR286" s="1132" t="n"/>
      <c r="JHS286" s="1132" t="n"/>
      <c r="JHT286" s="1132" t="n"/>
      <c r="JHU286" s="1132" t="n"/>
      <c r="JHV286" s="1132" t="n"/>
      <c r="JHW286" s="1132" t="n"/>
      <c r="JHX286" s="1132" t="n"/>
      <c r="JHY286" s="1132" t="n"/>
      <c r="JHZ286" s="1132" t="n"/>
      <c r="JIA286" s="1132" t="n"/>
      <c r="JIB286" s="1132" t="n"/>
      <c r="JIC286" s="1132" t="n"/>
      <c r="JID286" s="1132" t="n"/>
      <c r="JIE286" s="1132" t="n"/>
      <c r="JIF286" s="1132" t="n"/>
      <c r="JIG286" s="1132" t="n"/>
      <c r="JIH286" s="1132" t="n"/>
      <c r="JII286" s="1132" t="n"/>
      <c r="JIJ286" s="1132" t="n"/>
      <c r="JIK286" s="1132" t="n"/>
      <c r="JIL286" s="1132" t="n"/>
      <c r="JIM286" s="1132" t="n"/>
      <c r="JIN286" s="1132" t="n"/>
      <c r="JIO286" s="1132" t="n"/>
      <c r="JIP286" s="1132" t="n"/>
      <c r="JIQ286" s="1132" t="n"/>
      <c r="JIR286" s="1132" t="n"/>
      <c r="JIS286" s="1132" t="n"/>
      <c r="JIT286" s="1132" t="n"/>
      <c r="JIU286" s="1132" t="n"/>
      <c r="JIV286" s="1132" t="n"/>
      <c r="JIW286" s="1132" t="n"/>
      <c r="JIX286" s="1132" t="n"/>
      <c r="JIY286" s="1132" t="n"/>
      <c r="JIZ286" s="1132" t="n"/>
      <c r="JJA286" s="1132" t="n"/>
      <c r="JJB286" s="1132" t="n"/>
      <c r="JJC286" s="1132" t="n"/>
      <c r="JJD286" s="1132" t="n"/>
      <c r="JJE286" s="1132" t="n"/>
      <c r="JJF286" s="1132" t="n"/>
      <c r="JJG286" s="1132" t="n"/>
      <c r="JJH286" s="1132" t="n"/>
      <c r="JJI286" s="1132" t="n"/>
      <c r="JJJ286" s="1132" t="n"/>
      <c r="JJK286" s="1132" t="n"/>
      <c r="JJL286" s="1132" t="n"/>
      <c r="JJM286" s="1132" t="n"/>
      <c r="JJN286" s="1132" t="n"/>
      <c r="JJO286" s="1132" t="n"/>
      <c r="JJP286" s="1132" t="n"/>
      <c r="JJQ286" s="1132" t="n"/>
      <c r="JJR286" s="1132" t="n"/>
      <c r="JJS286" s="1132" t="n"/>
      <c r="JJT286" s="1132" t="n"/>
      <c r="JJU286" s="1132" t="n"/>
      <c r="JJV286" s="1132" t="n"/>
      <c r="JJW286" s="1132" t="n"/>
      <c r="JJX286" s="1132" t="n"/>
      <c r="JJY286" s="1132" t="n"/>
      <c r="JJZ286" s="1132" t="n"/>
      <c r="JKA286" s="1132" t="n"/>
      <c r="JKB286" s="1132" t="n"/>
      <c r="JKC286" s="1132" t="n"/>
      <c r="JKD286" s="1132" t="n"/>
      <c r="JKE286" s="1132" t="n"/>
      <c r="JKF286" s="1132" t="n"/>
      <c r="JKG286" s="1132" t="n"/>
      <c r="JKH286" s="1132" t="n"/>
      <c r="JKI286" s="1132" t="n"/>
      <c r="JKJ286" s="1132" t="n"/>
      <c r="JKK286" s="1132" t="n"/>
      <c r="JKL286" s="1132" t="n"/>
      <c r="JKM286" s="1132" t="n"/>
      <c r="JKN286" s="1132" t="n"/>
      <c r="JKO286" s="1132" t="n"/>
      <c r="JKP286" s="1132" t="n"/>
      <c r="JKQ286" s="1132" t="n"/>
      <c r="JKR286" s="1132" t="n"/>
      <c r="JKS286" s="1132" t="n"/>
      <c r="JKT286" s="1132" t="n"/>
      <c r="JKU286" s="1132" t="n"/>
      <c r="JKV286" s="1132" t="n"/>
      <c r="JKW286" s="1132" t="n"/>
      <c r="JKX286" s="1132" t="n"/>
      <c r="JKY286" s="1132" t="n"/>
      <c r="JKZ286" s="1132" t="n"/>
      <c r="JLA286" s="1132" t="n"/>
      <c r="JLB286" s="1132" t="n"/>
      <c r="JLC286" s="1132" t="n"/>
      <c r="JLD286" s="1132" t="n"/>
      <c r="JLE286" s="1132" t="n"/>
      <c r="JLF286" s="1132" t="n"/>
      <c r="JLG286" s="1132" t="n"/>
      <c r="JLH286" s="1132" t="n"/>
      <c r="JLI286" s="1132" t="n"/>
      <c r="JLJ286" s="1132" t="n"/>
      <c r="JLK286" s="1132" t="n"/>
      <c r="JLL286" s="1132" t="n"/>
      <c r="JLM286" s="1132" t="n"/>
      <c r="JLN286" s="1132" t="n"/>
      <c r="JLO286" s="1132" t="n"/>
      <c r="JLP286" s="1132" t="n"/>
      <c r="JLQ286" s="1132" t="n"/>
      <c r="JLR286" s="1132" t="n"/>
      <c r="JLS286" s="1132" t="n"/>
      <c r="JLT286" s="1132" t="n"/>
      <c r="JLU286" s="1132" t="n"/>
      <c r="JLV286" s="1132" t="n"/>
      <c r="JLW286" s="1132" t="n"/>
      <c r="JLX286" s="1132" t="n"/>
      <c r="JLY286" s="1132" t="n"/>
      <c r="JLZ286" s="1132" t="n"/>
      <c r="JMA286" s="1132" t="n"/>
      <c r="JMB286" s="1132" t="n"/>
      <c r="JMC286" s="1132" t="n"/>
      <c r="JMD286" s="1132" t="n"/>
      <c r="JME286" s="1132" t="n"/>
      <c r="JMF286" s="1132" t="n"/>
      <c r="JMG286" s="1132" t="n"/>
      <c r="JMH286" s="1132" t="n"/>
      <c r="JMI286" s="1132" t="n"/>
      <c r="JMJ286" s="1132" t="n"/>
      <c r="JMK286" s="1132" t="n"/>
      <c r="JML286" s="1132" t="n"/>
      <c r="JMM286" s="1132" t="n"/>
      <c r="JMN286" s="1132" t="n"/>
      <c r="JMO286" s="1132" t="n"/>
      <c r="JMP286" s="1132" t="n"/>
      <c r="JMQ286" s="1132" t="n"/>
      <c r="JMR286" s="1132" t="n"/>
      <c r="JMS286" s="1132" t="n"/>
      <c r="JMT286" s="1132" t="n"/>
      <c r="JMU286" s="1132" t="n"/>
      <c r="JMV286" s="1132" t="n"/>
      <c r="JMW286" s="1132" t="n"/>
      <c r="JMX286" s="1132" t="n"/>
      <c r="JMY286" s="1132" t="n"/>
      <c r="JMZ286" s="1132" t="n"/>
      <c r="JNA286" s="1132" t="n"/>
      <c r="JNB286" s="1132" t="n"/>
      <c r="JNC286" s="1132" t="n"/>
      <c r="JND286" s="1132" t="n"/>
      <c r="JNE286" s="1132" t="n"/>
      <c r="JNF286" s="1132" t="n"/>
      <c r="JNG286" s="1132" t="n"/>
      <c r="JNH286" s="1132" t="n"/>
      <c r="JNI286" s="1132" t="n"/>
      <c r="JNJ286" s="1132" t="n"/>
      <c r="JNK286" s="1132" t="n"/>
      <c r="JNL286" s="1132" t="n"/>
      <c r="JNM286" s="1132" t="n"/>
      <c r="JNN286" s="1132" t="n"/>
      <c r="JNO286" s="1132" t="n"/>
      <c r="JNP286" s="1132" t="n"/>
      <c r="JNQ286" s="1132" t="n"/>
      <c r="JNR286" s="1132" t="n"/>
      <c r="JNS286" s="1132" t="n"/>
      <c r="JNT286" s="1132" t="n"/>
      <c r="JNU286" s="1132" t="n"/>
      <c r="JNV286" s="1132" t="n"/>
      <c r="JNW286" s="1132" t="n"/>
      <c r="JNX286" s="1132" t="n"/>
      <c r="JNY286" s="1132" t="n"/>
      <c r="JNZ286" s="1132" t="n"/>
      <c r="JOA286" s="1132" t="n"/>
      <c r="JOB286" s="1132" t="n"/>
      <c r="JOC286" s="1132" t="n"/>
      <c r="JOD286" s="1132" t="n"/>
      <c r="JOE286" s="1132" t="n"/>
      <c r="JOF286" s="1132" t="n"/>
      <c r="JOG286" s="1132" t="n"/>
      <c r="JOH286" s="1132" t="n"/>
      <c r="JOI286" s="1132" t="n"/>
      <c r="JOJ286" s="1132" t="n"/>
      <c r="JOK286" s="1132" t="n"/>
      <c r="JOL286" s="1132" t="n"/>
      <c r="JOM286" s="1132" t="n"/>
      <c r="JON286" s="1132" t="n"/>
      <c r="JOO286" s="1132" t="n"/>
      <c r="JOP286" s="1132" t="n"/>
      <c r="JOQ286" s="1132" t="n"/>
      <c r="JOR286" s="1132" t="n"/>
      <c r="JOS286" s="1132" t="n"/>
      <c r="JOT286" s="1132" t="n"/>
      <c r="JOU286" s="1132" t="n"/>
      <c r="JOV286" s="1132" t="n"/>
      <c r="JOW286" s="1132" t="n"/>
      <c r="JOX286" s="1132" t="n"/>
      <c r="JOY286" s="1132" t="n"/>
      <c r="JOZ286" s="1132" t="n"/>
      <c r="JPA286" s="1132" t="n"/>
      <c r="JPB286" s="1132" t="n"/>
      <c r="JPC286" s="1132" t="n"/>
      <c r="JPD286" s="1132" t="n"/>
      <c r="JPE286" s="1132" t="n"/>
      <c r="JPF286" s="1132" t="n"/>
      <c r="JPG286" s="1132" t="n"/>
      <c r="JPH286" s="1132" t="n"/>
      <c r="JPI286" s="1132" t="n"/>
      <c r="JPJ286" s="1132" t="n"/>
      <c r="JPK286" s="1132" t="n"/>
      <c r="JPL286" s="1132" t="n"/>
      <c r="JPM286" s="1132" t="n"/>
      <c r="JPN286" s="1132" t="n"/>
      <c r="JPO286" s="1132" t="n"/>
      <c r="JPP286" s="1132" t="n"/>
      <c r="JPQ286" s="1132" t="n"/>
      <c r="JPR286" s="1132" t="n"/>
      <c r="JPS286" s="1132" t="n"/>
      <c r="JPT286" s="1132" t="n"/>
      <c r="JPU286" s="1132" t="n"/>
      <c r="JPV286" s="1132" t="n"/>
      <c r="JPW286" s="1132" t="n"/>
      <c r="JPX286" s="1132" t="n"/>
      <c r="JPY286" s="1132" t="n"/>
      <c r="JPZ286" s="1132" t="n"/>
      <c r="JQA286" s="1132" t="n"/>
      <c r="JQB286" s="1132" t="n"/>
      <c r="JQC286" s="1132" t="n"/>
      <c r="JQD286" s="1132" t="n"/>
      <c r="JQE286" s="1132" t="n"/>
      <c r="JQF286" s="1132" t="n"/>
      <c r="JQG286" s="1132" t="n"/>
      <c r="JQH286" s="1132" t="n"/>
      <c r="JQI286" s="1132" t="n"/>
      <c r="JQJ286" s="1132" t="n"/>
      <c r="JQK286" s="1132" t="n"/>
      <c r="JQL286" s="1132" t="n"/>
      <c r="JQM286" s="1132" t="n"/>
      <c r="JQN286" s="1132" t="n"/>
      <c r="JQO286" s="1132" t="n"/>
      <c r="JQP286" s="1132" t="n"/>
      <c r="JQQ286" s="1132" t="n"/>
      <c r="JQR286" s="1132" t="n"/>
      <c r="JQS286" s="1132" t="n"/>
      <c r="JQT286" s="1132" t="n"/>
      <c r="JQU286" s="1132" t="n"/>
      <c r="JQV286" s="1132" t="n"/>
      <c r="JQW286" s="1132" t="n"/>
      <c r="JQX286" s="1132" t="n"/>
      <c r="JQY286" s="1132" t="n"/>
      <c r="JQZ286" s="1132" t="n"/>
      <c r="JRA286" s="1132" t="n"/>
      <c r="JRB286" s="1132" t="n"/>
      <c r="JRC286" s="1132" t="n"/>
      <c r="JRD286" s="1132" t="n"/>
      <c r="JRE286" s="1132" t="n"/>
      <c r="JRF286" s="1132" t="n"/>
      <c r="JRG286" s="1132" t="n"/>
      <c r="JRH286" s="1132" t="n"/>
      <c r="JRI286" s="1132" t="n"/>
      <c r="JRJ286" s="1132" t="n"/>
      <c r="JRK286" s="1132" t="n"/>
      <c r="JRL286" s="1132" t="n"/>
      <c r="JRM286" s="1132" t="n"/>
      <c r="JRN286" s="1132" t="n"/>
      <c r="JRO286" s="1132" t="n"/>
      <c r="JRP286" s="1132" t="n"/>
      <c r="JRQ286" s="1132" t="n"/>
      <c r="JRR286" s="1132" t="n"/>
      <c r="JRS286" s="1132" t="n"/>
      <c r="JRT286" s="1132" t="n"/>
      <c r="JRU286" s="1132" t="n"/>
      <c r="JRV286" s="1132" t="n"/>
      <c r="JRW286" s="1132" t="n"/>
      <c r="JRX286" s="1132" t="n"/>
      <c r="JRY286" s="1132" t="n"/>
      <c r="JRZ286" s="1132" t="n"/>
      <c r="JSA286" s="1132" t="n"/>
      <c r="JSB286" s="1132" t="n"/>
      <c r="JSC286" s="1132" t="n"/>
      <c r="JSD286" s="1132" t="n"/>
      <c r="JSE286" s="1132" t="n"/>
      <c r="JSF286" s="1132" t="n"/>
      <c r="JSG286" s="1132" t="n"/>
      <c r="JSH286" s="1132" t="n"/>
      <c r="JSI286" s="1132" t="n"/>
      <c r="JSJ286" s="1132" t="n"/>
      <c r="JSK286" s="1132" t="n"/>
      <c r="JSL286" s="1132" t="n"/>
      <c r="JSM286" s="1132" t="n"/>
      <c r="JSN286" s="1132" t="n"/>
      <c r="JSO286" s="1132" t="n"/>
      <c r="JSP286" s="1132" t="n"/>
      <c r="JSQ286" s="1132" t="n"/>
      <c r="JSR286" s="1132" t="n"/>
      <c r="JSS286" s="1132" t="n"/>
      <c r="JST286" s="1132" t="n"/>
      <c r="JSU286" s="1132" t="n"/>
      <c r="JSV286" s="1132" t="n"/>
      <c r="JSW286" s="1132" t="n"/>
      <c r="JSX286" s="1132" t="n"/>
      <c r="JSY286" s="1132" t="n"/>
      <c r="JSZ286" s="1132" t="n"/>
      <c r="JTA286" s="1132" t="n"/>
      <c r="JTB286" s="1132" t="n"/>
      <c r="JTC286" s="1132" t="n"/>
      <c r="JTD286" s="1132" t="n"/>
      <c r="JTE286" s="1132" t="n"/>
      <c r="JTF286" s="1132" t="n"/>
      <c r="JTG286" s="1132" t="n"/>
      <c r="JTH286" s="1132" t="n"/>
      <c r="JTI286" s="1132" t="n"/>
      <c r="JTJ286" s="1132" t="n"/>
      <c r="JTK286" s="1132" t="n"/>
      <c r="JTL286" s="1132" t="n"/>
      <c r="JTM286" s="1132" t="n"/>
      <c r="JTN286" s="1132" t="n"/>
      <c r="JTO286" s="1132" t="n"/>
      <c r="JTP286" s="1132" t="n"/>
      <c r="JTQ286" s="1132" t="n"/>
      <c r="JTR286" s="1132" t="n"/>
      <c r="JTS286" s="1132" t="n"/>
      <c r="JTT286" s="1132" t="n"/>
      <c r="JTU286" s="1132" t="n"/>
      <c r="JTV286" s="1132" t="n"/>
      <c r="JTW286" s="1132" t="n"/>
      <c r="JTX286" s="1132" t="n"/>
      <c r="JTY286" s="1132" t="n"/>
      <c r="JTZ286" s="1132" t="n"/>
      <c r="JUA286" s="1132" t="n"/>
      <c r="JUB286" s="1132" t="n"/>
      <c r="JUC286" s="1132" t="n"/>
      <c r="JUD286" s="1132" t="n"/>
      <c r="JUE286" s="1132" t="n"/>
      <c r="JUF286" s="1132" t="n"/>
      <c r="JUG286" s="1132" t="n"/>
      <c r="JUH286" s="1132" t="n"/>
      <c r="JUI286" s="1132" t="n"/>
      <c r="JUJ286" s="1132" t="n"/>
      <c r="JUK286" s="1132" t="n"/>
      <c r="JUL286" s="1132" t="n"/>
      <c r="JUM286" s="1132" t="n"/>
      <c r="JUN286" s="1132" t="n"/>
      <c r="JUO286" s="1132" t="n"/>
      <c r="JUP286" s="1132" t="n"/>
      <c r="JUQ286" s="1132" t="n"/>
      <c r="JUR286" s="1132" t="n"/>
      <c r="JUS286" s="1132" t="n"/>
      <c r="JUT286" s="1132" t="n"/>
      <c r="JUU286" s="1132" t="n"/>
      <c r="JUV286" s="1132" t="n"/>
      <c r="JUW286" s="1132" t="n"/>
      <c r="JUX286" s="1132" t="n"/>
      <c r="JUY286" s="1132" t="n"/>
      <c r="JUZ286" s="1132" t="n"/>
      <c r="JVA286" s="1132" t="n"/>
      <c r="JVB286" s="1132" t="n"/>
      <c r="JVC286" s="1132" t="n"/>
      <c r="JVD286" s="1132" t="n"/>
      <c r="JVE286" s="1132" t="n"/>
      <c r="JVF286" s="1132" t="n"/>
      <c r="JVG286" s="1132" t="n"/>
      <c r="JVH286" s="1132" t="n"/>
      <c r="JVI286" s="1132" t="n"/>
      <c r="JVJ286" s="1132" t="n"/>
      <c r="JVK286" s="1132" t="n"/>
      <c r="JVL286" s="1132" t="n"/>
      <c r="JVM286" s="1132" t="n"/>
      <c r="JVN286" s="1132" t="n"/>
      <c r="JVO286" s="1132" t="n"/>
      <c r="JVP286" s="1132" t="n"/>
      <c r="JVQ286" s="1132" t="n"/>
      <c r="JVR286" s="1132" t="n"/>
      <c r="JVS286" s="1132" t="n"/>
      <c r="JVT286" s="1132" t="n"/>
      <c r="JVU286" s="1132" t="n"/>
      <c r="JVV286" s="1132" t="n"/>
      <c r="JVW286" s="1132" t="n"/>
      <c r="JVX286" s="1132" t="n"/>
      <c r="JVY286" s="1132" t="n"/>
      <c r="JVZ286" s="1132" t="n"/>
      <c r="JWA286" s="1132" t="n"/>
      <c r="JWB286" s="1132" t="n"/>
      <c r="JWC286" s="1132" t="n"/>
      <c r="JWD286" s="1132" t="n"/>
      <c r="JWE286" s="1132" t="n"/>
      <c r="JWF286" s="1132" t="n"/>
      <c r="JWG286" s="1132" t="n"/>
      <c r="JWH286" s="1132" t="n"/>
      <c r="JWI286" s="1132" t="n"/>
      <c r="JWJ286" s="1132" t="n"/>
      <c r="JWK286" s="1132" t="n"/>
      <c r="JWL286" s="1132" t="n"/>
      <c r="JWM286" s="1132" t="n"/>
      <c r="JWN286" s="1132" t="n"/>
      <c r="JWO286" s="1132" t="n"/>
      <c r="JWP286" s="1132" t="n"/>
      <c r="JWQ286" s="1132" t="n"/>
      <c r="JWR286" s="1132" t="n"/>
      <c r="JWS286" s="1132" t="n"/>
      <c r="JWT286" s="1132" t="n"/>
      <c r="JWU286" s="1132" t="n"/>
      <c r="JWV286" s="1132" t="n"/>
      <c r="JWW286" s="1132" t="n"/>
      <c r="JWX286" s="1132" t="n"/>
      <c r="JWY286" s="1132" t="n"/>
      <c r="JWZ286" s="1132" t="n"/>
      <c r="JXA286" s="1132" t="n"/>
      <c r="JXB286" s="1132" t="n"/>
      <c r="JXC286" s="1132" t="n"/>
      <c r="JXD286" s="1132" t="n"/>
      <c r="JXE286" s="1132" t="n"/>
      <c r="JXF286" s="1132" t="n"/>
      <c r="JXG286" s="1132" t="n"/>
      <c r="JXH286" s="1132" t="n"/>
      <c r="JXI286" s="1132" t="n"/>
      <c r="JXJ286" s="1132" t="n"/>
      <c r="JXK286" s="1132" t="n"/>
      <c r="JXL286" s="1132" t="n"/>
      <c r="JXM286" s="1132" t="n"/>
      <c r="JXN286" s="1132" t="n"/>
      <c r="JXO286" s="1132" t="n"/>
      <c r="JXP286" s="1132" t="n"/>
      <c r="JXQ286" s="1132" t="n"/>
      <c r="JXR286" s="1132" t="n"/>
      <c r="JXS286" s="1132" t="n"/>
      <c r="JXT286" s="1132" t="n"/>
      <c r="JXU286" s="1132" t="n"/>
      <c r="JXV286" s="1132" t="n"/>
      <c r="JXW286" s="1132" t="n"/>
      <c r="JXX286" s="1132" t="n"/>
      <c r="JXY286" s="1132" t="n"/>
      <c r="JXZ286" s="1132" t="n"/>
      <c r="JYA286" s="1132" t="n"/>
      <c r="JYB286" s="1132" t="n"/>
      <c r="JYC286" s="1132" t="n"/>
      <c r="JYD286" s="1132" t="n"/>
      <c r="JYE286" s="1132" t="n"/>
      <c r="JYF286" s="1132" t="n"/>
      <c r="JYG286" s="1132" t="n"/>
      <c r="JYH286" s="1132" t="n"/>
      <c r="JYI286" s="1132" t="n"/>
      <c r="JYJ286" s="1132" t="n"/>
      <c r="JYK286" s="1132" t="n"/>
      <c r="JYL286" s="1132" t="n"/>
      <c r="JYM286" s="1132" t="n"/>
      <c r="JYN286" s="1132" t="n"/>
      <c r="JYO286" s="1132" t="n"/>
      <c r="JYP286" s="1132" t="n"/>
      <c r="JYQ286" s="1132" t="n"/>
      <c r="JYR286" s="1132" t="n"/>
      <c r="JYS286" s="1132" t="n"/>
      <c r="JYT286" s="1132" t="n"/>
      <c r="JYU286" s="1132" t="n"/>
      <c r="JYV286" s="1132" t="n"/>
      <c r="JYW286" s="1132" t="n"/>
      <c r="JYX286" s="1132" t="n"/>
      <c r="JYY286" s="1132" t="n"/>
      <c r="JYZ286" s="1132" t="n"/>
      <c r="JZA286" s="1132" t="n"/>
      <c r="JZB286" s="1132" t="n"/>
      <c r="JZC286" s="1132" t="n"/>
      <c r="JZD286" s="1132" t="n"/>
      <c r="JZE286" s="1132" t="n"/>
      <c r="JZF286" s="1132" t="n"/>
      <c r="JZG286" s="1132" t="n"/>
      <c r="JZH286" s="1132" t="n"/>
      <c r="JZI286" s="1132" t="n"/>
      <c r="JZJ286" s="1132" t="n"/>
      <c r="JZK286" s="1132" t="n"/>
      <c r="JZL286" s="1132" t="n"/>
      <c r="JZM286" s="1132" t="n"/>
      <c r="JZN286" s="1132" t="n"/>
      <c r="JZO286" s="1132" t="n"/>
      <c r="JZP286" s="1132" t="n"/>
      <c r="JZQ286" s="1132" t="n"/>
      <c r="JZR286" s="1132" t="n"/>
      <c r="JZS286" s="1132" t="n"/>
      <c r="JZT286" s="1132" t="n"/>
      <c r="JZU286" s="1132" t="n"/>
      <c r="JZV286" s="1132" t="n"/>
      <c r="JZW286" s="1132" t="n"/>
      <c r="JZX286" s="1132" t="n"/>
      <c r="JZY286" s="1132" t="n"/>
      <c r="JZZ286" s="1132" t="n"/>
      <c r="KAA286" s="1132" t="n"/>
      <c r="KAB286" s="1132" t="n"/>
      <c r="KAC286" s="1132" t="n"/>
      <c r="KAD286" s="1132" t="n"/>
      <c r="KAE286" s="1132" t="n"/>
      <c r="KAF286" s="1132" t="n"/>
      <c r="KAG286" s="1132" t="n"/>
      <c r="KAH286" s="1132" t="n"/>
      <c r="KAI286" s="1132" t="n"/>
      <c r="KAJ286" s="1132" t="n"/>
      <c r="KAK286" s="1132" t="n"/>
      <c r="KAL286" s="1132" t="n"/>
      <c r="KAM286" s="1132" t="n"/>
      <c r="KAN286" s="1132" t="n"/>
      <c r="KAO286" s="1132" t="n"/>
      <c r="KAP286" s="1132" t="n"/>
      <c r="KAQ286" s="1132" t="n"/>
      <c r="KAR286" s="1132" t="n"/>
      <c r="KAS286" s="1132" t="n"/>
      <c r="KAT286" s="1132" t="n"/>
      <c r="KAU286" s="1132" t="n"/>
      <c r="KAV286" s="1132" t="n"/>
      <c r="KAW286" s="1132" t="n"/>
      <c r="KAX286" s="1132" t="n"/>
      <c r="KAY286" s="1132" t="n"/>
      <c r="KAZ286" s="1132" t="n"/>
      <c r="KBA286" s="1132" t="n"/>
      <c r="KBB286" s="1132" t="n"/>
      <c r="KBC286" s="1132" t="n"/>
      <c r="KBD286" s="1132" t="n"/>
      <c r="KBE286" s="1132" t="n"/>
      <c r="KBF286" s="1132" t="n"/>
      <c r="KBG286" s="1132" t="n"/>
      <c r="KBH286" s="1132" t="n"/>
      <c r="KBI286" s="1132" t="n"/>
      <c r="KBJ286" s="1132" t="n"/>
      <c r="KBK286" s="1132" t="n"/>
      <c r="KBL286" s="1132" t="n"/>
      <c r="KBM286" s="1132" t="n"/>
      <c r="KBN286" s="1132" t="n"/>
      <c r="KBO286" s="1132" t="n"/>
      <c r="KBP286" s="1132" t="n"/>
      <c r="KBQ286" s="1132" t="n"/>
      <c r="KBR286" s="1132" t="n"/>
      <c r="KBS286" s="1132" t="n"/>
      <c r="KBT286" s="1132" t="n"/>
      <c r="KBU286" s="1132" t="n"/>
      <c r="KBV286" s="1132" t="n"/>
      <c r="KBW286" s="1132" t="n"/>
      <c r="KBX286" s="1132" t="n"/>
      <c r="KBY286" s="1132" t="n"/>
      <c r="KBZ286" s="1132" t="n"/>
      <c r="KCA286" s="1132" t="n"/>
      <c r="KCB286" s="1132" t="n"/>
      <c r="KCC286" s="1132" t="n"/>
      <c r="KCD286" s="1132" t="n"/>
      <c r="KCE286" s="1132" t="n"/>
      <c r="KCF286" s="1132" t="n"/>
      <c r="KCG286" s="1132" t="n"/>
      <c r="KCH286" s="1132" t="n"/>
      <c r="KCI286" s="1132" t="n"/>
      <c r="KCJ286" s="1132" t="n"/>
      <c r="KCK286" s="1132" t="n"/>
      <c r="KCL286" s="1132" t="n"/>
      <c r="KCM286" s="1132" t="n"/>
      <c r="KCN286" s="1132" t="n"/>
      <c r="KCO286" s="1132" t="n"/>
      <c r="KCP286" s="1132" t="n"/>
      <c r="KCQ286" s="1132" t="n"/>
      <c r="KCR286" s="1132" t="n"/>
      <c r="KCS286" s="1132" t="n"/>
      <c r="KCT286" s="1132" t="n"/>
      <c r="KCU286" s="1132" t="n"/>
      <c r="KCV286" s="1132" t="n"/>
      <c r="KCW286" s="1132" t="n"/>
      <c r="KCX286" s="1132" t="n"/>
      <c r="KCY286" s="1132" t="n"/>
      <c r="KCZ286" s="1132" t="n"/>
      <c r="KDA286" s="1132" t="n"/>
      <c r="KDB286" s="1132" t="n"/>
      <c r="KDC286" s="1132" t="n"/>
      <c r="KDD286" s="1132" t="n"/>
      <c r="KDE286" s="1132" t="n"/>
      <c r="KDF286" s="1132" t="n"/>
      <c r="KDG286" s="1132" t="n"/>
      <c r="KDH286" s="1132" t="n"/>
      <c r="KDI286" s="1132" t="n"/>
      <c r="KDJ286" s="1132" t="n"/>
      <c r="KDK286" s="1132" t="n"/>
      <c r="KDL286" s="1132" t="n"/>
      <c r="KDM286" s="1132" t="n"/>
      <c r="KDN286" s="1132" t="n"/>
      <c r="KDO286" s="1132" t="n"/>
      <c r="KDP286" s="1132" t="n"/>
      <c r="KDQ286" s="1132" t="n"/>
      <c r="KDR286" s="1132" t="n"/>
      <c r="KDS286" s="1132" t="n"/>
      <c r="KDT286" s="1132" t="n"/>
      <c r="KDU286" s="1132" t="n"/>
      <c r="KDV286" s="1132" t="n"/>
      <c r="KDW286" s="1132" t="n"/>
      <c r="KDX286" s="1132" t="n"/>
      <c r="KDY286" s="1132" t="n"/>
      <c r="KDZ286" s="1132" t="n"/>
      <c r="KEA286" s="1132" t="n"/>
      <c r="KEB286" s="1132" t="n"/>
      <c r="KEC286" s="1132" t="n"/>
      <c r="KED286" s="1132" t="n"/>
      <c r="KEE286" s="1132" t="n"/>
      <c r="KEF286" s="1132" t="n"/>
      <c r="KEG286" s="1132" t="n"/>
      <c r="KEH286" s="1132" t="n"/>
      <c r="KEI286" s="1132" t="n"/>
      <c r="KEJ286" s="1132" t="n"/>
      <c r="KEK286" s="1132" t="n"/>
      <c r="KEL286" s="1132" t="n"/>
      <c r="KEM286" s="1132" t="n"/>
      <c r="KEN286" s="1132" t="n"/>
      <c r="KEO286" s="1132" t="n"/>
      <c r="KEP286" s="1132" t="n"/>
      <c r="KEQ286" s="1132" t="n"/>
      <c r="KER286" s="1132" t="n"/>
      <c r="KES286" s="1132" t="n"/>
      <c r="KET286" s="1132" t="n"/>
      <c r="KEU286" s="1132" t="n"/>
      <c r="KEV286" s="1132" t="n"/>
      <c r="KEW286" s="1132" t="n"/>
      <c r="KEX286" s="1132" t="n"/>
      <c r="KEY286" s="1132" t="n"/>
      <c r="KEZ286" s="1132" t="n"/>
      <c r="KFA286" s="1132" t="n"/>
      <c r="KFB286" s="1132" t="n"/>
      <c r="KFC286" s="1132" t="n"/>
      <c r="KFD286" s="1132" t="n"/>
      <c r="KFE286" s="1132" t="n"/>
      <c r="KFF286" s="1132" t="n"/>
      <c r="KFG286" s="1132" t="n"/>
      <c r="KFH286" s="1132" t="n"/>
      <c r="KFI286" s="1132" t="n"/>
      <c r="KFJ286" s="1132" t="n"/>
      <c r="KFK286" s="1132" t="n"/>
      <c r="KFL286" s="1132" t="n"/>
      <c r="KFM286" s="1132" t="n"/>
      <c r="KFN286" s="1132" t="n"/>
      <c r="KFO286" s="1132" t="n"/>
      <c r="KFP286" s="1132" t="n"/>
      <c r="KFQ286" s="1132" t="n"/>
      <c r="KFR286" s="1132" t="n"/>
      <c r="KFS286" s="1132" t="n"/>
      <c r="KFT286" s="1132" t="n"/>
      <c r="KFU286" s="1132" t="n"/>
      <c r="KFV286" s="1132" t="n"/>
      <c r="KFW286" s="1132" t="n"/>
      <c r="KFX286" s="1132" t="n"/>
      <c r="KFY286" s="1132" t="n"/>
      <c r="KFZ286" s="1132" t="n"/>
      <c r="KGA286" s="1132" t="n"/>
      <c r="KGB286" s="1132" t="n"/>
      <c r="KGC286" s="1132" t="n"/>
      <c r="KGD286" s="1132" t="n"/>
      <c r="KGE286" s="1132" t="n"/>
      <c r="KGF286" s="1132" t="n"/>
      <c r="KGG286" s="1132" t="n"/>
      <c r="KGH286" s="1132" t="n"/>
      <c r="KGI286" s="1132" t="n"/>
      <c r="KGJ286" s="1132" t="n"/>
      <c r="KGK286" s="1132" t="n"/>
      <c r="KGL286" s="1132" t="n"/>
      <c r="KGM286" s="1132" t="n"/>
      <c r="KGN286" s="1132" t="n"/>
      <c r="KGO286" s="1132" t="n"/>
      <c r="KGP286" s="1132" t="n"/>
      <c r="KGQ286" s="1132" t="n"/>
      <c r="KGR286" s="1132" t="n"/>
      <c r="KGS286" s="1132" t="n"/>
      <c r="KGT286" s="1132" t="n"/>
      <c r="KGU286" s="1132" t="n"/>
      <c r="KGV286" s="1132" t="n"/>
      <c r="KGW286" s="1132" t="n"/>
      <c r="KGX286" s="1132" t="n"/>
      <c r="KGY286" s="1132" t="n"/>
      <c r="KGZ286" s="1132" t="n"/>
      <c r="KHA286" s="1132" t="n"/>
      <c r="KHB286" s="1132" t="n"/>
      <c r="KHC286" s="1132" t="n"/>
      <c r="KHD286" s="1132" t="n"/>
      <c r="KHE286" s="1132" t="n"/>
      <c r="KHF286" s="1132" t="n"/>
      <c r="KHG286" s="1132" t="n"/>
      <c r="KHH286" s="1132" t="n"/>
      <c r="KHI286" s="1132" t="n"/>
      <c r="KHJ286" s="1132" t="n"/>
      <c r="KHK286" s="1132" t="n"/>
      <c r="KHL286" s="1132" t="n"/>
      <c r="KHM286" s="1132" t="n"/>
      <c r="KHN286" s="1132" t="n"/>
      <c r="KHO286" s="1132" t="n"/>
      <c r="KHP286" s="1132" t="n"/>
      <c r="KHQ286" s="1132" t="n"/>
      <c r="KHR286" s="1132" t="n"/>
      <c r="KHS286" s="1132" t="n"/>
      <c r="KHT286" s="1132" t="n"/>
      <c r="KHU286" s="1132" t="n"/>
      <c r="KHV286" s="1132" t="n"/>
      <c r="KHW286" s="1132" t="n"/>
      <c r="KHX286" s="1132" t="n"/>
      <c r="KHY286" s="1132" t="n"/>
      <c r="KHZ286" s="1132" t="n"/>
      <c r="KIA286" s="1132" t="n"/>
      <c r="KIB286" s="1132" t="n"/>
      <c r="KIC286" s="1132" t="n"/>
      <c r="KID286" s="1132" t="n"/>
      <c r="KIE286" s="1132" t="n"/>
      <c r="KIF286" s="1132" t="n"/>
      <c r="KIG286" s="1132" t="n"/>
      <c r="KIH286" s="1132" t="n"/>
      <c r="KII286" s="1132" t="n"/>
      <c r="KIJ286" s="1132" t="n"/>
      <c r="KIK286" s="1132" t="n"/>
      <c r="KIL286" s="1132" t="n"/>
      <c r="KIM286" s="1132" t="n"/>
      <c r="KIN286" s="1132" t="n"/>
      <c r="KIO286" s="1132" t="n"/>
      <c r="KIP286" s="1132" t="n"/>
      <c r="KIQ286" s="1132" t="n"/>
      <c r="KIR286" s="1132" t="n"/>
      <c r="KIS286" s="1132" t="n"/>
      <c r="KIT286" s="1132" t="n"/>
      <c r="KIU286" s="1132" t="n"/>
      <c r="KIV286" s="1132" t="n"/>
      <c r="KIW286" s="1132" t="n"/>
      <c r="KIX286" s="1132" t="n"/>
      <c r="KIY286" s="1132" t="n"/>
      <c r="KIZ286" s="1132" t="n"/>
      <c r="KJA286" s="1132" t="n"/>
      <c r="KJB286" s="1132" t="n"/>
      <c r="KJC286" s="1132" t="n"/>
      <c r="KJD286" s="1132" t="n"/>
      <c r="KJE286" s="1132" t="n"/>
      <c r="KJF286" s="1132" t="n"/>
      <c r="KJG286" s="1132" t="n"/>
      <c r="KJH286" s="1132" t="n"/>
      <c r="KJI286" s="1132" t="n"/>
      <c r="KJJ286" s="1132" t="n"/>
      <c r="KJK286" s="1132" t="n"/>
      <c r="KJL286" s="1132" t="n"/>
      <c r="KJM286" s="1132" t="n"/>
      <c r="KJN286" s="1132" t="n"/>
      <c r="KJO286" s="1132" t="n"/>
      <c r="KJP286" s="1132" t="n"/>
      <c r="KJQ286" s="1132" t="n"/>
      <c r="KJR286" s="1132" t="n"/>
      <c r="KJS286" s="1132" t="n"/>
      <c r="KJT286" s="1132" t="n"/>
      <c r="KJU286" s="1132" t="n"/>
      <c r="KJV286" s="1132" t="n"/>
      <c r="KJW286" s="1132" t="n"/>
      <c r="KJX286" s="1132" t="n"/>
      <c r="KJY286" s="1132" t="n"/>
      <c r="KJZ286" s="1132" t="n"/>
      <c r="KKA286" s="1132" t="n"/>
      <c r="KKB286" s="1132" t="n"/>
      <c r="KKC286" s="1132" t="n"/>
      <c r="KKD286" s="1132" t="n"/>
      <c r="KKE286" s="1132" t="n"/>
      <c r="KKF286" s="1132" t="n"/>
      <c r="KKG286" s="1132" t="n"/>
      <c r="KKH286" s="1132" t="n"/>
      <c r="KKI286" s="1132" t="n"/>
      <c r="KKJ286" s="1132" t="n"/>
      <c r="KKK286" s="1132" t="n"/>
      <c r="KKL286" s="1132" t="n"/>
      <c r="KKM286" s="1132" t="n"/>
      <c r="KKN286" s="1132" t="n"/>
      <c r="KKO286" s="1132" t="n"/>
      <c r="KKP286" s="1132" t="n"/>
      <c r="KKQ286" s="1132" t="n"/>
      <c r="KKR286" s="1132" t="n"/>
      <c r="KKS286" s="1132" t="n"/>
      <c r="KKT286" s="1132" t="n"/>
      <c r="KKU286" s="1132" t="n"/>
      <c r="KKV286" s="1132" t="n"/>
      <c r="KKW286" s="1132" t="n"/>
      <c r="KKX286" s="1132" t="n"/>
      <c r="KKY286" s="1132" t="n"/>
      <c r="KKZ286" s="1132" t="n"/>
      <c r="KLA286" s="1132" t="n"/>
      <c r="KLB286" s="1132" t="n"/>
      <c r="KLC286" s="1132" t="n"/>
      <c r="KLD286" s="1132" t="n"/>
      <c r="KLE286" s="1132" t="n"/>
      <c r="KLF286" s="1132" t="n"/>
      <c r="KLG286" s="1132" t="n"/>
      <c r="KLH286" s="1132" t="n"/>
      <c r="KLI286" s="1132" t="n"/>
      <c r="KLJ286" s="1132" t="n"/>
      <c r="KLK286" s="1132" t="n"/>
      <c r="KLL286" s="1132" t="n"/>
      <c r="KLM286" s="1132" t="n"/>
      <c r="KLN286" s="1132" t="n"/>
      <c r="KLO286" s="1132" t="n"/>
      <c r="KLP286" s="1132" t="n"/>
      <c r="KLQ286" s="1132" t="n"/>
      <c r="KLR286" s="1132" t="n"/>
      <c r="KLS286" s="1132" t="n"/>
      <c r="KLT286" s="1132" t="n"/>
      <c r="KLU286" s="1132" t="n"/>
      <c r="KLV286" s="1132" t="n"/>
      <c r="KLW286" s="1132" t="n"/>
      <c r="KLX286" s="1132" t="n"/>
      <c r="KLY286" s="1132" t="n"/>
      <c r="KLZ286" s="1132" t="n"/>
      <c r="KMA286" s="1132" t="n"/>
      <c r="KMB286" s="1132" t="n"/>
      <c r="KMC286" s="1132" t="n"/>
      <c r="KMD286" s="1132" t="n"/>
      <c r="KME286" s="1132" t="n"/>
      <c r="KMF286" s="1132" t="n"/>
      <c r="KMG286" s="1132" t="n"/>
      <c r="KMH286" s="1132" t="n"/>
      <c r="KMI286" s="1132" t="n"/>
      <c r="KMJ286" s="1132" t="n"/>
      <c r="KMK286" s="1132" t="n"/>
      <c r="KML286" s="1132" t="n"/>
      <c r="KMM286" s="1132" t="n"/>
      <c r="KMN286" s="1132" t="n"/>
      <c r="KMO286" s="1132" t="n"/>
      <c r="KMP286" s="1132" t="n"/>
      <c r="KMQ286" s="1132" t="n"/>
      <c r="KMR286" s="1132" t="n"/>
      <c r="KMS286" s="1132" t="n"/>
      <c r="KMT286" s="1132" t="n"/>
      <c r="KMU286" s="1132" t="n"/>
      <c r="KMV286" s="1132" t="n"/>
      <c r="KMW286" s="1132" t="n"/>
      <c r="KMX286" s="1132" t="n"/>
      <c r="KMY286" s="1132" t="n"/>
      <c r="KMZ286" s="1132" t="n"/>
      <c r="KNA286" s="1132" t="n"/>
      <c r="KNB286" s="1132" t="n"/>
      <c r="KNC286" s="1132" t="n"/>
      <c r="KND286" s="1132" t="n"/>
      <c r="KNE286" s="1132" t="n"/>
      <c r="KNF286" s="1132" t="n"/>
      <c r="KNG286" s="1132" t="n"/>
      <c r="KNH286" s="1132" t="n"/>
      <c r="KNI286" s="1132" t="n"/>
      <c r="KNJ286" s="1132" t="n"/>
      <c r="KNK286" s="1132" t="n"/>
      <c r="KNL286" s="1132" t="n"/>
      <c r="KNM286" s="1132" t="n"/>
      <c r="KNN286" s="1132" t="n"/>
      <c r="KNO286" s="1132" t="n"/>
      <c r="KNP286" s="1132" t="n"/>
      <c r="KNQ286" s="1132" t="n"/>
      <c r="KNR286" s="1132" t="n"/>
      <c r="KNS286" s="1132" t="n"/>
      <c r="KNT286" s="1132" t="n"/>
      <c r="KNU286" s="1132" t="n"/>
      <c r="KNV286" s="1132" t="n"/>
      <c r="KNW286" s="1132" t="n"/>
      <c r="KNX286" s="1132" t="n"/>
      <c r="KNY286" s="1132" t="n"/>
      <c r="KNZ286" s="1132" t="n"/>
      <c r="KOA286" s="1132" t="n"/>
      <c r="KOB286" s="1132" t="n"/>
      <c r="KOC286" s="1132" t="n"/>
      <c r="KOD286" s="1132" t="n"/>
      <c r="KOE286" s="1132" t="n"/>
      <c r="KOF286" s="1132" t="n"/>
      <c r="KOG286" s="1132" t="n"/>
      <c r="KOH286" s="1132" t="n"/>
      <c r="KOI286" s="1132" t="n"/>
      <c r="KOJ286" s="1132" t="n"/>
      <c r="KOK286" s="1132" t="n"/>
      <c r="KOL286" s="1132" t="n"/>
      <c r="KOM286" s="1132" t="n"/>
      <c r="KON286" s="1132" t="n"/>
      <c r="KOO286" s="1132" t="n"/>
      <c r="KOP286" s="1132" t="n"/>
      <c r="KOQ286" s="1132" t="n"/>
      <c r="KOR286" s="1132" t="n"/>
      <c r="KOS286" s="1132" t="n"/>
      <c r="KOT286" s="1132" t="n"/>
      <c r="KOU286" s="1132" t="n"/>
      <c r="KOV286" s="1132" t="n"/>
      <c r="KOW286" s="1132" t="n"/>
      <c r="KOX286" s="1132" t="n"/>
      <c r="KOY286" s="1132" t="n"/>
      <c r="KOZ286" s="1132" t="n"/>
      <c r="KPA286" s="1132" t="n"/>
      <c r="KPB286" s="1132" t="n"/>
      <c r="KPC286" s="1132" t="n"/>
      <c r="KPD286" s="1132" t="n"/>
      <c r="KPE286" s="1132" t="n"/>
      <c r="KPF286" s="1132" t="n"/>
      <c r="KPG286" s="1132" t="n"/>
      <c r="KPH286" s="1132" t="n"/>
      <c r="KPI286" s="1132" t="n"/>
      <c r="KPJ286" s="1132" t="n"/>
      <c r="KPK286" s="1132" t="n"/>
      <c r="KPL286" s="1132" t="n"/>
      <c r="KPM286" s="1132" t="n"/>
      <c r="KPN286" s="1132" t="n"/>
      <c r="KPO286" s="1132" t="n"/>
      <c r="KPP286" s="1132" t="n"/>
      <c r="KPQ286" s="1132" t="n"/>
      <c r="KPR286" s="1132" t="n"/>
      <c r="KPS286" s="1132" t="n"/>
      <c r="KPT286" s="1132" t="n"/>
      <c r="KPU286" s="1132" t="n"/>
      <c r="KPV286" s="1132" t="n"/>
      <c r="KPW286" s="1132" t="n"/>
      <c r="KPX286" s="1132" t="n"/>
      <c r="KPY286" s="1132" t="n"/>
      <c r="KPZ286" s="1132" t="n"/>
      <c r="KQA286" s="1132" t="n"/>
      <c r="KQB286" s="1132" t="n"/>
      <c r="KQC286" s="1132" t="n"/>
      <c r="KQD286" s="1132" t="n"/>
      <c r="KQE286" s="1132" t="n"/>
      <c r="KQF286" s="1132" t="n"/>
      <c r="KQG286" s="1132" t="n"/>
      <c r="KQH286" s="1132" t="n"/>
      <c r="KQI286" s="1132" t="n"/>
      <c r="KQJ286" s="1132" t="n"/>
      <c r="KQK286" s="1132" t="n"/>
      <c r="KQL286" s="1132" t="n"/>
      <c r="KQM286" s="1132" t="n"/>
      <c r="KQN286" s="1132" t="n"/>
      <c r="KQO286" s="1132" t="n"/>
      <c r="KQP286" s="1132" t="n"/>
      <c r="KQQ286" s="1132" t="n"/>
      <c r="KQR286" s="1132" t="n"/>
      <c r="KQS286" s="1132" t="n"/>
      <c r="KQT286" s="1132" t="n"/>
      <c r="KQU286" s="1132" t="n"/>
      <c r="KQV286" s="1132" t="n"/>
      <c r="KQW286" s="1132" t="n"/>
      <c r="KQX286" s="1132" t="n"/>
      <c r="KQY286" s="1132" t="n"/>
      <c r="KQZ286" s="1132" t="n"/>
      <c r="KRA286" s="1132" t="n"/>
      <c r="KRB286" s="1132" t="n"/>
      <c r="KRC286" s="1132" t="n"/>
      <c r="KRD286" s="1132" t="n"/>
      <c r="KRE286" s="1132" t="n"/>
      <c r="KRF286" s="1132" t="n"/>
      <c r="KRG286" s="1132" t="n"/>
      <c r="KRH286" s="1132" t="n"/>
      <c r="KRI286" s="1132" t="n"/>
      <c r="KRJ286" s="1132" t="n"/>
      <c r="KRK286" s="1132" t="n"/>
      <c r="KRL286" s="1132" t="n"/>
      <c r="KRM286" s="1132" t="n"/>
      <c r="KRN286" s="1132" t="n"/>
      <c r="KRO286" s="1132" t="n"/>
      <c r="KRP286" s="1132" t="n"/>
      <c r="KRQ286" s="1132" t="n"/>
      <c r="KRR286" s="1132" t="n"/>
      <c r="KRS286" s="1132" t="n"/>
      <c r="KRT286" s="1132" t="n"/>
      <c r="KRU286" s="1132" t="n"/>
      <c r="KRV286" s="1132" t="n"/>
      <c r="KRW286" s="1132" t="n"/>
      <c r="KRX286" s="1132" t="n"/>
      <c r="KRY286" s="1132" t="n"/>
      <c r="KRZ286" s="1132" t="n"/>
      <c r="KSA286" s="1132" t="n"/>
      <c r="KSB286" s="1132" t="n"/>
      <c r="KSC286" s="1132" t="n"/>
      <c r="KSD286" s="1132" t="n"/>
      <c r="KSE286" s="1132" t="n"/>
      <c r="KSF286" s="1132" t="n"/>
      <c r="KSG286" s="1132" t="n"/>
      <c r="KSH286" s="1132" t="n"/>
      <c r="KSI286" s="1132" t="n"/>
      <c r="KSJ286" s="1132" t="n"/>
      <c r="KSK286" s="1132" t="n"/>
      <c r="KSL286" s="1132" t="n"/>
      <c r="KSM286" s="1132" t="n"/>
      <c r="KSN286" s="1132" t="n"/>
      <c r="KSO286" s="1132" t="n"/>
      <c r="KSP286" s="1132" t="n"/>
      <c r="KSQ286" s="1132" t="n"/>
      <c r="KSR286" s="1132" t="n"/>
      <c r="KSS286" s="1132" t="n"/>
      <c r="KST286" s="1132" t="n"/>
      <c r="KSU286" s="1132" t="n"/>
      <c r="KSV286" s="1132" t="n"/>
      <c r="KSW286" s="1132" t="n"/>
      <c r="KSX286" s="1132" t="n"/>
      <c r="KSY286" s="1132" t="n"/>
      <c r="KSZ286" s="1132" t="n"/>
      <c r="KTA286" s="1132" t="n"/>
      <c r="KTB286" s="1132" t="n"/>
      <c r="KTC286" s="1132" t="n"/>
      <c r="KTD286" s="1132" t="n"/>
      <c r="KTE286" s="1132" t="n"/>
      <c r="KTF286" s="1132" t="n"/>
      <c r="KTG286" s="1132" t="n"/>
      <c r="KTH286" s="1132" t="n"/>
      <c r="KTI286" s="1132" t="n"/>
      <c r="KTJ286" s="1132" t="n"/>
      <c r="KTK286" s="1132" t="n"/>
      <c r="KTL286" s="1132" t="n"/>
      <c r="KTM286" s="1132" t="n"/>
      <c r="KTN286" s="1132" t="n"/>
      <c r="KTO286" s="1132" t="n"/>
      <c r="KTP286" s="1132" t="n"/>
      <c r="KTQ286" s="1132" t="n"/>
      <c r="KTR286" s="1132" t="n"/>
      <c r="KTS286" s="1132" t="n"/>
      <c r="KTT286" s="1132" t="n"/>
      <c r="KTU286" s="1132" t="n"/>
      <c r="KTV286" s="1132" t="n"/>
      <c r="KTW286" s="1132" t="n"/>
      <c r="KTX286" s="1132" t="n"/>
      <c r="KTY286" s="1132" t="n"/>
      <c r="KTZ286" s="1132" t="n"/>
      <c r="KUA286" s="1132" t="n"/>
      <c r="KUB286" s="1132" t="n"/>
      <c r="KUC286" s="1132" t="n"/>
      <c r="KUD286" s="1132" t="n"/>
      <c r="KUE286" s="1132" t="n"/>
      <c r="KUF286" s="1132" t="n"/>
      <c r="KUG286" s="1132" t="n"/>
      <c r="KUH286" s="1132" t="n"/>
      <c r="KUI286" s="1132" t="n"/>
      <c r="KUJ286" s="1132" t="n"/>
      <c r="KUK286" s="1132" t="n"/>
      <c r="KUL286" s="1132" t="n"/>
      <c r="KUM286" s="1132" t="n"/>
      <c r="KUN286" s="1132" t="n"/>
      <c r="KUO286" s="1132" t="n"/>
      <c r="KUP286" s="1132" t="n"/>
      <c r="KUQ286" s="1132" t="n"/>
      <c r="KUR286" s="1132" t="n"/>
      <c r="KUS286" s="1132" t="n"/>
      <c r="KUT286" s="1132" t="n"/>
      <c r="KUU286" s="1132" t="n"/>
      <c r="KUV286" s="1132" t="n"/>
      <c r="KUW286" s="1132" t="n"/>
      <c r="KUX286" s="1132" t="n"/>
      <c r="KUY286" s="1132" t="n"/>
      <c r="KUZ286" s="1132" t="n"/>
      <c r="KVA286" s="1132" t="n"/>
      <c r="KVB286" s="1132" t="n"/>
      <c r="KVC286" s="1132" t="n"/>
      <c r="KVD286" s="1132" t="n"/>
      <c r="KVE286" s="1132" t="n"/>
      <c r="KVF286" s="1132" t="n"/>
      <c r="KVG286" s="1132" t="n"/>
      <c r="KVH286" s="1132" t="n"/>
      <c r="KVI286" s="1132" t="n"/>
      <c r="KVJ286" s="1132" t="n"/>
      <c r="KVK286" s="1132" t="n"/>
      <c r="KVL286" s="1132" t="n"/>
      <c r="KVM286" s="1132" t="n"/>
      <c r="KVN286" s="1132" t="n"/>
      <c r="KVO286" s="1132" t="n"/>
      <c r="KVP286" s="1132" t="n"/>
      <c r="KVQ286" s="1132" t="n"/>
      <c r="KVR286" s="1132" t="n"/>
      <c r="KVS286" s="1132" t="n"/>
      <c r="KVT286" s="1132" t="n"/>
      <c r="KVU286" s="1132" t="n"/>
      <c r="KVV286" s="1132" t="n"/>
      <c r="KVW286" s="1132" t="n"/>
      <c r="KVX286" s="1132" t="n"/>
      <c r="KVY286" s="1132" t="n"/>
      <c r="KVZ286" s="1132" t="n"/>
      <c r="KWA286" s="1132" t="n"/>
      <c r="KWB286" s="1132" t="n"/>
      <c r="KWC286" s="1132" t="n"/>
      <c r="KWD286" s="1132" t="n"/>
      <c r="KWE286" s="1132" t="n"/>
      <c r="KWF286" s="1132" t="n"/>
      <c r="KWG286" s="1132" t="n"/>
      <c r="KWH286" s="1132" t="n"/>
      <c r="KWI286" s="1132" t="n"/>
      <c r="KWJ286" s="1132" t="n"/>
      <c r="KWK286" s="1132" t="n"/>
      <c r="KWL286" s="1132" t="n"/>
      <c r="KWM286" s="1132" t="n"/>
      <c r="KWN286" s="1132" t="n"/>
      <c r="KWO286" s="1132" t="n"/>
      <c r="KWP286" s="1132" t="n"/>
      <c r="KWQ286" s="1132" t="n"/>
      <c r="KWR286" s="1132" t="n"/>
      <c r="KWS286" s="1132" t="n"/>
      <c r="KWT286" s="1132" t="n"/>
      <c r="KWU286" s="1132" t="n"/>
      <c r="KWV286" s="1132" t="n"/>
      <c r="KWW286" s="1132" t="n"/>
      <c r="KWX286" s="1132" t="n"/>
      <c r="KWY286" s="1132" t="n"/>
      <c r="KWZ286" s="1132" t="n"/>
      <c r="KXA286" s="1132" t="n"/>
      <c r="KXB286" s="1132" t="n"/>
      <c r="KXC286" s="1132" t="n"/>
      <c r="KXD286" s="1132" t="n"/>
      <c r="KXE286" s="1132" t="n"/>
      <c r="KXF286" s="1132" t="n"/>
      <c r="KXG286" s="1132" t="n"/>
      <c r="KXH286" s="1132" t="n"/>
      <c r="KXI286" s="1132" t="n"/>
      <c r="KXJ286" s="1132" t="n"/>
      <c r="KXK286" s="1132" t="n"/>
      <c r="KXL286" s="1132" t="n"/>
      <c r="KXM286" s="1132" t="n"/>
      <c r="KXN286" s="1132" t="n"/>
      <c r="KXO286" s="1132" t="n"/>
      <c r="KXP286" s="1132" t="n"/>
      <c r="KXQ286" s="1132" t="n"/>
      <c r="KXR286" s="1132" t="n"/>
      <c r="KXS286" s="1132" t="n"/>
      <c r="KXT286" s="1132" t="n"/>
      <c r="KXU286" s="1132" t="n"/>
      <c r="KXV286" s="1132" t="n"/>
      <c r="KXW286" s="1132" t="n"/>
      <c r="KXX286" s="1132" t="n"/>
      <c r="KXY286" s="1132" t="n"/>
      <c r="KXZ286" s="1132" t="n"/>
      <c r="KYA286" s="1132" t="n"/>
      <c r="KYB286" s="1132" t="n"/>
      <c r="KYC286" s="1132" t="n"/>
      <c r="KYD286" s="1132" t="n"/>
      <c r="KYE286" s="1132" t="n"/>
      <c r="KYF286" s="1132" t="n"/>
      <c r="KYG286" s="1132" t="n"/>
      <c r="KYH286" s="1132" t="n"/>
      <c r="KYI286" s="1132" t="n"/>
      <c r="KYJ286" s="1132" t="n"/>
      <c r="KYK286" s="1132" t="n"/>
      <c r="KYL286" s="1132" t="n"/>
      <c r="KYM286" s="1132" t="n"/>
      <c r="KYN286" s="1132" t="n"/>
      <c r="KYO286" s="1132" t="n"/>
      <c r="KYP286" s="1132" t="n"/>
      <c r="KYQ286" s="1132" t="n"/>
      <c r="KYR286" s="1132" t="n"/>
      <c r="KYS286" s="1132" t="n"/>
      <c r="KYT286" s="1132" t="n"/>
      <c r="KYU286" s="1132" t="n"/>
      <c r="KYV286" s="1132" t="n"/>
      <c r="KYW286" s="1132" t="n"/>
      <c r="KYX286" s="1132" t="n"/>
      <c r="KYY286" s="1132" t="n"/>
      <c r="KYZ286" s="1132" t="n"/>
      <c r="KZA286" s="1132" t="n"/>
      <c r="KZB286" s="1132" t="n"/>
      <c r="KZC286" s="1132" t="n"/>
      <c r="KZD286" s="1132" t="n"/>
      <c r="KZE286" s="1132" t="n"/>
      <c r="KZF286" s="1132" t="n"/>
      <c r="KZG286" s="1132" t="n"/>
      <c r="KZH286" s="1132" t="n"/>
      <c r="KZI286" s="1132" t="n"/>
      <c r="KZJ286" s="1132" t="n"/>
      <c r="KZK286" s="1132" t="n"/>
      <c r="KZL286" s="1132" t="n"/>
      <c r="KZM286" s="1132" t="n"/>
      <c r="KZN286" s="1132" t="n"/>
      <c r="KZO286" s="1132" t="n"/>
      <c r="KZP286" s="1132" t="n"/>
      <c r="KZQ286" s="1132" t="n"/>
      <c r="KZR286" s="1132" t="n"/>
      <c r="KZS286" s="1132" t="n"/>
      <c r="KZT286" s="1132" t="n"/>
      <c r="KZU286" s="1132" t="n"/>
      <c r="KZV286" s="1132" t="n"/>
      <c r="KZW286" s="1132" t="n"/>
      <c r="KZX286" s="1132" t="n"/>
      <c r="KZY286" s="1132" t="n"/>
      <c r="KZZ286" s="1132" t="n"/>
      <c r="LAA286" s="1132" t="n"/>
      <c r="LAB286" s="1132" t="n"/>
      <c r="LAC286" s="1132" t="n"/>
      <c r="LAD286" s="1132" t="n"/>
      <c r="LAE286" s="1132" t="n"/>
      <c r="LAF286" s="1132" t="n"/>
      <c r="LAG286" s="1132" t="n"/>
      <c r="LAH286" s="1132" t="n"/>
      <c r="LAI286" s="1132" t="n"/>
      <c r="LAJ286" s="1132" t="n"/>
      <c r="LAK286" s="1132" t="n"/>
      <c r="LAL286" s="1132" t="n"/>
      <c r="LAM286" s="1132" t="n"/>
      <c r="LAN286" s="1132" t="n"/>
      <c r="LAO286" s="1132" t="n"/>
      <c r="LAP286" s="1132" t="n"/>
      <c r="LAQ286" s="1132" t="n"/>
      <c r="LAR286" s="1132" t="n"/>
      <c r="LAS286" s="1132" t="n"/>
      <c r="LAT286" s="1132" t="n"/>
      <c r="LAU286" s="1132" t="n"/>
      <c r="LAV286" s="1132" t="n"/>
      <c r="LAW286" s="1132" t="n"/>
      <c r="LAX286" s="1132" t="n"/>
      <c r="LAY286" s="1132" t="n"/>
      <c r="LAZ286" s="1132" t="n"/>
      <c r="LBA286" s="1132" t="n"/>
      <c r="LBB286" s="1132" t="n"/>
      <c r="LBC286" s="1132" t="n"/>
      <c r="LBD286" s="1132" t="n"/>
      <c r="LBE286" s="1132" t="n"/>
      <c r="LBF286" s="1132" t="n"/>
      <c r="LBG286" s="1132" t="n"/>
      <c r="LBH286" s="1132" t="n"/>
      <c r="LBI286" s="1132" t="n"/>
      <c r="LBJ286" s="1132" t="n"/>
      <c r="LBK286" s="1132" t="n"/>
      <c r="LBL286" s="1132" t="n"/>
      <c r="LBM286" s="1132" t="n"/>
      <c r="LBN286" s="1132" t="n"/>
      <c r="LBO286" s="1132" t="n"/>
      <c r="LBP286" s="1132" t="n"/>
      <c r="LBQ286" s="1132" t="n"/>
      <c r="LBR286" s="1132" t="n"/>
      <c r="LBS286" s="1132" t="n"/>
      <c r="LBT286" s="1132" t="n"/>
      <c r="LBU286" s="1132" t="n"/>
      <c r="LBV286" s="1132" t="n"/>
      <c r="LBW286" s="1132" t="n"/>
      <c r="LBX286" s="1132" t="n"/>
      <c r="LBY286" s="1132" t="n"/>
      <c r="LBZ286" s="1132" t="n"/>
      <c r="LCA286" s="1132" t="n"/>
      <c r="LCB286" s="1132" t="n"/>
      <c r="LCC286" s="1132" t="n"/>
      <c r="LCD286" s="1132" t="n"/>
      <c r="LCE286" s="1132" t="n"/>
      <c r="LCF286" s="1132" t="n"/>
      <c r="LCG286" s="1132" t="n"/>
      <c r="LCH286" s="1132" t="n"/>
      <c r="LCI286" s="1132" t="n"/>
      <c r="LCJ286" s="1132" t="n"/>
      <c r="LCK286" s="1132" t="n"/>
      <c r="LCL286" s="1132" t="n"/>
      <c r="LCM286" s="1132" t="n"/>
      <c r="LCN286" s="1132" t="n"/>
      <c r="LCO286" s="1132" t="n"/>
      <c r="LCP286" s="1132" t="n"/>
      <c r="LCQ286" s="1132" t="n"/>
      <c r="LCR286" s="1132" t="n"/>
      <c r="LCS286" s="1132" t="n"/>
      <c r="LCT286" s="1132" t="n"/>
      <c r="LCU286" s="1132" t="n"/>
      <c r="LCV286" s="1132" t="n"/>
      <c r="LCW286" s="1132" t="n"/>
      <c r="LCX286" s="1132" t="n"/>
      <c r="LCY286" s="1132" t="n"/>
      <c r="LCZ286" s="1132" t="n"/>
      <c r="LDA286" s="1132" t="n"/>
      <c r="LDB286" s="1132" t="n"/>
      <c r="LDC286" s="1132" t="n"/>
      <c r="LDD286" s="1132" t="n"/>
      <c r="LDE286" s="1132" t="n"/>
      <c r="LDF286" s="1132" t="n"/>
      <c r="LDG286" s="1132" t="n"/>
      <c r="LDH286" s="1132" t="n"/>
      <c r="LDI286" s="1132" t="n"/>
      <c r="LDJ286" s="1132" t="n"/>
      <c r="LDK286" s="1132" t="n"/>
      <c r="LDL286" s="1132" t="n"/>
      <c r="LDM286" s="1132" t="n"/>
      <c r="LDN286" s="1132" t="n"/>
      <c r="LDO286" s="1132" t="n"/>
      <c r="LDP286" s="1132" t="n"/>
      <c r="LDQ286" s="1132" t="n"/>
      <c r="LDR286" s="1132" t="n"/>
      <c r="LDS286" s="1132" t="n"/>
      <c r="LDT286" s="1132" t="n"/>
      <c r="LDU286" s="1132" t="n"/>
      <c r="LDV286" s="1132" t="n"/>
      <c r="LDW286" s="1132" t="n"/>
      <c r="LDX286" s="1132" t="n"/>
      <c r="LDY286" s="1132" t="n"/>
      <c r="LDZ286" s="1132" t="n"/>
      <c r="LEA286" s="1132" t="n"/>
      <c r="LEB286" s="1132" t="n"/>
      <c r="LEC286" s="1132" t="n"/>
      <c r="LED286" s="1132" t="n"/>
      <c r="LEE286" s="1132" t="n"/>
      <c r="LEF286" s="1132" t="n"/>
      <c r="LEG286" s="1132" t="n"/>
      <c r="LEH286" s="1132" t="n"/>
      <c r="LEI286" s="1132" t="n"/>
      <c r="LEJ286" s="1132" t="n"/>
      <c r="LEK286" s="1132" t="n"/>
      <c r="LEL286" s="1132" t="n"/>
      <c r="LEM286" s="1132" t="n"/>
      <c r="LEN286" s="1132" t="n"/>
      <c r="LEO286" s="1132" t="n"/>
      <c r="LEP286" s="1132" t="n"/>
      <c r="LEQ286" s="1132" t="n"/>
      <c r="LER286" s="1132" t="n"/>
      <c r="LES286" s="1132" t="n"/>
      <c r="LET286" s="1132" t="n"/>
      <c r="LEU286" s="1132" t="n"/>
      <c r="LEV286" s="1132" t="n"/>
      <c r="LEW286" s="1132" t="n"/>
      <c r="LEX286" s="1132" t="n"/>
      <c r="LEY286" s="1132" t="n"/>
      <c r="LEZ286" s="1132" t="n"/>
      <c r="LFA286" s="1132" t="n"/>
      <c r="LFB286" s="1132" t="n"/>
      <c r="LFC286" s="1132" t="n"/>
      <c r="LFD286" s="1132" t="n"/>
      <c r="LFE286" s="1132" t="n"/>
      <c r="LFF286" s="1132" t="n"/>
      <c r="LFG286" s="1132" t="n"/>
      <c r="LFH286" s="1132" t="n"/>
      <c r="LFI286" s="1132" t="n"/>
      <c r="LFJ286" s="1132" t="n"/>
      <c r="LFK286" s="1132" t="n"/>
      <c r="LFL286" s="1132" t="n"/>
      <c r="LFM286" s="1132" t="n"/>
      <c r="LFN286" s="1132" t="n"/>
      <c r="LFO286" s="1132" t="n"/>
      <c r="LFP286" s="1132" t="n"/>
      <c r="LFQ286" s="1132" t="n"/>
      <c r="LFR286" s="1132" t="n"/>
      <c r="LFS286" s="1132" t="n"/>
      <c r="LFT286" s="1132" t="n"/>
      <c r="LFU286" s="1132" t="n"/>
      <c r="LFV286" s="1132" t="n"/>
      <c r="LFW286" s="1132" t="n"/>
      <c r="LFX286" s="1132" t="n"/>
      <c r="LFY286" s="1132" t="n"/>
      <c r="LFZ286" s="1132" t="n"/>
      <c r="LGA286" s="1132" t="n"/>
      <c r="LGB286" s="1132" t="n"/>
      <c r="LGC286" s="1132" t="n"/>
      <c r="LGD286" s="1132" t="n"/>
      <c r="LGE286" s="1132" t="n"/>
      <c r="LGF286" s="1132" t="n"/>
      <c r="LGG286" s="1132" t="n"/>
      <c r="LGH286" s="1132" t="n"/>
      <c r="LGI286" s="1132" t="n"/>
      <c r="LGJ286" s="1132" t="n"/>
      <c r="LGK286" s="1132" t="n"/>
      <c r="LGL286" s="1132" t="n"/>
      <c r="LGM286" s="1132" t="n"/>
      <c r="LGN286" s="1132" t="n"/>
      <c r="LGO286" s="1132" t="n"/>
      <c r="LGP286" s="1132" t="n"/>
      <c r="LGQ286" s="1132" t="n"/>
      <c r="LGR286" s="1132" t="n"/>
      <c r="LGS286" s="1132" t="n"/>
      <c r="LGT286" s="1132" t="n"/>
      <c r="LGU286" s="1132" t="n"/>
      <c r="LGV286" s="1132" t="n"/>
      <c r="LGW286" s="1132" t="n"/>
      <c r="LGX286" s="1132" t="n"/>
      <c r="LGY286" s="1132" t="n"/>
      <c r="LGZ286" s="1132" t="n"/>
      <c r="LHA286" s="1132" t="n"/>
      <c r="LHB286" s="1132" t="n"/>
      <c r="LHC286" s="1132" t="n"/>
      <c r="LHD286" s="1132" t="n"/>
      <c r="LHE286" s="1132" t="n"/>
      <c r="LHF286" s="1132" t="n"/>
      <c r="LHG286" s="1132" t="n"/>
      <c r="LHH286" s="1132" t="n"/>
      <c r="LHI286" s="1132" t="n"/>
      <c r="LHJ286" s="1132" t="n"/>
      <c r="LHK286" s="1132" t="n"/>
      <c r="LHL286" s="1132" t="n"/>
      <c r="LHM286" s="1132" t="n"/>
      <c r="LHN286" s="1132" t="n"/>
      <c r="LHO286" s="1132" t="n"/>
      <c r="LHP286" s="1132" t="n"/>
      <c r="LHQ286" s="1132" t="n"/>
      <c r="LHR286" s="1132" t="n"/>
      <c r="LHS286" s="1132" t="n"/>
      <c r="LHT286" s="1132" t="n"/>
      <c r="LHU286" s="1132" t="n"/>
      <c r="LHV286" s="1132" t="n"/>
      <c r="LHW286" s="1132" t="n"/>
      <c r="LHX286" s="1132" t="n"/>
      <c r="LHY286" s="1132" t="n"/>
      <c r="LHZ286" s="1132" t="n"/>
      <c r="LIA286" s="1132" t="n"/>
      <c r="LIB286" s="1132" t="n"/>
      <c r="LIC286" s="1132" t="n"/>
      <c r="LID286" s="1132" t="n"/>
      <c r="LIE286" s="1132" t="n"/>
      <c r="LIF286" s="1132" t="n"/>
      <c r="LIG286" s="1132" t="n"/>
      <c r="LIH286" s="1132" t="n"/>
      <c r="LII286" s="1132" t="n"/>
      <c r="LIJ286" s="1132" t="n"/>
      <c r="LIK286" s="1132" t="n"/>
      <c r="LIL286" s="1132" t="n"/>
      <c r="LIM286" s="1132" t="n"/>
      <c r="LIN286" s="1132" t="n"/>
      <c r="LIO286" s="1132" t="n"/>
      <c r="LIP286" s="1132" t="n"/>
      <c r="LIQ286" s="1132" t="n"/>
      <c r="LIR286" s="1132" t="n"/>
      <c r="LIS286" s="1132" t="n"/>
      <c r="LIT286" s="1132" t="n"/>
      <c r="LIU286" s="1132" t="n"/>
      <c r="LIV286" s="1132" t="n"/>
      <c r="LIW286" s="1132" t="n"/>
      <c r="LIX286" s="1132" t="n"/>
      <c r="LIY286" s="1132" t="n"/>
      <c r="LIZ286" s="1132" t="n"/>
      <c r="LJA286" s="1132" t="n"/>
      <c r="LJB286" s="1132" t="n"/>
      <c r="LJC286" s="1132" t="n"/>
      <c r="LJD286" s="1132" t="n"/>
      <c r="LJE286" s="1132" t="n"/>
      <c r="LJF286" s="1132" t="n"/>
      <c r="LJG286" s="1132" t="n"/>
      <c r="LJH286" s="1132" t="n"/>
      <c r="LJI286" s="1132" t="n"/>
      <c r="LJJ286" s="1132" t="n"/>
      <c r="LJK286" s="1132" t="n"/>
      <c r="LJL286" s="1132" t="n"/>
      <c r="LJM286" s="1132" t="n"/>
      <c r="LJN286" s="1132" t="n"/>
      <c r="LJO286" s="1132" t="n"/>
      <c r="LJP286" s="1132" t="n"/>
      <c r="LJQ286" s="1132" t="n"/>
      <c r="LJR286" s="1132" t="n"/>
      <c r="LJS286" s="1132" t="n"/>
      <c r="LJT286" s="1132" t="n"/>
      <c r="LJU286" s="1132" t="n"/>
      <c r="LJV286" s="1132" t="n"/>
      <c r="LJW286" s="1132" t="n"/>
      <c r="LJX286" s="1132" t="n"/>
      <c r="LJY286" s="1132" t="n"/>
      <c r="LJZ286" s="1132" t="n"/>
      <c r="LKA286" s="1132" t="n"/>
      <c r="LKB286" s="1132" t="n"/>
      <c r="LKC286" s="1132" t="n"/>
      <c r="LKD286" s="1132" t="n"/>
      <c r="LKE286" s="1132" t="n"/>
      <c r="LKF286" s="1132" t="n"/>
      <c r="LKG286" s="1132" t="n"/>
      <c r="LKH286" s="1132" t="n"/>
      <c r="LKI286" s="1132" t="n"/>
      <c r="LKJ286" s="1132" t="n"/>
      <c r="LKK286" s="1132" t="n"/>
      <c r="LKL286" s="1132" t="n"/>
      <c r="LKM286" s="1132" t="n"/>
      <c r="LKN286" s="1132" t="n"/>
      <c r="LKO286" s="1132" t="n"/>
      <c r="LKP286" s="1132" t="n"/>
      <c r="LKQ286" s="1132" t="n"/>
      <c r="LKR286" s="1132" t="n"/>
      <c r="LKS286" s="1132" t="n"/>
      <c r="LKT286" s="1132" t="n"/>
      <c r="LKU286" s="1132" t="n"/>
      <c r="LKV286" s="1132" t="n"/>
      <c r="LKW286" s="1132" t="n"/>
      <c r="LKX286" s="1132" t="n"/>
      <c r="LKY286" s="1132" t="n"/>
      <c r="LKZ286" s="1132" t="n"/>
      <c r="LLA286" s="1132" t="n"/>
      <c r="LLB286" s="1132" t="n"/>
      <c r="LLC286" s="1132" t="n"/>
      <c r="LLD286" s="1132" t="n"/>
      <c r="LLE286" s="1132" t="n"/>
      <c r="LLF286" s="1132" t="n"/>
      <c r="LLG286" s="1132" t="n"/>
      <c r="LLH286" s="1132" t="n"/>
      <c r="LLI286" s="1132" t="n"/>
      <c r="LLJ286" s="1132" t="n"/>
      <c r="LLK286" s="1132" t="n"/>
      <c r="LLL286" s="1132" t="n"/>
      <c r="LLM286" s="1132" t="n"/>
      <c r="LLN286" s="1132" t="n"/>
      <c r="LLO286" s="1132" t="n"/>
      <c r="LLP286" s="1132" t="n"/>
      <c r="LLQ286" s="1132" t="n"/>
      <c r="LLR286" s="1132" t="n"/>
      <c r="LLS286" s="1132" t="n"/>
      <c r="LLT286" s="1132" t="n"/>
      <c r="LLU286" s="1132" t="n"/>
      <c r="LLV286" s="1132" t="n"/>
      <c r="LLW286" s="1132" t="n"/>
      <c r="LLX286" s="1132" t="n"/>
      <c r="LLY286" s="1132" t="n"/>
      <c r="LLZ286" s="1132" t="n"/>
      <c r="LMA286" s="1132" t="n"/>
      <c r="LMB286" s="1132" t="n"/>
      <c r="LMC286" s="1132" t="n"/>
      <c r="LMD286" s="1132" t="n"/>
      <c r="LME286" s="1132" t="n"/>
      <c r="LMF286" s="1132" t="n"/>
      <c r="LMG286" s="1132" t="n"/>
      <c r="LMH286" s="1132" t="n"/>
      <c r="LMI286" s="1132" t="n"/>
      <c r="LMJ286" s="1132" t="n"/>
      <c r="LMK286" s="1132" t="n"/>
      <c r="LML286" s="1132" t="n"/>
      <c r="LMM286" s="1132" t="n"/>
      <c r="LMN286" s="1132" t="n"/>
      <c r="LMO286" s="1132" t="n"/>
      <c r="LMP286" s="1132" t="n"/>
      <c r="LMQ286" s="1132" t="n"/>
      <c r="LMR286" s="1132" t="n"/>
      <c r="LMS286" s="1132" t="n"/>
      <c r="LMT286" s="1132" t="n"/>
      <c r="LMU286" s="1132" t="n"/>
      <c r="LMV286" s="1132" t="n"/>
      <c r="LMW286" s="1132" t="n"/>
      <c r="LMX286" s="1132" t="n"/>
      <c r="LMY286" s="1132" t="n"/>
      <c r="LMZ286" s="1132" t="n"/>
      <c r="LNA286" s="1132" t="n"/>
      <c r="LNB286" s="1132" t="n"/>
      <c r="LNC286" s="1132" t="n"/>
      <c r="LND286" s="1132" t="n"/>
      <c r="LNE286" s="1132" t="n"/>
      <c r="LNF286" s="1132" t="n"/>
      <c r="LNG286" s="1132" t="n"/>
      <c r="LNH286" s="1132" t="n"/>
      <c r="LNI286" s="1132" t="n"/>
      <c r="LNJ286" s="1132" t="n"/>
      <c r="LNK286" s="1132" t="n"/>
      <c r="LNL286" s="1132" t="n"/>
      <c r="LNM286" s="1132" t="n"/>
      <c r="LNN286" s="1132" t="n"/>
      <c r="LNO286" s="1132" t="n"/>
      <c r="LNP286" s="1132" t="n"/>
      <c r="LNQ286" s="1132" t="n"/>
      <c r="LNR286" s="1132" t="n"/>
      <c r="LNS286" s="1132" t="n"/>
      <c r="LNT286" s="1132" t="n"/>
      <c r="LNU286" s="1132" t="n"/>
      <c r="LNV286" s="1132" t="n"/>
      <c r="LNW286" s="1132" t="n"/>
      <c r="LNX286" s="1132" t="n"/>
      <c r="LNY286" s="1132" t="n"/>
      <c r="LNZ286" s="1132" t="n"/>
      <c r="LOA286" s="1132" t="n"/>
      <c r="LOB286" s="1132" t="n"/>
      <c r="LOC286" s="1132" t="n"/>
      <c r="LOD286" s="1132" t="n"/>
      <c r="LOE286" s="1132" t="n"/>
      <c r="LOF286" s="1132" t="n"/>
      <c r="LOG286" s="1132" t="n"/>
      <c r="LOH286" s="1132" t="n"/>
      <c r="LOI286" s="1132" t="n"/>
      <c r="LOJ286" s="1132" t="n"/>
      <c r="LOK286" s="1132" t="n"/>
      <c r="LOL286" s="1132" t="n"/>
      <c r="LOM286" s="1132" t="n"/>
      <c r="LON286" s="1132" t="n"/>
      <c r="LOO286" s="1132" t="n"/>
      <c r="LOP286" s="1132" t="n"/>
      <c r="LOQ286" s="1132" t="n"/>
      <c r="LOR286" s="1132" t="n"/>
      <c r="LOS286" s="1132" t="n"/>
      <c r="LOT286" s="1132" t="n"/>
      <c r="LOU286" s="1132" t="n"/>
      <c r="LOV286" s="1132" t="n"/>
      <c r="LOW286" s="1132" t="n"/>
      <c r="LOX286" s="1132" t="n"/>
      <c r="LOY286" s="1132" t="n"/>
      <c r="LOZ286" s="1132" t="n"/>
      <c r="LPA286" s="1132" t="n"/>
      <c r="LPB286" s="1132" t="n"/>
      <c r="LPC286" s="1132" t="n"/>
      <c r="LPD286" s="1132" t="n"/>
      <c r="LPE286" s="1132" t="n"/>
      <c r="LPF286" s="1132" t="n"/>
      <c r="LPG286" s="1132" t="n"/>
      <c r="LPH286" s="1132" t="n"/>
      <c r="LPI286" s="1132" t="n"/>
      <c r="LPJ286" s="1132" t="n"/>
      <c r="LPK286" s="1132" t="n"/>
      <c r="LPL286" s="1132" t="n"/>
      <c r="LPM286" s="1132" t="n"/>
      <c r="LPN286" s="1132" t="n"/>
      <c r="LPO286" s="1132" t="n"/>
      <c r="LPP286" s="1132" t="n"/>
      <c r="LPQ286" s="1132" t="n"/>
      <c r="LPR286" s="1132" t="n"/>
      <c r="LPS286" s="1132" t="n"/>
      <c r="LPT286" s="1132" t="n"/>
      <c r="LPU286" s="1132" t="n"/>
      <c r="LPV286" s="1132" t="n"/>
      <c r="LPW286" s="1132" t="n"/>
      <c r="LPX286" s="1132" t="n"/>
      <c r="LPY286" s="1132" t="n"/>
      <c r="LPZ286" s="1132" t="n"/>
      <c r="LQA286" s="1132" t="n"/>
      <c r="LQB286" s="1132" t="n"/>
      <c r="LQC286" s="1132" t="n"/>
      <c r="LQD286" s="1132" t="n"/>
      <c r="LQE286" s="1132" t="n"/>
      <c r="LQF286" s="1132" t="n"/>
      <c r="LQG286" s="1132" t="n"/>
      <c r="LQH286" s="1132" t="n"/>
      <c r="LQI286" s="1132" t="n"/>
      <c r="LQJ286" s="1132" t="n"/>
      <c r="LQK286" s="1132" t="n"/>
      <c r="LQL286" s="1132" t="n"/>
      <c r="LQM286" s="1132" t="n"/>
      <c r="LQN286" s="1132" t="n"/>
      <c r="LQO286" s="1132" t="n"/>
      <c r="LQP286" s="1132" t="n"/>
      <c r="LQQ286" s="1132" t="n"/>
      <c r="LQR286" s="1132" t="n"/>
      <c r="LQS286" s="1132" t="n"/>
      <c r="LQT286" s="1132" t="n"/>
      <c r="LQU286" s="1132" t="n"/>
      <c r="LQV286" s="1132" t="n"/>
      <c r="LQW286" s="1132" t="n"/>
      <c r="LQX286" s="1132" t="n"/>
      <c r="LQY286" s="1132" t="n"/>
      <c r="LQZ286" s="1132" t="n"/>
      <c r="LRA286" s="1132" t="n"/>
      <c r="LRB286" s="1132" t="n"/>
      <c r="LRC286" s="1132" t="n"/>
      <c r="LRD286" s="1132" t="n"/>
      <c r="LRE286" s="1132" t="n"/>
      <c r="LRF286" s="1132" t="n"/>
      <c r="LRG286" s="1132" t="n"/>
      <c r="LRH286" s="1132" t="n"/>
      <c r="LRI286" s="1132" t="n"/>
      <c r="LRJ286" s="1132" t="n"/>
      <c r="LRK286" s="1132" t="n"/>
      <c r="LRL286" s="1132" t="n"/>
      <c r="LRM286" s="1132" t="n"/>
      <c r="LRN286" s="1132" t="n"/>
      <c r="LRO286" s="1132" t="n"/>
      <c r="LRP286" s="1132" t="n"/>
      <c r="LRQ286" s="1132" t="n"/>
      <c r="LRR286" s="1132" t="n"/>
      <c r="LRS286" s="1132" t="n"/>
      <c r="LRT286" s="1132" t="n"/>
      <c r="LRU286" s="1132" t="n"/>
      <c r="LRV286" s="1132" t="n"/>
      <c r="LRW286" s="1132" t="n"/>
      <c r="LRX286" s="1132" t="n"/>
      <c r="LRY286" s="1132" t="n"/>
      <c r="LRZ286" s="1132" t="n"/>
      <c r="LSA286" s="1132" t="n"/>
      <c r="LSB286" s="1132" t="n"/>
      <c r="LSC286" s="1132" t="n"/>
      <c r="LSD286" s="1132" t="n"/>
      <c r="LSE286" s="1132" t="n"/>
      <c r="LSF286" s="1132" t="n"/>
      <c r="LSG286" s="1132" t="n"/>
      <c r="LSH286" s="1132" t="n"/>
      <c r="LSI286" s="1132" t="n"/>
      <c r="LSJ286" s="1132" t="n"/>
      <c r="LSK286" s="1132" t="n"/>
      <c r="LSL286" s="1132" t="n"/>
      <c r="LSM286" s="1132" t="n"/>
      <c r="LSN286" s="1132" t="n"/>
      <c r="LSO286" s="1132" t="n"/>
      <c r="LSP286" s="1132" t="n"/>
      <c r="LSQ286" s="1132" t="n"/>
      <c r="LSR286" s="1132" t="n"/>
      <c r="LSS286" s="1132" t="n"/>
      <c r="LST286" s="1132" t="n"/>
      <c r="LSU286" s="1132" t="n"/>
      <c r="LSV286" s="1132" t="n"/>
      <c r="LSW286" s="1132" t="n"/>
      <c r="LSX286" s="1132" t="n"/>
      <c r="LSY286" s="1132" t="n"/>
      <c r="LSZ286" s="1132" t="n"/>
      <c r="LTA286" s="1132" t="n"/>
      <c r="LTB286" s="1132" t="n"/>
      <c r="LTC286" s="1132" t="n"/>
      <c r="LTD286" s="1132" t="n"/>
      <c r="LTE286" s="1132" t="n"/>
      <c r="LTF286" s="1132" t="n"/>
      <c r="LTG286" s="1132" t="n"/>
      <c r="LTH286" s="1132" t="n"/>
      <c r="LTI286" s="1132" t="n"/>
      <c r="LTJ286" s="1132" t="n"/>
      <c r="LTK286" s="1132" t="n"/>
      <c r="LTL286" s="1132" t="n"/>
      <c r="LTM286" s="1132" t="n"/>
      <c r="LTN286" s="1132" t="n"/>
      <c r="LTO286" s="1132" t="n"/>
      <c r="LTP286" s="1132" t="n"/>
      <c r="LTQ286" s="1132" t="n"/>
      <c r="LTR286" s="1132" t="n"/>
      <c r="LTS286" s="1132" t="n"/>
      <c r="LTT286" s="1132" t="n"/>
      <c r="LTU286" s="1132" t="n"/>
      <c r="LTV286" s="1132" t="n"/>
      <c r="LTW286" s="1132" t="n"/>
      <c r="LTX286" s="1132" t="n"/>
      <c r="LTY286" s="1132" t="n"/>
      <c r="LTZ286" s="1132" t="n"/>
      <c r="LUA286" s="1132" t="n"/>
      <c r="LUB286" s="1132" t="n"/>
      <c r="LUC286" s="1132" t="n"/>
      <c r="LUD286" s="1132" t="n"/>
      <c r="LUE286" s="1132" t="n"/>
      <c r="LUF286" s="1132" t="n"/>
      <c r="LUG286" s="1132" t="n"/>
      <c r="LUH286" s="1132" t="n"/>
      <c r="LUI286" s="1132" t="n"/>
      <c r="LUJ286" s="1132" t="n"/>
      <c r="LUK286" s="1132" t="n"/>
      <c r="LUL286" s="1132" t="n"/>
      <c r="LUM286" s="1132" t="n"/>
      <c r="LUN286" s="1132" t="n"/>
      <c r="LUO286" s="1132" t="n"/>
      <c r="LUP286" s="1132" t="n"/>
      <c r="LUQ286" s="1132" t="n"/>
      <c r="LUR286" s="1132" t="n"/>
      <c r="LUS286" s="1132" t="n"/>
      <c r="LUT286" s="1132" t="n"/>
      <c r="LUU286" s="1132" t="n"/>
      <c r="LUV286" s="1132" t="n"/>
      <c r="LUW286" s="1132" t="n"/>
      <c r="LUX286" s="1132" t="n"/>
      <c r="LUY286" s="1132" t="n"/>
      <c r="LUZ286" s="1132" t="n"/>
      <c r="LVA286" s="1132" t="n"/>
      <c r="LVB286" s="1132" t="n"/>
      <c r="LVC286" s="1132" t="n"/>
      <c r="LVD286" s="1132" t="n"/>
      <c r="LVE286" s="1132" t="n"/>
      <c r="LVF286" s="1132" t="n"/>
      <c r="LVG286" s="1132" t="n"/>
      <c r="LVH286" s="1132" t="n"/>
      <c r="LVI286" s="1132" t="n"/>
      <c r="LVJ286" s="1132" t="n"/>
      <c r="LVK286" s="1132" t="n"/>
      <c r="LVL286" s="1132" t="n"/>
      <c r="LVM286" s="1132" t="n"/>
      <c r="LVN286" s="1132" t="n"/>
      <c r="LVO286" s="1132" t="n"/>
      <c r="LVP286" s="1132" t="n"/>
      <c r="LVQ286" s="1132" t="n"/>
      <c r="LVR286" s="1132" t="n"/>
      <c r="LVS286" s="1132" t="n"/>
      <c r="LVT286" s="1132" t="n"/>
      <c r="LVU286" s="1132" t="n"/>
      <c r="LVV286" s="1132" t="n"/>
      <c r="LVW286" s="1132" t="n"/>
      <c r="LVX286" s="1132" t="n"/>
      <c r="LVY286" s="1132" t="n"/>
      <c r="LVZ286" s="1132" t="n"/>
      <c r="LWA286" s="1132" t="n"/>
      <c r="LWB286" s="1132" t="n"/>
      <c r="LWC286" s="1132" t="n"/>
      <c r="LWD286" s="1132" t="n"/>
      <c r="LWE286" s="1132" t="n"/>
      <c r="LWF286" s="1132" t="n"/>
      <c r="LWG286" s="1132" t="n"/>
      <c r="LWH286" s="1132" t="n"/>
      <c r="LWI286" s="1132" t="n"/>
      <c r="LWJ286" s="1132" t="n"/>
      <c r="LWK286" s="1132" t="n"/>
      <c r="LWL286" s="1132" t="n"/>
      <c r="LWM286" s="1132" t="n"/>
      <c r="LWN286" s="1132" t="n"/>
      <c r="LWO286" s="1132" t="n"/>
      <c r="LWP286" s="1132" t="n"/>
      <c r="LWQ286" s="1132" t="n"/>
      <c r="LWR286" s="1132" t="n"/>
      <c r="LWS286" s="1132" t="n"/>
      <c r="LWT286" s="1132" t="n"/>
      <c r="LWU286" s="1132" t="n"/>
      <c r="LWV286" s="1132" t="n"/>
      <c r="LWW286" s="1132" t="n"/>
      <c r="LWX286" s="1132" t="n"/>
      <c r="LWY286" s="1132" t="n"/>
      <c r="LWZ286" s="1132" t="n"/>
      <c r="LXA286" s="1132" t="n"/>
      <c r="LXB286" s="1132" t="n"/>
      <c r="LXC286" s="1132" t="n"/>
      <c r="LXD286" s="1132" t="n"/>
      <c r="LXE286" s="1132" t="n"/>
      <c r="LXF286" s="1132" t="n"/>
      <c r="LXG286" s="1132" t="n"/>
      <c r="LXH286" s="1132" t="n"/>
      <c r="LXI286" s="1132" t="n"/>
      <c r="LXJ286" s="1132" t="n"/>
      <c r="LXK286" s="1132" t="n"/>
      <c r="LXL286" s="1132" t="n"/>
      <c r="LXM286" s="1132" t="n"/>
      <c r="LXN286" s="1132" t="n"/>
      <c r="LXO286" s="1132" t="n"/>
      <c r="LXP286" s="1132" t="n"/>
      <c r="LXQ286" s="1132" t="n"/>
      <c r="LXR286" s="1132" t="n"/>
      <c r="LXS286" s="1132" t="n"/>
      <c r="LXT286" s="1132" t="n"/>
      <c r="LXU286" s="1132" t="n"/>
      <c r="LXV286" s="1132" t="n"/>
      <c r="LXW286" s="1132" t="n"/>
      <c r="LXX286" s="1132" t="n"/>
      <c r="LXY286" s="1132" t="n"/>
      <c r="LXZ286" s="1132" t="n"/>
      <c r="LYA286" s="1132" t="n"/>
      <c r="LYB286" s="1132" t="n"/>
      <c r="LYC286" s="1132" t="n"/>
      <c r="LYD286" s="1132" t="n"/>
      <c r="LYE286" s="1132" t="n"/>
      <c r="LYF286" s="1132" t="n"/>
      <c r="LYG286" s="1132" t="n"/>
      <c r="LYH286" s="1132" t="n"/>
      <c r="LYI286" s="1132" t="n"/>
      <c r="LYJ286" s="1132" t="n"/>
      <c r="LYK286" s="1132" t="n"/>
      <c r="LYL286" s="1132" t="n"/>
      <c r="LYM286" s="1132" t="n"/>
      <c r="LYN286" s="1132" t="n"/>
      <c r="LYO286" s="1132" t="n"/>
      <c r="LYP286" s="1132" t="n"/>
      <c r="LYQ286" s="1132" t="n"/>
      <c r="LYR286" s="1132" t="n"/>
      <c r="LYS286" s="1132" t="n"/>
      <c r="LYT286" s="1132" t="n"/>
      <c r="LYU286" s="1132" t="n"/>
      <c r="LYV286" s="1132" t="n"/>
      <c r="LYW286" s="1132" t="n"/>
      <c r="LYX286" s="1132" t="n"/>
      <c r="LYY286" s="1132" t="n"/>
      <c r="LYZ286" s="1132" t="n"/>
      <c r="LZA286" s="1132" t="n"/>
      <c r="LZB286" s="1132" t="n"/>
      <c r="LZC286" s="1132" t="n"/>
      <c r="LZD286" s="1132" t="n"/>
      <c r="LZE286" s="1132" t="n"/>
      <c r="LZF286" s="1132" t="n"/>
      <c r="LZG286" s="1132" t="n"/>
      <c r="LZH286" s="1132" t="n"/>
      <c r="LZI286" s="1132" t="n"/>
      <c r="LZJ286" s="1132" t="n"/>
      <c r="LZK286" s="1132" t="n"/>
      <c r="LZL286" s="1132" t="n"/>
      <c r="LZM286" s="1132" t="n"/>
      <c r="LZN286" s="1132" t="n"/>
      <c r="LZO286" s="1132" t="n"/>
      <c r="LZP286" s="1132" t="n"/>
      <c r="LZQ286" s="1132" t="n"/>
      <c r="LZR286" s="1132" t="n"/>
      <c r="LZS286" s="1132" t="n"/>
      <c r="LZT286" s="1132" t="n"/>
      <c r="LZU286" s="1132" t="n"/>
      <c r="LZV286" s="1132" t="n"/>
      <c r="LZW286" s="1132" t="n"/>
      <c r="LZX286" s="1132" t="n"/>
      <c r="LZY286" s="1132" t="n"/>
      <c r="LZZ286" s="1132" t="n"/>
      <c r="MAA286" s="1132" t="n"/>
      <c r="MAB286" s="1132" t="n"/>
      <c r="MAC286" s="1132" t="n"/>
      <c r="MAD286" s="1132" t="n"/>
      <c r="MAE286" s="1132" t="n"/>
      <c r="MAF286" s="1132" t="n"/>
      <c r="MAG286" s="1132" t="n"/>
      <c r="MAH286" s="1132" t="n"/>
      <c r="MAI286" s="1132" t="n"/>
      <c r="MAJ286" s="1132" t="n"/>
      <c r="MAK286" s="1132" t="n"/>
      <c r="MAL286" s="1132" t="n"/>
      <c r="MAM286" s="1132" t="n"/>
      <c r="MAN286" s="1132" t="n"/>
      <c r="MAO286" s="1132" t="n"/>
      <c r="MAP286" s="1132" t="n"/>
      <c r="MAQ286" s="1132" t="n"/>
      <c r="MAR286" s="1132" t="n"/>
      <c r="MAS286" s="1132" t="n"/>
      <c r="MAT286" s="1132" t="n"/>
      <c r="MAU286" s="1132" t="n"/>
      <c r="MAV286" s="1132" t="n"/>
      <c r="MAW286" s="1132" t="n"/>
      <c r="MAX286" s="1132" t="n"/>
      <c r="MAY286" s="1132" t="n"/>
      <c r="MAZ286" s="1132" t="n"/>
      <c r="MBA286" s="1132" t="n"/>
      <c r="MBB286" s="1132" t="n"/>
      <c r="MBC286" s="1132" t="n"/>
      <c r="MBD286" s="1132" t="n"/>
      <c r="MBE286" s="1132" t="n"/>
      <c r="MBF286" s="1132" t="n"/>
      <c r="MBG286" s="1132" t="n"/>
      <c r="MBH286" s="1132" t="n"/>
      <c r="MBI286" s="1132" t="n"/>
      <c r="MBJ286" s="1132" t="n"/>
      <c r="MBK286" s="1132" t="n"/>
      <c r="MBL286" s="1132" t="n"/>
      <c r="MBM286" s="1132" t="n"/>
      <c r="MBN286" s="1132" t="n"/>
      <c r="MBO286" s="1132" t="n"/>
      <c r="MBP286" s="1132" t="n"/>
      <c r="MBQ286" s="1132" t="n"/>
      <c r="MBR286" s="1132" t="n"/>
      <c r="MBS286" s="1132" t="n"/>
      <c r="MBT286" s="1132" t="n"/>
      <c r="MBU286" s="1132" t="n"/>
      <c r="MBV286" s="1132" t="n"/>
      <c r="MBW286" s="1132" t="n"/>
      <c r="MBX286" s="1132" t="n"/>
      <c r="MBY286" s="1132" t="n"/>
      <c r="MBZ286" s="1132" t="n"/>
      <c r="MCA286" s="1132" t="n"/>
      <c r="MCB286" s="1132" t="n"/>
      <c r="MCC286" s="1132" t="n"/>
      <c r="MCD286" s="1132" t="n"/>
      <c r="MCE286" s="1132" t="n"/>
      <c r="MCF286" s="1132" t="n"/>
      <c r="MCG286" s="1132" t="n"/>
      <c r="MCH286" s="1132" t="n"/>
      <c r="MCI286" s="1132" t="n"/>
      <c r="MCJ286" s="1132" t="n"/>
      <c r="MCK286" s="1132" t="n"/>
      <c r="MCL286" s="1132" t="n"/>
      <c r="MCM286" s="1132" t="n"/>
      <c r="MCN286" s="1132" t="n"/>
      <c r="MCO286" s="1132" t="n"/>
      <c r="MCP286" s="1132" t="n"/>
      <c r="MCQ286" s="1132" t="n"/>
      <c r="MCR286" s="1132" t="n"/>
      <c r="MCS286" s="1132" t="n"/>
      <c r="MCT286" s="1132" t="n"/>
      <c r="MCU286" s="1132" t="n"/>
      <c r="MCV286" s="1132" t="n"/>
      <c r="MCW286" s="1132" t="n"/>
      <c r="MCX286" s="1132" t="n"/>
      <c r="MCY286" s="1132" t="n"/>
      <c r="MCZ286" s="1132" t="n"/>
      <c r="MDA286" s="1132" t="n"/>
      <c r="MDB286" s="1132" t="n"/>
      <c r="MDC286" s="1132" t="n"/>
      <c r="MDD286" s="1132" t="n"/>
      <c r="MDE286" s="1132" t="n"/>
      <c r="MDF286" s="1132" t="n"/>
      <c r="MDG286" s="1132" t="n"/>
      <c r="MDH286" s="1132" t="n"/>
      <c r="MDI286" s="1132" t="n"/>
      <c r="MDJ286" s="1132" t="n"/>
      <c r="MDK286" s="1132" t="n"/>
      <c r="MDL286" s="1132" t="n"/>
      <c r="MDM286" s="1132" t="n"/>
      <c r="MDN286" s="1132" t="n"/>
      <c r="MDO286" s="1132" t="n"/>
      <c r="MDP286" s="1132" t="n"/>
      <c r="MDQ286" s="1132" t="n"/>
      <c r="MDR286" s="1132" t="n"/>
      <c r="MDS286" s="1132" t="n"/>
      <c r="MDT286" s="1132" t="n"/>
      <c r="MDU286" s="1132" t="n"/>
      <c r="MDV286" s="1132" t="n"/>
      <c r="MDW286" s="1132" t="n"/>
      <c r="MDX286" s="1132" t="n"/>
      <c r="MDY286" s="1132" t="n"/>
      <c r="MDZ286" s="1132" t="n"/>
      <c r="MEA286" s="1132" t="n"/>
      <c r="MEB286" s="1132" t="n"/>
      <c r="MEC286" s="1132" t="n"/>
      <c r="MED286" s="1132" t="n"/>
      <c r="MEE286" s="1132" t="n"/>
      <c r="MEF286" s="1132" t="n"/>
      <c r="MEG286" s="1132" t="n"/>
      <c r="MEH286" s="1132" t="n"/>
      <c r="MEI286" s="1132" t="n"/>
      <c r="MEJ286" s="1132" t="n"/>
      <c r="MEK286" s="1132" t="n"/>
      <c r="MEL286" s="1132" t="n"/>
      <c r="MEM286" s="1132" t="n"/>
      <c r="MEN286" s="1132" t="n"/>
      <c r="MEO286" s="1132" t="n"/>
      <c r="MEP286" s="1132" t="n"/>
      <c r="MEQ286" s="1132" t="n"/>
      <c r="MER286" s="1132" t="n"/>
      <c r="MES286" s="1132" t="n"/>
      <c r="MET286" s="1132" t="n"/>
      <c r="MEU286" s="1132" t="n"/>
      <c r="MEV286" s="1132" t="n"/>
      <c r="MEW286" s="1132" t="n"/>
      <c r="MEX286" s="1132" t="n"/>
      <c r="MEY286" s="1132" t="n"/>
      <c r="MEZ286" s="1132" t="n"/>
      <c r="MFA286" s="1132" t="n"/>
      <c r="MFB286" s="1132" t="n"/>
      <c r="MFC286" s="1132" t="n"/>
      <c r="MFD286" s="1132" t="n"/>
      <c r="MFE286" s="1132" t="n"/>
      <c r="MFF286" s="1132" t="n"/>
      <c r="MFG286" s="1132" t="n"/>
      <c r="MFH286" s="1132" t="n"/>
      <c r="MFI286" s="1132" t="n"/>
      <c r="MFJ286" s="1132" t="n"/>
      <c r="MFK286" s="1132" t="n"/>
      <c r="MFL286" s="1132" t="n"/>
      <c r="MFM286" s="1132" t="n"/>
      <c r="MFN286" s="1132" t="n"/>
      <c r="MFO286" s="1132" t="n"/>
      <c r="MFP286" s="1132" t="n"/>
      <c r="MFQ286" s="1132" t="n"/>
      <c r="MFR286" s="1132" t="n"/>
      <c r="MFS286" s="1132" t="n"/>
      <c r="MFT286" s="1132" t="n"/>
      <c r="MFU286" s="1132" t="n"/>
      <c r="MFV286" s="1132" t="n"/>
      <c r="MFW286" s="1132" t="n"/>
      <c r="MFX286" s="1132" t="n"/>
      <c r="MFY286" s="1132" t="n"/>
      <c r="MFZ286" s="1132" t="n"/>
      <c r="MGA286" s="1132" t="n"/>
      <c r="MGB286" s="1132" t="n"/>
      <c r="MGC286" s="1132" t="n"/>
      <c r="MGD286" s="1132" t="n"/>
      <c r="MGE286" s="1132" t="n"/>
      <c r="MGF286" s="1132" t="n"/>
      <c r="MGG286" s="1132" t="n"/>
      <c r="MGH286" s="1132" t="n"/>
      <c r="MGI286" s="1132" t="n"/>
      <c r="MGJ286" s="1132" t="n"/>
      <c r="MGK286" s="1132" t="n"/>
      <c r="MGL286" s="1132" t="n"/>
      <c r="MGM286" s="1132" t="n"/>
      <c r="MGN286" s="1132" t="n"/>
      <c r="MGO286" s="1132" t="n"/>
      <c r="MGP286" s="1132" t="n"/>
      <c r="MGQ286" s="1132" t="n"/>
      <c r="MGR286" s="1132" t="n"/>
      <c r="MGS286" s="1132" t="n"/>
      <c r="MGT286" s="1132" t="n"/>
      <c r="MGU286" s="1132" t="n"/>
      <c r="MGV286" s="1132" t="n"/>
      <c r="MGW286" s="1132" t="n"/>
      <c r="MGX286" s="1132" t="n"/>
      <c r="MGY286" s="1132" t="n"/>
      <c r="MGZ286" s="1132" t="n"/>
      <c r="MHA286" s="1132" t="n"/>
      <c r="MHB286" s="1132" t="n"/>
      <c r="MHC286" s="1132" t="n"/>
      <c r="MHD286" s="1132" t="n"/>
      <c r="MHE286" s="1132" t="n"/>
      <c r="MHF286" s="1132" t="n"/>
      <c r="MHG286" s="1132" t="n"/>
      <c r="MHH286" s="1132" t="n"/>
      <c r="MHI286" s="1132" t="n"/>
      <c r="MHJ286" s="1132" t="n"/>
      <c r="MHK286" s="1132" t="n"/>
      <c r="MHL286" s="1132" t="n"/>
      <c r="MHM286" s="1132" t="n"/>
      <c r="MHN286" s="1132" t="n"/>
      <c r="MHO286" s="1132" t="n"/>
      <c r="MHP286" s="1132" t="n"/>
      <c r="MHQ286" s="1132" t="n"/>
      <c r="MHR286" s="1132" t="n"/>
      <c r="MHS286" s="1132" t="n"/>
      <c r="MHT286" s="1132" t="n"/>
      <c r="MHU286" s="1132" t="n"/>
      <c r="MHV286" s="1132" t="n"/>
      <c r="MHW286" s="1132" t="n"/>
      <c r="MHX286" s="1132" t="n"/>
      <c r="MHY286" s="1132" t="n"/>
      <c r="MHZ286" s="1132" t="n"/>
      <c r="MIA286" s="1132" t="n"/>
      <c r="MIB286" s="1132" t="n"/>
      <c r="MIC286" s="1132" t="n"/>
      <c r="MID286" s="1132" t="n"/>
      <c r="MIE286" s="1132" t="n"/>
      <c r="MIF286" s="1132" t="n"/>
      <c r="MIG286" s="1132" t="n"/>
      <c r="MIH286" s="1132" t="n"/>
      <c r="MII286" s="1132" t="n"/>
      <c r="MIJ286" s="1132" t="n"/>
      <c r="MIK286" s="1132" t="n"/>
      <c r="MIL286" s="1132" t="n"/>
      <c r="MIM286" s="1132" t="n"/>
      <c r="MIN286" s="1132" t="n"/>
      <c r="MIO286" s="1132" t="n"/>
      <c r="MIP286" s="1132" t="n"/>
      <c r="MIQ286" s="1132" t="n"/>
      <c r="MIR286" s="1132" t="n"/>
      <c r="MIS286" s="1132" t="n"/>
      <c r="MIT286" s="1132" t="n"/>
      <c r="MIU286" s="1132" t="n"/>
      <c r="MIV286" s="1132" t="n"/>
      <c r="MIW286" s="1132" t="n"/>
      <c r="MIX286" s="1132" t="n"/>
      <c r="MIY286" s="1132" t="n"/>
      <c r="MIZ286" s="1132" t="n"/>
      <c r="MJA286" s="1132" t="n"/>
      <c r="MJB286" s="1132" t="n"/>
      <c r="MJC286" s="1132" t="n"/>
      <c r="MJD286" s="1132" t="n"/>
      <c r="MJE286" s="1132" t="n"/>
      <c r="MJF286" s="1132" t="n"/>
      <c r="MJG286" s="1132" t="n"/>
      <c r="MJH286" s="1132" t="n"/>
      <c r="MJI286" s="1132" t="n"/>
      <c r="MJJ286" s="1132" t="n"/>
      <c r="MJK286" s="1132" t="n"/>
      <c r="MJL286" s="1132" t="n"/>
      <c r="MJM286" s="1132" t="n"/>
      <c r="MJN286" s="1132" t="n"/>
      <c r="MJO286" s="1132" t="n"/>
      <c r="MJP286" s="1132" t="n"/>
      <c r="MJQ286" s="1132" t="n"/>
      <c r="MJR286" s="1132" t="n"/>
      <c r="MJS286" s="1132" t="n"/>
      <c r="MJT286" s="1132" t="n"/>
      <c r="MJU286" s="1132" t="n"/>
      <c r="MJV286" s="1132" t="n"/>
      <c r="MJW286" s="1132" t="n"/>
      <c r="MJX286" s="1132" t="n"/>
      <c r="MJY286" s="1132" t="n"/>
      <c r="MJZ286" s="1132" t="n"/>
      <c r="MKA286" s="1132" t="n"/>
      <c r="MKB286" s="1132" t="n"/>
      <c r="MKC286" s="1132" t="n"/>
      <c r="MKD286" s="1132" t="n"/>
      <c r="MKE286" s="1132" t="n"/>
      <c r="MKF286" s="1132" t="n"/>
      <c r="MKG286" s="1132" t="n"/>
      <c r="MKH286" s="1132" t="n"/>
      <c r="MKI286" s="1132" t="n"/>
      <c r="MKJ286" s="1132" t="n"/>
      <c r="MKK286" s="1132" t="n"/>
      <c r="MKL286" s="1132" t="n"/>
      <c r="MKM286" s="1132" t="n"/>
      <c r="MKN286" s="1132" t="n"/>
      <c r="MKO286" s="1132" t="n"/>
      <c r="MKP286" s="1132" t="n"/>
      <c r="MKQ286" s="1132" t="n"/>
      <c r="MKR286" s="1132" t="n"/>
      <c r="MKS286" s="1132" t="n"/>
      <c r="MKT286" s="1132" t="n"/>
      <c r="MKU286" s="1132" t="n"/>
      <c r="MKV286" s="1132" t="n"/>
      <c r="MKW286" s="1132" t="n"/>
      <c r="MKX286" s="1132" t="n"/>
      <c r="MKY286" s="1132" t="n"/>
      <c r="MKZ286" s="1132" t="n"/>
      <c r="MLA286" s="1132" t="n"/>
      <c r="MLB286" s="1132" t="n"/>
      <c r="MLC286" s="1132" t="n"/>
      <c r="MLD286" s="1132" t="n"/>
      <c r="MLE286" s="1132" t="n"/>
      <c r="MLF286" s="1132" t="n"/>
      <c r="MLG286" s="1132" t="n"/>
      <c r="MLH286" s="1132" t="n"/>
      <c r="MLI286" s="1132" t="n"/>
      <c r="MLJ286" s="1132" t="n"/>
      <c r="MLK286" s="1132" t="n"/>
      <c r="MLL286" s="1132" t="n"/>
      <c r="MLM286" s="1132" t="n"/>
      <c r="MLN286" s="1132" t="n"/>
      <c r="MLO286" s="1132" t="n"/>
      <c r="MLP286" s="1132" t="n"/>
      <c r="MLQ286" s="1132" t="n"/>
      <c r="MLR286" s="1132" t="n"/>
      <c r="MLS286" s="1132" t="n"/>
      <c r="MLT286" s="1132" t="n"/>
      <c r="MLU286" s="1132" t="n"/>
      <c r="MLV286" s="1132" t="n"/>
      <c r="MLW286" s="1132" t="n"/>
      <c r="MLX286" s="1132" t="n"/>
      <c r="MLY286" s="1132" t="n"/>
      <c r="MLZ286" s="1132" t="n"/>
      <c r="MMA286" s="1132" t="n"/>
      <c r="MMB286" s="1132" t="n"/>
      <c r="MMC286" s="1132" t="n"/>
      <c r="MMD286" s="1132" t="n"/>
      <c r="MME286" s="1132" t="n"/>
      <c r="MMF286" s="1132" t="n"/>
      <c r="MMG286" s="1132" t="n"/>
      <c r="MMH286" s="1132" t="n"/>
      <c r="MMI286" s="1132" t="n"/>
      <c r="MMJ286" s="1132" t="n"/>
      <c r="MMK286" s="1132" t="n"/>
      <c r="MML286" s="1132" t="n"/>
      <c r="MMM286" s="1132" t="n"/>
      <c r="MMN286" s="1132" t="n"/>
      <c r="MMO286" s="1132" t="n"/>
      <c r="MMP286" s="1132" t="n"/>
      <c r="MMQ286" s="1132" t="n"/>
      <c r="MMR286" s="1132" t="n"/>
      <c r="MMS286" s="1132" t="n"/>
      <c r="MMT286" s="1132" t="n"/>
      <c r="MMU286" s="1132" t="n"/>
      <c r="MMV286" s="1132" t="n"/>
      <c r="MMW286" s="1132" t="n"/>
      <c r="MMX286" s="1132" t="n"/>
      <c r="MMY286" s="1132" t="n"/>
      <c r="MMZ286" s="1132" t="n"/>
      <c r="MNA286" s="1132" t="n"/>
      <c r="MNB286" s="1132" t="n"/>
      <c r="MNC286" s="1132" t="n"/>
      <c r="MND286" s="1132" t="n"/>
      <c r="MNE286" s="1132" t="n"/>
      <c r="MNF286" s="1132" t="n"/>
      <c r="MNG286" s="1132" t="n"/>
      <c r="MNH286" s="1132" t="n"/>
      <c r="MNI286" s="1132" t="n"/>
      <c r="MNJ286" s="1132" t="n"/>
      <c r="MNK286" s="1132" t="n"/>
      <c r="MNL286" s="1132" t="n"/>
      <c r="MNM286" s="1132" t="n"/>
      <c r="MNN286" s="1132" t="n"/>
      <c r="MNO286" s="1132" t="n"/>
      <c r="MNP286" s="1132" t="n"/>
      <c r="MNQ286" s="1132" t="n"/>
      <c r="MNR286" s="1132" t="n"/>
      <c r="MNS286" s="1132" t="n"/>
      <c r="MNT286" s="1132" t="n"/>
      <c r="MNU286" s="1132" t="n"/>
      <c r="MNV286" s="1132" t="n"/>
      <c r="MNW286" s="1132" t="n"/>
      <c r="MNX286" s="1132" t="n"/>
      <c r="MNY286" s="1132" t="n"/>
      <c r="MNZ286" s="1132" t="n"/>
      <c r="MOA286" s="1132" t="n"/>
      <c r="MOB286" s="1132" t="n"/>
      <c r="MOC286" s="1132" t="n"/>
      <c r="MOD286" s="1132" t="n"/>
      <c r="MOE286" s="1132" t="n"/>
      <c r="MOF286" s="1132" t="n"/>
      <c r="MOG286" s="1132" t="n"/>
      <c r="MOH286" s="1132" t="n"/>
      <c r="MOI286" s="1132" t="n"/>
      <c r="MOJ286" s="1132" t="n"/>
      <c r="MOK286" s="1132" t="n"/>
      <c r="MOL286" s="1132" t="n"/>
      <c r="MOM286" s="1132" t="n"/>
      <c r="MON286" s="1132" t="n"/>
      <c r="MOO286" s="1132" t="n"/>
      <c r="MOP286" s="1132" t="n"/>
      <c r="MOQ286" s="1132" t="n"/>
      <c r="MOR286" s="1132" t="n"/>
      <c r="MOS286" s="1132" t="n"/>
      <c r="MOT286" s="1132" t="n"/>
      <c r="MOU286" s="1132" t="n"/>
      <c r="MOV286" s="1132" t="n"/>
      <c r="MOW286" s="1132" t="n"/>
      <c r="MOX286" s="1132" t="n"/>
      <c r="MOY286" s="1132" t="n"/>
      <c r="MOZ286" s="1132" t="n"/>
      <c r="MPA286" s="1132" t="n"/>
      <c r="MPB286" s="1132" t="n"/>
      <c r="MPC286" s="1132" t="n"/>
      <c r="MPD286" s="1132" t="n"/>
      <c r="MPE286" s="1132" t="n"/>
      <c r="MPF286" s="1132" t="n"/>
      <c r="MPG286" s="1132" t="n"/>
      <c r="MPH286" s="1132" t="n"/>
      <c r="MPI286" s="1132" t="n"/>
      <c r="MPJ286" s="1132" t="n"/>
      <c r="MPK286" s="1132" t="n"/>
      <c r="MPL286" s="1132" t="n"/>
      <c r="MPM286" s="1132" t="n"/>
      <c r="MPN286" s="1132" t="n"/>
      <c r="MPO286" s="1132" t="n"/>
      <c r="MPP286" s="1132" t="n"/>
      <c r="MPQ286" s="1132" t="n"/>
      <c r="MPR286" s="1132" t="n"/>
      <c r="MPS286" s="1132" t="n"/>
      <c r="MPT286" s="1132" t="n"/>
      <c r="MPU286" s="1132" t="n"/>
      <c r="MPV286" s="1132" t="n"/>
      <c r="MPW286" s="1132" t="n"/>
      <c r="MPX286" s="1132" t="n"/>
      <c r="MPY286" s="1132" t="n"/>
      <c r="MPZ286" s="1132" t="n"/>
      <c r="MQA286" s="1132" t="n"/>
      <c r="MQB286" s="1132" t="n"/>
      <c r="MQC286" s="1132" t="n"/>
      <c r="MQD286" s="1132" t="n"/>
      <c r="MQE286" s="1132" t="n"/>
      <c r="MQF286" s="1132" t="n"/>
      <c r="MQG286" s="1132" t="n"/>
      <c r="MQH286" s="1132" t="n"/>
      <c r="MQI286" s="1132" t="n"/>
      <c r="MQJ286" s="1132" t="n"/>
      <c r="MQK286" s="1132" t="n"/>
      <c r="MQL286" s="1132" t="n"/>
      <c r="MQM286" s="1132" t="n"/>
      <c r="MQN286" s="1132" t="n"/>
      <c r="MQO286" s="1132" t="n"/>
      <c r="MQP286" s="1132" t="n"/>
      <c r="MQQ286" s="1132" t="n"/>
      <c r="MQR286" s="1132" t="n"/>
      <c r="MQS286" s="1132" t="n"/>
      <c r="MQT286" s="1132" t="n"/>
      <c r="MQU286" s="1132" t="n"/>
      <c r="MQV286" s="1132" t="n"/>
      <c r="MQW286" s="1132" t="n"/>
      <c r="MQX286" s="1132" t="n"/>
      <c r="MQY286" s="1132" t="n"/>
      <c r="MQZ286" s="1132" t="n"/>
      <c r="MRA286" s="1132" t="n"/>
      <c r="MRB286" s="1132" t="n"/>
      <c r="MRC286" s="1132" t="n"/>
      <c r="MRD286" s="1132" t="n"/>
      <c r="MRE286" s="1132" t="n"/>
      <c r="MRF286" s="1132" t="n"/>
      <c r="MRG286" s="1132" t="n"/>
      <c r="MRH286" s="1132" t="n"/>
      <c r="MRI286" s="1132" t="n"/>
      <c r="MRJ286" s="1132" t="n"/>
      <c r="MRK286" s="1132" t="n"/>
      <c r="MRL286" s="1132" t="n"/>
      <c r="MRM286" s="1132" t="n"/>
      <c r="MRN286" s="1132" t="n"/>
      <c r="MRO286" s="1132" t="n"/>
      <c r="MRP286" s="1132" t="n"/>
      <c r="MRQ286" s="1132" t="n"/>
      <c r="MRR286" s="1132" t="n"/>
      <c r="MRS286" s="1132" t="n"/>
      <c r="MRT286" s="1132" t="n"/>
      <c r="MRU286" s="1132" t="n"/>
      <c r="MRV286" s="1132" t="n"/>
      <c r="MRW286" s="1132" t="n"/>
      <c r="MRX286" s="1132" t="n"/>
      <c r="MRY286" s="1132" t="n"/>
      <c r="MRZ286" s="1132" t="n"/>
      <c r="MSA286" s="1132" t="n"/>
      <c r="MSB286" s="1132" t="n"/>
      <c r="MSC286" s="1132" t="n"/>
      <c r="MSD286" s="1132" t="n"/>
      <c r="MSE286" s="1132" t="n"/>
      <c r="MSF286" s="1132" t="n"/>
      <c r="MSG286" s="1132" t="n"/>
      <c r="MSH286" s="1132" t="n"/>
      <c r="MSI286" s="1132" t="n"/>
      <c r="MSJ286" s="1132" t="n"/>
      <c r="MSK286" s="1132" t="n"/>
      <c r="MSL286" s="1132" t="n"/>
      <c r="MSM286" s="1132" t="n"/>
      <c r="MSN286" s="1132" t="n"/>
      <c r="MSO286" s="1132" t="n"/>
      <c r="MSP286" s="1132" t="n"/>
      <c r="MSQ286" s="1132" t="n"/>
      <c r="MSR286" s="1132" t="n"/>
      <c r="MSS286" s="1132" t="n"/>
      <c r="MST286" s="1132" t="n"/>
      <c r="MSU286" s="1132" t="n"/>
      <c r="MSV286" s="1132" t="n"/>
      <c r="MSW286" s="1132" t="n"/>
      <c r="MSX286" s="1132" t="n"/>
      <c r="MSY286" s="1132" t="n"/>
      <c r="MSZ286" s="1132" t="n"/>
      <c r="MTA286" s="1132" t="n"/>
      <c r="MTB286" s="1132" t="n"/>
      <c r="MTC286" s="1132" t="n"/>
      <c r="MTD286" s="1132" t="n"/>
      <c r="MTE286" s="1132" t="n"/>
      <c r="MTF286" s="1132" t="n"/>
      <c r="MTG286" s="1132" t="n"/>
      <c r="MTH286" s="1132" t="n"/>
      <c r="MTI286" s="1132" t="n"/>
      <c r="MTJ286" s="1132" t="n"/>
      <c r="MTK286" s="1132" t="n"/>
      <c r="MTL286" s="1132" t="n"/>
      <c r="MTM286" s="1132" t="n"/>
      <c r="MTN286" s="1132" t="n"/>
      <c r="MTO286" s="1132" t="n"/>
      <c r="MTP286" s="1132" t="n"/>
      <c r="MTQ286" s="1132" t="n"/>
      <c r="MTR286" s="1132" t="n"/>
      <c r="MTS286" s="1132" t="n"/>
      <c r="MTT286" s="1132" t="n"/>
      <c r="MTU286" s="1132" t="n"/>
      <c r="MTV286" s="1132" t="n"/>
      <c r="MTW286" s="1132" t="n"/>
      <c r="MTX286" s="1132" t="n"/>
      <c r="MTY286" s="1132" t="n"/>
      <c r="MTZ286" s="1132" t="n"/>
      <c r="MUA286" s="1132" t="n"/>
      <c r="MUB286" s="1132" t="n"/>
      <c r="MUC286" s="1132" t="n"/>
      <c r="MUD286" s="1132" t="n"/>
      <c r="MUE286" s="1132" t="n"/>
      <c r="MUF286" s="1132" t="n"/>
      <c r="MUG286" s="1132" t="n"/>
      <c r="MUH286" s="1132" t="n"/>
      <c r="MUI286" s="1132" t="n"/>
      <c r="MUJ286" s="1132" t="n"/>
      <c r="MUK286" s="1132" t="n"/>
      <c r="MUL286" s="1132" t="n"/>
      <c r="MUM286" s="1132" t="n"/>
      <c r="MUN286" s="1132" t="n"/>
      <c r="MUO286" s="1132" t="n"/>
      <c r="MUP286" s="1132" t="n"/>
      <c r="MUQ286" s="1132" t="n"/>
      <c r="MUR286" s="1132" t="n"/>
      <c r="MUS286" s="1132" t="n"/>
      <c r="MUT286" s="1132" t="n"/>
      <c r="MUU286" s="1132" t="n"/>
      <c r="MUV286" s="1132" t="n"/>
      <c r="MUW286" s="1132" t="n"/>
      <c r="MUX286" s="1132" t="n"/>
      <c r="MUY286" s="1132" t="n"/>
      <c r="MUZ286" s="1132" t="n"/>
      <c r="MVA286" s="1132" t="n"/>
      <c r="MVB286" s="1132" t="n"/>
      <c r="MVC286" s="1132" t="n"/>
      <c r="MVD286" s="1132" t="n"/>
      <c r="MVE286" s="1132" t="n"/>
      <c r="MVF286" s="1132" t="n"/>
      <c r="MVG286" s="1132" t="n"/>
      <c r="MVH286" s="1132" t="n"/>
      <c r="MVI286" s="1132" t="n"/>
      <c r="MVJ286" s="1132" t="n"/>
      <c r="MVK286" s="1132" t="n"/>
      <c r="MVL286" s="1132" t="n"/>
      <c r="MVM286" s="1132" t="n"/>
      <c r="MVN286" s="1132" t="n"/>
      <c r="MVO286" s="1132" t="n"/>
      <c r="MVP286" s="1132" t="n"/>
      <c r="MVQ286" s="1132" t="n"/>
      <c r="MVR286" s="1132" t="n"/>
      <c r="MVS286" s="1132" t="n"/>
      <c r="MVT286" s="1132" t="n"/>
      <c r="MVU286" s="1132" t="n"/>
      <c r="MVV286" s="1132" t="n"/>
      <c r="MVW286" s="1132" t="n"/>
      <c r="MVX286" s="1132" t="n"/>
      <c r="MVY286" s="1132" t="n"/>
      <c r="MVZ286" s="1132" t="n"/>
      <c r="MWA286" s="1132" t="n"/>
      <c r="MWB286" s="1132" t="n"/>
      <c r="MWC286" s="1132" t="n"/>
      <c r="MWD286" s="1132" t="n"/>
      <c r="MWE286" s="1132" t="n"/>
      <c r="MWF286" s="1132" t="n"/>
      <c r="MWG286" s="1132" t="n"/>
      <c r="MWH286" s="1132" t="n"/>
      <c r="MWI286" s="1132" t="n"/>
      <c r="MWJ286" s="1132" t="n"/>
      <c r="MWK286" s="1132" t="n"/>
      <c r="MWL286" s="1132" t="n"/>
      <c r="MWM286" s="1132" t="n"/>
      <c r="MWN286" s="1132" t="n"/>
      <c r="MWO286" s="1132" t="n"/>
      <c r="MWP286" s="1132" t="n"/>
      <c r="MWQ286" s="1132" t="n"/>
      <c r="MWR286" s="1132" t="n"/>
      <c r="MWS286" s="1132" t="n"/>
      <c r="MWT286" s="1132" t="n"/>
      <c r="MWU286" s="1132" t="n"/>
      <c r="MWV286" s="1132" t="n"/>
      <c r="MWW286" s="1132" t="n"/>
      <c r="MWX286" s="1132" t="n"/>
      <c r="MWY286" s="1132" t="n"/>
      <c r="MWZ286" s="1132" t="n"/>
      <c r="MXA286" s="1132" t="n"/>
      <c r="MXB286" s="1132" t="n"/>
      <c r="MXC286" s="1132" t="n"/>
      <c r="MXD286" s="1132" t="n"/>
      <c r="MXE286" s="1132" t="n"/>
      <c r="MXF286" s="1132" t="n"/>
      <c r="MXG286" s="1132" t="n"/>
      <c r="MXH286" s="1132" t="n"/>
      <c r="MXI286" s="1132" t="n"/>
      <c r="MXJ286" s="1132" t="n"/>
      <c r="MXK286" s="1132" t="n"/>
      <c r="MXL286" s="1132" t="n"/>
      <c r="MXM286" s="1132" t="n"/>
      <c r="MXN286" s="1132" t="n"/>
      <c r="MXO286" s="1132" t="n"/>
      <c r="MXP286" s="1132" t="n"/>
      <c r="MXQ286" s="1132" t="n"/>
      <c r="MXR286" s="1132" t="n"/>
      <c r="MXS286" s="1132" t="n"/>
      <c r="MXT286" s="1132" t="n"/>
      <c r="MXU286" s="1132" t="n"/>
      <c r="MXV286" s="1132" t="n"/>
      <c r="MXW286" s="1132" t="n"/>
      <c r="MXX286" s="1132" t="n"/>
      <c r="MXY286" s="1132" t="n"/>
      <c r="MXZ286" s="1132" t="n"/>
      <c r="MYA286" s="1132" t="n"/>
      <c r="MYB286" s="1132" t="n"/>
      <c r="MYC286" s="1132" t="n"/>
      <c r="MYD286" s="1132" t="n"/>
      <c r="MYE286" s="1132" t="n"/>
      <c r="MYF286" s="1132" t="n"/>
      <c r="MYG286" s="1132" t="n"/>
      <c r="MYH286" s="1132" t="n"/>
      <c r="MYI286" s="1132" t="n"/>
      <c r="MYJ286" s="1132" t="n"/>
      <c r="MYK286" s="1132" t="n"/>
      <c r="MYL286" s="1132" t="n"/>
      <c r="MYM286" s="1132" t="n"/>
      <c r="MYN286" s="1132" t="n"/>
      <c r="MYO286" s="1132" t="n"/>
      <c r="MYP286" s="1132" t="n"/>
      <c r="MYQ286" s="1132" t="n"/>
      <c r="MYR286" s="1132" t="n"/>
      <c r="MYS286" s="1132" t="n"/>
      <c r="MYT286" s="1132" t="n"/>
      <c r="MYU286" s="1132" t="n"/>
      <c r="MYV286" s="1132" t="n"/>
      <c r="MYW286" s="1132" t="n"/>
      <c r="MYX286" s="1132" t="n"/>
      <c r="MYY286" s="1132" t="n"/>
      <c r="MYZ286" s="1132" t="n"/>
      <c r="MZA286" s="1132" t="n"/>
      <c r="MZB286" s="1132" t="n"/>
      <c r="MZC286" s="1132" t="n"/>
      <c r="MZD286" s="1132" t="n"/>
      <c r="MZE286" s="1132" t="n"/>
      <c r="MZF286" s="1132" t="n"/>
      <c r="MZG286" s="1132" t="n"/>
      <c r="MZH286" s="1132" t="n"/>
      <c r="MZI286" s="1132" t="n"/>
      <c r="MZJ286" s="1132" t="n"/>
      <c r="MZK286" s="1132" t="n"/>
      <c r="MZL286" s="1132" t="n"/>
      <c r="MZM286" s="1132" t="n"/>
      <c r="MZN286" s="1132" t="n"/>
      <c r="MZO286" s="1132" t="n"/>
      <c r="MZP286" s="1132" t="n"/>
      <c r="MZQ286" s="1132" t="n"/>
      <c r="MZR286" s="1132" t="n"/>
      <c r="MZS286" s="1132" t="n"/>
      <c r="MZT286" s="1132" t="n"/>
      <c r="MZU286" s="1132" t="n"/>
      <c r="MZV286" s="1132" t="n"/>
      <c r="MZW286" s="1132" t="n"/>
      <c r="MZX286" s="1132" t="n"/>
      <c r="MZY286" s="1132" t="n"/>
      <c r="MZZ286" s="1132" t="n"/>
      <c r="NAA286" s="1132" t="n"/>
      <c r="NAB286" s="1132" t="n"/>
      <c r="NAC286" s="1132" t="n"/>
      <c r="NAD286" s="1132" t="n"/>
      <c r="NAE286" s="1132" t="n"/>
      <c r="NAF286" s="1132" t="n"/>
      <c r="NAG286" s="1132" t="n"/>
      <c r="NAH286" s="1132" t="n"/>
      <c r="NAI286" s="1132" t="n"/>
      <c r="NAJ286" s="1132" t="n"/>
      <c r="NAK286" s="1132" t="n"/>
      <c r="NAL286" s="1132" t="n"/>
      <c r="NAM286" s="1132" t="n"/>
      <c r="NAN286" s="1132" t="n"/>
      <c r="NAO286" s="1132" t="n"/>
      <c r="NAP286" s="1132" t="n"/>
      <c r="NAQ286" s="1132" t="n"/>
      <c r="NAR286" s="1132" t="n"/>
      <c r="NAS286" s="1132" t="n"/>
      <c r="NAT286" s="1132" t="n"/>
      <c r="NAU286" s="1132" t="n"/>
      <c r="NAV286" s="1132" t="n"/>
      <c r="NAW286" s="1132" t="n"/>
      <c r="NAX286" s="1132" t="n"/>
      <c r="NAY286" s="1132" t="n"/>
      <c r="NAZ286" s="1132" t="n"/>
      <c r="NBA286" s="1132" t="n"/>
      <c r="NBB286" s="1132" t="n"/>
      <c r="NBC286" s="1132" t="n"/>
      <c r="NBD286" s="1132" t="n"/>
      <c r="NBE286" s="1132" t="n"/>
      <c r="NBF286" s="1132" t="n"/>
      <c r="NBG286" s="1132" t="n"/>
      <c r="NBH286" s="1132" t="n"/>
      <c r="NBI286" s="1132" t="n"/>
      <c r="NBJ286" s="1132" t="n"/>
      <c r="NBK286" s="1132" t="n"/>
      <c r="NBL286" s="1132" t="n"/>
      <c r="NBM286" s="1132" t="n"/>
      <c r="NBN286" s="1132" t="n"/>
      <c r="NBO286" s="1132" t="n"/>
      <c r="NBP286" s="1132" t="n"/>
      <c r="NBQ286" s="1132" t="n"/>
      <c r="NBR286" s="1132" t="n"/>
      <c r="NBS286" s="1132" t="n"/>
      <c r="NBT286" s="1132" t="n"/>
      <c r="NBU286" s="1132" t="n"/>
      <c r="NBV286" s="1132" t="n"/>
      <c r="NBW286" s="1132" t="n"/>
      <c r="NBX286" s="1132" t="n"/>
      <c r="NBY286" s="1132" t="n"/>
      <c r="NBZ286" s="1132" t="n"/>
      <c r="NCA286" s="1132" t="n"/>
      <c r="NCB286" s="1132" t="n"/>
      <c r="NCC286" s="1132" t="n"/>
      <c r="NCD286" s="1132" t="n"/>
      <c r="NCE286" s="1132" t="n"/>
      <c r="NCF286" s="1132" t="n"/>
      <c r="NCG286" s="1132" t="n"/>
      <c r="NCH286" s="1132" t="n"/>
      <c r="NCI286" s="1132" t="n"/>
      <c r="NCJ286" s="1132" t="n"/>
      <c r="NCK286" s="1132" t="n"/>
      <c r="NCL286" s="1132" t="n"/>
      <c r="NCM286" s="1132" t="n"/>
      <c r="NCN286" s="1132" t="n"/>
      <c r="NCO286" s="1132" t="n"/>
      <c r="NCP286" s="1132" t="n"/>
      <c r="NCQ286" s="1132" t="n"/>
      <c r="NCR286" s="1132" t="n"/>
      <c r="NCS286" s="1132" t="n"/>
      <c r="NCT286" s="1132" t="n"/>
      <c r="NCU286" s="1132" t="n"/>
      <c r="NCV286" s="1132" t="n"/>
      <c r="NCW286" s="1132" t="n"/>
      <c r="NCX286" s="1132" t="n"/>
      <c r="NCY286" s="1132" t="n"/>
      <c r="NCZ286" s="1132" t="n"/>
      <c r="NDA286" s="1132" t="n"/>
      <c r="NDB286" s="1132" t="n"/>
      <c r="NDC286" s="1132" t="n"/>
      <c r="NDD286" s="1132" t="n"/>
      <c r="NDE286" s="1132" t="n"/>
      <c r="NDF286" s="1132" t="n"/>
      <c r="NDG286" s="1132" t="n"/>
      <c r="NDH286" s="1132" t="n"/>
      <c r="NDI286" s="1132" t="n"/>
      <c r="NDJ286" s="1132" t="n"/>
      <c r="NDK286" s="1132" t="n"/>
      <c r="NDL286" s="1132" t="n"/>
      <c r="NDM286" s="1132" t="n"/>
      <c r="NDN286" s="1132" t="n"/>
      <c r="NDO286" s="1132" t="n"/>
      <c r="NDP286" s="1132" t="n"/>
      <c r="NDQ286" s="1132" t="n"/>
      <c r="NDR286" s="1132" t="n"/>
      <c r="NDS286" s="1132" t="n"/>
      <c r="NDT286" s="1132" t="n"/>
      <c r="NDU286" s="1132" t="n"/>
      <c r="NDV286" s="1132" t="n"/>
      <c r="NDW286" s="1132" t="n"/>
      <c r="NDX286" s="1132" t="n"/>
      <c r="NDY286" s="1132" t="n"/>
      <c r="NDZ286" s="1132" t="n"/>
      <c r="NEA286" s="1132" t="n"/>
      <c r="NEB286" s="1132" t="n"/>
      <c r="NEC286" s="1132" t="n"/>
      <c r="NED286" s="1132" t="n"/>
      <c r="NEE286" s="1132" t="n"/>
      <c r="NEF286" s="1132" t="n"/>
      <c r="NEG286" s="1132" t="n"/>
      <c r="NEH286" s="1132" t="n"/>
      <c r="NEI286" s="1132" t="n"/>
      <c r="NEJ286" s="1132" t="n"/>
      <c r="NEK286" s="1132" t="n"/>
      <c r="NEL286" s="1132" t="n"/>
      <c r="NEM286" s="1132" t="n"/>
      <c r="NEN286" s="1132" t="n"/>
      <c r="NEO286" s="1132" t="n"/>
      <c r="NEP286" s="1132" t="n"/>
      <c r="NEQ286" s="1132" t="n"/>
      <c r="NER286" s="1132" t="n"/>
      <c r="NES286" s="1132" t="n"/>
      <c r="NET286" s="1132" t="n"/>
      <c r="NEU286" s="1132" t="n"/>
      <c r="NEV286" s="1132" t="n"/>
      <c r="NEW286" s="1132" t="n"/>
      <c r="NEX286" s="1132" t="n"/>
      <c r="NEY286" s="1132" t="n"/>
      <c r="NEZ286" s="1132" t="n"/>
      <c r="NFA286" s="1132" t="n"/>
      <c r="NFB286" s="1132" t="n"/>
      <c r="NFC286" s="1132" t="n"/>
      <c r="NFD286" s="1132" t="n"/>
      <c r="NFE286" s="1132" t="n"/>
      <c r="NFF286" s="1132" t="n"/>
      <c r="NFG286" s="1132" t="n"/>
      <c r="NFH286" s="1132" t="n"/>
      <c r="NFI286" s="1132" t="n"/>
      <c r="NFJ286" s="1132" t="n"/>
      <c r="NFK286" s="1132" t="n"/>
      <c r="NFL286" s="1132" t="n"/>
      <c r="NFM286" s="1132" t="n"/>
      <c r="NFN286" s="1132" t="n"/>
      <c r="NFO286" s="1132" t="n"/>
      <c r="NFP286" s="1132" t="n"/>
      <c r="NFQ286" s="1132" t="n"/>
      <c r="NFR286" s="1132" t="n"/>
      <c r="NFS286" s="1132" t="n"/>
      <c r="NFT286" s="1132" t="n"/>
      <c r="NFU286" s="1132" t="n"/>
      <c r="NFV286" s="1132" t="n"/>
      <c r="NFW286" s="1132" t="n"/>
      <c r="NFX286" s="1132" t="n"/>
      <c r="NFY286" s="1132" t="n"/>
      <c r="NFZ286" s="1132" t="n"/>
      <c r="NGA286" s="1132" t="n"/>
      <c r="NGB286" s="1132" t="n"/>
      <c r="NGC286" s="1132" t="n"/>
      <c r="NGD286" s="1132" t="n"/>
      <c r="NGE286" s="1132" t="n"/>
      <c r="NGF286" s="1132" t="n"/>
      <c r="NGG286" s="1132" t="n"/>
      <c r="NGH286" s="1132" t="n"/>
      <c r="NGI286" s="1132" t="n"/>
      <c r="NGJ286" s="1132" t="n"/>
      <c r="NGK286" s="1132" t="n"/>
      <c r="NGL286" s="1132" t="n"/>
      <c r="NGM286" s="1132" t="n"/>
      <c r="NGN286" s="1132" t="n"/>
      <c r="NGO286" s="1132" t="n"/>
      <c r="NGP286" s="1132" t="n"/>
      <c r="NGQ286" s="1132" t="n"/>
      <c r="NGR286" s="1132" t="n"/>
      <c r="NGS286" s="1132" t="n"/>
      <c r="NGT286" s="1132" t="n"/>
      <c r="NGU286" s="1132" t="n"/>
      <c r="NGV286" s="1132" t="n"/>
      <c r="NGW286" s="1132" t="n"/>
      <c r="NGX286" s="1132" t="n"/>
      <c r="NGY286" s="1132" t="n"/>
      <c r="NGZ286" s="1132" t="n"/>
      <c r="NHA286" s="1132" t="n"/>
      <c r="NHB286" s="1132" t="n"/>
      <c r="NHC286" s="1132" t="n"/>
      <c r="NHD286" s="1132" t="n"/>
      <c r="NHE286" s="1132" t="n"/>
      <c r="NHF286" s="1132" t="n"/>
      <c r="NHG286" s="1132" t="n"/>
      <c r="NHH286" s="1132" t="n"/>
      <c r="NHI286" s="1132" t="n"/>
      <c r="NHJ286" s="1132" t="n"/>
      <c r="NHK286" s="1132" t="n"/>
      <c r="NHL286" s="1132" t="n"/>
      <c r="NHM286" s="1132" t="n"/>
      <c r="NHN286" s="1132" t="n"/>
      <c r="NHO286" s="1132" t="n"/>
      <c r="NHP286" s="1132" t="n"/>
      <c r="NHQ286" s="1132" t="n"/>
      <c r="NHR286" s="1132" t="n"/>
      <c r="NHS286" s="1132" t="n"/>
      <c r="NHT286" s="1132" t="n"/>
      <c r="NHU286" s="1132" t="n"/>
      <c r="NHV286" s="1132" t="n"/>
      <c r="NHW286" s="1132" t="n"/>
      <c r="NHX286" s="1132" t="n"/>
      <c r="NHY286" s="1132" t="n"/>
      <c r="NHZ286" s="1132" t="n"/>
      <c r="NIA286" s="1132" t="n"/>
      <c r="NIB286" s="1132" t="n"/>
      <c r="NIC286" s="1132" t="n"/>
      <c r="NID286" s="1132" t="n"/>
      <c r="NIE286" s="1132" t="n"/>
      <c r="NIF286" s="1132" t="n"/>
      <c r="NIG286" s="1132" t="n"/>
      <c r="NIH286" s="1132" t="n"/>
      <c r="NII286" s="1132" t="n"/>
      <c r="NIJ286" s="1132" t="n"/>
      <c r="NIK286" s="1132" t="n"/>
      <c r="NIL286" s="1132" t="n"/>
      <c r="NIM286" s="1132" t="n"/>
      <c r="NIN286" s="1132" t="n"/>
      <c r="NIO286" s="1132" t="n"/>
      <c r="NIP286" s="1132" t="n"/>
      <c r="NIQ286" s="1132" t="n"/>
      <c r="NIR286" s="1132" t="n"/>
      <c r="NIS286" s="1132" t="n"/>
      <c r="NIT286" s="1132" t="n"/>
      <c r="NIU286" s="1132" t="n"/>
      <c r="NIV286" s="1132" t="n"/>
      <c r="NIW286" s="1132" t="n"/>
      <c r="NIX286" s="1132" t="n"/>
      <c r="NIY286" s="1132" t="n"/>
      <c r="NIZ286" s="1132" t="n"/>
      <c r="NJA286" s="1132" t="n"/>
      <c r="NJB286" s="1132" t="n"/>
      <c r="NJC286" s="1132" t="n"/>
      <c r="NJD286" s="1132" t="n"/>
      <c r="NJE286" s="1132" t="n"/>
      <c r="NJF286" s="1132" t="n"/>
      <c r="NJG286" s="1132" t="n"/>
      <c r="NJH286" s="1132" t="n"/>
      <c r="NJI286" s="1132" t="n"/>
      <c r="NJJ286" s="1132" t="n"/>
      <c r="NJK286" s="1132" t="n"/>
      <c r="NJL286" s="1132" t="n"/>
      <c r="NJM286" s="1132" t="n"/>
      <c r="NJN286" s="1132" t="n"/>
      <c r="NJO286" s="1132" t="n"/>
      <c r="NJP286" s="1132" t="n"/>
      <c r="NJQ286" s="1132" t="n"/>
      <c r="NJR286" s="1132" t="n"/>
      <c r="NJS286" s="1132" t="n"/>
      <c r="NJT286" s="1132" t="n"/>
      <c r="NJU286" s="1132" t="n"/>
      <c r="NJV286" s="1132" t="n"/>
      <c r="NJW286" s="1132" t="n"/>
      <c r="NJX286" s="1132" t="n"/>
      <c r="NJY286" s="1132" t="n"/>
      <c r="NJZ286" s="1132" t="n"/>
      <c r="NKA286" s="1132" t="n"/>
      <c r="NKB286" s="1132" t="n"/>
      <c r="NKC286" s="1132" t="n"/>
      <c r="NKD286" s="1132" t="n"/>
      <c r="NKE286" s="1132" t="n"/>
      <c r="NKF286" s="1132" t="n"/>
      <c r="NKG286" s="1132" t="n"/>
      <c r="NKH286" s="1132" t="n"/>
      <c r="NKI286" s="1132" t="n"/>
      <c r="NKJ286" s="1132" t="n"/>
      <c r="NKK286" s="1132" t="n"/>
      <c r="NKL286" s="1132" t="n"/>
      <c r="NKM286" s="1132" t="n"/>
      <c r="NKN286" s="1132" t="n"/>
      <c r="NKO286" s="1132" t="n"/>
      <c r="NKP286" s="1132" t="n"/>
      <c r="NKQ286" s="1132" t="n"/>
      <c r="NKR286" s="1132" t="n"/>
      <c r="NKS286" s="1132" t="n"/>
      <c r="NKT286" s="1132" t="n"/>
      <c r="NKU286" s="1132" t="n"/>
      <c r="NKV286" s="1132" t="n"/>
      <c r="NKW286" s="1132" t="n"/>
      <c r="NKX286" s="1132" t="n"/>
      <c r="NKY286" s="1132" t="n"/>
      <c r="NKZ286" s="1132" t="n"/>
      <c r="NLA286" s="1132" t="n"/>
      <c r="NLB286" s="1132" t="n"/>
      <c r="NLC286" s="1132" t="n"/>
      <c r="NLD286" s="1132" t="n"/>
      <c r="NLE286" s="1132" t="n"/>
      <c r="NLF286" s="1132" t="n"/>
      <c r="NLG286" s="1132" t="n"/>
      <c r="NLH286" s="1132" t="n"/>
      <c r="NLI286" s="1132" t="n"/>
      <c r="NLJ286" s="1132" t="n"/>
      <c r="NLK286" s="1132" t="n"/>
      <c r="NLL286" s="1132" t="n"/>
      <c r="NLM286" s="1132" t="n"/>
      <c r="NLN286" s="1132" t="n"/>
      <c r="NLO286" s="1132" t="n"/>
      <c r="NLP286" s="1132" t="n"/>
      <c r="NLQ286" s="1132" t="n"/>
      <c r="NLR286" s="1132" t="n"/>
      <c r="NLS286" s="1132" t="n"/>
      <c r="NLT286" s="1132" t="n"/>
      <c r="NLU286" s="1132" t="n"/>
      <c r="NLV286" s="1132" t="n"/>
      <c r="NLW286" s="1132" t="n"/>
      <c r="NLX286" s="1132" t="n"/>
      <c r="NLY286" s="1132" t="n"/>
      <c r="NLZ286" s="1132" t="n"/>
      <c r="NMA286" s="1132" t="n"/>
      <c r="NMB286" s="1132" t="n"/>
      <c r="NMC286" s="1132" t="n"/>
      <c r="NMD286" s="1132" t="n"/>
      <c r="NME286" s="1132" t="n"/>
      <c r="NMF286" s="1132" t="n"/>
      <c r="NMG286" s="1132" t="n"/>
      <c r="NMH286" s="1132" t="n"/>
      <c r="NMI286" s="1132" t="n"/>
      <c r="NMJ286" s="1132" t="n"/>
      <c r="NMK286" s="1132" t="n"/>
      <c r="NML286" s="1132" t="n"/>
      <c r="NMM286" s="1132" t="n"/>
      <c r="NMN286" s="1132" t="n"/>
      <c r="NMO286" s="1132" t="n"/>
      <c r="NMP286" s="1132" t="n"/>
      <c r="NMQ286" s="1132" t="n"/>
      <c r="NMR286" s="1132" t="n"/>
      <c r="NMS286" s="1132" t="n"/>
      <c r="NMT286" s="1132" t="n"/>
      <c r="NMU286" s="1132" t="n"/>
      <c r="NMV286" s="1132" t="n"/>
      <c r="NMW286" s="1132" t="n"/>
      <c r="NMX286" s="1132" t="n"/>
      <c r="NMY286" s="1132" t="n"/>
      <c r="NMZ286" s="1132" t="n"/>
      <c r="NNA286" s="1132" t="n"/>
      <c r="NNB286" s="1132" t="n"/>
      <c r="NNC286" s="1132" t="n"/>
      <c r="NND286" s="1132" t="n"/>
      <c r="NNE286" s="1132" t="n"/>
      <c r="NNF286" s="1132" t="n"/>
      <c r="NNG286" s="1132" t="n"/>
      <c r="NNH286" s="1132" t="n"/>
      <c r="NNI286" s="1132" t="n"/>
      <c r="NNJ286" s="1132" t="n"/>
      <c r="NNK286" s="1132" t="n"/>
      <c r="NNL286" s="1132" t="n"/>
      <c r="NNM286" s="1132" t="n"/>
      <c r="NNN286" s="1132" t="n"/>
      <c r="NNO286" s="1132" t="n"/>
      <c r="NNP286" s="1132" t="n"/>
      <c r="NNQ286" s="1132" t="n"/>
      <c r="NNR286" s="1132" t="n"/>
      <c r="NNS286" s="1132" t="n"/>
      <c r="NNT286" s="1132" t="n"/>
      <c r="NNU286" s="1132" t="n"/>
      <c r="NNV286" s="1132" t="n"/>
      <c r="NNW286" s="1132" t="n"/>
      <c r="NNX286" s="1132" t="n"/>
      <c r="NNY286" s="1132" t="n"/>
      <c r="NNZ286" s="1132" t="n"/>
      <c r="NOA286" s="1132" t="n"/>
      <c r="NOB286" s="1132" t="n"/>
      <c r="NOC286" s="1132" t="n"/>
      <c r="NOD286" s="1132" t="n"/>
      <c r="NOE286" s="1132" t="n"/>
      <c r="NOF286" s="1132" t="n"/>
      <c r="NOG286" s="1132" t="n"/>
      <c r="NOH286" s="1132" t="n"/>
      <c r="NOI286" s="1132" t="n"/>
      <c r="NOJ286" s="1132" t="n"/>
      <c r="NOK286" s="1132" t="n"/>
      <c r="NOL286" s="1132" t="n"/>
      <c r="NOM286" s="1132" t="n"/>
      <c r="NON286" s="1132" t="n"/>
      <c r="NOO286" s="1132" t="n"/>
      <c r="NOP286" s="1132" t="n"/>
      <c r="NOQ286" s="1132" t="n"/>
      <c r="NOR286" s="1132" t="n"/>
      <c r="NOS286" s="1132" t="n"/>
      <c r="NOT286" s="1132" t="n"/>
      <c r="NOU286" s="1132" t="n"/>
      <c r="NOV286" s="1132" t="n"/>
      <c r="NOW286" s="1132" t="n"/>
      <c r="NOX286" s="1132" t="n"/>
      <c r="NOY286" s="1132" t="n"/>
      <c r="NOZ286" s="1132" t="n"/>
      <c r="NPA286" s="1132" t="n"/>
      <c r="NPB286" s="1132" t="n"/>
      <c r="NPC286" s="1132" t="n"/>
      <c r="NPD286" s="1132" t="n"/>
      <c r="NPE286" s="1132" t="n"/>
      <c r="NPF286" s="1132" t="n"/>
      <c r="NPG286" s="1132" t="n"/>
      <c r="NPH286" s="1132" t="n"/>
      <c r="NPI286" s="1132" t="n"/>
      <c r="NPJ286" s="1132" t="n"/>
      <c r="NPK286" s="1132" t="n"/>
      <c r="NPL286" s="1132" t="n"/>
      <c r="NPM286" s="1132" t="n"/>
      <c r="NPN286" s="1132" t="n"/>
      <c r="NPO286" s="1132" t="n"/>
      <c r="NPP286" s="1132" t="n"/>
      <c r="NPQ286" s="1132" t="n"/>
      <c r="NPR286" s="1132" t="n"/>
      <c r="NPS286" s="1132" t="n"/>
      <c r="NPT286" s="1132" t="n"/>
      <c r="NPU286" s="1132" t="n"/>
      <c r="NPV286" s="1132" t="n"/>
      <c r="NPW286" s="1132" t="n"/>
      <c r="NPX286" s="1132" t="n"/>
      <c r="NPY286" s="1132" t="n"/>
      <c r="NPZ286" s="1132" t="n"/>
      <c r="NQA286" s="1132" t="n"/>
      <c r="NQB286" s="1132" t="n"/>
      <c r="NQC286" s="1132" t="n"/>
      <c r="NQD286" s="1132" t="n"/>
      <c r="NQE286" s="1132" t="n"/>
      <c r="NQF286" s="1132" t="n"/>
      <c r="NQG286" s="1132" t="n"/>
      <c r="NQH286" s="1132" t="n"/>
      <c r="NQI286" s="1132" t="n"/>
      <c r="NQJ286" s="1132" t="n"/>
      <c r="NQK286" s="1132" t="n"/>
      <c r="NQL286" s="1132" t="n"/>
      <c r="NQM286" s="1132" t="n"/>
      <c r="NQN286" s="1132" t="n"/>
      <c r="NQO286" s="1132" t="n"/>
      <c r="NQP286" s="1132" t="n"/>
      <c r="NQQ286" s="1132" t="n"/>
      <c r="NQR286" s="1132" t="n"/>
      <c r="NQS286" s="1132" t="n"/>
      <c r="NQT286" s="1132" t="n"/>
      <c r="NQU286" s="1132" t="n"/>
      <c r="NQV286" s="1132" t="n"/>
      <c r="NQW286" s="1132" t="n"/>
      <c r="NQX286" s="1132" t="n"/>
      <c r="NQY286" s="1132" t="n"/>
      <c r="NQZ286" s="1132" t="n"/>
      <c r="NRA286" s="1132" t="n"/>
      <c r="NRB286" s="1132" t="n"/>
      <c r="NRC286" s="1132" t="n"/>
      <c r="NRD286" s="1132" t="n"/>
      <c r="NRE286" s="1132" t="n"/>
      <c r="NRF286" s="1132" t="n"/>
      <c r="NRG286" s="1132" t="n"/>
      <c r="NRH286" s="1132" t="n"/>
      <c r="NRI286" s="1132" t="n"/>
      <c r="NRJ286" s="1132" t="n"/>
      <c r="NRK286" s="1132" t="n"/>
      <c r="NRL286" s="1132" t="n"/>
      <c r="NRM286" s="1132" t="n"/>
      <c r="NRN286" s="1132" t="n"/>
      <c r="NRO286" s="1132" t="n"/>
      <c r="NRP286" s="1132" t="n"/>
      <c r="NRQ286" s="1132" t="n"/>
      <c r="NRR286" s="1132" t="n"/>
      <c r="NRS286" s="1132" t="n"/>
      <c r="NRT286" s="1132" t="n"/>
      <c r="NRU286" s="1132" t="n"/>
      <c r="NRV286" s="1132" t="n"/>
      <c r="NRW286" s="1132" t="n"/>
      <c r="NRX286" s="1132" t="n"/>
      <c r="NRY286" s="1132" t="n"/>
      <c r="NRZ286" s="1132" t="n"/>
      <c r="NSA286" s="1132" t="n"/>
      <c r="NSB286" s="1132" t="n"/>
      <c r="NSC286" s="1132" t="n"/>
      <c r="NSD286" s="1132" t="n"/>
      <c r="NSE286" s="1132" t="n"/>
      <c r="NSF286" s="1132" t="n"/>
      <c r="NSG286" s="1132" t="n"/>
      <c r="NSH286" s="1132" t="n"/>
      <c r="NSI286" s="1132" t="n"/>
      <c r="NSJ286" s="1132" t="n"/>
      <c r="NSK286" s="1132" t="n"/>
      <c r="NSL286" s="1132" t="n"/>
      <c r="NSM286" s="1132" t="n"/>
      <c r="NSN286" s="1132" t="n"/>
      <c r="NSO286" s="1132" t="n"/>
      <c r="NSP286" s="1132" t="n"/>
      <c r="NSQ286" s="1132" t="n"/>
      <c r="NSR286" s="1132" t="n"/>
      <c r="NSS286" s="1132" t="n"/>
      <c r="NST286" s="1132" t="n"/>
      <c r="NSU286" s="1132" t="n"/>
      <c r="NSV286" s="1132" t="n"/>
      <c r="NSW286" s="1132" t="n"/>
      <c r="NSX286" s="1132" t="n"/>
      <c r="NSY286" s="1132" t="n"/>
      <c r="NSZ286" s="1132" t="n"/>
      <c r="NTA286" s="1132" t="n"/>
      <c r="NTB286" s="1132" t="n"/>
      <c r="NTC286" s="1132" t="n"/>
      <c r="NTD286" s="1132" t="n"/>
      <c r="NTE286" s="1132" t="n"/>
      <c r="NTF286" s="1132" t="n"/>
      <c r="NTG286" s="1132" t="n"/>
      <c r="NTH286" s="1132" t="n"/>
      <c r="NTI286" s="1132" t="n"/>
      <c r="NTJ286" s="1132" t="n"/>
      <c r="NTK286" s="1132" t="n"/>
      <c r="NTL286" s="1132" t="n"/>
      <c r="NTM286" s="1132" t="n"/>
      <c r="NTN286" s="1132" t="n"/>
      <c r="NTO286" s="1132" t="n"/>
      <c r="NTP286" s="1132" t="n"/>
      <c r="NTQ286" s="1132" t="n"/>
      <c r="NTR286" s="1132" t="n"/>
      <c r="NTS286" s="1132" t="n"/>
      <c r="NTT286" s="1132" t="n"/>
      <c r="NTU286" s="1132" t="n"/>
      <c r="NTV286" s="1132" t="n"/>
      <c r="NTW286" s="1132" t="n"/>
      <c r="NTX286" s="1132" t="n"/>
      <c r="NTY286" s="1132" t="n"/>
      <c r="NTZ286" s="1132" t="n"/>
      <c r="NUA286" s="1132" t="n"/>
      <c r="NUB286" s="1132" t="n"/>
      <c r="NUC286" s="1132" t="n"/>
      <c r="NUD286" s="1132" t="n"/>
      <c r="NUE286" s="1132" t="n"/>
      <c r="NUF286" s="1132" t="n"/>
      <c r="NUG286" s="1132" t="n"/>
      <c r="NUH286" s="1132" t="n"/>
      <c r="NUI286" s="1132" t="n"/>
      <c r="NUJ286" s="1132" t="n"/>
      <c r="NUK286" s="1132" t="n"/>
      <c r="NUL286" s="1132" t="n"/>
      <c r="NUM286" s="1132" t="n"/>
      <c r="NUN286" s="1132" t="n"/>
      <c r="NUO286" s="1132" t="n"/>
      <c r="NUP286" s="1132" t="n"/>
      <c r="NUQ286" s="1132" t="n"/>
      <c r="NUR286" s="1132" t="n"/>
      <c r="NUS286" s="1132" t="n"/>
      <c r="NUT286" s="1132" t="n"/>
      <c r="NUU286" s="1132" t="n"/>
      <c r="NUV286" s="1132" t="n"/>
      <c r="NUW286" s="1132" t="n"/>
      <c r="NUX286" s="1132" t="n"/>
      <c r="NUY286" s="1132" t="n"/>
      <c r="NUZ286" s="1132" t="n"/>
      <c r="NVA286" s="1132" t="n"/>
      <c r="NVB286" s="1132" t="n"/>
      <c r="NVC286" s="1132" t="n"/>
      <c r="NVD286" s="1132" t="n"/>
      <c r="NVE286" s="1132" t="n"/>
      <c r="NVF286" s="1132" t="n"/>
      <c r="NVG286" s="1132" t="n"/>
      <c r="NVH286" s="1132" t="n"/>
      <c r="NVI286" s="1132" t="n"/>
      <c r="NVJ286" s="1132" t="n"/>
      <c r="NVK286" s="1132" t="n"/>
      <c r="NVL286" s="1132" t="n"/>
      <c r="NVM286" s="1132" t="n"/>
      <c r="NVN286" s="1132" t="n"/>
      <c r="NVO286" s="1132" t="n"/>
      <c r="NVP286" s="1132" t="n"/>
      <c r="NVQ286" s="1132" t="n"/>
      <c r="NVR286" s="1132" t="n"/>
      <c r="NVS286" s="1132" t="n"/>
      <c r="NVT286" s="1132" t="n"/>
      <c r="NVU286" s="1132" t="n"/>
      <c r="NVV286" s="1132" t="n"/>
      <c r="NVW286" s="1132" t="n"/>
      <c r="NVX286" s="1132" t="n"/>
      <c r="NVY286" s="1132" t="n"/>
      <c r="NVZ286" s="1132" t="n"/>
      <c r="NWA286" s="1132" t="n"/>
      <c r="NWB286" s="1132" t="n"/>
      <c r="NWC286" s="1132" t="n"/>
      <c r="NWD286" s="1132" t="n"/>
      <c r="NWE286" s="1132" t="n"/>
      <c r="NWF286" s="1132" t="n"/>
      <c r="NWG286" s="1132" t="n"/>
      <c r="NWH286" s="1132" t="n"/>
      <c r="NWI286" s="1132" t="n"/>
      <c r="NWJ286" s="1132" t="n"/>
      <c r="NWK286" s="1132" t="n"/>
      <c r="NWL286" s="1132" t="n"/>
      <c r="NWM286" s="1132" t="n"/>
      <c r="NWN286" s="1132" t="n"/>
      <c r="NWO286" s="1132" t="n"/>
      <c r="NWP286" s="1132" t="n"/>
      <c r="NWQ286" s="1132" t="n"/>
      <c r="NWR286" s="1132" t="n"/>
      <c r="NWS286" s="1132" t="n"/>
      <c r="NWT286" s="1132" t="n"/>
      <c r="NWU286" s="1132" t="n"/>
      <c r="NWV286" s="1132" t="n"/>
      <c r="NWW286" s="1132" t="n"/>
      <c r="NWX286" s="1132" t="n"/>
      <c r="NWY286" s="1132" t="n"/>
      <c r="NWZ286" s="1132" t="n"/>
      <c r="NXA286" s="1132" t="n"/>
      <c r="NXB286" s="1132" t="n"/>
      <c r="NXC286" s="1132" t="n"/>
      <c r="NXD286" s="1132" t="n"/>
      <c r="NXE286" s="1132" t="n"/>
      <c r="NXF286" s="1132" t="n"/>
      <c r="NXG286" s="1132" t="n"/>
      <c r="NXH286" s="1132" t="n"/>
      <c r="NXI286" s="1132" t="n"/>
      <c r="NXJ286" s="1132" t="n"/>
      <c r="NXK286" s="1132" t="n"/>
      <c r="NXL286" s="1132" t="n"/>
      <c r="NXM286" s="1132" t="n"/>
      <c r="NXN286" s="1132" t="n"/>
      <c r="NXO286" s="1132" t="n"/>
      <c r="NXP286" s="1132" t="n"/>
      <c r="NXQ286" s="1132" t="n"/>
      <c r="NXR286" s="1132" t="n"/>
      <c r="NXS286" s="1132" t="n"/>
      <c r="NXT286" s="1132" t="n"/>
      <c r="NXU286" s="1132" t="n"/>
      <c r="NXV286" s="1132" t="n"/>
      <c r="NXW286" s="1132" t="n"/>
      <c r="NXX286" s="1132" t="n"/>
      <c r="NXY286" s="1132" t="n"/>
      <c r="NXZ286" s="1132" t="n"/>
      <c r="NYA286" s="1132" t="n"/>
      <c r="NYB286" s="1132" t="n"/>
      <c r="NYC286" s="1132" t="n"/>
      <c r="NYD286" s="1132" t="n"/>
      <c r="NYE286" s="1132" t="n"/>
      <c r="NYF286" s="1132" t="n"/>
      <c r="NYG286" s="1132" t="n"/>
      <c r="NYH286" s="1132" t="n"/>
      <c r="NYI286" s="1132" t="n"/>
      <c r="NYJ286" s="1132" t="n"/>
      <c r="NYK286" s="1132" t="n"/>
      <c r="NYL286" s="1132" t="n"/>
      <c r="NYM286" s="1132" t="n"/>
      <c r="NYN286" s="1132" t="n"/>
      <c r="NYO286" s="1132" t="n"/>
      <c r="NYP286" s="1132" t="n"/>
      <c r="NYQ286" s="1132" t="n"/>
      <c r="NYR286" s="1132" t="n"/>
      <c r="NYS286" s="1132" t="n"/>
      <c r="NYT286" s="1132" t="n"/>
      <c r="NYU286" s="1132" t="n"/>
      <c r="NYV286" s="1132" t="n"/>
      <c r="NYW286" s="1132" t="n"/>
      <c r="NYX286" s="1132" t="n"/>
      <c r="NYY286" s="1132" t="n"/>
      <c r="NYZ286" s="1132" t="n"/>
      <c r="NZA286" s="1132" t="n"/>
      <c r="NZB286" s="1132" t="n"/>
      <c r="NZC286" s="1132" t="n"/>
      <c r="NZD286" s="1132" t="n"/>
      <c r="NZE286" s="1132" t="n"/>
      <c r="NZF286" s="1132" t="n"/>
      <c r="NZG286" s="1132" t="n"/>
      <c r="NZH286" s="1132" t="n"/>
      <c r="NZI286" s="1132" t="n"/>
      <c r="NZJ286" s="1132" t="n"/>
      <c r="NZK286" s="1132" t="n"/>
      <c r="NZL286" s="1132" t="n"/>
      <c r="NZM286" s="1132" t="n"/>
      <c r="NZN286" s="1132" t="n"/>
      <c r="NZO286" s="1132" t="n"/>
      <c r="NZP286" s="1132" t="n"/>
      <c r="NZQ286" s="1132" t="n"/>
      <c r="NZR286" s="1132" t="n"/>
      <c r="NZS286" s="1132" t="n"/>
      <c r="NZT286" s="1132" t="n"/>
      <c r="NZU286" s="1132" t="n"/>
      <c r="NZV286" s="1132" t="n"/>
      <c r="NZW286" s="1132" t="n"/>
      <c r="NZX286" s="1132" t="n"/>
      <c r="NZY286" s="1132" t="n"/>
      <c r="NZZ286" s="1132" t="n"/>
      <c r="OAA286" s="1132" t="n"/>
      <c r="OAB286" s="1132" t="n"/>
      <c r="OAC286" s="1132" t="n"/>
      <c r="OAD286" s="1132" t="n"/>
      <c r="OAE286" s="1132" t="n"/>
      <c r="OAF286" s="1132" t="n"/>
      <c r="OAG286" s="1132" t="n"/>
      <c r="OAH286" s="1132" t="n"/>
      <c r="OAI286" s="1132" t="n"/>
      <c r="OAJ286" s="1132" t="n"/>
      <c r="OAK286" s="1132" t="n"/>
      <c r="OAL286" s="1132" t="n"/>
      <c r="OAM286" s="1132" t="n"/>
      <c r="OAN286" s="1132" t="n"/>
      <c r="OAO286" s="1132" t="n"/>
      <c r="OAP286" s="1132" t="n"/>
      <c r="OAQ286" s="1132" t="n"/>
      <c r="OAR286" s="1132" t="n"/>
      <c r="OAS286" s="1132" t="n"/>
      <c r="OAT286" s="1132" t="n"/>
      <c r="OAU286" s="1132" t="n"/>
      <c r="OAV286" s="1132" t="n"/>
      <c r="OAW286" s="1132" t="n"/>
      <c r="OAX286" s="1132" t="n"/>
      <c r="OAY286" s="1132" t="n"/>
      <c r="OAZ286" s="1132" t="n"/>
      <c r="OBA286" s="1132" t="n"/>
      <c r="OBB286" s="1132" t="n"/>
      <c r="OBC286" s="1132" t="n"/>
      <c r="OBD286" s="1132" t="n"/>
      <c r="OBE286" s="1132" t="n"/>
      <c r="OBF286" s="1132" t="n"/>
      <c r="OBG286" s="1132" t="n"/>
      <c r="OBH286" s="1132" t="n"/>
      <c r="OBI286" s="1132" t="n"/>
      <c r="OBJ286" s="1132" t="n"/>
      <c r="OBK286" s="1132" t="n"/>
      <c r="OBL286" s="1132" t="n"/>
      <c r="OBM286" s="1132" t="n"/>
      <c r="OBN286" s="1132" t="n"/>
      <c r="OBO286" s="1132" t="n"/>
      <c r="OBP286" s="1132" t="n"/>
      <c r="OBQ286" s="1132" t="n"/>
      <c r="OBR286" s="1132" t="n"/>
      <c r="OBS286" s="1132" t="n"/>
      <c r="OBT286" s="1132" t="n"/>
      <c r="OBU286" s="1132" t="n"/>
      <c r="OBV286" s="1132" t="n"/>
      <c r="OBW286" s="1132" t="n"/>
      <c r="OBX286" s="1132" t="n"/>
      <c r="OBY286" s="1132" t="n"/>
      <c r="OBZ286" s="1132" t="n"/>
      <c r="OCA286" s="1132" t="n"/>
      <c r="OCB286" s="1132" t="n"/>
      <c r="OCC286" s="1132" t="n"/>
      <c r="OCD286" s="1132" t="n"/>
      <c r="OCE286" s="1132" t="n"/>
      <c r="OCF286" s="1132" t="n"/>
      <c r="OCG286" s="1132" t="n"/>
      <c r="OCH286" s="1132" t="n"/>
      <c r="OCI286" s="1132" t="n"/>
      <c r="OCJ286" s="1132" t="n"/>
      <c r="OCK286" s="1132" t="n"/>
      <c r="OCL286" s="1132" t="n"/>
      <c r="OCM286" s="1132" t="n"/>
      <c r="OCN286" s="1132" t="n"/>
      <c r="OCO286" s="1132" t="n"/>
      <c r="OCP286" s="1132" t="n"/>
      <c r="OCQ286" s="1132" t="n"/>
      <c r="OCR286" s="1132" t="n"/>
      <c r="OCS286" s="1132" t="n"/>
      <c r="OCT286" s="1132" t="n"/>
      <c r="OCU286" s="1132" t="n"/>
      <c r="OCV286" s="1132" t="n"/>
      <c r="OCW286" s="1132" t="n"/>
      <c r="OCX286" s="1132" t="n"/>
      <c r="OCY286" s="1132" t="n"/>
      <c r="OCZ286" s="1132" t="n"/>
      <c r="ODA286" s="1132" t="n"/>
      <c r="ODB286" s="1132" t="n"/>
      <c r="ODC286" s="1132" t="n"/>
      <c r="ODD286" s="1132" t="n"/>
      <c r="ODE286" s="1132" t="n"/>
      <c r="ODF286" s="1132" t="n"/>
      <c r="ODG286" s="1132" t="n"/>
      <c r="ODH286" s="1132" t="n"/>
      <c r="ODI286" s="1132" t="n"/>
      <c r="ODJ286" s="1132" t="n"/>
      <c r="ODK286" s="1132" t="n"/>
      <c r="ODL286" s="1132" t="n"/>
      <c r="ODM286" s="1132" t="n"/>
      <c r="ODN286" s="1132" t="n"/>
      <c r="ODO286" s="1132" t="n"/>
      <c r="ODP286" s="1132" t="n"/>
      <c r="ODQ286" s="1132" t="n"/>
      <c r="ODR286" s="1132" t="n"/>
      <c r="ODS286" s="1132" t="n"/>
      <c r="ODT286" s="1132" t="n"/>
      <c r="ODU286" s="1132" t="n"/>
      <c r="ODV286" s="1132" t="n"/>
      <c r="ODW286" s="1132" t="n"/>
      <c r="ODX286" s="1132" t="n"/>
      <c r="ODY286" s="1132" t="n"/>
      <c r="ODZ286" s="1132" t="n"/>
      <c r="OEA286" s="1132" t="n"/>
      <c r="OEB286" s="1132" t="n"/>
      <c r="OEC286" s="1132" t="n"/>
      <c r="OED286" s="1132" t="n"/>
      <c r="OEE286" s="1132" t="n"/>
      <c r="OEF286" s="1132" t="n"/>
      <c r="OEG286" s="1132" t="n"/>
      <c r="OEH286" s="1132" t="n"/>
      <c r="OEI286" s="1132" t="n"/>
      <c r="OEJ286" s="1132" t="n"/>
      <c r="OEK286" s="1132" t="n"/>
      <c r="OEL286" s="1132" t="n"/>
      <c r="OEM286" s="1132" t="n"/>
      <c r="OEN286" s="1132" t="n"/>
      <c r="OEO286" s="1132" t="n"/>
      <c r="OEP286" s="1132" t="n"/>
      <c r="OEQ286" s="1132" t="n"/>
      <c r="OER286" s="1132" t="n"/>
      <c r="OES286" s="1132" t="n"/>
      <c r="OET286" s="1132" t="n"/>
      <c r="OEU286" s="1132" t="n"/>
      <c r="OEV286" s="1132" t="n"/>
      <c r="OEW286" s="1132" t="n"/>
      <c r="OEX286" s="1132" t="n"/>
      <c r="OEY286" s="1132" t="n"/>
      <c r="OEZ286" s="1132" t="n"/>
      <c r="OFA286" s="1132" t="n"/>
      <c r="OFB286" s="1132" t="n"/>
      <c r="OFC286" s="1132" t="n"/>
      <c r="OFD286" s="1132" t="n"/>
      <c r="OFE286" s="1132" t="n"/>
      <c r="OFF286" s="1132" t="n"/>
      <c r="OFG286" s="1132" t="n"/>
      <c r="OFH286" s="1132" t="n"/>
      <c r="OFI286" s="1132" t="n"/>
      <c r="OFJ286" s="1132" t="n"/>
      <c r="OFK286" s="1132" t="n"/>
      <c r="OFL286" s="1132" t="n"/>
      <c r="OFM286" s="1132" t="n"/>
      <c r="OFN286" s="1132" t="n"/>
      <c r="OFO286" s="1132" t="n"/>
      <c r="OFP286" s="1132" t="n"/>
      <c r="OFQ286" s="1132" t="n"/>
      <c r="OFR286" s="1132" t="n"/>
      <c r="OFS286" s="1132" t="n"/>
      <c r="OFT286" s="1132" t="n"/>
      <c r="OFU286" s="1132" t="n"/>
      <c r="OFV286" s="1132" t="n"/>
      <c r="OFW286" s="1132" t="n"/>
      <c r="OFX286" s="1132" t="n"/>
      <c r="OFY286" s="1132" t="n"/>
      <c r="OFZ286" s="1132" t="n"/>
      <c r="OGA286" s="1132" t="n"/>
      <c r="OGB286" s="1132" t="n"/>
      <c r="OGC286" s="1132" t="n"/>
      <c r="OGD286" s="1132" t="n"/>
      <c r="OGE286" s="1132" t="n"/>
      <c r="OGF286" s="1132" t="n"/>
      <c r="OGG286" s="1132" t="n"/>
      <c r="OGH286" s="1132" t="n"/>
      <c r="OGI286" s="1132" t="n"/>
      <c r="OGJ286" s="1132" t="n"/>
      <c r="OGK286" s="1132" t="n"/>
      <c r="OGL286" s="1132" t="n"/>
      <c r="OGM286" s="1132" t="n"/>
      <c r="OGN286" s="1132" t="n"/>
      <c r="OGO286" s="1132" t="n"/>
      <c r="OGP286" s="1132" t="n"/>
      <c r="OGQ286" s="1132" t="n"/>
      <c r="OGR286" s="1132" t="n"/>
      <c r="OGS286" s="1132" t="n"/>
      <c r="OGT286" s="1132" t="n"/>
      <c r="OGU286" s="1132" t="n"/>
      <c r="OGV286" s="1132" t="n"/>
      <c r="OGW286" s="1132" t="n"/>
      <c r="OGX286" s="1132" t="n"/>
      <c r="OGY286" s="1132" t="n"/>
      <c r="OGZ286" s="1132" t="n"/>
      <c r="OHA286" s="1132" t="n"/>
      <c r="OHB286" s="1132" t="n"/>
      <c r="OHC286" s="1132" t="n"/>
      <c r="OHD286" s="1132" t="n"/>
      <c r="OHE286" s="1132" t="n"/>
      <c r="OHF286" s="1132" t="n"/>
      <c r="OHG286" s="1132" t="n"/>
      <c r="OHH286" s="1132" t="n"/>
      <c r="OHI286" s="1132" t="n"/>
      <c r="OHJ286" s="1132" t="n"/>
      <c r="OHK286" s="1132" t="n"/>
      <c r="OHL286" s="1132" t="n"/>
      <c r="OHM286" s="1132" t="n"/>
      <c r="OHN286" s="1132" t="n"/>
      <c r="OHO286" s="1132" t="n"/>
      <c r="OHP286" s="1132" t="n"/>
      <c r="OHQ286" s="1132" t="n"/>
      <c r="OHR286" s="1132" t="n"/>
      <c r="OHS286" s="1132" t="n"/>
      <c r="OHT286" s="1132" t="n"/>
      <c r="OHU286" s="1132" t="n"/>
      <c r="OHV286" s="1132" t="n"/>
      <c r="OHW286" s="1132" t="n"/>
      <c r="OHX286" s="1132" t="n"/>
      <c r="OHY286" s="1132" t="n"/>
      <c r="OHZ286" s="1132" t="n"/>
      <c r="OIA286" s="1132" t="n"/>
      <c r="OIB286" s="1132" t="n"/>
      <c r="OIC286" s="1132" t="n"/>
      <c r="OID286" s="1132" t="n"/>
      <c r="OIE286" s="1132" t="n"/>
      <c r="OIF286" s="1132" t="n"/>
      <c r="OIG286" s="1132" t="n"/>
      <c r="OIH286" s="1132" t="n"/>
      <c r="OII286" s="1132" t="n"/>
      <c r="OIJ286" s="1132" t="n"/>
      <c r="OIK286" s="1132" t="n"/>
      <c r="OIL286" s="1132" t="n"/>
      <c r="OIM286" s="1132" t="n"/>
      <c r="OIN286" s="1132" t="n"/>
      <c r="OIO286" s="1132" t="n"/>
      <c r="OIP286" s="1132" t="n"/>
      <c r="OIQ286" s="1132" t="n"/>
      <c r="OIR286" s="1132" t="n"/>
      <c r="OIS286" s="1132" t="n"/>
      <c r="OIT286" s="1132" t="n"/>
      <c r="OIU286" s="1132" t="n"/>
      <c r="OIV286" s="1132" t="n"/>
      <c r="OIW286" s="1132" t="n"/>
      <c r="OIX286" s="1132" t="n"/>
      <c r="OIY286" s="1132" t="n"/>
      <c r="OIZ286" s="1132" t="n"/>
      <c r="OJA286" s="1132" t="n"/>
      <c r="OJB286" s="1132" t="n"/>
      <c r="OJC286" s="1132" t="n"/>
      <c r="OJD286" s="1132" t="n"/>
      <c r="OJE286" s="1132" t="n"/>
      <c r="OJF286" s="1132" t="n"/>
      <c r="OJG286" s="1132" t="n"/>
      <c r="OJH286" s="1132" t="n"/>
      <c r="OJI286" s="1132" t="n"/>
      <c r="OJJ286" s="1132" t="n"/>
      <c r="OJK286" s="1132" t="n"/>
      <c r="OJL286" s="1132" t="n"/>
      <c r="OJM286" s="1132" t="n"/>
      <c r="OJN286" s="1132" t="n"/>
      <c r="OJO286" s="1132" t="n"/>
      <c r="OJP286" s="1132" t="n"/>
      <c r="OJQ286" s="1132" t="n"/>
      <c r="OJR286" s="1132" t="n"/>
      <c r="OJS286" s="1132" t="n"/>
      <c r="OJT286" s="1132" t="n"/>
      <c r="OJU286" s="1132" t="n"/>
      <c r="OJV286" s="1132" t="n"/>
      <c r="OJW286" s="1132" t="n"/>
      <c r="OJX286" s="1132" t="n"/>
      <c r="OJY286" s="1132" t="n"/>
      <c r="OJZ286" s="1132" t="n"/>
      <c r="OKA286" s="1132" t="n"/>
      <c r="OKB286" s="1132" t="n"/>
      <c r="OKC286" s="1132" t="n"/>
      <c r="OKD286" s="1132" t="n"/>
      <c r="OKE286" s="1132" t="n"/>
      <c r="OKF286" s="1132" t="n"/>
      <c r="OKG286" s="1132" t="n"/>
      <c r="OKH286" s="1132" t="n"/>
      <c r="OKI286" s="1132" t="n"/>
      <c r="OKJ286" s="1132" t="n"/>
      <c r="OKK286" s="1132" t="n"/>
      <c r="OKL286" s="1132" t="n"/>
      <c r="OKM286" s="1132" t="n"/>
      <c r="OKN286" s="1132" t="n"/>
      <c r="OKO286" s="1132" t="n"/>
      <c r="OKP286" s="1132" t="n"/>
      <c r="OKQ286" s="1132" t="n"/>
      <c r="OKR286" s="1132" t="n"/>
      <c r="OKS286" s="1132" t="n"/>
      <c r="OKT286" s="1132" t="n"/>
      <c r="OKU286" s="1132" t="n"/>
      <c r="OKV286" s="1132" t="n"/>
      <c r="OKW286" s="1132" t="n"/>
      <c r="OKX286" s="1132" t="n"/>
      <c r="OKY286" s="1132" t="n"/>
      <c r="OKZ286" s="1132" t="n"/>
      <c r="OLA286" s="1132" t="n"/>
      <c r="OLB286" s="1132" t="n"/>
      <c r="OLC286" s="1132" t="n"/>
      <c r="OLD286" s="1132" t="n"/>
      <c r="OLE286" s="1132" t="n"/>
      <c r="OLF286" s="1132" t="n"/>
      <c r="OLG286" s="1132" t="n"/>
      <c r="OLH286" s="1132" t="n"/>
      <c r="OLI286" s="1132" t="n"/>
      <c r="OLJ286" s="1132" t="n"/>
      <c r="OLK286" s="1132" t="n"/>
      <c r="OLL286" s="1132" t="n"/>
      <c r="OLM286" s="1132" t="n"/>
      <c r="OLN286" s="1132" t="n"/>
      <c r="OLO286" s="1132" t="n"/>
      <c r="OLP286" s="1132" t="n"/>
      <c r="OLQ286" s="1132" t="n"/>
      <c r="OLR286" s="1132" t="n"/>
      <c r="OLS286" s="1132" t="n"/>
      <c r="OLT286" s="1132" t="n"/>
      <c r="OLU286" s="1132" t="n"/>
      <c r="OLV286" s="1132" t="n"/>
      <c r="OLW286" s="1132" t="n"/>
      <c r="OLX286" s="1132" t="n"/>
      <c r="OLY286" s="1132" t="n"/>
      <c r="OLZ286" s="1132" t="n"/>
      <c r="OMA286" s="1132" t="n"/>
      <c r="OMB286" s="1132" t="n"/>
      <c r="OMC286" s="1132" t="n"/>
      <c r="OMD286" s="1132" t="n"/>
      <c r="OME286" s="1132" t="n"/>
      <c r="OMF286" s="1132" t="n"/>
      <c r="OMG286" s="1132" t="n"/>
      <c r="OMH286" s="1132" t="n"/>
      <c r="OMI286" s="1132" t="n"/>
      <c r="OMJ286" s="1132" t="n"/>
      <c r="OMK286" s="1132" t="n"/>
      <c r="OML286" s="1132" t="n"/>
      <c r="OMM286" s="1132" t="n"/>
      <c r="OMN286" s="1132" t="n"/>
      <c r="OMO286" s="1132" t="n"/>
      <c r="OMP286" s="1132" t="n"/>
      <c r="OMQ286" s="1132" t="n"/>
      <c r="OMR286" s="1132" t="n"/>
      <c r="OMS286" s="1132" t="n"/>
      <c r="OMT286" s="1132" t="n"/>
      <c r="OMU286" s="1132" t="n"/>
      <c r="OMV286" s="1132" t="n"/>
      <c r="OMW286" s="1132" t="n"/>
      <c r="OMX286" s="1132" t="n"/>
      <c r="OMY286" s="1132" t="n"/>
      <c r="OMZ286" s="1132" t="n"/>
      <c r="ONA286" s="1132" t="n"/>
      <c r="ONB286" s="1132" t="n"/>
      <c r="ONC286" s="1132" t="n"/>
      <c r="OND286" s="1132" t="n"/>
      <c r="ONE286" s="1132" t="n"/>
      <c r="ONF286" s="1132" t="n"/>
      <c r="ONG286" s="1132" t="n"/>
      <c r="ONH286" s="1132" t="n"/>
      <c r="ONI286" s="1132" t="n"/>
      <c r="ONJ286" s="1132" t="n"/>
      <c r="ONK286" s="1132" t="n"/>
      <c r="ONL286" s="1132" t="n"/>
      <c r="ONM286" s="1132" t="n"/>
      <c r="ONN286" s="1132" t="n"/>
      <c r="ONO286" s="1132" t="n"/>
      <c r="ONP286" s="1132" t="n"/>
      <c r="ONQ286" s="1132" t="n"/>
      <c r="ONR286" s="1132" t="n"/>
      <c r="ONS286" s="1132" t="n"/>
      <c r="ONT286" s="1132" t="n"/>
      <c r="ONU286" s="1132" t="n"/>
      <c r="ONV286" s="1132" t="n"/>
      <c r="ONW286" s="1132" t="n"/>
      <c r="ONX286" s="1132" t="n"/>
      <c r="ONY286" s="1132" t="n"/>
      <c r="ONZ286" s="1132" t="n"/>
      <c r="OOA286" s="1132" t="n"/>
      <c r="OOB286" s="1132" t="n"/>
      <c r="OOC286" s="1132" t="n"/>
      <c r="OOD286" s="1132" t="n"/>
      <c r="OOE286" s="1132" t="n"/>
      <c r="OOF286" s="1132" t="n"/>
      <c r="OOG286" s="1132" t="n"/>
      <c r="OOH286" s="1132" t="n"/>
      <c r="OOI286" s="1132" t="n"/>
      <c r="OOJ286" s="1132" t="n"/>
      <c r="OOK286" s="1132" t="n"/>
      <c r="OOL286" s="1132" t="n"/>
      <c r="OOM286" s="1132" t="n"/>
      <c r="OON286" s="1132" t="n"/>
      <c r="OOO286" s="1132" t="n"/>
      <c r="OOP286" s="1132" t="n"/>
      <c r="OOQ286" s="1132" t="n"/>
      <c r="OOR286" s="1132" t="n"/>
      <c r="OOS286" s="1132" t="n"/>
      <c r="OOT286" s="1132" t="n"/>
      <c r="OOU286" s="1132" t="n"/>
      <c r="OOV286" s="1132" t="n"/>
      <c r="OOW286" s="1132" t="n"/>
      <c r="OOX286" s="1132" t="n"/>
      <c r="OOY286" s="1132" t="n"/>
      <c r="OOZ286" s="1132" t="n"/>
      <c r="OPA286" s="1132" t="n"/>
      <c r="OPB286" s="1132" t="n"/>
      <c r="OPC286" s="1132" t="n"/>
      <c r="OPD286" s="1132" t="n"/>
      <c r="OPE286" s="1132" t="n"/>
      <c r="OPF286" s="1132" t="n"/>
      <c r="OPG286" s="1132" t="n"/>
      <c r="OPH286" s="1132" t="n"/>
      <c r="OPI286" s="1132" t="n"/>
      <c r="OPJ286" s="1132" t="n"/>
      <c r="OPK286" s="1132" t="n"/>
      <c r="OPL286" s="1132" t="n"/>
      <c r="OPM286" s="1132" t="n"/>
      <c r="OPN286" s="1132" t="n"/>
      <c r="OPO286" s="1132" t="n"/>
      <c r="OPP286" s="1132" t="n"/>
      <c r="OPQ286" s="1132" t="n"/>
      <c r="OPR286" s="1132" t="n"/>
      <c r="OPS286" s="1132" t="n"/>
      <c r="OPT286" s="1132" t="n"/>
      <c r="OPU286" s="1132" t="n"/>
      <c r="OPV286" s="1132" t="n"/>
      <c r="OPW286" s="1132" t="n"/>
      <c r="OPX286" s="1132" t="n"/>
      <c r="OPY286" s="1132" t="n"/>
      <c r="OPZ286" s="1132" t="n"/>
      <c r="OQA286" s="1132" t="n"/>
      <c r="OQB286" s="1132" t="n"/>
      <c r="OQC286" s="1132" t="n"/>
      <c r="OQD286" s="1132" t="n"/>
      <c r="OQE286" s="1132" t="n"/>
      <c r="OQF286" s="1132" t="n"/>
      <c r="OQG286" s="1132" t="n"/>
      <c r="OQH286" s="1132" t="n"/>
      <c r="OQI286" s="1132" t="n"/>
      <c r="OQJ286" s="1132" t="n"/>
      <c r="OQK286" s="1132" t="n"/>
      <c r="OQL286" s="1132" t="n"/>
      <c r="OQM286" s="1132" t="n"/>
      <c r="OQN286" s="1132" t="n"/>
      <c r="OQO286" s="1132" t="n"/>
      <c r="OQP286" s="1132" t="n"/>
      <c r="OQQ286" s="1132" t="n"/>
      <c r="OQR286" s="1132" t="n"/>
      <c r="OQS286" s="1132" t="n"/>
      <c r="OQT286" s="1132" t="n"/>
      <c r="OQU286" s="1132" t="n"/>
      <c r="OQV286" s="1132" t="n"/>
      <c r="OQW286" s="1132" t="n"/>
      <c r="OQX286" s="1132" t="n"/>
      <c r="OQY286" s="1132" t="n"/>
      <c r="OQZ286" s="1132" t="n"/>
      <c r="ORA286" s="1132" t="n"/>
      <c r="ORB286" s="1132" t="n"/>
      <c r="ORC286" s="1132" t="n"/>
      <c r="ORD286" s="1132" t="n"/>
      <c r="ORE286" s="1132" t="n"/>
      <c r="ORF286" s="1132" t="n"/>
      <c r="ORG286" s="1132" t="n"/>
      <c r="ORH286" s="1132" t="n"/>
      <c r="ORI286" s="1132" t="n"/>
      <c r="ORJ286" s="1132" t="n"/>
      <c r="ORK286" s="1132" t="n"/>
      <c r="ORL286" s="1132" t="n"/>
      <c r="ORM286" s="1132" t="n"/>
      <c r="ORN286" s="1132" t="n"/>
      <c r="ORO286" s="1132" t="n"/>
      <c r="ORP286" s="1132" t="n"/>
      <c r="ORQ286" s="1132" t="n"/>
      <c r="ORR286" s="1132" t="n"/>
      <c r="ORS286" s="1132" t="n"/>
      <c r="ORT286" s="1132" t="n"/>
      <c r="ORU286" s="1132" t="n"/>
      <c r="ORV286" s="1132" t="n"/>
      <c r="ORW286" s="1132" t="n"/>
      <c r="ORX286" s="1132" t="n"/>
      <c r="ORY286" s="1132" t="n"/>
      <c r="ORZ286" s="1132" t="n"/>
      <c r="OSA286" s="1132" t="n"/>
      <c r="OSB286" s="1132" t="n"/>
      <c r="OSC286" s="1132" t="n"/>
      <c r="OSD286" s="1132" t="n"/>
      <c r="OSE286" s="1132" t="n"/>
      <c r="OSF286" s="1132" t="n"/>
      <c r="OSG286" s="1132" t="n"/>
      <c r="OSH286" s="1132" t="n"/>
      <c r="OSI286" s="1132" t="n"/>
      <c r="OSJ286" s="1132" t="n"/>
      <c r="OSK286" s="1132" t="n"/>
      <c r="OSL286" s="1132" t="n"/>
      <c r="OSM286" s="1132" t="n"/>
      <c r="OSN286" s="1132" t="n"/>
      <c r="OSO286" s="1132" t="n"/>
      <c r="OSP286" s="1132" t="n"/>
      <c r="OSQ286" s="1132" t="n"/>
      <c r="OSR286" s="1132" t="n"/>
      <c r="OSS286" s="1132" t="n"/>
      <c r="OST286" s="1132" t="n"/>
      <c r="OSU286" s="1132" t="n"/>
      <c r="OSV286" s="1132" t="n"/>
      <c r="OSW286" s="1132" t="n"/>
      <c r="OSX286" s="1132" t="n"/>
      <c r="OSY286" s="1132" t="n"/>
      <c r="OSZ286" s="1132" t="n"/>
      <c r="OTA286" s="1132" t="n"/>
      <c r="OTB286" s="1132" t="n"/>
      <c r="OTC286" s="1132" t="n"/>
      <c r="OTD286" s="1132" t="n"/>
      <c r="OTE286" s="1132" t="n"/>
      <c r="OTF286" s="1132" t="n"/>
      <c r="OTG286" s="1132" t="n"/>
      <c r="OTH286" s="1132" t="n"/>
      <c r="OTI286" s="1132" t="n"/>
      <c r="OTJ286" s="1132" t="n"/>
      <c r="OTK286" s="1132" t="n"/>
      <c r="OTL286" s="1132" t="n"/>
      <c r="OTM286" s="1132" t="n"/>
      <c r="OTN286" s="1132" t="n"/>
      <c r="OTO286" s="1132" t="n"/>
      <c r="OTP286" s="1132" t="n"/>
      <c r="OTQ286" s="1132" t="n"/>
      <c r="OTR286" s="1132" t="n"/>
      <c r="OTS286" s="1132" t="n"/>
      <c r="OTT286" s="1132" t="n"/>
      <c r="OTU286" s="1132" t="n"/>
      <c r="OTV286" s="1132" t="n"/>
      <c r="OTW286" s="1132" t="n"/>
      <c r="OTX286" s="1132" t="n"/>
      <c r="OTY286" s="1132" t="n"/>
      <c r="OTZ286" s="1132" t="n"/>
      <c r="OUA286" s="1132" t="n"/>
      <c r="OUB286" s="1132" t="n"/>
      <c r="OUC286" s="1132" t="n"/>
      <c r="OUD286" s="1132" t="n"/>
      <c r="OUE286" s="1132" t="n"/>
      <c r="OUF286" s="1132" t="n"/>
      <c r="OUG286" s="1132" t="n"/>
      <c r="OUH286" s="1132" t="n"/>
      <c r="OUI286" s="1132" t="n"/>
      <c r="OUJ286" s="1132" t="n"/>
      <c r="OUK286" s="1132" t="n"/>
      <c r="OUL286" s="1132" t="n"/>
      <c r="OUM286" s="1132" t="n"/>
      <c r="OUN286" s="1132" t="n"/>
      <c r="OUO286" s="1132" t="n"/>
      <c r="OUP286" s="1132" t="n"/>
      <c r="OUQ286" s="1132" t="n"/>
      <c r="OUR286" s="1132" t="n"/>
      <c r="OUS286" s="1132" t="n"/>
      <c r="OUT286" s="1132" t="n"/>
      <c r="OUU286" s="1132" t="n"/>
      <c r="OUV286" s="1132" t="n"/>
      <c r="OUW286" s="1132" t="n"/>
      <c r="OUX286" s="1132" t="n"/>
      <c r="OUY286" s="1132" t="n"/>
      <c r="OUZ286" s="1132" t="n"/>
      <c r="OVA286" s="1132" t="n"/>
      <c r="OVB286" s="1132" t="n"/>
      <c r="OVC286" s="1132" t="n"/>
      <c r="OVD286" s="1132" t="n"/>
      <c r="OVE286" s="1132" t="n"/>
      <c r="OVF286" s="1132" t="n"/>
      <c r="OVG286" s="1132" t="n"/>
      <c r="OVH286" s="1132" t="n"/>
      <c r="OVI286" s="1132" t="n"/>
      <c r="OVJ286" s="1132" t="n"/>
      <c r="OVK286" s="1132" t="n"/>
      <c r="OVL286" s="1132" t="n"/>
      <c r="OVM286" s="1132" t="n"/>
      <c r="OVN286" s="1132" t="n"/>
      <c r="OVO286" s="1132" t="n"/>
      <c r="OVP286" s="1132" t="n"/>
      <c r="OVQ286" s="1132" t="n"/>
      <c r="OVR286" s="1132" t="n"/>
      <c r="OVS286" s="1132" t="n"/>
      <c r="OVT286" s="1132" t="n"/>
      <c r="OVU286" s="1132" t="n"/>
      <c r="OVV286" s="1132" t="n"/>
      <c r="OVW286" s="1132" t="n"/>
      <c r="OVX286" s="1132" t="n"/>
      <c r="OVY286" s="1132" t="n"/>
      <c r="OVZ286" s="1132" t="n"/>
      <c r="OWA286" s="1132" t="n"/>
      <c r="OWB286" s="1132" t="n"/>
      <c r="OWC286" s="1132" t="n"/>
      <c r="OWD286" s="1132" t="n"/>
      <c r="OWE286" s="1132" t="n"/>
      <c r="OWF286" s="1132" t="n"/>
      <c r="OWG286" s="1132" t="n"/>
      <c r="OWH286" s="1132" t="n"/>
      <c r="OWI286" s="1132" t="n"/>
      <c r="OWJ286" s="1132" t="n"/>
      <c r="OWK286" s="1132" t="n"/>
      <c r="OWL286" s="1132" t="n"/>
      <c r="OWM286" s="1132" t="n"/>
      <c r="OWN286" s="1132" t="n"/>
      <c r="OWO286" s="1132" t="n"/>
      <c r="OWP286" s="1132" t="n"/>
      <c r="OWQ286" s="1132" t="n"/>
      <c r="OWR286" s="1132" t="n"/>
      <c r="OWS286" s="1132" t="n"/>
      <c r="OWT286" s="1132" t="n"/>
      <c r="OWU286" s="1132" t="n"/>
      <c r="OWV286" s="1132" t="n"/>
      <c r="OWW286" s="1132" t="n"/>
      <c r="OWX286" s="1132" t="n"/>
      <c r="OWY286" s="1132" t="n"/>
      <c r="OWZ286" s="1132" t="n"/>
      <c r="OXA286" s="1132" t="n"/>
      <c r="OXB286" s="1132" t="n"/>
      <c r="OXC286" s="1132" t="n"/>
      <c r="OXD286" s="1132" t="n"/>
      <c r="OXE286" s="1132" t="n"/>
      <c r="OXF286" s="1132" t="n"/>
      <c r="OXG286" s="1132" t="n"/>
      <c r="OXH286" s="1132" t="n"/>
      <c r="OXI286" s="1132" t="n"/>
      <c r="OXJ286" s="1132" t="n"/>
      <c r="OXK286" s="1132" t="n"/>
      <c r="OXL286" s="1132" t="n"/>
      <c r="OXM286" s="1132" t="n"/>
      <c r="OXN286" s="1132" t="n"/>
      <c r="OXO286" s="1132" t="n"/>
      <c r="OXP286" s="1132" t="n"/>
      <c r="OXQ286" s="1132" t="n"/>
      <c r="OXR286" s="1132" t="n"/>
      <c r="OXS286" s="1132" t="n"/>
      <c r="OXT286" s="1132" t="n"/>
      <c r="OXU286" s="1132" t="n"/>
      <c r="OXV286" s="1132" t="n"/>
      <c r="OXW286" s="1132" t="n"/>
      <c r="OXX286" s="1132" t="n"/>
      <c r="OXY286" s="1132" t="n"/>
      <c r="OXZ286" s="1132" t="n"/>
      <c r="OYA286" s="1132" t="n"/>
      <c r="OYB286" s="1132" t="n"/>
      <c r="OYC286" s="1132" t="n"/>
      <c r="OYD286" s="1132" t="n"/>
      <c r="OYE286" s="1132" t="n"/>
      <c r="OYF286" s="1132" t="n"/>
      <c r="OYG286" s="1132" t="n"/>
      <c r="OYH286" s="1132" t="n"/>
      <c r="OYI286" s="1132" t="n"/>
      <c r="OYJ286" s="1132" t="n"/>
      <c r="OYK286" s="1132" t="n"/>
      <c r="OYL286" s="1132" t="n"/>
      <c r="OYM286" s="1132" t="n"/>
      <c r="OYN286" s="1132" t="n"/>
      <c r="OYO286" s="1132" t="n"/>
      <c r="OYP286" s="1132" t="n"/>
      <c r="OYQ286" s="1132" t="n"/>
      <c r="OYR286" s="1132" t="n"/>
      <c r="OYS286" s="1132" t="n"/>
      <c r="OYT286" s="1132" t="n"/>
      <c r="OYU286" s="1132" t="n"/>
      <c r="OYV286" s="1132" t="n"/>
      <c r="OYW286" s="1132" t="n"/>
      <c r="OYX286" s="1132" t="n"/>
      <c r="OYY286" s="1132" t="n"/>
      <c r="OYZ286" s="1132" t="n"/>
      <c r="OZA286" s="1132" t="n"/>
      <c r="OZB286" s="1132" t="n"/>
      <c r="OZC286" s="1132" t="n"/>
      <c r="OZD286" s="1132" t="n"/>
      <c r="OZE286" s="1132" t="n"/>
      <c r="OZF286" s="1132" t="n"/>
      <c r="OZG286" s="1132" t="n"/>
      <c r="OZH286" s="1132" t="n"/>
      <c r="OZI286" s="1132" t="n"/>
      <c r="OZJ286" s="1132" t="n"/>
      <c r="OZK286" s="1132" t="n"/>
      <c r="OZL286" s="1132" t="n"/>
      <c r="OZM286" s="1132" t="n"/>
      <c r="OZN286" s="1132" t="n"/>
      <c r="OZO286" s="1132" t="n"/>
      <c r="OZP286" s="1132" t="n"/>
      <c r="OZQ286" s="1132" t="n"/>
      <c r="OZR286" s="1132" t="n"/>
      <c r="OZS286" s="1132" t="n"/>
      <c r="OZT286" s="1132" t="n"/>
      <c r="OZU286" s="1132" t="n"/>
      <c r="OZV286" s="1132" t="n"/>
      <c r="OZW286" s="1132" t="n"/>
      <c r="OZX286" s="1132" t="n"/>
      <c r="OZY286" s="1132" t="n"/>
      <c r="OZZ286" s="1132" t="n"/>
      <c r="PAA286" s="1132" t="n"/>
      <c r="PAB286" s="1132" t="n"/>
      <c r="PAC286" s="1132" t="n"/>
      <c r="PAD286" s="1132" t="n"/>
      <c r="PAE286" s="1132" t="n"/>
      <c r="PAF286" s="1132" t="n"/>
      <c r="PAG286" s="1132" t="n"/>
      <c r="PAH286" s="1132" t="n"/>
      <c r="PAI286" s="1132" t="n"/>
      <c r="PAJ286" s="1132" t="n"/>
      <c r="PAK286" s="1132" t="n"/>
      <c r="PAL286" s="1132" t="n"/>
      <c r="PAM286" s="1132" t="n"/>
      <c r="PAN286" s="1132" t="n"/>
      <c r="PAO286" s="1132" t="n"/>
      <c r="PAP286" s="1132" t="n"/>
      <c r="PAQ286" s="1132" t="n"/>
      <c r="PAR286" s="1132" t="n"/>
      <c r="PAS286" s="1132" t="n"/>
      <c r="PAT286" s="1132" t="n"/>
      <c r="PAU286" s="1132" t="n"/>
      <c r="PAV286" s="1132" t="n"/>
      <c r="PAW286" s="1132" t="n"/>
      <c r="PAX286" s="1132" t="n"/>
      <c r="PAY286" s="1132" t="n"/>
      <c r="PAZ286" s="1132" t="n"/>
      <c r="PBA286" s="1132" t="n"/>
      <c r="PBB286" s="1132" t="n"/>
      <c r="PBC286" s="1132" t="n"/>
      <c r="PBD286" s="1132" t="n"/>
      <c r="PBE286" s="1132" t="n"/>
      <c r="PBF286" s="1132" t="n"/>
      <c r="PBG286" s="1132" t="n"/>
      <c r="PBH286" s="1132" t="n"/>
      <c r="PBI286" s="1132" t="n"/>
      <c r="PBJ286" s="1132" t="n"/>
      <c r="PBK286" s="1132" t="n"/>
      <c r="PBL286" s="1132" t="n"/>
      <c r="PBM286" s="1132" t="n"/>
      <c r="PBN286" s="1132" t="n"/>
      <c r="PBO286" s="1132" t="n"/>
      <c r="PBP286" s="1132" t="n"/>
      <c r="PBQ286" s="1132" t="n"/>
      <c r="PBR286" s="1132" t="n"/>
      <c r="PBS286" s="1132" t="n"/>
      <c r="PBT286" s="1132" t="n"/>
      <c r="PBU286" s="1132" t="n"/>
      <c r="PBV286" s="1132" t="n"/>
      <c r="PBW286" s="1132" t="n"/>
      <c r="PBX286" s="1132" t="n"/>
      <c r="PBY286" s="1132" t="n"/>
      <c r="PBZ286" s="1132" t="n"/>
      <c r="PCA286" s="1132" t="n"/>
      <c r="PCB286" s="1132" t="n"/>
      <c r="PCC286" s="1132" t="n"/>
      <c r="PCD286" s="1132" t="n"/>
      <c r="PCE286" s="1132" t="n"/>
      <c r="PCF286" s="1132" t="n"/>
      <c r="PCG286" s="1132" t="n"/>
      <c r="PCH286" s="1132" t="n"/>
      <c r="PCI286" s="1132" t="n"/>
      <c r="PCJ286" s="1132" t="n"/>
      <c r="PCK286" s="1132" t="n"/>
      <c r="PCL286" s="1132" t="n"/>
      <c r="PCM286" s="1132" t="n"/>
      <c r="PCN286" s="1132" t="n"/>
      <c r="PCO286" s="1132" t="n"/>
      <c r="PCP286" s="1132" t="n"/>
      <c r="PCQ286" s="1132" t="n"/>
      <c r="PCR286" s="1132" t="n"/>
      <c r="PCS286" s="1132" t="n"/>
      <c r="PCT286" s="1132" t="n"/>
      <c r="PCU286" s="1132" t="n"/>
      <c r="PCV286" s="1132" t="n"/>
      <c r="PCW286" s="1132" t="n"/>
      <c r="PCX286" s="1132" t="n"/>
      <c r="PCY286" s="1132" t="n"/>
      <c r="PCZ286" s="1132" t="n"/>
      <c r="PDA286" s="1132" t="n"/>
      <c r="PDB286" s="1132" t="n"/>
      <c r="PDC286" s="1132" t="n"/>
      <c r="PDD286" s="1132" t="n"/>
      <c r="PDE286" s="1132" t="n"/>
      <c r="PDF286" s="1132" t="n"/>
      <c r="PDG286" s="1132" t="n"/>
      <c r="PDH286" s="1132" t="n"/>
      <c r="PDI286" s="1132" t="n"/>
      <c r="PDJ286" s="1132" t="n"/>
      <c r="PDK286" s="1132" t="n"/>
      <c r="PDL286" s="1132" t="n"/>
      <c r="PDM286" s="1132" t="n"/>
      <c r="PDN286" s="1132" t="n"/>
      <c r="PDO286" s="1132" t="n"/>
      <c r="PDP286" s="1132" t="n"/>
      <c r="PDQ286" s="1132" t="n"/>
      <c r="PDR286" s="1132" t="n"/>
      <c r="PDS286" s="1132" t="n"/>
      <c r="PDT286" s="1132" t="n"/>
      <c r="PDU286" s="1132" t="n"/>
      <c r="PDV286" s="1132" t="n"/>
      <c r="PDW286" s="1132" t="n"/>
      <c r="PDX286" s="1132" t="n"/>
      <c r="PDY286" s="1132" t="n"/>
      <c r="PDZ286" s="1132" t="n"/>
      <c r="PEA286" s="1132" t="n"/>
      <c r="PEB286" s="1132" t="n"/>
      <c r="PEC286" s="1132" t="n"/>
      <c r="PED286" s="1132" t="n"/>
      <c r="PEE286" s="1132" t="n"/>
      <c r="PEF286" s="1132" t="n"/>
      <c r="PEG286" s="1132" t="n"/>
      <c r="PEH286" s="1132" t="n"/>
      <c r="PEI286" s="1132" t="n"/>
      <c r="PEJ286" s="1132" t="n"/>
      <c r="PEK286" s="1132" t="n"/>
      <c r="PEL286" s="1132" t="n"/>
      <c r="PEM286" s="1132" t="n"/>
      <c r="PEN286" s="1132" t="n"/>
      <c r="PEO286" s="1132" t="n"/>
      <c r="PEP286" s="1132" t="n"/>
      <c r="PEQ286" s="1132" t="n"/>
      <c r="PER286" s="1132" t="n"/>
      <c r="PES286" s="1132" t="n"/>
      <c r="PET286" s="1132" t="n"/>
      <c r="PEU286" s="1132" t="n"/>
      <c r="PEV286" s="1132" t="n"/>
      <c r="PEW286" s="1132" t="n"/>
      <c r="PEX286" s="1132" t="n"/>
      <c r="PEY286" s="1132" t="n"/>
      <c r="PEZ286" s="1132" t="n"/>
      <c r="PFA286" s="1132" t="n"/>
      <c r="PFB286" s="1132" t="n"/>
      <c r="PFC286" s="1132" t="n"/>
      <c r="PFD286" s="1132" t="n"/>
      <c r="PFE286" s="1132" t="n"/>
      <c r="PFF286" s="1132" t="n"/>
      <c r="PFG286" s="1132" t="n"/>
      <c r="PFH286" s="1132" t="n"/>
      <c r="PFI286" s="1132" t="n"/>
      <c r="PFJ286" s="1132" t="n"/>
      <c r="PFK286" s="1132" t="n"/>
      <c r="PFL286" s="1132" t="n"/>
      <c r="PFM286" s="1132" t="n"/>
      <c r="PFN286" s="1132" t="n"/>
      <c r="PFO286" s="1132" t="n"/>
      <c r="PFP286" s="1132" t="n"/>
      <c r="PFQ286" s="1132" t="n"/>
      <c r="PFR286" s="1132" t="n"/>
      <c r="PFS286" s="1132" t="n"/>
      <c r="PFT286" s="1132" t="n"/>
      <c r="PFU286" s="1132" t="n"/>
      <c r="PFV286" s="1132" t="n"/>
      <c r="PFW286" s="1132" t="n"/>
      <c r="PFX286" s="1132" t="n"/>
      <c r="PFY286" s="1132" t="n"/>
      <c r="PFZ286" s="1132" t="n"/>
      <c r="PGA286" s="1132" t="n"/>
      <c r="PGB286" s="1132" t="n"/>
      <c r="PGC286" s="1132" t="n"/>
      <c r="PGD286" s="1132" t="n"/>
      <c r="PGE286" s="1132" t="n"/>
      <c r="PGF286" s="1132" t="n"/>
      <c r="PGG286" s="1132" t="n"/>
      <c r="PGH286" s="1132" t="n"/>
      <c r="PGI286" s="1132" t="n"/>
      <c r="PGJ286" s="1132" t="n"/>
      <c r="PGK286" s="1132" t="n"/>
      <c r="PGL286" s="1132" t="n"/>
      <c r="PGM286" s="1132" t="n"/>
      <c r="PGN286" s="1132" t="n"/>
      <c r="PGO286" s="1132" t="n"/>
      <c r="PGP286" s="1132" t="n"/>
      <c r="PGQ286" s="1132" t="n"/>
      <c r="PGR286" s="1132" t="n"/>
      <c r="PGS286" s="1132" t="n"/>
      <c r="PGT286" s="1132" t="n"/>
      <c r="PGU286" s="1132" t="n"/>
      <c r="PGV286" s="1132" t="n"/>
      <c r="PGW286" s="1132" t="n"/>
      <c r="PGX286" s="1132" t="n"/>
      <c r="PGY286" s="1132" t="n"/>
      <c r="PGZ286" s="1132" t="n"/>
      <c r="PHA286" s="1132" t="n"/>
      <c r="PHB286" s="1132" t="n"/>
      <c r="PHC286" s="1132" t="n"/>
      <c r="PHD286" s="1132" t="n"/>
      <c r="PHE286" s="1132" t="n"/>
      <c r="PHF286" s="1132" t="n"/>
      <c r="PHG286" s="1132" t="n"/>
      <c r="PHH286" s="1132" t="n"/>
      <c r="PHI286" s="1132" t="n"/>
      <c r="PHJ286" s="1132" t="n"/>
      <c r="PHK286" s="1132" t="n"/>
      <c r="PHL286" s="1132" t="n"/>
      <c r="PHM286" s="1132" t="n"/>
      <c r="PHN286" s="1132" t="n"/>
      <c r="PHO286" s="1132" t="n"/>
      <c r="PHP286" s="1132" t="n"/>
      <c r="PHQ286" s="1132" t="n"/>
      <c r="PHR286" s="1132" t="n"/>
      <c r="PHS286" s="1132" t="n"/>
      <c r="PHT286" s="1132" t="n"/>
      <c r="PHU286" s="1132" t="n"/>
      <c r="PHV286" s="1132" t="n"/>
      <c r="PHW286" s="1132" t="n"/>
      <c r="PHX286" s="1132" t="n"/>
      <c r="PHY286" s="1132" t="n"/>
      <c r="PHZ286" s="1132" t="n"/>
      <c r="PIA286" s="1132" t="n"/>
      <c r="PIB286" s="1132" t="n"/>
      <c r="PIC286" s="1132" t="n"/>
      <c r="PID286" s="1132" t="n"/>
      <c r="PIE286" s="1132" t="n"/>
      <c r="PIF286" s="1132" t="n"/>
      <c r="PIG286" s="1132" t="n"/>
      <c r="PIH286" s="1132" t="n"/>
      <c r="PII286" s="1132" t="n"/>
      <c r="PIJ286" s="1132" t="n"/>
      <c r="PIK286" s="1132" t="n"/>
      <c r="PIL286" s="1132" t="n"/>
      <c r="PIM286" s="1132" t="n"/>
      <c r="PIN286" s="1132" t="n"/>
      <c r="PIO286" s="1132" t="n"/>
      <c r="PIP286" s="1132" t="n"/>
      <c r="PIQ286" s="1132" t="n"/>
      <c r="PIR286" s="1132" t="n"/>
      <c r="PIS286" s="1132" t="n"/>
      <c r="PIT286" s="1132" t="n"/>
      <c r="PIU286" s="1132" t="n"/>
      <c r="PIV286" s="1132" t="n"/>
      <c r="PIW286" s="1132" t="n"/>
      <c r="PIX286" s="1132" t="n"/>
      <c r="PIY286" s="1132" t="n"/>
      <c r="PIZ286" s="1132" t="n"/>
      <c r="PJA286" s="1132" t="n"/>
      <c r="PJB286" s="1132" t="n"/>
      <c r="PJC286" s="1132" t="n"/>
      <c r="PJD286" s="1132" t="n"/>
      <c r="PJE286" s="1132" t="n"/>
      <c r="PJF286" s="1132" t="n"/>
      <c r="PJG286" s="1132" t="n"/>
      <c r="PJH286" s="1132" t="n"/>
      <c r="PJI286" s="1132" t="n"/>
      <c r="PJJ286" s="1132" t="n"/>
      <c r="PJK286" s="1132" t="n"/>
      <c r="PJL286" s="1132" t="n"/>
      <c r="PJM286" s="1132" t="n"/>
      <c r="PJN286" s="1132" t="n"/>
      <c r="PJO286" s="1132" t="n"/>
      <c r="PJP286" s="1132" t="n"/>
      <c r="PJQ286" s="1132" t="n"/>
      <c r="PJR286" s="1132" t="n"/>
      <c r="PJS286" s="1132" t="n"/>
      <c r="PJT286" s="1132" t="n"/>
      <c r="PJU286" s="1132" t="n"/>
      <c r="PJV286" s="1132" t="n"/>
      <c r="PJW286" s="1132" t="n"/>
      <c r="PJX286" s="1132" t="n"/>
      <c r="PJY286" s="1132" t="n"/>
      <c r="PJZ286" s="1132" t="n"/>
      <c r="PKA286" s="1132" t="n"/>
      <c r="PKB286" s="1132" t="n"/>
      <c r="PKC286" s="1132" t="n"/>
      <c r="PKD286" s="1132" t="n"/>
      <c r="PKE286" s="1132" t="n"/>
      <c r="PKF286" s="1132" t="n"/>
      <c r="PKG286" s="1132" t="n"/>
      <c r="PKH286" s="1132" t="n"/>
      <c r="PKI286" s="1132" t="n"/>
      <c r="PKJ286" s="1132" t="n"/>
      <c r="PKK286" s="1132" t="n"/>
      <c r="PKL286" s="1132" t="n"/>
      <c r="PKM286" s="1132" t="n"/>
      <c r="PKN286" s="1132" t="n"/>
      <c r="PKO286" s="1132" t="n"/>
      <c r="PKP286" s="1132" t="n"/>
      <c r="PKQ286" s="1132" t="n"/>
      <c r="PKR286" s="1132" t="n"/>
      <c r="PKS286" s="1132" t="n"/>
      <c r="PKT286" s="1132" t="n"/>
      <c r="PKU286" s="1132" t="n"/>
      <c r="PKV286" s="1132" t="n"/>
      <c r="PKW286" s="1132" t="n"/>
      <c r="PKX286" s="1132" t="n"/>
      <c r="PKY286" s="1132" t="n"/>
      <c r="PKZ286" s="1132" t="n"/>
      <c r="PLA286" s="1132" t="n"/>
      <c r="PLB286" s="1132" t="n"/>
      <c r="PLC286" s="1132" t="n"/>
      <c r="PLD286" s="1132" t="n"/>
      <c r="PLE286" s="1132" t="n"/>
      <c r="PLF286" s="1132" t="n"/>
      <c r="PLG286" s="1132" t="n"/>
      <c r="PLH286" s="1132" t="n"/>
      <c r="PLI286" s="1132" t="n"/>
      <c r="PLJ286" s="1132" t="n"/>
      <c r="PLK286" s="1132" t="n"/>
      <c r="PLL286" s="1132" t="n"/>
      <c r="PLM286" s="1132" t="n"/>
      <c r="PLN286" s="1132" t="n"/>
      <c r="PLO286" s="1132" t="n"/>
      <c r="PLP286" s="1132" t="n"/>
      <c r="PLQ286" s="1132" t="n"/>
      <c r="PLR286" s="1132" t="n"/>
      <c r="PLS286" s="1132" t="n"/>
      <c r="PLT286" s="1132" t="n"/>
      <c r="PLU286" s="1132" t="n"/>
      <c r="PLV286" s="1132" t="n"/>
      <c r="PLW286" s="1132" t="n"/>
      <c r="PLX286" s="1132" t="n"/>
      <c r="PLY286" s="1132" t="n"/>
      <c r="PLZ286" s="1132" t="n"/>
      <c r="PMA286" s="1132" t="n"/>
      <c r="PMB286" s="1132" t="n"/>
      <c r="PMC286" s="1132" t="n"/>
      <c r="PMD286" s="1132" t="n"/>
      <c r="PME286" s="1132" t="n"/>
      <c r="PMF286" s="1132" t="n"/>
      <c r="PMG286" s="1132" t="n"/>
      <c r="PMH286" s="1132" t="n"/>
      <c r="PMI286" s="1132" t="n"/>
      <c r="PMJ286" s="1132" t="n"/>
      <c r="PMK286" s="1132" t="n"/>
      <c r="PML286" s="1132" t="n"/>
      <c r="PMM286" s="1132" t="n"/>
      <c r="PMN286" s="1132" t="n"/>
      <c r="PMO286" s="1132" t="n"/>
      <c r="PMP286" s="1132" t="n"/>
      <c r="PMQ286" s="1132" t="n"/>
      <c r="PMR286" s="1132" t="n"/>
      <c r="PMS286" s="1132" t="n"/>
      <c r="PMT286" s="1132" t="n"/>
      <c r="PMU286" s="1132" t="n"/>
      <c r="PMV286" s="1132" t="n"/>
      <c r="PMW286" s="1132" t="n"/>
      <c r="PMX286" s="1132" t="n"/>
      <c r="PMY286" s="1132" t="n"/>
      <c r="PMZ286" s="1132" t="n"/>
      <c r="PNA286" s="1132" t="n"/>
      <c r="PNB286" s="1132" t="n"/>
      <c r="PNC286" s="1132" t="n"/>
      <c r="PND286" s="1132" t="n"/>
      <c r="PNE286" s="1132" t="n"/>
      <c r="PNF286" s="1132" t="n"/>
      <c r="PNG286" s="1132" t="n"/>
      <c r="PNH286" s="1132" t="n"/>
      <c r="PNI286" s="1132" t="n"/>
      <c r="PNJ286" s="1132" t="n"/>
      <c r="PNK286" s="1132" t="n"/>
      <c r="PNL286" s="1132" t="n"/>
      <c r="PNM286" s="1132" t="n"/>
      <c r="PNN286" s="1132" t="n"/>
      <c r="PNO286" s="1132" t="n"/>
      <c r="PNP286" s="1132" t="n"/>
      <c r="PNQ286" s="1132" t="n"/>
      <c r="PNR286" s="1132" t="n"/>
      <c r="PNS286" s="1132" t="n"/>
      <c r="PNT286" s="1132" t="n"/>
      <c r="PNU286" s="1132" t="n"/>
      <c r="PNV286" s="1132" t="n"/>
      <c r="PNW286" s="1132" t="n"/>
      <c r="PNX286" s="1132" t="n"/>
      <c r="PNY286" s="1132" t="n"/>
      <c r="PNZ286" s="1132" t="n"/>
      <c r="POA286" s="1132" t="n"/>
      <c r="POB286" s="1132" t="n"/>
      <c r="POC286" s="1132" t="n"/>
      <c r="POD286" s="1132" t="n"/>
      <c r="POE286" s="1132" t="n"/>
      <c r="POF286" s="1132" t="n"/>
      <c r="POG286" s="1132" t="n"/>
      <c r="POH286" s="1132" t="n"/>
      <c r="POI286" s="1132" t="n"/>
      <c r="POJ286" s="1132" t="n"/>
      <c r="POK286" s="1132" t="n"/>
      <c r="POL286" s="1132" t="n"/>
      <c r="POM286" s="1132" t="n"/>
      <c r="PON286" s="1132" t="n"/>
      <c r="POO286" s="1132" t="n"/>
      <c r="POP286" s="1132" t="n"/>
      <c r="POQ286" s="1132" t="n"/>
      <c r="POR286" s="1132" t="n"/>
      <c r="POS286" s="1132" t="n"/>
      <c r="POT286" s="1132" t="n"/>
      <c r="POU286" s="1132" t="n"/>
      <c r="POV286" s="1132" t="n"/>
      <c r="POW286" s="1132" t="n"/>
      <c r="POX286" s="1132" t="n"/>
      <c r="POY286" s="1132" t="n"/>
      <c r="POZ286" s="1132" t="n"/>
      <c r="PPA286" s="1132" t="n"/>
      <c r="PPB286" s="1132" t="n"/>
      <c r="PPC286" s="1132" t="n"/>
      <c r="PPD286" s="1132" t="n"/>
      <c r="PPE286" s="1132" t="n"/>
      <c r="PPF286" s="1132" t="n"/>
      <c r="PPG286" s="1132" t="n"/>
      <c r="PPH286" s="1132" t="n"/>
      <c r="PPI286" s="1132" t="n"/>
      <c r="PPJ286" s="1132" t="n"/>
      <c r="PPK286" s="1132" t="n"/>
      <c r="PPL286" s="1132" t="n"/>
      <c r="PPM286" s="1132" t="n"/>
      <c r="PPN286" s="1132" t="n"/>
      <c r="PPO286" s="1132" t="n"/>
      <c r="PPP286" s="1132" t="n"/>
      <c r="PPQ286" s="1132" t="n"/>
      <c r="PPR286" s="1132" t="n"/>
      <c r="PPS286" s="1132" t="n"/>
      <c r="PPT286" s="1132" t="n"/>
      <c r="PPU286" s="1132" t="n"/>
      <c r="PPV286" s="1132" t="n"/>
      <c r="PPW286" s="1132" t="n"/>
      <c r="PPX286" s="1132" t="n"/>
      <c r="PPY286" s="1132" t="n"/>
      <c r="PPZ286" s="1132" t="n"/>
      <c r="PQA286" s="1132" t="n"/>
      <c r="PQB286" s="1132" t="n"/>
      <c r="PQC286" s="1132" t="n"/>
      <c r="PQD286" s="1132" t="n"/>
      <c r="PQE286" s="1132" t="n"/>
      <c r="PQF286" s="1132" t="n"/>
      <c r="PQG286" s="1132" t="n"/>
      <c r="PQH286" s="1132" t="n"/>
      <c r="PQI286" s="1132" t="n"/>
      <c r="PQJ286" s="1132" t="n"/>
      <c r="PQK286" s="1132" t="n"/>
      <c r="PQL286" s="1132" t="n"/>
      <c r="PQM286" s="1132" t="n"/>
      <c r="PQN286" s="1132" t="n"/>
      <c r="PQO286" s="1132" t="n"/>
      <c r="PQP286" s="1132" t="n"/>
      <c r="PQQ286" s="1132" t="n"/>
      <c r="PQR286" s="1132" t="n"/>
      <c r="PQS286" s="1132" t="n"/>
      <c r="PQT286" s="1132" t="n"/>
      <c r="PQU286" s="1132" t="n"/>
      <c r="PQV286" s="1132" t="n"/>
      <c r="PQW286" s="1132" t="n"/>
      <c r="PQX286" s="1132" t="n"/>
      <c r="PQY286" s="1132" t="n"/>
      <c r="PQZ286" s="1132" t="n"/>
      <c r="PRA286" s="1132" t="n"/>
      <c r="PRB286" s="1132" t="n"/>
      <c r="PRC286" s="1132" t="n"/>
      <c r="PRD286" s="1132" t="n"/>
      <c r="PRE286" s="1132" t="n"/>
      <c r="PRF286" s="1132" t="n"/>
      <c r="PRG286" s="1132" t="n"/>
      <c r="PRH286" s="1132" t="n"/>
      <c r="PRI286" s="1132" t="n"/>
      <c r="PRJ286" s="1132" t="n"/>
      <c r="PRK286" s="1132" t="n"/>
      <c r="PRL286" s="1132" t="n"/>
      <c r="PRM286" s="1132" t="n"/>
      <c r="PRN286" s="1132" t="n"/>
      <c r="PRO286" s="1132" t="n"/>
      <c r="PRP286" s="1132" t="n"/>
      <c r="PRQ286" s="1132" t="n"/>
      <c r="PRR286" s="1132" t="n"/>
      <c r="PRS286" s="1132" t="n"/>
      <c r="PRT286" s="1132" t="n"/>
      <c r="PRU286" s="1132" t="n"/>
      <c r="PRV286" s="1132" t="n"/>
      <c r="PRW286" s="1132" t="n"/>
      <c r="PRX286" s="1132" t="n"/>
      <c r="PRY286" s="1132" t="n"/>
      <c r="PRZ286" s="1132" t="n"/>
      <c r="PSA286" s="1132" t="n"/>
      <c r="PSB286" s="1132" t="n"/>
      <c r="PSC286" s="1132" t="n"/>
      <c r="PSD286" s="1132" t="n"/>
      <c r="PSE286" s="1132" t="n"/>
      <c r="PSF286" s="1132" t="n"/>
      <c r="PSG286" s="1132" t="n"/>
      <c r="PSH286" s="1132" t="n"/>
      <c r="PSI286" s="1132" t="n"/>
      <c r="PSJ286" s="1132" t="n"/>
      <c r="PSK286" s="1132" t="n"/>
      <c r="PSL286" s="1132" t="n"/>
      <c r="PSM286" s="1132" t="n"/>
      <c r="PSN286" s="1132" t="n"/>
      <c r="PSO286" s="1132" t="n"/>
      <c r="PSP286" s="1132" t="n"/>
      <c r="PSQ286" s="1132" t="n"/>
      <c r="PSR286" s="1132" t="n"/>
      <c r="PSS286" s="1132" t="n"/>
      <c r="PST286" s="1132" t="n"/>
      <c r="PSU286" s="1132" t="n"/>
      <c r="PSV286" s="1132" t="n"/>
      <c r="PSW286" s="1132" t="n"/>
      <c r="PSX286" s="1132" t="n"/>
      <c r="PSY286" s="1132" t="n"/>
      <c r="PSZ286" s="1132" t="n"/>
      <c r="PTA286" s="1132" t="n"/>
      <c r="PTB286" s="1132" t="n"/>
      <c r="PTC286" s="1132" t="n"/>
      <c r="PTD286" s="1132" t="n"/>
      <c r="PTE286" s="1132" t="n"/>
      <c r="PTF286" s="1132" t="n"/>
      <c r="PTG286" s="1132" t="n"/>
      <c r="PTH286" s="1132" t="n"/>
      <c r="PTI286" s="1132" t="n"/>
      <c r="PTJ286" s="1132" t="n"/>
      <c r="PTK286" s="1132" t="n"/>
      <c r="PTL286" s="1132" t="n"/>
      <c r="PTM286" s="1132" t="n"/>
      <c r="PTN286" s="1132" t="n"/>
      <c r="PTO286" s="1132" t="n"/>
      <c r="PTP286" s="1132" t="n"/>
      <c r="PTQ286" s="1132" t="n"/>
      <c r="PTR286" s="1132" t="n"/>
      <c r="PTS286" s="1132" t="n"/>
      <c r="PTT286" s="1132" t="n"/>
      <c r="PTU286" s="1132" t="n"/>
      <c r="PTV286" s="1132" t="n"/>
      <c r="PTW286" s="1132" t="n"/>
      <c r="PTX286" s="1132" t="n"/>
      <c r="PTY286" s="1132" t="n"/>
      <c r="PTZ286" s="1132" t="n"/>
      <c r="PUA286" s="1132" t="n"/>
      <c r="PUB286" s="1132" t="n"/>
      <c r="PUC286" s="1132" t="n"/>
      <c r="PUD286" s="1132" t="n"/>
      <c r="PUE286" s="1132" t="n"/>
      <c r="PUF286" s="1132" t="n"/>
      <c r="PUG286" s="1132" t="n"/>
      <c r="PUH286" s="1132" t="n"/>
      <c r="PUI286" s="1132" t="n"/>
      <c r="PUJ286" s="1132" t="n"/>
      <c r="PUK286" s="1132" t="n"/>
      <c r="PUL286" s="1132" t="n"/>
      <c r="PUM286" s="1132" t="n"/>
      <c r="PUN286" s="1132" t="n"/>
      <c r="PUO286" s="1132" t="n"/>
      <c r="PUP286" s="1132" t="n"/>
      <c r="PUQ286" s="1132" t="n"/>
      <c r="PUR286" s="1132" t="n"/>
      <c r="PUS286" s="1132" t="n"/>
      <c r="PUT286" s="1132" t="n"/>
      <c r="PUU286" s="1132" t="n"/>
      <c r="PUV286" s="1132" t="n"/>
      <c r="PUW286" s="1132" t="n"/>
      <c r="PUX286" s="1132" t="n"/>
      <c r="PUY286" s="1132" t="n"/>
      <c r="PUZ286" s="1132" t="n"/>
      <c r="PVA286" s="1132" t="n"/>
      <c r="PVB286" s="1132" t="n"/>
      <c r="PVC286" s="1132" t="n"/>
      <c r="PVD286" s="1132" t="n"/>
      <c r="PVE286" s="1132" t="n"/>
      <c r="PVF286" s="1132" t="n"/>
      <c r="PVG286" s="1132" t="n"/>
      <c r="PVH286" s="1132" t="n"/>
      <c r="PVI286" s="1132" t="n"/>
      <c r="PVJ286" s="1132" t="n"/>
      <c r="PVK286" s="1132" t="n"/>
      <c r="PVL286" s="1132" t="n"/>
      <c r="PVM286" s="1132" t="n"/>
      <c r="PVN286" s="1132" t="n"/>
      <c r="PVO286" s="1132" t="n"/>
      <c r="PVP286" s="1132" t="n"/>
      <c r="PVQ286" s="1132" t="n"/>
      <c r="PVR286" s="1132" t="n"/>
      <c r="PVS286" s="1132" t="n"/>
      <c r="PVT286" s="1132" t="n"/>
      <c r="PVU286" s="1132" t="n"/>
      <c r="PVV286" s="1132" t="n"/>
      <c r="PVW286" s="1132" t="n"/>
      <c r="PVX286" s="1132" t="n"/>
      <c r="PVY286" s="1132" t="n"/>
      <c r="PVZ286" s="1132" t="n"/>
      <c r="PWA286" s="1132" t="n"/>
      <c r="PWB286" s="1132" t="n"/>
      <c r="PWC286" s="1132" t="n"/>
      <c r="PWD286" s="1132" t="n"/>
      <c r="PWE286" s="1132" t="n"/>
      <c r="PWF286" s="1132" t="n"/>
      <c r="PWG286" s="1132" t="n"/>
      <c r="PWH286" s="1132" t="n"/>
      <c r="PWI286" s="1132" t="n"/>
      <c r="PWJ286" s="1132" t="n"/>
      <c r="PWK286" s="1132" t="n"/>
      <c r="PWL286" s="1132" t="n"/>
      <c r="PWM286" s="1132" t="n"/>
      <c r="PWN286" s="1132" t="n"/>
      <c r="PWO286" s="1132" t="n"/>
      <c r="PWP286" s="1132" t="n"/>
      <c r="PWQ286" s="1132" t="n"/>
      <c r="PWR286" s="1132" t="n"/>
      <c r="PWS286" s="1132" t="n"/>
      <c r="PWT286" s="1132" t="n"/>
      <c r="PWU286" s="1132" t="n"/>
      <c r="PWV286" s="1132" t="n"/>
      <c r="PWW286" s="1132" t="n"/>
      <c r="PWX286" s="1132" t="n"/>
      <c r="PWY286" s="1132" t="n"/>
      <c r="PWZ286" s="1132" t="n"/>
      <c r="PXA286" s="1132" t="n"/>
      <c r="PXB286" s="1132" t="n"/>
      <c r="PXC286" s="1132" t="n"/>
      <c r="PXD286" s="1132" t="n"/>
      <c r="PXE286" s="1132" t="n"/>
      <c r="PXF286" s="1132" t="n"/>
      <c r="PXG286" s="1132" t="n"/>
      <c r="PXH286" s="1132" t="n"/>
      <c r="PXI286" s="1132" t="n"/>
      <c r="PXJ286" s="1132" t="n"/>
      <c r="PXK286" s="1132" t="n"/>
      <c r="PXL286" s="1132" t="n"/>
      <c r="PXM286" s="1132" t="n"/>
      <c r="PXN286" s="1132" t="n"/>
      <c r="PXO286" s="1132" t="n"/>
      <c r="PXP286" s="1132" t="n"/>
      <c r="PXQ286" s="1132" t="n"/>
      <c r="PXR286" s="1132" t="n"/>
      <c r="PXS286" s="1132" t="n"/>
      <c r="PXT286" s="1132" t="n"/>
      <c r="PXU286" s="1132" t="n"/>
      <c r="PXV286" s="1132" t="n"/>
      <c r="PXW286" s="1132" t="n"/>
      <c r="PXX286" s="1132" t="n"/>
      <c r="PXY286" s="1132" t="n"/>
      <c r="PXZ286" s="1132" t="n"/>
      <c r="PYA286" s="1132" t="n"/>
      <c r="PYB286" s="1132" t="n"/>
      <c r="PYC286" s="1132" t="n"/>
      <c r="PYD286" s="1132" t="n"/>
      <c r="PYE286" s="1132" t="n"/>
      <c r="PYF286" s="1132" t="n"/>
      <c r="PYG286" s="1132" t="n"/>
      <c r="PYH286" s="1132" t="n"/>
      <c r="PYI286" s="1132" t="n"/>
      <c r="PYJ286" s="1132" t="n"/>
      <c r="PYK286" s="1132" t="n"/>
      <c r="PYL286" s="1132" t="n"/>
      <c r="PYM286" s="1132" t="n"/>
      <c r="PYN286" s="1132" t="n"/>
      <c r="PYO286" s="1132" t="n"/>
      <c r="PYP286" s="1132" t="n"/>
      <c r="PYQ286" s="1132" t="n"/>
      <c r="PYR286" s="1132" t="n"/>
      <c r="PYS286" s="1132" t="n"/>
      <c r="PYT286" s="1132" t="n"/>
      <c r="PYU286" s="1132" t="n"/>
      <c r="PYV286" s="1132" t="n"/>
      <c r="PYW286" s="1132" t="n"/>
      <c r="PYX286" s="1132" t="n"/>
      <c r="PYY286" s="1132" t="n"/>
      <c r="PYZ286" s="1132" t="n"/>
      <c r="PZA286" s="1132" t="n"/>
      <c r="PZB286" s="1132" t="n"/>
      <c r="PZC286" s="1132" t="n"/>
      <c r="PZD286" s="1132" t="n"/>
      <c r="PZE286" s="1132" t="n"/>
      <c r="PZF286" s="1132" t="n"/>
      <c r="PZG286" s="1132" t="n"/>
      <c r="PZH286" s="1132" t="n"/>
      <c r="PZI286" s="1132" t="n"/>
      <c r="PZJ286" s="1132" t="n"/>
      <c r="PZK286" s="1132" t="n"/>
      <c r="PZL286" s="1132" t="n"/>
      <c r="PZM286" s="1132" t="n"/>
      <c r="PZN286" s="1132" t="n"/>
      <c r="PZO286" s="1132" t="n"/>
      <c r="PZP286" s="1132" t="n"/>
      <c r="PZQ286" s="1132" t="n"/>
      <c r="PZR286" s="1132" t="n"/>
      <c r="PZS286" s="1132" t="n"/>
      <c r="PZT286" s="1132" t="n"/>
      <c r="PZU286" s="1132" t="n"/>
      <c r="PZV286" s="1132" t="n"/>
      <c r="PZW286" s="1132" t="n"/>
      <c r="PZX286" s="1132" t="n"/>
      <c r="PZY286" s="1132" t="n"/>
      <c r="PZZ286" s="1132" t="n"/>
      <c r="QAA286" s="1132" t="n"/>
      <c r="QAB286" s="1132" t="n"/>
      <c r="QAC286" s="1132" t="n"/>
      <c r="QAD286" s="1132" t="n"/>
      <c r="QAE286" s="1132" t="n"/>
      <c r="QAF286" s="1132" t="n"/>
      <c r="QAG286" s="1132" t="n"/>
      <c r="QAH286" s="1132" t="n"/>
      <c r="QAI286" s="1132" t="n"/>
      <c r="QAJ286" s="1132" t="n"/>
      <c r="QAK286" s="1132" t="n"/>
      <c r="QAL286" s="1132" t="n"/>
      <c r="QAM286" s="1132" t="n"/>
      <c r="QAN286" s="1132" t="n"/>
      <c r="QAO286" s="1132" t="n"/>
      <c r="QAP286" s="1132" t="n"/>
      <c r="QAQ286" s="1132" t="n"/>
      <c r="QAR286" s="1132" t="n"/>
      <c r="QAS286" s="1132" t="n"/>
      <c r="QAT286" s="1132" t="n"/>
      <c r="QAU286" s="1132" t="n"/>
      <c r="QAV286" s="1132" t="n"/>
      <c r="QAW286" s="1132" t="n"/>
      <c r="QAX286" s="1132" t="n"/>
      <c r="QAY286" s="1132" t="n"/>
      <c r="QAZ286" s="1132" t="n"/>
      <c r="QBA286" s="1132" t="n"/>
      <c r="QBB286" s="1132" t="n"/>
      <c r="QBC286" s="1132" t="n"/>
      <c r="QBD286" s="1132" t="n"/>
      <c r="QBE286" s="1132" t="n"/>
      <c r="QBF286" s="1132" t="n"/>
      <c r="QBG286" s="1132" t="n"/>
      <c r="QBH286" s="1132" t="n"/>
      <c r="QBI286" s="1132" t="n"/>
      <c r="QBJ286" s="1132" t="n"/>
      <c r="QBK286" s="1132" t="n"/>
      <c r="QBL286" s="1132" t="n"/>
      <c r="QBM286" s="1132" t="n"/>
      <c r="QBN286" s="1132" t="n"/>
      <c r="QBO286" s="1132" t="n"/>
      <c r="QBP286" s="1132" t="n"/>
      <c r="QBQ286" s="1132" t="n"/>
      <c r="QBR286" s="1132" t="n"/>
      <c r="QBS286" s="1132" t="n"/>
      <c r="QBT286" s="1132" t="n"/>
      <c r="QBU286" s="1132" t="n"/>
      <c r="QBV286" s="1132" t="n"/>
      <c r="QBW286" s="1132" t="n"/>
      <c r="QBX286" s="1132" t="n"/>
      <c r="QBY286" s="1132" t="n"/>
      <c r="QBZ286" s="1132" t="n"/>
      <c r="QCA286" s="1132" t="n"/>
      <c r="QCB286" s="1132" t="n"/>
      <c r="QCC286" s="1132" t="n"/>
      <c r="QCD286" s="1132" t="n"/>
      <c r="QCE286" s="1132" t="n"/>
      <c r="QCF286" s="1132" t="n"/>
      <c r="QCG286" s="1132" t="n"/>
      <c r="QCH286" s="1132" t="n"/>
      <c r="QCI286" s="1132" t="n"/>
      <c r="QCJ286" s="1132" t="n"/>
      <c r="QCK286" s="1132" t="n"/>
      <c r="QCL286" s="1132" t="n"/>
      <c r="QCM286" s="1132" t="n"/>
      <c r="QCN286" s="1132" t="n"/>
      <c r="QCO286" s="1132" t="n"/>
      <c r="QCP286" s="1132" t="n"/>
      <c r="QCQ286" s="1132" t="n"/>
      <c r="QCR286" s="1132" t="n"/>
      <c r="QCS286" s="1132" t="n"/>
      <c r="QCT286" s="1132" t="n"/>
      <c r="QCU286" s="1132" t="n"/>
      <c r="QCV286" s="1132" t="n"/>
      <c r="QCW286" s="1132" t="n"/>
      <c r="QCX286" s="1132" t="n"/>
      <c r="QCY286" s="1132" t="n"/>
      <c r="QCZ286" s="1132" t="n"/>
      <c r="QDA286" s="1132" t="n"/>
      <c r="QDB286" s="1132" t="n"/>
      <c r="QDC286" s="1132" t="n"/>
      <c r="QDD286" s="1132" t="n"/>
      <c r="QDE286" s="1132" t="n"/>
      <c r="QDF286" s="1132" t="n"/>
      <c r="QDG286" s="1132" t="n"/>
      <c r="QDH286" s="1132" t="n"/>
      <c r="QDI286" s="1132" t="n"/>
      <c r="QDJ286" s="1132" t="n"/>
      <c r="QDK286" s="1132" t="n"/>
      <c r="QDL286" s="1132" t="n"/>
      <c r="QDM286" s="1132" t="n"/>
      <c r="QDN286" s="1132" t="n"/>
      <c r="QDO286" s="1132" t="n"/>
      <c r="QDP286" s="1132" t="n"/>
      <c r="QDQ286" s="1132" t="n"/>
      <c r="QDR286" s="1132" t="n"/>
      <c r="QDS286" s="1132" t="n"/>
      <c r="QDT286" s="1132" t="n"/>
      <c r="QDU286" s="1132" t="n"/>
      <c r="QDV286" s="1132" t="n"/>
      <c r="QDW286" s="1132" t="n"/>
      <c r="QDX286" s="1132" t="n"/>
      <c r="QDY286" s="1132" t="n"/>
      <c r="QDZ286" s="1132" t="n"/>
      <c r="QEA286" s="1132" t="n"/>
      <c r="QEB286" s="1132" t="n"/>
      <c r="QEC286" s="1132" t="n"/>
      <c r="QED286" s="1132" t="n"/>
      <c r="QEE286" s="1132" t="n"/>
      <c r="QEF286" s="1132" t="n"/>
      <c r="QEG286" s="1132" t="n"/>
      <c r="QEH286" s="1132" t="n"/>
      <c r="QEI286" s="1132" t="n"/>
      <c r="QEJ286" s="1132" t="n"/>
      <c r="QEK286" s="1132" t="n"/>
      <c r="QEL286" s="1132" t="n"/>
      <c r="QEM286" s="1132" t="n"/>
      <c r="QEN286" s="1132" t="n"/>
      <c r="QEO286" s="1132" t="n"/>
      <c r="QEP286" s="1132" t="n"/>
      <c r="QEQ286" s="1132" t="n"/>
      <c r="QER286" s="1132" t="n"/>
      <c r="QES286" s="1132" t="n"/>
      <c r="QET286" s="1132" t="n"/>
      <c r="QEU286" s="1132" t="n"/>
      <c r="QEV286" s="1132" t="n"/>
      <c r="QEW286" s="1132" t="n"/>
      <c r="QEX286" s="1132" t="n"/>
      <c r="QEY286" s="1132" t="n"/>
      <c r="QEZ286" s="1132" t="n"/>
      <c r="QFA286" s="1132" t="n"/>
      <c r="QFB286" s="1132" t="n"/>
      <c r="QFC286" s="1132" t="n"/>
      <c r="QFD286" s="1132" t="n"/>
      <c r="QFE286" s="1132" t="n"/>
      <c r="QFF286" s="1132" t="n"/>
      <c r="QFG286" s="1132" t="n"/>
      <c r="QFH286" s="1132" t="n"/>
      <c r="QFI286" s="1132" t="n"/>
      <c r="QFJ286" s="1132" t="n"/>
      <c r="QFK286" s="1132" t="n"/>
      <c r="QFL286" s="1132" t="n"/>
      <c r="QFM286" s="1132" t="n"/>
      <c r="QFN286" s="1132" t="n"/>
      <c r="QFO286" s="1132" t="n"/>
      <c r="QFP286" s="1132" t="n"/>
      <c r="QFQ286" s="1132" t="n"/>
      <c r="QFR286" s="1132" t="n"/>
      <c r="QFS286" s="1132" t="n"/>
      <c r="QFT286" s="1132" t="n"/>
      <c r="QFU286" s="1132" t="n"/>
      <c r="QFV286" s="1132" t="n"/>
      <c r="QFW286" s="1132" t="n"/>
      <c r="QFX286" s="1132" t="n"/>
      <c r="QFY286" s="1132" t="n"/>
      <c r="QFZ286" s="1132" t="n"/>
      <c r="QGA286" s="1132" t="n"/>
      <c r="QGB286" s="1132" t="n"/>
      <c r="QGC286" s="1132" t="n"/>
      <c r="QGD286" s="1132" t="n"/>
      <c r="QGE286" s="1132" t="n"/>
      <c r="QGF286" s="1132" t="n"/>
      <c r="QGG286" s="1132" t="n"/>
      <c r="QGH286" s="1132" t="n"/>
      <c r="QGI286" s="1132" t="n"/>
      <c r="QGJ286" s="1132" t="n"/>
      <c r="QGK286" s="1132" t="n"/>
      <c r="QGL286" s="1132" t="n"/>
      <c r="QGM286" s="1132" t="n"/>
      <c r="QGN286" s="1132" t="n"/>
      <c r="QGO286" s="1132" t="n"/>
      <c r="QGP286" s="1132" t="n"/>
      <c r="QGQ286" s="1132" t="n"/>
      <c r="QGR286" s="1132" t="n"/>
      <c r="QGS286" s="1132" t="n"/>
      <c r="QGT286" s="1132" t="n"/>
      <c r="QGU286" s="1132" t="n"/>
      <c r="QGV286" s="1132" t="n"/>
      <c r="QGW286" s="1132" t="n"/>
      <c r="QGX286" s="1132" t="n"/>
      <c r="QGY286" s="1132" t="n"/>
      <c r="QGZ286" s="1132" t="n"/>
      <c r="QHA286" s="1132" t="n"/>
      <c r="QHB286" s="1132" t="n"/>
      <c r="QHC286" s="1132" t="n"/>
      <c r="QHD286" s="1132" t="n"/>
      <c r="QHE286" s="1132" t="n"/>
      <c r="QHF286" s="1132" t="n"/>
      <c r="QHG286" s="1132" t="n"/>
      <c r="QHH286" s="1132" t="n"/>
      <c r="QHI286" s="1132" t="n"/>
      <c r="QHJ286" s="1132" t="n"/>
      <c r="QHK286" s="1132" t="n"/>
      <c r="QHL286" s="1132" t="n"/>
      <c r="QHM286" s="1132" t="n"/>
      <c r="QHN286" s="1132" t="n"/>
      <c r="QHO286" s="1132" t="n"/>
      <c r="QHP286" s="1132" t="n"/>
      <c r="QHQ286" s="1132" t="n"/>
      <c r="QHR286" s="1132" t="n"/>
      <c r="QHS286" s="1132" t="n"/>
      <c r="QHT286" s="1132" t="n"/>
      <c r="QHU286" s="1132" t="n"/>
      <c r="QHV286" s="1132" t="n"/>
      <c r="QHW286" s="1132" t="n"/>
      <c r="QHX286" s="1132" t="n"/>
      <c r="QHY286" s="1132" t="n"/>
      <c r="QHZ286" s="1132" t="n"/>
      <c r="QIA286" s="1132" t="n"/>
      <c r="QIB286" s="1132" t="n"/>
      <c r="QIC286" s="1132" t="n"/>
      <c r="QID286" s="1132" t="n"/>
      <c r="QIE286" s="1132" t="n"/>
      <c r="QIF286" s="1132" t="n"/>
      <c r="QIG286" s="1132" t="n"/>
      <c r="QIH286" s="1132" t="n"/>
      <c r="QII286" s="1132" t="n"/>
      <c r="QIJ286" s="1132" t="n"/>
      <c r="QIK286" s="1132" t="n"/>
      <c r="QIL286" s="1132" t="n"/>
      <c r="QIM286" s="1132" t="n"/>
      <c r="QIN286" s="1132" t="n"/>
      <c r="QIO286" s="1132" t="n"/>
      <c r="QIP286" s="1132" t="n"/>
      <c r="QIQ286" s="1132" t="n"/>
      <c r="QIR286" s="1132" t="n"/>
      <c r="QIS286" s="1132" t="n"/>
      <c r="QIT286" s="1132" t="n"/>
      <c r="QIU286" s="1132" t="n"/>
      <c r="QIV286" s="1132" t="n"/>
      <c r="QIW286" s="1132" t="n"/>
      <c r="QIX286" s="1132" t="n"/>
      <c r="QIY286" s="1132" t="n"/>
      <c r="QIZ286" s="1132" t="n"/>
      <c r="QJA286" s="1132" t="n"/>
      <c r="QJB286" s="1132" t="n"/>
      <c r="QJC286" s="1132" t="n"/>
      <c r="QJD286" s="1132" t="n"/>
      <c r="QJE286" s="1132" t="n"/>
      <c r="QJF286" s="1132" t="n"/>
      <c r="QJG286" s="1132" t="n"/>
      <c r="QJH286" s="1132" t="n"/>
      <c r="QJI286" s="1132" t="n"/>
      <c r="QJJ286" s="1132" t="n"/>
      <c r="QJK286" s="1132" t="n"/>
      <c r="QJL286" s="1132" t="n"/>
      <c r="QJM286" s="1132" t="n"/>
      <c r="QJN286" s="1132" t="n"/>
      <c r="QJO286" s="1132" t="n"/>
      <c r="QJP286" s="1132" t="n"/>
      <c r="QJQ286" s="1132" t="n"/>
      <c r="QJR286" s="1132" t="n"/>
      <c r="QJS286" s="1132" t="n"/>
      <c r="QJT286" s="1132" t="n"/>
      <c r="QJU286" s="1132" t="n"/>
      <c r="QJV286" s="1132" t="n"/>
      <c r="QJW286" s="1132" t="n"/>
      <c r="QJX286" s="1132" t="n"/>
      <c r="QJY286" s="1132" t="n"/>
      <c r="QJZ286" s="1132" t="n"/>
      <c r="QKA286" s="1132" t="n"/>
      <c r="QKB286" s="1132" t="n"/>
      <c r="QKC286" s="1132" t="n"/>
      <c r="QKD286" s="1132" t="n"/>
      <c r="QKE286" s="1132" t="n"/>
      <c r="QKF286" s="1132" t="n"/>
      <c r="QKG286" s="1132" t="n"/>
      <c r="QKH286" s="1132" t="n"/>
      <c r="QKI286" s="1132" t="n"/>
      <c r="QKJ286" s="1132" t="n"/>
      <c r="QKK286" s="1132" t="n"/>
      <c r="QKL286" s="1132" t="n"/>
      <c r="QKM286" s="1132" t="n"/>
      <c r="QKN286" s="1132" t="n"/>
      <c r="QKO286" s="1132" t="n"/>
      <c r="QKP286" s="1132" t="n"/>
      <c r="QKQ286" s="1132" t="n"/>
      <c r="QKR286" s="1132" t="n"/>
      <c r="QKS286" s="1132" t="n"/>
      <c r="QKT286" s="1132" t="n"/>
      <c r="QKU286" s="1132" t="n"/>
      <c r="QKV286" s="1132" t="n"/>
      <c r="QKW286" s="1132" t="n"/>
      <c r="QKX286" s="1132" t="n"/>
      <c r="QKY286" s="1132" t="n"/>
      <c r="QKZ286" s="1132" t="n"/>
      <c r="QLA286" s="1132" t="n"/>
      <c r="QLB286" s="1132" t="n"/>
      <c r="QLC286" s="1132" t="n"/>
      <c r="QLD286" s="1132" t="n"/>
      <c r="QLE286" s="1132" t="n"/>
      <c r="QLF286" s="1132" t="n"/>
      <c r="QLG286" s="1132" t="n"/>
      <c r="QLH286" s="1132" t="n"/>
      <c r="QLI286" s="1132" t="n"/>
      <c r="QLJ286" s="1132" t="n"/>
      <c r="QLK286" s="1132" t="n"/>
      <c r="QLL286" s="1132" t="n"/>
      <c r="QLM286" s="1132" t="n"/>
      <c r="QLN286" s="1132" t="n"/>
      <c r="QLO286" s="1132" t="n"/>
      <c r="QLP286" s="1132" t="n"/>
      <c r="QLQ286" s="1132" t="n"/>
      <c r="QLR286" s="1132" t="n"/>
      <c r="QLS286" s="1132" t="n"/>
      <c r="QLT286" s="1132" t="n"/>
      <c r="QLU286" s="1132" t="n"/>
      <c r="QLV286" s="1132" t="n"/>
      <c r="QLW286" s="1132" t="n"/>
      <c r="QLX286" s="1132" t="n"/>
      <c r="QLY286" s="1132" t="n"/>
      <c r="QLZ286" s="1132" t="n"/>
      <c r="QMA286" s="1132" t="n"/>
      <c r="QMB286" s="1132" t="n"/>
      <c r="QMC286" s="1132" t="n"/>
      <c r="QMD286" s="1132" t="n"/>
      <c r="QME286" s="1132" t="n"/>
      <c r="QMF286" s="1132" t="n"/>
      <c r="QMG286" s="1132" t="n"/>
      <c r="QMH286" s="1132" t="n"/>
      <c r="QMI286" s="1132" t="n"/>
      <c r="QMJ286" s="1132" t="n"/>
      <c r="QMK286" s="1132" t="n"/>
      <c r="QML286" s="1132" t="n"/>
      <c r="QMM286" s="1132" t="n"/>
      <c r="QMN286" s="1132" t="n"/>
      <c r="QMO286" s="1132" t="n"/>
      <c r="QMP286" s="1132" t="n"/>
      <c r="QMQ286" s="1132" t="n"/>
      <c r="QMR286" s="1132" t="n"/>
      <c r="QMS286" s="1132" t="n"/>
      <c r="QMT286" s="1132" t="n"/>
      <c r="QMU286" s="1132" t="n"/>
      <c r="QMV286" s="1132" t="n"/>
      <c r="QMW286" s="1132" t="n"/>
      <c r="QMX286" s="1132" t="n"/>
      <c r="QMY286" s="1132" t="n"/>
      <c r="QMZ286" s="1132" t="n"/>
      <c r="QNA286" s="1132" t="n"/>
      <c r="QNB286" s="1132" t="n"/>
      <c r="QNC286" s="1132" t="n"/>
      <c r="QND286" s="1132" t="n"/>
      <c r="QNE286" s="1132" t="n"/>
      <c r="QNF286" s="1132" t="n"/>
      <c r="QNG286" s="1132" t="n"/>
      <c r="QNH286" s="1132" t="n"/>
      <c r="QNI286" s="1132" t="n"/>
      <c r="QNJ286" s="1132" t="n"/>
      <c r="QNK286" s="1132" t="n"/>
      <c r="QNL286" s="1132" t="n"/>
      <c r="QNM286" s="1132" t="n"/>
      <c r="QNN286" s="1132" t="n"/>
      <c r="QNO286" s="1132" t="n"/>
      <c r="QNP286" s="1132" t="n"/>
      <c r="QNQ286" s="1132" t="n"/>
      <c r="QNR286" s="1132" t="n"/>
      <c r="QNS286" s="1132" t="n"/>
      <c r="QNT286" s="1132" t="n"/>
      <c r="QNU286" s="1132" t="n"/>
      <c r="QNV286" s="1132" t="n"/>
      <c r="QNW286" s="1132" t="n"/>
      <c r="QNX286" s="1132" t="n"/>
      <c r="QNY286" s="1132" t="n"/>
      <c r="QNZ286" s="1132" t="n"/>
      <c r="QOA286" s="1132" t="n"/>
      <c r="QOB286" s="1132" t="n"/>
      <c r="QOC286" s="1132" t="n"/>
      <c r="QOD286" s="1132" t="n"/>
      <c r="QOE286" s="1132" t="n"/>
      <c r="QOF286" s="1132" t="n"/>
      <c r="QOG286" s="1132" t="n"/>
      <c r="QOH286" s="1132" t="n"/>
      <c r="QOI286" s="1132" t="n"/>
      <c r="QOJ286" s="1132" t="n"/>
      <c r="QOK286" s="1132" t="n"/>
      <c r="QOL286" s="1132" t="n"/>
      <c r="QOM286" s="1132" t="n"/>
      <c r="QON286" s="1132" t="n"/>
      <c r="QOO286" s="1132" t="n"/>
      <c r="QOP286" s="1132" t="n"/>
      <c r="QOQ286" s="1132" t="n"/>
      <c r="QOR286" s="1132" t="n"/>
      <c r="QOS286" s="1132" t="n"/>
      <c r="QOT286" s="1132" t="n"/>
      <c r="QOU286" s="1132" t="n"/>
      <c r="QOV286" s="1132" t="n"/>
      <c r="QOW286" s="1132" t="n"/>
      <c r="QOX286" s="1132" t="n"/>
      <c r="QOY286" s="1132" t="n"/>
      <c r="QOZ286" s="1132" t="n"/>
      <c r="QPA286" s="1132" t="n"/>
      <c r="QPB286" s="1132" t="n"/>
      <c r="QPC286" s="1132" t="n"/>
      <c r="QPD286" s="1132" t="n"/>
      <c r="QPE286" s="1132" t="n"/>
      <c r="QPF286" s="1132" t="n"/>
      <c r="QPG286" s="1132" t="n"/>
      <c r="QPH286" s="1132" t="n"/>
      <c r="QPI286" s="1132" t="n"/>
      <c r="QPJ286" s="1132" t="n"/>
      <c r="QPK286" s="1132" t="n"/>
      <c r="QPL286" s="1132" t="n"/>
      <c r="QPM286" s="1132" t="n"/>
      <c r="QPN286" s="1132" t="n"/>
      <c r="QPO286" s="1132" t="n"/>
      <c r="QPP286" s="1132" t="n"/>
      <c r="QPQ286" s="1132" t="n"/>
      <c r="QPR286" s="1132" t="n"/>
      <c r="QPS286" s="1132" t="n"/>
      <c r="QPT286" s="1132" t="n"/>
      <c r="QPU286" s="1132" t="n"/>
      <c r="QPV286" s="1132" t="n"/>
      <c r="QPW286" s="1132" t="n"/>
      <c r="QPX286" s="1132" t="n"/>
      <c r="QPY286" s="1132" t="n"/>
      <c r="QPZ286" s="1132" t="n"/>
      <c r="QQA286" s="1132" t="n"/>
      <c r="QQB286" s="1132" t="n"/>
      <c r="QQC286" s="1132" t="n"/>
      <c r="QQD286" s="1132" t="n"/>
      <c r="QQE286" s="1132" t="n"/>
      <c r="QQF286" s="1132" t="n"/>
      <c r="QQG286" s="1132" t="n"/>
      <c r="QQH286" s="1132" t="n"/>
      <c r="QQI286" s="1132" t="n"/>
      <c r="QQJ286" s="1132" t="n"/>
      <c r="QQK286" s="1132" t="n"/>
      <c r="QQL286" s="1132" t="n"/>
      <c r="QQM286" s="1132" t="n"/>
      <c r="QQN286" s="1132" t="n"/>
      <c r="QQO286" s="1132" t="n"/>
      <c r="QQP286" s="1132" t="n"/>
      <c r="QQQ286" s="1132" t="n"/>
      <c r="QQR286" s="1132" t="n"/>
      <c r="QQS286" s="1132" t="n"/>
      <c r="QQT286" s="1132" t="n"/>
      <c r="QQU286" s="1132" t="n"/>
      <c r="QQV286" s="1132" t="n"/>
      <c r="QQW286" s="1132" t="n"/>
      <c r="QQX286" s="1132" t="n"/>
      <c r="QQY286" s="1132" t="n"/>
      <c r="QQZ286" s="1132" t="n"/>
      <c r="QRA286" s="1132" t="n"/>
      <c r="QRB286" s="1132" t="n"/>
      <c r="QRC286" s="1132" t="n"/>
      <c r="QRD286" s="1132" t="n"/>
      <c r="QRE286" s="1132" t="n"/>
      <c r="QRF286" s="1132" t="n"/>
      <c r="QRG286" s="1132" t="n"/>
      <c r="QRH286" s="1132" t="n"/>
      <c r="QRI286" s="1132" t="n"/>
      <c r="QRJ286" s="1132" t="n"/>
      <c r="QRK286" s="1132" t="n"/>
      <c r="QRL286" s="1132" t="n"/>
      <c r="QRM286" s="1132" t="n"/>
      <c r="QRN286" s="1132" t="n"/>
      <c r="QRO286" s="1132" t="n"/>
      <c r="QRP286" s="1132" t="n"/>
      <c r="QRQ286" s="1132" t="n"/>
      <c r="QRR286" s="1132" t="n"/>
      <c r="QRS286" s="1132" t="n"/>
      <c r="QRT286" s="1132" t="n"/>
      <c r="QRU286" s="1132" t="n"/>
      <c r="QRV286" s="1132" t="n"/>
      <c r="QRW286" s="1132" t="n"/>
      <c r="QRX286" s="1132" t="n"/>
      <c r="QRY286" s="1132" t="n"/>
      <c r="QRZ286" s="1132" t="n"/>
      <c r="QSA286" s="1132" t="n"/>
      <c r="QSB286" s="1132" t="n"/>
      <c r="QSC286" s="1132" t="n"/>
      <c r="QSD286" s="1132" t="n"/>
      <c r="QSE286" s="1132" t="n"/>
      <c r="QSF286" s="1132" t="n"/>
      <c r="QSG286" s="1132" t="n"/>
      <c r="QSH286" s="1132" t="n"/>
      <c r="QSI286" s="1132" t="n"/>
      <c r="QSJ286" s="1132" t="n"/>
      <c r="QSK286" s="1132" t="n"/>
      <c r="QSL286" s="1132" t="n"/>
      <c r="QSM286" s="1132" t="n"/>
      <c r="QSN286" s="1132" t="n"/>
      <c r="QSO286" s="1132" t="n"/>
      <c r="QSP286" s="1132" t="n"/>
      <c r="QSQ286" s="1132" t="n"/>
      <c r="QSR286" s="1132" t="n"/>
      <c r="QSS286" s="1132" t="n"/>
      <c r="QST286" s="1132" t="n"/>
      <c r="QSU286" s="1132" t="n"/>
      <c r="QSV286" s="1132" t="n"/>
      <c r="QSW286" s="1132" t="n"/>
      <c r="QSX286" s="1132" t="n"/>
      <c r="QSY286" s="1132" t="n"/>
      <c r="QSZ286" s="1132" t="n"/>
      <c r="QTA286" s="1132" t="n"/>
      <c r="QTB286" s="1132" t="n"/>
      <c r="QTC286" s="1132" t="n"/>
      <c r="QTD286" s="1132" t="n"/>
      <c r="QTE286" s="1132" t="n"/>
      <c r="QTF286" s="1132" t="n"/>
      <c r="QTG286" s="1132" t="n"/>
      <c r="QTH286" s="1132" t="n"/>
      <c r="QTI286" s="1132" t="n"/>
      <c r="QTJ286" s="1132" t="n"/>
      <c r="QTK286" s="1132" t="n"/>
      <c r="QTL286" s="1132" t="n"/>
      <c r="QTM286" s="1132" t="n"/>
      <c r="QTN286" s="1132" t="n"/>
      <c r="QTO286" s="1132" t="n"/>
      <c r="QTP286" s="1132" t="n"/>
      <c r="QTQ286" s="1132" t="n"/>
      <c r="QTR286" s="1132" t="n"/>
      <c r="QTS286" s="1132" t="n"/>
      <c r="QTT286" s="1132" t="n"/>
      <c r="QTU286" s="1132" t="n"/>
      <c r="QTV286" s="1132" t="n"/>
      <c r="QTW286" s="1132" t="n"/>
      <c r="QTX286" s="1132" t="n"/>
      <c r="QTY286" s="1132" t="n"/>
      <c r="QTZ286" s="1132" t="n"/>
      <c r="QUA286" s="1132" t="n"/>
      <c r="QUB286" s="1132" t="n"/>
      <c r="QUC286" s="1132" t="n"/>
      <c r="QUD286" s="1132" t="n"/>
      <c r="QUE286" s="1132" t="n"/>
      <c r="QUF286" s="1132" t="n"/>
      <c r="QUG286" s="1132" t="n"/>
      <c r="QUH286" s="1132" t="n"/>
      <c r="QUI286" s="1132" t="n"/>
      <c r="QUJ286" s="1132" t="n"/>
      <c r="QUK286" s="1132" t="n"/>
      <c r="QUL286" s="1132" t="n"/>
      <c r="QUM286" s="1132" t="n"/>
      <c r="QUN286" s="1132" t="n"/>
      <c r="QUO286" s="1132" t="n"/>
      <c r="QUP286" s="1132" t="n"/>
      <c r="QUQ286" s="1132" t="n"/>
      <c r="QUR286" s="1132" t="n"/>
      <c r="QUS286" s="1132" t="n"/>
      <c r="QUT286" s="1132" t="n"/>
      <c r="QUU286" s="1132" t="n"/>
      <c r="QUV286" s="1132" t="n"/>
      <c r="QUW286" s="1132" t="n"/>
      <c r="QUX286" s="1132" t="n"/>
      <c r="QUY286" s="1132" t="n"/>
      <c r="QUZ286" s="1132" t="n"/>
      <c r="QVA286" s="1132" t="n"/>
      <c r="QVB286" s="1132" t="n"/>
      <c r="QVC286" s="1132" t="n"/>
      <c r="QVD286" s="1132" t="n"/>
      <c r="QVE286" s="1132" t="n"/>
      <c r="QVF286" s="1132" t="n"/>
      <c r="QVG286" s="1132" t="n"/>
      <c r="QVH286" s="1132" t="n"/>
      <c r="QVI286" s="1132" t="n"/>
      <c r="QVJ286" s="1132" t="n"/>
      <c r="QVK286" s="1132" t="n"/>
      <c r="QVL286" s="1132" t="n"/>
      <c r="QVM286" s="1132" t="n"/>
      <c r="QVN286" s="1132" t="n"/>
      <c r="QVO286" s="1132" t="n"/>
      <c r="QVP286" s="1132" t="n"/>
      <c r="QVQ286" s="1132" t="n"/>
      <c r="QVR286" s="1132" t="n"/>
      <c r="QVS286" s="1132" t="n"/>
      <c r="QVT286" s="1132" t="n"/>
      <c r="QVU286" s="1132" t="n"/>
      <c r="QVV286" s="1132" t="n"/>
      <c r="QVW286" s="1132" t="n"/>
      <c r="QVX286" s="1132" t="n"/>
      <c r="QVY286" s="1132" t="n"/>
      <c r="QVZ286" s="1132" t="n"/>
      <c r="QWA286" s="1132" t="n"/>
      <c r="QWB286" s="1132" t="n"/>
      <c r="QWC286" s="1132" t="n"/>
      <c r="QWD286" s="1132" t="n"/>
      <c r="QWE286" s="1132" t="n"/>
      <c r="QWF286" s="1132" t="n"/>
      <c r="QWG286" s="1132" t="n"/>
      <c r="QWH286" s="1132" t="n"/>
      <c r="QWI286" s="1132" t="n"/>
      <c r="QWJ286" s="1132" t="n"/>
      <c r="QWK286" s="1132" t="n"/>
      <c r="QWL286" s="1132" t="n"/>
      <c r="QWM286" s="1132" t="n"/>
      <c r="QWN286" s="1132" t="n"/>
      <c r="QWO286" s="1132" t="n"/>
      <c r="QWP286" s="1132" t="n"/>
      <c r="QWQ286" s="1132" t="n"/>
      <c r="QWR286" s="1132" t="n"/>
      <c r="QWS286" s="1132" t="n"/>
      <c r="QWT286" s="1132" t="n"/>
      <c r="QWU286" s="1132" t="n"/>
      <c r="QWV286" s="1132" t="n"/>
      <c r="QWW286" s="1132" t="n"/>
      <c r="QWX286" s="1132" t="n"/>
      <c r="QWY286" s="1132" t="n"/>
      <c r="QWZ286" s="1132" t="n"/>
      <c r="QXA286" s="1132" t="n"/>
      <c r="QXB286" s="1132" t="n"/>
      <c r="QXC286" s="1132" t="n"/>
      <c r="QXD286" s="1132" t="n"/>
      <c r="QXE286" s="1132" t="n"/>
      <c r="QXF286" s="1132" t="n"/>
      <c r="QXG286" s="1132" t="n"/>
      <c r="QXH286" s="1132" t="n"/>
      <c r="QXI286" s="1132" t="n"/>
      <c r="QXJ286" s="1132" t="n"/>
      <c r="QXK286" s="1132" t="n"/>
      <c r="QXL286" s="1132" t="n"/>
      <c r="QXM286" s="1132" t="n"/>
      <c r="QXN286" s="1132" t="n"/>
      <c r="QXO286" s="1132" t="n"/>
      <c r="QXP286" s="1132" t="n"/>
      <c r="QXQ286" s="1132" t="n"/>
      <c r="QXR286" s="1132" t="n"/>
      <c r="QXS286" s="1132" t="n"/>
      <c r="QXT286" s="1132" t="n"/>
      <c r="QXU286" s="1132" t="n"/>
      <c r="QXV286" s="1132" t="n"/>
      <c r="QXW286" s="1132" t="n"/>
      <c r="QXX286" s="1132" t="n"/>
      <c r="QXY286" s="1132" t="n"/>
      <c r="QXZ286" s="1132" t="n"/>
      <c r="QYA286" s="1132" t="n"/>
      <c r="QYB286" s="1132" t="n"/>
      <c r="QYC286" s="1132" t="n"/>
      <c r="QYD286" s="1132" t="n"/>
      <c r="QYE286" s="1132" t="n"/>
      <c r="QYF286" s="1132" t="n"/>
      <c r="QYG286" s="1132" t="n"/>
      <c r="QYH286" s="1132" t="n"/>
      <c r="QYI286" s="1132" t="n"/>
      <c r="QYJ286" s="1132" t="n"/>
      <c r="QYK286" s="1132" t="n"/>
      <c r="QYL286" s="1132" t="n"/>
      <c r="QYM286" s="1132" t="n"/>
      <c r="QYN286" s="1132" t="n"/>
      <c r="QYO286" s="1132" t="n"/>
      <c r="QYP286" s="1132" t="n"/>
      <c r="QYQ286" s="1132" t="n"/>
      <c r="QYR286" s="1132" t="n"/>
      <c r="QYS286" s="1132" t="n"/>
      <c r="QYT286" s="1132" t="n"/>
      <c r="QYU286" s="1132" t="n"/>
      <c r="QYV286" s="1132" t="n"/>
      <c r="QYW286" s="1132" t="n"/>
      <c r="QYX286" s="1132" t="n"/>
      <c r="QYY286" s="1132" t="n"/>
      <c r="QYZ286" s="1132" t="n"/>
      <c r="QZA286" s="1132" t="n"/>
      <c r="QZB286" s="1132" t="n"/>
      <c r="QZC286" s="1132" t="n"/>
      <c r="QZD286" s="1132" t="n"/>
      <c r="QZE286" s="1132" t="n"/>
      <c r="QZF286" s="1132" t="n"/>
      <c r="QZG286" s="1132" t="n"/>
      <c r="QZH286" s="1132" t="n"/>
      <c r="QZI286" s="1132" t="n"/>
      <c r="QZJ286" s="1132" t="n"/>
      <c r="QZK286" s="1132" t="n"/>
      <c r="QZL286" s="1132" t="n"/>
      <c r="QZM286" s="1132" t="n"/>
      <c r="QZN286" s="1132" t="n"/>
      <c r="QZO286" s="1132" t="n"/>
      <c r="QZP286" s="1132" t="n"/>
      <c r="QZQ286" s="1132" t="n"/>
      <c r="QZR286" s="1132" t="n"/>
      <c r="QZS286" s="1132" t="n"/>
      <c r="QZT286" s="1132" t="n"/>
      <c r="QZU286" s="1132" t="n"/>
      <c r="QZV286" s="1132" t="n"/>
      <c r="QZW286" s="1132" t="n"/>
      <c r="QZX286" s="1132" t="n"/>
      <c r="QZY286" s="1132" t="n"/>
      <c r="QZZ286" s="1132" t="n"/>
      <c r="RAA286" s="1132" t="n"/>
      <c r="RAB286" s="1132" t="n"/>
      <c r="RAC286" s="1132" t="n"/>
      <c r="RAD286" s="1132" t="n"/>
      <c r="RAE286" s="1132" t="n"/>
      <c r="RAF286" s="1132" t="n"/>
      <c r="RAG286" s="1132" t="n"/>
      <c r="RAH286" s="1132" t="n"/>
      <c r="RAI286" s="1132" t="n"/>
      <c r="RAJ286" s="1132" t="n"/>
      <c r="RAK286" s="1132" t="n"/>
      <c r="RAL286" s="1132" t="n"/>
      <c r="RAM286" s="1132" t="n"/>
      <c r="RAN286" s="1132" t="n"/>
      <c r="RAO286" s="1132" t="n"/>
      <c r="RAP286" s="1132" t="n"/>
      <c r="RAQ286" s="1132" t="n"/>
      <c r="RAR286" s="1132" t="n"/>
      <c r="RAS286" s="1132" t="n"/>
      <c r="RAT286" s="1132" t="n"/>
      <c r="RAU286" s="1132" t="n"/>
      <c r="RAV286" s="1132" t="n"/>
      <c r="RAW286" s="1132" t="n"/>
      <c r="RAX286" s="1132" t="n"/>
      <c r="RAY286" s="1132" t="n"/>
      <c r="RAZ286" s="1132" t="n"/>
      <c r="RBA286" s="1132" t="n"/>
      <c r="RBB286" s="1132" t="n"/>
      <c r="RBC286" s="1132" t="n"/>
      <c r="RBD286" s="1132" t="n"/>
      <c r="RBE286" s="1132" t="n"/>
      <c r="RBF286" s="1132" t="n"/>
      <c r="RBG286" s="1132" t="n"/>
      <c r="RBH286" s="1132" t="n"/>
      <c r="RBI286" s="1132" t="n"/>
      <c r="RBJ286" s="1132" t="n"/>
      <c r="RBK286" s="1132" t="n"/>
      <c r="RBL286" s="1132" t="n"/>
      <c r="RBM286" s="1132" t="n"/>
      <c r="RBN286" s="1132" t="n"/>
      <c r="RBO286" s="1132" t="n"/>
      <c r="RBP286" s="1132" t="n"/>
      <c r="RBQ286" s="1132" t="n"/>
      <c r="RBR286" s="1132" t="n"/>
      <c r="RBS286" s="1132" t="n"/>
      <c r="RBT286" s="1132" t="n"/>
      <c r="RBU286" s="1132" t="n"/>
      <c r="RBV286" s="1132" t="n"/>
      <c r="RBW286" s="1132" t="n"/>
      <c r="RBX286" s="1132" t="n"/>
      <c r="RBY286" s="1132" t="n"/>
      <c r="RBZ286" s="1132" t="n"/>
      <c r="RCA286" s="1132" t="n"/>
      <c r="RCB286" s="1132" t="n"/>
      <c r="RCC286" s="1132" t="n"/>
      <c r="RCD286" s="1132" t="n"/>
      <c r="RCE286" s="1132" t="n"/>
      <c r="RCF286" s="1132" t="n"/>
      <c r="RCG286" s="1132" t="n"/>
      <c r="RCH286" s="1132" t="n"/>
      <c r="RCI286" s="1132" t="n"/>
      <c r="RCJ286" s="1132" t="n"/>
      <c r="RCK286" s="1132" t="n"/>
      <c r="RCL286" s="1132" t="n"/>
      <c r="RCM286" s="1132" t="n"/>
      <c r="RCN286" s="1132" t="n"/>
      <c r="RCO286" s="1132" t="n"/>
      <c r="RCP286" s="1132" t="n"/>
      <c r="RCQ286" s="1132" t="n"/>
      <c r="RCR286" s="1132" t="n"/>
      <c r="RCS286" s="1132" t="n"/>
      <c r="RCT286" s="1132" t="n"/>
      <c r="RCU286" s="1132" t="n"/>
      <c r="RCV286" s="1132" t="n"/>
      <c r="RCW286" s="1132" t="n"/>
      <c r="RCX286" s="1132" t="n"/>
      <c r="RCY286" s="1132" t="n"/>
      <c r="RCZ286" s="1132" t="n"/>
      <c r="RDA286" s="1132" t="n"/>
      <c r="RDB286" s="1132" t="n"/>
      <c r="RDC286" s="1132" t="n"/>
      <c r="RDD286" s="1132" t="n"/>
      <c r="RDE286" s="1132" t="n"/>
      <c r="RDF286" s="1132" t="n"/>
      <c r="RDG286" s="1132" t="n"/>
      <c r="RDH286" s="1132" t="n"/>
      <c r="RDI286" s="1132" t="n"/>
      <c r="RDJ286" s="1132" t="n"/>
      <c r="RDK286" s="1132" t="n"/>
      <c r="RDL286" s="1132" t="n"/>
      <c r="RDM286" s="1132" t="n"/>
      <c r="RDN286" s="1132" t="n"/>
      <c r="RDO286" s="1132" t="n"/>
      <c r="RDP286" s="1132" t="n"/>
      <c r="RDQ286" s="1132" t="n"/>
      <c r="RDR286" s="1132" t="n"/>
      <c r="RDS286" s="1132" t="n"/>
      <c r="RDT286" s="1132" t="n"/>
      <c r="RDU286" s="1132" t="n"/>
      <c r="RDV286" s="1132" t="n"/>
      <c r="RDW286" s="1132" t="n"/>
      <c r="RDX286" s="1132" t="n"/>
      <c r="RDY286" s="1132" t="n"/>
      <c r="RDZ286" s="1132" t="n"/>
      <c r="REA286" s="1132" t="n"/>
      <c r="REB286" s="1132" t="n"/>
      <c r="REC286" s="1132" t="n"/>
      <c r="RED286" s="1132" t="n"/>
      <c r="REE286" s="1132" t="n"/>
      <c r="REF286" s="1132" t="n"/>
      <c r="REG286" s="1132" t="n"/>
      <c r="REH286" s="1132" t="n"/>
      <c r="REI286" s="1132" t="n"/>
      <c r="REJ286" s="1132" t="n"/>
      <c r="REK286" s="1132" t="n"/>
      <c r="REL286" s="1132" t="n"/>
      <c r="REM286" s="1132" t="n"/>
      <c r="REN286" s="1132" t="n"/>
      <c r="REO286" s="1132" t="n"/>
      <c r="REP286" s="1132" t="n"/>
      <c r="REQ286" s="1132" t="n"/>
      <c r="RER286" s="1132" t="n"/>
      <c r="RES286" s="1132" t="n"/>
      <c r="RET286" s="1132" t="n"/>
      <c r="REU286" s="1132" t="n"/>
      <c r="REV286" s="1132" t="n"/>
      <c r="REW286" s="1132" t="n"/>
      <c r="REX286" s="1132" t="n"/>
      <c r="REY286" s="1132" t="n"/>
      <c r="REZ286" s="1132" t="n"/>
      <c r="RFA286" s="1132" t="n"/>
      <c r="RFB286" s="1132" t="n"/>
      <c r="RFC286" s="1132" t="n"/>
      <c r="RFD286" s="1132" t="n"/>
      <c r="RFE286" s="1132" t="n"/>
      <c r="RFF286" s="1132" t="n"/>
      <c r="RFG286" s="1132" t="n"/>
      <c r="RFH286" s="1132" t="n"/>
      <c r="RFI286" s="1132" t="n"/>
      <c r="RFJ286" s="1132" t="n"/>
      <c r="RFK286" s="1132" t="n"/>
      <c r="RFL286" s="1132" t="n"/>
      <c r="RFM286" s="1132" t="n"/>
      <c r="RFN286" s="1132" t="n"/>
      <c r="RFO286" s="1132" t="n"/>
      <c r="RFP286" s="1132" t="n"/>
      <c r="RFQ286" s="1132" t="n"/>
      <c r="RFR286" s="1132" t="n"/>
      <c r="RFS286" s="1132" t="n"/>
      <c r="RFT286" s="1132" t="n"/>
      <c r="RFU286" s="1132" t="n"/>
      <c r="RFV286" s="1132" t="n"/>
      <c r="RFW286" s="1132" t="n"/>
      <c r="RFX286" s="1132" t="n"/>
      <c r="RFY286" s="1132" t="n"/>
      <c r="RFZ286" s="1132" t="n"/>
      <c r="RGA286" s="1132" t="n"/>
      <c r="RGB286" s="1132" t="n"/>
      <c r="RGC286" s="1132" t="n"/>
      <c r="RGD286" s="1132" t="n"/>
      <c r="RGE286" s="1132" t="n"/>
      <c r="RGF286" s="1132" t="n"/>
      <c r="RGG286" s="1132" t="n"/>
      <c r="RGH286" s="1132" t="n"/>
      <c r="RGI286" s="1132" t="n"/>
      <c r="RGJ286" s="1132" t="n"/>
      <c r="RGK286" s="1132" t="n"/>
      <c r="RGL286" s="1132" t="n"/>
      <c r="RGM286" s="1132" t="n"/>
      <c r="RGN286" s="1132" t="n"/>
      <c r="RGO286" s="1132" t="n"/>
      <c r="RGP286" s="1132" t="n"/>
      <c r="RGQ286" s="1132" t="n"/>
      <c r="RGR286" s="1132" t="n"/>
      <c r="RGS286" s="1132" t="n"/>
      <c r="RGT286" s="1132" t="n"/>
      <c r="RGU286" s="1132" t="n"/>
      <c r="RGV286" s="1132" t="n"/>
      <c r="RGW286" s="1132" t="n"/>
      <c r="RGX286" s="1132" t="n"/>
      <c r="RGY286" s="1132" t="n"/>
      <c r="RGZ286" s="1132" t="n"/>
      <c r="RHA286" s="1132" t="n"/>
      <c r="RHB286" s="1132" t="n"/>
      <c r="RHC286" s="1132" t="n"/>
      <c r="RHD286" s="1132" t="n"/>
      <c r="RHE286" s="1132" t="n"/>
      <c r="RHF286" s="1132" t="n"/>
      <c r="RHG286" s="1132" t="n"/>
      <c r="RHH286" s="1132" t="n"/>
      <c r="RHI286" s="1132" t="n"/>
      <c r="RHJ286" s="1132" t="n"/>
      <c r="RHK286" s="1132" t="n"/>
      <c r="RHL286" s="1132" t="n"/>
      <c r="RHM286" s="1132" t="n"/>
      <c r="RHN286" s="1132" t="n"/>
      <c r="RHO286" s="1132" t="n"/>
      <c r="RHP286" s="1132" t="n"/>
      <c r="RHQ286" s="1132" t="n"/>
      <c r="RHR286" s="1132" t="n"/>
      <c r="RHS286" s="1132" t="n"/>
      <c r="RHT286" s="1132" t="n"/>
      <c r="RHU286" s="1132" t="n"/>
      <c r="RHV286" s="1132" t="n"/>
      <c r="RHW286" s="1132" t="n"/>
      <c r="RHX286" s="1132" t="n"/>
      <c r="RHY286" s="1132" t="n"/>
      <c r="RHZ286" s="1132" t="n"/>
      <c r="RIA286" s="1132" t="n"/>
      <c r="RIB286" s="1132" t="n"/>
      <c r="RIC286" s="1132" t="n"/>
      <c r="RID286" s="1132" t="n"/>
      <c r="RIE286" s="1132" t="n"/>
      <c r="RIF286" s="1132" t="n"/>
      <c r="RIG286" s="1132" t="n"/>
      <c r="RIH286" s="1132" t="n"/>
      <c r="RII286" s="1132" t="n"/>
      <c r="RIJ286" s="1132" t="n"/>
      <c r="RIK286" s="1132" t="n"/>
      <c r="RIL286" s="1132" t="n"/>
      <c r="RIM286" s="1132" t="n"/>
      <c r="RIN286" s="1132" t="n"/>
      <c r="RIO286" s="1132" t="n"/>
      <c r="RIP286" s="1132" t="n"/>
      <c r="RIQ286" s="1132" t="n"/>
      <c r="RIR286" s="1132" t="n"/>
      <c r="RIS286" s="1132" t="n"/>
      <c r="RIT286" s="1132" t="n"/>
      <c r="RIU286" s="1132" t="n"/>
      <c r="RIV286" s="1132" t="n"/>
      <c r="RIW286" s="1132" t="n"/>
      <c r="RIX286" s="1132" t="n"/>
      <c r="RIY286" s="1132" t="n"/>
      <c r="RIZ286" s="1132" t="n"/>
      <c r="RJA286" s="1132" t="n"/>
      <c r="RJB286" s="1132" t="n"/>
      <c r="RJC286" s="1132" t="n"/>
      <c r="RJD286" s="1132" t="n"/>
      <c r="RJE286" s="1132" t="n"/>
      <c r="RJF286" s="1132" t="n"/>
      <c r="RJG286" s="1132" t="n"/>
      <c r="RJH286" s="1132" t="n"/>
      <c r="RJI286" s="1132" t="n"/>
      <c r="RJJ286" s="1132" t="n"/>
      <c r="RJK286" s="1132" t="n"/>
      <c r="RJL286" s="1132" t="n"/>
      <c r="RJM286" s="1132" t="n"/>
      <c r="RJN286" s="1132" t="n"/>
      <c r="RJO286" s="1132" t="n"/>
      <c r="RJP286" s="1132" t="n"/>
      <c r="RJQ286" s="1132" t="n"/>
      <c r="RJR286" s="1132" t="n"/>
      <c r="RJS286" s="1132" t="n"/>
      <c r="RJT286" s="1132" t="n"/>
      <c r="RJU286" s="1132" t="n"/>
      <c r="RJV286" s="1132" t="n"/>
      <c r="RJW286" s="1132" t="n"/>
      <c r="RJX286" s="1132" t="n"/>
      <c r="RJY286" s="1132" t="n"/>
      <c r="RJZ286" s="1132" t="n"/>
      <c r="RKA286" s="1132" t="n"/>
      <c r="RKB286" s="1132" t="n"/>
      <c r="RKC286" s="1132" t="n"/>
      <c r="RKD286" s="1132" t="n"/>
      <c r="RKE286" s="1132" t="n"/>
      <c r="RKF286" s="1132" t="n"/>
      <c r="RKG286" s="1132" t="n"/>
      <c r="RKH286" s="1132" t="n"/>
      <c r="RKI286" s="1132" t="n"/>
      <c r="RKJ286" s="1132" t="n"/>
      <c r="RKK286" s="1132" t="n"/>
      <c r="RKL286" s="1132" t="n"/>
      <c r="RKM286" s="1132" t="n"/>
      <c r="RKN286" s="1132" t="n"/>
      <c r="RKO286" s="1132" t="n"/>
      <c r="RKP286" s="1132" t="n"/>
      <c r="RKQ286" s="1132" t="n"/>
      <c r="RKR286" s="1132" t="n"/>
      <c r="RKS286" s="1132" t="n"/>
      <c r="RKT286" s="1132" t="n"/>
      <c r="RKU286" s="1132" t="n"/>
      <c r="RKV286" s="1132" t="n"/>
      <c r="RKW286" s="1132" t="n"/>
      <c r="RKX286" s="1132" t="n"/>
      <c r="RKY286" s="1132" t="n"/>
      <c r="RKZ286" s="1132" t="n"/>
      <c r="RLA286" s="1132" t="n"/>
      <c r="RLB286" s="1132" t="n"/>
      <c r="RLC286" s="1132" t="n"/>
      <c r="RLD286" s="1132" t="n"/>
      <c r="RLE286" s="1132" t="n"/>
      <c r="RLF286" s="1132" t="n"/>
      <c r="RLG286" s="1132" t="n"/>
      <c r="RLH286" s="1132" t="n"/>
      <c r="RLI286" s="1132" t="n"/>
      <c r="RLJ286" s="1132" t="n"/>
      <c r="RLK286" s="1132" t="n"/>
      <c r="RLL286" s="1132" t="n"/>
      <c r="RLM286" s="1132" t="n"/>
      <c r="RLN286" s="1132" t="n"/>
      <c r="RLO286" s="1132" t="n"/>
      <c r="RLP286" s="1132" t="n"/>
      <c r="RLQ286" s="1132" t="n"/>
      <c r="RLR286" s="1132" t="n"/>
      <c r="RLS286" s="1132" t="n"/>
      <c r="RLT286" s="1132" t="n"/>
      <c r="RLU286" s="1132" t="n"/>
      <c r="RLV286" s="1132" t="n"/>
      <c r="RLW286" s="1132" t="n"/>
      <c r="RLX286" s="1132" t="n"/>
      <c r="RLY286" s="1132" t="n"/>
      <c r="RLZ286" s="1132" t="n"/>
      <c r="RMA286" s="1132" t="n"/>
      <c r="RMB286" s="1132" t="n"/>
      <c r="RMC286" s="1132" t="n"/>
      <c r="RMD286" s="1132" t="n"/>
      <c r="RME286" s="1132" t="n"/>
      <c r="RMF286" s="1132" t="n"/>
      <c r="RMG286" s="1132" t="n"/>
      <c r="RMH286" s="1132" t="n"/>
      <c r="RMI286" s="1132" t="n"/>
      <c r="RMJ286" s="1132" t="n"/>
      <c r="RMK286" s="1132" t="n"/>
      <c r="RML286" s="1132" t="n"/>
      <c r="RMM286" s="1132" t="n"/>
      <c r="RMN286" s="1132" t="n"/>
      <c r="RMO286" s="1132" t="n"/>
      <c r="RMP286" s="1132" t="n"/>
      <c r="RMQ286" s="1132" t="n"/>
      <c r="RMR286" s="1132" t="n"/>
      <c r="RMS286" s="1132" t="n"/>
      <c r="RMT286" s="1132" t="n"/>
      <c r="RMU286" s="1132" t="n"/>
      <c r="RMV286" s="1132" t="n"/>
      <c r="RMW286" s="1132" t="n"/>
      <c r="RMX286" s="1132" t="n"/>
      <c r="RMY286" s="1132" t="n"/>
      <c r="RMZ286" s="1132" t="n"/>
      <c r="RNA286" s="1132" t="n"/>
      <c r="RNB286" s="1132" t="n"/>
      <c r="RNC286" s="1132" t="n"/>
      <c r="RND286" s="1132" t="n"/>
      <c r="RNE286" s="1132" t="n"/>
      <c r="RNF286" s="1132" t="n"/>
      <c r="RNG286" s="1132" t="n"/>
      <c r="RNH286" s="1132" t="n"/>
      <c r="RNI286" s="1132" t="n"/>
      <c r="RNJ286" s="1132" t="n"/>
      <c r="RNK286" s="1132" t="n"/>
      <c r="RNL286" s="1132" t="n"/>
      <c r="RNM286" s="1132" t="n"/>
      <c r="RNN286" s="1132" t="n"/>
      <c r="RNO286" s="1132" t="n"/>
      <c r="RNP286" s="1132" t="n"/>
      <c r="RNQ286" s="1132" t="n"/>
      <c r="RNR286" s="1132" t="n"/>
      <c r="RNS286" s="1132" t="n"/>
      <c r="RNT286" s="1132" t="n"/>
      <c r="RNU286" s="1132" t="n"/>
      <c r="RNV286" s="1132" t="n"/>
      <c r="RNW286" s="1132" t="n"/>
      <c r="RNX286" s="1132" t="n"/>
      <c r="RNY286" s="1132" t="n"/>
      <c r="RNZ286" s="1132" t="n"/>
      <c r="ROA286" s="1132" t="n"/>
      <c r="ROB286" s="1132" t="n"/>
      <c r="ROC286" s="1132" t="n"/>
      <c r="ROD286" s="1132" t="n"/>
      <c r="ROE286" s="1132" t="n"/>
      <c r="ROF286" s="1132" t="n"/>
      <c r="ROG286" s="1132" t="n"/>
      <c r="ROH286" s="1132" t="n"/>
      <c r="ROI286" s="1132" t="n"/>
      <c r="ROJ286" s="1132" t="n"/>
      <c r="ROK286" s="1132" t="n"/>
      <c r="ROL286" s="1132" t="n"/>
      <c r="ROM286" s="1132" t="n"/>
      <c r="RON286" s="1132" t="n"/>
      <c r="ROO286" s="1132" t="n"/>
      <c r="ROP286" s="1132" t="n"/>
      <c r="ROQ286" s="1132" t="n"/>
      <c r="ROR286" s="1132" t="n"/>
      <c r="ROS286" s="1132" t="n"/>
      <c r="ROT286" s="1132" t="n"/>
      <c r="ROU286" s="1132" t="n"/>
      <c r="ROV286" s="1132" t="n"/>
      <c r="ROW286" s="1132" t="n"/>
      <c r="ROX286" s="1132" t="n"/>
      <c r="ROY286" s="1132" t="n"/>
      <c r="ROZ286" s="1132" t="n"/>
      <c r="RPA286" s="1132" t="n"/>
      <c r="RPB286" s="1132" t="n"/>
      <c r="RPC286" s="1132" t="n"/>
      <c r="RPD286" s="1132" t="n"/>
      <c r="RPE286" s="1132" t="n"/>
      <c r="RPF286" s="1132" t="n"/>
      <c r="RPG286" s="1132" t="n"/>
      <c r="RPH286" s="1132" t="n"/>
      <c r="RPI286" s="1132" t="n"/>
      <c r="RPJ286" s="1132" t="n"/>
      <c r="RPK286" s="1132" t="n"/>
      <c r="RPL286" s="1132" t="n"/>
      <c r="RPM286" s="1132" t="n"/>
      <c r="RPN286" s="1132" t="n"/>
      <c r="RPO286" s="1132" t="n"/>
      <c r="RPP286" s="1132" t="n"/>
      <c r="RPQ286" s="1132" t="n"/>
      <c r="RPR286" s="1132" t="n"/>
      <c r="RPS286" s="1132" t="n"/>
      <c r="RPT286" s="1132" t="n"/>
      <c r="RPU286" s="1132" t="n"/>
      <c r="RPV286" s="1132" t="n"/>
      <c r="RPW286" s="1132" t="n"/>
      <c r="RPX286" s="1132" t="n"/>
      <c r="RPY286" s="1132" t="n"/>
      <c r="RPZ286" s="1132" t="n"/>
      <c r="RQA286" s="1132" t="n"/>
      <c r="RQB286" s="1132" t="n"/>
      <c r="RQC286" s="1132" t="n"/>
      <c r="RQD286" s="1132" t="n"/>
      <c r="RQE286" s="1132" t="n"/>
      <c r="RQF286" s="1132" t="n"/>
      <c r="RQG286" s="1132" t="n"/>
      <c r="RQH286" s="1132" t="n"/>
      <c r="RQI286" s="1132" t="n"/>
      <c r="RQJ286" s="1132" t="n"/>
      <c r="RQK286" s="1132" t="n"/>
      <c r="RQL286" s="1132" t="n"/>
      <c r="RQM286" s="1132" t="n"/>
      <c r="RQN286" s="1132" t="n"/>
      <c r="RQO286" s="1132" t="n"/>
      <c r="RQP286" s="1132" t="n"/>
      <c r="RQQ286" s="1132" t="n"/>
      <c r="RQR286" s="1132" t="n"/>
      <c r="RQS286" s="1132" t="n"/>
      <c r="RQT286" s="1132" t="n"/>
      <c r="RQU286" s="1132" t="n"/>
      <c r="RQV286" s="1132" t="n"/>
      <c r="RQW286" s="1132" t="n"/>
      <c r="RQX286" s="1132" t="n"/>
      <c r="RQY286" s="1132" t="n"/>
      <c r="RQZ286" s="1132" t="n"/>
      <c r="RRA286" s="1132" t="n"/>
      <c r="RRB286" s="1132" t="n"/>
      <c r="RRC286" s="1132" t="n"/>
      <c r="RRD286" s="1132" t="n"/>
      <c r="RRE286" s="1132" t="n"/>
      <c r="RRF286" s="1132" t="n"/>
      <c r="RRG286" s="1132" t="n"/>
      <c r="RRH286" s="1132" t="n"/>
      <c r="RRI286" s="1132" t="n"/>
      <c r="RRJ286" s="1132" t="n"/>
      <c r="RRK286" s="1132" t="n"/>
      <c r="RRL286" s="1132" t="n"/>
      <c r="RRM286" s="1132" t="n"/>
      <c r="RRN286" s="1132" t="n"/>
      <c r="RRO286" s="1132" t="n"/>
      <c r="RRP286" s="1132" t="n"/>
      <c r="RRQ286" s="1132" t="n"/>
      <c r="RRR286" s="1132" t="n"/>
      <c r="RRS286" s="1132" t="n"/>
      <c r="RRT286" s="1132" t="n"/>
      <c r="RRU286" s="1132" t="n"/>
      <c r="RRV286" s="1132" t="n"/>
      <c r="RRW286" s="1132" t="n"/>
      <c r="RRX286" s="1132" t="n"/>
      <c r="RRY286" s="1132" t="n"/>
      <c r="RRZ286" s="1132" t="n"/>
      <c r="RSA286" s="1132" t="n"/>
      <c r="RSB286" s="1132" t="n"/>
      <c r="RSC286" s="1132" t="n"/>
      <c r="RSD286" s="1132" t="n"/>
      <c r="RSE286" s="1132" t="n"/>
      <c r="RSF286" s="1132" t="n"/>
      <c r="RSG286" s="1132" t="n"/>
      <c r="RSH286" s="1132" t="n"/>
      <c r="RSI286" s="1132" t="n"/>
      <c r="RSJ286" s="1132" t="n"/>
      <c r="RSK286" s="1132" t="n"/>
      <c r="RSL286" s="1132" t="n"/>
      <c r="RSM286" s="1132" t="n"/>
      <c r="RSN286" s="1132" t="n"/>
      <c r="RSO286" s="1132" t="n"/>
      <c r="RSP286" s="1132" t="n"/>
      <c r="RSQ286" s="1132" t="n"/>
      <c r="RSR286" s="1132" t="n"/>
      <c r="RSS286" s="1132" t="n"/>
      <c r="RST286" s="1132" t="n"/>
      <c r="RSU286" s="1132" t="n"/>
      <c r="RSV286" s="1132" t="n"/>
      <c r="RSW286" s="1132" t="n"/>
      <c r="RSX286" s="1132" t="n"/>
      <c r="RSY286" s="1132" t="n"/>
      <c r="RSZ286" s="1132" t="n"/>
      <c r="RTA286" s="1132" t="n"/>
      <c r="RTB286" s="1132" t="n"/>
      <c r="RTC286" s="1132" t="n"/>
      <c r="RTD286" s="1132" t="n"/>
      <c r="RTE286" s="1132" t="n"/>
      <c r="RTF286" s="1132" t="n"/>
      <c r="RTG286" s="1132" t="n"/>
      <c r="RTH286" s="1132" t="n"/>
      <c r="RTI286" s="1132" t="n"/>
      <c r="RTJ286" s="1132" t="n"/>
      <c r="RTK286" s="1132" t="n"/>
      <c r="RTL286" s="1132" t="n"/>
      <c r="RTM286" s="1132" t="n"/>
      <c r="RTN286" s="1132" t="n"/>
      <c r="RTO286" s="1132" t="n"/>
      <c r="RTP286" s="1132" t="n"/>
      <c r="RTQ286" s="1132" t="n"/>
      <c r="RTR286" s="1132" t="n"/>
      <c r="RTS286" s="1132" t="n"/>
      <c r="RTT286" s="1132" t="n"/>
      <c r="RTU286" s="1132" t="n"/>
      <c r="RTV286" s="1132" t="n"/>
      <c r="RTW286" s="1132" t="n"/>
      <c r="RTX286" s="1132" t="n"/>
      <c r="RTY286" s="1132" t="n"/>
      <c r="RTZ286" s="1132" t="n"/>
      <c r="RUA286" s="1132" t="n"/>
      <c r="RUB286" s="1132" t="n"/>
      <c r="RUC286" s="1132" t="n"/>
      <c r="RUD286" s="1132" t="n"/>
      <c r="RUE286" s="1132" t="n"/>
      <c r="RUF286" s="1132" t="n"/>
      <c r="RUG286" s="1132" t="n"/>
      <c r="RUH286" s="1132" t="n"/>
      <c r="RUI286" s="1132" t="n"/>
      <c r="RUJ286" s="1132" t="n"/>
      <c r="RUK286" s="1132" t="n"/>
      <c r="RUL286" s="1132" t="n"/>
      <c r="RUM286" s="1132" t="n"/>
      <c r="RUN286" s="1132" t="n"/>
      <c r="RUO286" s="1132" t="n"/>
      <c r="RUP286" s="1132" t="n"/>
      <c r="RUQ286" s="1132" t="n"/>
      <c r="RUR286" s="1132" t="n"/>
      <c r="RUS286" s="1132" t="n"/>
      <c r="RUT286" s="1132" t="n"/>
      <c r="RUU286" s="1132" t="n"/>
      <c r="RUV286" s="1132" t="n"/>
      <c r="RUW286" s="1132" t="n"/>
      <c r="RUX286" s="1132" t="n"/>
      <c r="RUY286" s="1132" t="n"/>
      <c r="RUZ286" s="1132" t="n"/>
      <c r="RVA286" s="1132" t="n"/>
      <c r="RVB286" s="1132" t="n"/>
      <c r="RVC286" s="1132" t="n"/>
      <c r="RVD286" s="1132" t="n"/>
      <c r="RVE286" s="1132" t="n"/>
      <c r="RVF286" s="1132" t="n"/>
      <c r="RVG286" s="1132" t="n"/>
      <c r="RVH286" s="1132" t="n"/>
      <c r="RVI286" s="1132" t="n"/>
      <c r="RVJ286" s="1132" t="n"/>
      <c r="RVK286" s="1132" t="n"/>
      <c r="RVL286" s="1132" t="n"/>
      <c r="RVM286" s="1132" t="n"/>
      <c r="RVN286" s="1132" t="n"/>
      <c r="RVO286" s="1132" t="n"/>
      <c r="RVP286" s="1132" t="n"/>
      <c r="RVQ286" s="1132" t="n"/>
      <c r="RVR286" s="1132" t="n"/>
      <c r="RVS286" s="1132" t="n"/>
      <c r="RVT286" s="1132" t="n"/>
      <c r="RVU286" s="1132" t="n"/>
      <c r="RVV286" s="1132" t="n"/>
      <c r="RVW286" s="1132" t="n"/>
      <c r="RVX286" s="1132" t="n"/>
      <c r="RVY286" s="1132" t="n"/>
      <c r="RVZ286" s="1132" t="n"/>
      <c r="RWA286" s="1132" t="n"/>
      <c r="RWB286" s="1132" t="n"/>
      <c r="RWC286" s="1132" t="n"/>
      <c r="RWD286" s="1132" t="n"/>
      <c r="RWE286" s="1132" t="n"/>
      <c r="RWF286" s="1132" t="n"/>
      <c r="RWG286" s="1132" t="n"/>
      <c r="RWH286" s="1132" t="n"/>
      <c r="RWI286" s="1132" t="n"/>
      <c r="RWJ286" s="1132" t="n"/>
      <c r="RWK286" s="1132" t="n"/>
      <c r="RWL286" s="1132" t="n"/>
      <c r="RWM286" s="1132" t="n"/>
      <c r="RWN286" s="1132" t="n"/>
      <c r="RWO286" s="1132" t="n"/>
      <c r="RWP286" s="1132" t="n"/>
      <c r="RWQ286" s="1132" t="n"/>
      <c r="RWR286" s="1132" t="n"/>
      <c r="RWS286" s="1132" t="n"/>
      <c r="RWT286" s="1132" t="n"/>
      <c r="RWU286" s="1132" t="n"/>
      <c r="RWV286" s="1132" t="n"/>
      <c r="RWW286" s="1132" t="n"/>
      <c r="RWX286" s="1132" t="n"/>
      <c r="RWY286" s="1132" t="n"/>
      <c r="RWZ286" s="1132" t="n"/>
      <c r="RXA286" s="1132" t="n"/>
      <c r="RXB286" s="1132" t="n"/>
      <c r="RXC286" s="1132" t="n"/>
      <c r="RXD286" s="1132" t="n"/>
      <c r="RXE286" s="1132" t="n"/>
      <c r="RXF286" s="1132" t="n"/>
      <c r="RXG286" s="1132" t="n"/>
      <c r="RXH286" s="1132" t="n"/>
      <c r="RXI286" s="1132" t="n"/>
      <c r="RXJ286" s="1132" t="n"/>
      <c r="RXK286" s="1132" t="n"/>
      <c r="RXL286" s="1132" t="n"/>
      <c r="RXM286" s="1132" t="n"/>
      <c r="RXN286" s="1132" t="n"/>
      <c r="RXO286" s="1132" t="n"/>
      <c r="RXP286" s="1132" t="n"/>
      <c r="RXQ286" s="1132" t="n"/>
      <c r="RXR286" s="1132" t="n"/>
      <c r="RXS286" s="1132" t="n"/>
      <c r="RXT286" s="1132" t="n"/>
      <c r="RXU286" s="1132" t="n"/>
      <c r="RXV286" s="1132" t="n"/>
      <c r="RXW286" s="1132" t="n"/>
      <c r="RXX286" s="1132" t="n"/>
      <c r="RXY286" s="1132" t="n"/>
      <c r="RXZ286" s="1132" t="n"/>
      <c r="RYA286" s="1132" t="n"/>
      <c r="RYB286" s="1132" t="n"/>
      <c r="RYC286" s="1132" t="n"/>
      <c r="RYD286" s="1132" t="n"/>
      <c r="RYE286" s="1132" t="n"/>
      <c r="RYF286" s="1132" t="n"/>
      <c r="RYG286" s="1132" t="n"/>
      <c r="RYH286" s="1132" t="n"/>
      <c r="RYI286" s="1132" t="n"/>
      <c r="RYJ286" s="1132" t="n"/>
      <c r="RYK286" s="1132" t="n"/>
      <c r="RYL286" s="1132" t="n"/>
      <c r="RYM286" s="1132" t="n"/>
      <c r="RYN286" s="1132" t="n"/>
      <c r="RYO286" s="1132" t="n"/>
      <c r="RYP286" s="1132" t="n"/>
      <c r="RYQ286" s="1132" t="n"/>
      <c r="RYR286" s="1132" t="n"/>
      <c r="RYS286" s="1132" t="n"/>
      <c r="RYT286" s="1132" t="n"/>
      <c r="RYU286" s="1132" t="n"/>
      <c r="RYV286" s="1132" t="n"/>
      <c r="RYW286" s="1132" t="n"/>
      <c r="RYX286" s="1132" t="n"/>
      <c r="RYY286" s="1132" t="n"/>
      <c r="RYZ286" s="1132" t="n"/>
      <c r="RZA286" s="1132" t="n"/>
      <c r="RZB286" s="1132" t="n"/>
      <c r="RZC286" s="1132" t="n"/>
      <c r="RZD286" s="1132" t="n"/>
      <c r="RZE286" s="1132" t="n"/>
      <c r="RZF286" s="1132" t="n"/>
      <c r="RZG286" s="1132" t="n"/>
      <c r="RZH286" s="1132" t="n"/>
      <c r="RZI286" s="1132" t="n"/>
      <c r="RZJ286" s="1132" t="n"/>
      <c r="RZK286" s="1132" t="n"/>
      <c r="RZL286" s="1132" t="n"/>
      <c r="RZM286" s="1132" t="n"/>
      <c r="RZN286" s="1132" t="n"/>
      <c r="RZO286" s="1132" t="n"/>
      <c r="RZP286" s="1132" t="n"/>
      <c r="RZQ286" s="1132" t="n"/>
      <c r="RZR286" s="1132" t="n"/>
      <c r="RZS286" s="1132" t="n"/>
      <c r="RZT286" s="1132" t="n"/>
      <c r="RZU286" s="1132" t="n"/>
      <c r="RZV286" s="1132" t="n"/>
      <c r="RZW286" s="1132" t="n"/>
      <c r="RZX286" s="1132" t="n"/>
      <c r="RZY286" s="1132" t="n"/>
      <c r="RZZ286" s="1132" t="n"/>
      <c r="SAA286" s="1132" t="n"/>
      <c r="SAB286" s="1132" t="n"/>
      <c r="SAC286" s="1132" t="n"/>
      <c r="SAD286" s="1132" t="n"/>
      <c r="SAE286" s="1132" t="n"/>
      <c r="SAF286" s="1132" t="n"/>
      <c r="SAG286" s="1132" t="n"/>
      <c r="SAH286" s="1132" t="n"/>
      <c r="SAI286" s="1132" t="n"/>
      <c r="SAJ286" s="1132" t="n"/>
      <c r="SAK286" s="1132" t="n"/>
      <c r="SAL286" s="1132" t="n"/>
      <c r="SAM286" s="1132" t="n"/>
      <c r="SAN286" s="1132" t="n"/>
      <c r="SAO286" s="1132" t="n"/>
      <c r="SAP286" s="1132" t="n"/>
      <c r="SAQ286" s="1132" t="n"/>
      <c r="SAR286" s="1132" t="n"/>
      <c r="SAS286" s="1132" t="n"/>
      <c r="SAT286" s="1132" t="n"/>
      <c r="SAU286" s="1132" t="n"/>
      <c r="SAV286" s="1132" t="n"/>
      <c r="SAW286" s="1132" t="n"/>
      <c r="SAX286" s="1132" t="n"/>
      <c r="SAY286" s="1132" t="n"/>
      <c r="SAZ286" s="1132" t="n"/>
      <c r="SBA286" s="1132" t="n"/>
      <c r="SBB286" s="1132" t="n"/>
      <c r="SBC286" s="1132" t="n"/>
      <c r="SBD286" s="1132" t="n"/>
      <c r="SBE286" s="1132" t="n"/>
      <c r="SBF286" s="1132" t="n"/>
      <c r="SBG286" s="1132" t="n"/>
      <c r="SBH286" s="1132" t="n"/>
      <c r="SBI286" s="1132" t="n"/>
      <c r="SBJ286" s="1132" t="n"/>
      <c r="SBK286" s="1132" t="n"/>
      <c r="SBL286" s="1132" t="n"/>
      <c r="SBM286" s="1132" t="n"/>
      <c r="SBN286" s="1132" t="n"/>
      <c r="SBO286" s="1132" t="n"/>
      <c r="SBP286" s="1132" t="n"/>
      <c r="SBQ286" s="1132" t="n"/>
      <c r="SBR286" s="1132" t="n"/>
      <c r="SBS286" s="1132" t="n"/>
      <c r="SBT286" s="1132" t="n"/>
      <c r="SBU286" s="1132" t="n"/>
      <c r="SBV286" s="1132" t="n"/>
      <c r="SBW286" s="1132" t="n"/>
      <c r="SBX286" s="1132" t="n"/>
      <c r="SBY286" s="1132" t="n"/>
      <c r="SBZ286" s="1132" t="n"/>
      <c r="SCA286" s="1132" t="n"/>
      <c r="SCB286" s="1132" t="n"/>
      <c r="SCC286" s="1132" t="n"/>
      <c r="SCD286" s="1132" t="n"/>
      <c r="SCE286" s="1132" t="n"/>
      <c r="SCF286" s="1132" t="n"/>
      <c r="SCG286" s="1132" t="n"/>
      <c r="SCH286" s="1132" t="n"/>
      <c r="SCI286" s="1132" t="n"/>
      <c r="SCJ286" s="1132" t="n"/>
      <c r="SCK286" s="1132" t="n"/>
      <c r="SCL286" s="1132" t="n"/>
      <c r="SCM286" s="1132" t="n"/>
      <c r="SCN286" s="1132" t="n"/>
      <c r="SCO286" s="1132" t="n"/>
      <c r="SCP286" s="1132" t="n"/>
      <c r="SCQ286" s="1132" t="n"/>
      <c r="SCR286" s="1132" t="n"/>
      <c r="SCS286" s="1132" t="n"/>
      <c r="SCT286" s="1132" t="n"/>
      <c r="SCU286" s="1132" t="n"/>
      <c r="SCV286" s="1132" t="n"/>
      <c r="SCW286" s="1132" t="n"/>
      <c r="SCX286" s="1132" t="n"/>
      <c r="SCY286" s="1132" t="n"/>
      <c r="SCZ286" s="1132" t="n"/>
      <c r="SDA286" s="1132" t="n"/>
      <c r="SDB286" s="1132" t="n"/>
      <c r="SDC286" s="1132" t="n"/>
      <c r="SDD286" s="1132" t="n"/>
      <c r="SDE286" s="1132" t="n"/>
      <c r="SDF286" s="1132" t="n"/>
      <c r="SDG286" s="1132" t="n"/>
      <c r="SDH286" s="1132" t="n"/>
      <c r="SDI286" s="1132" t="n"/>
      <c r="SDJ286" s="1132" t="n"/>
      <c r="SDK286" s="1132" t="n"/>
      <c r="SDL286" s="1132" t="n"/>
      <c r="SDM286" s="1132" t="n"/>
      <c r="SDN286" s="1132" t="n"/>
      <c r="SDO286" s="1132" t="n"/>
      <c r="SDP286" s="1132" t="n"/>
      <c r="SDQ286" s="1132" t="n"/>
      <c r="SDR286" s="1132" t="n"/>
      <c r="SDS286" s="1132" t="n"/>
      <c r="SDT286" s="1132" t="n"/>
      <c r="SDU286" s="1132" t="n"/>
      <c r="SDV286" s="1132" t="n"/>
      <c r="SDW286" s="1132" t="n"/>
      <c r="SDX286" s="1132" t="n"/>
      <c r="SDY286" s="1132" t="n"/>
      <c r="SDZ286" s="1132" t="n"/>
      <c r="SEA286" s="1132" t="n"/>
      <c r="SEB286" s="1132" t="n"/>
      <c r="SEC286" s="1132" t="n"/>
      <c r="SED286" s="1132" t="n"/>
      <c r="SEE286" s="1132" t="n"/>
      <c r="SEF286" s="1132" t="n"/>
      <c r="SEG286" s="1132" t="n"/>
      <c r="SEH286" s="1132" t="n"/>
      <c r="SEI286" s="1132" t="n"/>
      <c r="SEJ286" s="1132" t="n"/>
      <c r="SEK286" s="1132" t="n"/>
      <c r="SEL286" s="1132" t="n"/>
      <c r="SEM286" s="1132" t="n"/>
      <c r="SEN286" s="1132" t="n"/>
      <c r="SEO286" s="1132" t="n"/>
      <c r="SEP286" s="1132" t="n"/>
      <c r="SEQ286" s="1132" t="n"/>
      <c r="SER286" s="1132" t="n"/>
      <c r="SES286" s="1132" t="n"/>
      <c r="SET286" s="1132" t="n"/>
      <c r="SEU286" s="1132" t="n"/>
      <c r="SEV286" s="1132" t="n"/>
      <c r="SEW286" s="1132" t="n"/>
      <c r="SEX286" s="1132" t="n"/>
      <c r="SEY286" s="1132" t="n"/>
      <c r="SEZ286" s="1132" t="n"/>
      <c r="SFA286" s="1132" t="n"/>
      <c r="SFB286" s="1132" t="n"/>
      <c r="SFC286" s="1132" t="n"/>
      <c r="SFD286" s="1132" t="n"/>
      <c r="SFE286" s="1132" t="n"/>
      <c r="SFF286" s="1132" t="n"/>
      <c r="SFG286" s="1132" t="n"/>
      <c r="SFH286" s="1132" t="n"/>
      <c r="SFI286" s="1132" t="n"/>
      <c r="SFJ286" s="1132" t="n"/>
      <c r="SFK286" s="1132" t="n"/>
      <c r="SFL286" s="1132" t="n"/>
      <c r="SFM286" s="1132" t="n"/>
      <c r="SFN286" s="1132" t="n"/>
      <c r="SFO286" s="1132" t="n"/>
      <c r="SFP286" s="1132" t="n"/>
      <c r="SFQ286" s="1132" t="n"/>
      <c r="SFR286" s="1132" t="n"/>
      <c r="SFS286" s="1132" t="n"/>
      <c r="SFT286" s="1132" t="n"/>
      <c r="SFU286" s="1132" t="n"/>
      <c r="SFV286" s="1132" t="n"/>
      <c r="SFW286" s="1132" t="n"/>
      <c r="SFX286" s="1132" t="n"/>
      <c r="SFY286" s="1132" t="n"/>
      <c r="SFZ286" s="1132" t="n"/>
      <c r="SGA286" s="1132" t="n"/>
      <c r="SGB286" s="1132" t="n"/>
      <c r="SGC286" s="1132" t="n"/>
      <c r="SGD286" s="1132" t="n"/>
      <c r="SGE286" s="1132" t="n"/>
      <c r="SGF286" s="1132" t="n"/>
      <c r="SGG286" s="1132" t="n"/>
      <c r="SGH286" s="1132" t="n"/>
      <c r="SGI286" s="1132" t="n"/>
      <c r="SGJ286" s="1132" t="n"/>
      <c r="SGK286" s="1132" t="n"/>
      <c r="SGL286" s="1132" t="n"/>
      <c r="SGM286" s="1132" t="n"/>
      <c r="SGN286" s="1132" t="n"/>
      <c r="SGO286" s="1132" t="n"/>
      <c r="SGP286" s="1132" t="n"/>
      <c r="SGQ286" s="1132" t="n"/>
      <c r="SGR286" s="1132" t="n"/>
      <c r="SGS286" s="1132" t="n"/>
      <c r="SGT286" s="1132" t="n"/>
      <c r="SGU286" s="1132" t="n"/>
      <c r="SGV286" s="1132" t="n"/>
      <c r="SGW286" s="1132" t="n"/>
      <c r="SGX286" s="1132" t="n"/>
      <c r="SGY286" s="1132" t="n"/>
      <c r="SGZ286" s="1132" t="n"/>
      <c r="SHA286" s="1132" t="n"/>
      <c r="SHB286" s="1132" t="n"/>
      <c r="SHC286" s="1132" t="n"/>
      <c r="SHD286" s="1132" t="n"/>
      <c r="SHE286" s="1132" t="n"/>
      <c r="SHF286" s="1132" t="n"/>
      <c r="SHG286" s="1132" t="n"/>
      <c r="SHH286" s="1132" t="n"/>
      <c r="SHI286" s="1132" t="n"/>
      <c r="SHJ286" s="1132" t="n"/>
      <c r="SHK286" s="1132" t="n"/>
      <c r="SHL286" s="1132" t="n"/>
      <c r="SHM286" s="1132" t="n"/>
      <c r="SHN286" s="1132" t="n"/>
      <c r="SHO286" s="1132" t="n"/>
      <c r="SHP286" s="1132" t="n"/>
      <c r="SHQ286" s="1132" t="n"/>
      <c r="SHR286" s="1132" t="n"/>
      <c r="SHS286" s="1132" t="n"/>
      <c r="SHT286" s="1132" t="n"/>
      <c r="SHU286" s="1132" t="n"/>
      <c r="SHV286" s="1132" t="n"/>
      <c r="SHW286" s="1132" t="n"/>
      <c r="SHX286" s="1132" t="n"/>
      <c r="SHY286" s="1132" t="n"/>
      <c r="SHZ286" s="1132" t="n"/>
      <c r="SIA286" s="1132" t="n"/>
      <c r="SIB286" s="1132" t="n"/>
      <c r="SIC286" s="1132" t="n"/>
      <c r="SID286" s="1132" t="n"/>
      <c r="SIE286" s="1132" t="n"/>
      <c r="SIF286" s="1132" t="n"/>
      <c r="SIG286" s="1132" t="n"/>
      <c r="SIH286" s="1132" t="n"/>
      <c r="SII286" s="1132" t="n"/>
      <c r="SIJ286" s="1132" t="n"/>
      <c r="SIK286" s="1132" t="n"/>
      <c r="SIL286" s="1132" t="n"/>
      <c r="SIM286" s="1132" t="n"/>
      <c r="SIN286" s="1132" t="n"/>
      <c r="SIO286" s="1132" t="n"/>
      <c r="SIP286" s="1132" t="n"/>
      <c r="SIQ286" s="1132" t="n"/>
      <c r="SIR286" s="1132" t="n"/>
      <c r="SIS286" s="1132" t="n"/>
      <c r="SIT286" s="1132" t="n"/>
      <c r="SIU286" s="1132" t="n"/>
      <c r="SIV286" s="1132" t="n"/>
      <c r="SIW286" s="1132" t="n"/>
      <c r="SIX286" s="1132" t="n"/>
      <c r="SIY286" s="1132" t="n"/>
      <c r="SIZ286" s="1132" t="n"/>
      <c r="SJA286" s="1132" t="n"/>
      <c r="SJB286" s="1132" t="n"/>
      <c r="SJC286" s="1132" t="n"/>
      <c r="SJD286" s="1132" t="n"/>
      <c r="SJE286" s="1132" t="n"/>
      <c r="SJF286" s="1132" t="n"/>
      <c r="SJG286" s="1132" t="n"/>
      <c r="SJH286" s="1132" t="n"/>
      <c r="SJI286" s="1132" t="n"/>
      <c r="SJJ286" s="1132" t="n"/>
      <c r="SJK286" s="1132" t="n"/>
      <c r="SJL286" s="1132" t="n"/>
      <c r="SJM286" s="1132" t="n"/>
      <c r="SJN286" s="1132" t="n"/>
      <c r="SJO286" s="1132" t="n"/>
      <c r="SJP286" s="1132" t="n"/>
      <c r="SJQ286" s="1132" t="n"/>
      <c r="SJR286" s="1132" t="n"/>
      <c r="SJS286" s="1132" t="n"/>
      <c r="SJT286" s="1132" t="n"/>
      <c r="SJU286" s="1132" t="n"/>
      <c r="SJV286" s="1132" t="n"/>
      <c r="SJW286" s="1132" t="n"/>
      <c r="SJX286" s="1132" t="n"/>
      <c r="SJY286" s="1132" t="n"/>
      <c r="SJZ286" s="1132" t="n"/>
      <c r="SKA286" s="1132" t="n"/>
      <c r="SKB286" s="1132" t="n"/>
      <c r="SKC286" s="1132" t="n"/>
      <c r="SKD286" s="1132" t="n"/>
      <c r="SKE286" s="1132" t="n"/>
      <c r="SKF286" s="1132" t="n"/>
      <c r="SKG286" s="1132" t="n"/>
      <c r="SKH286" s="1132" t="n"/>
      <c r="SKI286" s="1132" t="n"/>
      <c r="SKJ286" s="1132" t="n"/>
      <c r="SKK286" s="1132" t="n"/>
      <c r="SKL286" s="1132" t="n"/>
      <c r="SKM286" s="1132" t="n"/>
      <c r="SKN286" s="1132" t="n"/>
      <c r="SKO286" s="1132" t="n"/>
      <c r="SKP286" s="1132" t="n"/>
      <c r="SKQ286" s="1132" t="n"/>
      <c r="SKR286" s="1132" t="n"/>
      <c r="SKS286" s="1132" t="n"/>
      <c r="SKT286" s="1132" t="n"/>
      <c r="SKU286" s="1132" t="n"/>
      <c r="SKV286" s="1132" t="n"/>
      <c r="SKW286" s="1132" t="n"/>
      <c r="SKX286" s="1132" t="n"/>
      <c r="SKY286" s="1132" t="n"/>
      <c r="SKZ286" s="1132" t="n"/>
      <c r="SLA286" s="1132" t="n"/>
      <c r="SLB286" s="1132" t="n"/>
      <c r="SLC286" s="1132" t="n"/>
      <c r="SLD286" s="1132" t="n"/>
      <c r="SLE286" s="1132" t="n"/>
      <c r="SLF286" s="1132" t="n"/>
      <c r="SLG286" s="1132" t="n"/>
      <c r="SLH286" s="1132" t="n"/>
      <c r="SLI286" s="1132" t="n"/>
      <c r="SLJ286" s="1132" t="n"/>
      <c r="SLK286" s="1132" t="n"/>
      <c r="SLL286" s="1132" t="n"/>
      <c r="SLM286" s="1132" t="n"/>
      <c r="SLN286" s="1132" t="n"/>
      <c r="SLO286" s="1132" t="n"/>
      <c r="SLP286" s="1132" t="n"/>
      <c r="SLQ286" s="1132" t="n"/>
      <c r="SLR286" s="1132" t="n"/>
      <c r="SLS286" s="1132" t="n"/>
      <c r="SLT286" s="1132" t="n"/>
      <c r="SLU286" s="1132" t="n"/>
      <c r="SLV286" s="1132" t="n"/>
      <c r="SLW286" s="1132" t="n"/>
      <c r="SLX286" s="1132" t="n"/>
      <c r="SLY286" s="1132" t="n"/>
      <c r="SLZ286" s="1132" t="n"/>
      <c r="SMA286" s="1132" t="n"/>
      <c r="SMB286" s="1132" t="n"/>
      <c r="SMC286" s="1132" t="n"/>
      <c r="SMD286" s="1132" t="n"/>
      <c r="SME286" s="1132" t="n"/>
      <c r="SMF286" s="1132" t="n"/>
      <c r="SMG286" s="1132" t="n"/>
      <c r="SMH286" s="1132" t="n"/>
      <c r="SMI286" s="1132" t="n"/>
      <c r="SMJ286" s="1132" t="n"/>
      <c r="SMK286" s="1132" t="n"/>
      <c r="SML286" s="1132" t="n"/>
      <c r="SMM286" s="1132" t="n"/>
      <c r="SMN286" s="1132" t="n"/>
      <c r="SMO286" s="1132" t="n"/>
      <c r="SMP286" s="1132" t="n"/>
      <c r="SMQ286" s="1132" t="n"/>
      <c r="SMR286" s="1132" t="n"/>
      <c r="SMS286" s="1132" t="n"/>
      <c r="SMT286" s="1132" t="n"/>
      <c r="SMU286" s="1132" t="n"/>
      <c r="SMV286" s="1132" t="n"/>
      <c r="SMW286" s="1132" t="n"/>
      <c r="SMX286" s="1132" t="n"/>
      <c r="SMY286" s="1132" t="n"/>
      <c r="SMZ286" s="1132" t="n"/>
      <c r="SNA286" s="1132" t="n"/>
      <c r="SNB286" s="1132" t="n"/>
      <c r="SNC286" s="1132" t="n"/>
      <c r="SND286" s="1132" t="n"/>
      <c r="SNE286" s="1132" t="n"/>
      <c r="SNF286" s="1132" t="n"/>
      <c r="SNG286" s="1132" t="n"/>
      <c r="SNH286" s="1132" t="n"/>
      <c r="SNI286" s="1132" t="n"/>
      <c r="SNJ286" s="1132" t="n"/>
      <c r="SNK286" s="1132" t="n"/>
      <c r="SNL286" s="1132" t="n"/>
      <c r="SNM286" s="1132" t="n"/>
      <c r="SNN286" s="1132" t="n"/>
      <c r="SNO286" s="1132" t="n"/>
      <c r="SNP286" s="1132" t="n"/>
      <c r="SNQ286" s="1132" t="n"/>
      <c r="SNR286" s="1132" t="n"/>
      <c r="SNS286" s="1132" t="n"/>
      <c r="SNT286" s="1132" t="n"/>
      <c r="SNU286" s="1132" t="n"/>
      <c r="SNV286" s="1132" t="n"/>
      <c r="SNW286" s="1132" t="n"/>
      <c r="SNX286" s="1132" t="n"/>
      <c r="SNY286" s="1132" t="n"/>
      <c r="SNZ286" s="1132" t="n"/>
      <c r="SOA286" s="1132" t="n"/>
      <c r="SOB286" s="1132" t="n"/>
      <c r="SOC286" s="1132" t="n"/>
      <c r="SOD286" s="1132" t="n"/>
      <c r="SOE286" s="1132" t="n"/>
      <c r="SOF286" s="1132" t="n"/>
      <c r="SOG286" s="1132" t="n"/>
      <c r="SOH286" s="1132" t="n"/>
      <c r="SOI286" s="1132" t="n"/>
      <c r="SOJ286" s="1132" t="n"/>
      <c r="SOK286" s="1132" t="n"/>
      <c r="SOL286" s="1132" t="n"/>
      <c r="SOM286" s="1132" t="n"/>
      <c r="SON286" s="1132" t="n"/>
      <c r="SOO286" s="1132" t="n"/>
      <c r="SOP286" s="1132" t="n"/>
      <c r="SOQ286" s="1132" t="n"/>
      <c r="SOR286" s="1132" t="n"/>
      <c r="SOS286" s="1132" t="n"/>
      <c r="SOT286" s="1132" t="n"/>
      <c r="SOU286" s="1132" t="n"/>
      <c r="SOV286" s="1132" t="n"/>
      <c r="SOW286" s="1132" t="n"/>
      <c r="SOX286" s="1132" t="n"/>
      <c r="SOY286" s="1132" t="n"/>
      <c r="SOZ286" s="1132" t="n"/>
      <c r="SPA286" s="1132" t="n"/>
      <c r="SPB286" s="1132" t="n"/>
      <c r="SPC286" s="1132" t="n"/>
      <c r="SPD286" s="1132" t="n"/>
      <c r="SPE286" s="1132" t="n"/>
      <c r="SPF286" s="1132" t="n"/>
      <c r="SPG286" s="1132" t="n"/>
      <c r="SPH286" s="1132" t="n"/>
      <c r="SPI286" s="1132" t="n"/>
      <c r="SPJ286" s="1132" t="n"/>
      <c r="SPK286" s="1132" t="n"/>
      <c r="SPL286" s="1132" t="n"/>
      <c r="SPM286" s="1132" t="n"/>
      <c r="SPN286" s="1132" t="n"/>
      <c r="SPO286" s="1132" t="n"/>
      <c r="SPP286" s="1132" t="n"/>
      <c r="SPQ286" s="1132" t="n"/>
      <c r="SPR286" s="1132" t="n"/>
      <c r="SPS286" s="1132" t="n"/>
      <c r="SPT286" s="1132" t="n"/>
      <c r="SPU286" s="1132" t="n"/>
      <c r="SPV286" s="1132" t="n"/>
      <c r="SPW286" s="1132" t="n"/>
      <c r="SPX286" s="1132" t="n"/>
      <c r="SPY286" s="1132" t="n"/>
      <c r="SPZ286" s="1132" t="n"/>
      <c r="SQA286" s="1132" t="n"/>
      <c r="SQB286" s="1132" t="n"/>
      <c r="SQC286" s="1132" t="n"/>
      <c r="SQD286" s="1132" t="n"/>
      <c r="SQE286" s="1132" t="n"/>
      <c r="SQF286" s="1132" t="n"/>
      <c r="SQG286" s="1132" t="n"/>
      <c r="SQH286" s="1132" t="n"/>
      <c r="SQI286" s="1132" t="n"/>
      <c r="SQJ286" s="1132" t="n"/>
      <c r="SQK286" s="1132" t="n"/>
      <c r="SQL286" s="1132" t="n"/>
      <c r="SQM286" s="1132" t="n"/>
      <c r="SQN286" s="1132" t="n"/>
      <c r="SQO286" s="1132" t="n"/>
      <c r="SQP286" s="1132" t="n"/>
      <c r="SQQ286" s="1132" t="n"/>
      <c r="SQR286" s="1132" t="n"/>
      <c r="SQS286" s="1132" t="n"/>
      <c r="SQT286" s="1132" t="n"/>
      <c r="SQU286" s="1132" t="n"/>
      <c r="SQV286" s="1132" t="n"/>
      <c r="SQW286" s="1132" t="n"/>
      <c r="SQX286" s="1132" t="n"/>
      <c r="SQY286" s="1132" t="n"/>
      <c r="SQZ286" s="1132" t="n"/>
      <c r="SRA286" s="1132" t="n"/>
      <c r="SRB286" s="1132" t="n"/>
      <c r="SRC286" s="1132" t="n"/>
      <c r="SRD286" s="1132" t="n"/>
      <c r="SRE286" s="1132" t="n"/>
      <c r="SRF286" s="1132" t="n"/>
      <c r="SRG286" s="1132" t="n"/>
      <c r="SRH286" s="1132" t="n"/>
      <c r="SRI286" s="1132" t="n"/>
      <c r="SRJ286" s="1132" t="n"/>
      <c r="SRK286" s="1132" t="n"/>
      <c r="SRL286" s="1132" t="n"/>
      <c r="SRM286" s="1132" t="n"/>
      <c r="SRN286" s="1132" t="n"/>
      <c r="SRO286" s="1132" t="n"/>
      <c r="SRP286" s="1132" t="n"/>
      <c r="SRQ286" s="1132" t="n"/>
      <c r="SRR286" s="1132" t="n"/>
      <c r="SRS286" s="1132" t="n"/>
      <c r="SRT286" s="1132" t="n"/>
      <c r="SRU286" s="1132" t="n"/>
      <c r="SRV286" s="1132" t="n"/>
      <c r="SRW286" s="1132" t="n"/>
      <c r="SRX286" s="1132" t="n"/>
      <c r="SRY286" s="1132" t="n"/>
      <c r="SRZ286" s="1132" t="n"/>
      <c r="SSA286" s="1132" t="n"/>
      <c r="SSB286" s="1132" t="n"/>
      <c r="SSC286" s="1132" t="n"/>
      <c r="SSD286" s="1132" t="n"/>
      <c r="SSE286" s="1132" t="n"/>
      <c r="SSF286" s="1132" t="n"/>
      <c r="SSG286" s="1132" t="n"/>
      <c r="SSH286" s="1132" t="n"/>
      <c r="SSI286" s="1132" t="n"/>
      <c r="SSJ286" s="1132" t="n"/>
      <c r="SSK286" s="1132" t="n"/>
      <c r="SSL286" s="1132" t="n"/>
      <c r="SSM286" s="1132" t="n"/>
      <c r="SSN286" s="1132" t="n"/>
      <c r="SSO286" s="1132" t="n"/>
      <c r="SSP286" s="1132" t="n"/>
      <c r="SSQ286" s="1132" t="n"/>
      <c r="SSR286" s="1132" t="n"/>
      <c r="SSS286" s="1132" t="n"/>
      <c r="SST286" s="1132" t="n"/>
      <c r="SSU286" s="1132" t="n"/>
      <c r="SSV286" s="1132" t="n"/>
      <c r="SSW286" s="1132" t="n"/>
      <c r="SSX286" s="1132" t="n"/>
      <c r="SSY286" s="1132" t="n"/>
      <c r="SSZ286" s="1132" t="n"/>
      <c r="STA286" s="1132" t="n"/>
      <c r="STB286" s="1132" t="n"/>
      <c r="STC286" s="1132" t="n"/>
      <c r="STD286" s="1132" t="n"/>
      <c r="STE286" s="1132" t="n"/>
      <c r="STF286" s="1132" t="n"/>
      <c r="STG286" s="1132" t="n"/>
      <c r="STH286" s="1132" t="n"/>
      <c r="STI286" s="1132" t="n"/>
      <c r="STJ286" s="1132" t="n"/>
      <c r="STK286" s="1132" t="n"/>
      <c r="STL286" s="1132" t="n"/>
      <c r="STM286" s="1132" t="n"/>
      <c r="STN286" s="1132" t="n"/>
      <c r="STO286" s="1132" t="n"/>
      <c r="STP286" s="1132" t="n"/>
      <c r="STQ286" s="1132" t="n"/>
      <c r="STR286" s="1132" t="n"/>
      <c r="STS286" s="1132" t="n"/>
      <c r="STT286" s="1132" t="n"/>
      <c r="STU286" s="1132" t="n"/>
      <c r="STV286" s="1132" t="n"/>
      <c r="STW286" s="1132" t="n"/>
      <c r="STX286" s="1132" t="n"/>
      <c r="STY286" s="1132" t="n"/>
      <c r="STZ286" s="1132" t="n"/>
      <c r="SUA286" s="1132" t="n"/>
      <c r="SUB286" s="1132" t="n"/>
      <c r="SUC286" s="1132" t="n"/>
      <c r="SUD286" s="1132" t="n"/>
      <c r="SUE286" s="1132" t="n"/>
      <c r="SUF286" s="1132" t="n"/>
      <c r="SUG286" s="1132" t="n"/>
      <c r="SUH286" s="1132" t="n"/>
      <c r="SUI286" s="1132" t="n"/>
      <c r="SUJ286" s="1132" t="n"/>
      <c r="SUK286" s="1132" t="n"/>
      <c r="SUL286" s="1132" t="n"/>
      <c r="SUM286" s="1132" t="n"/>
      <c r="SUN286" s="1132" t="n"/>
      <c r="SUO286" s="1132" t="n"/>
      <c r="SUP286" s="1132" t="n"/>
      <c r="SUQ286" s="1132" t="n"/>
      <c r="SUR286" s="1132" t="n"/>
      <c r="SUS286" s="1132" t="n"/>
      <c r="SUT286" s="1132" t="n"/>
      <c r="SUU286" s="1132" t="n"/>
      <c r="SUV286" s="1132" t="n"/>
      <c r="SUW286" s="1132" t="n"/>
      <c r="SUX286" s="1132" t="n"/>
      <c r="SUY286" s="1132" t="n"/>
      <c r="SUZ286" s="1132" t="n"/>
      <c r="SVA286" s="1132" t="n"/>
      <c r="SVB286" s="1132" t="n"/>
      <c r="SVC286" s="1132" t="n"/>
      <c r="SVD286" s="1132" t="n"/>
      <c r="SVE286" s="1132" t="n"/>
      <c r="SVF286" s="1132" t="n"/>
      <c r="SVG286" s="1132" t="n"/>
      <c r="SVH286" s="1132" t="n"/>
      <c r="SVI286" s="1132" t="n"/>
      <c r="SVJ286" s="1132" t="n"/>
      <c r="SVK286" s="1132" t="n"/>
      <c r="SVL286" s="1132" t="n"/>
      <c r="SVM286" s="1132" t="n"/>
      <c r="SVN286" s="1132" t="n"/>
      <c r="SVO286" s="1132" t="n"/>
      <c r="SVP286" s="1132" t="n"/>
      <c r="SVQ286" s="1132" t="n"/>
      <c r="SVR286" s="1132" t="n"/>
      <c r="SVS286" s="1132" t="n"/>
      <c r="SVT286" s="1132" t="n"/>
      <c r="SVU286" s="1132" t="n"/>
      <c r="SVV286" s="1132" t="n"/>
      <c r="SVW286" s="1132" t="n"/>
      <c r="SVX286" s="1132" t="n"/>
      <c r="SVY286" s="1132" t="n"/>
      <c r="SVZ286" s="1132" t="n"/>
      <c r="SWA286" s="1132" t="n"/>
      <c r="SWB286" s="1132" t="n"/>
      <c r="SWC286" s="1132" t="n"/>
      <c r="SWD286" s="1132" t="n"/>
      <c r="SWE286" s="1132" t="n"/>
      <c r="SWF286" s="1132" t="n"/>
      <c r="SWG286" s="1132" t="n"/>
      <c r="SWH286" s="1132" t="n"/>
      <c r="SWI286" s="1132" t="n"/>
      <c r="SWJ286" s="1132" t="n"/>
      <c r="SWK286" s="1132" t="n"/>
      <c r="SWL286" s="1132" t="n"/>
      <c r="SWM286" s="1132" t="n"/>
      <c r="SWN286" s="1132" t="n"/>
      <c r="SWO286" s="1132" t="n"/>
      <c r="SWP286" s="1132" t="n"/>
      <c r="SWQ286" s="1132" t="n"/>
      <c r="SWR286" s="1132" t="n"/>
      <c r="SWS286" s="1132" t="n"/>
      <c r="SWT286" s="1132" t="n"/>
      <c r="SWU286" s="1132" t="n"/>
      <c r="SWV286" s="1132" t="n"/>
      <c r="SWW286" s="1132" t="n"/>
      <c r="SWX286" s="1132" t="n"/>
      <c r="SWY286" s="1132" t="n"/>
      <c r="SWZ286" s="1132" t="n"/>
      <c r="SXA286" s="1132" t="n"/>
      <c r="SXB286" s="1132" t="n"/>
      <c r="SXC286" s="1132" t="n"/>
      <c r="SXD286" s="1132" t="n"/>
      <c r="SXE286" s="1132" t="n"/>
      <c r="SXF286" s="1132" t="n"/>
      <c r="SXG286" s="1132" t="n"/>
      <c r="SXH286" s="1132" t="n"/>
      <c r="SXI286" s="1132" t="n"/>
      <c r="SXJ286" s="1132" t="n"/>
      <c r="SXK286" s="1132" t="n"/>
      <c r="SXL286" s="1132" t="n"/>
      <c r="SXM286" s="1132" t="n"/>
      <c r="SXN286" s="1132" t="n"/>
      <c r="SXO286" s="1132" t="n"/>
      <c r="SXP286" s="1132" t="n"/>
      <c r="SXQ286" s="1132" t="n"/>
      <c r="SXR286" s="1132" t="n"/>
      <c r="SXS286" s="1132" t="n"/>
      <c r="SXT286" s="1132" t="n"/>
      <c r="SXU286" s="1132" t="n"/>
      <c r="SXV286" s="1132" t="n"/>
      <c r="SXW286" s="1132" t="n"/>
      <c r="SXX286" s="1132" t="n"/>
      <c r="SXY286" s="1132" t="n"/>
      <c r="SXZ286" s="1132" t="n"/>
      <c r="SYA286" s="1132" t="n"/>
      <c r="SYB286" s="1132" t="n"/>
      <c r="SYC286" s="1132" t="n"/>
      <c r="SYD286" s="1132" t="n"/>
      <c r="SYE286" s="1132" t="n"/>
      <c r="SYF286" s="1132" t="n"/>
      <c r="SYG286" s="1132" t="n"/>
      <c r="SYH286" s="1132" t="n"/>
      <c r="SYI286" s="1132" t="n"/>
      <c r="SYJ286" s="1132" t="n"/>
      <c r="SYK286" s="1132" t="n"/>
      <c r="SYL286" s="1132" t="n"/>
      <c r="SYM286" s="1132" t="n"/>
      <c r="SYN286" s="1132" t="n"/>
      <c r="SYO286" s="1132" t="n"/>
      <c r="SYP286" s="1132" t="n"/>
      <c r="SYQ286" s="1132" t="n"/>
      <c r="SYR286" s="1132" t="n"/>
      <c r="SYS286" s="1132" t="n"/>
      <c r="SYT286" s="1132" t="n"/>
      <c r="SYU286" s="1132" t="n"/>
      <c r="SYV286" s="1132" t="n"/>
      <c r="SYW286" s="1132" t="n"/>
      <c r="SYX286" s="1132" t="n"/>
      <c r="SYY286" s="1132" t="n"/>
      <c r="SYZ286" s="1132" t="n"/>
      <c r="SZA286" s="1132" t="n"/>
      <c r="SZB286" s="1132" t="n"/>
      <c r="SZC286" s="1132" t="n"/>
      <c r="SZD286" s="1132" t="n"/>
      <c r="SZE286" s="1132" t="n"/>
      <c r="SZF286" s="1132" t="n"/>
      <c r="SZG286" s="1132" t="n"/>
      <c r="SZH286" s="1132" t="n"/>
      <c r="SZI286" s="1132" t="n"/>
      <c r="SZJ286" s="1132" t="n"/>
      <c r="SZK286" s="1132" t="n"/>
      <c r="SZL286" s="1132" t="n"/>
      <c r="SZM286" s="1132" t="n"/>
      <c r="SZN286" s="1132" t="n"/>
      <c r="SZO286" s="1132" t="n"/>
      <c r="SZP286" s="1132" t="n"/>
      <c r="SZQ286" s="1132" t="n"/>
      <c r="SZR286" s="1132" t="n"/>
      <c r="SZS286" s="1132" t="n"/>
      <c r="SZT286" s="1132" t="n"/>
      <c r="SZU286" s="1132" t="n"/>
      <c r="SZV286" s="1132" t="n"/>
      <c r="SZW286" s="1132" t="n"/>
      <c r="SZX286" s="1132" t="n"/>
      <c r="SZY286" s="1132" t="n"/>
      <c r="SZZ286" s="1132" t="n"/>
      <c r="TAA286" s="1132" t="n"/>
      <c r="TAB286" s="1132" t="n"/>
      <c r="TAC286" s="1132" t="n"/>
      <c r="TAD286" s="1132" t="n"/>
      <c r="TAE286" s="1132" t="n"/>
      <c r="TAF286" s="1132" t="n"/>
      <c r="TAG286" s="1132" t="n"/>
      <c r="TAH286" s="1132" t="n"/>
      <c r="TAI286" s="1132" t="n"/>
      <c r="TAJ286" s="1132" t="n"/>
      <c r="TAK286" s="1132" t="n"/>
      <c r="TAL286" s="1132" t="n"/>
      <c r="TAM286" s="1132" t="n"/>
      <c r="TAN286" s="1132" t="n"/>
      <c r="TAO286" s="1132" t="n"/>
      <c r="TAP286" s="1132" t="n"/>
      <c r="TAQ286" s="1132" t="n"/>
      <c r="TAR286" s="1132" t="n"/>
      <c r="TAS286" s="1132" t="n"/>
      <c r="TAT286" s="1132" t="n"/>
      <c r="TAU286" s="1132" t="n"/>
      <c r="TAV286" s="1132" t="n"/>
      <c r="TAW286" s="1132" t="n"/>
      <c r="TAX286" s="1132" t="n"/>
      <c r="TAY286" s="1132" t="n"/>
      <c r="TAZ286" s="1132" t="n"/>
      <c r="TBA286" s="1132" t="n"/>
      <c r="TBB286" s="1132" t="n"/>
      <c r="TBC286" s="1132" t="n"/>
      <c r="TBD286" s="1132" t="n"/>
      <c r="TBE286" s="1132" t="n"/>
      <c r="TBF286" s="1132" t="n"/>
      <c r="TBG286" s="1132" t="n"/>
      <c r="TBH286" s="1132" t="n"/>
      <c r="TBI286" s="1132" t="n"/>
      <c r="TBJ286" s="1132" t="n"/>
      <c r="TBK286" s="1132" t="n"/>
      <c r="TBL286" s="1132" t="n"/>
      <c r="TBM286" s="1132" t="n"/>
      <c r="TBN286" s="1132" t="n"/>
      <c r="TBO286" s="1132" t="n"/>
      <c r="TBP286" s="1132" t="n"/>
      <c r="TBQ286" s="1132" t="n"/>
      <c r="TBR286" s="1132" t="n"/>
      <c r="TBS286" s="1132" t="n"/>
      <c r="TBT286" s="1132" t="n"/>
      <c r="TBU286" s="1132" t="n"/>
      <c r="TBV286" s="1132" t="n"/>
      <c r="TBW286" s="1132" t="n"/>
      <c r="TBX286" s="1132" t="n"/>
      <c r="TBY286" s="1132" t="n"/>
      <c r="TBZ286" s="1132" t="n"/>
      <c r="TCA286" s="1132" t="n"/>
      <c r="TCB286" s="1132" t="n"/>
      <c r="TCC286" s="1132" t="n"/>
      <c r="TCD286" s="1132" t="n"/>
      <c r="TCE286" s="1132" t="n"/>
      <c r="TCF286" s="1132" t="n"/>
      <c r="TCG286" s="1132" t="n"/>
      <c r="TCH286" s="1132" t="n"/>
      <c r="TCI286" s="1132" t="n"/>
      <c r="TCJ286" s="1132" t="n"/>
      <c r="TCK286" s="1132" t="n"/>
      <c r="TCL286" s="1132" t="n"/>
      <c r="TCM286" s="1132" t="n"/>
      <c r="TCN286" s="1132" t="n"/>
      <c r="TCO286" s="1132" t="n"/>
      <c r="TCP286" s="1132" t="n"/>
      <c r="TCQ286" s="1132" t="n"/>
      <c r="TCR286" s="1132" t="n"/>
      <c r="TCS286" s="1132" t="n"/>
      <c r="TCT286" s="1132" t="n"/>
      <c r="TCU286" s="1132" t="n"/>
      <c r="TCV286" s="1132" t="n"/>
      <c r="TCW286" s="1132" t="n"/>
      <c r="TCX286" s="1132" t="n"/>
      <c r="TCY286" s="1132" t="n"/>
      <c r="TCZ286" s="1132" t="n"/>
      <c r="TDA286" s="1132" t="n"/>
      <c r="TDB286" s="1132" t="n"/>
      <c r="TDC286" s="1132" t="n"/>
      <c r="TDD286" s="1132" t="n"/>
      <c r="TDE286" s="1132" t="n"/>
      <c r="TDF286" s="1132" t="n"/>
      <c r="TDG286" s="1132" t="n"/>
      <c r="TDH286" s="1132" t="n"/>
      <c r="TDI286" s="1132" t="n"/>
      <c r="TDJ286" s="1132" t="n"/>
      <c r="TDK286" s="1132" t="n"/>
      <c r="TDL286" s="1132" t="n"/>
      <c r="TDM286" s="1132" t="n"/>
      <c r="TDN286" s="1132" t="n"/>
      <c r="TDO286" s="1132" t="n"/>
      <c r="TDP286" s="1132" t="n"/>
      <c r="TDQ286" s="1132" t="n"/>
      <c r="TDR286" s="1132" t="n"/>
      <c r="TDS286" s="1132" t="n"/>
      <c r="TDT286" s="1132" t="n"/>
      <c r="TDU286" s="1132" t="n"/>
      <c r="TDV286" s="1132" t="n"/>
      <c r="TDW286" s="1132" t="n"/>
      <c r="TDX286" s="1132" t="n"/>
      <c r="TDY286" s="1132" t="n"/>
      <c r="TDZ286" s="1132" t="n"/>
      <c r="TEA286" s="1132" t="n"/>
      <c r="TEB286" s="1132" t="n"/>
      <c r="TEC286" s="1132" t="n"/>
      <c r="TED286" s="1132" t="n"/>
      <c r="TEE286" s="1132" t="n"/>
      <c r="TEF286" s="1132" t="n"/>
      <c r="TEG286" s="1132" t="n"/>
      <c r="TEH286" s="1132" t="n"/>
      <c r="TEI286" s="1132" t="n"/>
      <c r="TEJ286" s="1132" t="n"/>
      <c r="TEK286" s="1132" t="n"/>
      <c r="TEL286" s="1132" t="n"/>
      <c r="TEM286" s="1132" t="n"/>
      <c r="TEN286" s="1132" t="n"/>
      <c r="TEO286" s="1132" t="n"/>
      <c r="TEP286" s="1132" t="n"/>
      <c r="TEQ286" s="1132" t="n"/>
      <c r="TER286" s="1132" t="n"/>
      <c r="TES286" s="1132" t="n"/>
      <c r="TET286" s="1132" t="n"/>
      <c r="TEU286" s="1132" t="n"/>
      <c r="TEV286" s="1132" t="n"/>
      <c r="TEW286" s="1132" t="n"/>
      <c r="TEX286" s="1132" t="n"/>
      <c r="TEY286" s="1132" t="n"/>
      <c r="TEZ286" s="1132" t="n"/>
      <c r="TFA286" s="1132" t="n"/>
      <c r="TFB286" s="1132" t="n"/>
      <c r="TFC286" s="1132" t="n"/>
      <c r="TFD286" s="1132" t="n"/>
      <c r="TFE286" s="1132" t="n"/>
      <c r="TFF286" s="1132" t="n"/>
      <c r="TFG286" s="1132" t="n"/>
      <c r="TFH286" s="1132" t="n"/>
      <c r="TFI286" s="1132" t="n"/>
      <c r="TFJ286" s="1132" t="n"/>
      <c r="TFK286" s="1132" t="n"/>
      <c r="TFL286" s="1132" t="n"/>
      <c r="TFM286" s="1132" t="n"/>
      <c r="TFN286" s="1132" t="n"/>
      <c r="TFO286" s="1132" t="n"/>
      <c r="TFP286" s="1132" t="n"/>
      <c r="TFQ286" s="1132" t="n"/>
      <c r="TFR286" s="1132" t="n"/>
      <c r="TFS286" s="1132" t="n"/>
      <c r="TFT286" s="1132" t="n"/>
      <c r="TFU286" s="1132" t="n"/>
      <c r="TFV286" s="1132" t="n"/>
      <c r="TFW286" s="1132" t="n"/>
      <c r="TFX286" s="1132" t="n"/>
      <c r="TFY286" s="1132" t="n"/>
      <c r="TFZ286" s="1132" t="n"/>
      <c r="TGA286" s="1132" t="n"/>
      <c r="TGB286" s="1132" t="n"/>
      <c r="TGC286" s="1132" t="n"/>
      <c r="TGD286" s="1132" t="n"/>
      <c r="TGE286" s="1132" t="n"/>
      <c r="TGF286" s="1132" t="n"/>
      <c r="TGG286" s="1132" t="n"/>
      <c r="TGH286" s="1132" t="n"/>
      <c r="TGI286" s="1132" t="n"/>
      <c r="TGJ286" s="1132" t="n"/>
      <c r="TGK286" s="1132" t="n"/>
      <c r="TGL286" s="1132" t="n"/>
      <c r="TGM286" s="1132" t="n"/>
      <c r="TGN286" s="1132" t="n"/>
      <c r="TGO286" s="1132" t="n"/>
      <c r="TGP286" s="1132" t="n"/>
      <c r="TGQ286" s="1132" t="n"/>
      <c r="TGR286" s="1132" t="n"/>
      <c r="TGS286" s="1132" t="n"/>
      <c r="TGT286" s="1132" t="n"/>
      <c r="TGU286" s="1132" t="n"/>
      <c r="TGV286" s="1132" t="n"/>
      <c r="TGW286" s="1132" t="n"/>
      <c r="TGX286" s="1132" t="n"/>
      <c r="TGY286" s="1132" t="n"/>
      <c r="TGZ286" s="1132" t="n"/>
      <c r="THA286" s="1132" t="n"/>
      <c r="THB286" s="1132" t="n"/>
      <c r="THC286" s="1132" t="n"/>
      <c r="THD286" s="1132" t="n"/>
      <c r="THE286" s="1132" t="n"/>
      <c r="THF286" s="1132" t="n"/>
      <c r="THG286" s="1132" t="n"/>
      <c r="THH286" s="1132" t="n"/>
      <c r="THI286" s="1132" t="n"/>
      <c r="THJ286" s="1132" t="n"/>
      <c r="THK286" s="1132" t="n"/>
      <c r="THL286" s="1132" t="n"/>
      <c r="THM286" s="1132" t="n"/>
      <c r="THN286" s="1132" t="n"/>
      <c r="THO286" s="1132" t="n"/>
      <c r="THP286" s="1132" t="n"/>
      <c r="THQ286" s="1132" t="n"/>
      <c r="THR286" s="1132" t="n"/>
      <c r="THS286" s="1132" t="n"/>
      <c r="THT286" s="1132" t="n"/>
      <c r="THU286" s="1132" t="n"/>
      <c r="THV286" s="1132" t="n"/>
      <c r="THW286" s="1132" t="n"/>
      <c r="THX286" s="1132" t="n"/>
      <c r="THY286" s="1132" t="n"/>
      <c r="THZ286" s="1132" t="n"/>
      <c r="TIA286" s="1132" t="n"/>
      <c r="TIB286" s="1132" t="n"/>
      <c r="TIC286" s="1132" t="n"/>
      <c r="TID286" s="1132" t="n"/>
      <c r="TIE286" s="1132" t="n"/>
      <c r="TIF286" s="1132" t="n"/>
      <c r="TIG286" s="1132" t="n"/>
      <c r="TIH286" s="1132" t="n"/>
      <c r="TII286" s="1132" t="n"/>
      <c r="TIJ286" s="1132" t="n"/>
      <c r="TIK286" s="1132" t="n"/>
      <c r="TIL286" s="1132" t="n"/>
      <c r="TIM286" s="1132" t="n"/>
      <c r="TIN286" s="1132" t="n"/>
      <c r="TIO286" s="1132" t="n"/>
      <c r="TIP286" s="1132" t="n"/>
      <c r="TIQ286" s="1132" t="n"/>
      <c r="TIR286" s="1132" t="n"/>
      <c r="TIS286" s="1132" t="n"/>
      <c r="TIT286" s="1132" t="n"/>
      <c r="TIU286" s="1132" t="n"/>
      <c r="TIV286" s="1132" t="n"/>
      <c r="TIW286" s="1132" t="n"/>
      <c r="TIX286" s="1132" t="n"/>
      <c r="TIY286" s="1132" t="n"/>
      <c r="TIZ286" s="1132" t="n"/>
      <c r="TJA286" s="1132" t="n"/>
      <c r="TJB286" s="1132" t="n"/>
      <c r="TJC286" s="1132" t="n"/>
      <c r="TJD286" s="1132" t="n"/>
      <c r="TJE286" s="1132" t="n"/>
      <c r="TJF286" s="1132" t="n"/>
      <c r="TJG286" s="1132" t="n"/>
      <c r="TJH286" s="1132" t="n"/>
      <c r="TJI286" s="1132" t="n"/>
      <c r="TJJ286" s="1132" t="n"/>
      <c r="TJK286" s="1132" t="n"/>
      <c r="TJL286" s="1132" t="n"/>
      <c r="TJM286" s="1132" t="n"/>
      <c r="TJN286" s="1132" t="n"/>
      <c r="TJO286" s="1132" t="n"/>
      <c r="TJP286" s="1132" t="n"/>
      <c r="TJQ286" s="1132" t="n"/>
      <c r="TJR286" s="1132" t="n"/>
      <c r="TJS286" s="1132" t="n"/>
      <c r="TJT286" s="1132" t="n"/>
      <c r="TJU286" s="1132" t="n"/>
      <c r="TJV286" s="1132" t="n"/>
      <c r="TJW286" s="1132" t="n"/>
      <c r="TJX286" s="1132" t="n"/>
      <c r="TJY286" s="1132" t="n"/>
      <c r="TJZ286" s="1132" t="n"/>
      <c r="TKA286" s="1132" t="n"/>
      <c r="TKB286" s="1132" t="n"/>
      <c r="TKC286" s="1132" t="n"/>
      <c r="TKD286" s="1132" t="n"/>
      <c r="TKE286" s="1132" t="n"/>
      <c r="TKF286" s="1132" t="n"/>
      <c r="TKG286" s="1132" t="n"/>
      <c r="TKH286" s="1132" t="n"/>
      <c r="TKI286" s="1132" t="n"/>
      <c r="TKJ286" s="1132" t="n"/>
      <c r="TKK286" s="1132" t="n"/>
      <c r="TKL286" s="1132" t="n"/>
      <c r="TKM286" s="1132" t="n"/>
      <c r="TKN286" s="1132" t="n"/>
      <c r="TKO286" s="1132" t="n"/>
      <c r="TKP286" s="1132" t="n"/>
      <c r="TKQ286" s="1132" t="n"/>
      <c r="TKR286" s="1132" t="n"/>
      <c r="TKS286" s="1132" t="n"/>
      <c r="TKT286" s="1132" t="n"/>
      <c r="TKU286" s="1132" t="n"/>
      <c r="TKV286" s="1132" t="n"/>
      <c r="TKW286" s="1132" t="n"/>
      <c r="TKX286" s="1132" t="n"/>
      <c r="TKY286" s="1132" t="n"/>
      <c r="TKZ286" s="1132" t="n"/>
      <c r="TLA286" s="1132" t="n"/>
      <c r="TLB286" s="1132" t="n"/>
      <c r="TLC286" s="1132" t="n"/>
      <c r="TLD286" s="1132" t="n"/>
      <c r="TLE286" s="1132" t="n"/>
      <c r="TLF286" s="1132" t="n"/>
      <c r="TLG286" s="1132" t="n"/>
      <c r="TLH286" s="1132" t="n"/>
      <c r="TLI286" s="1132" t="n"/>
      <c r="TLJ286" s="1132" t="n"/>
      <c r="TLK286" s="1132" t="n"/>
      <c r="TLL286" s="1132" t="n"/>
      <c r="TLM286" s="1132" t="n"/>
      <c r="TLN286" s="1132" t="n"/>
      <c r="TLO286" s="1132" t="n"/>
      <c r="TLP286" s="1132" t="n"/>
      <c r="TLQ286" s="1132" t="n"/>
      <c r="TLR286" s="1132" t="n"/>
      <c r="TLS286" s="1132" t="n"/>
      <c r="TLT286" s="1132" t="n"/>
      <c r="TLU286" s="1132" t="n"/>
      <c r="TLV286" s="1132" t="n"/>
      <c r="TLW286" s="1132" t="n"/>
      <c r="TLX286" s="1132" t="n"/>
      <c r="TLY286" s="1132" t="n"/>
      <c r="TLZ286" s="1132" t="n"/>
      <c r="TMA286" s="1132" t="n"/>
      <c r="TMB286" s="1132" t="n"/>
      <c r="TMC286" s="1132" t="n"/>
      <c r="TMD286" s="1132" t="n"/>
      <c r="TME286" s="1132" t="n"/>
      <c r="TMF286" s="1132" t="n"/>
      <c r="TMG286" s="1132" t="n"/>
      <c r="TMH286" s="1132" t="n"/>
      <c r="TMI286" s="1132" t="n"/>
      <c r="TMJ286" s="1132" t="n"/>
      <c r="TMK286" s="1132" t="n"/>
      <c r="TML286" s="1132" t="n"/>
      <c r="TMM286" s="1132" t="n"/>
      <c r="TMN286" s="1132" t="n"/>
      <c r="TMO286" s="1132" t="n"/>
      <c r="TMP286" s="1132" t="n"/>
      <c r="TMQ286" s="1132" t="n"/>
      <c r="TMR286" s="1132" t="n"/>
      <c r="TMS286" s="1132" t="n"/>
      <c r="TMT286" s="1132" t="n"/>
      <c r="TMU286" s="1132" t="n"/>
      <c r="TMV286" s="1132" t="n"/>
      <c r="TMW286" s="1132" t="n"/>
      <c r="TMX286" s="1132" t="n"/>
      <c r="TMY286" s="1132" t="n"/>
      <c r="TMZ286" s="1132" t="n"/>
      <c r="TNA286" s="1132" t="n"/>
      <c r="TNB286" s="1132" t="n"/>
      <c r="TNC286" s="1132" t="n"/>
      <c r="TND286" s="1132" t="n"/>
      <c r="TNE286" s="1132" t="n"/>
      <c r="TNF286" s="1132" t="n"/>
      <c r="TNG286" s="1132" t="n"/>
      <c r="TNH286" s="1132" t="n"/>
      <c r="TNI286" s="1132" t="n"/>
      <c r="TNJ286" s="1132" t="n"/>
      <c r="TNK286" s="1132" t="n"/>
      <c r="TNL286" s="1132" t="n"/>
      <c r="TNM286" s="1132" t="n"/>
      <c r="TNN286" s="1132" t="n"/>
      <c r="TNO286" s="1132" t="n"/>
      <c r="TNP286" s="1132" t="n"/>
      <c r="TNQ286" s="1132" t="n"/>
      <c r="TNR286" s="1132" t="n"/>
      <c r="TNS286" s="1132" t="n"/>
      <c r="TNT286" s="1132" t="n"/>
      <c r="TNU286" s="1132" t="n"/>
      <c r="TNV286" s="1132" t="n"/>
      <c r="TNW286" s="1132" t="n"/>
      <c r="TNX286" s="1132" t="n"/>
      <c r="TNY286" s="1132" t="n"/>
      <c r="TNZ286" s="1132" t="n"/>
      <c r="TOA286" s="1132" t="n"/>
      <c r="TOB286" s="1132" t="n"/>
      <c r="TOC286" s="1132" t="n"/>
      <c r="TOD286" s="1132" t="n"/>
      <c r="TOE286" s="1132" t="n"/>
      <c r="TOF286" s="1132" t="n"/>
      <c r="TOG286" s="1132" t="n"/>
      <c r="TOH286" s="1132" t="n"/>
      <c r="TOI286" s="1132" t="n"/>
      <c r="TOJ286" s="1132" t="n"/>
      <c r="TOK286" s="1132" t="n"/>
      <c r="TOL286" s="1132" t="n"/>
      <c r="TOM286" s="1132" t="n"/>
      <c r="TON286" s="1132" t="n"/>
      <c r="TOO286" s="1132" t="n"/>
      <c r="TOP286" s="1132" t="n"/>
      <c r="TOQ286" s="1132" t="n"/>
      <c r="TOR286" s="1132" t="n"/>
      <c r="TOS286" s="1132" t="n"/>
      <c r="TOT286" s="1132" t="n"/>
      <c r="TOU286" s="1132" t="n"/>
      <c r="TOV286" s="1132" t="n"/>
      <c r="TOW286" s="1132" t="n"/>
      <c r="TOX286" s="1132" t="n"/>
      <c r="TOY286" s="1132" t="n"/>
      <c r="TOZ286" s="1132" t="n"/>
      <c r="TPA286" s="1132" t="n"/>
      <c r="TPB286" s="1132" t="n"/>
      <c r="TPC286" s="1132" t="n"/>
      <c r="TPD286" s="1132" t="n"/>
      <c r="TPE286" s="1132" t="n"/>
      <c r="TPF286" s="1132" t="n"/>
      <c r="TPG286" s="1132" t="n"/>
      <c r="TPH286" s="1132" t="n"/>
      <c r="TPI286" s="1132" t="n"/>
      <c r="TPJ286" s="1132" t="n"/>
      <c r="TPK286" s="1132" t="n"/>
      <c r="TPL286" s="1132" t="n"/>
      <c r="TPM286" s="1132" t="n"/>
      <c r="TPN286" s="1132" t="n"/>
      <c r="TPO286" s="1132" t="n"/>
      <c r="TPP286" s="1132" t="n"/>
      <c r="TPQ286" s="1132" t="n"/>
      <c r="TPR286" s="1132" t="n"/>
      <c r="TPS286" s="1132" t="n"/>
      <c r="TPT286" s="1132" t="n"/>
      <c r="TPU286" s="1132" t="n"/>
      <c r="TPV286" s="1132" t="n"/>
      <c r="TPW286" s="1132" t="n"/>
      <c r="TPX286" s="1132" t="n"/>
      <c r="TPY286" s="1132" t="n"/>
      <c r="TPZ286" s="1132" t="n"/>
      <c r="TQA286" s="1132" t="n"/>
      <c r="TQB286" s="1132" t="n"/>
      <c r="TQC286" s="1132" t="n"/>
      <c r="TQD286" s="1132" t="n"/>
      <c r="TQE286" s="1132" t="n"/>
      <c r="TQF286" s="1132" t="n"/>
      <c r="TQG286" s="1132" t="n"/>
      <c r="TQH286" s="1132" t="n"/>
      <c r="TQI286" s="1132" t="n"/>
      <c r="TQJ286" s="1132" t="n"/>
      <c r="TQK286" s="1132" t="n"/>
      <c r="TQL286" s="1132" t="n"/>
      <c r="TQM286" s="1132" t="n"/>
      <c r="TQN286" s="1132" t="n"/>
      <c r="TQO286" s="1132" t="n"/>
      <c r="TQP286" s="1132" t="n"/>
      <c r="TQQ286" s="1132" t="n"/>
      <c r="TQR286" s="1132" t="n"/>
      <c r="TQS286" s="1132" t="n"/>
      <c r="TQT286" s="1132" t="n"/>
      <c r="TQU286" s="1132" t="n"/>
      <c r="TQV286" s="1132" t="n"/>
      <c r="TQW286" s="1132" t="n"/>
      <c r="TQX286" s="1132" t="n"/>
      <c r="TQY286" s="1132" t="n"/>
      <c r="TQZ286" s="1132" t="n"/>
      <c r="TRA286" s="1132" t="n"/>
      <c r="TRB286" s="1132" t="n"/>
      <c r="TRC286" s="1132" t="n"/>
      <c r="TRD286" s="1132" t="n"/>
      <c r="TRE286" s="1132" t="n"/>
      <c r="TRF286" s="1132" t="n"/>
      <c r="TRG286" s="1132" t="n"/>
      <c r="TRH286" s="1132" t="n"/>
      <c r="TRI286" s="1132" t="n"/>
      <c r="TRJ286" s="1132" t="n"/>
      <c r="TRK286" s="1132" t="n"/>
      <c r="TRL286" s="1132" t="n"/>
      <c r="TRM286" s="1132" t="n"/>
      <c r="TRN286" s="1132" t="n"/>
      <c r="TRO286" s="1132" t="n"/>
      <c r="TRP286" s="1132" t="n"/>
      <c r="TRQ286" s="1132" t="n"/>
      <c r="TRR286" s="1132" t="n"/>
      <c r="TRS286" s="1132" t="n"/>
      <c r="TRT286" s="1132" t="n"/>
      <c r="TRU286" s="1132" t="n"/>
      <c r="TRV286" s="1132" t="n"/>
      <c r="TRW286" s="1132" t="n"/>
      <c r="TRX286" s="1132" t="n"/>
      <c r="TRY286" s="1132" t="n"/>
      <c r="TRZ286" s="1132" t="n"/>
      <c r="TSA286" s="1132" t="n"/>
      <c r="TSB286" s="1132" t="n"/>
      <c r="TSC286" s="1132" t="n"/>
      <c r="TSD286" s="1132" t="n"/>
      <c r="TSE286" s="1132" t="n"/>
      <c r="TSF286" s="1132" t="n"/>
      <c r="TSG286" s="1132" t="n"/>
      <c r="TSH286" s="1132" t="n"/>
      <c r="TSI286" s="1132" t="n"/>
      <c r="TSJ286" s="1132" t="n"/>
      <c r="TSK286" s="1132" t="n"/>
      <c r="TSL286" s="1132" t="n"/>
      <c r="TSM286" s="1132" t="n"/>
      <c r="TSN286" s="1132" t="n"/>
      <c r="TSO286" s="1132" t="n"/>
      <c r="TSP286" s="1132" t="n"/>
      <c r="TSQ286" s="1132" t="n"/>
      <c r="TSR286" s="1132" t="n"/>
      <c r="TSS286" s="1132" t="n"/>
      <c r="TST286" s="1132" t="n"/>
      <c r="TSU286" s="1132" t="n"/>
      <c r="TSV286" s="1132" t="n"/>
      <c r="TSW286" s="1132" t="n"/>
      <c r="TSX286" s="1132" t="n"/>
      <c r="TSY286" s="1132" t="n"/>
      <c r="TSZ286" s="1132" t="n"/>
      <c r="TTA286" s="1132" t="n"/>
      <c r="TTB286" s="1132" t="n"/>
      <c r="TTC286" s="1132" t="n"/>
      <c r="TTD286" s="1132" t="n"/>
      <c r="TTE286" s="1132" t="n"/>
      <c r="TTF286" s="1132" t="n"/>
      <c r="TTG286" s="1132" t="n"/>
      <c r="TTH286" s="1132" t="n"/>
      <c r="TTI286" s="1132" t="n"/>
      <c r="TTJ286" s="1132" t="n"/>
      <c r="TTK286" s="1132" t="n"/>
      <c r="TTL286" s="1132" t="n"/>
      <c r="TTM286" s="1132" t="n"/>
      <c r="TTN286" s="1132" t="n"/>
      <c r="TTO286" s="1132" t="n"/>
      <c r="TTP286" s="1132" t="n"/>
      <c r="TTQ286" s="1132" t="n"/>
      <c r="TTR286" s="1132" t="n"/>
      <c r="TTS286" s="1132" t="n"/>
      <c r="TTT286" s="1132" t="n"/>
      <c r="TTU286" s="1132" t="n"/>
      <c r="TTV286" s="1132" t="n"/>
      <c r="TTW286" s="1132" t="n"/>
      <c r="TTX286" s="1132" t="n"/>
      <c r="TTY286" s="1132" t="n"/>
      <c r="TTZ286" s="1132" t="n"/>
      <c r="TUA286" s="1132" t="n"/>
      <c r="TUB286" s="1132" t="n"/>
      <c r="TUC286" s="1132" t="n"/>
      <c r="TUD286" s="1132" t="n"/>
      <c r="TUE286" s="1132" t="n"/>
      <c r="TUF286" s="1132" t="n"/>
      <c r="TUG286" s="1132" t="n"/>
      <c r="TUH286" s="1132" t="n"/>
      <c r="TUI286" s="1132" t="n"/>
      <c r="TUJ286" s="1132" t="n"/>
      <c r="TUK286" s="1132" t="n"/>
      <c r="TUL286" s="1132" t="n"/>
      <c r="TUM286" s="1132" t="n"/>
      <c r="TUN286" s="1132" t="n"/>
      <c r="TUO286" s="1132" t="n"/>
      <c r="TUP286" s="1132" t="n"/>
      <c r="TUQ286" s="1132" t="n"/>
      <c r="TUR286" s="1132" t="n"/>
      <c r="TUS286" s="1132" t="n"/>
      <c r="TUT286" s="1132" t="n"/>
      <c r="TUU286" s="1132" t="n"/>
      <c r="TUV286" s="1132" t="n"/>
      <c r="TUW286" s="1132" t="n"/>
      <c r="TUX286" s="1132" t="n"/>
      <c r="TUY286" s="1132" t="n"/>
      <c r="TUZ286" s="1132" t="n"/>
      <c r="TVA286" s="1132" t="n"/>
      <c r="TVB286" s="1132" t="n"/>
      <c r="TVC286" s="1132" t="n"/>
      <c r="TVD286" s="1132" t="n"/>
      <c r="TVE286" s="1132" t="n"/>
      <c r="TVF286" s="1132" t="n"/>
      <c r="TVG286" s="1132" t="n"/>
      <c r="TVH286" s="1132" t="n"/>
      <c r="TVI286" s="1132" t="n"/>
      <c r="TVJ286" s="1132" t="n"/>
      <c r="TVK286" s="1132" t="n"/>
      <c r="TVL286" s="1132" t="n"/>
      <c r="TVM286" s="1132" t="n"/>
      <c r="TVN286" s="1132" t="n"/>
      <c r="TVO286" s="1132" t="n"/>
      <c r="TVP286" s="1132" t="n"/>
      <c r="TVQ286" s="1132" t="n"/>
      <c r="TVR286" s="1132" t="n"/>
      <c r="TVS286" s="1132" t="n"/>
      <c r="TVT286" s="1132" t="n"/>
      <c r="TVU286" s="1132" t="n"/>
      <c r="TVV286" s="1132" t="n"/>
      <c r="TVW286" s="1132" t="n"/>
      <c r="TVX286" s="1132" t="n"/>
      <c r="TVY286" s="1132" t="n"/>
      <c r="TVZ286" s="1132" t="n"/>
      <c r="TWA286" s="1132" t="n"/>
      <c r="TWB286" s="1132" t="n"/>
      <c r="TWC286" s="1132" t="n"/>
      <c r="TWD286" s="1132" t="n"/>
      <c r="TWE286" s="1132" t="n"/>
      <c r="TWF286" s="1132" t="n"/>
      <c r="TWG286" s="1132" t="n"/>
      <c r="TWH286" s="1132" t="n"/>
      <c r="TWI286" s="1132" t="n"/>
      <c r="TWJ286" s="1132" t="n"/>
      <c r="TWK286" s="1132" t="n"/>
      <c r="TWL286" s="1132" t="n"/>
      <c r="TWM286" s="1132" t="n"/>
      <c r="TWN286" s="1132" t="n"/>
      <c r="TWO286" s="1132" t="n"/>
      <c r="TWP286" s="1132" t="n"/>
      <c r="TWQ286" s="1132" t="n"/>
      <c r="TWR286" s="1132" t="n"/>
      <c r="TWS286" s="1132" t="n"/>
      <c r="TWT286" s="1132" t="n"/>
      <c r="TWU286" s="1132" t="n"/>
      <c r="TWV286" s="1132" t="n"/>
      <c r="TWW286" s="1132" t="n"/>
      <c r="TWX286" s="1132" t="n"/>
      <c r="TWY286" s="1132" t="n"/>
      <c r="TWZ286" s="1132" t="n"/>
      <c r="TXA286" s="1132" t="n"/>
      <c r="TXB286" s="1132" t="n"/>
      <c r="TXC286" s="1132" t="n"/>
      <c r="TXD286" s="1132" t="n"/>
      <c r="TXE286" s="1132" t="n"/>
      <c r="TXF286" s="1132" t="n"/>
      <c r="TXG286" s="1132" t="n"/>
      <c r="TXH286" s="1132" t="n"/>
      <c r="TXI286" s="1132" t="n"/>
      <c r="TXJ286" s="1132" t="n"/>
      <c r="TXK286" s="1132" t="n"/>
      <c r="TXL286" s="1132" t="n"/>
      <c r="TXM286" s="1132" t="n"/>
      <c r="TXN286" s="1132" t="n"/>
      <c r="TXO286" s="1132" t="n"/>
      <c r="TXP286" s="1132" t="n"/>
      <c r="TXQ286" s="1132" t="n"/>
      <c r="TXR286" s="1132" t="n"/>
      <c r="TXS286" s="1132" t="n"/>
      <c r="TXT286" s="1132" t="n"/>
      <c r="TXU286" s="1132" t="n"/>
      <c r="TXV286" s="1132" t="n"/>
      <c r="TXW286" s="1132" t="n"/>
      <c r="TXX286" s="1132" t="n"/>
      <c r="TXY286" s="1132" t="n"/>
      <c r="TXZ286" s="1132" t="n"/>
      <c r="TYA286" s="1132" t="n"/>
      <c r="TYB286" s="1132" t="n"/>
      <c r="TYC286" s="1132" t="n"/>
      <c r="TYD286" s="1132" t="n"/>
      <c r="TYE286" s="1132" t="n"/>
      <c r="TYF286" s="1132" t="n"/>
      <c r="TYG286" s="1132" t="n"/>
      <c r="TYH286" s="1132" t="n"/>
      <c r="TYI286" s="1132" t="n"/>
      <c r="TYJ286" s="1132" t="n"/>
      <c r="TYK286" s="1132" t="n"/>
      <c r="TYL286" s="1132" t="n"/>
      <c r="TYM286" s="1132" t="n"/>
      <c r="TYN286" s="1132" t="n"/>
      <c r="TYO286" s="1132" t="n"/>
      <c r="TYP286" s="1132" t="n"/>
      <c r="TYQ286" s="1132" t="n"/>
      <c r="TYR286" s="1132" t="n"/>
      <c r="TYS286" s="1132" t="n"/>
      <c r="TYT286" s="1132" t="n"/>
      <c r="TYU286" s="1132" t="n"/>
      <c r="TYV286" s="1132" t="n"/>
      <c r="TYW286" s="1132" t="n"/>
      <c r="TYX286" s="1132" t="n"/>
      <c r="TYY286" s="1132" t="n"/>
      <c r="TYZ286" s="1132" t="n"/>
      <c r="TZA286" s="1132" t="n"/>
      <c r="TZB286" s="1132" t="n"/>
      <c r="TZC286" s="1132" t="n"/>
      <c r="TZD286" s="1132" t="n"/>
      <c r="TZE286" s="1132" t="n"/>
      <c r="TZF286" s="1132" t="n"/>
      <c r="TZG286" s="1132" t="n"/>
      <c r="TZH286" s="1132" t="n"/>
      <c r="TZI286" s="1132" t="n"/>
      <c r="TZJ286" s="1132" t="n"/>
      <c r="TZK286" s="1132" t="n"/>
      <c r="TZL286" s="1132" t="n"/>
      <c r="TZM286" s="1132" t="n"/>
      <c r="TZN286" s="1132" t="n"/>
      <c r="TZO286" s="1132" t="n"/>
      <c r="TZP286" s="1132" t="n"/>
      <c r="TZQ286" s="1132" t="n"/>
      <c r="TZR286" s="1132" t="n"/>
      <c r="TZS286" s="1132" t="n"/>
      <c r="TZT286" s="1132" t="n"/>
      <c r="TZU286" s="1132" t="n"/>
      <c r="TZV286" s="1132" t="n"/>
      <c r="TZW286" s="1132" t="n"/>
      <c r="TZX286" s="1132" t="n"/>
      <c r="TZY286" s="1132" t="n"/>
      <c r="TZZ286" s="1132" t="n"/>
      <c r="UAA286" s="1132" t="n"/>
      <c r="UAB286" s="1132" t="n"/>
      <c r="UAC286" s="1132" t="n"/>
      <c r="UAD286" s="1132" t="n"/>
      <c r="UAE286" s="1132" t="n"/>
      <c r="UAF286" s="1132" t="n"/>
      <c r="UAG286" s="1132" t="n"/>
      <c r="UAH286" s="1132" t="n"/>
      <c r="UAI286" s="1132" t="n"/>
      <c r="UAJ286" s="1132" t="n"/>
      <c r="UAK286" s="1132" t="n"/>
      <c r="UAL286" s="1132" t="n"/>
      <c r="UAM286" s="1132" t="n"/>
      <c r="UAN286" s="1132" t="n"/>
      <c r="UAO286" s="1132" t="n"/>
      <c r="UAP286" s="1132" t="n"/>
      <c r="UAQ286" s="1132" t="n"/>
      <c r="UAR286" s="1132" t="n"/>
      <c r="UAS286" s="1132" t="n"/>
      <c r="UAT286" s="1132" t="n"/>
      <c r="UAU286" s="1132" t="n"/>
      <c r="UAV286" s="1132" t="n"/>
      <c r="UAW286" s="1132" t="n"/>
      <c r="UAX286" s="1132" t="n"/>
      <c r="UAY286" s="1132" t="n"/>
      <c r="UAZ286" s="1132" t="n"/>
      <c r="UBA286" s="1132" t="n"/>
      <c r="UBB286" s="1132" t="n"/>
      <c r="UBC286" s="1132" t="n"/>
      <c r="UBD286" s="1132" t="n"/>
      <c r="UBE286" s="1132" t="n"/>
      <c r="UBF286" s="1132" t="n"/>
      <c r="UBG286" s="1132" t="n"/>
      <c r="UBH286" s="1132" t="n"/>
      <c r="UBI286" s="1132" t="n"/>
      <c r="UBJ286" s="1132" t="n"/>
      <c r="UBK286" s="1132" t="n"/>
      <c r="UBL286" s="1132" t="n"/>
      <c r="UBM286" s="1132" t="n"/>
      <c r="UBN286" s="1132" t="n"/>
      <c r="UBO286" s="1132" t="n"/>
      <c r="UBP286" s="1132" t="n"/>
      <c r="UBQ286" s="1132" t="n"/>
      <c r="UBR286" s="1132" t="n"/>
      <c r="UBS286" s="1132" t="n"/>
      <c r="UBT286" s="1132" t="n"/>
      <c r="UBU286" s="1132" t="n"/>
      <c r="UBV286" s="1132" t="n"/>
      <c r="UBW286" s="1132" t="n"/>
      <c r="UBX286" s="1132" t="n"/>
      <c r="UBY286" s="1132" t="n"/>
      <c r="UBZ286" s="1132" t="n"/>
      <c r="UCA286" s="1132" t="n"/>
      <c r="UCB286" s="1132" t="n"/>
      <c r="UCC286" s="1132" t="n"/>
      <c r="UCD286" s="1132" t="n"/>
      <c r="UCE286" s="1132" t="n"/>
      <c r="UCF286" s="1132" t="n"/>
      <c r="UCG286" s="1132" t="n"/>
      <c r="UCH286" s="1132" t="n"/>
      <c r="UCI286" s="1132" t="n"/>
      <c r="UCJ286" s="1132" t="n"/>
      <c r="UCK286" s="1132" t="n"/>
      <c r="UCL286" s="1132" t="n"/>
      <c r="UCM286" s="1132" t="n"/>
      <c r="UCN286" s="1132" t="n"/>
      <c r="UCO286" s="1132" t="n"/>
      <c r="UCP286" s="1132" t="n"/>
      <c r="UCQ286" s="1132" t="n"/>
      <c r="UCR286" s="1132" t="n"/>
      <c r="UCS286" s="1132" t="n"/>
      <c r="UCT286" s="1132" t="n"/>
      <c r="UCU286" s="1132" t="n"/>
      <c r="UCV286" s="1132" t="n"/>
      <c r="UCW286" s="1132" t="n"/>
      <c r="UCX286" s="1132" t="n"/>
      <c r="UCY286" s="1132" t="n"/>
      <c r="UCZ286" s="1132" t="n"/>
      <c r="UDA286" s="1132" t="n"/>
      <c r="UDB286" s="1132" t="n"/>
      <c r="UDC286" s="1132" t="n"/>
      <c r="UDD286" s="1132" t="n"/>
      <c r="UDE286" s="1132" t="n"/>
      <c r="UDF286" s="1132" t="n"/>
      <c r="UDG286" s="1132" t="n"/>
      <c r="UDH286" s="1132" t="n"/>
      <c r="UDI286" s="1132" t="n"/>
      <c r="UDJ286" s="1132" t="n"/>
      <c r="UDK286" s="1132" t="n"/>
      <c r="UDL286" s="1132" t="n"/>
      <c r="UDM286" s="1132" t="n"/>
      <c r="UDN286" s="1132" t="n"/>
      <c r="UDO286" s="1132" t="n"/>
      <c r="UDP286" s="1132" t="n"/>
      <c r="UDQ286" s="1132" t="n"/>
      <c r="UDR286" s="1132" t="n"/>
      <c r="UDS286" s="1132" t="n"/>
      <c r="UDT286" s="1132" t="n"/>
      <c r="UDU286" s="1132" t="n"/>
      <c r="UDV286" s="1132" t="n"/>
      <c r="UDW286" s="1132" t="n"/>
      <c r="UDX286" s="1132" t="n"/>
      <c r="UDY286" s="1132" t="n"/>
      <c r="UDZ286" s="1132" t="n"/>
      <c r="UEA286" s="1132" t="n"/>
      <c r="UEB286" s="1132" t="n"/>
      <c r="UEC286" s="1132" t="n"/>
      <c r="UED286" s="1132" t="n"/>
      <c r="UEE286" s="1132" t="n"/>
      <c r="UEF286" s="1132" t="n"/>
      <c r="UEG286" s="1132" t="n"/>
      <c r="UEH286" s="1132" t="n"/>
      <c r="UEI286" s="1132" t="n"/>
      <c r="UEJ286" s="1132" t="n"/>
      <c r="UEK286" s="1132" t="n"/>
      <c r="UEL286" s="1132" t="n"/>
      <c r="UEM286" s="1132" t="n"/>
      <c r="UEN286" s="1132" t="n"/>
      <c r="UEO286" s="1132" t="n"/>
      <c r="UEP286" s="1132" t="n"/>
      <c r="UEQ286" s="1132" t="n"/>
      <c r="UER286" s="1132" t="n"/>
      <c r="UES286" s="1132" t="n"/>
      <c r="UET286" s="1132" t="n"/>
      <c r="UEU286" s="1132" t="n"/>
      <c r="UEV286" s="1132" t="n"/>
      <c r="UEW286" s="1132" t="n"/>
      <c r="UEX286" s="1132" t="n"/>
      <c r="UEY286" s="1132" t="n"/>
      <c r="UEZ286" s="1132" t="n"/>
      <c r="UFA286" s="1132" t="n"/>
      <c r="UFB286" s="1132" t="n"/>
      <c r="UFC286" s="1132" t="n"/>
      <c r="UFD286" s="1132" t="n"/>
      <c r="UFE286" s="1132" t="n"/>
      <c r="UFF286" s="1132" t="n"/>
      <c r="UFG286" s="1132" t="n"/>
      <c r="UFH286" s="1132" t="n"/>
      <c r="UFI286" s="1132" t="n"/>
      <c r="UFJ286" s="1132" t="n"/>
      <c r="UFK286" s="1132" t="n"/>
      <c r="UFL286" s="1132" t="n"/>
      <c r="UFM286" s="1132" t="n"/>
      <c r="UFN286" s="1132" t="n"/>
      <c r="UFO286" s="1132" t="n"/>
      <c r="UFP286" s="1132" t="n"/>
      <c r="UFQ286" s="1132" t="n"/>
      <c r="UFR286" s="1132" t="n"/>
      <c r="UFS286" s="1132" t="n"/>
      <c r="UFT286" s="1132" t="n"/>
      <c r="UFU286" s="1132" t="n"/>
      <c r="UFV286" s="1132" t="n"/>
      <c r="UFW286" s="1132" t="n"/>
      <c r="UFX286" s="1132" t="n"/>
      <c r="UFY286" s="1132" t="n"/>
      <c r="UFZ286" s="1132" t="n"/>
      <c r="UGA286" s="1132" t="n"/>
      <c r="UGB286" s="1132" t="n"/>
      <c r="UGC286" s="1132" t="n"/>
      <c r="UGD286" s="1132" t="n"/>
      <c r="UGE286" s="1132" t="n"/>
      <c r="UGF286" s="1132" t="n"/>
      <c r="UGG286" s="1132" t="n"/>
      <c r="UGH286" s="1132" t="n"/>
      <c r="UGI286" s="1132" t="n"/>
      <c r="UGJ286" s="1132" t="n"/>
      <c r="UGK286" s="1132" t="n"/>
      <c r="UGL286" s="1132" t="n"/>
      <c r="UGM286" s="1132" t="n"/>
      <c r="UGN286" s="1132" t="n"/>
      <c r="UGO286" s="1132" t="n"/>
      <c r="UGP286" s="1132" t="n"/>
      <c r="UGQ286" s="1132" t="n"/>
      <c r="UGR286" s="1132" t="n"/>
      <c r="UGS286" s="1132" t="n"/>
      <c r="UGT286" s="1132" t="n"/>
      <c r="UGU286" s="1132" t="n"/>
      <c r="UGV286" s="1132" t="n"/>
      <c r="UGW286" s="1132" t="n"/>
      <c r="UGX286" s="1132" t="n"/>
      <c r="UGY286" s="1132" t="n"/>
      <c r="UGZ286" s="1132" t="n"/>
      <c r="UHA286" s="1132" t="n"/>
      <c r="UHB286" s="1132" t="n"/>
      <c r="UHC286" s="1132" t="n"/>
      <c r="UHD286" s="1132" t="n"/>
      <c r="UHE286" s="1132" t="n"/>
      <c r="UHF286" s="1132" t="n"/>
      <c r="UHG286" s="1132" t="n"/>
      <c r="UHH286" s="1132" t="n"/>
      <c r="UHI286" s="1132" t="n"/>
      <c r="UHJ286" s="1132" t="n"/>
      <c r="UHK286" s="1132" t="n"/>
      <c r="UHL286" s="1132" t="n"/>
      <c r="UHM286" s="1132" t="n"/>
      <c r="UHN286" s="1132" t="n"/>
      <c r="UHO286" s="1132" t="n"/>
      <c r="UHP286" s="1132" t="n"/>
      <c r="UHQ286" s="1132" t="n"/>
      <c r="UHR286" s="1132" t="n"/>
      <c r="UHS286" s="1132" t="n"/>
      <c r="UHT286" s="1132" t="n"/>
      <c r="UHU286" s="1132" t="n"/>
      <c r="UHV286" s="1132" t="n"/>
      <c r="UHW286" s="1132" t="n"/>
      <c r="UHX286" s="1132" t="n"/>
      <c r="UHY286" s="1132" t="n"/>
      <c r="UHZ286" s="1132" t="n"/>
      <c r="UIA286" s="1132" t="n"/>
      <c r="UIB286" s="1132" t="n"/>
      <c r="UIC286" s="1132" t="n"/>
      <c r="UID286" s="1132" t="n"/>
      <c r="UIE286" s="1132" t="n"/>
      <c r="UIF286" s="1132" t="n"/>
      <c r="UIG286" s="1132" t="n"/>
      <c r="UIH286" s="1132" t="n"/>
      <c r="UII286" s="1132" t="n"/>
      <c r="UIJ286" s="1132" t="n"/>
      <c r="UIK286" s="1132" t="n"/>
      <c r="UIL286" s="1132" t="n"/>
      <c r="UIM286" s="1132" t="n"/>
      <c r="UIN286" s="1132" t="n"/>
      <c r="UIO286" s="1132" t="n"/>
      <c r="UIP286" s="1132" t="n"/>
      <c r="UIQ286" s="1132" t="n"/>
      <c r="UIR286" s="1132" t="n"/>
      <c r="UIS286" s="1132" t="n"/>
      <c r="UIT286" s="1132" t="n"/>
      <c r="UIU286" s="1132" t="n"/>
      <c r="UIV286" s="1132" t="n"/>
      <c r="UIW286" s="1132" t="n"/>
      <c r="UIX286" s="1132" t="n"/>
      <c r="UIY286" s="1132" t="n"/>
      <c r="UIZ286" s="1132" t="n"/>
      <c r="UJA286" s="1132" t="n"/>
      <c r="UJB286" s="1132" t="n"/>
      <c r="UJC286" s="1132" t="n"/>
      <c r="UJD286" s="1132" t="n"/>
      <c r="UJE286" s="1132" t="n"/>
      <c r="UJF286" s="1132" t="n"/>
      <c r="UJG286" s="1132" t="n"/>
      <c r="UJH286" s="1132" t="n"/>
      <c r="UJI286" s="1132" t="n"/>
      <c r="UJJ286" s="1132" t="n"/>
      <c r="UJK286" s="1132" t="n"/>
      <c r="UJL286" s="1132" t="n"/>
      <c r="UJM286" s="1132" t="n"/>
      <c r="UJN286" s="1132" t="n"/>
      <c r="UJO286" s="1132" t="n"/>
      <c r="UJP286" s="1132" t="n"/>
      <c r="UJQ286" s="1132" t="n"/>
      <c r="UJR286" s="1132" t="n"/>
      <c r="UJS286" s="1132" t="n"/>
      <c r="UJT286" s="1132" t="n"/>
      <c r="UJU286" s="1132" t="n"/>
      <c r="UJV286" s="1132" t="n"/>
      <c r="UJW286" s="1132" t="n"/>
      <c r="UJX286" s="1132" t="n"/>
      <c r="UJY286" s="1132" t="n"/>
      <c r="UJZ286" s="1132" t="n"/>
      <c r="UKA286" s="1132" t="n"/>
      <c r="UKB286" s="1132" t="n"/>
      <c r="UKC286" s="1132" t="n"/>
      <c r="UKD286" s="1132" t="n"/>
      <c r="UKE286" s="1132" t="n"/>
      <c r="UKF286" s="1132" t="n"/>
      <c r="UKG286" s="1132" t="n"/>
      <c r="UKH286" s="1132" t="n"/>
      <c r="UKI286" s="1132" t="n"/>
      <c r="UKJ286" s="1132" t="n"/>
      <c r="UKK286" s="1132" t="n"/>
      <c r="UKL286" s="1132" t="n"/>
      <c r="UKM286" s="1132" t="n"/>
      <c r="UKN286" s="1132" t="n"/>
      <c r="UKO286" s="1132" t="n"/>
      <c r="UKP286" s="1132" t="n"/>
      <c r="UKQ286" s="1132" t="n"/>
      <c r="UKR286" s="1132" t="n"/>
      <c r="UKS286" s="1132" t="n"/>
      <c r="UKT286" s="1132" t="n"/>
      <c r="UKU286" s="1132" t="n"/>
      <c r="UKV286" s="1132" t="n"/>
      <c r="UKW286" s="1132" t="n"/>
      <c r="UKX286" s="1132" t="n"/>
      <c r="UKY286" s="1132" t="n"/>
      <c r="UKZ286" s="1132" t="n"/>
      <c r="ULA286" s="1132" t="n"/>
      <c r="ULB286" s="1132" t="n"/>
      <c r="ULC286" s="1132" t="n"/>
      <c r="ULD286" s="1132" t="n"/>
      <c r="ULE286" s="1132" t="n"/>
      <c r="ULF286" s="1132" t="n"/>
      <c r="ULG286" s="1132" t="n"/>
      <c r="ULH286" s="1132" t="n"/>
      <c r="ULI286" s="1132" t="n"/>
      <c r="ULJ286" s="1132" t="n"/>
      <c r="ULK286" s="1132" t="n"/>
      <c r="ULL286" s="1132" t="n"/>
      <c r="ULM286" s="1132" t="n"/>
      <c r="ULN286" s="1132" t="n"/>
      <c r="ULO286" s="1132" t="n"/>
      <c r="ULP286" s="1132" t="n"/>
      <c r="ULQ286" s="1132" t="n"/>
      <c r="ULR286" s="1132" t="n"/>
      <c r="ULS286" s="1132" t="n"/>
      <c r="ULT286" s="1132" t="n"/>
      <c r="ULU286" s="1132" t="n"/>
      <c r="ULV286" s="1132" t="n"/>
      <c r="ULW286" s="1132" t="n"/>
      <c r="ULX286" s="1132" t="n"/>
      <c r="ULY286" s="1132" t="n"/>
      <c r="ULZ286" s="1132" t="n"/>
      <c r="UMA286" s="1132" t="n"/>
      <c r="UMB286" s="1132" t="n"/>
      <c r="UMC286" s="1132" t="n"/>
      <c r="UMD286" s="1132" t="n"/>
      <c r="UME286" s="1132" t="n"/>
      <c r="UMF286" s="1132" t="n"/>
      <c r="UMG286" s="1132" t="n"/>
      <c r="UMH286" s="1132" t="n"/>
      <c r="UMI286" s="1132" t="n"/>
      <c r="UMJ286" s="1132" t="n"/>
      <c r="UMK286" s="1132" t="n"/>
      <c r="UML286" s="1132" t="n"/>
      <c r="UMM286" s="1132" t="n"/>
      <c r="UMN286" s="1132" t="n"/>
      <c r="UMO286" s="1132" t="n"/>
      <c r="UMP286" s="1132" t="n"/>
      <c r="UMQ286" s="1132" t="n"/>
      <c r="UMR286" s="1132" t="n"/>
      <c r="UMS286" s="1132" t="n"/>
      <c r="UMT286" s="1132" t="n"/>
      <c r="UMU286" s="1132" t="n"/>
      <c r="UMV286" s="1132" t="n"/>
      <c r="UMW286" s="1132" t="n"/>
      <c r="UMX286" s="1132" t="n"/>
      <c r="UMY286" s="1132" t="n"/>
      <c r="UMZ286" s="1132" t="n"/>
      <c r="UNA286" s="1132" t="n"/>
      <c r="UNB286" s="1132" t="n"/>
      <c r="UNC286" s="1132" t="n"/>
      <c r="UND286" s="1132" t="n"/>
      <c r="UNE286" s="1132" t="n"/>
      <c r="UNF286" s="1132" t="n"/>
      <c r="UNG286" s="1132" t="n"/>
      <c r="UNH286" s="1132" t="n"/>
      <c r="UNI286" s="1132" t="n"/>
      <c r="UNJ286" s="1132" t="n"/>
      <c r="UNK286" s="1132" t="n"/>
      <c r="UNL286" s="1132" t="n"/>
      <c r="UNM286" s="1132" t="n"/>
      <c r="UNN286" s="1132" t="n"/>
      <c r="UNO286" s="1132" t="n"/>
      <c r="UNP286" s="1132" t="n"/>
      <c r="UNQ286" s="1132" t="n"/>
      <c r="UNR286" s="1132" t="n"/>
      <c r="UNS286" s="1132" t="n"/>
      <c r="UNT286" s="1132" t="n"/>
      <c r="UNU286" s="1132" t="n"/>
      <c r="UNV286" s="1132" t="n"/>
      <c r="UNW286" s="1132" t="n"/>
      <c r="UNX286" s="1132" t="n"/>
      <c r="UNY286" s="1132" t="n"/>
      <c r="UNZ286" s="1132" t="n"/>
      <c r="UOA286" s="1132" t="n"/>
      <c r="UOB286" s="1132" t="n"/>
      <c r="UOC286" s="1132" t="n"/>
      <c r="UOD286" s="1132" t="n"/>
      <c r="UOE286" s="1132" t="n"/>
      <c r="UOF286" s="1132" t="n"/>
      <c r="UOG286" s="1132" t="n"/>
      <c r="UOH286" s="1132" t="n"/>
      <c r="UOI286" s="1132" t="n"/>
      <c r="UOJ286" s="1132" t="n"/>
      <c r="UOK286" s="1132" t="n"/>
      <c r="UOL286" s="1132" t="n"/>
      <c r="UOM286" s="1132" t="n"/>
      <c r="UON286" s="1132" t="n"/>
      <c r="UOO286" s="1132" t="n"/>
      <c r="UOP286" s="1132" t="n"/>
      <c r="UOQ286" s="1132" t="n"/>
      <c r="UOR286" s="1132" t="n"/>
      <c r="UOS286" s="1132" t="n"/>
      <c r="UOT286" s="1132" t="n"/>
      <c r="UOU286" s="1132" t="n"/>
      <c r="UOV286" s="1132" t="n"/>
      <c r="UOW286" s="1132" t="n"/>
      <c r="UOX286" s="1132" t="n"/>
      <c r="UOY286" s="1132" t="n"/>
      <c r="UOZ286" s="1132" t="n"/>
      <c r="UPA286" s="1132" t="n"/>
      <c r="UPB286" s="1132" t="n"/>
      <c r="UPC286" s="1132" t="n"/>
      <c r="UPD286" s="1132" t="n"/>
      <c r="UPE286" s="1132" t="n"/>
      <c r="UPF286" s="1132" t="n"/>
      <c r="UPG286" s="1132" t="n"/>
      <c r="UPH286" s="1132" t="n"/>
      <c r="UPI286" s="1132" t="n"/>
      <c r="UPJ286" s="1132" t="n"/>
      <c r="UPK286" s="1132" t="n"/>
      <c r="UPL286" s="1132" t="n"/>
      <c r="UPM286" s="1132" t="n"/>
      <c r="UPN286" s="1132" t="n"/>
      <c r="UPO286" s="1132" t="n"/>
      <c r="UPP286" s="1132" t="n"/>
      <c r="UPQ286" s="1132" t="n"/>
      <c r="UPR286" s="1132" t="n"/>
      <c r="UPS286" s="1132" t="n"/>
      <c r="UPT286" s="1132" t="n"/>
      <c r="UPU286" s="1132" t="n"/>
      <c r="UPV286" s="1132" t="n"/>
      <c r="UPW286" s="1132" t="n"/>
      <c r="UPX286" s="1132" t="n"/>
      <c r="UPY286" s="1132" t="n"/>
      <c r="UPZ286" s="1132" t="n"/>
      <c r="UQA286" s="1132" t="n"/>
      <c r="UQB286" s="1132" t="n"/>
      <c r="UQC286" s="1132" t="n"/>
      <c r="UQD286" s="1132" t="n"/>
      <c r="UQE286" s="1132" t="n"/>
      <c r="UQF286" s="1132" t="n"/>
      <c r="UQG286" s="1132" t="n"/>
      <c r="UQH286" s="1132" t="n"/>
      <c r="UQI286" s="1132" t="n"/>
      <c r="UQJ286" s="1132" t="n"/>
      <c r="UQK286" s="1132" t="n"/>
      <c r="UQL286" s="1132" t="n"/>
      <c r="UQM286" s="1132" t="n"/>
      <c r="UQN286" s="1132" t="n"/>
      <c r="UQO286" s="1132" t="n"/>
      <c r="UQP286" s="1132" t="n"/>
      <c r="UQQ286" s="1132" t="n"/>
      <c r="UQR286" s="1132" t="n"/>
      <c r="UQS286" s="1132" t="n"/>
      <c r="UQT286" s="1132" t="n"/>
      <c r="UQU286" s="1132" t="n"/>
      <c r="UQV286" s="1132" t="n"/>
      <c r="UQW286" s="1132" t="n"/>
      <c r="UQX286" s="1132" t="n"/>
      <c r="UQY286" s="1132" t="n"/>
      <c r="UQZ286" s="1132" t="n"/>
      <c r="URA286" s="1132" t="n"/>
      <c r="URB286" s="1132" t="n"/>
      <c r="URC286" s="1132" t="n"/>
      <c r="URD286" s="1132" t="n"/>
      <c r="URE286" s="1132" t="n"/>
      <c r="URF286" s="1132" t="n"/>
      <c r="URG286" s="1132" t="n"/>
      <c r="URH286" s="1132" t="n"/>
      <c r="URI286" s="1132" t="n"/>
      <c r="URJ286" s="1132" t="n"/>
      <c r="URK286" s="1132" t="n"/>
      <c r="URL286" s="1132" t="n"/>
      <c r="URM286" s="1132" t="n"/>
      <c r="URN286" s="1132" t="n"/>
      <c r="URO286" s="1132" t="n"/>
      <c r="URP286" s="1132" t="n"/>
      <c r="URQ286" s="1132" t="n"/>
      <c r="URR286" s="1132" t="n"/>
      <c r="URS286" s="1132" t="n"/>
      <c r="URT286" s="1132" t="n"/>
      <c r="URU286" s="1132" t="n"/>
      <c r="URV286" s="1132" t="n"/>
      <c r="URW286" s="1132" t="n"/>
      <c r="URX286" s="1132" t="n"/>
      <c r="URY286" s="1132" t="n"/>
      <c r="URZ286" s="1132" t="n"/>
      <c r="USA286" s="1132" t="n"/>
      <c r="USB286" s="1132" t="n"/>
      <c r="USC286" s="1132" t="n"/>
      <c r="USD286" s="1132" t="n"/>
      <c r="USE286" s="1132" t="n"/>
      <c r="USF286" s="1132" t="n"/>
      <c r="USG286" s="1132" t="n"/>
      <c r="USH286" s="1132" t="n"/>
      <c r="USI286" s="1132" t="n"/>
      <c r="USJ286" s="1132" t="n"/>
      <c r="USK286" s="1132" t="n"/>
      <c r="USL286" s="1132" t="n"/>
      <c r="USM286" s="1132" t="n"/>
      <c r="USN286" s="1132" t="n"/>
      <c r="USO286" s="1132" t="n"/>
      <c r="USP286" s="1132" t="n"/>
      <c r="USQ286" s="1132" t="n"/>
      <c r="USR286" s="1132" t="n"/>
      <c r="USS286" s="1132" t="n"/>
      <c r="UST286" s="1132" t="n"/>
      <c r="USU286" s="1132" t="n"/>
      <c r="USV286" s="1132" t="n"/>
      <c r="USW286" s="1132" t="n"/>
      <c r="USX286" s="1132" t="n"/>
      <c r="USY286" s="1132" t="n"/>
      <c r="USZ286" s="1132" t="n"/>
      <c r="UTA286" s="1132" t="n"/>
      <c r="UTB286" s="1132" t="n"/>
      <c r="UTC286" s="1132" t="n"/>
      <c r="UTD286" s="1132" t="n"/>
      <c r="UTE286" s="1132" t="n"/>
      <c r="UTF286" s="1132" t="n"/>
      <c r="UTG286" s="1132" t="n"/>
      <c r="UTH286" s="1132" t="n"/>
      <c r="UTI286" s="1132" t="n"/>
      <c r="UTJ286" s="1132" t="n"/>
      <c r="UTK286" s="1132" t="n"/>
      <c r="UTL286" s="1132" t="n"/>
      <c r="UTM286" s="1132" t="n"/>
      <c r="UTN286" s="1132" t="n"/>
      <c r="UTO286" s="1132" t="n"/>
      <c r="UTP286" s="1132" t="n"/>
      <c r="UTQ286" s="1132" t="n"/>
      <c r="UTR286" s="1132" t="n"/>
      <c r="UTS286" s="1132" t="n"/>
      <c r="UTT286" s="1132" t="n"/>
      <c r="UTU286" s="1132" t="n"/>
      <c r="UTV286" s="1132" t="n"/>
      <c r="UTW286" s="1132" t="n"/>
      <c r="UTX286" s="1132" t="n"/>
      <c r="UTY286" s="1132" t="n"/>
      <c r="UTZ286" s="1132" t="n"/>
      <c r="UUA286" s="1132" t="n"/>
      <c r="UUB286" s="1132" t="n"/>
      <c r="UUC286" s="1132" t="n"/>
      <c r="UUD286" s="1132" t="n"/>
      <c r="UUE286" s="1132" t="n"/>
      <c r="UUF286" s="1132" t="n"/>
      <c r="UUG286" s="1132" t="n"/>
      <c r="UUH286" s="1132" t="n"/>
      <c r="UUI286" s="1132" t="n"/>
      <c r="UUJ286" s="1132" t="n"/>
      <c r="UUK286" s="1132" t="n"/>
      <c r="UUL286" s="1132" t="n"/>
      <c r="UUM286" s="1132" t="n"/>
      <c r="UUN286" s="1132" t="n"/>
      <c r="UUO286" s="1132" t="n"/>
      <c r="UUP286" s="1132" t="n"/>
      <c r="UUQ286" s="1132" t="n"/>
      <c r="UUR286" s="1132" t="n"/>
      <c r="UUS286" s="1132" t="n"/>
      <c r="UUT286" s="1132" t="n"/>
      <c r="UUU286" s="1132" t="n"/>
      <c r="UUV286" s="1132" t="n"/>
      <c r="UUW286" s="1132" t="n"/>
      <c r="UUX286" s="1132" t="n"/>
      <c r="UUY286" s="1132" t="n"/>
      <c r="UUZ286" s="1132" t="n"/>
      <c r="UVA286" s="1132" t="n"/>
      <c r="UVB286" s="1132" t="n"/>
      <c r="UVC286" s="1132" t="n"/>
      <c r="UVD286" s="1132" t="n"/>
      <c r="UVE286" s="1132" t="n"/>
      <c r="UVF286" s="1132" t="n"/>
      <c r="UVG286" s="1132" t="n"/>
      <c r="UVH286" s="1132" t="n"/>
      <c r="UVI286" s="1132" t="n"/>
      <c r="UVJ286" s="1132" t="n"/>
      <c r="UVK286" s="1132" t="n"/>
      <c r="UVL286" s="1132" t="n"/>
      <c r="UVM286" s="1132" t="n"/>
      <c r="UVN286" s="1132" t="n"/>
      <c r="UVO286" s="1132" t="n"/>
      <c r="UVP286" s="1132" t="n"/>
      <c r="UVQ286" s="1132" t="n"/>
      <c r="UVR286" s="1132" t="n"/>
      <c r="UVS286" s="1132" t="n"/>
      <c r="UVT286" s="1132" t="n"/>
      <c r="UVU286" s="1132" t="n"/>
      <c r="UVV286" s="1132" t="n"/>
      <c r="UVW286" s="1132" t="n"/>
      <c r="UVX286" s="1132" t="n"/>
      <c r="UVY286" s="1132" t="n"/>
      <c r="UVZ286" s="1132" t="n"/>
      <c r="UWA286" s="1132" t="n"/>
      <c r="UWB286" s="1132" t="n"/>
      <c r="UWC286" s="1132" t="n"/>
      <c r="UWD286" s="1132" t="n"/>
      <c r="UWE286" s="1132" t="n"/>
      <c r="UWF286" s="1132" t="n"/>
      <c r="UWG286" s="1132" t="n"/>
      <c r="UWH286" s="1132" t="n"/>
      <c r="UWI286" s="1132" t="n"/>
      <c r="UWJ286" s="1132" t="n"/>
      <c r="UWK286" s="1132" t="n"/>
      <c r="UWL286" s="1132" t="n"/>
      <c r="UWM286" s="1132" t="n"/>
      <c r="UWN286" s="1132" t="n"/>
      <c r="UWO286" s="1132" t="n"/>
      <c r="UWP286" s="1132" t="n"/>
      <c r="UWQ286" s="1132" t="n"/>
      <c r="UWR286" s="1132" t="n"/>
      <c r="UWS286" s="1132" t="n"/>
      <c r="UWT286" s="1132" t="n"/>
      <c r="UWU286" s="1132" t="n"/>
      <c r="UWV286" s="1132" t="n"/>
      <c r="UWW286" s="1132" t="n"/>
      <c r="UWX286" s="1132" t="n"/>
      <c r="UWY286" s="1132" t="n"/>
      <c r="UWZ286" s="1132" t="n"/>
      <c r="UXA286" s="1132" t="n"/>
      <c r="UXB286" s="1132" t="n"/>
      <c r="UXC286" s="1132" t="n"/>
      <c r="UXD286" s="1132" t="n"/>
      <c r="UXE286" s="1132" t="n"/>
      <c r="UXF286" s="1132" t="n"/>
      <c r="UXG286" s="1132" t="n"/>
      <c r="UXH286" s="1132" t="n"/>
      <c r="UXI286" s="1132" t="n"/>
      <c r="UXJ286" s="1132" t="n"/>
      <c r="UXK286" s="1132" t="n"/>
      <c r="UXL286" s="1132" t="n"/>
      <c r="UXM286" s="1132" t="n"/>
      <c r="UXN286" s="1132" t="n"/>
      <c r="UXO286" s="1132" t="n"/>
      <c r="UXP286" s="1132" t="n"/>
      <c r="UXQ286" s="1132" t="n"/>
      <c r="UXR286" s="1132" t="n"/>
      <c r="UXS286" s="1132" t="n"/>
      <c r="UXT286" s="1132" t="n"/>
      <c r="UXU286" s="1132" t="n"/>
      <c r="UXV286" s="1132" t="n"/>
      <c r="UXW286" s="1132" t="n"/>
      <c r="UXX286" s="1132" t="n"/>
      <c r="UXY286" s="1132" t="n"/>
      <c r="UXZ286" s="1132" t="n"/>
      <c r="UYA286" s="1132" t="n"/>
      <c r="UYB286" s="1132" t="n"/>
      <c r="UYC286" s="1132" t="n"/>
      <c r="UYD286" s="1132" t="n"/>
      <c r="UYE286" s="1132" t="n"/>
      <c r="UYF286" s="1132" t="n"/>
      <c r="UYG286" s="1132" t="n"/>
      <c r="UYH286" s="1132" t="n"/>
      <c r="UYI286" s="1132" t="n"/>
      <c r="UYJ286" s="1132" t="n"/>
      <c r="UYK286" s="1132" t="n"/>
      <c r="UYL286" s="1132" t="n"/>
      <c r="UYM286" s="1132" t="n"/>
      <c r="UYN286" s="1132" t="n"/>
      <c r="UYO286" s="1132" t="n"/>
      <c r="UYP286" s="1132" t="n"/>
      <c r="UYQ286" s="1132" t="n"/>
      <c r="UYR286" s="1132" t="n"/>
      <c r="UYS286" s="1132" t="n"/>
      <c r="UYT286" s="1132" t="n"/>
      <c r="UYU286" s="1132" t="n"/>
      <c r="UYV286" s="1132" t="n"/>
      <c r="UYW286" s="1132" t="n"/>
      <c r="UYX286" s="1132" t="n"/>
      <c r="UYY286" s="1132" t="n"/>
      <c r="UYZ286" s="1132" t="n"/>
      <c r="UZA286" s="1132" t="n"/>
      <c r="UZB286" s="1132" t="n"/>
      <c r="UZC286" s="1132" t="n"/>
      <c r="UZD286" s="1132" t="n"/>
      <c r="UZE286" s="1132" t="n"/>
      <c r="UZF286" s="1132" t="n"/>
      <c r="UZG286" s="1132" t="n"/>
      <c r="UZH286" s="1132" t="n"/>
      <c r="UZI286" s="1132" t="n"/>
      <c r="UZJ286" s="1132" t="n"/>
      <c r="UZK286" s="1132" t="n"/>
      <c r="UZL286" s="1132" t="n"/>
      <c r="UZM286" s="1132" t="n"/>
      <c r="UZN286" s="1132" t="n"/>
      <c r="UZO286" s="1132" t="n"/>
      <c r="UZP286" s="1132" t="n"/>
      <c r="UZQ286" s="1132" t="n"/>
      <c r="UZR286" s="1132" t="n"/>
      <c r="UZS286" s="1132" t="n"/>
      <c r="UZT286" s="1132" t="n"/>
      <c r="UZU286" s="1132" t="n"/>
      <c r="UZV286" s="1132" t="n"/>
      <c r="UZW286" s="1132" t="n"/>
      <c r="UZX286" s="1132" t="n"/>
      <c r="UZY286" s="1132" t="n"/>
      <c r="UZZ286" s="1132" t="n"/>
      <c r="VAA286" s="1132" t="n"/>
      <c r="VAB286" s="1132" t="n"/>
      <c r="VAC286" s="1132" t="n"/>
      <c r="VAD286" s="1132" t="n"/>
      <c r="VAE286" s="1132" t="n"/>
      <c r="VAF286" s="1132" t="n"/>
      <c r="VAG286" s="1132" t="n"/>
      <c r="VAH286" s="1132" t="n"/>
      <c r="VAI286" s="1132" t="n"/>
      <c r="VAJ286" s="1132" t="n"/>
      <c r="VAK286" s="1132" t="n"/>
      <c r="VAL286" s="1132" t="n"/>
      <c r="VAM286" s="1132" t="n"/>
      <c r="VAN286" s="1132" t="n"/>
      <c r="VAO286" s="1132" t="n"/>
      <c r="VAP286" s="1132" t="n"/>
      <c r="VAQ286" s="1132" t="n"/>
      <c r="VAR286" s="1132" t="n"/>
      <c r="VAS286" s="1132" t="n"/>
      <c r="VAT286" s="1132" t="n"/>
      <c r="VAU286" s="1132" t="n"/>
      <c r="VAV286" s="1132" t="n"/>
      <c r="VAW286" s="1132" t="n"/>
      <c r="VAX286" s="1132" t="n"/>
      <c r="VAY286" s="1132" t="n"/>
      <c r="VAZ286" s="1132" t="n"/>
      <c r="VBA286" s="1132" t="n"/>
      <c r="VBB286" s="1132" t="n"/>
      <c r="VBC286" s="1132" t="n"/>
      <c r="VBD286" s="1132" t="n"/>
      <c r="VBE286" s="1132" t="n"/>
      <c r="VBF286" s="1132" t="n"/>
      <c r="VBG286" s="1132" t="n"/>
      <c r="VBH286" s="1132" t="n"/>
      <c r="VBI286" s="1132" t="n"/>
      <c r="VBJ286" s="1132" t="n"/>
      <c r="VBK286" s="1132" t="n"/>
      <c r="VBL286" s="1132" t="n"/>
      <c r="VBM286" s="1132" t="n"/>
      <c r="VBN286" s="1132" t="n"/>
      <c r="VBO286" s="1132" t="n"/>
      <c r="VBP286" s="1132" t="n"/>
      <c r="VBQ286" s="1132" t="n"/>
      <c r="VBR286" s="1132" t="n"/>
      <c r="VBS286" s="1132" t="n"/>
      <c r="VBT286" s="1132" t="n"/>
      <c r="VBU286" s="1132" t="n"/>
      <c r="VBV286" s="1132" t="n"/>
      <c r="VBW286" s="1132" t="n"/>
      <c r="VBX286" s="1132" t="n"/>
      <c r="VBY286" s="1132" t="n"/>
      <c r="VBZ286" s="1132" t="n"/>
      <c r="VCA286" s="1132" t="n"/>
      <c r="VCB286" s="1132" t="n"/>
      <c r="VCC286" s="1132" t="n"/>
      <c r="VCD286" s="1132" t="n"/>
      <c r="VCE286" s="1132" t="n"/>
      <c r="VCF286" s="1132" t="n"/>
      <c r="VCG286" s="1132" t="n"/>
      <c r="VCH286" s="1132" t="n"/>
      <c r="VCI286" s="1132" t="n"/>
      <c r="VCJ286" s="1132" t="n"/>
      <c r="VCK286" s="1132" t="n"/>
      <c r="VCL286" s="1132" t="n"/>
      <c r="VCM286" s="1132" t="n"/>
      <c r="VCN286" s="1132" t="n"/>
      <c r="VCO286" s="1132" t="n"/>
      <c r="VCP286" s="1132" t="n"/>
      <c r="VCQ286" s="1132" t="n"/>
      <c r="VCR286" s="1132" t="n"/>
      <c r="VCS286" s="1132" t="n"/>
      <c r="VCT286" s="1132" t="n"/>
      <c r="VCU286" s="1132" t="n"/>
      <c r="VCV286" s="1132" t="n"/>
      <c r="VCW286" s="1132" t="n"/>
      <c r="VCX286" s="1132" t="n"/>
      <c r="VCY286" s="1132" t="n"/>
      <c r="VCZ286" s="1132" t="n"/>
      <c r="VDA286" s="1132" t="n"/>
      <c r="VDB286" s="1132" t="n"/>
      <c r="VDC286" s="1132" t="n"/>
      <c r="VDD286" s="1132" t="n"/>
      <c r="VDE286" s="1132" t="n"/>
      <c r="VDF286" s="1132" t="n"/>
      <c r="VDG286" s="1132" t="n"/>
      <c r="VDH286" s="1132" t="n"/>
      <c r="VDI286" s="1132" t="n"/>
      <c r="VDJ286" s="1132" t="n"/>
      <c r="VDK286" s="1132" t="n"/>
      <c r="VDL286" s="1132" t="n"/>
      <c r="VDM286" s="1132" t="n"/>
      <c r="VDN286" s="1132" t="n"/>
      <c r="VDO286" s="1132" t="n"/>
      <c r="VDP286" s="1132" t="n"/>
      <c r="VDQ286" s="1132" t="n"/>
      <c r="VDR286" s="1132" t="n"/>
      <c r="VDS286" s="1132" t="n"/>
      <c r="VDT286" s="1132" t="n"/>
      <c r="VDU286" s="1132" t="n"/>
      <c r="VDV286" s="1132" t="n"/>
      <c r="VDW286" s="1132" t="n"/>
      <c r="VDX286" s="1132" t="n"/>
      <c r="VDY286" s="1132" t="n"/>
      <c r="VDZ286" s="1132" t="n"/>
      <c r="VEA286" s="1132" t="n"/>
      <c r="VEB286" s="1132" t="n"/>
      <c r="VEC286" s="1132" t="n"/>
      <c r="VED286" s="1132" t="n"/>
      <c r="VEE286" s="1132" t="n"/>
      <c r="VEF286" s="1132" t="n"/>
      <c r="VEG286" s="1132" t="n"/>
      <c r="VEH286" s="1132" t="n"/>
      <c r="VEI286" s="1132" t="n"/>
      <c r="VEJ286" s="1132" t="n"/>
      <c r="VEK286" s="1132" t="n"/>
      <c r="VEL286" s="1132" t="n"/>
      <c r="VEM286" s="1132" t="n"/>
      <c r="VEN286" s="1132" t="n"/>
      <c r="VEO286" s="1132" t="n"/>
      <c r="VEP286" s="1132" t="n"/>
      <c r="VEQ286" s="1132" t="n"/>
      <c r="VER286" s="1132" t="n"/>
      <c r="VES286" s="1132" t="n"/>
      <c r="VET286" s="1132" t="n"/>
      <c r="VEU286" s="1132" t="n"/>
      <c r="VEV286" s="1132" t="n"/>
      <c r="VEW286" s="1132" t="n"/>
      <c r="VEX286" s="1132" t="n"/>
      <c r="VEY286" s="1132" t="n"/>
      <c r="VEZ286" s="1132" t="n"/>
      <c r="VFA286" s="1132" t="n"/>
      <c r="VFB286" s="1132" t="n"/>
      <c r="VFC286" s="1132" t="n"/>
      <c r="VFD286" s="1132" t="n"/>
      <c r="VFE286" s="1132" t="n"/>
      <c r="VFF286" s="1132" t="n"/>
      <c r="VFG286" s="1132" t="n"/>
      <c r="VFH286" s="1132" t="n"/>
      <c r="VFI286" s="1132" t="n"/>
      <c r="VFJ286" s="1132" t="n"/>
      <c r="VFK286" s="1132" t="n"/>
      <c r="VFL286" s="1132" t="n"/>
      <c r="VFM286" s="1132" t="n"/>
      <c r="VFN286" s="1132" t="n"/>
      <c r="VFO286" s="1132" t="n"/>
      <c r="VFP286" s="1132" t="n"/>
      <c r="VFQ286" s="1132" t="n"/>
      <c r="VFR286" s="1132" t="n"/>
      <c r="VFS286" s="1132" t="n"/>
      <c r="VFT286" s="1132" t="n"/>
      <c r="VFU286" s="1132" t="n"/>
      <c r="VFV286" s="1132" t="n"/>
      <c r="VFW286" s="1132" t="n"/>
      <c r="VFX286" s="1132" t="n"/>
      <c r="VFY286" s="1132" t="n"/>
      <c r="VFZ286" s="1132" t="n"/>
      <c r="VGA286" s="1132" t="n"/>
      <c r="VGB286" s="1132" t="n"/>
      <c r="VGC286" s="1132" t="n"/>
      <c r="VGD286" s="1132" t="n"/>
      <c r="VGE286" s="1132" t="n"/>
      <c r="VGF286" s="1132" t="n"/>
      <c r="VGG286" s="1132" t="n"/>
      <c r="VGH286" s="1132" t="n"/>
      <c r="VGI286" s="1132" t="n"/>
      <c r="VGJ286" s="1132" t="n"/>
      <c r="VGK286" s="1132" t="n"/>
      <c r="VGL286" s="1132" t="n"/>
      <c r="VGM286" s="1132" t="n"/>
      <c r="VGN286" s="1132" t="n"/>
      <c r="VGO286" s="1132" t="n"/>
      <c r="VGP286" s="1132" t="n"/>
      <c r="VGQ286" s="1132" t="n"/>
      <c r="VGR286" s="1132" t="n"/>
      <c r="VGS286" s="1132" t="n"/>
      <c r="VGT286" s="1132" t="n"/>
      <c r="VGU286" s="1132" t="n"/>
      <c r="VGV286" s="1132" t="n"/>
      <c r="VGW286" s="1132" t="n"/>
      <c r="VGX286" s="1132" t="n"/>
      <c r="VGY286" s="1132" t="n"/>
      <c r="VGZ286" s="1132" t="n"/>
      <c r="VHA286" s="1132" t="n"/>
      <c r="VHB286" s="1132" t="n"/>
      <c r="VHC286" s="1132" t="n"/>
      <c r="VHD286" s="1132" t="n"/>
      <c r="VHE286" s="1132" t="n"/>
      <c r="VHF286" s="1132" t="n"/>
      <c r="VHG286" s="1132" t="n"/>
      <c r="VHH286" s="1132" t="n"/>
      <c r="VHI286" s="1132" t="n"/>
      <c r="VHJ286" s="1132" t="n"/>
      <c r="VHK286" s="1132" t="n"/>
      <c r="VHL286" s="1132" t="n"/>
      <c r="VHM286" s="1132" t="n"/>
      <c r="VHN286" s="1132" t="n"/>
      <c r="VHO286" s="1132" t="n"/>
      <c r="VHP286" s="1132" t="n"/>
      <c r="VHQ286" s="1132" t="n"/>
      <c r="VHR286" s="1132" t="n"/>
      <c r="VHS286" s="1132" t="n"/>
      <c r="VHT286" s="1132" t="n"/>
      <c r="VHU286" s="1132" t="n"/>
      <c r="VHV286" s="1132" t="n"/>
      <c r="VHW286" s="1132" t="n"/>
      <c r="VHX286" s="1132" t="n"/>
      <c r="VHY286" s="1132" t="n"/>
      <c r="VHZ286" s="1132" t="n"/>
      <c r="VIA286" s="1132" t="n"/>
      <c r="VIB286" s="1132" t="n"/>
      <c r="VIC286" s="1132" t="n"/>
      <c r="VID286" s="1132" t="n"/>
      <c r="VIE286" s="1132" t="n"/>
      <c r="VIF286" s="1132" t="n"/>
      <c r="VIG286" s="1132" t="n"/>
      <c r="VIH286" s="1132" t="n"/>
      <c r="VII286" s="1132" t="n"/>
      <c r="VIJ286" s="1132" t="n"/>
      <c r="VIK286" s="1132" t="n"/>
      <c r="VIL286" s="1132" t="n"/>
      <c r="VIM286" s="1132" t="n"/>
      <c r="VIN286" s="1132" t="n"/>
      <c r="VIO286" s="1132" t="n"/>
      <c r="VIP286" s="1132" t="n"/>
      <c r="VIQ286" s="1132" t="n"/>
      <c r="VIR286" s="1132" t="n"/>
      <c r="VIS286" s="1132" t="n"/>
      <c r="VIT286" s="1132" t="n"/>
      <c r="VIU286" s="1132" t="n"/>
      <c r="VIV286" s="1132" t="n"/>
      <c r="VIW286" s="1132" t="n"/>
      <c r="VIX286" s="1132" t="n"/>
      <c r="VIY286" s="1132" t="n"/>
      <c r="VIZ286" s="1132" t="n"/>
      <c r="VJA286" s="1132" t="n"/>
      <c r="VJB286" s="1132" t="n"/>
      <c r="VJC286" s="1132" t="n"/>
      <c r="VJD286" s="1132" t="n"/>
      <c r="VJE286" s="1132" t="n"/>
      <c r="VJF286" s="1132" t="n"/>
      <c r="VJG286" s="1132" t="n"/>
      <c r="VJH286" s="1132" t="n"/>
      <c r="VJI286" s="1132" t="n"/>
      <c r="VJJ286" s="1132" t="n"/>
      <c r="VJK286" s="1132" t="n"/>
      <c r="VJL286" s="1132" t="n"/>
      <c r="VJM286" s="1132" t="n"/>
      <c r="VJN286" s="1132" t="n"/>
      <c r="VJO286" s="1132" t="n"/>
      <c r="VJP286" s="1132" t="n"/>
      <c r="VJQ286" s="1132" t="n"/>
      <c r="VJR286" s="1132" t="n"/>
      <c r="VJS286" s="1132" t="n"/>
      <c r="VJT286" s="1132" t="n"/>
      <c r="VJU286" s="1132" t="n"/>
      <c r="VJV286" s="1132" t="n"/>
      <c r="VJW286" s="1132" t="n"/>
      <c r="VJX286" s="1132" t="n"/>
      <c r="VJY286" s="1132" t="n"/>
      <c r="VJZ286" s="1132" t="n"/>
      <c r="VKA286" s="1132" t="n"/>
      <c r="VKB286" s="1132" t="n"/>
      <c r="VKC286" s="1132" t="n"/>
      <c r="VKD286" s="1132" t="n"/>
      <c r="VKE286" s="1132" t="n"/>
      <c r="VKF286" s="1132" t="n"/>
      <c r="VKG286" s="1132" t="n"/>
      <c r="VKH286" s="1132" t="n"/>
      <c r="VKI286" s="1132" t="n"/>
      <c r="VKJ286" s="1132" t="n"/>
      <c r="VKK286" s="1132" t="n"/>
      <c r="VKL286" s="1132" t="n"/>
      <c r="VKM286" s="1132" t="n"/>
      <c r="VKN286" s="1132" t="n"/>
      <c r="VKO286" s="1132" t="n"/>
      <c r="VKP286" s="1132" t="n"/>
      <c r="VKQ286" s="1132" t="n"/>
      <c r="VKR286" s="1132" t="n"/>
      <c r="VKS286" s="1132" t="n"/>
      <c r="VKT286" s="1132" t="n"/>
      <c r="VKU286" s="1132" t="n"/>
      <c r="VKV286" s="1132" t="n"/>
      <c r="VKW286" s="1132" t="n"/>
      <c r="VKX286" s="1132" t="n"/>
      <c r="VKY286" s="1132" t="n"/>
      <c r="VKZ286" s="1132" t="n"/>
      <c r="VLA286" s="1132" t="n"/>
      <c r="VLB286" s="1132" t="n"/>
      <c r="VLC286" s="1132" t="n"/>
      <c r="VLD286" s="1132" t="n"/>
      <c r="VLE286" s="1132" t="n"/>
      <c r="VLF286" s="1132" t="n"/>
      <c r="VLG286" s="1132" t="n"/>
      <c r="VLH286" s="1132" t="n"/>
      <c r="VLI286" s="1132" t="n"/>
      <c r="VLJ286" s="1132" t="n"/>
      <c r="VLK286" s="1132" t="n"/>
      <c r="VLL286" s="1132" t="n"/>
      <c r="VLM286" s="1132" t="n"/>
      <c r="VLN286" s="1132" t="n"/>
      <c r="VLO286" s="1132" t="n"/>
      <c r="VLP286" s="1132" t="n"/>
      <c r="VLQ286" s="1132" t="n"/>
      <c r="VLR286" s="1132" t="n"/>
      <c r="VLS286" s="1132" t="n"/>
      <c r="VLT286" s="1132" t="n"/>
      <c r="VLU286" s="1132" t="n"/>
      <c r="VLV286" s="1132" t="n"/>
      <c r="VLW286" s="1132" t="n"/>
      <c r="VLX286" s="1132" t="n"/>
      <c r="VLY286" s="1132" t="n"/>
      <c r="VLZ286" s="1132" t="n"/>
      <c r="VMA286" s="1132" t="n"/>
      <c r="VMB286" s="1132" t="n"/>
      <c r="VMC286" s="1132" t="n"/>
      <c r="VMD286" s="1132" t="n"/>
      <c r="VME286" s="1132" t="n"/>
      <c r="VMF286" s="1132" t="n"/>
      <c r="VMG286" s="1132" t="n"/>
      <c r="VMH286" s="1132" t="n"/>
      <c r="VMI286" s="1132" t="n"/>
      <c r="VMJ286" s="1132" t="n"/>
      <c r="VMK286" s="1132" t="n"/>
      <c r="VML286" s="1132" t="n"/>
      <c r="VMM286" s="1132" t="n"/>
      <c r="VMN286" s="1132" t="n"/>
      <c r="VMO286" s="1132" t="n"/>
      <c r="VMP286" s="1132" t="n"/>
      <c r="VMQ286" s="1132" t="n"/>
      <c r="VMR286" s="1132" t="n"/>
      <c r="VMS286" s="1132" t="n"/>
      <c r="VMT286" s="1132" t="n"/>
      <c r="VMU286" s="1132" t="n"/>
      <c r="VMV286" s="1132" t="n"/>
      <c r="VMW286" s="1132" t="n"/>
      <c r="VMX286" s="1132" t="n"/>
      <c r="VMY286" s="1132" t="n"/>
      <c r="VMZ286" s="1132" t="n"/>
      <c r="VNA286" s="1132" t="n"/>
      <c r="VNB286" s="1132" t="n"/>
      <c r="VNC286" s="1132" t="n"/>
      <c r="VND286" s="1132" t="n"/>
      <c r="VNE286" s="1132" t="n"/>
      <c r="VNF286" s="1132" t="n"/>
      <c r="VNG286" s="1132" t="n"/>
      <c r="VNH286" s="1132" t="n"/>
      <c r="VNI286" s="1132" t="n"/>
      <c r="VNJ286" s="1132" t="n"/>
      <c r="VNK286" s="1132" t="n"/>
      <c r="VNL286" s="1132" t="n"/>
      <c r="VNM286" s="1132" t="n"/>
      <c r="VNN286" s="1132" t="n"/>
      <c r="VNO286" s="1132" t="n"/>
      <c r="VNP286" s="1132" t="n"/>
      <c r="VNQ286" s="1132" t="n"/>
      <c r="VNR286" s="1132" t="n"/>
      <c r="VNS286" s="1132" t="n"/>
      <c r="VNT286" s="1132" t="n"/>
      <c r="VNU286" s="1132" t="n"/>
      <c r="VNV286" s="1132" t="n"/>
      <c r="VNW286" s="1132" t="n"/>
      <c r="VNX286" s="1132" t="n"/>
      <c r="VNY286" s="1132" t="n"/>
      <c r="VNZ286" s="1132" t="n"/>
      <c r="VOA286" s="1132" t="n"/>
      <c r="VOB286" s="1132" t="n"/>
      <c r="VOC286" s="1132" t="n"/>
      <c r="VOD286" s="1132" t="n"/>
      <c r="VOE286" s="1132" t="n"/>
      <c r="VOF286" s="1132" t="n"/>
      <c r="VOG286" s="1132" t="n"/>
      <c r="VOH286" s="1132" t="n"/>
      <c r="VOI286" s="1132" t="n"/>
      <c r="VOJ286" s="1132" t="n"/>
      <c r="VOK286" s="1132" t="n"/>
      <c r="VOL286" s="1132" t="n"/>
      <c r="VOM286" s="1132" t="n"/>
      <c r="VON286" s="1132" t="n"/>
      <c r="VOO286" s="1132" t="n"/>
      <c r="VOP286" s="1132" t="n"/>
      <c r="VOQ286" s="1132" t="n"/>
      <c r="VOR286" s="1132" t="n"/>
      <c r="VOS286" s="1132" t="n"/>
      <c r="VOT286" s="1132" t="n"/>
      <c r="VOU286" s="1132" t="n"/>
      <c r="VOV286" s="1132" t="n"/>
      <c r="VOW286" s="1132" t="n"/>
      <c r="VOX286" s="1132" t="n"/>
      <c r="VOY286" s="1132" t="n"/>
      <c r="VOZ286" s="1132" t="n"/>
      <c r="VPA286" s="1132" t="n"/>
      <c r="VPB286" s="1132" t="n"/>
      <c r="VPC286" s="1132" t="n"/>
      <c r="VPD286" s="1132" t="n"/>
      <c r="VPE286" s="1132" t="n"/>
      <c r="VPF286" s="1132" t="n"/>
      <c r="VPG286" s="1132" t="n"/>
      <c r="VPH286" s="1132" t="n"/>
      <c r="VPI286" s="1132" t="n"/>
      <c r="VPJ286" s="1132" t="n"/>
      <c r="VPK286" s="1132" t="n"/>
      <c r="VPL286" s="1132" t="n"/>
      <c r="VPM286" s="1132" t="n"/>
      <c r="VPN286" s="1132" t="n"/>
      <c r="VPO286" s="1132" t="n"/>
      <c r="VPP286" s="1132" t="n"/>
      <c r="VPQ286" s="1132" t="n"/>
      <c r="VPR286" s="1132" t="n"/>
      <c r="VPS286" s="1132" t="n"/>
      <c r="VPT286" s="1132" t="n"/>
      <c r="VPU286" s="1132" t="n"/>
      <c r="VPV286" s="1132" t="n"/>
      <c r="VPW286" s="1132" t="n"/>
      <c r="VPX286" s="1132" t="n"/>
      <c r="VPY286" s="1132" t="n"/>
      <c r="VPZ286" s="1132" t="n"/>
      <c r="VQA286" s="1132" t="n"/>
      <c r="VQB286" s="1132" t="n"/>
      <c r="VQC286" s="1132" t="n"/>
      <c r="VQD286" s="1132" t="n"/>
      <c r="VQE286" s="1132" t="n"/>
      <c r="VQF286" s="1132" t="n"/>
      <c r="VQG286" s="1132" t="n"/>
      <c r="VQH286" s="1132" t="n"/>
      <c r="VQI286" s="1132" t="n"/>
      <c r="VQJ286" s="1132" t="n"/>
      <c r="VQK286" s="1132" t="n"/>
      <c r="VQL286" s="1132" t="n"/>
      <c r="VQM286" s="1132" t="n"/>
      <c r="VQN286" s="1132" t="n"/>
      <c r="VQO286" s="1132" t="n"/>
      <c r="VQP286" s="1132" t="n"/>
      <c r="VQQ286" s="1132" t="n"/>
      <c r="VQR286" s="1132" t="n"/>
      <c r="VQS286" s="1132" t="n"/>
      <c r="VQT286" s="1132" t="n"/>
      <c r="VQU286" s="1132" t="n"/>
      <c r="VQV286" s="1132" t="n"/>
      <c r="VQW286" s="1132" t="n"/>
      <c r="VQX286" s="1132" t="n"/>
      <c r="VQY286" s="1132" t="n"/>
      <c r="VQZ286" s="1132" t="n"/>
      <c r="VRA286" s="1132" t="n"/>
      <c r="VRB286" s="1132" t="n"/>
      <c r="VRC286" s="1132" t="n"/>
      <c r="VRD286" s="1132" t="n"/>
      <c r="VRE286" s="1132" t="n"/>
      <c r="VRF286" s="1132" t="n"/>
      <c r="VRG286" s="1132" t="n"/>
      <c r="VRH286" s="1132" t="n"/>
      <c r="VRI286" s="1132" t="n"/>
      <c r="VRJ286" s="1132" t="n"/>
      <c r="VRK286" s="1132" t="n"/>
      <c r="VRL286" s="1132" t="n"/>
      <c r="VRM286" s="1132" t="n"/>
      <c r="VRN286" s="1132" t="n"/>
      <c r="VRO286" s="1132" t="n"/>
      <c r="VRP286" s="1132" t="n"/>
      <c r="VRQ286" s="1132" t="n"/>
      <c r="VRR286" s="1132" t="n"/>
      <c r="VRS286" s="1132" t="n"/>
      <c r="VRT286" s="1132" t="n"/>
      <c r="VRU286" s="1132" t="n"/>
      <c r="VRV286" s="1132" t="n"/>
      <c r="VRW286" s="1132" t="n"/>
      <c r="VRX286" s="1132" t="n"/>
      <c r="VRY286" s="1132" t="n"/>
      <c r="VRZ286" s="1132" t="n"/>
      <c r="VSA286" s="1132" t="n"/>
      <c r="VSB286" s="1132" t="n"/>
      <c r="VSC286" s="1132" t="n"/>
      <c r="VSD286" s="1132" t="n"/>
      <c r="VSE286" s="1132" t="n"/>
      <c r="VSF286" s="1132" t="n"/>
      <c r="VSG286" s="1132" t="n"/>
      <c r="VSH286" s="1132" t="n"/>
      <c r="VSI286" s="1132" t="n"/>
      <c r="VSJ286" s="1132" t="n"/>
      <c r="VSK286" s="1132" t="n"/>
      <c r="VSL286" s="1132" t="n"/>
      <c r="VSM286" s="1132" t="n"/>
      <c r="VSN286" s="1132" t="n"/>
      <c r="VSO286" s="1132" t="n"/>
      <c r="VSP286" s="1132" t="n"/>
      <c r="VSQ286" s="1132" t="n"/>
      <c r="VSR286" s="1132" t="n"/>
      <c r="VSS286" s="1132" t="n"/>
      <c r="VST286" s="1132" t="n"/>
      <c r="VSU286" s="1132" t="n"/>
      <c r="VSV286" s="1132" t="n"/>
      <c r="VSW286" s="1132" t="n"/>
      <c r="VSX286" s="1132" t="n"/>
      <c r="VSY286" s="1132" t="n"/>
      <c r="VSZ286" s="1132" t="n"/>
      <c r="VTA286" s="1132" t="n"/>
      <c r="VTB286" s="1132" t="n"/>
      <c r="VTC286" s="1132" t="n"/>
      <c r="VTD286" s="1132" t="n"/>
      <c r="VTE286" s="1132" t="n"/>
      <c r="VTF286" s="1132" t="n"/>
      <c r="VTG286" s="1132" t="n"/>
      <c r="VTH286" s="1132" t="n"/>
      <c r="VTI286" s="1132" t="n"/>
      <c r="VTJ286" s="1132" t="n"/>
      <c r="VTK286" s="1132" t="n"/>
      <c r="VTL286" s="1132" t="n"/>
      <c r="VTM286" s="1132" t="n"/>
      <c r="VTN286" s="1132" t="n"/>
      <c r="VTO286" s="1132" t="n"/>
      <c r="VTP286" s="1132" t="n"/>
      <c r="VTQ286" s="1132" t="n"/>
      <c r="VTR286" s="1132" t="n"/>
      <c r="VTS286" s="1132" t="n"/>
      <c r="VTT286" s="1132" t="n"/>
      <c r="VTU286" s="1132" t="n"/>
      <c r="VTV286" s="1132" t="n"/>
      <c r="VTW286" s="1132" t="n"/>
      <c r="VTX286" s="1132" t="n"/>
      <c r="VTY286" s="1132" t="n"/>
      <c r="VTZ286" s="1132" t="n"/>
      <c r="VUA286" s="1132" t="n"/>
      <c r="VUB286" s="1132" t="n"/>
      <c r="VUC286" s="1132" t="n"/>
      <c r="VUD286" s="1132" t="n"/>
      <c r="VUE286" s="1132" t="n"/>
      <c r="VUF286" s="1132" t="n"/>
      <c r="VUG286" s="1132" t="n"/>
      <c r="VUH286" s="1132" t="n"/>
      <c r="VUI286" s="1132" t="n"/>
      <c r="VUJ286" s="1132" t="n"/>
      <c r="VUK286" s="1132" t="n"/>
      <c r="VUL286" s="1132" t="n"/>
      <c r="VUM286" s="1132" t="n"/>
      <c r="VUN286" s="1132" t="n"/>
      <c r="VUO286" s="1132" t="n"/>
      <c r="VUP286" s="1132" t="n"/>
      <c r="VUQ286" s="1132" t="n"/>
      <c r="VUR286" s="1132" t="n"/>
      <c r="VUS286" s="1132" t="n"/>
      <c r="VUT286" s="1132" t="n"/>
      <c r="VUU286" s="1132" t="n"/>
      <c r="VUV286" s="1132" t="n"/>
      <c r="VUW286" s="1132" t="n"/>
      <c r="VUX286" s="1132" t="n"/>
      <c r="VUY286" s="1132" t="n"/>
      <c r="VUZ286" s="1132" t="n"/>
      <c r="VVA286" s="1132" t="n"/>
      <c r="VVB286" s="1132" t="n"/>
      <c r="VVC286" s="1132" t="n"/>
      <c r="VVD286" s="1132" t="n"/>
      <c r="VVE286" s="1132" t="n"/>
      <c r="VVF286" s="1132" t="n"/>
      <c r="VVG286" s="1132" t="n"/>
      <c r="VVH286" s="1132" t="n"/>
      <c r="VVI286" s="1132" t="n"/>
      <c r="VVJ286" s="1132" t="n"/>
      <c r="VVK286" s="1132" t="n"/>
      <c r="VVL286" s="1132" t="n"/>
      <c r="VVM286" s="1132" t="n"/>
      <c r="VVN286" s="1132" t="n"/>
      <c r="VVO286" s="1132" t="n"/>
      <c r="VVP286" s="1132" t="n"/>
      <c r="VVQ286" s="1132" t="n"/>
      <c r="VVR286" s="1132" t="n"/>
      <c r="VVS286" s="1132" t="n"/>
      <c r="VVT286" s="1132" t="n"/>
      <c r="VVU286" s="1132" t="n"/>
      <c r="VVV286" s="1132" t="n"/>
      <c r="VVW286" s="1132" t="n"/>
      <c r="VVX286" s="1132" t="n"/>
      <c r="VVY286" s="1132" t="n"/>
      <c r="VVZ286" s="1132" t="n"/>
      <c r="VWA286" s="1132" t="n"/>
      <c r="VWB286" s="1132" t="n"/>
      <c r="VWC286" s="1132" t="n"/>
      <c r="VWD286" s="1132" t="n"/>
      <c r="VWE286" s="1132" t="n"/>
      <c r="VWF286" s="1132" t="n"/>
      <c r="VWG286" s="1132" t="n"/>
      <c r="VWH286" s="1132" t="n"/>
      <c r="VWI286" s="1132" t="n"/>
      <c r="VWJ286" s="1132" t="n"/>
      <c r="VWK286" s="1132" t="n"/>
      <c r="VWL286" s="1132" t="n"/>
      <c r="VWM286" s="1132" t="n"/>
      <c r="VWN286" s="1132" t="n"/>
      <c r="VWO286" s="1132" t="n"/>
      <c r="VWP286" s="1132" t="n"/>
      <c r="VWQ286" s="1132" t="n"/>
      <c r="VWR286" s="1132" t="n"/>
      <c r="VWS286" s="1132" t="n"/>
      <c r="VWT286" s="1132" t="n"/>
      <c r="VWU286" s="1132" t="n"/>
      <c r="VWV286" s="1132" t="n"/>
      <c r="VWW286" s="1132" t="n"/>
      <c r="VWX286" s="1132" t="n"/>
      <c r="VWY286" s="1132" t="n"/>
      <c r="VWZ286" s="1132" t="n"/>
      <c r="VXA286" s="1132" t="n"/>
      <c r="VXB286" s="1132" t="n"/>
      <c r="VXC286" s="1132" t="n"/>
      <c r="VXD286" s="1132" t="n"/>
      <c r="VXE286" s="1132" t="n"/>
      <c r="VXF286" s="1132" t="n"/>
      <c r="VXG286" s="1132" t="n"/>
      <c r="VXH286" s="1132" t="n"/>
      <c r="VXI286" s="1132" t="n"/>
      <c r="VXJ286" s="1132" t="n"/>
      <c r="VXK286" s="1132" t="n"/>
      <c r="VXL286" s="1132" t="n"/>
      <c r="VXM286" s="1132" t="n"/>
      <c r="VXN286" s="1132" t="n"/>
      <c r="VXO286" s="1132" t="n"/>
      <c r="VXP286" s="1132" t="n"/>
      <c r="VXQ286" s="1132" t="n"/>
      <c r="VXR286" s="1132" t="n"/>
      <c r="VXS286" s="1132" t="n"/>
      <c r="VXT286" s="1132" t="n"/>
      <c r="VXU286" s="1132" t="n"/>
      <c r="VXV286" s="1132" t="n"/>
      <c r="VXW286" s="1132" t="n"/>
      <c r="VXX286" s="1132" t="n"/>
      <c r="VXY286" s="1132" t="n"/>
      <c r="VXZ286" s="1132" t="n"/>
      <c r="VYA286" s="1132" t="n"/>
      <c r="VYB286" s="1132" t="n"/>
      <c r="VYC286" s="1132" t="n"/>
      <c r="VYD286" s="1132" t="n"/>
      <c r="VYE286" s="1132" t="n"/>
      <c r="VYF286" s="1132" t="n"/>
      <c r="VYG286" s="1132" t="n"/>
      <c r="VYH286" s="1132" t="n"/>
      <c r="VYI286" s="1132" t="n"/>
      <c r="VYJ286" s="1132" t="n"/>
      <c r="VYK286" s="1132" t="n"/>
      <c r="VYL286" s="1132" t="n"/>
      <c r="VYM286" s="1132" t="n"/>
      <c r="VYN286" s="1132" t="n"/>
      <c r="VYO286" s="1132" t="n"/>
      <c r="VYP286" s="1132" t="n"/>
      <c r="VYQ286" s="1132" t="n"/>
      <c r="VYR286" s="1132" t="n"/>
      <c r="VYS286" s="1132" t="n"/>
      <c r="VYT286" s="1132" t="n"/>
      <c r="VYU286" s="1132" t="n"/>
      <c r="VYV286" s="1132" t="n"/>
      <c r="VYW286" s="1132" t="n"/>
      <c r="VYX286" s="1132" t="n"/>
      <c r="VYY286" s="1132" t="n"/>
      <c r="VYZ286" s="1132" t="n"/>
      <c r="VZA286" s="1132" t="n"/>
      <c r="VZB286" s="1132" t="n"/>
      <c r="VZC286" s="1132" t="n"/>
      <c r="VZD286" s="1132" t="n"/>
      <c r="VZE286" s="1132" t="n"/>
      <c r="VZF286" s="1132" t="n"/>
      <c r="VZG286" s="1132" t="n"/>
      <c r="VZH286" s="1132" t="n"/>
      <c r="VZI286" s="1132" t="n"/>
      <c r="VZJ286" s="1132" t="n"/>
      <c r="VZK286" s="1132" t="n"/>
      <c r="VZL286" s="1132" t="n"/>
      <c r="VZM286" s="1132" t="n"/>
      <c r="VZN286" s="1132" t="n"/>
      <c r="VZO286" s="1132" t="n"/>
      <c r="VZP286" s="1132" t="n"/>
      <c r="VZQ286" s="1132" t="n"/>
      <c r="VZR286" s="1132" t="n"/>
      <c r="VZS286" s="1132" t="n"/>
      <c r="VZT286" s="1132" t="n"/>
      <c r="VZU286" s="1132" t="n"/>
      <c r="VZV286" s="1132" t="n"/>
      <c r="VZW286" s="1132" t="n"/>
      <c r="VZX286" s="1132" t="n"/>
      <c r="VZY286" s="1132" t="n"/>
      <c r="VZZ286" s="1132" t="n"/>
      <c r="WAA286" s="1132" t="n"/>
      <c r="WAB286" s="1132" t="n"/>
      <c r="WAC286" s="1132" t="n"/>
      <c r="WAD286" s="1132" t="n"/>
      <c r="WAE286" s="1132" t="n"/>
      <c r="WAF286" s="1132" t="n"/>
      <c r="WAG286" s="1132" t="n"/>
      <c r="WAH286" s="1132" t="n"/>
      <c r="WAI286" s="1132" t="n"/>
      <c r="WAJ286" s="1132" t="n"/>
      <c r="WAK286" s="1132" t="n"/>
      <c r="WAL286" s="1132" t="n"/>
      <c r="WAM286" s="1132" t="n"/>
      <c r="WAN286" s="1132" t="n"/>
      <c r="WAO286" s="1132" t="n"/>
      <c r="WAP286" s="1132" t="n"/>
      <c r="WAQ286" s="1132" t="n"/>
      <c r="WAR286" s="1132" t="n"/>
      <c r="WAS286" s="1132" t="n"/>
      <c r="WAT286" s="1132" t="n"/>
      <c r="WAU286" s="1132" t="n"/>
      <c r="WAV286" s="1132" t="n"/>
      <c r="WAW286" s="1132" t="n"/>
      <c r="WAX286" s="1132" t="n"/>
      <c r="WAY286" s="1132" t="n"/>
      <c r="WAZ286" s="1132" t="n"/>
      <c r="WBA286" s="1132" t="n"/>
      <c r="WBB286" s="1132" t="n"/>
      <c r="WBC286" s="1132" t="n"/>
      <c r="WBD286" s="1132" t="n"/>
      <c r="WBE286" s="1132" t="n"/>
      <c r="WBF286" s="1132" t="n"/>
      <c r="WBG286" s="1132" t="n"/>
      <c r="WBH286" s="1132" t="n"/>
      <c r="WBI286" s="1132" t="n"/>
      <c r="WBJ286" s="1132" t="n"/>
      <c r="WBK286" s="1132" t="n"/>
      <c r="WBL286" s="1132" t="n"/>
      <c r="WBM286" s="1132" t="n"/>
      <c r="WBN286" s="1132" t="n"/>
      <c r="WBO286" s="1132" t="n"/>
      <c r="WBP286" s="1132" t="n"/>
      <c r="WBQ286" s="1132" t="n"/>
      <c r="WBR286" s="1132" t="n"/>
      <c r="WBS286" s="1132" t="n"/>
      <c r="WBT286" s="1132" t="n"/>
      <c r="WBU286" s="1132" t="n"/>
      <c r="WBV286" s="1132" t="n"/>
      <c r="WBW286" s="1132" t="n"/>
      <c r="WBX286" s="1132" t="n"/>
      <c r="WBY286" s="1132" t="n"/>
      <c r="WBZ286" s="1132" t="n"/>
      <c r="WCA286" s="1132" t="n"/>
      <c r="WCB286" s="1132" t="n"/>
      <c r="WCC286" s="1132" t="n"/>
      <c r="WCD286" s="1132" t="n"/>
      <c r="WCE286" s="1132" t="n"/>
      <c r="WCF286" s="1132" t="n"/>
      <c r="WCG286" s="1132" t="n"/>
      <c r="WCH286" s="1132" t="n"/>
      <c r="WCI286" s="1132" t="n"/>
      <c r="WCJ286" s="1132" t="n"/>
      <c r="WCK286" s="1132" t="n"/>
      <c r="WCL286" s="1132" t="n"/>
      <c r="WCM286" s="1132" t="n"/>
      <c r="WCN286" s="1132" t="n"/>
      <c r="WCO286" s="1132" t="n"/>
      <c r="WCP286" s="1132" t="n"/>
      <c r="WCQ286" s="1132" t="n"/>
      <c r="WCR286" s="1132" t="n"/>
      <c r="WCS286" s="1132" t="n"/>
      <c r="WCT286" s="1132" t="n"/>
      <c r="WCU286" s="1132" t="n"/>
      <c r="WCV286" s="1132" t="n"/>
      <c r="WCW286" s="1132" t="n"/>
      <c r="WCX286" s="1132" t="n"/>
      <c r="WCY286" s="1132" t="n"/>
      <c r="WCZ286" s="1132" t="n"/>
      <c r="WDA286" s="1132" t="n"/>
      <c r="WDB286" s="1132" t="n"/>
      <c r="WDC286" s="1132" t="n"/>
      <c r="WDD286" s="1132" t="n"/>
      <c r="WDE286" s="1132" t="n"/>
      <c r="WDF286" s="1132" t="n"/>
      <c r="WDG286" s="1132" t="n"/>
      <c r="WDH286" s="1132" t="n"/>
      <c r="WDI286" s="1132" t="n"/>
      <c r="WDJ286" s="1132" t="n"/>
      <c r="WDK286" s="1132" t="n"/>
      <c r="WDL286" s="1132" t="n"/>
      <c r="WDM286" s="1132" t="n"/>
      <c r="WDN286" s="1132" t="n"/>
      <c r="WDO286" s="1132" t="n"/>
      <c r="WDP286" s="1132" t="n"/>
      <c r="WDQ286" s="1132" t="n"/>
      <c r="WDR286" s="1132" t="n"/>
      <c r="WDS286" s="1132" t="n"/>
      <c r="WDT286" s="1132" t="n"/>
      <c r="WDU286" s="1132" t="n"/>
      <c r="WDV286" s="1132" t="n"/>
      <c r="WDW286" s="1132" t="n"/>
      <c r="WDX286" s="1132" t="n"/>
      <c r="WDY286" s="1132" t="n"/>
      <c r="WDZ286" s="1132" t="n"/>
      <c r="WEA286" s="1132" t="n"/>
      <c r="WEB286" s="1132" t="n"/>
      <c r="WEC286" s="1132" t="n"/>
      <c r="WED286" s="1132" t="n"/>
      <c r="WEE286" s="1132" t="n"/>
      <c r="WEF286" s="1132" t="n"/>
      <c r="WEG286" s="1132" t="n"/>
      <c r="WEH286" s="1132" t="n"/>
      <c r="WEI286" s="1132" t="n"/>
      <c r="WEJ286" s="1132" t="n"/>
      <c r="WEK286" s="1132" t="n"/>
      <c r="WEL286" s="1132" t="n"/>
      <c r="WEM286" s="1132" t="n"/>
      <c r="WEN286" s="1132" t="n"/>
      <c r="WEO286" s="1132" t="n"/>
      <c r="WEP286" s="1132" t="n"/>
      <c r="WEQ286" s="1132" t="n"/>
      <c r="WER286" s="1132" t="n"/>
      <c r="WES286" s="1132" t="n"/>
      <c r="WET286" s="1132" t="n"/>
      <c r="WEU286" s="1132" t="n"/>
      <c r="WEV286" s="1132" t="n"/>
      <c r="WEW286" s="1132" t="n"/>
      <c r="WEX286" s="1132" t="n"/>
      <c r="WEY286" s="1132" t="n"/>
      <c r="WEZ286" s="1132" t="n"/>
      <c r="WFA286" s="1132" t="n"/>
      <c r="WFB286" s="1132" t="n"/>
      <c r="WFC286" s="1132" t="n"/>
      <c r="WFD286" s="1132" t="n"/>
      <c r="WFE286" s="1132" t="n"/>
      <c r="WFF286" s="1132" t="n"/>
      <c r="WFG286" s="1132" t="n"/>
      <c r="WFH286" s="1132" t="n"/>
      <c r="WFI286" s="1132" t="n"/>
      <c r="WFJ286" s="1132" t="n"/>
      <c r="WFK286" s="1132" t="n"/>
      <c r="WFL286" s="1132" t="n"/>
      <c r="WFM286" s="1132" t="n"/>
      <c r="WFN286" s="1132" t="n"/>
      <c r="WFO286" s="1132" t="n"/>
      <c r="WFP286" s="1132" t="n"/>
      <c r="WFQ286" s="1132" t="n"/>
      <c r="WFR286" s="1132" t="n"/>
      <c r="WFS286" s="1132" t="n"/>
      <c r="WFT286" s="1132" t="n"/>
      <c r="WFU286" s="1132" t="n"/>
      <c r="WFV286" s="1132" t="n"/>
      <c r="WFW286" s="1132" t="n"/>
      <c r="WFX286" s="1132" t="n"/>
      <c r="WFY286" s="1132" t="n"/>
      <c r="WFZ286" s="1132" t="n"/>
      <c r="WGA286" s="1132" t="n"/>
      <c r="WGB286" s="1132" t="n"/>
      <c r="WGC286" s="1132" t="n"/>
      <c r="WGD286" s="1132" t="n"/>
      <c r="WGE286" s="1132" t="n"/>
      <c r="WGF286" s="1132" t="n"/>
      <c r="WGG286" s="1132" t="n"/>
      <c r="WGH286" s="1132" t="n"/>
      <c r="WGI286" s="1132" t="n"/>
      <c r="WGJ286" s="1132" t="n"/>
      <c r="WGK286" s="1132" t="n"/>
      <c r="WGL286" s="1132" t="n"/>
      <c r="WGM286" s="1132" t="n"/>
      <c r="WGN286" s="1132" t="n"/>
      <c r="WGO286" s="1132" t="n"/>
      <c r="WGP286" s="1132" t="n"/>
      <c r="WGQ286" s="1132" t="n"/>
      <c r="WGR286" s="1132" t="n"/>
      <c r="WGS286" s="1132" t="n"/>
      <c r="WGT286" s="1132" t="n"/>
      <c r="WGU286" s="1132" t="n"/>
      <c r="WGV286" s="1132" t="n"/>
      <c r="WGW286" s="1132" t="n"/>
      <c r="WGX286" s="1132" t="n"/>
      <c r="WGY286" s="1132" t="n"/>
      <c r="WGZ286" s="1132" t="n"/>
      <c r="WHA286" s="1132" t="n"/>
      <c r="WHB286" s="1132" t="n"/>
      <c r="WHC286" s="1132" t="n"/>
      <c r="WHD286" s="1132" t="n"/>
      <c r="WHE286" s="1132" t="n"/>
      <c r="WHF286" s="1132" t="n"/>
      <c r="WHG286" s="1132" t="n"/>
      <c r="WHH286" s="1132" t="n"/>
      <c r="WHI286" s="1132" t="n"/>
      <c r="WHJ286" s="1132" t="n"/>
      <c r="WHK286" s="1132" t="n"/>
      <c r="WHL286" s="1132" t="n"/>
      <c r="WHM286" s="1132" t="n"/>
      <c r="WHN286" s="1132" t="n"/>
      <c r="WHO286" s="1132" t="n"/>
      <c r="WHP286" s="1132" t="n"/>
      <c r="WHQ286" s="1132" t="n"/>
      <c r="WHR286" s="1132" t="n"/>
      <c r="WHS286" s="1132" t="n"/>
      <c r="WHT286" s="1132" t="n"/>
      <c r="WHU286" s="1132" t="n"/>
      <c r="WHV286" s="1132" t="n"/>
      <c r="WHW286" s="1132" t="n"/>
      <c r="WHX286" s="1132" t="n"/>
      <c r="WHY286" s="1132" t="n"/>
      <c r="WHZ286" s="1132" t="n"/>
      <c r="WIA286" s="1132" t="n"/>
      <c r="WIB286" s="1132" t="n"/>
      <c r="WIC286" s="1132" t="n"/>
      <c r="WID286" s="1132" t="n"/>
      <c r="WIE286" s="1132" t="n"/>
      <c r="WIF286" s="1132" t="n"/>
      <c r="WIG286" s="1132" t="n"/>
      <c r="WIH286" s="1132" t="n"/>
      <c r="WII286" s="1132" t="n"/>
      <c r="WIJ286" s="1132" t="n"/>
      <c r="WIK286" s="1132" t="n"/>
      <c r="WIL286" s="1132" t="n"/>
      <c r="WIM286" s="1132" t="n"/>
      <c r="WIN286" s="1132" t="n"/>
      <c r="WIO286" s="1132" t="n"/>
      <c r="WIP286" s="1132" t="n"/>
      <c r="WIQ286" s="1132" t="n"/>
      <c r="WIR286" s="1132" t="n"/>
      <c r="WIS286" s="1132" t="n"/>
      <c r="WIT286" s="1132" t="n"/>
      <c r="WIU286" s="1132" t="n"/>
      <c r="WIV286" s="1132" t="n"/>
      <c r="WIW286" s="1132" t="n"/>
      <c r="WIX286" s="1132" t="n"/>
      <c r="WIY286" s="1132" t="n"/>
      <c r="WIZ286" s="1132" t="n"/>
      <c r="WJA286" s="1132" t="n"/>
      <c r="WJB286" s="1132" t="n"/>
      <c r="WJC286" s="1132" t="n"/>
      <c r="WJD286" s="1132" t="n"/>
      <c r="WJE286" s="1132" t="n"/>
      <c r="WJF286" s="1132" t="n"/>
      <c r="WJG286" s="1132" t="n"/>
      <c r="WJH286" s="1132" t="n"/>
      <c r="WJI286" s="1132" t="n"/>
      <c r="WJJ286" s="1132" t="n"/>
      <c r="WJK286" s="1132" t="n"/>
      <c r="WJL286" s="1132" t="n"/>
      <c r="WJM286" s="1132" t="n"/>
      <c r="WJN286" s="1132" t="n"/>
      <c r="WJO286" s="1132" t="n"/>
      <c r="WJP286" s="1132" t="n"/>
      <c r="WJQ286" s="1132" t="n"/>
      <c r="WJR286" s="1132" t="n"/>
      <c r="WJS286" s="1132" t="n"/>
      <c r="WJT286" s="1132" t="n"/>
      <c r="WJU286" s="1132" t="n"/>
      <c r="WJV286" s="1132" t="n"/>
      <c r="WJW286" s="1132" t="n"/>
      <c r="WJX286" s="1132" t="n"/>
      <c r="WJY286" s="1132" t="n"/>
      <c r="WJZ286" s="1132" t="n"/>
      <c r="WKA286" s="1132" t="n"/>
      <c r="WKB286" s="1132" t="n"/>
      <c r="WKC286" s="1132" t="n"/>
      <c r="WKD286" s="1132" t="n"/>
      <c r="WKE286" s="1132" t="n"/>
      <c r="WKF286" s="1132" t="n"/>
      <c r="WKG286" s="1132" t="n"/>
      <c r="WKH286" s="1132" t="n"/>
      <c r="WKI286" s="1132" t="n"/>
      <c r="WKJ286" s="1132" t="n"/>
      <c r="WKK286" s="1132" t="n"/>
      <c r="WKL286" s="1132" t="n"/>
      <c r="WKM286" s="1132" t="n"/>
      <c r="WKN286" s="1132" t="n"/>
      <c r="WKO286" s="1132" t="n"/>
      <c r="WKP286" s="1132" t="n"/>
      <c r="WKQ286" s="1132" t="n"/>
      <c r="WKR286" s="1132" t="n"/>
      <c r="WKS286" s="1132" t="n"/>
      <c r="WKT286" s="1132" t="n"/>
      <c r="WKU286" s="1132" t="n"/>
      <c r="WKV286" s="1132" t="n"/>
      <c r="WKW286" s="1132" t="n"/>
      <c r="WKX286" s="1132" t="n"/>
      <c r="WKY286" s="1132" t="n"/>
      <c r="WKZ286" s="1132" t="n"/>
      <c r="WLA286" s="1132" t="n"/>
      <c r="WLB286" s="1132" t="n"/>
      <c r="WLC286" s="1132" t="n"/>
      <c r="WLD286" s="1132" t="n"/>
      <c r="WLE286" s="1132" t="n"/>
      <c r="WLF286" s="1132" t="n"/>
      <c r="WLG286" s="1132" t="n"/>
      <c r="WLH286" s="1132" t="n"/>
      <c r="WLI286" s="1132" t="n"/>
      <c r="WLJ286" s="1132" t="n"/>
      <c r="WLK286" s="1132" t="n"/>
      <c r="WLL286" s="1132" t="n"/>
      <c r="WLM286" s="1132" t="n"/>
      <c r="WLN286" s="1132" t="n"/>
      <c r="WLO286" s="1132" t="n"/>
      <c r="WLP286" s="1132" t="n"/>
      <c r="WLQ286" s="1132" t="n"/>
      <c r="WLR286" s="1132" t="n"/>
      <c r="WLS286" s="1132" t="n"/>
      <c r="WLT286" s="1132" t="n"/>
      <c r="WLU286" s="1132" t="n"/>
      <c r="WLV286" s="1132" t="n"/>
      <c r="WLW286" s="1132" t="n"/>
      <c r="WLX286" s="1132" t="n"/>
      <c r="WLY286" s="1132" t="n"/>
      <c r="WLZ286" s="1132" t="n"/>
      <c r="WMA286" s="1132" t="n"/>
      <c r="WMB286" s="1132" t="n"/>
      <c r="WMC286" s="1132" t="n"/>
      <c r="WMD286" s="1132" t="n"/>
      <c r="WME286" s="1132" t="n"/>
      <c r="WMF286" s="1132" t="n"/>
      <c r="WMG286" s="1132" t="n"/>
      <c r="WMH286" s="1132" t="n"/>
      <c r="WMI286" s="1132" t="n"/>
      <c r="WMJ286" s="1132" t="n"/>
      <c r="WMK286" s="1132" t="n"/>
      <c r="WML286" s="1132" t="n"/>
      <c r="WMM286" s="1132" t="n"/>
      <c r="WMN286" s="1132" t="n"/>
      <c r="WMO286" s="1132" t="n"/>
      <c r="WMP286" s="1132" t="n"/>
      <c r="WMQ286" s="1132" t="n"/>
      <c r="WMR286" s="1132" t="n"/>
      <c r="WMS286" s="1132" t="n"/>
      <c r="WMT286" s="1132" t="n"/>
      <c r="WMU286" s="1132" t="n"/>
      <c r="WMV286" s="1132" t="n"/>
      <c r="WMW286" s="1132" t="n"/>
      <c r="WMX286" s="1132" t="n"/>
      <c r="WMY286" s="1132" t="n"/>
      <c r="WMZ286" s="1132" t="n"/>
      <c r="WNA286" s="1132" t="n"/>
      <c r="WNB286" s="1132" t="n"/>
      <c r="WNC286" s="1132" t="n"/>
      <c r="WND286" s="1132" t="n"/>
      <c r="WNE286" s="1132" t="n"/>
      <c r="WNF286" s="1132" t="n"/>
      <c r="WNG286" s="1132" t="n"/>
      <c r="WNH286" s="1132" t="n"/>
      <c r="WNI286" s="1132" t="n"/>
      <c r="WNJ286" s="1132" t="n"/>
      <c r="WNK286" s="1132" t="n"/>
      <c r="WNL286" s="1132" t="n"/>
      <c r="WNM286" s="1132" t="n"/>
      <c r="WNN286" s="1132" t="n"/>
      <c r="WNO286" s="1132" t="n"/>
      <c r="WNP286" s="1132" t="n"/>
      <c r="WNQ286" s="1132" t="n"/>
      <c r="WNR286" s="1132" t="n"/>
      <c r="WNS286" s="1132" t="n"/>
      <c r="WNT286" s="1132" t="n"/>
      <c r="WNU286" s="1132" t="n"/>
      <c r="WNV286" s="1132" t="n"/>
      <c r="WNW286" s="1132" t="n"/>
      <c r="WNX286" s="1132" t="n"/>
      <c r="WNY286" s="1132" t="n"/>
      <c r="WNZ286" s="1132" t="n"/>
      <c r="WOA286" s="1132" t="n"/>
      <c r="WOB286" s="1132" t="n"/>
      <c r="WOC286" s="1132" t="n"/>
      <c r="WOD286" s="1132" t="n"/>
      <c r="WOE286" s="1132" t="n"/>
      <c r="WOF286" s="1132" t="n"/>
      <c r="WOG286" s="1132" t="n"/>
      <c r="WOH286" s="1132" t="n"/>
      <c r="WOI286" s="1132" t="n"/>
      <c r="WOJ286" s="1132" t="n"/>
      <c r="WOK286" s="1132" t="n"/>
      <c r="WOL286" s="1132" t="n"/>
      <c r="WOM286" s="1132" t="n"/>
      <c r="WON286" s="1132" t="n"/>
      <c r="WOO286" s="1132" t="n"/>
      <c r="WOP286" s="1132" t="n"/>
      <c r="WOQ286" s="1132" t="n"/>
      <c r="WOR286" s="1132" t="n"/>
      <c r="WOS286" s="1132" t="n"/>
      <c r="WOT286" s="1132" t="n"/>
      <c r="WOU286" s="1132" t="n"/>
      <c r="WOV286" s="1132" t="n"/>
      <c r="WOW286" s="1132" t="n"/>
      <c r="WOX286" s="1132" t="n"/>
      <c r="WOY286" s="1132" t="n"/>
      <c r="WOZ286" s="1132" t="n"/>
      <c r="WPA286" s="1132" t="n"/>
      <c r="WPB286" s="1132" t="n"/>
      <c r="WPC286" s="1132" t="n"/>
      <c r="WPD286" s="1132" t="n"/>
      <c r="WPE286" s="1132" t="n"/>
      <c r="WPF286" s="1132" t="n"/>
      <c r="WPG286" s="1132" t="n"/>
      <c r="WPH286" s="1132" t="n"/>
      <c r="WPI286" s="1132" t="n"/>
      <c r="WPJ286" s="1132" t="n"/>
      <c r="WPK286" s="1132" t="n"/>
      <c r="WPL286" s="1132" t="n"/>
      <c r="WPM286" s="1132" t="n"/>
      <c r="WPN286" s="1132" t="n"/>
      <c r="WPO286" s="1132" t="n"/>
      <c r="WPP286" s="1132" t="n"/>
      <c r="WPQ286" s="1132" t="n"/>
      <c r="WPR286" s="1132" t="n"/>
      <c r="WPS286" s="1132" t="n"/>
      <c r="WPT286" s="1132" t="n"/>
      <c r="WPU286" s="1132" t="n"/>
      <c r="WPV286" s="1132" t="n"/>
      <c r="WPW286" s="1132" t="n"/>
      <c r="WPX286" s="1132" t="n"/>
      <c r="WPY286" s="1132" t="n"/>
      <c r="WPZ286" s="1132" t="n"/>
      <c r="WQA286" s="1132" t="n"/>
      <c r="WQB286" s="1132" t="n"/>
      <c r="WQC286" s="1132" t="n"/>
      <c r="WQD286" s="1132" t="n"/>
      <c r="WQE286" s="1132" t="n"/>
      <c r="WQF286" s="1132" t="n"/>
      <c r="WQG286" s="1132" t="n"/>
      <c r="WQH286" s="1132" t="n"/>
      <c r="WQI286" s="1132" t="n"/>
      <c r="WQJ286" s="1132" t="n"/>
      <c r="WQK286" s="1132" t="n"/>
      <c r="WQL286" s="1132" t="n"/>
      <c r="WQM286" s="1132" t="n"/>
      <c r="WQN286" s="1132" t="n"/>
      <c r="WQO286" s="1132" t="n"/>
      <c r="WQP286" s="1132" t="n"/>
      <c r="WQQ286" s="1132" t="n"/>
      <c r="WQR286" s="1132" t="n"/>
      <c r="WQS286" s="1132" t="n"/>
      <c r="WQT286" s="1132" t="n"/>
      <c r="WQU286" s="1132" t="n"/>
      <c r="WQV286" s="1132" t="n"/>
      <c r="WQW286" s="1132" t="n"/>
      <c r="WQX286" s="1132" t="n"/>
      <c r="WQY286" s="1132" t="n"/>
      <c r="WQZ286" s="1132" t="n"/>
      <c r="WRA286" s="1132" t="n"/>
      <c r="WRB286" s="1132" t="n"/>
      <c r="WRC286" s="1132" t="n"/>
      <c r="WRD286" s="1132" t="n"/>
      <c r="WRE286" s="1132" t="n"/>
      <c r="WRF286" s="1132" t="n"/>
      <c r="WRG286" s="1132" t="n"/>
      <c r="WRH286" s="1132" t="n"/>
      <c r="WRI286" s="1132" t="n"/>
      <c r="WRJ286" s="1132" t="n"/>
      <c r="WRK286" s="1132" t="n"/>
      <c r="WRL286" s="1132" t="n"/>
      <c r="WRM286" s="1132" t="n"/>
      <c r="WRN286" s="1132" t="n"/>
      <c r="WRO286" s="1132" t="n"/>
      <c r="WRP286" s="1132" t="n"/>
      <c r="WRQ286" s="1132" t="n"/>
      <c r="WRR286" s="1132" t="n"/>
      <c r="WRS286" s="1132" t="n"/>
      <c r="WRT286" s="1132" t="n"/>
      <c r="WRU286" s="1132" t="n"/>
      <c r="WRV286" s="1132" t="n"/>
      <c r="WRW286" s="1132" t="n"/>
      <c r="WRX286" s="1132" t="n"/>
      <c r="WRY286" s="1132" t="n"/>
      <c r="WRZ286" s="1132" t="n"/>
      <c r="WSA286" s="1132" t="n"/>
      <c r="WSB286" s="1132" t="n"/>
      <c r="WSC286" s="1132" t="n"/>
      <c r="WSD286" s="1132" t="n"/>
      <c r="WSE286" s="1132" t="n"/>
      <c r="WSF286" s="1132" t="n"/>
      <c r="WSG286" s="1132" t="n"/>
      <c r="WSH286" s="1132" t="n"/>
      <c r="WSI286" s="1132" t="n"/>
      <c r="WSJ286" s="1132" t="n"/>
      <c r="WSK286" s="1132" t="n"/>
      <c r="WSL286" s="1132" t="n"/>
      <c r="WSM286" s="1132" t="n"/>
      <c r="WSN286" s="1132" t="n"/>
      <c r="WSO286" s="1132" t="n"/>
      <c r="WSP286" s="1132" t="n"/>
      <c r="WSQ286" s="1132" t="n"/>
      <c r="WSR286" s="1132" t="n"/>
      <c r="WSS286" s="1132" t="n"/>
      <c r="WST286" s="1132" t="n"/>
      <c r="WSU286" s="1132" t="n"/>
      <c r="WSV286" s="1132" t="n"/>
      <c r="WSW286" s="1132" t="n"/>
      <c r="WSX286" s="1132" t="n"/>
      <c r="WSY286" s="1132" t="n"/>
      <c r="WSZ286" s="1132" t="n"/>
      <c r="WTA286" s="1132" t="n"/>
      <c r="WTB286" s="1132" t="n"/>
      <c r="WTC286" s="1132" t="n"/>
      <c r="WTD286" s="1132" t="n"/>
      <c r="WTE286" s="1132" t="n"/>
      <c r="WTF286" s="1132" t="n"/>
      <c r="WTG286" s="1132" t="n"/>
      <c r="WTH286" s="1132" t="n"/>
      <c r="WTI286" s="1132" t="n"/>
      <c r="WTJ286" s="1132" t="n"/>
      <c r="WTK286" s="1132" t="n"/>
      <c r="WTL286" s="1132" t="n"/>
      <c r="WTM286" s="1132" t="n"/>
      <c r="WTN286" s="1132" t="n"/>
      <c r="WTO286" s="1132" t="n"/>
      <c r="WTP286" s="1132" t="n"/>
      <c r="WTQ286" s="1132" t="n"/>
      <c r="WTR286" s="1132" t="n"/>
      <c r="WTS286" s="1132" t="n"/>
      <c r="WTT286" s="1132" t="n"/>
      <c r="WTU286" s="1132" t="n"/>
      <c r="WTV286" s="1132" t="n"/>
      <c r="WTW286" s="1132" t="n"/>
      <c r="WTX286" s="1132" t="n"/>
      <c r="WTY286" s="1132" t="n"/>
      <c r="WTZ286" s="1132" t="n"/>
      <c r="WUA286" s="1132" t="n"/>
      <c r="WUB286" s="1132" t="n"/>
      <c r="WUC286" s="1132" t="n"/>
      <c r="WUD286" s="1132" t="n"/>
      <c r="WUE286" s="1132" t="n"/>
      <c r="WUF286" s="1132" t="n"/>
      <c r="WUG286" s="1132" t="n"/>
      <c r="WUH286" s="1132" t="n"/>
      <c r="WUI286" s="1132" t="n"/>
      <c r="WUJ286" s="1132" t="n"/>
      <c r="WUK286" s="1132" t="n"/>
      <c r="WUL286" s="1132" t="n"/>
      <c r="WUM286" s="1132" t="n"/>
      <c r="WUN286" s="1132" t="n"/>
      <c r="WUO286" s="1132" t="n"/>
      <c r="WUP286" s="1132" t="n"/>
      <c r="WUQ286" s="1132" t="n"/>
      <c r="WUR286" s="1132" t="n"/>
      <c r="WUS286" s="1132" t="n"/>
      <c r="WUT286" s="1132" t="n"/>
      <c r="WUU286" s="1132" t="n"/>
      <c r="WUV286" s="1132" t="n"/>
      <c r="WUW286" s="1132" t="n"/>
      <c r="WUX286" s="1132" t="n"/>
      <c r="WUY286" s="1132" t="n"/>
      <c r="WUZ286" s="1132" t="n"/>
      <c r="WVA286" s="1132" t="n"/>
      <c r="WVB286" s="1132" t="n"/>
      <c r="WVC286" s="1132" t="n"/>
      <c r="WVD286" s="1132" t="n"/>
      <c r="WVE286" s="1132" t="n"/>
      <c r="WVF286" s="1132" t="n"/>
      <c r="WVG286" s="1132" t="n"/>
      <c r="WVH286" s="1132" t="n"/>
      <c r="WVI286" s="1132" t="n"/>
      <c r="WVJ286" s="1132" t="n"/>
      <c r="WVK286" s="1132" t="n"/>
      <c r="WVL286" s="1132" t="n"/>
      <c r="WVM286" s="1132" t="n"/>
      <c r="WVN286" s="1132" t="n"/>
      <c r="WVO286" s="1132" t="n"/>
      <c r="WVP286" s="1132" t="n"/>
      <c r="WVQ286" s="1132" t="n"/>
      <c r="WVR286" s="1132" t="n"/>
      <c r="WVS286" s="1132" t="n"/>
      <c r="WVT286" s="1132" t="n"/>
      <c r="WVU286" s="1132" t="n"/>
      <c r="WVV286" s="1132" t="n"/>
      <c r="WVW286" s="1132" t="n"/>
      <c r="WVX286" s="1132" t="n"/>
      <c r="WVY286" s="1132" t="n"/>
      <c r="WVZ286" s="1132" t="n"/>
      <c r="WWA286" s="1132" t="n"/>
      <c r="WWB286" s="1132" t="n"/>
      <c r="WWC286" s="1132" t="n"/>
      <c r="WWD286" s="1132" t="n"/>
      <c r="WWE286" s="1132" t="n"/>
      <c r="WWF286" s="1132" t="n"/>
      <c r="WWG286" s="1132" t="n"/>
      <c r="WWH286" s="1132" t="n"/>
      <c r="WWI286" s="1132" t="n"/>
      <c r="WWJ286" s="1132" t="n"/>
      <c r="WWK286" s="1132" t="n"/>
      <c r="WWL286" s="1132" t="n"/>
      <c r="WWM286" s="1132" t="n"/>
      <c r="WWN286" s="1132" t="n"/>
      <c r="WWO286" s="1132" t="n"/>
      <c r="WWP286" s="1132" t="n"/>
      <c r="WWQ286" s="1132" t="n"/>
      <c r="WWR286" s="1132" t="n"/>
      <c r="WWS286" s="1132" t="n"/>
      <c r="WWT286" s="1132" t="n"/>
      <c r="WWU286" s="1132" t="n"/>
      <c r="WWV286" s="1132" t="n"/>
      <c r="WWW286" s="1132" t="n"/>
      <c r="WWX286" s="1132" t="n"/>
      <c r="WWY286" s="1132" t="n"/>
      <c r="WWZ286" s="1132" t="n"/>
      <c r="WXA286" s="1132" t="n"/>
      <c r="WXB286" s="1132" t="n"/>
      <c r="WXC286" s="1132" t="n"/>
      <c r="WXD286" s="1132" t="n"/>
      <c r="WXE286" s="1132" t="n"/>
      <c r="WXF286" s="1132" t="n"/>
      <c r="WXG286" s="1132" t="n"/>
      <c r="WXH286" s="1132" t="n"/>
      <c r="WXI286" s="1132" t="n"/>
      <c r="WXJ286" s="1132" t="n"/>
      <c r="WXK286" s="1132" t="n"/>
      <c r="WXL286" s="1132" t="n"/>
      <c r="WXM286" s="1132" t="n"/>
      <c r="WXN286" s="1132" t="n"/>
      <c r="WXO286" s="1132" t="n"/>
      <c r="WXP286" s="1132" t="n"/>
      <c r="WXQ286" s="1132" t="n"/>
      <c r="WXR286" s="1132" t="n"/>
      <c r="WXS286" s="1132" t="n"/>
      <c r="WXT286" s="1132" t="n"/>
      <c r="WXU286" s="1132" t="n"/>
      <c r="WXV286" s="1132" t="n"/>
      <c r="WXW286" s="1132" t="n"/>
      <c r="WXX286" s="1132" t="n"/>
      <c r="WXY286" s="1132" t="n"/>
      <c r="WXZ286" s="1132" t="n"/>
      <c r="WYA286" s="1132" t="n"/>
      <c r="WYB286" s="1132" t="n"/>
      <c r="WYC286" s="1132" t="n"/>
      <c r="WYD286" s="1132" t="n"/>
      <c r="WYE286" s="1132" t="n"/>
      <c r="WYF286" s="1132" t="n"/>
      <c r="WYG286" s="1132" t="n"/>
      <c r="WYH286" s="1132" t="n"/>
      <c r="WYI286" s="1132" t="n"/>
      <c r="WYJ286" s="1132" t="n"/>
      <c r="WYK286" s="1132" t="n"/>
      <c r="WYL286" s="1132" t="n"/>
      <c r="WYM286" s="1132" t="n"/>
      <c r="WYN286" s="1132" t="n"/>
      <c r="WYO286" s="1132" t="n"/>
      <c r="WYP286" s="1132" t="n"/>
      <c r="WYQ286" s="1132" t="n"/>
      <c r="WYR286" s="1132" t="n"/>
      <c r="WYS286" s="1132" t="n"/>
      <c r="WYT286" s="1132" t="n"/>
      <c r="WYU286" s="1132" t="n"/>
      <c r="WYV286" s="1132" t="n"/>
      <c r="WYW286" s="1132" t="n"/>
      <c r="WYX286" s="1132" t="n"/>
      <c r="WYY286" s="1132" t="n"/>
      <c r="WYZ286" s="1132" t="n"/>
      <c r="WZA286" s="1132" t="n"/>
      <c r="WZB286" s="1132" t="n"/>
      <c r="WZC286" s="1132" t="n"/>
      <c r="WZD286" s="1132" t="n"/>
      <c r="WZE286" s="1132" t="n"/>
      <c r="WZF286" s="1132" t="n"/>
      <c r="WZG286" s="1132" t="n"/>
      <c r="WZH286" s="1132" t="n"/>
      <c r="WZI286" s="1132" t="n"/>
      <c r="WZJ286" s="1132" t="n"/>
      <c r="WZK286" s="1132" t="n"/>
      <c r="WZL286" s="1132" t="n"/>
      <c r="WZM286" s="1132" t="n"/>
      <c r="WZN286" s="1132" t="n"/>
      <c r="WZO286" s="1132" t="n"/>
      <c r="WZP286" s="1132" t="n"/>
      <c r="WZQ286" s="1132" t="n"/>
      <c r="WZR286" s="1132" t="n"/>
      <c r="WZS286" s="1132" t="n"/>
      <c r="WZT286" s="1132" t="n"/>
      <c r="WZU286" s="1132" t="n"/>
      <c r="WZV286" s="1132" t="n"/>
      <c r="WZW286" s="1132" t="n"/>
      <c r="WZX286" s="1132" t="n"/>
      <c r="WZY286" s="1132" t="n"/>
      <c r="WZZ286" s="1132" t="n"/>
      <c r="XAA286" s="1132" t="n"/>
      <c r="XAB286" s="1132" t="n"/>
      <c r="XAC286" s="1132" t="n"/>
      <c r="XAD286" s="1132" t="n"/>
      <c r="XAE286" s="1132" t="n"/>
      <c r="XAF286" s="1132" t="n"/>
      <c r="XAG286" s="1132" t="n"/>
      <c r="XAH286" s="1132" t="n"/>
      <c r="XAI286" s="1132" t="n"/>
      <c r="XAJ286" s="1132" t="n"/>
      <c r="XAK286" s="1132" t="n"/>
      <c r="XAL286" s="1132" t="n"/>
      <c r="XAM286" s="1132" t="n"/>
      <c r="XAN286" s="1132" t="n"/>
      <c r="XAO286" s="1132" t="n"/>
      <c r="XAP286" s="1132" t="n"/>
      <c r="XAQ286" s="1132" t="n"/>
      <c r="XAR286" s="1132" t="n"/>
      <c r="XAS286" s="1132" t="n"/>
      <c r="XAT286" s="1132" t="n"/>
      <c r="XAU286" s="1132" t="n"/>
      <c r="XAV286" s="1132" t="n"/>
      <c r="XAW286" s="1132" t="n"/>
      <c r="XAX286" s="1132" t="n"/>
      <c r="XAY286" s="1132" t="n"/>
      <c r="XAZ286" s="1132" t="n"/>
      <c r="XBA286" s="1132" t="n"/>
      <c r="XBB286" s="1132" t="n"/>
      <c r="XBC286" s="1132" t="n"/>
      <c r="XBD286" s="1132" t="n"/>
      <c r="XBE286" s="1132" t="n"/>
      <c r="XBF286" s="1132" t="n"/>
      <c r="XBG286" s="1132" t="n"/>
      <c r="XBH286" s="1132" t="n"/>
      <c r="XBI286" s="1132" t="n"/>
      <c r="XBJ286" s="1132" t="n"/>
      <c r="XBK286" s="1132" t="n"/>
      <c r="XBL286" s="1132" t="n"/>
      <c r="XBM286" s="1132" t="n"/>
      <c r="XBN286" s="1132" t="n"/>
      <c r="XBO286" s="1132" t="n"/>
      <c r="XBP286" s="1132" t="n"/>
      <c r="XBQ286" s="1132" t="n"/>
      <c r="XBR286" s="1132" t="n"/>
      <c r="XBS286" s="1132" t="n"/>
      <c r="XBT286" s="1132" t="n"/>
      <c r="XBU286" s="1132" t="n"/>
      <c r="XBV286" s="1132" t="n"/>
      <c r="XBW286" s="1132" t="n"/>
      <c r="XBX286" s="1132" t="n"/>
      <c r="XBY286" s="1132" t="n"/>
      <c r="XBZ286" s="1132" t="n"/>
      <c r="XCA286" s="1132" t="n"/>
      <c r="XCB286" s="1132" t="n"/>
      <c r="XCC286" s="1132" t="n"/>
      <c r="XCD286" s="1132" t="n"/>
      <c r="XCE286" s="1132" t="n"/>
      <c r="XCF286" s="1132" t="n"/>
      <c r="XCG286" s="1132" t="n"/>
      <c r="XCH286" s="1132" t="n"/>
      <c r="XCI286" s="1132" t="n"/>
      <c r="XCJ286" s="1132" t="n"/>
      <c r="XCK286" s="1132" t="n"/>
      <c r="XCL286" s="1132" t="n"/>
      <c r="XCM286" s="1132" t="n"/>
      <c r="XCN286" s="1132" t="n"/>
      <c r="XCO286" s="1132" t="n"/>
      <c r="XCP286" s="1132" t="n"/>
      <c r="XCQ286" s="1132" t="n"/>
      <c r="XCR286" s="1132" t="n"/>
      <c r="XCS286" s="1132" t="n"/>
      <c r="XCT286" s="1132" t="n"/>
      <c r="XCU286" s="1132" t="n"/>
      <c r="XCV286" s="1132" t="n"/>
      <c r="XCW286" s="1132" t="n"/>
      <c r="XCX286" s="1132" t="n"/>
      <c r="XCY286" s="1132" t="n"/>
      <c r="XCZ286" s="1132" t="n"/>
      <c r="XDA286" s="1132" t="n"/>
      <c r="XDB286" s="1132" t="n"/>
      <c r="XDC286" s="1132" t="n"/>
      <c r="XDD286" s="1132" t="n"/>
      <c r="XDE286" s="1132" t="n"/>
      <c r="XDF286" s="1132" t="n"/>
      <c r="XDG286" s="1132" t="n"/>
      <c r="XDH286" s="1132" t="n"/>
      <c r="XDI286" s="1132" t="n"/>
      <c r="XDJ286" s="1132" t="n"/>
      <c r="XDK286" s="1132" t="n"/>
      <c r="XDL286" s="1132" t="n"/>
      <c r="XDM286" s="1132" t="n"/>
      <c r="XDN286" s="1132" t="n"/>
      <c r="XDO286" s="1132" t="n"/>
      <c r="XDP286" s="1132" t="n"/>
      <c r="XDQ286" s="1132" t="n"/>
      <c r="XDR286" s="1132" t="n"/>
      <c r="XDS286" s="1132" t="n"/>
      <c r="XDT286" s="1132" t="n"/>
      <c r="XDU286" s="1132" t="n"/>
      <c r="XDV286" s="1132" t="n"/>
      <c r="XDW286" s="1132" t="n"/>
      <c r="XDX286" s="1132" t="n"/>
      <c r="XDY286" s="1132" t="n"/>
      <c r="XDZ286" s="1132" t="n"/>
      <c r="XEA286" s="1132" t="n"/>
      <c r="XEB286" s="1132" t="n"/>
      <c r="XEC286" s="1132" t="n"/>
      <c r="XED286" s="1132" t="n"/>
      <c r="XEE286" s="1132" t="n"/>
      <c r="XEF286" s="1132" t="n"/>
      <c r="XEG286" s="1132" t="n"/>
      <c r="XEH286" s="1132" t="n"/>
      <c r="XEI286" s="1132" t="n"/>
      <c r="XEJ286" s="1132" t="n"/>
      <c r="XEK286" s="1132" t="n"/>
      <c r="XEL286" s="1132" t="n"/>
      <c r="XEM286" s="1132" t="n"/>
      <c r="XEN286" s="1132" t="n"/>
      <c r="XEO286" s="1132" t="n"/>
      <c r="XEP286" s="1132" t="n"/>
      <c r="XEQ286" s="1132" t="n"/>
      <c r="XER286" s="1132" t="n"/>
      <c r="XES286" s="1132" t="n"/>
      <c r="XET286" s="1132" t="n"/>
      <c r="XEU286" s="1132" t="n"/>
      <c r="XEV286" s="1132" t="n"/>
      <c r="XEW286" s="1132" t="n"/>
      <c r="XEX286" s="1132" t="n"/>
      <c r="XEY286" s="1132" t="n"/>
      <c r="XEZ286" s="1132" t="n"/>
      <c r="XFA286" s="1132" t="n"/>
      <c r="XFB286" s="1132" t="n"/>
      <c r="XFC286" s="1132" t="n"/>
      <c r="XFD286" s="1132" t="n"/>
    </row>
    <row r="287" ht="12.75" customHeight="1" s="1134">
      <c r="A287" s="1132" t="n"/>
      <c r="B287" s="1132" t="n"/>
      <c r="C287" s="1132" t="n"/>
      <c r="D287" s="1132" t="n"/>
      <c r="E287" s="1132" t="n"/>
      <c r="F287" s="1132" t="n"/>
      <c r="G287" s="1132" t="n"/>
      <c r="H287" s="1132" t="n"/>
      <c r="I287" s="1132" t="n"/>
      <c r="J287" s="1132" t="n"/>
      <c r="K287" s="1132" t="n"/>
      <c r="L287" s="1344" t="n"/>
      <c r="M287" s="1132" t="n"/>
      <c r="N287" s="1344" t="n"/>
      <c r="O287" s="1132" t="n"/>
      <c r="P287" s="1132" t="n"/>
      <c r="Q287" s="1132" t="n"/>
      <c r="R287" s="1132" t="n"/>
      <c r="S287" s="1132" t="n"/>
      <c r="T287" s="1132" t="n"/>
      <c r="U287" s="1132" t="n"/>
      <c r="V287" s="1132" t="n"/>
      <c r="W287" s="1132" t="n"/>
      <c r="X287" s="1132" t="n"/>
      <c r="Y287" s="1132" t="n"/>
      <c r="Z287" s="1132" t="n"/>
      <c r="AA287" s="1132" t="n"/>
      <c r="AB287" s="1132" t="n"/>
      <c r="AC287" s="1132" t="n"/>
      <c r="AD287" s="1132" t="n"/>
      <c r="AE287" s="1132" t="n"/>
      <c r="AF287" s="1132" t="n"/>
      <c r="AG287" s="1132" t="n"/>
      <c r="AH287" s="1132" t="n"/>
      <c r="AI287" s="1132" t="n"/>
      <c r="AJ287" s="1132" t="n"/>
      <c r="AK287" s="1132" t="n"/>
      <c r="AL287" s="1132" t="n"/>
      <c r="AM287" s="1132" t="n"/>
      <c r="AN287" s="1132" t="n"/>
      <c r="AO287" s="1132" t="n"/>
      <c r="AP287" s="1132" t="n"/>
      <c r="AQ287" s="1132" t="n"/>
      <c r="AR287" s="1132" t="n"/>
      <c r="AS287" s="1132" t="n"/>
      <c r="AT287" s="1132" t="n"/>
      <c r="AU287" s="1132" t="n"/>
      <c r="AV287" s="1132" t="n"/>
      <c r="AW287" s="1132" t="n"/>
      <c r="AX287" s="1132" t="n"/>
      <c r="AY287" s="1132" t="n"/>
      <c r="AZ287" s="1132" t="n"/>
      <c r="BA287" s="1132" t="n"/>
      <c r="BB287" s="1132" t="n"/>
      <c r="BC287" s="1132" t="n"/>
      <c r="BD287" s="1132" t="n"/>
      <c r="BE287" s="1132" t="n"/>
      <c r="BF287" s="1132" t="n"/>
      <c r="BG287" s="1132" t="n"/>
      <c r="BH287" s="1132" t="n"/>
      <c r="BI287" s="1132" t="n"/>
      <c r="BJ287" s="1132" t="n"/>
      <c r="BK287" s="1132" t="n"/>
      <c r="BL287" s="1132" t="n"/>
      <c r="BM287" s="1132" t="n"/>
      <c r="BN287" s="1132" t="n"/>
      <c r="BO287" s="1132" t="n"/>
      <c r="BP287" s="1132" t="n"/>
      <c r="BQ287" s="1132" t="n"/>
      <c r="BR287" s="1132" t="n"/>
      <c r="BS287" s="1132" t="n"/>
      <c r="BT287" s="1132" t="n"/>
      <c r="BU287" s="1132" t="n"/>
      <c r="BV287" s="1132" t="n"/>
      <c r="BW287" s="1132" t="n"/>
      <c r="BX287" s="1132" t="n"/>
      <c r="BY287" s="1132" t="n"/>
      <c r="BZ287" s="1132" t="n"/>
      <c r="CA287" s="1132" t="n"/>
      <c r="CB287" s="1132" t="n"/>
      <c r="CC287" s="1132" t="n"/>
      <c r="CD287" s="1132" t="n"/>
      <c r="CE287" s="1132" t="n"/>
      <c r="CF287" s="1132" t="n"/>
      <c r="CG287" s="1132" t="n"/>
      <c r="CH287" s="1132" t="n"/>
      <c r="CI287" s="1132" t="n"/>
      <c r="CJ287" s="1132" t="n"/>
      <c r="CK287" s="1132" t="n"/>
      <c r="CL287" s="1132" t="n"/>
      <c r="CM287" s="1132" t="n"/>
      <c r="CN287" s="1132" t="n"/>
      <c r="CO287" s="1132" t="n"/>
      <c r="CP287" s="1132" t="n"/>
      <c r="CQ287" s="1132" t="n"/>
      <c r="CR287" s="1132" t="n"/>
      <c r="CS287" s="1132" t="n"/>
      <c r="CT287" s="1132" t="n"/>
      <c r="CU287" s="1132" t="n"/>
      <c r="CV287" s="1132" t="n"/>
      <c r="CW287" s="1132" t="n"/>
      <c r="CX287" s="1132" t="n"/>
      <c r="CY287" s="1132" t="n"/>
      <c r="CZ287" s="1132" t="n"/>
      <c r="DA287" s="1132" t="n"/>
      <c r="DB287" s="1132" t="n"/>
      <c r="DC287" s="1132" t="n"/>
      <c r="DD287" s="1132" t="n"/>
      <c r="DE287" s="1132" t="n"/>
      <c r="DF287" s="1132" t="n"/>
      <c r="DG287" s="1132" t="n"/>
      <c r="DH287" s="1132" t="n"/>
      <c r="DI287" s="1132" t="n"/>
      <c r="DJ287" s="1132" t="n"/>
      <c r="DK287" s="1132" t="n"/>
      <c r="DL287" s="1132" t="n"/>
      <c r="DM287" s="1132" t="n"/>
      <c r="DN287" s="1132" t="n"/>
      <c r="DO287" s="1132" t="n"/>
      <c r="DP287" s="1132" t="n"/>
      <c r="DQ287" s="1132" t="n"/>
      <c r="DR287" s="1132" t="n"/>
      <c r="DS287" s="1132" t="n"/>
      <c r="DT287" s="1132" t="n"/>
      <c r="DU287" s="1132" t="n"/>
      <c r="DV287" s="1132" t="n"/>
      <c r="DW287" s="1132" t="n"/>
      <c r="DX287" s="1132" t="n"/>
      <c r="DY287" s="1132" t="n"/>
      <c r="DZ287" s="1132" t="n"/>
      <c r="EA287" s="1132" t="n"/>
      <c r="EB287" s="1132" t="n"/>
      <c r="EC287" s="1132" t="n"/>
      <c r="ED287" s="1132" t="n"/>
      <c r="EE287" s="1132" t="n"/>
      <c r="EF287" s="1132" t="n"/>
      <c r="EG287" s="1132" t="n"/>
      <c r="EH287" s="1132" t="n"/>
      <c r="EI287" s="1132" t="n"/>
      <c r="EJ287" s="1132" t="n"/>
      <c r="EK287" s="1132" t="n"/>
      <c r="EL287" s="1132" t="n"/>
      <c r="EM287" s="1132" t="n"/>
      <c r="EN287" s="1132" t="n"/>
      <c r="EO287" s="1132" t="n"/>
      <c r="EP287" s="1132" t="n"/>
      <c r="EQ287" s="1132" t="n"/>
      <c r="ER287" s="1132" t="n"/>
      <c r="ES287" s="1132" t="n"/>
      <c r="ET287" s="1132" t="n"/>
      <c r="EU287" s="1132" t="n"/>
      <c r="EV287" s="1132" t="n"/>
      <c r="EW287" s="1132" t="n"/>
      <c r="EX287" s="1132" t="n"/>
      <c r="EY287" s="1132" t="n"/>
      <c r="EZ287" s="1132" t="n"/>
      <c r="FA287" s="1132" t="n"/>
      <c r="FB287" s="1132" t="n"/>
      <c r="FC287" s="1132" t="n"/>
      <c r="FD287" s="1132" t="n"/>
      <c r="FE287" s="1132" t="n"/>
      <c r="FF287" s="1132" t="n"/>
      <c r="FG287" s="1132" t="n"/>
      <c r="FH287" s="1132" t="n"/>
      <c r="FI287" s="1132" t="n"/>
      <c r="FJ287" s="1132" t="n"/>
      <c r="FK287" s="1132" t="n"/>
      <c r="FL287" s="1132" t="n"/>
      <c r="FM287" s="1132" t="n"/>
      <c r="FN287" s="1132" t="n"/>
      <c r="FO287" s="1132" t="n"/>
      <c r="FP287" s="1132" t="n"/>
      <c r="FQ287" s="1132" t="n"/>
      <c r="FR287" s="1132" t="n"/>
      <c r="FS287" s="1132" t="n"/>
      <c r="FT287" s="1132" t="n"/>
      <c r="FU287" s="1132" t="n"/>
      <c r="FV287" s="1132" t="n"/>
      <c r="FW287" s="1132" t="n"/>
      <c r="FX287" s="1132" t="n"/>
      <c r="FY287" s="1132" t="n"/>
      <c r="FZ287" s="1132" t="n"/>
      <c r="GA287" s="1132" t="n"/>
      <c r="GB287" s="1132" t="n"/>
      <c r="GC287" s="1132" t="n"/>
      <c r="GD287" s="1132" t="n"/>
      <c r="GE287" s="1132" t="n"/>
      <c r="GF287" s="1132" t="n"/>
      <c r="GG287" s="1132" t="n"/>
      <c r="GH287" s="1132" t="n"/>
      <c r="GI287" s="1132" t="n"/>
      <c r="GJ287" s="1132" t="n"/>
      <c r="GK287" s="1132" t="n"/>
      <c r="GL287" s="1132" t="n"/>
      <c r="GM287" s="1132" t="n"/>
      <c r="GN287" s="1132" t="n"/>
      <c r="GO287" s="1132" t="n"/>
      <c r="GP287" s="1132" t="n"/>
      <c r="GQ287" s="1132" t="n"/>
      <c r="GR287" s="1132" t="n"/>
      <c r="GS287" s="1132" t="n"/>
      <c r="GT287" s="1132" t="n"/>
      <c r="GU287" s="1132" t="n"/>
      <c r="GV287" s="1132" t="n"/>
      <c r="GW287" s="1132" t="n"/>
      <c r="GX287" s="1132" t="n"/>
      <c r="GY287" s="1132" t="n"/>
      <c r="GZ287" s="1132" t="n"/>
      <c r="HA287" s="1132" t="n"/>
      <c r="HB287" s="1132" t="n"/>
      <c r="HC287" s="1132" t="n"/>
      <c r="HD287" s="1132" t="n"/>
      <c r="HE287" s="1132" t="n"/>
      <c r="HF287" s="1132" t="n"/>
      <c r="HG287" s="1132" t="n"/>
      <c r="HH287" s="1132" t="n"/>
      <c r="HI287" s="1132" t="n"/>
      <c r="HJ287" s="1132" t="n"/>
      <c r="HK287" s="1132" t="n"/>
      <c r="HL287" s="1132" t="n"/>
      <c r="HM287" s="1132" t="n"/>
      <c r="HN287" s="1132" t="n"/>
      <c r="HO287" s="1132" t="n"/>
      <c r="HP287" s="1132" t="n"/>
      <c r="HQ287" s="1132" t="n"/>
      <c r="HR287" s="1132" t="n"/>
      <c r="HS287" s="1132" t="n"/>
      <c r="HT287" s="1132" t="n"/>
      <c r="HU287" s="1132" t="n"/>
      <c r="HV287" s="1132" t="n"/>
      <c r="HW287" s="1132" t="n"/>
      <c r="HX287" s="1132" t="n"/>
      <c r="HY287" s="1132" t="n"/>
      <c r="HZ287" s="1132" t="n"/>
      <c r="IA287" s="1132" t="n"/>
      <c r="IB287" s="1132" t="n"/>
      <c r="IC287" s="1132" t="n"/>
      <c r="ID287" s="1132" t="n"/>
      <c r="IE287" s="1132" t="n"/>
      <c r="IF287" s="1132" t="n"/>
      <c r="IG287" s="1132" t="n"/>
      <c r="IH287" s="1132" t="n"/>
      <c r="II287" s="1132" t="n"/>
      <c r="IJ287" s="1132" t="n"/>
      <c r="IK287" s="1132" t="n"/>
      <c r="IL287" s="1132" t="n"/>
      <c r="IM287" s="1132" t="n"/>
      <c r="IN287" s="1132" t="n"/>
      <c r="IO287" s="1132" t="n"/>
      <c r="IP287" s="1132" t="n"/>
      <c r="IQ287" s="1132" t="n"/>
      <c r="IR287" s="1132" t="n"/>
      <c r="IS287" s="1132" t="n"/>
      <c r="IT287" s="1132" t="n"/>
      <c r="IU287" s="1132" t="n"/>
      <c r="IV287" s="1132" t="n"/>
      <c r="IW287" s="1132" t="n"/>
      <c r="IX287" s="1132" t="n"/>
      <c r="IY287" s="1132" t="n"/>
      <c r="IZ287" s="1132" t="n"/>
      <c r="JA287" s="1132" t="n"/>
      <c r="JB287" s="1132" t="n"/>
      <c r="JC287" s="1132" t="n"/>
      <c r="JD287" s="1132" t="n"/>
      <c r="JE287" s="1132" t="n"/>
      <c r="JF287" s="1132" t="n"/>
      <c r="JG287" s="1132" t="n"/>
      <c r="JH287" s="1132" t="n"/>
      <c r="JI287" s="1132" t="n"/>
      <c r="JJ287" s="1132" t="n"/>
      <c r="JK287" s="1132" t="n"/>
      <c r="JL287" s="1132" t="n"/>
      <c r="JM287" s="1132" t="n"/>
      <c r="JN287" s="1132" t="n"/>
      <c r="JO287" s="1132" t="n"/>
      <c r="JP287" s="1132" t="n"/>
      <c r="JQ287" s="1132" t="n"/>
      <c r="JR287" s="1132" t="n"/>
      <c r="JS287" s="1132" t="n"/>
      <c r="JT287" s="1132" t="n"/>
      <c r="JU287" s="1132" t="n"/>
      <c r="JV287" s="1132" t="n"/>
      <c r="JW287" s="1132" t="n"/>
      <c r="JX287" s="1132" t="n"/>
      <c r="JY287" s="1132" t="n"/>
      <c r="JZ287" s="1132" t="n"/>
      <c r="KA287" s="1132" t="n"/>
      <c r="KB287" s="1132" t="n"/>
      <c r="KC287" s="1132" t="n"/>
      <c r="KD287" s="1132" t="n"/>
      <c r="KE287" s="1132" t="n"/>
      <c r="KF287" s="1132" t="n"/>
      <c r="KG287" s="1132" t="n"/>
      <c r="KH287" s="1132" t="n"/>
      <c r="KI287" s="1132" t="n"/>
      <c r="KJ287" s="1132" t="n"/>
      <c r="KK287" s="1132" t="n"/>
      <c r="KL287" s="1132" t="n"/>
      <c r="KM287" s="1132" t="n"/>
      <c r="KN287" s="1132" t="n"/>
      <c r="KO287" s="1132" t="n"/>
      <c r="KP287" s="1132" t="n"/>
      <c r="KQ287" s="1132" t="n"/>
      <c r="KR287" s="1132" t="n"/>
      <c r="KS287" s="1132" t="n"/>
      <c r="KT287" s="1132" t="n"/>
      <c r="KU287" s="1132" t="n"/>
      <c r="KV287" s="1132" t="n"/>
      <c r="KW287" s="1132" t="n"/>
      <c r="KX287" s="1132" t="n"/>
      <c r="KY287" s="1132" t="n"/>
      <c r="KZ287" s="1132" t="n"/>
      <c r="LA287" s="1132" t="n"/>
      <c r="LB287" s="1132" t="n"/>
      <c r="LC287" s="1132" t="n"/>
      <c r="LD287" s="1132" t="n"/>
      <c r="LE287" s="1132" t="n"/>
      <c r="LF287" s="1132" t="n"/>
      <c r="LG287" s="1132" t="n"/>
      <c r="LH287" s="1132" t="n"/>
      <c r="LI287" s="1132" t="n"/>
      <c r="LJ287" s="1132" t="n"/>
      <c r="LK287" s="1132" t="n"/>
      <c r="LL287" s="1132" t="n"/>
      <c r="LM287" s="1132" t="n"/>
      <c r="LN287" s="1132" t="n"/>
      <c r="LO287" s="1132" t="n"/>
      <c r="LP287" s="1132" t="n"/>
      <c r="LQ287" s="1132" t="n"/>
      <c r="LR287" s="1132" t="n"/>
      <c r="LS287" s="1132" t="n"/>
      <c r="LT287" s="1132" t="n"/>
      <c r="LU287" s="1132" t="n"/>
      <c r="LV287" s="1132" t="n"/>
      <c r="LW287" s="1132" t="n"/>
      <c r="LX287" s="1132" t="n"/>
      <c r="LY287" s="1132" t="n"/>
      <c r="LZ287" s="1132" t="n"/>
      <c r="MA287" s="1132" t="n"/>
      <c r="MB287" s="1132" t="n"/>
      <c r="MC287" s="1132" t="n"/>
      <c r="MD287" s="1132" t="n"/>
      <c r="ME287" s="1132" t="n"/>
      <c r="MF287" s="1132" t="n"/>
      <c r="MG287" s="1132" t="n"/>
      <c r="MH287" s="1132" t="n"/>
      <c r="MI287" s="1132" t="n"/>
      <c r="MJ287" s="1132" t="n"/>
      <c r="MK287" s="1132" t="n"/>
      <c r="ML287" s="1132" t="n"/>
      <c r="MM287" s="1132" t="n"/>
      <c r="MN287" s="1132" t="n"/>
      <c r="MO287" s="1132" t="n"/>
      <c r="MP287" s="1132" t="n"/>
      <c r="MQ287" s="1132" t="n"/>
      <c r="MR287" s="1132" t="n"/>
      <c r="MS287" s="1132" t="n"/>
      <c r="MT287" s="1132" t="n"/>
      <c r="MU287" s="1132" t="n"/>
      <c r="MV287" s="1132" t="n"/>
      <c r="MW287" s="1132" t="n"/>
      <c r="MX287" s="1132" t="n"/>
      <c r="MY287" s="1132" t="n"/>
      <c r="MZ287" s="1132" t="n"/>
      <c r="NA287" s="1132" t="n"/>
      <c r="NB287" s="1132" t="n"/>
      <c r="NC287" s="1132" t="n"/>
      <c r="ND287" s="1132" t="n"/>
      <c r="NE287" s="1132" t="n"/>
      <c r="NF287" s="1132" t="n"/>
      <c r="NG287" s="1132" t="n"/>
      <c r="NH287" s="1132" t="n"/>
      <c r="NI287" s="1132" t="n"/>
      <c r="NJ287" s="1132" t="n"/>
      <c r="NK287" s="1132" t="n"/>
      <c r="NL287" s="1132" t="n"/>
      <c r="NM287" s="1132" t="n"/>
      <c r="NN287" s="1132" t="n"/>
      <c r="NO287" s="1132" t="n"/>
      <c r="NP287" s="1132" t="n"/>
      <c r="NQ287" s="1132" t="n"/>
      <c r="NR287" s="1132" t="n"/>
      <c r="NS287" s="1132" t="n"/>
      <c r="NT287" s="1132" t="n"/>
      <c r="NU287" s="1132" t="n"/>
      <c r="NV287" s="1132" t="n"/>
      <c r="NW287" s="1132" t="n"/>
      <c r="NX287" s="1132" t="n"/>
      <c r="NY287" s="1132" t="n"/>
      <c r="NZ287" s="1132" t="n"/>
      <c r="OA287" s="1132" t="n"/>
      <c r="OB287" s="1132" t="n"/>
      <c r="OC287" s="1132" t="n"/>
      <c r="OD287" s="1132" t="n"/>
      <c r="OE287" s="1132" t="n"/>
      <c r="OF287" s="1132" t="n"/>
      <c r="OG287" s="1132" t="n"/>
      <c r="OH287" s="1132" t="n"/>
      <c r="OI287" s="1132" t="n"/>
      <c r="OJ287" s="1132" t="n"/>
      <c r="OK287" s="1132" t="n"/>
      <c r="OL287" s="1132" t="n"/>
      <c r="OM287" s="1132" t="n"/>
      <c r="ON287" s="1132" t="n"/>
      <c r="OO287" s="1132" t="n"/>
      <c r="OP287" s="1132" t="n"/>
      <c r="OQ287" s="1132" t="n"/>
      <c r="OR287" s="1132" t="n"/>
      <c r="OS287" s="1132" t="n"/>
      <c r="OT287" s="1132" t="n"/>
      <c r="OU287" s="1132" t="n"/>
      <c r="OV287" s="1132" t="n"/>
      <c r="OW287" s="1132" t="n"/>
      <c r="OX287" s="1132" t="n"/>
      <c r="OY287" s="1132" t="n"/>
      <c r="OZ287" s="1132" t="n"/>
      <c r="PA287" s="1132" t="n"/>
      <c r="PB287" s="1132" t="n"/>
      <c r="PC287" s="1132" t="n"/>
      <c r="PD287" s="1132" t="n"/>
      <c r="PE287" s="1132" t="n"/>
      <c r="PF287" s="1132" t="n"/>
      <c r="PG287" s="1132" t="n"/>
      <c r="PH287" s="1132" t="n"/>
      <c r="PI287" s="1132" t="n"/>
      <c r="PJ287" s="1132" t="n"/>
      <c r="PK287" s="1132" t="n"/>
      <c r="PL287" s="1132" t="n"/>
      <c r="PM287" s="1132" t="n"/>
      <c r="PN287" s="1132" t="n"/>
      <c r="PO287" s="1132" t="n"/>
      <c r="PP287" s="1132" t="n"/>
      <c r="PQ287" s="1132" t="n"/>
      <c r="PR287" s="1132" t="n"/>
      <c r="PS287" s="1132" t="n"/>
      <c r="PT287" s="1132" t="n"/>
      <c r="PU287" s="1132" t="n"/>
      <c r="PV287" s="1132" t="n"/>
      <c r="PW287" s="1132" t="n"/>
      <c r="PX287" s="1132" t="n"/>
      <c r="PY287" s="1132" t="n"/>
      <c r="PZ287" s="1132" t="n"/>
      <c r="QA287" s="1132" t="n"/>
      <c r="QB287" s="1132" t="n"/>
      <c r="QC287" s="1132" t="n"/>
      <c r="QD287" s="1132" t="n"/>
      <c r="QE287" s="1132" t="n"/>
      <c r="QF287" s="1132" t="n"/>
      <c r="QG287" s="1132" t="n"/>
      <c r="QH287" s="1132" t="n"/>
      <c r="QI287" s="1132" t="n"/>
      <c r="QJ287" s="1132" t="n"/>
      <c r="QK287" s="1132" t="n"/>
      <c r="QL287" s="1132" t="n"/>
      <c r="QM287" s="1132" t="n"/>
      <c r="QN287" s="1132" t="n"/>
      <c r="QO287" s="1132" t="n"/>
      <c r="QP287" s="1132" t="n"/>
      <c r="QQ287" s="1132" t="n"/>
      <c r="QR287" s="1132" t="n"/>
      <c r="QS287" s="1132" t="n"/>
      <c r="QT287" s="1132" t="n"/>
      <c r="QU287" s="1132" t="n"/>
      <c r="QV287" s="1132" t="n"/>
      <c r="QW287" s="1132" t="n"/>
      <c r="QX287" s="1132" t="n"/>
      <c r="QY287" s="1132" t="n"/>
      <c r="QZ287" s="1132" t="n"/>
      <c r="RA287" s="1132" t="n"/>
      <c r="RB287" s="1132" t="n"/>
      <c r="RC287" s="1132" t="n"/>
      <c r="RD287" s="1132" t="n"/>
      <c r="RE287" s="1132" t="n"/>
      <c r="RF287" s="1132" t="n"/>
      <c r="RG287" s="1132" t="n"/>
      <c r="RH287" s="1132" t="n"/>
      <c r="RI287" s="1132" t="n"/>
      <c r="RJ287" s="1132" t="n"/>
      <c r="RK287" s="1132" t="n"/>
      <c r="RL287" s="1132" t="n"/>
      <c r="RM287" s="1132" t="n"/>
      <c r="RN287" s="1132" t="n"/>
      <c r="RO287" s="1132" t="n"/>
      <c r="RP287" s="1132" t="n"/>
      <c r="RQ287" s="1132" t="n"/>
      <c r="RR287" s="1132" t="n"/>
      <c r="RS287" s="1132" t="n"/>
      <c r="RT287" s="1132" t="n"/>
      <c r="RU287" s="1132" t="n"/>
      <c r="RV287" s="1132" t="n"/>
      <c r="RW287" s="1132" t="n"/>
      <c r="RX287" s="1132" t="n"/>
      <c r="RY287" s="1132" t="n"/>
      <c r="RZ287" s="1132" t="n"/>
      <c r="SA287" s="1132" t="n"/>
      <c r="SB287" s="1132" t="n"/>
      <c r="SC287" s="1132" t="n"/>
      <c r="SD287" s="1132" t="n"/>
      <c r="SE287" s="1132" t="n"/>
      <c r="SF287" s="1132" t="n"/>
      <c r="SG287" s="1132" t="n"/>
      <c r="SH287" s="1132" t="n"/>
      <c r="SI287" s="1132" t="n"/>
      <c r="SJ287" s="1132" t="n"/>
      <c r="SK287" s="1132" t="n"/>
      <c r="SL287" s="1132" t="n"/>
      <c r="SM287" s="1132" t="n"/>
      <c r="SN287" s="1132" t="n"/>
      <c r="SO287" s="1132" t="n"/>
      <c r="SP287" s="1132" t="n"/>
      <c r="SQ287" s="1132" t="n"/>
      <c r="SR287" s="1132" t="n"/>
      <c r="SS287" s="1132" t="n"/>
      <c r="ST287" s="1132" t="n"/>
      <c r="SU287" s="1132" t="n"/>
      <c r="SV287" s="1132" t="n"/>
      <c r="SW287" s="1132" t="n"/>
      <c r="SX287" s="1132" t="n"/>
      <c r="SY287" s="1132" t="n"/>
      <c r="SZ287" s="1132" t="n"/>
      <c r="TA287" s="1132" t="n"/>
      <c r="TB287" s="1132" t="n"/>
      <c r="TC287" s="1132" t="n"/>
      <c r="TD287" s="1132" t="n"/>
      <c r="TE287" s="1132" t="n"/>
      <c r="TF287" s="1132" t="n"/>
      <c r="TG287" s="1132" t="n"/>
      <c r="TH287" s="1132" t="n"/>
      <c r="TI287" s="1132" t="n"/>
      <c r="TJ287" s="1132" t="n"/>
      <c r="TK287" s="1132" t="n"/>
      <c r="TL287" s="1132" t="n"/>
      <c r="TM287" s="1132" t="n"/>
      <c r="TN287" s="1132" t="n"/>
      <c r="TO287" s="1132" t="n"/>
      <c r="TP287" s="1132" t="n"/>
      <c r="TQ287" s="1132" t="n"/>
      <c r="TR287" s="1132" t="n"/>
      <c r="TS287" s="1132" t="n"/>
      <c r="TT287" s="1132" t="n"/>
      <c r="TU287" s="1132" t="n"/>
      <c r="TV287" s="1132" t="n"/>
      <c r="TW287" s="1132" t="n"/>
      <c r="TX287" s="1132" t="n"/>
      <c r="TY287" s="1132" t="n"/>
      <c r="TZ287" s="1132" t="n"/>
      <c r="UA287" s="1132" t="n"/>
      <c r="UB287" s="1132" t="n"/>
      <c r="UC287" s="1132" t="n"/>
      <c r="UD287" s="1132" t="n"/>
      <c r="UE287" s="1132" t="n"/>
      <c r="UF287" s="1132" t="n"/>
      <c r="UG287" s="1132" t="n"/>
      <c r="UH287" s="1132" t="n"/>
      <c r="UI287" s="1132" t="n"/>
      <c r="UJ287" s="1132" t="n"/>
      <c r="UK287" s="1132" t="n"/>
      <c r="UL287" s="1132" t="n"/>
      <c r="UM287" s="1132" t="n"/>
      <c r="UN287" s="1132" t="n"/>
      <c r="UO287" s="1132" t="n"/>
      <c r="UP287" s="1132" t="n"/>
      <c r="UQ287" s="1132" t="n"/>
      <c r="UR287" s="1132" t="n"/>
      <c r="US287" s="1132" t="n"/>
      <c r="UT287" s="1132" t="n"/>
      <c r="UU287" s="1132" t="n"/>
      <c r="UV287" s="1132" t="n"/>
      <c r="UW287" s="1132" t="n"/>
      <c r="UX287" s="1132" t="n"/>
      <c r="UY287" s="1132" t="n"/>
      <c r="UZ287" s="1132" t="n"/>
      <c r="VA287" s="1132" t="n"/>
      <c r="VB287" s="1132" t="n"/>
      <c r="VC287" s="1132" t="n"/>
      <c r="VD287" s="1132" t="n"/>
      <c r="VE287" s="1132" t="n"/>
      <c r="VF287" s="1132" t="n"/>
      <c r="VG287" s="1132" t="n"/>
      <c r="VH287" s="1132" t="n"/>
      <c r="VI287" s="1132" t="n"/>
      <c r="VJ287" s="1132" t="n"/>
      <c r="VK287" s="1132" t="n"/>
      <c r="VL287" s="1132" t="n"/>
      <c r="VM287" s="1132" t="n"/>
      <c r="VN287" s="1132" t="n"/>
      <c r="VO287" s="1132" t="n"/>
      <c r="VP287" s="1132" t="n"/>
      <c r="VQ287" s="1132" t="n"/>
      <c r="VR287" s="1132" t="n"/>
      <c r="VS287" s="1132" t="n"/>
      <c r="VT287" s="1132" t="n"/>
      <c r="VU287" s="1132" t="n"/>
      <c r="VV287" s="1132" t="n"/>
      <c r="VW287" s="1132" t="n"/>
      <c r="VX287" s="1132" t="n"/>
      <c r="VY287" s="1132" t="n"/>
      <c r="VZ287" s="1132" t="n"/>
      <c r="WA287" s="1132" t="n"/>
      <c r="WB287" s="1132" t="n"/>
      <c r="WC287" s="1132" t="n"/>
      <c r="WD287" s="1132" t="n"/>
      <c r="WE287" s="1132" t="n"/>
      <c r="WF287" s="1132" t="n"/>
      <c r="WG287" s="1132" t="n"/>
      <c r="WH287" s="1132" t="n"/>
      <c r="WI287" s="1132" t="n"/>
      <c r="WJ287" s="1132" t="n"/>
      <c r="WK287" s="1132" t="n"/>
      <c r="WL287" s="1132" t="n"/>
      <c r="WM287" s="1132" t="n"/>
      <c r="WN287" s="1132" t="n"/>
      <c r="WO287" s="1132" t="n"/>
      <c r="WP287" s="1132" t="n"/>
      <c r="WQ287" s="1132" t="n"/>
      <c r="WR287" s="1132" t="n"/>
      <c r="WS287" s="1132" t="n"/>
      <c r="WT287" s="1132" t="n"/>
      <c r="WU287" s="1132" t="n"/>
      <c r="WV287" s="1132" t="n"/>
      <c r="WW287" s="1132" t="n"/>
      <c r="WX287" s="1132" t="n"/>
      <c r="WY287" s="1132" t="n"/>
      <c r="WZ287" s="1132" t="n"/>
      <c r="XA287" s="1132" t="n"/>
      <c r="XB287" s="1132" t="n"/>
      <c r="XC287" s="1132" t="n"/>
      <c r="XD287" s="1132" t="n"/>
      <c r="XE287" s="1132" t="n"/>
      <c r="XF287" s="1132" t="n"/>
      <c r="XG287" s="1132" t="n"/>
      <c r="XH287" s="1132" t="n"/>
      <c r="XI287" s="1132" t="n"/>
      <c r="XJ287" s="1132" t="n"/>
      <c r="XK287" s="1132" t="n"/>
      <c r="XL287" s="1132" t="n"/>
      <c r="XM287" s="1132" t="n"/>
      <c r="XN287" s="1132" t="n"/>
      <c r="XO287" s="1132" t="n"/>
      <c r="XP287" s="1132" t="n"/>
      <c r="XQ287" s="1132" t="n"/>
      <c r="XR287" s="1132" t="n"/>
      <c r="XS287" s="1132" t="n"/>
      <c r="XT287" s="1132" t="n"/>
      <c r="XU287" s="1132" t="n"/>
      <c r="XV287" s="1132" t="n"/>
      <c r="XW287" s="1132" t="n"/>
      <c r="XX287" s="1132" t="n"/>
      <c r="XY287" s="1132" t="n"/>
      <c r="XZ287" s="1132" t="n"/>
      <c r="YA287" s="1132" t="n"/>
      <c r="YB287" s="1132" t="n"/>
      <c r="YC287" s="1132" t="n"/>
      <c r="YD287" s="1132" t="n"/>
      <c r="YE287" s="1132" t="n"/>
      <c r="YF287" s="1132" t="n"/>
      <c r="YG287" s="1132" t="n"/>
      <c r="YH287" s="1132" t="n"/>
      <c r="YI287" s="1132" t="n"/>
      <c r="YJ287" s="1132" t="n"/>
      <c r="YK287" s="1132" t="n"/>
      <c r="YL287" s="1132" t="n"/>
      <c r="YM287" s="1132" t="n"/>
      <c r="YN287" s="1132" t="n"/>
      <c r="YO287" s="1132" t="n"/>
      <c r="YP287" s="1132" t="n"/>
      <c r="YQ287" s="1132" t="n"/>
      <c r="YR287" s="1132" t="n"/>
      <c r="YS287" s="1132" t="n"/>
      <c r="YT287" s="1132" t="n"/>
      <c r="YU287" s="1132" t="n"/>
      <c r="YV287" s="1132" t="n"/>
      <c r="YW287" s="1132" t="n"/>
      <c r="YX287" s="1132" t="n"/>
      <c r="YY287" s="1132" t="n"/>
      <c r="YZ287" s="1132" t="n"/>
      <c r="ZA287" s="1132" t="n"/>
      <c r="ZB287" s="1132" t="n"/>
      <c r="ZC287" s="1132" t="n"/>
      <c r="ZD287" s="1132" t="n"/>
      <c r="ZE287" s="1132" t="n"/>
      <c r="ZF287" s="1132" t="n"/>
      <c r="ZG287" s="1132" t="n"/>
      <c r="ZH287" s="1132" t="n"/>
      <c r="ZI287" s="1132" t="n"/>
      <c r="ZJ287" s="1132" t="n"/>
      <c r="ZK287" s="1132" t="n"/>
      <c r="ZL287" s="1132" t="n"/>
      <c r="ZM287" s="1132" t="n"/>
      <c r="ZN287" s="1132" t="n"/>
      <c r="ZO287" s="1132" t="n"/>
      <c r="ZP287" s="1132" t="n"/>
      <c r="ZQ287" s="1132" t="n"/>
      <c r="ZR287" s="1132" t="n"/>
      <c r="ZS287" s="1132" t="n"/>
      <c r="ZT287" s="1132" t="n"/>
      <c r="ZU287" s="1132" t="n"/>
      <c r="ZV287" s="1132" t="n"/>
      <c r="ZW287" s="1132" t="n"/>
      <c r="ZX287" s="1132" t="n"/>
      <c r="ZY287" s="1132" t="n"/>
      <c r="ZZ287" s="1132" t="n"/>
      <c r="AAA287" s="1132" t="n"/>
      <c r="AAB287" s="1132" t="n"/>
      <c r="AAC287" s="1132" t="n"/>
      <c r="AAD287" s="1132" t="n"/>
      <c r="AAE287" s="1132" t="n"/>
      <c r="AAF287" s="1132" t="n"/>
      <c r="AAG287" s="1132" t="n"/>
      <c r="AAH287" s="1132" t="n"/>
      <c r="AAI287" s="1132" t="n"/>
      <c r="AAJ287" s="1132" t="n"/>
      <c r="AAK287" s="1132" t="n"/>
      <c r="AAL287" s="1132" t="n"/>
      <c r="AAM287" s="1132" t="n"/>
      <c r="AAN287" s="1132" t="n"/>
      <c r="AAO287" s="1132" t="n"/>
      <c r="AAP287" s="1132" t="n"/>
      <c r="AAQ287" s="1132" t="n"/>
      <c r="AAR287" s="1132" t="n"/>
      <c r="AAS287" s="1132" t="n"/>
      <c r="AAT287" s="1132" t="n"/>
      <c r="AAU287" s="1132" t="n"/>
      <c r="AAV287" s="1132" t="n"/>
      <c r="AAW287" s="1132" t="n"/>
      <c r="AAX287" s="1132" t="n"/>
      <c r="AAY287" s="1132" t="n"/>
      <c r="AAZ287" s="1132" t="n"/>
      <c r="ABA287" s="1132" t="n"/>
      <c r="ABB287" s="1132" t="n"/>
      <c r="ABC287" s="1132" t="n"/>
      <c r="ABD287" s="1132" t="n"/>
      <c r="ABE287" s="1132" t="n"/>
      <c r="ABF287" s="1132" t="n"/>
      <c r="ABG287" s="1132" t="n"/>
      <c r="ABH287" s="1132" t="n"/>
      <c r="ABI287" s="1132" t="n"/>
      <c r="ABJ287" s="1132" t="n"/>
      <c r="ABK287" s="1132" t="n"/>
      <c r="ABL287" s="1132" t="n"/>
      <c r="ABM287" s="1132" t="n"/>
      <c r="ABN287" s="1132" t="n"/>
      <c r="ABO287" s="1132" t="n"/>
      <c r="ABP287" s="1132" t="n"/>
      <c r="ABQ287" s="1132" t="n"/>
      <c r="ABR287" s="1132" t="n"/>
      <c r="ABS287" s="1132" t="n"/>
      <c r="ABT287" s="1132" t="n"/>
      <c r="ABU287" s="1132" t="n"/>
      <c r="ABV287" s="1132" t="n"/>
      <c r="ABW287" s="1132" t="n"/>
      <c r="ABX287" s="1132" t="n"/>
      <c r="ABY287" s="1132" t="n"/>
      <c r="ABZ287" s="1132" t="n"/>
      <c r="ACA287" s="1132" t="n"/>
      <c r="ACB287" s="1132" t="n"/>
      <c r="ACC287" s="1132" t="n"/>
      <c r="ACD287" s="1132" t="n"/>
      <c r="ACE287" s="1132" t="n"/>
      <c r="ACF287" s="1132" t="n"/>
      <c r="ACG287" s="1132" t="n"/>
      <c r="ACH287" s="1132" t="n"/>
      <c r="ACI287" s="1132" t="n"/>
      <c r="ACJ287" s="1132" t="n"/>
      <c r="ACK287" s="1132" t="n"/>
      <c r="ACL287" s="1132" t="n"/>
      <c r="ACM287" s="1132" t="n"/>
      <c r="ACN287" s="1132" t="n"/>
      <c r="ACO287" s="1132" t="n"/>
      <c r="ACP287" s="1132" t="n"/>
      <c r="ACQ287" s="1132" t="n"/>
      <c r="ACR287" s="1132" t="n"/>
      <c r="ACS287" s="1132" t="n"/>
      <c r="ACT287" s="1132" t="n"/>
      <c r="ACU287" s="1132" t="n"/>
      <c r="ACV287" s="1132" t="n"/>
      <c r="ACW287" s="1132" t="n"/>
      <c r="ACX287" s="1132" t="n"/>
      <c r="ACY287" s="1132" t="n"/>
      <c r="ACZ287" s="1132" t="n"/>
      <c r="ADA287" s="1132" t="n"/>
      <c r="ADB287" s="1132" t="n"/>
      <c r="ADC287" s="1132" t="n"/>
      <c r="ADD287" s="1132" t="n"/>
      <c r="ADE287" s="1132" t="n"/>
      <c r="ADF287" s="1132" t="n"/>
      <c r="ADG287" s="1132" t="n"/>
      <c r="ADH287" s="1132" t="n"/>
      <c r="ADI287" s="1132" t="n"/>
      <c r="ADJ287" s="1132" t="n"/>
      <c r="ADK287" s="1132" t="n"/>
      <c r="ADL287" s="1132" t="n"/>
      <c r="ADM287" s="1132" t="n"/>
      <c r="ADN287" s="1132" t="n"/>
      <c r="ADO287" s="1132" t="n"/>
      <c r="ADP287" s="1132" t="n"/>
      <c r="ADQ287" s="1132" t="n"/>
      <c r="ADR287" s="1132" t="n"/>
      <c r="ADS287" s="1132" t="n"/>
      <c r="ADT287" s="1132" t="n"/>
      <c r="ADU287" s="1132" t="n"/>
      <c r="ADV287" s="1132" t="n"/>
      <c r="ADW287" s="1132" t="n"/>
      <c r="ADX287" s="1132" t="n"/>
      <c r="ADY287" s="1132" t="n"/>
      <c r="ADZ287" s="1132" t="n"/>
      <c r="AEA287" s="1132" t="n"/>
      <c r="AEB287" s="1132" t="n"/>
      <c r="AEC287" s="1132" t="n"/>
      <c r="AED287" s="1132" t="n"/>
      <c r="AEE287" s="1132" t="n"/>
      <c r="AEF287" s="1132" t="n"/>
      <c r="AEG287" s="1132" t="n"/>
      <c r="AEH287" s="1132" t="n"/>
      <c r="AEI287" s="1132" t="n"/>
      <c r="AEJ287" s="1132" t="n"/>
      <c r="AEK287" s="1132" t="n"/>
      <c r="AEL287" s="1132" t="n"/>
      <c r="AEM287" s="1132" t="n"/>
      <c r="AEN287" s="1132" t="n"/>
      <c r="AEO287" s="1132" t="n"/>
      <c r="AEP287" s="1132" t="n"/>
      <c r="AEQ287" s="1132" t="n"/>
      <c r="AER287" s="1132" t="n"/>
      <c r="AES287" s="1132" t="n"/>
      <c r="AET287" s="1132" t="n"/>
      <c r="AEU287" s="1132" t="n"/>
      <c r="AEV287" s="1132" t="n"/>
      <c r="AEW287" s="1132" t="n"/>
      <c r="AEX287" s="1132" t="n"/>
      <c r="AEY287" s="1132" t="n"/>
      <c r="AEZ287" s="1132" t="n"/>
      <c r="AFA287" s="1132" t="n"/>
      <c r="AFB287" s="1132" t="n"/>
      <c r="AFC287" s="1132" t="n"/>
      <c r="AFD287" s="1132" t="n"/>
      <c r="AFE287" s="1132" t="n"/>
      <c r="AFF287" s="1132" t="n"/>
      <c r="AFG287" s="1132" t="n"/>
      <c r="AFH287" s="1132" t="n"/>
      <c r="AFI287" s="1132" t="n"/>
      <c r="AFJ287" s="1132" t="n"/>
      <c r="AFK287" s="1132" t="n"/>
      <c r="AFL287" s="1132" t="n"/>
      <c r="AFM287" s="1132" t="n"/>
      <c r="AFN287" s="1132" t="n"/>
      <c r="AFO287" s="1132" t="n"/>
      <c r="AFP287" s="1132" t="n"/>
      <c r="AFQ287" s="1132" t="n"/>
      <c r="AFR287" s="1132" t="n"/>
      <c r="AFS287" s="1132" t="n"/>
      <c r="AFT287" s="1132" t="n"/>
      <c r="AFU287" s="1132" t="n"/>
      <c r="AFV287" s="1132" t="n"/>
      <c r="AFW287" s="1132" t="n"/>
      <c r="AFX287" s="1132" t="n"/>
      <c r="AFY287" s="1132" t="n"/>
      <c r="AFZ287" s="1132" t="n"/>
      <c r="AGA287" s="1132" t="n"/>
      <c r="AGB287" s="1132" t="n"/>
      <c r="AGC287" s="1132" t="n"/>
      <c r="AGD287" s="1132" t="n"/>
      <c r="AGE287" s="1132" t="n"/>
      <c r="AGF287" s="1132" t="n"/>
      <c r="AGG287" s="1132" t="n"/>
      <c r="AGH287" s="1132" t="n"/>
      <c r="AGI287" s="1132" t="n"/>
      <c r="AGJ287" s="1132" t="n"/>
      <c r="AGK287" s="1132" t="n"/>
      <c r="AGL287" s="1132" t="n"/>
      <c r="AGM287" s="1132" t="n"/>
      <c r="AGN287" s="1132" t="n"/>
      <c r="AGO287" s="1132" t="n"/>
      <c r="AGP287" s="1132" t="n"/>
      <c r="AGQ287" s="1132" t="n"/>
      <c r="AGR287" s="1132" t="n"/>
      <c r="AGS287" s="1132" t="n"/>
      <c r="AGT287" s="1132" t="n"/>
      <c r="AGU287" s="1132" t="n"/>
      <c r="AGV287" s="1132" t="n"/>
      <c r="AGW287" s="1132" t="n"/>
      <c r="AGX287" s="1132" t="n"/>
      <c r="AGY287" s="1132" t="n"/>
      <c r="AGZ287" s="1132" t="n"/>
      <c r="AHA287" s="1132" t="n"/>
      <c r="AHB287" s="1132" t="n"/>
      <c r="AHC287" s="1132" t="n"/>
      <c r="AHD287" s="1132" t="n"/>
      <c r="AHE287" s="1132" t="n"/>
      <c r="AHF287" s="1132" t="n"/>
      <c r="AHG287" s="1132" t="n"/>
      <c r="AHH287" s="1132" t="n"/>
      <c r="AHI287" s="1132" t="n"/>
      <c r="AHJ287" s="1132" t="n"/>
      <c r="AHK287" s="1132" t="n"/>
      <c r="AHL287" s="1132" t="n"/>
      <c r="AHM287" s="1132" t="n"/>
      <c r="AHN287" s="1132" t="n"/>
      <c r="AHO287" s="1132" t="n"/>
      <c r="AHP287" s="1132" t="n"/>
      <c r="AHQ287" s="1132" t="n"/>
      <c r="AHR287" s="1132" t="n"/>
      <c r="AHS287" s="1132" t="n"/>
      <c r="AHT287" s="1132" t="n"/>
      <c r="AHU287" s="1132" t="n"/>
      <c r="AHV287" s="1132" t="n"/>
      <c r="AHW287" s="1132" t="n"/>
      <c r="AHX287" s="1132" t="n"/>
      <c r="AHY287" s="1132" t="n"/>
      <c r="AHZ287" s="1132" t="n"/>
      <c r="AIA287" s="1132" t="n"/>
      <c r="AIB287" s="1132" t="n"/>
      <c r="AIC287" s="1132" t="n"/>
      <c r="AID287" s="1132" t="n"/>
      <c r="AIE287" s="1132" t="n"/>
      <c r="AIF287" s="1132" t="n"/>
      <c r="AIG287" s="1132" t="n"/>
      <c r="AIH287" s="1132" t="n"/>
      <c r="AII287" s="1132" t="n"/>
      <c r="AIJ287" s="1132" t="n"/>
      <c r="AIK287" s="1132" t="n"/>
      <c r="AIL287" s="1132" t="n"/>
      <c r="AIM287" s="1132" t="n"/>
      <c r="AIN287" s="1132" t="n"/>
      <c r="AIO287" s="1132" t="n"/>
      <c r="AIP287" s="1132" t="n"/>
      <c r="AIQ287" s="1132" t="n"/>
      <c r="AIR287" s="1132" t="n"/>
      <c r="AIS287" s="1132" t="n"/>
      <c r="AIT287" s="1132" t="n"/>
      <c r="AIU287" s="1132" t="n"/>
      <c r="AIV287" s="1132" t="n"/>
      <c r="AIW287" s="1132" t="n"/>
      <c r="AIX287" s="1132" t="n"/>
      <c r="AIY287" s="1132" t="n"/>
      <c r="AIZ287" s="1132" t="n"/>
      <c r="AJA287" s="1132" t="n"/>
      <c r="AJB287" s="1132" t="n"/>
      <c r="AJC287" s="1132" t="n"/>
      <c r="AJD287" s="1132" t="n"/>
      <c r="AJE287" s="1132" t="n"/>
      <c r="AJF287" s="1132" t="n"/>
      <c r="AJG287" s="1132" t="n"/>
      <c r="AJH287" s="1132" t="n"/>
      <c r="AJI287" s="1132" t="n"/>
      <c r="AJJ287" s="1132" t="n"/>
      <c r="AJK287" s="1132" t="n"/>
      <c r="AJL287" s="1132" t="n"/>
      <c r="AJM287" s="1132" t="n"/>
      <c r="AJN287" s="1132" t="n"/>
      <c r="AJO287" s="1132" t="n"/>
      <c r="AJP287" s="1132" t="n"/>
      <c r="AJQ287" s="1132" t="n"/>
      <c r="AJR287" s="1132" t="n"/>
      <c r="AJS287" s="1132" t="n"/>
      <c r="AJT287" s="1132" t="n"/>
      <c r="AJU287" s="1132" t="n"/>
      <c r="AJV287" s="1132" t="n"/>
      <c r="AJW287" s="1132" t="n"/>
      <c r="AJX287" s="1132" t="n"/>
      <c r="AJY287" s="1132" t="n"/>
      <c r="AJZ287" s="1132" t="n"/>
      <c r="AKA287" s="1132" t="n"/>
      <c r="AKB287" s="1132" t="n"/>
      <c r="AKC287" s="1132" t="n"/>
      <c r="AKD287" s="1132" t="n"/>
      <c r="AKE287" s="1132" t="n"/>
      <c r="AKF287" s="1132" t="n"/>
      <c r="AKG287" s="1132" t="n"/>
      <c r="AKH287" s="1132" t="n"/>
      <c r="AKI287" s="1132" t="n"/>
      <c r="AKJ287" s="1132" t="n"/>
      <c r="AKK287" s="1132" t="n"/>
      <c r="AKL287" s="1132" t="n"/>
      <c r="AKM287" s="1132" t="n"/>
      <c r="AKN287" s="1132" t="n"/>
      <c r="AKO287" s="1132" t="n"/>
      <c r="AKP287" s="1132" t="n"/>
      <c r="AKQ287" s="1132" t="n"/>
      <c r="AKR287" s="1132" t="n"/>
      <c r="AKS287" s="1132" t="n"/>
      <c r="AKT287" s="1132" t="n"/>
      <c r="AKU287" s="1132" t="n"/>
      <c r="AKV287" s="1132" t="n"/>
      <c r="AKW287" s="1132" t="n"/>
      <c r="AKX287" s="1132" t="n"/>
      <c r="AKY287" s="1132" t="n"/>
      <c r="AKZ287" s="1132" t="n"/>
      <c r="ALA287" s="1132" t="n"/>
      <c r="ALB287" s="1132" t="n"/>
      <c r="ALC287" s="1132" t="n"/>
      <c r="ALD287" s="1132" t="n"/>
      <c r="ALE287" s="1132" t="n"/>
      <c r="ALF287" s="1132" t="n"/>
      <c r="ALG287" s="1132" t="n"/>
      <c r="ALH287" s="1132" t="n"/>
      <c r="ALI287" s="1132" t="n"/>
      <c r="ALJ287" s="1132" t="n"/>
      <c r="ALK287" s="1132" t="n"/>
      <c r="ALL287" s="1132" t="n"/>
      <c r="ALM287" s="1132" t="n"/>
      <c r="ALN287" s="1132" t="n"/>
      <c r="ALO287" s="1132" t="n"/>
      <c r="ALP287" s="1132" t="n"/>
      <c r="ALQ287" s="1132" t="n"/>
      <c r="ALR287" s="1132" t="n"/>
      <c r="ALS287" s="1132" t="n"/>
      <c r="ALT287" s="1132" t="n"/>
      <c r="ALU287" s="1132" t="n"/>
      <c r="ALV287" s="1132" t="n"/>
      <c r="ALW287" s="1132" t="n"/>
      <c r="ALX287" s="1132" t="n"/>
      <c r="ALY287" s="1132" t="n"/>
      <c r="ALZ287" s="1132" t="n"/>
      <c r="AMA287" s="1132" t="n"/>
      <c r="AMB287" s="1132" t="n"/>
      <c r="AMC287" s="1132" t="n"/>
      <c r="AMD287" s="1132" t="n"/>
      <c r="AME287" s="1132" t="n"/>
      <c r="AMF287" s="1132" t="n"/>
      <c r="AMG287" s="1132" t="n"/>
      <c r="AMH287" s="1132" t="n"/>
      <c r="AMI287" s="1132" t="n"/>
      <c r="AMJ287" s="1132" t="n"/>
      <c r="AMK287" s="1132" t="n"/>
      <c r="AML287" s="1132" t="n"/>
      <c r="AMM287" s="1132" t="n"/>
      <c r="AMN287" s="1132" t="n"/>
      <c r="AMO287" s="1132" t="n"/>
      <c r="AMP287" s="1132" t="n"/>
      <c r="AMQ287" s="1132" t="n"/>
      <c r="AMR287" s="1132" t="n"/>
      <c r="AMS287" s="1132" t="n"/>
      <c r="AMT287" s="1132" t="n"/>
      <c r="AMU287" s="1132" t="n"/>
      <c r="AMV287" s="1132" t="n"/>
      <c r="AMW287" s="1132" t="n"/>
      <c r="AMX287" s="1132" t="n"/>
      <c r="AMY287" s="1132" t="n"/>
      <c r="AMZ287" s="1132" t="n"/>
      <c r="ANA287" s="1132" t="n"/>
      <c r="ANB287" s="1132" t="n"/>
      <c r="ANC287" s="1132" t="n"/>
      <c r="AND287" s="1132" t="n"/>
      <c r="ANE287" s="1132" t="n"/>
      <c r="ANF287" s="1132" t="n"/>
      <c r="ANG287" s="1132" t="n"/>
      <c r="ANH287" s="1132" t="n"/>
      <c r="ANI287" s="1132" t="n"/>
      <c r="ANJ287" s="1132" t="n"/>
      <c r="ANK287" s="1132" t="n"/>
      <c r="ANL287" s="1132" t="n"/>
      <c r="ANM287" s="1132" t="n"/>
      <c r="ANN287" s="1132" t="n"/>
      <c r="ANO287" s="1132" t="n"/>
      <c r="ANP287" s="1132" t="n"/>
      <c r="ANQ287" s="1132" t="n"/>
      <c r="ANR287" s="1132" t="n"/>
      <c r="ANS287" s="1132" t="n"/>
      <c r="ANT287" s="1132" t="n"/>
      <c r="ANU287" s="1132" t="n"/>
      <c r="ANV287" s="1132" t="n"/>
      <c r="ANW287" s="1132" t="n"/>
      <c r="ANX287" s="1132" t="n"/>
      <c r="ANY287" s="1132" t="n"/>
      <c r="ANZ287" s="1132" t="n"/>
      <c r="AOA287" s="1132" t="n"/>
      <c r="AOB287" s="1132" t="n"/>
      <c r="AOC287" s="1132" t="n"/>
      <c r="AOD287" s="1132" t="n"/>
      <c r="AOE287" s="1132" t="n"/>
      <c r="AOF287" s="1132" t="n"/>
      <c r="AOG287" s="1132" t="n"/>
      <c r="AOH287" s="1132" t="n"/>
      <c r="AOI287" s="1132" t="n"/>
      <c r="AOJ287" s="1132" t="n"/>
      <c r="AOK287" s="1132" t="n"/>
      <c r="AOL287" s="1132" t="n"/>
      <c r="AOM287" s="1132" t="n"/>
      <c r="AON287" s="1132" t="n"/>
      <c r="AOO287" s="1132" t="n"/>
      <c r="AOP287" s="1132" t="n"/>
      <c r="AOQ287" s="1132" t="n"/>
      <c r="AOR287" s="1132" t="n"/>
      <c r="AOS287" s="1132" t="n"/>
      <c r="AOT287" s="1132" t="n"/>
      <c r="AOU287" s="1132" t="n"/>
      <c r="AOV287" s="1132" t="n"/>
      <c r="AOW287" s="1132" t="n"/>
      <c r="AOX287" s="1132" t="n"/>
      <c r="AOY287" s="1132" t="n"/>
      <c r="AOZ287" s="1132" t="n"/>
      <c r="APA287" s="1132" t="n"/>
      <c r="APB287" s="1132" t="n"/>
      <c r="APC287" s="1132" t="n"/>
      <c r="APD287" s="1132" t="n"/>
      <c r="APE287" s="1132" t="n"/>
      <c r="APF287" s="1132" t="n"/>
      <c r="APG287" s="1132" t="n"/>
      <c r="APH287" s="1132" t="n"/>
      <c r="API287" s="1132" t="n"/>
      <c r="APJ287" s="1132" t="n"/>
      <c r="APK287" s="1132" t="n"/>
      <c r="APL287" s="1132" t="n"/>
      <c r="APM287" s="1132" t="n"/>
      <c r="APN287" s="1132" t="n"/>
      <c r="APO287" s="1132" t="n"/>
      <c r="APP287" s="1132" t="n"/>
      <c r="APQ287" s="1132" t="n"/>
      <c r="APR287" s="1132" t="n"/>
      <c r="APS287" s="1132" t="n"/>
      <c r="APT287" s="1132" t="n"/>
      <c r="APU287" s="1132" t="n"/>
      <c r="APV287" s="1132" t="n"/>
      <c r="APW287" s="1132" t="n"/>
      <c r="APX287" s="1132" t="n"/>
      <c r="APY287" s="1132" t="n"/>
      <c r="APZ287" s="1132" t="n"/>
      <c r="AQA287" s="1132" t="n"/>
      <c r="AQB287" s="1132" t="n"/>
      <c r="AQC287" s="1132" t="n"/>
      <c r="AQD287" s="1132" t="n"/>
      <c r="AQE287" s="1132" t="n"/>
      <c r="AQF287" s="1132" t="n"/>
      <c r="AQG287" s="1132" t="n"/>
      <c r="AQH287" s="1132" t="n"/>
      <c r="AQI287" s="1132" t="n"/>
      <c r="AQJ287" s="1132" t="n"/>
      <c r="AQK287" s="1132" t="n"/>
      <c r="AQL287" s="1132" t="n"/>
      <c r="AQM287" s="1132" t="n"/>
      <c r="AQN287" s="1132" t="n"/>
      <c r="AQO287" s="1132" t="n"/>
      <c r="AQP287" s="1132" t="n"/>
      <c r="AQQ287" s="1132" t="n"/>
      <c r="AQR287" s="1132" t="n"/>
      <c r="AQS287" s="1132" t="n"/>
      <c r="AQT287" s="1132" t="n"/>
      <c r="AQU287" s="1132" t="n"/>
      <c r="AQV287" s="1132" t="n"/>
      <c r="AQW287" s="1132" t="n"/>
      <c r="AQX287" s="1132" t="n"/>
      <c r="AQY287" s="1132" t="n"/>
      <c r="AQZ287" s="1132" t="n"/>
      <c r="ARA287" s="1132" t="n"/>
      <c r="ARB287" s="1132" t="n"/>
      <c r="ARC287" s="1132" t="n"/>
      <c r="ARD287" s="1132" t="n"/>
      <c r="ARE287" s="1132" t="n"/>
      <c r="ARF287" s="1132" t="n"/>
      <c r="ARG287" s="1132" t="n"/>
      <c r="ARH287" s="1132" t="n"/>
      <c r="ARI287" s="1132" t="n"/>
      <c r="ARJ287" s="1132" t="n"/>
      <c r="ARK287" s="1132" t="n"/>
      <c r="ARL287" s="1132" t="n"/>
      <c r="ARM287" s="1132" t="n"/>
      <c r="ARN287" s="1132" t="n"/>
      <c r="ARO287" s="1132" t="n"/>
      <c r="ARP287" s="1132" t="n"/>
      <c r="ARQ287" s="1132" t="n"/>
      <c r="ARR287" s="1132" t="n"/>
      <c r="ARS287" s="1132" t="n"/>
      <c r="ART287" s="1132" t="n"/>
      <c r="ARU287" s="1132" t="n"/>
      <c r="ARV287" s="1132" t="n"/>
      <c r="ARW287" s="1132" t="n"/>
      <c r="ARX287" s="1132" t="n"/>
      <c r="ARY287" s="1132" t="n"/>
      <c r="ARZ287" s="1132" t="n"/>
      <c r="ASA287" s="1132" t="n"/>
      <c r="ASB287" s="1132" t="n"/>
      <c r="ASC287" s="1132" t="n"/>
      <c r="ASD287" s="1132" t="n"/>
      <c r="ASE287" s="1132" t="n"/>
      <c r="ASF287" s="1132" t="n"/>
      <c r="ASG287" s="1132" t="n"/>
      <c r="ASH287" s="1132" t="n"/>
      <c r="ASI287" s="1132" t="n"/>
      <c r="ASJ287" s="1132" t="n"/>
      <c r="ASK287" s="1132" t="n"/>
      <c r="ASL287" s="1132" t="n"/>
      <c r="ASM287" s="1132" t="n"/>
      <c r="ASN287" s="1132" t="n"/>
      <c r="ASO287" s="1132" t="n"/>
      <c r="ASP287" s="1132" t="n"/>
      <c r="ASQ287" s="1132" t="n"/>
      <c r="ASR287" s="1132" t="n"/>
      <c r="ASS287" s="1132" t="n"/>
      <c r="AST287" s="1132" t="n"/>
      <c r="ASU287" s="1132" t="n"/>
      <c r="ASV287" s="1132" t="n"/>
      <c r="ASW287" s="1132" t="n"/>
      <c r="ASX287" s="1132" t="n"/>
      <c r="ASY287" s="1132" t="n"/>
      <c r="ASZ287" s="1132" t="n"/>
      <c r="ATA287" s="1132" t="n"/>
      <c r="ATB287" s="1132" t="n"/>
      <c r="ATC287" s="1132" t="n"/>
      <c r="ATD287" s="1132" t="n"/>
      <c r="ATE287" s="1132" t="n"/>
      <c r="ATF287" s="1132" t="n"/>
      <c r="ATG287" s="1132" t="n"/>
      <c r="ATH287" s="1132" t="n"/>
      <c r="ATI287" s="1132" t="n"/>
      <c r="ATJ287" s="1132" t="n"/>
      <c r="ATK287" s="1132" t="n"/>
      <c r="ATL287" s="1132" t="n"/>
      <c r="ATM287" s="1132" t="n"/>
      <c r="ATN287" s="1132" t="n"/>
      <c r="ATO287" s="1132" t="n"/>
      <c r="ATP287" s="1132" t="n"/>
      <c r="ATQ287" s="1132" t="n"/>
      <c r="ATR287" s="1132" t="n"/>
      <c r="ATS287" s="1132" t="n"/>
      <c r="ATT287" s="1132" t="n"/>
      <c r="ATU287" s="1132" t="n"/>
      <c r="ATV287" s="1132" t="n"/>
      <c r="ATW287" s="1132" t="n"/>
      <c r="ATX287" s="1132" t="n"/>
      <c r="ATY287" s="1132" t="n"/>
      <c r="ATZ287" s="1132" t="n"/>
      <c r="AUA287" s="1132" t="n"/>
      <c r="AUB287" s="1132" t="n"/>
      <c r="AUC287" s="1132" t="n"/>
      <c r="AUD287" s="1132" t="n"/>
      <c r="AUE287" s="1132" t="n"/>
      <c r="AUF287" s="1132" t="n"/>
      <c r="AUG287" s="1132" t="n"/>
      <c r="AUH287" s="1132" t="n"/>
      <c r="AUI287" s="1132" t="n"/>
      <c r="AUJ287" s="1132" t="n"/>
      <c r="AUK287" s="1132" t="n"/>
      <c r="AUL287" s="1132" t="n"/>
      <c r="AUM287" s="1132" t="n"/>
      <c r="AUN287" s="1132" t="n"/>
      <c r="AUO287" s="1132" t="n"/>
      <c r="AUP287" s="1132" t="n"/>
      <c r="AUQ287" s="1132" t="n"/>
      <c r="AUR287" s="1132" t="n"/>
      <c r="AUS287" s="1132" t="n"/>
      <c r="AUT287" s="1132" t="n"/>
      <c r="AUU287" s="1132" t="n"/>
      <c r="AUV287" s="1132" t="n"/>
      <c r="AUW287" s="1132" t="n"/>
      <c r="AUX287" s="1132" t="n"/>
      <c r="AUY287" s="1132" t="n"/>
      <c r="AUZ287" s="1132" t="n"/>
      <c r="AVA287" s="1132" t="n"/>
      <c r="AVB287" s="1132" t="n"/>
      <c r="AVC287" s="1132" t="n"/>
      <c r="AVD287" s="1132" t="n"/>
      <c r="AVE287" s="1132" t="n"/>
      <c r="AVF287" s="1132" t="n"/>
      <c r="AVG287" s="1132" t="n"/>
      <c r="AVH287" s="1132" t="n"/>
      <c r="AVI287" s="1132" t="n"/>
      <c r="AVJ287" s="1132" t="n"/>
      <c r="AVK287" s="1132" t="n"/>
      <c r="AVL287" s="1132" t="n"/>
      <c r="AVM287" s="1132" t="n"/>
      <c r="AVN287" s="1132" t="n"/>
      <c r="AVO287" s="1132" t="n"/>
      <c r="AVP287" s="1132" t="n"/>
      <c r="AVQ287" s="1132" t="n"/>
      <c r="AVR287" s="1132" t="n"/>
      <c r="AVS287" s="1132" t="n"/>
      <c r="AVT287" s="1132" t="n"/>
      <c r="AVU287" s="1132" t="n"/>
      <c r="AVV287" s="1132" t="n"/>
      <c r="AVW287" s="1132" t="n"/>
      <c r="AVX287" s="1132" t="n"/>
      <c r="AVY287" s="1132" t="n"/>
      <c r="AVZ287" s="1132" t="n"/>
      <c r="AWA287" s="1132" t="n"/>
      <c r="AWB287" s="1132" t="n"/>
      <c r="AWC287" s="1132" t="n"/>
      <c r="AWD287" s="1132" t="n"/>
      <c r="AWE287" s="1132" t="n"/>
      <c r="AWF287" s="1132" t="n"/>
      <c r="AWG287" s="1132" t="n"/>
      <c r="AWH287" s="1132" t="n"/>
      <c r="AWI287" s="1132" t="n"/>
      <c r="AWJ287" s="1132" t="n"/>
      <c r="AWK287" s="1132" t="n"/>
      <c r="AWL287" s="1132" t="n"/>
      <c r="AWM287" s="1132" t="n"/>
      <c r="AWN287" s="1132" t="n"/>
      <c r="AWO287" s="1132" t="n"/>
      <c r="AWP287" s="1132" t="n"/>
      <c r="AWQ287" s="1132" t="n"/>
      <c r="AWR287" s="1132" t="n"/>
      <c r="AWS287" s="1132" t="n"/>
      <c r="AWT287" s="1132" t="n"/>
      <c r="AWU287" s="1132" t="n"/>
      <c r="AWV287" s="1132" t="n"/>
      <c r="AWW287" s="1132" t="n"/>
      <c r="AWX287" s="1132" t="n"/>
      <c r="AWY287" s="1132" t="n"/>
      <c r="AWZ287" s="1132" t="n"/>
      <c r="AXA287" s="1132" t="n"/>
      <c r="AXB287" s="1132" t="n"/>
      <c r="AXC287" s="1132" t="n"/>
      <c r="AXD287" s="1132" t="n"/>
      <c r="AXE287" s="1132" t="n"/>
      <c r="AXF287" s="1132" t="n"/>
      <c r="AXG287" s="1132" t="n"/>
      <c r="AXH287" s="1132" t="n"/>
      <c r="AXI287" s="1132" t="n"/>
      <c r="AXJ287" s="1132" t="n"/>
      <c r="AXK287" s="1132" t="n"/>
      <c r="AXL287" s="1132" t="n"/>
      <c r="AXM287" s="1132" t="n"/>
      <c r="AXN287" s="1132" t="n"/>
      <c r="AXO287" s="1132" t="n"/>
      <c r="AXP287" s="1132" t="n"/>
      <c r="AXQ287" s="1132" t="n"/>
      <c r="AXR287" s="1132" t="n"/>
      <c r="AXS287" s="1132" t="n"/>
      <c r="AXT287" s="1132" t="n"/>
      <c r="AXU287" s="1132" t="n"/>
      <c r="AXV287" s="1132" t="n"/>
      <c r="AXW287" s="1132" t="n"/>
      <c r="AXX287" s="1132" t="n"/>
      <c r="AXY287" s="1132" t="n"/>
      <c r="AXZ287" s="1132" t="n"/>
      <c r="AYA287" s="1132" t="n"/>
      <c r="AYB287" s="1132" t="n"/>
      <c r="AYC287" s="1132" t="n"/>
      <c r="AYD287" s="1132" t="n"/>
      <c r="AYE287" s="1132" t="n"/>
      <c r="AYF287" s="1132" t="n"/>
      <c r="AYG287" s="1132" t="n"/>
      <c r="AYH287" s="1132" t="n"/>
      <c r="AYI287" s="1132" t="n"/>
      <c r="AYJ287" s="1132" t="n"/>
      <c r="AYK287" s="1132" t="n"/>
      <c r="AYL287" s="1132" t="n"/>
      <c r="AYM287" s="1132" t="n"/>
      <c r="AYN287" s="1132" t="n"/>
      <c r="AYO287" s="1132" t="n"/>
      <c r="AYP287" s="1132" t="n"/>
      <c r="AYQ287" s="1132" t="n"/>
      <c r="AYR287" s="1132" t="n"/>
      <c r="AYS287" s="1132" t="n"/>
      <c r="AYT287" s="1132" t="n"/>
      <c r="AYU287" s="1132" t="n"/>
      <c r="AYV287" s="1132" t="n"/>
      <c r="AYW287" s="1132" t="n"/>
      <c r="AYX287" s="1132" t="n"/>
      <c r="AYY287" s="1132" t="n"/>
      <c r="AYZ287" s="1132" t="n"/>
      <c r="AZA287" s="1132" t="n"/>
      <c r="AZB287" s="1132" t="n"/>
      <c r="AZC287" s="1132" t="n"/>
      <c r="AZD287" s="1132" t="n"/>
      <c r="AZE287" s="1132" t="n"/>
      <c r="AZF287" s="1132" t="n"/>
      <c r="AZG287" s="1132" t="n"/>
      <c r="AZH287" s="1132" t="n"/>
      <c r="AZI287" s="1132" t="n"/>
      <c r="AZJ287" s="1132" t="n"/>
      <c r="AZK287" s="1132" t="n"/>
      <c r="AZL287" s="1132" t="n"/>
      <c r="AZM287" s="1132" t="n"/>
      <c r="AZN287" s="1132" t="n"/>
      <c r="AZO287" s="1132" t="n"/>
      <c r="AZP287" s="1132" t="n"/>
      <c r="AZQ287" s="1132" t="n"/>
      <c r="AZR287" s="1132" t="n"/>
      <c r="AZS287" s="1132" t="n"/>
      <c r="AZT287" s="1132" t="n"/>
      <c r="AZU287" s="1132" t="n"/>
      <c r="AZV287" s="1132" t="n"/>
      <c r="AZW287" s="1132" t="n"/>
      <c r="AZX287" s="1132" t="n"/>
      <c r="AZY287" s="1132" t="n"/>
      <c r="AZZ287" s="1132" t="n"/>
      <c r="BAA287" s="1132" t="n"/>
      <c r="BAB287" s="1132" t="n"/>
      <c r="BAC287" s="1132" t="n"/>
      <c r="BAD287" s="1132" t="n"/>
      <c r="BAE287" s="1132" t="n"/>
      <c r="BAF287" s="1132" t="n"/>
      <c r="BAG287" s="1132" t="n"/>
      <c r="BAH287" s="1132" t="n"/>
      <c r="BAI287" s="1132" t="n"/>
      <c r="BAJ287" s="1132" t="n"/>
      <c r="BAK287" s="1132" t="n"/>
      <c r="BAL287" s="1132" t="n"/>
      <c r="BAM287" s="1132" t="n"/>
      <c r="BAN287" s="1132" t="n"/>
      <c r="BAO287" s="1132" t="n"/>
      <c r="BAP287" s="1132" t="n"/>
      <c r="BAQ287" s="1132" t="n"/>
      <c r="BAR287" s="1132" t="n"/>
      <c r="BAS287" s="1132" t="n"/>
      <c r="BAT287" s="1132" t="n"/>
      <c r="BAU287" s="1132" t="n"/>
      <c r="BAV287" s="1132" t="n"/>
      <c r="BAW287" s="1132" t="n"/>
      <c r="BAX287" s="1132" t="n"/>
      <c r="BAY287" s="1132" t="n"/>
      <c r="BAZ287" s="1132" t="n"/>
      <c r="BBA287" s="1132" t="n"/>
      <c r="BBB287" s="1132" t="n"/>
      <c r="BBC287" s="1132" t="n"/>
      <c r="BBD287" s="1132" t="n"/>
      <c r="BBE287" s="1132" t="n"/>
      <c r="BBF287" s="1132" t="n"/>
      <c r="BBG287" s="1132" t="n"/>
      <c r="BBH287" s="1132" t="n"/>
      <c r="BBI287" s="1132" t="n"/>
      <c r="BBJ287" s="1132" t="n"/>
      <c r="BBK287" s="1132" t="n"/>
      <c r="BBL287" s="1132" t="n"/>
      <c r="BBM287" s="1132" t="n"/>
      <c r="BBN287" s="1132" t="n"/>
      <c r="BBO287" s="1132" t="n"/>
      <c r="BBP287" s="1132" t="n"/>
      <c r="BBQ287" s="1132" t="n"/>
      <c r="BBR287" s="1132" t="n"/>
      <c r="BBS287" s="1132" t="n"/>
      <c r="BBT287" s="1132" t="n"/>
      <c r="BBU287" s="1132" t="n"/>
      <c r="BBV287" s="1132" t="n"/>
      <c r="BBW287" s="1132" t="n"/>
      <c r="BBX287" s="1132" t="n"/>
      <c r="BBY287" s="1132" t="n"/>
      <c r="BBZ287" s="1132" t="n"/>
      <c r="BCA287" s="1132" t="n"/>
      <c r="BCB287" s="1132" t="n"/>
      <c r="BCC287" s="1132" t="n"/>
      <c r="BCD287" s="1132" t="n"/>
      <c r="BCE287" s="1132" t="n"/>
      <c r="BCF287" s="1132" t="n"/>
      <c r="BCG287" s="1132" t="n"/>
      <c r="BCH287" s="1132" t="n"/>
      <c r="BCI287" s="1132" t="n"/>
      <c r="BCJ287" s="1132" t="n"/>
      <c r="BCK287" s="1132" t="n"/>
      <c r="BCL287" s="1132" t="n"/>
      <c r="BCM287" s="1132" t="n"/>
      <c r="BCN287" s="1132" t="n"/>
      <c r="BCO287" s="1132" t="n"/>
      <c r="BCP287" s="1132" t="n"/>
      <c r="BCQ287" s="1132" t="n"/>
      <c r="BCR287" s="1132" t="n"/>
      <c r="BCS287" s="1132" t="n"/>
      <c r="BCT287" s="1132" t="n"/>
      <c r="BCU287" s="1132" t="n"/>
      <c r="BCV287" s="1132" t="n"/>
      <c r="BCW287" s="1132" t="n"/>
      <c r="BCX287" s="1132" t="n"/>
      <c r="BCY287" s="1132" t="n"/>
      <c r="BCZ287" s="1132" t="n"/>
      <c r="BDA287" s="1132" t="n"/>
      <c r="BDB287" s="1132" t="n"/>
      <c r="BDC287" s="1132" t="n"/>
      <c r="BDD287" s="1132" t="n"/>
      <c r="BDE287" s="1132" t="n"/>
      <c r="BDF287" s="1132" t="n"/>
      <c r="BDG287" s="1132" t="n"/>
      <c r="BDH287" s="1132" t="n"/>
      <c r="BDI287" s="1132" t="n"/>
      <c r="BDJ287" s="1132" t="n"/>
      <c r="BDK287" s="1132" t="n"/>
      <c r="BDL287" s="1132" t="n"/>
      <c r="BDM287" s="1132" t="n"/>
      <c r="BDN287" s="1132" t="n"/>
      <c r="BDO287" s="1132" t="n"/>
      <c r="BDP287" s="1132" t="n"/>
      <c r="BDQ287" s="1132" t="n"/>
      <c r="BDR287" s="1132" t="n"/>
      <c r="BDS287" s="1132" t="n"/>
      <c r="BDT287" s="1132" t="n"/>
      <c r="BDU287" s="1132" t="n"/>
      <c r="BDV287" s="1132" t="n"/>
      <c r="BDW287" s="1132" t="n"/>
      <c r="BDX287" s="1132" t="n"/>
      <c r="BDY287" s="1132" t="n"/>
      <c r="BDZ287" s="1132" t="n"/>
      <c r="BEA287" s="1132" t="n"/>
      <c r="BEB287" s="1132" t="n"/>
      <c r="BEC287" s="1132" t="n"/>
      <c r="BED287" s="1132" t="n"/>
      <c r="BEE287" s="1132" t="n"/>
      <c r="BEF287" s="1132" t="n"/>
      <c r="BEG287" s="1132" t="n"/>
      <c r="BEH287" s="1132" t="n"/>
      <c r="BEI287" s="1132" t="n"/>
      <c r="BEJ287" s="1132" t="n"/>
      <c r="BEK287" s="1132" t="n"/>
      <c r="BEL287" s="1132" t="n"/>
      <c r="BEM287" s="1132" t="n"/>
      <c r="BEN287" s="1132" t="n"/>
      <c r="BEO287" s="1132" t="n"/>
      <c r="BEP287" s="1132" t="n"/>
      <c r="BEQ287" s="1132" t="n"/>
      <c r="BER287" s="1132" t="n"/>
      <c r="BES287" s="1132" t="n"/>
      <c r="BET287" s="1132" t="n"/>
      <c r="BEU287" s="1132" t="n"/>
      <c r="BEV287" s="1132" t="n"/>
      <c r="BEW287" s="1132" t="n"/>
      <c r="BEX287" s="1132" t="n"/>
      <c r="BEY287" s="1132" t="n"/>
      <c r="BEZ287" s="1132" t="n"/>
      <c r="BFA287" s="1132" t="n"/>
      <c r="BFB287" s="1132" t="n"/>
      <c r="BFC287" s="1132" t="n"/>
      <c r="BFD287" s="1132" t="n"/>
      <c r="BFE287" s="1132" t="n"/>
      <c r="BFF287" s="1132" t="n"/>
      <c r="BFG287" s="1132" t="n"/>
      <c r="BFH287" s="1132" t="n"/>
      <c r="BFI287" s="1132" t="n"/>
      <c r="BFJ287" s="1132" t="n"/>
      <c r="BFK287" s="1132" t="n"/>
      <c r="BFL287" s="1132" t="n"/>
      <c r="BFM287" s="1132" t="n"/>
      <c r="BFN287" s="1132" t="n"/>
      <c r="BFO287" s="1132" t="n"/>
      <c r="BFP287" s="1132" t="n"/>
      <c r="BFQ287" s="1132" t="n"/>
      <c r="BFR287" s="1132" t="n"/>
      <c r="BFS287" s="1132" t="n"/>
      <c r="BFT287" s="1132" t="n"/>
      <c r="BFU287" s="1132" t="n"/>
      <c r="BFV287" s="1132" t="n"/>
      <c r="BFW287" s="1132" t="n"/>
      <c r="BFX287" s="1132" t="n"/>
      <c r="BFY287" s="1132" t="n"/>
      <c r="BFZ287" s="1132" t="n"/>
      <c r="BGA287" s="1132" t="n"/>
      <c r="BGB287" s="1132" t="n"/>
      <c r="BGC287" s="1132" t="n"/>
      <c r="BGD287" s="1132" t="n"/>
      <c r="BGE287" s="1132" t="n"/>
      <c r="BGF287" s="1132" t="n"/>
      <c r="BGG287" s="1132" t="n"/>
      <c r="BGH287" s="1132" t="n"/>
      <c r="BGI287" s="1132" t="n"/>
      <c r="BGJ287" s="1132" t="n"/>
      <c r="BGK287" s="1132" t="n"/>
      <c r="BGL287" s="1132" t="n"/>
      <c r="BGM287" s="1132" t="n"/>
      <c r="BGN287" s="1132" t="n"/>
      <c r="BGO287" s="1132" t="n"/>
      <c r="BGP287" s="1132" t="n"/>
      <c r="BGQ287" s="1132" t="n"/>
      <c r="BGR287" s="1132" t="n"/>
      <c r="BGS287" s="1132" t="n"/>
      <c r="BGT287" s="1132" t="n"/>
      <c r="BGU287" s="1132" t="n"/>
      <c r="BGV287" s="1132" t="n"/>
      <c r="BGW287" s="1132" t="n"/>
      <c r="BGX287" s="1132" t="n"/>
      <c r="BGY287" s="1132" t="n"/>
      <c r="BGZ287" s="1132" t="n"/>
      <c r="BHA287" s="1132" t="n"/>
      <c r="BHB287" s="1132" t="n"/>
      <c r="BHC287" s="1132" t="n"/>
      <c r="BHD287" s="1132" t="n"/>
      <c r="BHE287" s="1132" t="n"/>
      <c r="BHF287" s="1132" t="n"/>
      <c r="BHG287" s="1132" t="n"/>
      <c r="BHH287" s="1132" t="n"/>
      <c r="BHI287" s="1132" t="n"/>
      <c r="BHJ287" s="1132" t="n"/>
      <c r="BHK287" s="1132" t="n"/>
      <c r="BHL287" s="1132" t="n"/>
      <c r="BHM287" s="1132" t="n"/>
      <c r="BHN287" s="1132" t="n"/>
      <c r="BHO287" s="1132" t="n"/>
      <c r="BHP287" s="1132" t="n"/>
      <c r="BHQ287" s="1132" t="n"/>
      <c r="BHR287" s="1132" t="n"/>
      <c r="BHS287" s="1132" t="n"/>
      <c r="BHT287" s="1132" t="n"/>
      <c r="BHU287" s="1132" t="n"/>
      <c r="BHV287" s="1132" t="n"/>
      <c r="BHW287" s="1132" t="n"/>
      <c r="BHX287" s="1132" t="n"/>
      <c r="BHY287" s="1132" t="n"/>
      <c r="BHZ287" s="1132" t="n"/>
      <c r="BIA287" s="1132" t="n"/>
      <c r="BIB287" s="1132" t="n"/>
      <c r="BIC287" s="1132" t="n"/>
      <c r="BID287" s="1132" t="n"/>
      <c r="BIE287" s="1132" t="n"/>
      <c r="BIF287" s="1132" t="n"/>
      <c r="BIG287" s="1132" t="n"/>
      <c r="BIH287" s="1132" t="n"/>
      <c r="BII287" s="1132" t="n"/>
      <c r="BIJ287" s="1132" t="n"/>
      <c r="BIK287" s="1132" t="n"/>
      <c r="BIL287" s="1132" t="n"/>
      <c r="BIM287" s="1132" t="n"/>
      <c r="BIN287" s="1132" t="n"/>
      <c r="BIO287" s="1132" t="n"/>
      <c r="BIP287" s="1132" t="n"/>
      <c r="BIQ287" s="1132" t="n"/>
      <c r="BIR287" s="1132" t="n"/>
      <c r="BIS287" s="1132" t="n"/>
      <c r="BIT287" s="1132" t="n"/>
      <c r="BIU287" s="1132" t="n"/>
      <c r="BIV287" s="1132" t="n"/>
      <c r="BIW287" s="1132" t="n"/>
      <c r="BIX287" s="1132" t="n"/>
      <c r="BIY287" s="1132" t="n"/>
      <c r="BIZ287" s="1132" t="n"/>
      <c r="BJA287" s="1132" t="n"/>
      <c r="BJB287" s="1132" t="n"/>
      <c r="BJC287" s="1132" t="n"/>
      <c r="BJD287" s="1132" t="n"/>
      <c r="BJE287" s="1132" t="n"/>
      <c r="BJF287" s="1132" t="n"/>
      <c r="BJG287" s="1132" t="n"/>
      <c r="BJH287" s="1132" t="n"/>
      <c r="BJI287" s="1132" t="n"/>
      <c r="BJJ287" s="1132" t="n"/>
      <c r="BJK287" s="1132" t="n"/>
      <c r="BJL287" s="1132" t="n"/>
      <c r="BJM287" s="1132" t="n"/>
      <c r="BJN287" s="1132" t="n"/>
      <c r="BJO287" s="1132" t="n"/>
      <c r="BJP287" s="1132" t="n"/>
      <c r="BJQ287" s="1132" t="n"/>
      <c r="BJR287" s="1132" t="n"/>
      <c r="BJS287" s="1132" t="n"/>
      <c r="BJT287" s="1132" t="n"/>
      <c r="BJU287" s="1132" t="n"/>
      <c r="BJV287" s="1132" t="n"/>
      <c r="BJW287" s="1132" t="n"/>
      <c r="BJX287" s="1132" t="n"/>
      <c r="BJY287" s="1132" t="n"/>
      <c r="BJZ287" s="1132" t="n"/>
      <c r="BKA287" s="1132" t="n"/>
      <c r="BKB287" s="1132" t="n"/>
      <c r="BKC287" s="1132" t="n"/>
      <c r="BKD287" s="1132" t="n"/>
      <c r="BKE287" s="1132" t="n"/>
      <c r="BKF287" s="1132" t="n"/>
      <c r="BKG287" s="1132" t="n"/>
      <c r="BKH287" s="1132" t="n"/>
      <c r="BKI287" s="1132" t="n"/>
      <c r="BKJ287" s="1132" t="n"/>
      <c r="BKK287" s="1132" t="n"/>
      <c r="BKL287" s="1132" t="n"/>
      <c r="BKM287" s="1132" t="n"/>
      <c r="BKN287" s="1132" t="n"/>
      <c r="BKO287" s="1132" t="n"/>
      <c r="BKP287" s="1132" t="n"/>
      <c r="BKQ287" s="1132" t="n"/>
      <c r="BKR287" s="1132" t="n"/>
      <c r="BKS287" s="1132" t="n"/>
      <c r="BKT287" s="1132" t="n"/>
      <c r="BKU287" s="1132" t="n"/>
      <c r="BKV287" s="1132" t="n"/>
      <c r="BKW287" s="1132" t="n"/>
      <c r="BKX287" s="1132" t="n"/>
      <c r="BKY287" s="1132" t="n"/>
      <c r="BKZ287" s="1132" t="n"/>
      <c r="BLA287" s="1132" t="n"/>
      <c r="BLB287" s="1132" t="n"/>
      <c r="BLC287" s="1132" t="n"/>
      <c r="BLD287" s="1132" t="n"/>
      <c r="BLE287" s="1132" t="n"/>
      <c r="BLF287" s="1132" t="n"/>
      <c r="BLG287" s="1132" t="n"/>
      <c r="BLH287" s="1132" t="n"/>
      <c r="BLI287" s="1132" t="n"/>
      <c r="BLJ287" s="1132" t="n"/>
      <c r="BLK287" s="1132" t="n"/>
      <c r="BLL287" s="1132" t="n"/>
      <c r="BLM287" s="1132" t="n"/>
      <c r="BLN287" s="1132" t="n"/>
      <c r="BLO287" s="1132" t="n"/>
      <c r="BLP287" s="1132" t="n"/>
      <c r="BLQ287" s="1132" t="n"/>
      <c r="BLR287" s="1132" t="n"/>
      <c r="BLS287" s="1132" t="n"/>
      <c r="BLT287" s="1132" t="n"/>
      <c r="BLU287" s="1132" t="n"/>
      <c r="BLV287" s="1132" t="n"/>
      <c r="BLW287" s="1132" t="n"/>
      <c r="BLX287" s="1132" t="n"/>
      <c r="BLY287" s="1132" t="n"/>
      <c r="BLZ287" s="1132" t="n"/>
      <c r="BMA287" s="1132" t="n"/>
      <c r="BMB287" s="1132" t="n"/>
      <c r="BMC287" s="1132" t="n"/>
      <c r="BMD287" s="1132" t="n"/>
      <c r="BME287" s="1132" t="n"/>
      <c r="BMF287" s="1132" t="n"/>
      <c r="BMG287" s="1132" t="n"/>
      <c r="BMH287" s="1132" t="n"/>
      <c r="BMI287" s="1132" t="n"/>
      <c r="BMJ287" s="1132" t="n"/>
      <c r="BMK287" s="1132" t="n"/>
      <c r="BML287" s="1132" t="n"/>
      <c r="BMM287" s="1132" t="n"/>
      <c r="BMN287" s="1132" t="n"/>
      <c r="BMO287" s="1132" t="n"/>
      <c r="BMP287" s="1132" t="n"/>
      <c r="BMQ287" s="1132" t="n"/>
      <c r="BMR287" s="1132" t="n"/>
      <c r="BMS287" s="1132" t="n"/>
      <c r="BMT287" s="1132" t="n"/>
      <c r="BMU287" s="1132" t="n"/>
      <c r="BMV287" s="1132" t="n"/>
      <c r="BMW287" s="1132" t="n"/>
      <c r="BMX287" s="1132" t="n"/>
      <c r="BMY287" s="1132" t="n"/>
      <c r="BMZ287" s="1132" t="n"/>
      <c r="BNA287" s="1132" t="n"/>
      <c r="BNB287" s="1132" t="n"/>
      <c r="BNC287" s="1132" t="n"/>
      <c r="BND287" s="1132" t="n"/>
      <c r="BNE287" s="1132" t="n"/>
      <c r="BNF287" s="1132" t="n"/>
      <c r="BNG287" s="1132" t="n"/>
      <c r="BNH287" s="1132" t="n"/>
      <c r="BNI287" s="1132" t="n"/>
      <c r="BNJ287" s="1132" t="n"/>
      <c r="BNK287" s="1132" t="n"/>
      <c r="BNL287" s="1132" t="n"/>
      <c r="BNM287" s="1132" t="n"/>
      <c r="BNN287" s="1132" t="n"/>
      <c r="BNO287" s="1132" t="n"/>
      <c r="BNP287" s="1132" t="n"/>
      <c r="BNQ287" s="1132" t="n"/>
      <c r="BNR287" s="1132" t="n"/>
      <c r="BNS287" s="1132" t="n"/>
      <c r="BNT287" s="1132" t="n"/>
      <c r="BNU287" s="1132" t="n"/>
      <c r="BNV287" s="1132" t="n"/>
      <c r="BNW287" s="1132" t="n"/>
      <c r="BNX287" s="1132" t="n"/>
      <c r="BNY287" s="1132" t="n"/>
      <c r="BNZ287" s="1132" t="n"/>
      <c r="BOA287" s="1132" t="n"/>
      <c r="BOB287" s="1132" t="n"/>
      <c r="BOC287" s="1132" t="n"/>
      <c r="BOD287" s="1132" t="n"/>
      <c r="BOE287" s="1132" t="n"/>
      <c r="BOF287" s="1132" t="n"/>
      <c r="BOG287" s="1132" t="n"/>
      <c r="BOH287" s="1132" t="n"/>
      <c r="BOI287" s="1132" t="n"/>
      <c r="BOJ287" s="1132" t="n"/>
      <c r="BOK287" s="1132" t="n"/>
      <c r="BOL287" s="1132" t="n"/>
      <c r="BOM287" s="1132" t="n"/>
      <c r="BON287" s="1132" t="n"/>
      <c r="BOO287" s="1132" t="n"/>
      <c r="BOP287" s="1132" t="n"/>
      <c r="BOQ287" s="1132" t="n"/>
      <c r="BOR287" s="1132" t="n"/>
      <c r="BOS287" s="1132" t="n"/>
      <c r="BOT287" s="1132" t="n"/>
      <c r="BOU287" s="1132" t="n"/>
      <c r="BOV287" s="1132" t="n"/>
      <c r="BOW287" s="1132" t="n"/>
      <c r="BOX287" s="1132" t="n"/>
      <c r="BOY287" s="1132" t="n"/>
      <c r="BOZ287" s="1132" t="n"/>
      <c r="BPA287" s="1132" t="n"/>
      <c r="BPB287" s="1132" t="n"/>
      <c r="BPC287" s="1132" t="n"/>
      <c r="BPD287" s="1132" t="n"/>
      <c r="BPE287" s="1132" t="n"/>
      <c r="BPF287" s="1132" t="n"/>
      <c r="BPG287" s="1132" t="n"/>
      <c r="BPH287" s="1132" t="n"/>
      <c r="BPI287" s="1132" t="n"/>
      <c r="BPJ287" s="1132" t="n"/>
      <c r="BPK287" s="1132" t="n"/>
      <c r="BPL287" s="1132" t="n"/>
      <c r="BPM287" s="1132" t="n"/>
      <c r="BPN287" s="1132" t="n"/>
      <c r="BPO287" s="1132" t="n"/>
      <c r="BPP287" s="1132" t="n"/>
      <c r="BPQ287" s="1132" t="n"/>
      <c r="BPR287" s="1132" t="n"/>
      <c r="BPS287" s="1132" t="n"/>
      <c r="BPT287" s="1132" t="n"/>
      <c r="BPU287" s="1132" t="n"/>
      <c r="BPV287" s="1132" t="n"/>
      <c r="BPW287" s="1132" t="n"/>
      <c r="BPX287" s="1132" t="n"/>
      <c r="BPY287" s="1132" t="n"/>
      <c r="BPZ287" s="1132" t="n"/>
      <c r="BQA287" s="1132" t="n"/>
      <c r="BQB287" s="1132" t="n"/>
      <c r="BQC287" s="1132" t="n"/>
      <c r="BQD287" s="1132" t="n"/>
      <c r="BQE287" s="1132" t="n"/>
      <c r="BQF287" s="1132" t="n"/>
      <c r="BQG287" s="1132" t="n"/>
      <c r="BQH287" s="1132" t="n"/>
      <c r="BQI287" s="1132" t="n"/>
      <c r="BQJ287" s="1132" t="n"/>
      <c r="BQK287" s="1132" t="n"/>
      <c r="BQL287" s="1132" t="n"/>
      <c r="BQM287" s="1132" t="n"/>
      <c r="BQN287" s="1132" t="n"/>
      <c r="BQO287" s="1132" t="n"/>
      <c r="BQP287" s="1132" t="n"/>
      <c r="BQQ287" s="1132" t="n"/>
      <c r="BQR287" s="1132" t="n"/>
      <c r="BQS287" s="1132" t="n"/>
      <c r="BQT287" s="1132" t="n"/>
      <c r="BQU287" s="1132" t="n"/>
      <c r="BQV287" s="1132" t="n"/>
      <c r="BQW287" s="1132" t="n"/>
      <c r="BQX287" s="1132" t="n"/>
      <c r="BQY287" s="1132" t="n"/>
      <c r="BQZ287" s="1132" t="n"/>
      <c r="BRA287" s="1132" t="n"/>
      <c r="BRB287" s="1132" t="n"/>
      <c r="BRC287" s="1132" t="n"/>
      <c r="BRD287" s="1132" t="n"/>
      <c r="BRE287" s="1132" t="n"/>
      <c r="BRF287" s="1132" t="n"/>
      <c r="BRG287" s="1132" t="n"/>
      <c r="BRH287" s="1132" t="n"/>
      <c r="BRI287" s="1132" t="n"/>
      <c r="BRJ287" s="1132" t="n"/>
      <c r="BRK287" s="1132" t="n"/>
      <c r="BRL287" s="1132" t="n"/>
      <c r="BRM287" s="1132" t="n"/>
      <c r="BRN287" s="1132" t="n"/>
      <c r="BRO287" s="1132" t="n"/>
      <c r="BRP287" s="1132" t="n"/>
      <c r="BRQ287" s="1132" t="n"/>
      <c r="BRR287" s="1132" t="n"/>
      <c r="BRS287" s="1132" t="n"/>
      <c r="BRT287" s="1132" t="n"/>
      <c r="BRU287" s="1132" t="n"/>
      <c r="BRV287" s="1132" t="n"/>
      <c r="BRW287" s="1132" t="n"/>
      <c r="BRX287" s="1132" t="n"/>
      <c r="BRY287" s="1132" t="n"/>
      <c r="BRZ287" s="1132" t="n"/>
      <c r="BSA287" s="1132" t="n"/>
      <c r="BSB287" s="1132" t="n"/>
      <c r="BSC287" s="1132" t="n"/>
      <c r="BSD287" s="1132" t="n"/>
      <c r="BSE287" s="1132" t="n"/>
      <c r="BSF287" s="1132" t="n"/>
      <c r="BSG287" s="1132" t="n"/>
      <c r="BSH287" s="1132" t="n"/>
      <c r="BSI287" s="1132" t="n"/>
      <c r="BSJ287" s="1132" t="n"/>
      <c r="BSK287" s="1132" t="n"/>
      <c r="BSL287" s="1132" t="n"/>
      <c r="BSM287" s="1132" t="n"/>
      <c r="BSN287" s="1132" t="n"/>
      <c r="BSO287" s="1132" t="n"/>
      <c r="BSP287" s="1132" t="n"/>
      <c r="BSQ287" s="1132" t="n"/>
      <c r="BSR287" s="1132" t="n"/>
      <c r="BSS287" s="1132" t="n"/>
      <c r="BST287" s="1132" t="n"/>
      <c r="BSU287" s="1132" t="n"/>
      <c r="BSV287" s="1132" t="n"/>
      <c r="BSW287" s="1132" t="n"/>
      <c r="BSX287" s="1132" t="n"/>
      <c r="BSY287" s="1132" t="n"/>
      <c r="BSZ287" s="1132" t="n"/>
      <c r="BTA287" s="1132" t="n"/>
      <c r="BTB287" s="1132" t="n"/>
      <c r="BTC287" s="1132" t="n"/>
      <c r="BTD287" s="1132" t="n"/>
      <c r="BTE287" s="1132" t="n"/>
      <c r="BTF287" s="1132" t="n"/>
      <c r="BTG287" s="1132" t="n"/>
      <c r="BTH287" s="1132" t="n"/>
      <c r="BTI287" s="1132" t="n"/>
      <c r="BTJ287" s="1132" t="n"/>
      <c r="BTK287" s="1132" t="n"/>
      <c r="BTL287" s="1132" t="n"/>
      <c r="BTM287" s="1132" t="n"/>
      <c r="BTN287" s="1132" t="n"/>
      <c r="BTO287" s="1132" t="n"/>
      <c r="BTP287" s="1132" t="n"/>
      <c r="BTQ287" s="1132" t="n"/>
      <c r="BTR287" s="1132" t="n"/>
      <c r="BTS287" s="1132" t="n"/>
      <c r="BTT287" s="1132" t="n"/>
      <c r="BTU287" s="1132" t="n"/>
      <c r="BTV287" s="1132" t="n"/>
      <c r="BTW287" s="1132" t="n"/>
      <c r="BTX287" s="1132" t="n"/>
      <c r="BTY287" s="1132" t="n"/>
      <c r="BTZ287" s="1132" t="n"/>
      <c r="BUA287" s="1132" t="n"/>
      <c r="BUB287" s="1132" t="n"/>
      <c r="BUC287" s="1132" t="n"/>
      <c r="BUD287" s="1132" t="n"/>
      <c r="BUE287" s="1132" t="n"/>
      <c r="BUF287" s="1132" t="n"/>
      <c r="BUG287" s="1132" t="n"/>
      <c r="BUH287" s="1132" t="n"/>
      <c r="BUI287" s="1132" t="n"/>
      <c r="BUJ287" s="1132" t="n"/>
      <c r="BUK287" s="1132" t="n"/>
      <c r="BUL287" s="1132" t="n"/>
      <c r="BUM287" s="1132" t="n"/>
      <c r="BUN287" s="1132" t="n"/>
      <c r="BUO287" s="1132" t="n"/>
      <c r="BUP287" s="1132" t="n"/>
      <c r="BUQ287" s="1132" t="n"/>
      <c r="BUR287" s="1132" t="n"/>
      <c r="BUS287" s="1132" t="n"/>
      <c r="BUT287" s="1132" t="n"/>
      <c r="BUU287" s="1132" t="n"/>
      <c r="BUV287" s="1132" t="n"/>
      <c r="BUW287" s="1132" t="n"/>
      <c r="BUX287" s="1132" t="n"/>
      <c r="BUY287" s="1132" t="n"/>
      <c r="BUZ287" s="1132" t="n"/>
      <c r="BVA287" s="1132" t="n"/>
      <c r="BVB287" s="1132" t="n"/>
      <c r="BVC287" s="1132" t="n"/>
      <c r="BVD287" s="1132" t="n"/>
      <c r="BVE287" s="1132" t="n"/>
      <c r="BVF287" s="1132" t="n"/>
      <c r="BVG287" s="1132" t="n"/>
      <c r="BVH287" s="1132" t="n"/>
      <c r="BVI287" s="1132" t="n"/>
      <c r="BVJ287" s="1132" t="n"/>
      <c r="BVK287" s="1132" t="n"/>
      <c r="BVL287" s="1132" t="n"/>
      <c r="BVM287" s="1132" t="n"/>
      <c r="BVN287" s="1132" t="n"/>
      <c r="BVO287" s="1132" t="n"/>
      <c r="BVP287" s="1132" t="n"/>
      <c r="BVQ287" s="1132" t="n"/>
      <c r="BVR287" s="1132" t="n"/>
      <c r="BVS287" s="1132" t="n"/>
      <c r="BVT287" s="1132" t="n"/>
      <c r="BVU287" s="1132" t="n"/>
      <c r="BVV287" s="1132" t="n"/>
      <c r="BVW287" s="1132" t="n"/>
      <c r="BVX287" s="1132" t="n"/>
      <c r="BVY287" s="1132" t="n"/>
      <c r="BVZ287" s="1132" t="n"/>
      <c r="BWA287" s="1132" t="n"/>
      <c r="BWB287" s="1132" t="n"/>
      <c r="BWC287" s="1132" t="n"/>
      <c r="BWD287" s="1132" t="n"/>
      <c r="BWE287" s="1132" t="n"/>
      <c r="BWF287" s="1132" t="n"/>
      <c r="BWG287" s="1132" t="n"/>
      <c r="BWH287" s="1132" t="n"/>
      <c r="BWI287" s="1132" t="n"/>
      <c r="BWJ287" s="1132" t="n"/>
      <c r="BWK287" s="1132" t="n"/>
      <c r="BWL287" s="1132" t="n"/>
      <c r="BWM287" s="1132" t="n"/>
      <c r="BWN287" s="1132" t="n"/>
      <c r="BWO287" s="1132" t="n"/>
      <c r="BWP287" s="1132" t="n"/>
      <c r="BWQ287" s="1132" t="n"/>
      <c r="BWR287" s="1132" t="n"/>
      <c r="BWS287" s="1132" t="n"/>
      <c r="BWT287" s="1132" t="n"/>
      <c r="BWU287" s="1132" t="n"/>
      <c r="BWV287" s="1132" t="n"/>
      <c r="BWW287" s="1132" t="n"/>
      <c r="BWX287" s="1132" t="n"/>
      <c r="BWY287" s="1132" t="n"/>
      <c r="BWZ287" s="1132" t="n"/>
      <c r="BXA287" s="1132" t="n"/>
      <c r="BXB287" s="1132" t="n"/>
      <c r="BXC287" s="1132" t="n"/>
      <c r="BXD287" s="1132" t="n"/>
      <c r="BXE287" s="1132" t="n"/>
      <c r="BXF287" s="1132" t="n"/>
      <c r="BXG287" s="1132" t="n"/>
      <c r="BXH287" s="1132" t="n"/>
      <c r="BXI287" s="1132" t="n"/>
      <c r="BXJ287" s="1132" t="n"/>
      <c r="BXK287" s="1132" t="n"/>
      <c r="BXL287" s="1132" t="n"/>
      <c r="BXM287" s="1132" t="n"/>
      <c r="BXN287" s="1132" t="n"/>
      <c r="BXO287" s="1132" t="n"/>
      <c r="BXP287" s="1132" t="n"/>
      <c r="BXQ287" s="1132" t="n"/>
      <c r="BXR287" s="1132" t="n"/>
      <c r="BXS287" s="1132" t="n"/>
      <c r="BXT287" s="1132" t="n"/>
      <c r="BXU287" s="1132" t="n"/>
      <c r="BXV287" s="1132" t="n"/>
      <c r="BXW287" s="1132" t="n"/>
      <c r="BXX287" s="1132" t="n"/>
      <c r="BXY287" s="1132" t="n"/>
      <c r="BXZ287" s="1132" t="n"/>
      <c r="BYA287" s="1132" t="n"/>
      <c r="BYB287" s="1132" t="n"/>
      <c r="BYC287" s="1132" t="n"/>
      <c r="BYD287" s="1132" t="n"/>
      <c r="BYE287" s="1132" t="n"/>
      <c r="BYF287" s="1132" t="n"/>
      <c r="BYG287" s="1132" t="n"/>
      <c r="BYH287" s="1132" t="n"/>
      <c r="BYI287" s="1132" t="n"/>
      <c r="BYJ287" s="1132" t="n"/>
      <c r="BYK287" s="1132" t="n"/>
      <c r="BYL287" s="1132" t="n"/>
      <c r="BYM287" s="1132" t="n"/>
      <c r="BYN287" s="1132" t="n"/>
      <c r="BYO287" s="1132" t="n"/>
      <c r="BYP287" s="1132" t="n"/>
      <c r="BYQ287" s="1132" t="n"/>
      <c r="BYR287" s="1132" t="n"/>
      <c r="BYS287" s="1132" t="n"/>
      <c r="BYT287" s="1132" t="n"/>
      <c r="BYU287" s="1132" t="n"/>
      <c r="BYV287" s="1132" t="n"/>
      <c r="BYW287" s="1132" t="n"/>
      <c r="BYX287" s="1132" t="n"/>
      <c r="BYY287" s="1132" t="n"/>
      <c r="BYZ287" s="1132" t="n"/>
      <c r="BZA287" s="1132" t="n"/>
      <c r="BZB287" s="1132" t="n"/>
      <c r="BZC287" s="1132" t="n"/>
      <c r="BZD287" s="1132" t="n"/>
      <c r="BZE287" s="1132" t="n"/>
      <c r="BZF287" s="1132" t="n"/>
      <c r="BZG287" s="1132" t="n"/>
      <c r="BZH287" s="1132" t="n"/>
      <c r="BZI287" s="1132" t="n"/>
      <c r="BZJ287" s="1132" t="n"/>
      <c r="BZK287" s="1132" t="n"/>
      <c r="BZL287" s="1132" t="n"/>
      <c r="BZM287" s="1132" t="n"/>
      <c r="BZN287" s="1132" t="n"/>
      <c r="BZO287" s="1132" t="n"/>
      <c r="BZP287" s="1132" t="n"/>
      <c r="BZQ287" s="1132" t="n"/>
      <c r="BZR287" s="1132" t="n"/>
      <c r="BZS287" s="1132" t="n"/>
      <c r="BZT287" s="1132" t="n"/>
      <c r="BZU287" s="1132" t="n"/>
      <c r="BZV287" s="1132" t="n"/>
      <c r="BZW287" s="1132" t="n"/>
      <c r="BZX287" s="1132" t="n"/>
      <c r="BZY287" s="1132" t="n"/>
      <c r="BZZ287" s="1132" t="n"/>
      <c r="CAA287" s="1132" t="n"/>
      <c r="CAB287" s="1132" t="n"/>
      <c r="CAC287" s="1132" t="n"/>
      <c r="CAD287" s="1132" t="n"/>
      <c r="CAE287" s="1132" t="n"/>
      <c r="CAF287" s="1132" t="n"/>
      <c r="CAG287" s="1132" t="n"/>
      <c r="CAH287" s="1132" t="n"/>
      <c r="CAI287" s="1132" t="n"/>
      <c r="CAJ287" s="1132" t="n"/>
      <c r="CAK287" s="1132" t="n"/>
      <c r="CAL287" s="1132" t="n"/>
      <c r="CAM287" s="1132" t="n"/>
      <c r="CAN287" s="1132" t="n"/>
      <c r="CAO287" s="1132" t="n"/>
      <c r="CAP287" s="1132" t="n"/>
      <c r="CAQ287" s="1132" t="n"/>
      <c r="CAR287" s="1132" t="n"/>
      <c r="CAS287" s="1132" t="n"/>
      <c r="CAT287" s="1132" t="n"/>
      <c r="CAU287" s="1132" t="n"/>
      <c r="CAV287" s="1132" t="n"/>
      <c r="CAW287" s="1132" t="n"/>
      <c r="CAX287" s="1132" t="n"/>
      <c r="CAY287" s="1132" t="n"/>
      <c r="CAZ287" s="1132" t="n"/>
      <c r="CBA287" s="1132" t="n"/>
      <c r="CBB287" s="1132" t="n"/>
      <c r="CBC287" s="1132" t="n"/>
      <c r="CBD287" s="1132" t="n"/>
      <c r="CBE287" s="1132" t="n"/>
      <c r="CBF287" s="1132" t="n"/>
      <c r="CBG287" s="1132" t="n"/>
      <c r="CBH287" s="1132" t="n"/>
      <c r="CBI287" s="1132" t="n"/>
      <c r="CBJ287" s="1132" t="n"/>
      <c r="CBK287" s="1132" t="n"/>
      <c r="CBL287" s="1132" t="n"/>
      <c r="CBM287" s="1132" t="n"/>
      <c r="CBN287" s="1132" t="n"/>
      <c r="CBO287" s="1132" t="n"/>
      <c r="CBP287" s="1132" t="n"/>
      <c r="CBQ287" s="1132" t="n"/>
      <c r="CBR287" s="1132" t="n"/>
      <c r="CBS287" s="1132" t="n"/>
      <c r="CBT287" s="1132" t="n"/>
      <c r="CBU287" s="1132" t="n"/>
      <c r="CBV287" s="1132" t="n"/>
      <c r="CBW287" s="1132" t="n"/>
      <c r="CBX287" s="1132" t="n"/>
      <c r="CBY287" s="1132" t="n"/>
      <c r="CBZ287" s="1132" t="n"/>
      <c r="CCA287" s="1132" t="n"/>
      <c r="CCB287" s="1132" t="n"/>
      <c r="CCC287" s="1132" t="n"/>
      <c r="CCD287" s="1132" t="n"/>
      <c r="CCE287" s="1132" t="n"/>
      <c r="CCF287" s="1132" t="n"/>
      <c r="CCG287" s="1132" t="n"/>
      <c r="CCH287" s="1132" t="n"/>
      <c r="CCI287" s="1132" t="n"/>
      <c r="CCJ287" s="1132" t="n"/>
      <c r="CCK287" s="1132" t="n"/>
      <c r="CCL287" s="1132" t="n"/>
      <c r="CCM287" s="1132" t="n"/>
      <c r="CCN287" s="1132" t="n"/>
      <c r="CCO287" s="1132" t="n"/>
      <c r="CCP287" s="1132" t="n"/>
      <c r="CCQ287" s="1132" t="n"/>
      <c r="CCR287" s="1132" t="n"/>
      <c r="CCS287" s="1132" t="n"/>
      <c r="CCT287" s="1132" t="n"/>
      <c r="CCU287" s="1132" t="n"/>
      <c r="CCV287" s="1132" t="n"/>
      <c r="CCW287" s="1132" t="n"/>
      <c r="CCX287" s="1132" t="n"/>
      <c r="CCY287" s="1132" t="n"/>
      <c r="CCZ287" s="1132" t="n"/>
      <c r="CDA287" s="1132" t="n"/>
      <c r="CDB287" s="1132" t="n"/>
      <c r="CDC287" s="1132" t="n"/>
      <c r="CDD287" s="1132" t="n"/>
      <c r="CDE287" s="1132" t="n"/>
      <c r="CDF287" s="1132" t="n"/>
      <c r="CDG287" s="1132" t="n"/>
      <c r="CDH287" s="1132" t="n"/>
      <c r="CDI287" s="1132" t="n"/>
      <c r="CDJ287" s="1132" t="n"/>
      <c r="CDK287" s="1132" t="n"/>
      <c r="CDL287" s="1132" t="n"/>
      <c r="CDM287" s="1132" t="n"/>
      <c r="CDN287" s="1132" t="n"/>
      <c r="CDO287" s="1132" t="n"/>
      <c r="CDP287" s="1132" t="n"/>
      <c r="CDQ287" s="1132" t="n"/>
      <c r="CDR287" s="1132" t="n"/>
      <c r="CDS287" s="1132" t="n"/>
      <c r="CDT287" s="1132" t="n"/>
      <c r="CDU287" s="1132" t="n"/>
      <c r="CDV287" s="1132" t="n"/>
      <c r="CDW287" s="1132" t="n"/>
      <c r="CDX287" s="1132" t="n"/>
      <c r="CDY287" s="1132" t="n"/>
      <c r="CDZ287" s="1132" t="n"/>
      <c r="CEA287" s="1132" t="n"/>
      <c r="CEB287" s="1132" t="n"/>
      <c r="CEC287" s="1132" t="n"/>
      <c r="CED287" s="1132" t="n"/>
      <c r="CEE287" s="1132" t="n"/>
      <c r="CEF287" s="1132" t="n"/>
      <c r="CEG287" s="1132" t="n"/>
      <c r="CEH287" s="1132" t="n"/>
      <c r="CEI287" s="1132" t="n"/>
      <c r="CEJ287" s="1132" t="n"/>
      <c r="CEK287" s="1132" t="n"/>
      <c r="CEL287" s="1132" t="n"/>
      <c r="CEM287" s="1132" t="n"/>
      <c r="CEN287" s="1132" t="n"/>
      <c r="CEO287" s="1132" t="n"/>
      <c r="CEP287" s="1132" t="n"/>
      <c r="CEQ287" s="1132" t="n"/>
      <c r="CER287" s="1132" t="n"/>
      <c r="CES287" s="1132" t="n"/>
      <c r="CET287" s="1132" t="n"/>
      <c r="CEU287" s="1132" t="n"/>
      <c r="CEV287" s="1132" t="n"/>
      <c r="CEW287" s="1132" t="n"/>
      <c r="CEX287" s="1132" t="n"/>
      <c r="CEY287" s="1132" t="n"/>
      <c r="CEZ287" s="1132" t="n"/>
      <c r="CFA287" s="1132" t="n"/>
      <c r="CFB287" s="1132" t="n"/>
      <c r="CFC287" s="1132" t="n"/>
      <c r="CFD287" s="1132" t="n"/>
      <c r="CFE287" s="1132" t="n"/>
      <c r="CFF287" s="1132" t="n"/>
      <c r="CFG287" s="1132" t="n"/>
      <c r="CFH287" s="1132" t="n"/>
      <c r="CFI287" s="1132" t="n"/>
      <c r="CFJ287" s="1132" t="n"/>
      <c r="CFK287" s="1132" t="n"/>
      <c r="CFL287" s="1132" t="n"/>
      <c r="CFM287" s="1132" t="n"/>
      <c r="CFN287" s="1132" t="n"/>
      <c r="CFO287" s="1132" t="n"/>
      <c r="CFP287" s="1132" t="n"/>
      <c r="CFQ287" s="1132" t="n"/>
      <c r="CFR287" s="1132" t="n"/>
      <c r="CFS287" s="1132" t="n"/>
      <c r="CFT287" s="1132" t="n"/>
      <c r="CFU287" s="1132" t="n"/>
      <c r="CFV287" s="1132" t="n"/>
      <c r="CFW287" s="1132" t="n"/>
      <c r="CFX287" s="1132" t="n"/>
      <c r="CFY287" s="1132" t="n"/>
      <c r="CFZ287" s="1132" t="n"/>
      <c r="CGA287" s="1132" t="n"/>
      <c r="CGB287" s="1132" t="n"/>
      <c r="CGC287" s="1132" t="n"/>
      <c r="CGD287" s="1132" t="n"/>
      <c r="CGE287" s="1132" t="n"/>
      <c r="CGF287" s="1132" t="n"/>
      <c r="CGG287" s="1132" t="n"/>
      <c r="CGH287" s="1132" t="n"/>
      <c r="CGI287" s="1132" t="n"/>
      <c r="CGJ287" s="1132" t="n"/>
      <c r="CGK287" s="1132" t="n"/>
      <c r="CGL287" s="1132" t="n"/>
      <c r="CGM287" s="1132" t="n"/>
      <c r="CGN287" s="1132" t="n"/>
      <c r="CGO287" s="1132" t="n"/>
      <c r="CGP287" s="1132" t="n"/>
      <c r="CGQ287" s="1132" t="n"/>
      <c r="CGR287" s="1132" t="n"/>
      <c r="CGS287" s="1132" t="n"/>
      <c r="CGT287" s="1132" t="n"/>
      <c r="CGU287" s="1132" t="n"/>
      <c r="CGV287" s="1132" t="n"/>
      <c r="CGW287" s="1132" t="n"/>
      <c r="CGX287" s="1132" t="n"/>
      <c r="CGY287" s="1132" t="n"/>
      <c r="CGZ287" s="1132" t="n"/>
      <c r="CHA287" s="1132" t="n"/>
      <c r="CHB287" s="1132" t="n"/>
      <c r="CHC287" s="1132" t="n"/>
      <c r="CHD287" s="1132" t="n"/>
      <c r="CHE287" s="1132" t="n"/>
      <c r="CHF287" s="1132" t="n"/>
      <c r="CHG287" s="1132" t="n"/>
      <c r="CHH287" s="1132" t="n"/>
      <c r="CHI287" s="1132" t="n"/>
      <c r="CHJ287" s="1132" t="n"/>
      <c r="CHK287" s="1132" t="n"/>
      <c r="CHL287" s="1132" t="n"/>
      <c r="CHM287" s="1132" t="n"/>
      <c r="CHN287" s="1132" t="n"/>
      <c r="CHO287" s="1132" t="n"/>
      <c r="CHP287" s="1132" t="n"/>
      <c r="CHQ287" s="1132" t="n"/>
      <c r="CHR287" s="1132" t="n"/>
      <c r="CHS287" s="1132" t="n"/>
      <c r="CHT287" s="1132" t="n"/>
      <c r="CHU287" s="1132" t="n"/>
      <c r="CHV287" s="1132" t="n"/>
      <c r="CHW287" s="1132" t="n"/>
      <c r="CHX287" s="1132" t="n"/>
      <c r="CHY287" s="1132" t="n"/>
      <c r="CHZ287" s="1132" t="n"/>
      <c r="CIA287" s="1132" t="n"/>
      <c r="CIB287" s="1132" t="n"/>
      <c r="CIC287" s="1132" t="n"/>
      <c r="CID287" s="1132" t="n"/>
      <c r="CIE287" s="1132" t="n"/>
      <c r="CIF287" s="1132" t="n"/>
      <c r="CIG287" s="1132" t="n"/>
      <c r="CIH287" s="1132" t="n"/>
      <c r="CII287" s="1132" t="n"/>
      <c r="CIJ287" s="1132" t="n"/>
      <c r="CIK287" s="1132" t="n"/>
      <c r="CIL287" s="1132" t="n"/>
      <c r="CIM287" s="1132" t="n"/>
      <c r="CIN287" s="1132" t="n"/>
      <c r="CIO287" s="1132" t="n"/>
      <c r="CIP287" s="1132" t="n"/>
      <c r="CIQ287" s="1132" t="n"/>
      <c r="CIR287" s="1132" t="n"/>
      <c r="CIS287" s="1132" t="n"/>
      <c r="CIT287" s="1132" t="n"/>
      <c r="CIU287" s="1132" t="n"/>
      <c r="CIV287" s="1132" t="n"/>
      <c r="CIW287" s="1132" t="n"/>
      <c r="CIX287" s="1132" t="n"/>
      <c r="CIY287" s="1132" t="n"/>
      <c r="CIZ287" s="1132" t="n"/>
      <c r="CJA287" s="1132" t="n"/>
      <c r="CJB287" s="1132" t="n"/>
      <c r="CJC287" s="1132" t="n"/>
      <c r="CJD287" s="1132" t="n"/>
      <c r="CJE287" s="1132" t="n"/>
      <c r="CJF287" s="1132" t="n"/>
      <c r="CJG287" s="1132" t="n"/>
      <c r="CJH287" s="1132" t="n"/>
      <c r="CJI287" s="1132" t="n"/>
      <c r="CJJ287" s="1132" t="n"/>
      <c r="CJK287" s="1132" t="n"/>
      <c r="CJL287" s="1132" t="n"/>
      <c r="CJM287" s="1132" t="n"/>
      <c r="CJN287" s="1132" t="n"/>
      <c r="CJO287" s="1132" t="n"/>
      <c r="CJP287" s="1132" t="n"/>
      <c r="CJQ287" s="1132" t="n"/>
      <c r="CJR287" s="1132" t="n"/>
      <c r="CJS287" s="1132" t="n"/>
      <c r="CJT287" s="1132" t="n"/>
      <c r="CJU287" s="1132" t="n"/>
      <c r="CJV287" s="1132" t="n"/>
      <c r="CJW287" s="1132" t="n"/>
      <c r="CJX287" s="1132" t="n"/>
      <c r="CJY287" s="1132" t="n"/>
      <c r="CJZ287" s="1132" t="n"/>
      <c r="CKA287" s="1132" t="n"/>
      <c r="CKB287" s="1132" t="n"/>
      <c r="CKC287" s="1132" t="n"/>
      <c r="CKD287" s="1132" t="n"/>
      <c r="CKE287" s="1132" t="n"/>
      <c r="CKF287" s="1132" t="n"/>
      <c r="CKG287" s="1132" t="n"/>
      <c r="CKH287" s="1132" t="n"/>
      <c r="CKI287" s="1132" t="n"/>
      <c r="CKJ287" s="1132" t="n"/>
      <c r="CKK287" s="1132" t="n"/>
      <c r="CKL287" s="1132" t="n"/>
      <c r="CKM287" s="1132" t="n"/>
      <c r="CKN287" s="1132" t="n"/>
      <c r="CKO287" s="1132" t="n"/>
      <c r="CKP287" s="1132" t="n"/>
      <c r="CKQ287" s="1132" t="n"/>
      <c r="CKR287" s="1132" t="n"/>
      <c r="CKS287" s="1132" t="n"/>
      <c r="CKT287" s="1132" t="n"/>
      <c r="CKU287" s="1132" t="n"/>
      <c r="CKV287" s="1132" t="n"/>
      <c r="CKW287" s="1132" t="n"/>
      <c r="CKX287" s="1132" t="n"/>
      <c r="CKY287" s="1132" t="n"/>
      <c r="CKZ287" s="1132" t="n"/>
      <c r="CLA287" s="1132" t="n"/>
      <c r="CLB287" s="1132" t="n"/>
      <c r="CLC287" s="1132" t="n"/>
      <c r="CLD287" s="1132" t="n"/>
      <c r="CLE287" s="1132" t="n"/>
      <c r="CLF287" s="1132" t="n"/>
      <c r="CLG287" s="1132" t="n"/>
      <c r="CLH287" s="1132" t="n"/>
      <c r="CLI287" s="1132" t="n"/>
      <c r="CLJ287" s="1132" t="n"/>
      <c r="CLK287" s="1132" t="n"/>
      <c r="CLL287" s="1132" t="n"/>
      <c r="CLM287" s="1132" t="n"/>
      <c r="CLN287" s="1132" t="n"/>
      <c r="CLO287" s="1132" t="n"/>
      <c r="CLP287" s="1132" t="n"/>
      <c r="CLQ287" s="1132" t="n"/>
      <c r="CLR287" s="1132" t="n"/>
      <c r="CLS287" s="1132" t="n"/>
      <c r="CLT287" s="1132" t="n"/>
      <c r="CLU287" s="1132" t="n"/>
      <c r="CLV287" s="1132" t="n"/>
      <c r="CLW287" s="1132" t="n"/>
      <c r="CLX287" s="1132" t="n"/>
      <c r="CLY287" s="1132" t="n"/>
      <c r="CLZ287" s="1132" t="n"/>
      <c r="CMA287" s="1132" t="n"/>
      <c r="CMB287" s="1132" t="n"/>
      <c r="CMC287" s="1132" t="n"/>
      <c r="CMD287" s="1132" t="n"/>
      <c r="CME287" s="1132" t="n"/>
      <c r="CMF287" s="1132" t="n"/>
      <c r="CMG287" s="1132" t="n"/>
      <c r="CMH287" s="1132" t="n"/>
      <c r="CMI287" s="1132" t="n"/>
      <c r="CMJ287" s="1132" t="n"/>
      <c r="CMK287" s="1132" t="n"/>
      <c r="CML287" s="1132" t="n"/>
      <c r="CMM287" s="1132" t="n"/>
      <c r="CMN287" s="1132" t="n"/>
      <c r="CMO287" s="1132" t="n"/>
      <c r="CMP287" s="1132" t="n"/>
      <c r="CMQ287" s="1132" t="n"/>
      <c r="CMR287" s="1132" t="n"/>
      <c r="CMS287" s="1132" t="n"/>
      <c r="CMT287" s="1132" t="n"/>
      <c r="CMU287" s="1132" t="n"/>
      <c r="CMV287" s="1132" t="n"/>
      <c r="CMW287" s="1132" t="n"/>
      <c r="CMX287" s="1132" t="n"/>
      <c r="CMY287" s="1132" t="n"/>
      <c r="CMZ287" s="1132" t="n"/>
      <c r="CNA287" s="1132" t="n"/>
      <c r="CNB287" s="1132" t="n"/>
      <c r="CNC287" s="1132" t="n"/>
      <c r="CND287" s="1132" t="n"/>
      <c r="CNE287" s="1132" t="n"/>
      <c r="CNF287" s="1132" t="n"/>
      <c r="CNG287" s="1132" t="n"/>
      <c r="CNH287" s="1132" t="n"/>
      <c r="CNI287" s="1132" t="n"/>
      <c r="CNJ287" s="1132" t="n"/>
      <c r="CNK287" s="1132" t="n"/>
      <c r="CNL287" s="1132" t="n"/>
      <c r="CNM287" s="1132" t="n"/>
      <c r="CNN287" s="1132" t="n"/>
      <c r="CNO287" s="1132" t="n"/>
      <c r="CNP287" s="1132" t="n"/>
      <c r="CNQ287" s="1132" t="n"/>
      <c r="CNR287" s="1132" t="n"/>
      <c r="CNS287" s="1132" t="n"/>
      <c r="CNT287" s="1132" t="n"/>
      <c r="CNU287" s="1132" t="n"/>
      <c r="CNV287" s="1132" t="n"/>
      <c r="CNW287" s="1132" t="n"/>
      <c r="CNX287" s="1132" t="n"/>
      <c r="CNY287" s="1132" t="n"/>
      <c r="CNZ287" s="1132" t="n"/>
      <c r="COA287" s="1132" t="n"/>
      <c r="COB287" s="1132" t="n"/>
      <c r="COC287" s="1132" t="n"/>
      <c r="COD287" s="1132" t="n"/>
      <c r="COE287" s="1132" t="n"/>
      <c r="COF287" s="1132" t="n"/>
      <c r="COG287" s="1132" t="n"/>
      <c r="COH287" s="1132" t="n"/>
      <c r="COI287" s="1132" t="n"/>
      <c r="COJ287" s="1132" t="n"/>
      <c r="COK287" s="1132" t="n"/>
      <c r="COL287" s="1132" t="n"/>
      <c r="COM287" s="1132" t="n"/>
      <c r="CON287" s="1132" t="n"/>
      <c r="COO287" s="1132" t="n"/>
      <c r="COP287" s="1132" t="n"/>
      <c r="COQ287" s="1132" t="n"/>
      <c r="COR287" s="1132" t="n"/>
      <c r="COS287" s="1132" t="n"/>
      <c r="COT287" s="1132" t="n"/>
      <c r="COU287" s="1132" t="n"/>
      <c r="COV287" s="1132" t="n"/>
      <c r="COW287" s="1132" t="n"/>
      <c r="COX287" s="1132" t="n"/>
      <c r="COY287" s="1132" t="n"/>
      <c r="COZ287" s="1132" t="n"/>
      <c r="CPA287" s="1132" t="n"/>
      <c r="CPB287" s="1132" t="n"/>
      <c r="CPC287" s="1132" t="n"/>
      <c r="CPD287" s="1132" t="n"/>
      <c r="CPE287" s="1132" t="n"/>
      <c r="CPF287" s="1132" t="n"/>
      <c r="CPG287" s="1132" t="n"/>
      <c r="CPH287" s="1132" t="n"/>
      <c r="CPI287" s="1132" t="n"/>
      <c r="CPJ287" s="1132" t="n"/>
      <c r="CPK287" s="1132" t="n"/>
      <c r="CPL287" s="1132" t="n"/>
      <c r="CPM287" s="1132" t="n"/>
      <c r="CPN287" s="1132" t="n"/>
      <c r="CPO287" s="1132" t="n"/>
      <c r="CPP287" s="1132" t="n"/>
      <c r="CPQ287" s="1132" t="n"/>
      <c r="CPR287" s="1132" t="n"/>
      <c r="CPS287" s="1132" t="n"/>
      <c r="CPT287" s="1132" t="n"/>
      <c r="CPU287" s="1132" t="n"/>
      <c r="CPV287" s="1132" t="n"/>
      <c r="CPW287" s="1132" t="n"/>
      <c r="CPX287" s="1132" t="n"/>
      <c r="CPY287" s="1132" t="n"/>
      <c r="CPZ287" s="1132" t="n"/>
      <c r="CQA287" s="1132" t="n"/>
      <c r="CQB287" s="1132" t="n"/>
      <c r="CQC287" s="1132" t="n"/>
      <c r="CQD287" s="1132" t="n"/>
      <c r="CQE287" s="1132" t="n"/>
      <c r="CQF287" s="1132" t="n"/>
      <c r="CQG287" s="1132" t="n"/>
      <c r="CQH287" s="1132" t="n"/>
      <c r="CQI287" s="1132" t="n"/>
      <c r="CQJ287" s="1132" t="n"/>
      <c r="CQK287" s="1132" t="n"/>
      <c r="CQL287" s="1132" t="n"/>
      <c r="CQM287" s="1132" t="n"/>
      <c r="CQN287" s="1132" t="n"/>
      <c r="CQO287" s="1132" t="n"/>
      <c r="CQP287" s="1132" t="n"/>
      <c r="CQQ287" s="1132" t="n"/>
      <c r="CQR287" s="1132" t="n"/>
      <c r="CQS287" s="1132" t="n"/>
      <c r="CQT287" s="1132" t="n"/>
      <c r="CQU287" s="1132" t="n"/>
      <c r="CQV287" s="1132" t="n"/>
      <c r="CQW287" s="1132" t="n"/>
      <c r="CQX287" s="1132" t="n"/>
      <c r="CQY287" s="1132" t="n"/>
      <c r="CQZ287" s="1132" t="n"/>
      <c r="CRA287" s="1132" t="n"/>
      <c r="CRB287" s="1132" t="n"/>
      <c r="CRC287" s="1132" t="n"/>
      <c r="CRD287" s="1132" t="n"/>
      <c r="CRE287" s="1132" t="n"/>
      <c r="CRF287" s="1132" t="n"/>
      <c r="CRG287" s="1132" t="n"/>
      <c r="CRH287" s="1132" t="n"/>
      <c r="CRI287" s="1132" t="n"/>
      <c r="CRJ287" s="1132" t="n"/>
      <c r="CRK287" s="1132" t="n"/>
      <c r="CRL287" s="1132" t="n"/>
      <c r="CRM287" s="1132" t="n"/>
      <c r="CRN287" s="1132" t="n"/>
      <c r="CRO287" s="1132" t="n"/>
      <c r="CRP287" s="1132" t="n"/>
      <c r="CRQ287" s="1132" t="n"/>
      <c r="CRR287" s="1132" t="n"/>
      <c r="CRS287" s="1132" t="n"/>
      <c r="CRT287" s="1132" t="n"/>
      <c r="CRU287" s="1132" t="n"/>
      <c r="CRV287" s="1132" t="n"/>
      <c r="CRW287" s="1132" t="n"/>
      <c r="CRX287" s="1132" t="n"/>
      <c r="CRY287" s="1132" t="n"/>
      <c r="CRZ287" s="1132" t="n"/>
      <c r="CSA287" s="1132" t="n"/>
      <c r="CSB287" s="1132" t="n"/>
      <c r="CSC287" s="1132" t="n"/>
      <c r="CSD287" s="1132" t="n"/>
      <c r="CSE287" s="1132" t="n"/>
      <c r="CSF287" s="1132" t="n"/>
      <c r="CSG287" s="1132" t="n"/>
      <c r="CSH287" s="1132" t="n"/>
      <c r="CSI287" s="1132" t="n"/>
      <c r="CSJ287" s="1132" t="n"/>
      <c r="CSK287" s="1132" t="n"/>
      <c r="CSL287" s="1132" t="n"/>
      <c r="CSM287" s="1132" t="n"/>
      <c r="CSN287" s="1132" t="n"/>
      <c r="CSO287" s="1132" t="n"/>
      <c r="CSP287" s="1132" t="n"/>
      <c r="CSQ287" s="1132" t="n"/>
      <c r="CSR287" s="1132" t="n"/>
      <c r="CSS287" s="1132" t="n"/>
      <c r="CST287" s="1132" t="n"/>
      <c r="CSU287" s="1132" t="n"/>
      <c r="CSV287" s="1132" t="n"/>
      <c r="CSW287" s="1132" t="n"/>
      <c r="CSX287" s="1132" t="n"/>
      <c r="CSY287" s="1132" t="n"/>
      <c r="CSZ287" s="1132" t="n"/>
      <c r="CTA287" s="1132" t="n"/>
      <c r="CTB287" s="1132" t="n"/>
      <c r="CTC287" s="1132" t="n"/>
      <c r="CTD287" s="1132" t="n"/>
      <c r="CTE287" s="1132" t="n"/>
      <c r="CTF287" s="1132" t="n"/>
      <c r="CTG287" s="1132" t="n"/>
      <c r="CTH287" s="1132" t="n"/>
      <c r="CTI287" s="1132" t="n"/>
      <c r="CTJ287" s="1132" t="n"/>
      <c r="CTK287" s="1132" t="n"/>
      <c r="CTL287" s="1132" t="n"/>
      <c r="CTM287" s="1132" t="n"/>
      <c r="CTN287" s="1132" t="n"/>
      <c r="CTO287" s="1132" t="n"/>
      <c r="CTP287" s="1132" t="n"/>
      <c r="CTQ287" s="1132" t="n"/>
      <c r="CTR287" s="1132" t="n"/>
      <c r="CTS287" s="1132" t="n"/>
      <c r="CTT287" s="1132" t="n"/>
      <c r="CTU287" s="1132" t="n"/>
      <c r="CTV287" s="1132" t="n"/>
      <c r="CTW287" s="1132" t="n"/>
      <c r="CTX287" s="1132" t="n"/>
      <c r="CTY287" s="1132" t="n"/>
      <c r="CTZ287" s="1132" t="n"/>
      <c r="CUA287" s="1132" t="n"/>
      <c r="CUB287" s="1132" t="n"/>
      <c r="CUC287" s="1132" t="n"/>
      <c r="CUD287" s="1132" t="n"/>
      <c r="CUE287" s="1132" t="n"/>
      <c r="CUF287" s="1132" t="n"/>
      <c r="CUG287" s="1132" t="n"/>
      <c r="CUH287" s="1132" t="n"/>
      <c r="CUI287" s="1132" t="n"/>
      <c r="CUJ287" s="1132" t="n"/>
      <c r="CUK287" s="1132" t="n"/>
      <c r="CUL287" s="1132" t="n"/>
      <c r="CUM287" s="1132" t="n"/>
      <c r="CUN287" s="1132" t="n"/>
      <c r="CUO287" s="1132" t="n"/>
      <c r="CUP287" s="1132" t="n"/>
      <c r="CUQ287" s="1132" t="n"/>
      <c r="CUR287" s="1132" t="n"/>
      <c r="CUS287" s="1132" t="n"/>
      <c r="CUT287" s="1132" t="n"/>
      <c r="CUU287" s="1132" t="n"/>
      <c r="CUV287" s="1132" t="n"/>
      <c r="CUW287" s="1132" t="n"/>
      <c r="CUX287" s="1132" t="n"/>
      <c r="CUY287" s="1132" t="n"/>
      <c r="CUZ287" s="1132" t="n"/>
      <c r="CVA287" s="1132" t="n"/>
      <c r="CVB287" s="1132" t="n"/>
      <c r="CVC287" s="1132" t="n"/>
      <c r="CVD287" s="1132" t="n"/>
      <c r="CVE287" s="1132" t="n"/>
      <c r="CVF287" s="1132" t="n"/>
      <c r="CVG287" s="1132" t="n"/>
      <c r="CVH287" s="1132" t="n"/>
      <c r="CVI287" s="1132" t="n"/>
      <c r="CVJ287" s="1132" t="n"/>
      <c r="CVK287" s="1132" t="n"/>
      <c r="CVL287" s="1132" t="n"/>
      <c r="CVM287" s="1132" t="n"/>
      <c r="CVN287" s="1132" t="n"/>
      <c r="CVO287" s="1132" t="n"/>
      <c r="CVP287" s="1132" t="n"/>
      <c r="CVQ287" s="1132" t="n"/>
      <c r="CVR287" s="1132" t="n"/>
      <c r="CVS287" s="1132" t="n"/>
      <c r="CVT287" s="1132" t="n"/>
      <c r="CVU287" s="1132" t="n"/>
      <c r="CVV287" s="1132" t="n"/>
      <c r="CVW287" s="1132" t="n"/>
      <c r="CVX287" s="1132" t="n"/>
      <c r="CVY287" s="1132" t="n"/>
      <c r="CVZ287" s="1132" t="n"/>
      <c r="CWA287" s="1132" t="n"/>
      <c r="CWB287" s="1132" t="n"/>
      <c r="CWC287" s="1132" t="n"/>
      <c r="CWD287" s="1132" t="n"/>
      <c r="CWE287" s="1132" t="n"/>
      <c r="CWF287" s="1132" t="n"/>
      <c r="CWG287" s="1132" t="n"/>
      <c r="CWH287" s="1132" t="n"/>
      <c r="CWI287" s="1132" t="n"/>
      <c r="CWJ287" s="1132" t="n"/>
      <c r="CWK287" s="1132" t="n"/>
      <c r="CWL287" s="1132" t="n"/>
      <c r="CWM287" s="1132" t="n"/>
      <c r="CWN287" s="1132" t="n"/>
      <c r="CWO287" s="1132" t="n"/>
      <c r="CWP287" s="1132" t="n"/>
      <c r="CWQ287" s="1132" t="n"/>
      <c r="CWR287" s="1132" t="n"/>
      <c r="CWS287" s="1132" t="n"/>
      <c r="CWT287" s="1132" t="n"/>
      <c r="CWU287" s="1132" t="n"/>
      <c r="CWV287" s="1132" t="n"/>
      <c r="CWW287" s="1132" t="n"/>
      <c r="CWX287" s="1132" t="n"/>
      <c r="CWY287" s="1132" t="n"/>
      <c r="CWZ287" s="1132" t="n"/>
      <c r="CXA287" s="1132" t="n"/>
      <c r="CXB287" s="1132" t="n"/>
      <c r="CXC287" s="1132" t="n"/>
      <c r="CXD287" s="1132" t="n"/>
      <c r="CXE287" s="1132" t="n"/>
      <c r="CXF287" s="1132" t="n"/>
      <c r="CXG287" s="1132" t="n"/>
      <c r="CXH287" s="1132" t="n"/>
      <c r="CXI287" s="1132" t="n"/>
      <c r="CXJ287" s="1132" t="n"/>
      <c r="CXK287" s="1132" t="n"/>
      <c r="CXL287" s="1132" t="n"/>
      <c r="CXM287" s="1132" t="n"/>
      <c r="CXN287" s="1132" t="n"/>
      <c r="CXO287" s="1132" t="n"/>
      <c r="CXP287" s="1132" t="n"/>
      <c r="CXQ287" s="1132" t="n"/>
      <c r="CXR287" s="1132" t="n"/>
      <c r="CXS287" s="1132" t="n"/>
      <c r="CXT287" s="1132" t="n"/>
      <c r="CXU287" s="1132" t="n"/>
      <c r="CXV287" s="1132" t="n"/>
      <c r="CXW287" s="1132" t="n"/>
      <c r="CXX287" s="1132" t="n"/>
      <c r="CXY287" s="1132" t="n"/>
      <c r="CXZ287" s="1132" t="n"/>
      <c r="CYA287" s="1132" t="n"/>
      <c r="CYB287" s="1132" t="n"/>
      <c r="CYC287" s="1132" t="n"/>
      <c r="CYD287" s="1132" t="n"/>
      <c r="CYE287" s="1132" t="n"/>
      <c r="CYF287" s="1132" t="n"/>
      <c r="CYG287" s="1132" t="n"/>
      <c r="CYH287" s="1132" t="n"/>
      <c r="CYI287" s="1132" t="n"/>
      <c r="CYJ287" s="1132" t="n"/>
      <c r="CYK287" s="1132" t="n"/>
      <c r="CYL287" s="1132" t="n"/>
      <c r="CYM287" s="1132" t="n"/>
      <c r="CYN287" s="1132" t="n"/>
      <c r="CYO287" s="1132" t="n"/>
      <c r="CYP287" s="1132" t="n"/>
      <c r="CYQ287" s="1132" t="n"/>
      <c r="CYR287" s="1132" t="n"/>
      <c r="CYS287" s="1132" t="n"/>
      <c r="CYT287" s="1132" t="n"/>
      <c r="CYU287" s="1132" t="n"/>
      <c r="CYV287" s="1132" t="n"/>
      <c r="CYW287" s="1132" t="n"/>
      <c r="CYX287" s="1132" t="n"/>
      <c r="CYY287" s="1132" t="n"/>
      <c r="CYZ287" s="1132" t="n"/>
      <c r="CZA287" s="1132" t="n"/>
      <c r="CZB287" s="1132" t="n"/>
      <c r="CZC287" s="1132" t="n"/>
      <c r="CZD287" s="1132" t="n"/>
      <c r="CZE287" s="1132" t="n"/>
      <c r="CZF287" s="1132" t="n"/>
      <c r="CZG287" s="1132" t="n"/>
      <c r="CZH287" s="1132" t="n"/>
      <c r="CZI287" s="1132" t="n"/>
      <c r="CZJ287" s="1132" t="n"/>
      <c r="CZK287" s="1132" t="n"/>
      <c r="CZL287" s="1132" t="n"/>
      <c r="CZM287" s="1132" t="n"/>
      <c r="CZN287" s="1132" t="n"/>
      <c r="CZO287" s="1132" t="n"/>
      <c r="CZP287" s="1132" t="n"/>
      <c r="CZQ287" s="1132" t="n"/>
      <c r="CZR287" s="1132" t="n"/>
      <c r="CZS287" s="1132" t="n"/>
      <c r="CZT287" s="1132" t="n"/>
      <c r="CZU287" s="1132" t="n"/>
      <c r="CZV287" s="1132" t="n"/>
      <c r="CZW287" s="1132" t="n"/>
      <c r="CZX287" s="1132" t="n"/>
      <c r="CZY287" s="1132" t="n"/>
      <c r="CZZ287" s="1132" t="n"/>
      <c r="DAA287" s="1132" t="n"/>
      <c r="DAB287" s="1132" t="n"/>
      <c r="DAC287" s="1132" t="n"/>
      <c r="DAD287" s="1132" t="n"/>
      <c r="DAE287" s="1132" t="n"/>
      <c r="DAF287" s="1132" t="n"/>
      <c r="DAG287" s="1132" t="n"/>
      <c r="DAH287" s="1132" t="n"/>
      <c r="DAI287" s="1132" t="n"/>
      <c r="DAJ287" s="1132" t="n"/>
      <c r="DAK287" s="1132" t="n"/>
      <c r="DAL287" s="1132" t="n"/>
      <c r="DAM287" s="1132" t="n"/>
      <c r="DAN287" s="1132" t="n"/>
      <c r="DAO287" s="1132" t="n"/>
      <c r="DAP287" s="1132" t="n"/>
      <c r="DAQ287" s="1132" t="n"/>
      <c r="DAR287" s="1132" t="n"/>
      <c r="DAS287" s="1132" t="n"/>
      <c r="DAT287" s="1132" t="n"/>
      <c r="DAU287" s="1132" t="n"/>
      <c r="DAV287" s="1132" t="n"/>
      <c r="DAW287" s="1132" t="n"/>
      <c r="DAX287" s="1132" t="n"/>
      <c r="DAY287" s="1132" t="n"/>
      <c r="DAZ287" s="1132" t="n"/>
      <c r="DBA287" s="1132" t="n"/>
      <c r="DBB287" s="1132" t="n"/>
      <c r="DBC287" s="1132" t="n"/>
      <c r="DBD287" s="1132" t="n"/>
      <c r="DBE287" s="1132" t="n"/>
      <c r="DBF287" s="1132" t="n"/>
      <c r="DBG287" s="1132" t="n"/>
      <c r="DBH287" s="1132" t="n"/>
      <c r="DBI287" s="1132" t="n"/>
      <c r="DBJ287" s="1132" t="n"/>
      <c r="DBK287" s="1132" t="n"/>
      <c r="DBL287" s="1132" t="n"/>
      <c r="DBM287" s="1132" t="n"/>
      <c r="DBN287" s="1132" t="n"/>
      <c r="DBO287" s="1132" t="n"/>
      <c r="DBP287" s="1132" t="n"/>
      <c r="DBQ287" s="1132" t="n"/>
      <c r="DBR287" s="1132" t="n"/>
      <c r="DBS287" s="1132" t="n"/>
      <c r="DBT287" s="1132" t="n"/>
      <c r="DBU287" s="1132" t="n"/>
      <c r="DBV287" s="1132" t="n"/>
      <c r="DBW287" s="1132" t="n"/>
      <c r="DBX287" s="1132" t="n"/>
      <c r="DBY287" s="1132" t="n"/>
      <c r="DBZ287" s="1132" t="n"/>
      <c r="DCA287" s="1132" t="n"/>
      <c r="DCB287" s="1132" t="n"/>
      <c r="DCC287" s="1132" t="n"/>
      <c r="DCD287" s="1132" t="n"/>
      <c r="DCE287" s="1132" t="n"/>
      <c r="DCF287" s="1132" t="n"/>
      <c r="DCG287" s="1132" t="n"/>
      <c r="DCH287" s="1132" t="n"/>
      <c r="DCI287" s="1132" t="n"/>
      <c r="DCJ287" s="1132" t="n"/>
      <c r="DCK287" s="1132" t="n"/>
      <c r="DCL287" s="1132" t="n"/>
      <c r="DCM287" s="1132" t="n"/>
      <c r="DCN287" s="1132" t="n"/>
      <c r="DCO287" s="1132" t="n"/>
      <c r="DCP287" s="1132" t="n"/>
      <c r="DCQ287" s="1132" t="n"/>
      <c r="DCR287" s="1132" t="n"/>
      <c r="DCS287" s="1132" t="n"/>
      <c r="DCT287" s="1132" t="n"/>
      <c r="DCU287" s="1132" t="n"/>
      <c r="DCV287" s="1132" t="n"/>
      <c r="DCW287" s="1132" t="n"/>
      <c r="DCX287" s="1132" t="n"/>
      <c r="DCY287" s="1132" t="n"/>
      <c r="DCZ287" s="1132" t="n"/>
      <c r="DDA287" s="1132" t="n"/>
      <c r="DDB287" s="1132" t="n"/>
      <c r="DDC287" s="1132" t="n"/>
      <c r="DDD287" s="1132" t="n"/>
      <c r="DDE287" s="1132" t="n"/>
      <c r="DDF287" s="1132" t="n"/>
      <c r="DDG287" s="1132" t="n"/>
      <c r="DDH287" s="1132" t="n"/>
      <c r="DDI287" s="1132" t="n"/>
      <c r="DDJ287" s="1132" t="n"/>
      <c r="DDK287" s="1132" t="n"/>
      <c r="DDL287" s="1132" t="n"/>
      <c r="DDM287" s="1132" t="n"/>
      <c r="DDN287" s="1132" t="n"/>
      <c r="DDO287" s="1132" t="n"/>
      <c r="DDP287" s="1132" t="n"/>
      <c r="DDQ287" s="1132" t="n"/>
      <c r="DDR287" s="1132" t="n"/>
      <c r="DDS287" s="1132" t="n"/>
      <c r="DDT287" s="1132" t="n"/>
      <c r="DDU287" s="1132" t="n"/>
      <c r="DDV287" s="1132" t="n"/>
      <c r="DDW287" s="1132" t="n"/>
      <c r="DDX287" s="1132" t="n"/>
      <c r="DDY287" s="1132" t="n"/>
      <c r="DDZ287" s="1132" t="n"/>
      <c r="DEA287" s="1132" t="n"/>
      <c r="DEB287" s="1132" t="n"/>
      <c r="DEC287" s="1132" t="n"/>
      <c r="DED287" s="1132" t="n"/>
      <c r="DEE287" s="1132" t="n"/>
      <c r="DEF287" s="1132" t="n"/>
      <c r="DEG287" s="1132" t="n"/>
      <c r="DEH287" s="1132" t="n"/>
      <c r="DEI287" s="1132" t="n"/>
      <c r="DEJ287" s="1132" t="n"/>
      <c r="DEK287" s="1132" t="n"/>
      <c r="DEL287" s="1132" t="n"/>
      <c r="DEM287" s="1132" t="n"/>
      <c r="DEN287" s="1132" t="n"/>
      <c r="DEO287" s="1132" t="n"/>
      <c r="DEP287" s="1132" t="n"/>
      <c r="DEQ287" s="1132" t="n"/>
      <c r="DER287" s="1132" t="n"/>
      <c r="DES287" s="1132" t="n"/>
      <c r="DET287" s="1132" t="n"/>
      <c r="DEU287" s="1132" t="n"/>
      <c r="DEV287" s="1132" t="n"/>
      <c r="DEW287" s="1132" t="n"/>
      <c r="DEX287" s="1132" t="n"/>
      <c r="DEY287" s="1132" t="n"/>
      <c r="DEZ287" s="1132" t="n"/>
      <c r="DFA287" s="1132" t="n"/>
      <c r="DFB287" s="1132" t="n"/>
      <c r="DFC287" s="1132" t="n"/>
      <c r="DFD287" s="1132" t="n"/>
      <c r="DFE287" s="1132" t="n"/>
      <c r="DFF287" s="1132" t="n"/>
      <c r="DFG287" s="1132" t="n"/>
      <c r="DFH287" s="1132" t="n"/>
      <c r="DFI287" s="1132" t="n"/>
      <c r="DFJ287" s="1132" t="n"/>
      <c r="DFK287" s="1132" t="n"/>
      <c r="DFL287" s="1132" t="n"/>
      <c r="DFM287" s="1132" t="n"/>
      <c r="DFN287" s="1132" t="n"/>
      <c r="DFO287" s="1132" t="n"/>
      <c r="DFP287" s="1132" t="n"/>
      <c r="DFQ287" s="1132" t="n"/>
      <c r="DFR287" s="1132" t="n"/>
      <c r="DFS287" s="1132" t="n"/>
      <c r="DFT287" s="1132" t="n"/>
      <c r="DFU287" s="1132" t="n"/>
      <c r="DFV287" s="1132" t="n"/>
      <c r="DFW287" s="1132" t="n"/>
      <c r="DFX287" s="1132" t="n"/>
      <c r="DFY287" s="1132" t="n"/>
      <c r="DFZ287" s="1132" t="n"/>
      <c r="DGA287" s="1132" t="n"/>
      <c r="DGB287" s="1132" t="n"/>
      <c r="DGC287" s="1132" t="n"/>
      <c r="DGD287" s="1132" t="n"/>
      <c r="DGE287" s="1132" t="n"/>
      <c r="DGF287" s="1132" t="n"/>
      <c r="DGG287" s="1132" t="n"/>
      <c r="DGH287" s="1132" t="n"/>
      <c r="DGI287" s="1132" t="n"/>
      <c r="DGJ287" s="1132" t="n"/>
      <c r="DGK287" s="1132" t="n"/>
      <c r="DGL287" s="1132" t="n"/>
      <c r="DGM287" s="1132" t="n"/>
      <c r="DGN287" s="1132" t="n"/>
      <c r="DGO287" s="1132" t="n"/>
      <c r="DGP287" s="1132" t="n"/>
      <c r="DGQ287" s="1132" t="n"/>
      <c r="DGR287" s="1132" t="n"/>
      <c r="DGS287" s="1132" t="n"/>
      <c r="DGT287" s="1132" t="n"/>
      <c r="DGU287" s="1132" t="n"/>
      <c r="DGV287" s="1132" t="n"/>
      <c r="DGW287" s="1132" t="n"/>
      <c r="DGX287" s="1132" t="n"/>
      <c r="DGY287" s="1132" t="n"/>
      <c r="DGZ287" s="1132" t="n"/>
      <c r="DHA287" s="1132" t="n"/>
      <c r="DHB287" s="1132" t="n"/>
      <c r="DHC287" s="1132" t="n"/>
      <c r="DHD287" s="1132" t="n"/>
      <c r="DHE287" s="1132" t="n"/>
      <c r="DHF287" s="1132" t="n"/>
      <c r="DHG287" s="1132" t="n"/>
      <c r="DHH287" s="1132" t="n"/>
      <c r="DHI287" s="1132" t="n"/>
      <c r="DHJ287" s="1132" t="n"/>
      <c r="DHK287" s="1132" t="n"/>
      <c r="DHL287" s="1132" t="n"/>
      <c r="DHM287" s="1132" t="n"/>
      <c r="DHN287" s="1132" t="n"/>
      <c r="DHO287" s="1132" t="n"/>
      <c r="DHP287" s="1132" t="n"/>
      <c r="DHQ287" s="1132" t="n"/>
      <c r="DHR287" s="1132" t="n"/>
      <c r="DHS287" s="1132" t="n"/>
      <c r="DHT287" s="1132" t="n"/>
      <c r="DHU287" s="1132" t="n"/>
      <c r="DHV287" s="1132" t="n"/>
      <c r="DHW287" s="1132" t="n"/>
      <c r="DHX287" s="1132" t="n"/>
      <c r="DHY287" s="1132" t="n"/>
      <c r="DHZ287" s="1132" t="n"/>
      <c r="DIA287" s="1132" t="n"/>
      <c r="DIB287" s="1132" t="n"/>
      <c r="DIC287" s="1132" t="n"/>
      <c r="DID287" s="1132" t="n"/>
      <c r="DIE287" s="1132" t="n"/>
      <c r="DIF287" s="1132" t="n"/>
      <c r="DIG287" s="1132" t="n"/>
      <c r="DIH287" s="1132" t="n"/>
      <c r="DII287" s="1132" t="n"/>
      <c r="DIJ287" s="1132" t="n"/>
      <c r="DIK287" s="1132" t="n"/>
      <c r="DIL287" s="1132" t="n"/>
      <c r="DIM287" s="1132" t="n"/>
      <c r="DIN287" s="1132" t="n"/>
      <c r="DIO287" s="1132" t="n"/>
      <c r="DIP287" s="1132" t="n"/>
      <c r="DIQ287" s="1132" t="n"/>
      <c r="DIR287" s="1132" t="n"/>
      <c r="DIS287" s="1132" t="n"/>
      <c r="DIT287" s="1132" t="n"/>
      <c r="DIU287" s="1132" t="n"/>
      <c r="DIV287" s="1132" t="n"/>
      <c r="DIW287" s="1132" t="n"/>
      <c r="DIX287" s="1132" t="n"/>
      <c r="DIY287" s="1132" t="n"/>
      <c r="DIZ287" s="1132" t="n"/>
      <c r="DJA287" s="1132" t="n"/>
      <c r="DJB287" s="1132" t="n"/>
      <c r="DJC287" s="1132" t="n"/>
      <c r="DJD287" s="1132" t="n"/>
      <c r="DJE287" s="1132" t="n"/>
      <c r="DJF287" s="1132" t="n"/>
      <c r="DJG287" s="1132" t="n"/>
      <c r="DJH287" s="1132" t="n"/>
      <c r="DJI287" s="1132" t="n"/>
      <c r="DJJ287" s="1132" t="n"/>
      <c r="DJK287" s="1132" t="n"/>
      <c r="DJL287" s="1132" t="n"/>
      <c r="DJM287" s="1132" t="n"/>
      <c r="DJN287" s="1132" t="n"/>
      <c r="DJO287" s="1132" t="n"/>
      <c r="DJP287" s="1132" t="n"/>
      <c r="DJQ287" s="1132" t="n"/>
      <c r="DJR287" s="1132" t="n"/>
      <c r="DJS287" s="1132" t="n"/>
      <c r="DJT287" s="1132" t="n"/>
      <c r="DJU287" s="1132" t="n"/>
      <c r="DJV287" s="1132" t="n"/>
      <c r="DJW287" s="1132" t="n"/>
      <c r="DJX287" s="1132" t="n"/>
      <c r="DJY287" s="1132" t="n"/>
      <c r="DJZ287" s="1132" t="n"/>
      <c r="DKA287" s="1132" t="n"/>
      <c r="DKB287" s="1132" t="n"/>
      <c r="DKC287" s="1132" t="n"/>
      <c r="DKD287" s="1132" t="n"/>
      <c r="DKE287" s="1132" t="n"/>
      <c r="DKF287" s="1132" t="n"/>
      <c r="DKG287" s="1132" t="n"/>
      <c r="DKH287" s="1132" t="n"/>
      <c r="DKI287" s="1132" t="n"/>
      <c r="DKJ287" s="1132" t="n"/>
      <c r="DKK287" s="1132" t="n"/>
      <c r="DKL287" s="1132" t="n"/>
      <c r="DKM287" s="1132" t="n"/>
      <c r="DKN287" s="1132" t="n"/>
      <c r="DKO287" s="1132" t="n"/>
      <c r="DKP287" s="1132" t="n"/>
      <c r="DKQ287" s="1132" t="n"/>
      <c r="DKR287" s="1132" t="n"/>
      <c r="DKS287" s="1132" t="n"/>
      <c r="DKT287" s="1132" t="n"/>
      <c r="DKU287" s="1132" t="n"/>
      <c r="DKV287" s="1132" t="n"/>
      <c r="DKW287" s="1132" t="n"/>
      <c r="DKX287" s="1132" t="n"/>
      <c r="DKY287" s="1132" t="n"/>
      <c r="DKZ287" s="1132" t="n"/>
      <c r="DLA287" s="1132" t="n"/>
      <c r="DLB287" s="1132" t="n"/>
      <c r="DLC287" s="1132" t="n"/>
      <c r="DLD287" s="1132" t="n"/>
      <c r="DLE287" s="1132" t="n"/>
      <c r="DLF287" s="1132" t="n"/>
      <c r="DLG287" s="1132" t="n"/>
      <c r="DLH287" s="1132" t="n"/>
      <c r="DLI287" s="1132" t="n"/>
      <c r="DLJ287" s="1132" t="n"/>
      <c r="DLK287" s="1132" t="n"/>
      <c r="DLL287" s="1132" t="n"/>
      <c r="DLM287" s="1132" t="n"/>
      <c r="DLN287" s="1132" t="n"/>
      <c r="DLO287" s="1132" t="n"/>
      <c r="DLP287" s="1132" t="n"/>
      <c r="DLQ287" s="1132" t="n"/>
      <c r="DLR287" s="1132" t="n"/>
      <c r="DLS287" s="1132" t="n"/>
      <c r="DLT287" s="1132" t="n"/>
      <c r="DLU287" s="1132" t="n"/>
      <c r="DLV287" s="1132" t="n"/>
      <c r="DLW287" s="1132" t="n"/>
      <c r="DLX287" s="1132" t="n"/>
      <c r="DLY287" s="1132" t="n"/>
      <c r="DLZ287" s="1132" t="n"/>
      <c r="DMA287" s="1132" t="n"/>
      <c r="DMB287" s="1132" t="n"/>
      <c r="DMC287" s="1132" t="n"/>
      <c r="DMD287" s="1132" t="n"/>
      <c r="DME287" s="1132" t="n"/>
      <c r="DMF287" s="1132" t="n"/>
      <c r="DMG287" s="1132" t="n"/>
      <c r="DMH287" s="1132" t="n"/>
      <c r="DMI287" s="1132" t="n"/>
      <c r="DMJ287" s="1132" t="n"/>
      <c r="DMK287" s="1132" t="n"/>
      <c r="DML287" s="1132" t="n"/>
      <c r="DMM287" s="1132" t="n"/>
      <c r="DMN287" s="1132" t="n"/>
      <c r="DMO287" s="1132" t="n"/>
      <c r="DMP287" s="1132" t="n"/>
      <c r="DMQ287" s="1132" t="n"/>
      <c r="DMR287" s="1132" t="n"/>
      <c r="DMS287" s="1132" t="n"/>
      <c r="DMT287" s="1132" t="n"/>
      <c r="DMU287" s="1132" t="n"/>
      <c r="DMV287" s="1132" t="n"/>
      <c r="DMW287" s="1132" t="n"/>
      <c r="DMX287" s="1132" t="n"/>
      <c r="DMY287" s="1132" t="n"/>
      <c r="DMZ287" s="1132" t="n"/>
      <c r="DNA287" s="1132" t="n"/>
      <c r="DNB287" s="1132" t="n"/>
      <c r="DNC287" s="1132" t="n"/>
      <c r="DND287" s="1132" t="n"/>
      <c r="DNE287" s="1132" t="n"/>
      <c r="DNF287" s="1132" t="n"/>
      <c r="DNG287" s="1132" t="n"/>
      <c r="DNH287" s="1132" t="n"/>
      <c r="DNI287" s="1132" t="n"/>
      <c r="DNJ287" s="1132" t="n"/>
      <c r="DNK287" s="1132" t="n"/>
      <c r="DNL287" s="1132" t="n"/>
      <c r="DNM287" s="1132" t="n"/>
      <c r="DNN287" s="1132" t="n"/>
      <c r="DNO287" s="1132" t="n"/>
      <c r="DNP287" s="1132" t="n"/>
      <c r="DNQ287" s="1132" t="n"/>
      <c r="DNR287" s="1132" t="n"/>
      <c r="DNS287" s="1132" t="n"/>
      <c r="DNT287" s="1132" t="n"/>
      <c r="DNU287" s="1132" t="n"/>
      <c r="DNV287" s="1132" t="n"/>
      <c r="DNW287" s="1132" t="n"/>
      <c r="DNX287" s="1132" t="n"/>
      <c r="DNY287" s="1132" t="n"/>
      <c r="DNZ287" s="1132" t="n"/>
      <c r="DOA287" s="1132" t="n"/>
      <c r="DOB287" s="1132" t="n"/>
      <c r="DOC287" s="1132" t="n"/>
      <c r="DOD287" s="1132" t="n"/>
      <c r="DOE287" s="1132" t="n"/>
      <c r="DOF287" s="1132" t="n"/>
      <c r="DOG287" s="1132" t="n"/>
      <c r="DOH287" s="1132" t="n"/>
      <c r="DOI287" s="1132" t="n"/>
      <c r="DOJ287" s="1132" t="n"/>
      <c r="DOK287" s="1132" t="n"/>
      <c r="DOL287" s="1132" t="n"/>
      <c r="DOM287" s="1132" t="n"/>
      <c r="DON287" s="1132" t="n"/>
      <c r="DOO287" s="1132" t="n"/>
      <c r="DOP287" s="1132" t="n"/>
      <c r="DOQ287" s="1132" t="n"/>
      <c r="DOR287" s="1132" t="n"/>
      <c r="DOS287" s="1132" t="n"/>
      <c r="DOT287" s="1132" t="n"/>
      <c r="DOU287" s="1132" t="n"/>
      <c r="DOV287" s="1132" t="n"/>
      <c r="DOW287" s="1132" t="n"/>
      <c r="DOX287" s="1132" t="n"/>
      <c r="DOY287" s="1132" t="n"/>
      <c r="DOZ287" s="1132" t="n"/>
      <c r="DPA287" s="1132" t="n"/>
      <c r="DPB287" s="1132" t="n"/>
      <c r="DPC287" s="1132" t="n"/>
      <c r="DPD287" s="1132" t="n"/>
      <c r="DPE287" s="1132" t="n"/>
      <c r="DPF287" s="1132" t="n"/>
      <c r="DPG287" s="1132" t="n"/>
      <c r="DPH287" s="1132" t="n"/>
      <c r="DPI287" s="1132" t="n"/>
      <c r="DPJ287" s="1132" t="n"/>
      <c r="DPK287" s="1132" t="n"/>
      <c r="DPL287" s="1132" t="n"/>
      <c r="DPM287" s="1132" t="n"/>
      <c r="DPN287" s="1132" t="n"/>
      <c r="DPO287" s="1132" t="n"/>
      <c r="DPP287" s="1132" t="n"/>
      <c r="DPQ287" s="1132" t="n"/>
      <c r="DPR287" s="1132" t="n"/>
      <c r="DPS287" s="1132" t="n"/>
      <c r="DPT287" s="1132" t="n"/>
      <c r="DPU287" s="1132" t="n"/>
      <c r="DPV287" s="1132" t="n"/>
      <c r="DPW287" s="1132" t="n"/>
      <c r="DPX287" s="1132" t="n"/>
      <c r="DPY287" s="1132" t="n"/>
      <c r="DPZ287" s="1132" t="n"/>
      <c r="DQA287" s="1132" t="n"/>
      <c r="DQB287" s="1132" t="n"/>
      <c r="DQC287" s="1132" t="n"/>
      <c r="DQD287" s="1132" t="n"/>
      <c r="DQE287" s="1132" t="n"/>
      <c r="DQF287" s="1132" t="n"/>
      <c r="DQG287" s="1132" t="n"/>
      <c r="DQH287" s="1132" t="n"/>
      <c r="DQI287" s="1132" t="n"/>
      <c r="DQJ287" s="1132" t="n"/>
      <c r="DQK287" s="1132" t="n"/>
      <c r="DQL287" s="1132" t="n"/>
      <c r="DQM287" s="1132" t="n"/>
      <c r="DQN287" s="1132" t="n"/>
      <c r="DQO287" s="1132" t="n"/>
      <c r="DQP287" s="1132" t="n"/>
      <c r="DQQ287" s="1132" t="n"/>
      <c r="DQR287" s="1132" t="n"/>
      <c r="DQS287" s="1132" t="n"/>
      <c r="DQT287" s="1132" t="n"/>
      <c r="DQU287" s="1132" t="n"/>
      <c r="DQV287" s="1132" t="n"/>
      <c r="DQW287" s="1132" t="n"/>
      <c r="DQX287" s="1132" t="n"/>
      <c r="DQY287" s="1132" t="n"/>
      <c r="DQZ287" s="1132" t="n"/>
      <c r="DRA287" s="1132" t="n"/>
      <c r="DRB287" s="1132" t="n"/>
      <c r="DRC287" s="1132" t="n"/>
      <c r="DRD287" s="1132" t="n"/>
      <c r="DRE287" s="1132" t="n"/>
      <c r="DRF287" s="1132" t="n"/>
      <c r="DRG287" s="1132" t="n"/>
      <c r="DRH287" s="1132" t="n"/>
      <c r="DRI287" s="1132" t="n"/>
      <c r="DRJ287" s="1132" t="n"/>
      <c r="DRK287" s="1132" t="n"/>
      <c r="DRL287" s="1132" t="n"/>
      <c r="DRM287" s="1132" t="n"/>
      <c r="DRN287" s="1132" t="n"/>
      <c r="DRO287" s="1132" t="n"/>
      <c r="DRP287" s="1132" t="n"/>
      <c r="DRQ287" s="1132" t="n"/>
      <c r="DRR287" s="1132" t="n"/>
      <c r="DRS287" s="1132" t="n"/>
      <c r="DRT287" s="1132" t="n"/>
      <c r="DRU287" s="1132" t="n"/>
      <c r="DRV287" s="1132" t="n"/>
      <c r="DRW287" s="1132" t="n"/>
      <c r="DRX287" s="1132" t="n"/>
      <c r="DRY287" s="1132" t="n"/>
      <c r="DRZ287" s="1132" t="n"/>
      <c r="DSA287" s="1132" t="n"/>
      <c r="DSB287" s="1132" t="n"/>
      <c r="DSC287" s="1132" t="n"/>
      <c r="DSD287" s="1132" t="n"/>
      <c r="DSE287" s="1132" t="n"/>
      <c r="DSF287" s="1132" t="n"/>
      <c r="DSG287" s="1132" t="n"/>
      <c r="DSH287" s="1132" t="n"/>
      <c r="DSI287" s="1132" t="n"/>
      <c r="DSJ287" s="1132" t="n"/>
      <c r="DSK287" s="1132" t="n"/>
      <c r="DSL287" s="1132" t="n"/>
      <c r="DSM287" s="1132" t="n"/>
      <c r="DSN287" s="1132" t="n"/>
      <c r="DSO287" s="1132" t="n"/>
      <c r="DSP287" s="1132" t="n"/>
      <c r="DSQ287" s="1132" t="n"/>
      <c r="DSR287" s="1132" t="n"/>
      <c r="DSS287" s="1132" t="n"/>
      <c r="DST287" s="1132" t="n"/>
      <c r="DSU287" s="1132" t="n"/>
      <c r="DSV287" s="1132" t="n"/>
      <c r="DSW287" s="1132" t="n"/>
      <c r="DSX287" s="1132" t="n"/>
      <c r="DSY287" s="1132" t="n"/>
      <c r="DSZ287" s="1132" t="n"/>
      <c r="DTA287" s="1132" t="n"/>
      <c r="DTB287" s="1132" t="n"/>
      <c r="DTC287" s="1132" t="n"/>
      <c r="DTD287" s="1132" t="n"/>
      <c r="DTE287" s="1132" t="n"/>
      <c r="DTF287" s="1132" t="n"/>
      <c r="DTG287" s="1132" t="n"/>
      <c r="DTH287" s="1132" t="n"/>
      <c r="DTI287" s="1132" t="n"/>
      <c r="DTJ287" s="1132" t="n"/>
      <c r="DTK287" s="1132" t="n"/>
      <c r="DTL287" s="1132" t="n"/>
      <c r="DTM287" s="1132" t="n"/>
      <c r="DTN287" s="1132" t="n"/>
      <c r="DTO287" s="1132" t="n"/>
      <c r="DTP287" s="1132" t="n"/>
      <c r="DTQ287" s="1132" t="n"/>
      <c r="DTR287" s="1132" t="n"/>
      <c r="DTS287" s="1132" t="n"/>
      <c r="DTT287" s="1132" t="n"/>
      <c r="DTU287" s="1132" t="n"/>
      <c r="DTV287" s="1132" t="n"/>
      <c r="DTW287" s="1132" t="n"/>
      <c r="DTX287" s="1132" t="n"/>
      <c r="DTY287" s="1132" t="n"/>
      <c r="DTZ287" s="1132" t="n"/>
      <c r="DUA287" s="1132" t="n"/>
      <c r="DUB287" s="1132" t="n"/>
      <c r="DUC287" s="1132" t="n"/>
      <c r="DUD287" s="1132" t="n"/>
      <c r="DUE287" s="1132" t="n"/>
      <c r="DUF287" s="1132" t="n"/>
      <c r="DUG287" s="1132" t="n"/>
      <c r="DUH287" s="1132" t="n"/>
      <c r="DUI287" s="1132" t="n"/>
      <c r="DUJ287" s="1132" t="n"/>
      <c r="DUK287" s="1132" t="n"/>
      <c r="DUL287" s="1132" t="n"/>
      <c r="DUM287" s="1132" t="n"/>
      <c r="DUN287" s="1132" t="n"/>
      <c r="DUO287" s="1132" t="n"/>
      <c r="DUP287" s="1132" t="n"/>
      <c r="DUQ287" s="1132" t="n"/>
      <c r="DUR287" s="1132" t="n"/>
      <c r="DUS287" s="1132" t="n"/>
      <c r="DUT287" s="1132" t="n"/>
      <c r="DUU287" s="1132" t="n"/>
      <c r="DUV287" s="1132" t="n"/>
      <c r="DUW287" s="1132" t="n"/>
      <c r="DUX287" s="1132" t="n"/>
      <c r="DUY287" s="1132" t="n"/>
      <c r="DUZ287" s="1132" t="n"/>
      <c r="DVA287" s="1132" t="n"/>
      <c r="DVB287" s="1132" t="n"/>
      <c r="DVC287" s="1132" t="n"/>
      <c r="DVD287" s="1132" t="n"/>
      <c r="DVE287" s="1132" t="n"/>
      <c r="DVF287" s="1132" t="n"/>
      <c r="DVG287" s="1132" t="n"/>
      <c r="DVH287" s="1132" t="n"/>
      <c r="DVI287" s="1132" t="n"/>
      <c r="DVJ287" s="1132" t="n"/>
      <c r="DVK287" s="1132" t="n"/>
      <c r="DVL287" s="1132" t="n"/>
      <c r="DVM287" s="1132" t="n"/>
      <c r="DVN287" s="1132" t="n"/>
      <c r="DVO287" s="1132" t="n"/>
      <c r="DVP287" s="1132" t="n"/>
      <c r="DVQ287" s="1132" t="n"/>
      <c r="DVR287" s="1132" t="n"/>
      <c r="DVS287" s="1132" t="n"/>
      <c r="DVT287" s="1132" t="n"/>
      <c r="DVU287" s="1132" t="n"/>
      <c r="DVV287" s="1132" t="n"/>
      <c r="DVW287" s="1132" t="n"/>
      <c r="DVX287" s="1132" t="n"/>
      <c r="DVY287" s="1132" t="n"/>
      <c r="DVZ287" s="1132" t="n"/>
      <c r="DWA287" s="1132" t="n"/>
      <c r="DWB287" s="1132" t="n"/>
      <c r="DWC287" s="1132" t="n"/>
      <c r="DWD287" s="1132" t="n"/>
      <c r="DWE287" s="1132" t="n"/>
      <c r="DWF287" s="1132" t="n"/>
      <c r="DWG287" s="1132" t="n"/>
      <c r="DWH287" s="1132" t="n"/>
      <c r="DWI287" s="1132" t="n"/>
      <c r="DWJ287" s="1132" t="n"/>
      <c r="DWK287" s="1132" t="n"/>
      <c r="DWL287" s="1132" t="n"/>
      <c r="DWM287" s="1132" t="n"/>
      <c r="DWN287" s="1132" t="n"/>
      <c r="DWO287" s="1132" t="n"/>
      <c r="DWP287" s="1132" t="n"/>
      <c r="DWQ287" s="1132" t="n"/>
      <c r="DWR287" s="1132" t="n"/>
      <c r="DWS287" s="1132" t="n"/>
      <c r="DWT287" s="1132" t="n"/>
      <c r="DWU287" s="1132" t="n"/>
      <c r="DWV287" s="1132" t="n"/>
      <c r="DWW287" s="1132" t="n"/>
      <c r="DWX287" s="1132" t="n"/>
      <c r="DWY287" s="1132" t="n"/>
      <c r="DWZ287" s="1132" t="n"/>
      <c r="DXA287" s="1132" t="n"/>
      <c r="DXB287" s="1132" t="n"/>
      <c r="DXC287" s="1132" t="n"/>
      <c r="DXD287" s="1132" t="n"/>
      <c r="DXE287" s="1132" t="n"/>
      <c r="DXF287" s="1132" t="n"/>
      <c r="DXG287" s="1132" t="n"/>
      <c r="DXH287" s="1132" t="n"/>
      <c r="DXI287" s="1132" t="n"/>
      <c r="DXJ287" s="1132" t="n"/>
      <c r="DXK287" s="1132" t="n"/>
      <c r="DXL287" s="1132" t="n"/>
      <c r="DXM287" s="1132" t="n"/>
      <c r="DXN287" s="1132" t="n"/>
      <c r="DXO287" s="1132" t="n"/>
      <c r="DXP287" s="1132" t="n"/>
      <c r="DXQ287" s="1132" t="n"/>
      <c r="DXR287" s="1132" t="n"/>
      <c r="DXS287" s="1132" t="n"/>
      <c r="DXT287" s="1132" t="n"/>
      <c r="DXU287" s="1132" t="n"/>
      <c r="DXV287" s="1132" t="n"/>
      <c r="DXW287" s="1132" t="n"/>
      <c r="DXX287" s="1132" t="n"/>
      <c r="DXY287" s="1132" t="n"/>
      <c r="DXZ287" s="1132" t="n"/>
      <c r="DYA287" s="1132" t="n"/>
      <c r="DYB287" s="1132" t="n"/>
      <c r="DYC287" s="1132" t="n"/>
      <c r="DYD287" s="1132" t="n"/>
      <c r="DYE287" s="1132" t="n"/>
      <c r="DYF287" s="1132" t="n"/>
      <c r="DYG287" s="1132" t="n"/>
      <c r="DYH287" s="1132" t="n"/>
      <c r="DYI287" s="1132" t="n"/>
      <c r="DYJ287" s="1132" t="n"/>
      <c r="DYK287" s="1132" t="n"/>
      <c r="DYL287" s="1132" t="n"/>
      <c r="DYM287" s="1132" t="n"/>
      <c r="DYN287" s="1132" t="n"/>
      <c r="DYO287" s="1132" t="n"/>
      <c r="DYP287" s="1132" t="n"/>
      <c r="DYQ287" s="1132" t="n"/>
      <c r="DYR287" s="1132" t="n"/>
      <c r="DYS287" s="1132" t="n"/>
      <c r="DYT287" s="1132" t="n"/>
      <c r="DYU287" s="1132" t="n"/>
      <c r="DYV287" s="1132" t="n"/>
      <c r="DYW287" s="1132" t="n"/>
      <c r="DYX287" s="1132" t="n"/>
      <c r="DYY287" s="1132" t="n"/>
      <c r="DYZ287" s="1132" t="n"/>
      <c r="DZA287" s="1132" t="n"/>
      <c r="DZB287" s="1132" t="n"/>
      <c r="DZC287" s="1132" t="n"/>
      <c r="DZD287" s="1132" t="n"/>
      <c r="DZE287" s="1132" t="n"/>
      <c r="DZF287" s="1132" t="n"/>
      <c r="DZG287" s="1132" t="n"/>
      <c r="DZH287" s="1132" t="n"/>
      <c r="DZI287" s="1132" t="n"/>
      <c r="DZJ287" s="1132" t="n"/>
      <c r="DZK287" s="1132" t="n"/>
      <c r="DZL287" s="1132" t="n"/>
      <c r="DZM287" s="1132" t="n"/>
      <c r="DZN287" s="1132" t="n"/>
      <c r="DZO287" s="1132" t="n"/>
      <c r="DZP287" s="1132" t="n"/>
      <c r="DZQ287" s="1132" t="n"/>
      <c r="DZR287" s="1132" t="n"/>
      <c r="DZS287" s="1132" t="n"/>
      <c r="DZT287" s="1132" t="n"/>
      <c r="DZU287" s="1132" t="n"/>
      <c r="DZV287" s="1132" t="n"/>
      <c r="DZW287" s="1132" t="n"/>
      <c r="DZX287" s="1132" t="n"/>
      <c r="DZY287" s="1132" t="n"/>
      <c r="DZZ287" s="1132" t="n"/>
      <c r="EAA287" s="1132" t="n"/>
      <c r="EAB287" s="1132" t="n"/>
      <c r="EAC287" s="1132" t="n"/>
      <c r="EAD287" s="1132" t="n"/>
      <c r="EAE287" s="1132" t="n"/>
      <c r="EAF287" s="1132" t="n"/>
      <c r="EAG287" s="1132" t="n"/>
      <c r="EAH287" s="1132" t="n"/>
      <c r="EAI287" s="1132" t="n"/>
      <c r="EAJ287" s="1132" t="n"/>
      <c r="EAK287" s="1132" t="n"/>
      <c r="EAL287" s="1132" t="n"/>
      <c r="EAM287" s="1132" t="n"/>
      <c r="EAN287" s="1132" t="n"/>
      <c r="EAO287" s="1132" t="n"/>
      <c r="EAP287" s="1132" t="n"/>
      <c r="EAQ287" s="1132" t="n"/>
      <c r="EAR287" s="1132" t="n"/>
      <c r="EAS287" s="1132" t="n"/>
      <c r="EAT287" s="1132" t="n"/>
      <c r="EAU287" s="1132" t="n"/>
      <c r="EAV287" s="1132" t="n"/>
      <c r="EAW287" s="1132" t="n"/>
      <c r="EAX287" s="1132" t="n"/>
      <c r="EAY287" s="1132" t="n"/>
      <c r="EAZ287" s="1132" t="n"/>
      <c r="EBA287" s="1132" t="n"/>
      <c r="EBB287" s="1132" t="n"/>
      <c r="EBC287" s="1132" t="n"/>
      <c r="EBD287" s="1132" t="n"/>
      <c r="EBE287" s="1132" t="n"/>
      <c r="EBF287" s="1132" t="n"/>
      <c r="EBG287" s="1132" t="n"/>
      <c r="EBH287" s="1132" t="n"/>
      <c r="EBI287" s="1132" t="n"/>
      <c r="EBJ287" s="1132" t="n"/>
      <c r="EBK287" s="1132" t="n"/>
      <c r="EBL287" s="1132" t="n"/>
      <c r="EBM287" s="1132" t="n"/>
      <c r="EBN287" s="1132" t="n"/>
      <c r="EBO287" s="1132" t="n"/>
      <c r="EBP287" s="1132" t="n"/>
      <c r="EBQ287" s="1132" t="n"/>
      <c r="EBR287" s="1132" t="n"/>
      <c r="EBS287" s="1132" t="n"/>
      <c r="EBT287" s="1132" t="n"/>
      <c r="EBU287" s="1132" t="n"/>
      <c r="EBV287" s="1132" t="n"/>
      <c r="EBW287" s="1132" t="n"/>
      <c r="EBX287" s="1132" t="n"/>
      <c r="EBY287" s="1132" t="n"/>
      <c r="EBZ287" s="1132" t="n"/>
      <c r="ECA287" s="1132" t="n"/>
      <c r="ECB287" s="1132" t="n"/>
      <c r="ECC287" s="1132" t="n"/>
      <c r="ECD287" s="1132" t="n"/>
      <c r="ECE287" s="1132" t="n"/>
      <c r="ECF287" s="1132" t="n"/>
      <c r="ECG287" s="1132" t="n"/>
      <c r="ECH287" s="1132" t="n"/>
      <c r="ECI287" s="1132" t="n"/>
      <c r="ECJ287" s="1132" t="n"/>
      <c r="ECK287" s="1132" t="n"/>
      <c r="ECL287" s="1132" t="n"/>
      <c r="ECM287" s="1132" t="n"/>
      <c r="ECN287" s="1132" t="n"/>
      <c r="ECO287" s="1132" t="n"/>
      <c r="ECP287" s="1132" t="n"/>
      <c r="ECQ287" s="1132" t="n"/>
      <c r="ECR287" s="1132" t="n"/>
      <c r="ECS287" s="1132" t="n"/>
      <c r="ECT287" s="1132" t="n"/>
      <c r="ECU287" s="1132" t="n"/>
      <c r="ECV287" s="1132" t="n"/>
      <c r="ECW287" s="1132" t="n"/>
      <c r="ECX287" s="1132" t="n"/>
      <c r="ECY287" s="1132" t="n"/>
      <c r="ECZ287" s="1132" t="n"/>
      <c r="EDA287" s="1132" t="n"/>
      <c r="EDB287" s="1132" t="n"/>
      <c r="EDC287" s="1132" t="n"/>
      <c r="EDD287" s="1132" t="n"/>
      <c r="EDE287" s="1132" t="n"/>
      <c r="EDF287" s="1132" t="n"/>
      <c r="EDG287" s="1132" t="n"/>
      <c r="EDH287" s="1132" t="n"/>
      <c r="EDI287" s="1132" t="n"/>
      <c r="EDJ287" s="1132" t="n"/>
      <c r="EDK287" s="1132" t="n"/>
      <c r="EDL287" s="1132" t="n"/>
      <c r="EDM287" s="1132" t="n"/>
      <c r="EDN287" s="1132" t="n"/>
      <c r="EDO287" s="1132" t="n"/>
      <c r="EDP287" s="1132" t="n"/>
      <c r="EDQ287" s="1132" t="n"/>
      <c r="EDR287" s="1132" t="n"/>
      <c r="EDS287" s="1132" t="n"/>
      <c r="EDT287" s="1132" t="n"/>
      <c r="EDU287" s="1132" t="n"/>
      <c r="EDV287" s="1132" t="n"/>
      <c r="EDW287" s="1132" t="n"/>
      <c r="EDX287" s="1132" t="n"/>
      <c r="EDY287" s="1132" t="n"/>
      <c r="EDZ287" s="1132" t="n"/>
      <c r="EEA287" s="1132" t="n"/>
      <c r="EEB287" s="1132" t="n"/>
      <c r="EEC287" s="1132" t="n"/>
      <c r="EED287" s="1132" t="n"/>
      <c r="EEE287" s="1132" t="n"/>
      <c r="EEF287" s="1132" t="n"/>
      <c r="EEG287" s="1132" t="n"/>
      <c r="EEH287" s="1132" t="n"/>
      <c r="EEI287" s="1132" t="n"/>
      <c r="EEJ287" s="1132" t="n"/>
      <c r="EEK287" s="1132" t="n"/>
      <c r="EEL287" s="1132" t="n"/>
      <c r="EEM287" s="1132" t="n"/>
      <c r="EEN287" s="1132" t="n"/>
      <c r="EEO287" s="1132" t="n"/>
      <c r="EEP287" s="1132" t="n"/>
      <c r="EEQ287" s="1132" t="n"/>
      <c r="EER287" s="1132" t="n"/>
      <c r="EES287" s="1132" t="n"/>
      <c r="EET287" s="1132" t="n"/>
      <c r="EEU287" s="1132" t="n"/>
      <c r="EEV287" s="1132" t="n"/>
      <c r="EEW287" s="1132" t="n"/>
      <c r="EEX287" s="1132" t="n"/>
      <c r="EEY287" s="1132" t="n"/>
      <c r="EEZ287" s="1132" t="n"/>
      <c r="EFA287" s="1132" t="n"/>
      <c r="EFB287" s="1132" t="n"/>
      <c r="EFC287" s="1132" t="n"/>
      <c r="EFD287" s="1132" t="n"/>
      <c r="EFE287" s="1132" t="n"/>
      <c r="EFF287" s="1132" t="n"/>
      <c r="EFG287" s="1132" t="n"/>
      <c r="EFH287" s="1132" t="n"/>
      <c r="EFI287" s="1132" t="n"/>
      <c r="EFJ287" s="1132" t="n"/>
      <c r="EFK287" s="1132" t="n"/>
      <c r="EFL287" s="1132" t="n"/>
      <c r="EFM287" s="1132" t="n"/>
      <c r="EFN287" s="1132" t="n"/>
      <c r="EFO287" s="1132" t="n"/>
      <c r="EFP287" s="1132" t="n"/>
      <c r="EFQ287" s="1132" t="n"/>
      <c r="EFR287" s="1132" t="n"/>
      <c r="EFS287" s="1132" t="n"/>
      <c r="EFT287" s="1132" t="n"/>
      <c r="EFU287" s="1132" t="n"/>
      <c r="EFV287" s="1132" t="n"/>
      <c r="EFW287" s="1132" t="n"/>
      <c r="EFX287" s="1132" t="n"/>
      <c r="EFY287" s="1132" t="n"/>
      <c r="EFZ287" s="1132" t="n"/>
      <c r="EGA287" s="1132" t="n"/>
      <c r="EGB287" s="1132" t="n"/>
      <c r="EGC287" s="1132" t="n"/>
      <c r="EGD287" s="1132" t="n"/>
      <c r="EGE287" s="1132" t="n"/>
      <c r="EGF287" s="1132" t="n"/>
      <c r="EGG287" s="1132" t="n"/>
      <c r="EGH287" s="1132" t="n"/>
      <c r="EGI287" s="1132" t="n"/>
      <c r="EGJ287" s="1132" t="n"/>
      <c r="EGK287" s="1132" t="n"/>
      <c r="EGL287" s="1132" t="n"/>
      <c r="EGM287" s="1132" t="n"/>
      <c r="EGN287" s="1132" t="n"/>
      <c r="EGO287" s="1132" t="n"/>
      <c r="EGP287" s="1132" t="n"/>
      <c r="EGQ287" s="1132" t="n"/>
      <c r="EGR287" s="1132" t="n"/>
      <c r="EGS287" s="1132" t="n"/>
      <c r="EGT287" s="1132" t="n"/>
      <c r="EGU287" s="1132" t="n"/>
      <c r="EGV287" s="1132" t="n"/>
      <c r="EGW287" s="1132" t="n"/>
      <c r="EGX287" s="1132" t="n"/>
      <c r="EGY287" s="1132" t="n"/>
      <c r="EGZ287" s="1132" t="n"/>
      <c r="EHA287" s="1132" t="n"/>
      <c r="EHB287" s="1132" t="n"/>
      <c r="EHC287" s="1132" t="n"/>
      <c r="EHD287" s="1132" t="n"/>
      <c r="EHE287" s="1132" t="n"/>
      <c r="EHF287" s="1132" t="n"/>
      <c r="EHG287" s="1132" t="n"/>
      <c r="EHH287" s="1132" t="n"/>
      <c r="EHI287" s="1132" t="n"/>
      <c r="EHJ287" s="1132" t="n"/>
      <c r="EHK287" s="1132" t="n"/>
      <c r="EHL287" s="1132" t="n"/>
      <c r="EHM287" s="1132" t="n"/>
      <c r="EHN287" s="1132" t="n"/>
      <c r="EHO287" s="1132" t="n"/>
      <c r="EHP287" s="1132" t="n"/>
      <c r="EHQ287" s="1132" t="n"/>
      <c r="EHR287" s="1132" t="n"/>
      <c r="EHS287" s="1132" t="n"/>
      <c r="EHT287" s="1132" t="n"/>
      <c r="EHU287" s="1132" t="n"/>
      <c r="EHV287" s="1132" t="n"/>
      <c r="EHW287" s="1132" t="n"/>
      <c r="EHX287" s="1132" t="n"/>
      <c r="EHY287" s="1132" t="n"/>
      <c r="EHZ287" s="1132" t="n"/>
      <c r="EIA287" s="1132" t="n"/>
      <c r="EIB287" s="1132" t="n"/>
      <c r="EIC287" s="1132" t="n"/>
      <c r="EID287" s="1132" t="n"/>
      <c r="EIE287" s="1132" t="n"/>
      <c r="EIF287" s="1132" t="n"/>
      <c r="EIG287" s="1132" t="n"/>
      <c r="EIH287" s="1132" t="n"/>
      <c r="EII287" s="1132" t="n"/>
      <c r="EIJ287" s="1132" t="n"/>
      <c r="EIK287" s="1132" t="n"/>
      <c r="EIL287" s="1132" t="n"/>
      <c r="EIM287" s="1132" t="n"/>
      <c r="EIN287" s="1132" t="n"/>
      <c r="EIO287" s="1132" t="n"/>
      <c r="EIP287" s="1132" t="n"/>
      <c r="EIQ287" s="1132" t="n"/>
      <c r="EIR287" s="1132" t="n"/>
      <c r="EIS287" s="1132" t="n"/>
      <c r="EIT287" s="1132" t="n"/>
      <c r="EIU287" s="1132" t="n"/>
      <c r="EIV287" s="1132" t="n"/>
      <c r="EIW287" s="1132" t="n"/>
      <c r="EIX287" s="1132" t="n"/>
      <c r="EIY287" s="1132" t="n"/>
      <c r="EIZ287" s="1132" t="n"/>
      <c r="EJA287" s="1132" t="n"/>
      <c r="EJB287" s="1132" t="n"/>
      <c r="EJC287" s="1132" t="n"/>
      <c r="EJD287" s="1132" t="n"/>
      <c r="EJE287" s="1132" t="n"/>
      <c r="EJF287" s="1132" t="n"/>
      <c r="EJG287" s="1132" t="n"/>
      <c r="EJH287" s="1132" t="n"/>
      <c r="EJI287" s="1132" t="n"/>
      <c r="EJJ287" s="1132" t="n"/>
      <c r="EJK287" s="1132" t="n"/>
      <c r="EJL287" s="1132" t="n"/>
      <c r="EJM287" s="1132" t="n"/>
      <c r="EJN287" s="1132" t="n"/>
      <c r="EJO287" s="1132" t="n"/>
      <c r="EJP287" s="1132" t="n"/>
      <c r="EJQ287" s="1132" t="n"/>
      <c r="EJR287" s="1132" t="n"/>
      <c r="EJS287" s="1132" t="n"/>
      <c r="EJT287" s="1132" t="n"/>
      <c r="EJU287" s="1132" t="n"/>
      <c r="EJV287" s="1132" t="n"/>
      <c r="EJW287" s="1132" t="n"/>
      <c r="EJX287" s="1132" t="n"/>
      <c r="EJY287" s="1132" t="n"/>
      <c r="EJZ287" s="1132" t="n"/>
      <c r="EKA287" s="1132" t="n"/>
      <c r="EKB287" s="1132" t="n"/>
      <c r="EKC287" s="1132" t="n"/>
      <c r="EKD287" s="1132" t="n"/>
      <c r="EKE287" s="1132" t="n"/>
      <c r="EKF287" s="1132" t="n"/>
      <c r="EKG287" s="1132" t="n"/>
      <c r="EKH287" s="1132" t="n"/>
      <c r="EKI287" s="1132" t="n"/>
      <c r="EKJ287" s="1132" t="n"/>
      <c r="EKK287" s="1132" t="n"/>
      <c r="EKL287" s="1132" t="n"/>
      <c r="EKM287" s="1132" t="n"/>
      <c r="EKN287" s="1132" t="n"/>
      <c r="EKO287" s="1132" t="n"/>
      <c r="EKP287" s="1132" t="n"/>
      <c r="EKQ287" s="1132" t="n"/>
      <c r="EKR287" s="1132" t="n"/>
      <c r="EKS287" s="1132" t="n"/>
      <c r="EKT287" s="1132" t="n"/>
      <c r="EKU287" s="1132" t="n"/>
      <c r="EKV287" s="1132" t="n"/>
      <c r="EKW287" s="1132" t="n"/>
      <c r="EKX287" s="1132" t="n"/>
      <c r="EKY287" s="1132" t="n"/>
      <c r="EKZ287" s="1132" t="n"/>
      <c r="ELA287" s="1132" t="n"/>
      <c r="ELB287" s="1132" t="n"/>
      <c r="ELC287" s="1132" t="n"/>
      <c r="ELD287" s="1132" t="n"/>
      <c r="ELE287" s="1132" t="n"/>
      <c r="ELF287" s="1132" t="n"/>
      <c r="ELG287" s="1132" t="n"/>
      <c r="ELH287" s="1132" t="n"/>
      <c r="ELI287" s="1132" t="n"/>
      <c r="ELJ287" s="1132" t="n"/>
      <c r="ELK287" s="1132" t="n"/>
      <c r="ELL287" s="1132" t="n"/>
      <c r="ELM287" s="1132" t="n"/>
      <c r="ELN287" s="1132" t="n"/>
      <c r="ELO287" s="1132" t="n"/>
      <c r="ELP287" s="1132" t="n"/>
      <c r="ELQ287" s="1132" t="n"/>
      <c r="ELR287" s="1132" t="n"/>
      <c r="ELS287" s="1132" t="n"/>
      <c r="ELT287" s="1132" t="n"/>
      <c r="ELU287" s="1132" t="n"/>
      <c r="ELV287" s="1132" t="n"/>
      <c r="ELW287" s="1132" t="n"/>
      <c r="ELX287" s="1132" t="n"/>
      <c r="ELY287" s="1132" t="n"/>
      <c r="ELZ287" s="1132" t="n"/>
      <c r="EMA287" s="1132" t="n"/>
      <c r="EMB287" s="1132" t="n"/>
      <c r="EMC287" s="1132" t="n"/>
      <c r="EMD287" s="1132" t="n"/>
      <c r="EME287" s="1132" t="n"/>
      <c r="EMF287" s="1132" t="n"/>
      <c r="EMG287" s="1132" t="n"/>
      <c r="EMH287" s="1132" t="n"/>
      <c r="EMI287" s="1132" t="n"/>
      <c r="EMJ287" s="1132" t="n"/>
      <c r="EMK287" s="1132" t="n"/>
      <c r="EML287" s="1132" t="n"/>
      <c r="EMM287" s="1132" t="n"/>
      <c r="EMN287" s="1132" t="n"/>
      <c r="EMO287" s="1132" t="n"/>
      <c r="EMP287" s="1132" t="n"/>
      <c r="EMQ287" s="1132" t="n"/>
      <c r="EMR287" s="1132" t="n"/>
      <c r="EMS287" s="1132" t="n"/>
      <c r="EMT287" s="1132" t="n"/>
      <c r="EMU287" s="1132" t="n"/>
      <c r="EMV287" s="1132" t="n"/>
      <c r="EMW287" s="1132" t="n"/>
      <c r="EMX287" s="1132" t="n"/>
      <c r="EMY287" s="1132" t="n"/>
      <c r="EMZ287" s="1132" t="n"/>
      <c r="ENA287" s="1132" t="n"/>
      <c r="ENB287" s="1132" t="n"/>
      <c r="ENC287" s="1132" t="n"/>
      <c r="END287" s="1132" t="n"/>
      <c r="ENE287" s="1132" t="n"/>
      <c r="ENF287" s="1132" t="n"/>
      <c r="ENG287" s="1132" t="n"/>
      <c r="ENH287" s="1132" t="n"/>
      <c r="ENI287" s="1132" t="n"/>
      <c r="ENJ287" s="1132" t="n"/>
      <c r="ENK287" s="1132" t="n"/>
      <c r="ENL287" s="1132" t="n"/>
      <c r="ENM287" s="1132" t="n"/>
      <c r="ENN287" s="1132" t="n"/>
      <c r="ENO287" s="1132" t="n"/>
      <c r="ENP287" s="1132" t="n"/>
      <c r="ENQ287" s="1132" t="n"/>
      <c r="ENR287" s="1132" t="n"/>
      <c r="ENS287" s="1132" t="n"/>
      <c r="ENT287" s="1132" t="n"/>
      <c r="ENU287" s="1132" t="n"/>
      <c r="ENV287" s="1132" t="n"/>
      <c r="ENW287" s="1132" t="n"/>
      <c r="ENX287" s="1132" t="n"/>
      <c r="ENY287" s="1132" t="n"/>
      <c r="ENZ287" s="1132" t="n"/>
      <c r="EOA287" s="1132" t="n"/>
      <c r="EOB287" s="1132" t="n"/>
      <c r="EOC287" s="1132" t="n"/>
      <c r="EOD287" s="1132" t="n"/>
      <c r="EOE287" s="1132" t="n"/>
      <c r="EOF287" s="1132" t="n"/>
      <c r="EOG287" s="1132" t="n"/>
      <c r="EOH287" s="1132" t="n"/>
      <c r="EOI287" s="1132" t="n"/>
      <c r="EOJ287" s="1132" t="n"/>
      <c r="EOK287" s="1132" t="n"/>
      <c r="EOL287" s="1132" t="n"/>
      <c r="EOM287" s="1132" t="n"/>
      <c r="EON287" s="1132" t="n"/>
      <c r="EOO287" s="1132" t="n"/>
      <c r="EOP287" s="1132" t="n"/>
      <c r="EOQ287" s="1132" t="n"/>
      <c r="EOR287" s="1132" t="n"/>
      <c r="EOS287" s="1132" t="n"/>
      <c r="EOT287" s="1132" t="n"/>
      <c r="EOU287" s="1132" t="n"/>
      <c r="EOV287" s="1132" t="n"/>
      <c r="EOW287" s="1132" t="n"/>
      <c r="EOX287" s="1132" t="n"/>
      <c r="EOY287" s="1132" t="n"/>
      <c r="EOZ287" s="1132" t="n"/>
      <c r="EPA287" s="1132" t="n"/>
      <c r="EPB287" s="1132" t="n"/>
      <c r="EPC287" s="1132" t="n"/>
      <c r="EPD287" s="1132" t="n"/>
      <c r="EPE287" s="1132" t="n"/>
      <c r="EPF287" s="1132" t="n"/>
      <c r="EPG287" s="1132" t="n"/>
      <c r="EPH287" s="1132" t="n"/>
      <c r="EPI287" s="1132" t="n"/>
      <c r="EPJ287" s="1132" t="n"/>
      <c r="EPK287" s="1132" t="n"/>
      <c r="EPL287" s="1132" t="n"/>
      <c r="EPM287" s="1132" t="n"/>
      <c r="EPN287" s="1132" t="n"/>
      <c r="EPO287" s="1132" t="n"/>
      <c r="EPP287" s="1132" t="n"/>
      <c r="EPQ287" s="1132" t="n"/>
      <c r="EPR287" s="1132" t="n"/>
      <c r="EPS287" s="1132" t="n"/>
      <c r="EPT287" s="1132" t="n"/>
      <c r="EPU287" s="1132" t="n"/>
      <c r="EPV287" s="1132" t="n"/>
      <c r="EPW287" s="1132" t="n"/>
      <c r="EPX287" s="1132" t="n"/>
      <c r="EPY287" s="1132" t="n"/>
      <c r="EPZ287" s="1132" t="n"/>
      <c r="EQA287" s="1132" t="n"/>
      <c r="EQB287" s="1132" t="n"/>
      <c r="EQC287" s="1132" t="n"/>
      <c r="EQD287" s="1132" t="n"/>
      <c r="EQE287" s="1132" t="n"/>
      <c r="EQF287" s="1132" t="n"/>
      <c r="EQG287" s="1132" t="n"/>
      <c r="EQH287" s="1132" t="n"/>
      <c r="EQI287" s="1132" t="n"/>
      <c r="EQJ287" s="1132" t="n"/>
      <c r="EQK287" s="1132" t="n"/>
      <c r="EQL287" s="1132" t="n"/>
      <c r="EQM287" s="1132" t="n"/>
      <c r="EQN287" s="1132" t="n"/>
      <c r="EQO287" s="1132" t="n"/>
      <c r="EQP287" s="1132" t="n"/>
      <c r="EQQ287" s="1132" t="n"/>
      <c r="EQR287" s="1132" t="n"/>
      <c r="EQS287" s="1132" t="n"/>
      <c r="EQT287" s="1132" t="n"/>
      <c r="EQU287" s="1132" t="n"/>
      <c r="EQV287" s="1132" t="n"/>
      <c r="EQW287" s="1132" t="n"/>
      <c r="EQX287" s="1132" t="n"/>
      <c r="EQY287" s="1132" t="n"/>
      <c r="EQZ287" s="1132" t="n"/>
      <c r="ERA287" s="1132" t="n"/>
      <c r="ERB287" s="1132" t="n"/>
      <c r="ERC287" s="1132" t="n"/>
      <c r="ERD287" s="1132" t="n"/>
      <c r="ERE287" s="1132" t="n"/>
      <c r="ERF287" s="1132" t="n"/>
      <c r="ERG287" s="1132" t="n"/>
      <c r="ERH287" s="1132" t="n"/>
      <c r="ERI287" s="1132" t="n"/>
      <c r="ERJ287" s="1132" t="n"/>
      <c r="ERK287" s="1132" t="n"/>
      <c r="ERL287" s="1132" t="n"/>
      <c r="ERM287" s="1132" t="n"/>
      <c r="ERN287" s="1132" t="n"/>
      <c r="ERO287" s="1132" t="n"/>
      <c r="ERP287" s="1132" t="n"/>
      <c r="ERQ287" s="1132" t="n"/>
      <c r="ERR287" s="1132" t="n"/>
      <c r="ERS287" s="1132" t="n"/>
      <c r="ERT287" s="1132" t="n"/>
      <c r="ERU287" s="1132" t="n"/>
      <c r="ERV287" s="1132" t="n"/>
      <c r="ERW287" s="1132" t="n"/>
      <c r="ERX287" s="1132" t="n"/>
      <c r="ERY287" s="1132" t="n"/>
      <c r="ERZ287" s="1132" t="n"/>
      <c r="ESA287" s="1132" t="n"/>
      <c r="ESB287" s="1132" t="n"/>
      <c r="ESC287" s="1132" t="n"/>
      <c r="ESD287" s="1132" t="n"/>
      <c r="ESE287" s="1132" t="n"/>
      <c r="ESF287" s="1132" t="n"/>
      <c r="ESG287" s="1132" t="n"/>
      <c r="ESH287" s="1132" t="n"/>
      <c r="ESI287" s="1132" t="n"/>
      <c r="ESJ287" s="1132" t="n"/>
      <c r="ESK287" s="1132" t="n"/>
      <c r="ESL287" s="1132" t="n"/>
      <c r="ESM287" s="1132" t="n"/>
      <c r="ESN287" s="1132" t="n"/>
      <c r="ESO287" s="1132" t="n"/>
      <c r="ESP287" s="1132" t="n"/>
      <c r="ESQ287" s="1132" t="n"/>
      <c r="ESR287" s="1132" t="n"/>
      <c r="ESS287" s="1132" t="n"/>
      <c r="EST287" s="1132" t="n"/>
      <c r="ESU287" s="1132" t="n"/>
      <c r="ESV287" s="1132" t="n"/>
      <c r="ESW287" s="1132" t="n"/>
      <c r="ESX287" s="1132" t="n"/>
      <c r="ESY287" s="1132" t="n"/>
      <c r="ESZ287" s="1132" t="n"/>
      <c r="ETA287" s="1132" t="n"/>
      <c r="ETB287" s="1132" t="n"/>
      <c r="ETC287" s="1132" t="n"/>
      <c r="ETD287" s="1132" t="n"/>
      <c r="ETE287" s="1132" t="n"/>
      <c r="ETF287" s="1132" t="n"/>
      <c r="ETG287" s="1132" t="n"/>
      <c r="ETH287" s="1132" t="n"/>
      <c r="ETI287" s="1132" t="n"/>
      <c r="ETJ287" s="1132" t="n"/>
      <c r="ETK287" s="1132" t="n"/>
      <c r="ETL287" s="1132" t="n"/>
      <c r="ETM287" s="1132" t="n"/>
      <c r="ETN287" s="1132" t="n"/>
      <c r="ETO287" s="1132" t="n"/>
      <c r="ETP287" s="1132" t="n"/>
      <c r="ETQ287" s="1132" t="n"/>
      <c r="ETR287" s="1132" t="n"/>
      <c r="ETS287" s="1132" t="n"/>
      <c r="ETT287" s="1132" t="n"/>
      <c r="ETU287" s="1132" t="n"/>
      <c r="ETV287" s="1132" t="n"/>
      <c r="ETW287" s="1132" t="n"/>
      <c r="ETX287" s="1132" t="n"/>
      <c r="ETY287" s="1132" t="n"/>
      <c r="ETZ287" s="1132" t="n"/>
      <c r="EUA287" s="1132" t="n"/>
      <c r="EUB287" s="1132" t="n"/>
      <c r="EUC287" s="1132" t="n"/>
      <c r="EUD287" s="1132" t="n"/>
      <c r="EUE287" s="1132" t="n"/>
      <c r="EUF287" s="1132" t="n"/>
      <c r="EUG287" s="1132" t="n"/>
      <c r="EUH287" s="1132" t="n"/>
      <c r="EUI287" s="1132" t="n"/>
      <c r="EUJ287" s="1132" t="n"/>
      <c r="EUK287" s="1132" t="n"/>
      <c r="EUL287" s="1132" t="n"/>
      <c r="EUM287" s="1132" t="n"/>
      <c r="EUN287" s="1132" t="n"/>
      <c r="EUO287" s="1132" t="n"/>
      <c r="EUP287" s="1132" t="n"/>
      <c r="EUQ287" s="1132" t="n"/>
      <c r="EUR287" s="1132" t="n"/>
      <c r="EUS287" s="1132" t="n"/>
      <c r="EUT287" s="1132" t="n"/>
      <c r="EUU287" s="1132" t="n"/>
      <c r="EUV287" s="1132" t="n"/>
      <c r="EUW287" s="1132" t="n"/>
      <c r="EUX287" s="1132" t="n"/>
      <c r="EUY287" s="1132" t="n"/>
      <c r="EUZ287" s="1132" t="n"/>
      <c r="EVA287" s="1132" t="n"/>
      <c r="EVB287" s="1132" t="n"/>
      <c r="EVC287" s="1132" t="n"/>
      <c r="EVD287" s="1132" t="n"/>
      <c r="EVE287" s="1132" t="n"/>
      <c r="EVF287" s="1132" t="n"/>
      <c r="EVG287" s="1132" t="n"/>
      <c r="EVH287" s="1132" t="n"/>
      <c r="EVI287" s="1132" t="n"/>
      <c r="EVJ287" s="1132" t="n"/>
      <c r="EVK287" s="1132" t="n"/>
      <c r="EVL287" s="1132" t="n"/>
      <c r="EVM287" s="1132" t="n"/>
      <c r="EVN287" s="1132" t="n"/>
      <c r="EVO287" s="1132" t="n"/>
      <c r="EVP287" s="1132" t="n"/>
      <c r="EVQ287" s="1132" t="n"/>
      <c r="EVR287" s="1132" t="n"/>
      <c r="EVS287" s="1132" t="n"/>
      <c r="EVT287" s="1132" t="n"/>
      <c r="EVU287" s="1132" t="n"/>
      <c r="EVV287" s="1132" t="n"/>
      <c r="EVW287" s="1132" t="n"/>
      <c r="EVX287" s="1132" t="n"/>
      <c r="EVY287" s="1132" t="n"/>
      <c r="EVZ287" s="1132" t="n"/>
      <c r="EWA287" s="1132" t="n"/>
      <c r="EWB287" s="1132" t="n"/>
      <c r="EWC287" s="1132" t="n"/>
      <c r="EWD287" s="1132" t="n"/>
      <c r="EWE287" s="1132" t="n"/>
      <c r="EWF287" s="1132" t="n"/>
      <c r="EWG287" s="1132" t="n"/>
      <c r="EWH287" s="1132" t="n"/>
      <c r="EWI287" s="1132" t="n"/>
      <c r="EWJ287" s="1132" t="n"/>
      <c r="EWK287" s="1132" t="n"/>
      <c r="EWL287" s="1132" t="n"/>
      <c r="EWM287" s="1132" t="n"/>
      <c r="EWN287" s="1132" t="n"/>
      <c r="EWO287" s="1132" t="n"/>
      <c r="EWP287" s="1132" t="n"/>
      <c r="EWQ287" s="1132" t="n"/>
      <c r="EWR287" s="1132" t="n"/>
      <c r="EWS287" s="1132" t="n"/>
      <c r="EWT287" s="1132" t="n"/>
      <c r="EWU287" s="1132" t="n"/>
      <c r="EWV287" s="1132" t="n"/>
      <c r="EWW287" s="1132" t="n"/>
      <c r="EWX287" s="1132" t="n"/>
      <c r="EWY287" s="1132" t="n"/>
      <c r="EWZ287" s="1132" t="n"/>
      <c r="EXA287" s="1132" t="n"/>
      <c r="EXB287" s="1132" t="n"/>
      <c r="EXC287" s="1132" t="n"/>
      <c r="EXD287" s="1132" t="n"/>
      <c r="EXE287" s="1132" t="n"/>
      <c r="EXF287" s="1132" t="n"/>
      <c r="EXG287" s="1132" t="n"/>
      <c r="EXH287" s="1132" t="n"/>
      <c r="EXI287" s="1132" t="n"/>
      <c r="EXJ287" s="1132" t="n"/>
      <c r="EXK287" s="1132" t="n"/>
      <c r="EXL287" s="1132" t="n"/>
      <c r="EXM287" s="1132" t="n"/>
      <c r="EXN287" s="1132" t="n"/>
      <c r="EXO287" s="1132" t="n"/>
      <c r="EXP287" s="1132" t="n"/>
      <c r="EXQ287" s="1132" t="n"/>
      <c r="EXR287" s="1132" t="n"/>
      <c r="EXS287" s="1132" t="n"/>
      <c r="EXT287" s="1132" t="n"/>
      <c r="EXU287" s="1132" t="n"/>
      <c r="EXV287" s="1132" t="n"/>
      <c r="EXW287" s="1132" t="n"/>
      <c r="EXX287" s="1132" t="n"/>
      <c r="EXY287" s="1132" t="n"/>
      <c r="EXZ287" s="1132" t="n"/>
      <c r="EYA287" s="1132" t="n"/>
      <c r="EYB287" s="1132" t="n"/>
      <c r="EYC287" s="1132" t="n"/>
      <c r="EYD287" s="1132" t="n"/>
      <c r="EYE287" s="1132" t="n"/>
      <c r="EYF287" s="1132" t="n"/>
      <c r="EYG287" s="1132" t="n"/>
      <c r="EYH287" s="1132" t="n"/>
      <c r="EYI287" s="1132" t="n"/>
      <c r="EYJ287" s="1132" t="n"/>
      <c r="EYK287" s="1132" t="n"/>
      <c r="EYL287" s="1132" t="n"/>
      <c r="EYM287" s="1132" t="n"/>
      <c r="EYN287" s="1132" t="n"/>
      <c r="EYO287" s="1132" t="n"/>
      <c r="EYP287" s="1132" t="n"/>
      <c r="EYQ287" s="1132" t="n"/>
      <c r="EYR287" s="1132" t="n"/>
      <c r="EYS287" s="1132" t="n"/>
      <c r="EYT287" s="1132" t="n"/>
      <c r="EYU287" s="1132" t="n"/>
      <c r="EYV287" s="1132" t="n"/>
      <c r="EYW287" s="1132" t="n"/>
      <c r="EYX287" s="1132" t="n"/>
      <c r="EYY287" s="1132" t="n"/>
      <c r="EYZ287" s="1132" t="n"/>
      <c r="EZA287" s="1132" t="n"/>
      <c r="EZB287" s="1132" t="n"/>
      <c r="EZC287" s="1132" t="n"/>
      <c r="EZD287" s="1132" t="n"/>
      <c r="EZE287" s="1132" t="n"/>
      <c r="EZF287" s="1132" t="n"/>
      <c r="EZG287" s="1132" t="n"/>
      <c r="EZH287" s="1132" t="n"/>
      <c r="EZI287" s="1132" t="n"/>
      <c r="EZJ287" s="1132" t="n"/>
      <c r="EZK287" s="1132" t="n"/>
      <c r="EZL287" s="1132" t="n"/>
      <c r="EZM287" s="1132" t="n"/>
      <c r="EZN287" s="1132" t="n"/>
      <c r="EZO287" s="1132" t="n"/>
      <c r="EZP287" s="1132" t="n"/>
      <c r="EZQ287" s="1132" t="n"/>
      <c r="EZR287" s="1132" t="n"/>
      <c r="EZS287" s="1132" t="n"/>
      <c r="EZT287" s="1132" t="n"/>
      <c r="EZU287" s="1132" t="n"/>
      <c r="EZV287" s="1132" t="n"/>
      <c r="EZW287" s="1132" t="n"/>
      <c r="EZX287" s="1132" t="n"/>
      <c r="EZY287" s="1132" t="n"/>
      <c r="EZZ287" s="1132" t="n"/>
      <c r="FAA287" s="1132" t="n"/>
      <c r="FAB287" s="1132" t="n"/>
      <c r="FAC287" s="1132" t="n"/>
      <c r="FAD287" s="1132" t="n"/>
      <c r="FAE287" s="1132" t="n"/>
      <c r="FAF287" s="1132" t="n"/>
      <c r="FAG287" s="1132" t="n"/>
      <c r="FAH287" s="1132" t="n"/>
      <c r="FAI287" s="1132" t="n"/>
      <c r="FAJ287" s="1132" t="n"/>
      <c r="FAK287" s="1132" t="n"/>
      <c r="FAL287" s="1132" t="n"/>
      <c r="FAM287" s="1132" t="n"/>
      <c r="FAN287" s="1132" t="n"/>
      <c r="FAO287" s="1132" t="n"/>
      <c r="FAP287" s="1132" t="n"/>
      <c r="FAQ287" s="1132" t="n"/>
      <c r="FAR287" s="1132" t="n"/>
      <c r="FAS287" s="1132" t="n"/>
      <c r="FAT287" s="1132" t="n"/>
      <c r="FAU287" s="1132" t="n"/>
      <c r="FAV287" s="1132" t="n"/>
      <c r="FAW287" s="1132" t="n"/>
      <c r="FAX287" s="1132" t="n"/>
      <c r="FAY287" s="1132" t="n"/>
      <c r="FAZ287" s="1132" t="n"/>
      <c r="FBA287" s="1132" t="n"/>
      <c r="FBB287" s="1132" t="n"/>
      <c r="FBC287" s="1132" t="n"/>
      <c r="FBD287" s="1132" t="n"/>
      <c r="FBE287" s="1132" t="n"/>
      <c r="FBF287" s="1132" t="n"/>
      <c r="FBG287" s="1132" t="n"/>
      <c r="FBH287" s="1132" t="n"/>
      <c r="FBI287" s="1132" t="n"/>
      <c r="FBJ287" s="1132" t="n"/>
      <c r="FBK287" s="1132" t="n"/>
      <c r="FBL287" s="1132" t="n"/>
      <c r="FBM287" s="1132" t="n"/>
      <c r="FBN287" s="1132" t="n"/>
      <c r="FBO287" s="1132" t="n"/>
      <c r="FBP287" s="1132" t="n"/>
      <c r="FBQ287" s="1132" t="n"/>
      <c r="FBR287" s="1132" t="n"/>
      <c r="FBS287" s="1132" t="n"/>
      <c r="FBT287" s="1132" t="n"/>
      <c r="FBU287" s="1132" t="n"/>
      <c r="FBV287" s="1132" t="n"/>
      <c r="FBW287" s="1132" t="n"/>
      <c r="FBX287" s="1132" t="n"/>
      <c r="FBY287" s="1132" t="n"/>
      <c r="FBZ287" s="1132" t="n"/>
      <c r="FCA287" s="1132" t="n"/>
      <c r="FCB287" s="1132" t="n"/>
      <c r="FCC287" s="1132" t="n"/>
      <c r="FCD287" s="1132" t="n"/>
      <c r="FCE287" s="1132" t="n"/>
      <c r="FCF287" s="1132" t="n"/>
      <c r="FCG287" s="1132" t="n"/>
      <c r="FCH287" s="1132" t="n"/>
      <c r="FCI287" s="1132" t="n"/>
      <c r="FCJ287" s="1132" t="n"/>
      <c r="FCK287" s="1132" t="n"/>
      <c r="FCL287" s="1132" t="n"/>
      <c r="FCM287" s="1132" t="n"/>
      <c r="FCN287" s="1132" t="n"/>
      <c r="FCO287" s="1132" t="n"/>
      <c r="FCP287" s="1132" t="n"/>
      <c r="FCQ287" s="1132" t="n"/>
      <c r="FCR287" s="1132" t="n"/>
      <c r="FCS287" s="1132" t="n"/>
      <c r="FCT287" s="1132" t="n"/>
      <c r="FCU287" s="1132" t="n"/>
      <c r="FCV287" s="1132" t="n"/>
      <c r="FCW287" s="1132" t="n"/>
      <c r="FCX287" s="1132" t="n"/>
      <c r="FCY287" s="1132" t="n"/>
      <c r="FCZ287" s="1132" t="n"/>
      <c r="FDA287" s="1132" t="n"/>
      <c r="FDB287" s="1132" t="n"/>
      <c r="FDC287" s="1132" t="n"/>
      <c r="FDD287" s="1132" t="n"/>
      <c r="FDE287" s="1132" t="n"/>
      <c r="FDF287" s="1132" t="n"/>
      <c r="FDG287" s="1132" t="n"/>
      <c r="FDH287" s="1132" t="n"/>
      <c r="FDI287" s="1132" t="n"/>
      <c r="FDJ287" s="1132" t="n"/>
      <c r="FDK287" s="1132" t="n"/>
      <c r="FDL287" s="1132" t="n"/>
      <c r="FDM287" s="1132" t="n"/>
      <c r="FDN287" s="1132" t="n"/>
      <c r="FDO287" s="1132" t="n"/>
      <c r="FDP287" s="1132" t="n"/>
      <c r="FDQ287" s="1132" t="n"/>
      <c r="FDR287" s="1132" t="n"/>
      <c r="FDS287" s="1132" t="n"/>
      <c r="FDT287" s="1132" t="n"/>
      <c r="FDU287" s="1132" t="n"/>
      <c r="FDV287" s="1132" t="n"/>
      <c r="FDW287" s="1132" t="n"/>
      <c r="FDX287" s="1132" t="n"/>
      <c r="FDY287" s="1132" t="n"/>
      <c r="FDZ287" s="1132" t="n"/>
      <c r="FEA287" s="1132" t="n"/>
      <c r="FEB287" s="1132" t="n"/>
      <c r="FEC287" s="1132" t="n"/>
      <c r="FED287" s="1132" t="n"/>
      <c r="FEE287" s="1132" t="n"/>
      <c r="FEF287" s="1132" t="n"/>
      <c r="FEG287" s="1132" t="n"/>
      <c r="FEH287" s="1132" t="n"/>
      <c r="FEI287" s="1132" t="n"/>
      <c r="FEJ287" s="1132" t="n"/>
      <c r="FEK287" s="1132" t="n"/>
      <c r="FEL287" s="1132" t="n"/>
      <c r="FEM287" s="1132" t="n"/>
      <c r="FEN287" s="1132" t="n"/>
      <c r="FEO287" s="1132" t="n"/>
      <c r="FEP287" s="1132" t="n"/>
      <c r="FEQ287" s="1132" t="n"/>
      <c r="FER287" s="1132" t="n"/>
      <c r="FES287" s="1132" t="n"/>
      <c r="FET287" s="1132" t="n"/>
      <c r="FEU287" s="1132" t="n"/>
      <c r="FEV287" s="1132" t="n"/>
      <c r="FEW287" s="1132" t="n"/>
      <c r="FEX287" s="1132" t="n"/>
      <c r="FEY287" s="1132" t="n"/>
      <c r="FEZ287" s="1132" t="n"/>
      <c r="FFA287" s="1132" t="n"/>
      <c r="FFB287" s="1132" t="n"/>
      <c r="FFC287" s="1132" t="n"/>
      <c r="FFD287" s="1132" t="n"/>
      <c r="FFE287" s="1132" t="n"/>
      <c r="FFF287" s="1132" t="n"/>
      <c r="FFG287" s="1132" t="n"/>
      <c r="FFH287" s="1132" t="n"/>
      <c r="FFI287" s="1132" t="n"/>
      <c r="FFJ287" s="1132" t="n"/>
      <c r="FFK287" s="1132" t="n"/>
      <c r="FFL287" s="1132" t="n"/>
      <c r="FFM287" s="1132" t="n"/>
      <c r="FFN287" s="1132" t="n"/>
      <c r="FFO287" s="1132" t="n"/>
      <c r="FFP287" s="1132" t="n"/>
      <c r="FFQ287" s="1132" t="n"/>
      <c r="FFR287" s="1132" t="n"/>
      <c r="FFS287" s="1132" t="n"/>
      <c r="FFT287" s="1132" t="n"/>
      <c r="FFU287" s="1132" t="n"/>
      <c r="FFV287" s="1132" t="n"/>
      <c r="FFW287" s="1132" t="n"/>
      <c r="FFX287" s="1132" t="n"/>
      <c r="FFY287" s="1132" t="n"/>
      <c r="FFZ287" s="1132" t="n"/>
      <c r="FGA287" s="1132" t="n"/>
      <c r="FGB287" s="1132" t="n"/>
      <c r="FGC287" s="1132" t="n"/>
      <c r="FGD287" s="1132" t="n"/>
      <c r="FGE287" s="1132" t="n"/>
      <c r="FGF287" s="1132" t="n"/>
      <c r="FGG287" s="1132" t="n"/>
      <c r="FGH287" s="1132" t="n"/>
      <c r="FGI287" s="1132" t="n"/>
      <c r="FGJ287" s="1132" t="n"/>
      <c r="FGK287" s="1132" t="n"/>
      <c r="FGL287" s="1132" t="n"/>
      <c r="FGM287" s="1132" t="n"/>
      <c r="FGN287" s="1132" t="n"/>
      <c r="FGO287" s="1132" t="n"/>
      <c r="FGP287" s="1132" t="n"/>
      <c r="FGQ287" s="1132" t="n"/>
      <c r="FGR287" s="1132" t="n"/>
      <c r="FGS287" s="1132" t="n"/>
      <c r="FGT287" s="1132" t="n"/>
      <c r="FGU287" s="1132" t="n"/>
      <c r="FGV287" s="1132" t="n"/>
      <c r="FGW287" s="1132" t="n"/>
      <c r="FGX287" s="1132" t="n"/>
      <c r="FGY287" s="1132" t="n"/>
      <c r="FGZ287" s="1132" t="n"/>
      <c r="FHA287" s="1132" t="n"/>
      <c r="FHB287" s="1132" t="n"/>
      <c r="FHC287" s="1132" t="n"/>
      <c r="FHD287" s="1132" t="n"/>
      <c r="FHE287" s="1132" t="n"/>
      <c r="FHF287" s="1132" t="n"/>
      <c r="FHG287" s="1132" t="n"/>
      <c r="FHH287" s="1132" t="n"/>
      <c r="FHI287" s="1132" t="n"/>
      <c r="FHJ287" s="1132" t="n"/>
      <c r="FHK287" s="1132" t="n"/>
      <c r="FHL287" s="1132" t="n"/>
      <c r="FHM287" s="1132" t="n"/>
      <c r="FHN287" s="1132" t="n"/>
      <c r="FHO287" s="1132" t="n"/>
      <c r="FHP287" s="1132" t="n"/>
      <c r="FHQ287" s="1132" t="n"/>
      <c r="FHR287" s="1132" t="n"/>
      <c r="FHS287" s="1132" t="n"/>
      <c r="FHT287" s="1132" t="n"/>
      <c r="FHU287" s="1132" t="n"/>
      <c r="FHV287" s="1132" t="n"/>
      <c r="FHW287" s="1132" t="n"/>
      <c r="FHX287" s="1132" t="n"/>
      <c r="FHY287" s="1132" t="n"/>
      <c r="FHZ287" s="1132" t="n"/>
      <c r="FIA287" s="1132" t="n"/>
      <c r="FIB287" s="1132" t="n"/>
      <c r="FIC287" s="1132" t="n"/>
      <c r="FID287" s="1132" t="n"/>
      <c r="FIE287" s="1132" t="n"/>
      <c r="FIF287" s="1132" t="n"/>
      <c r="FIG287" s="1132" t="n"/>
      <c r="FIH287" s="1132" t="n"/>
      <c r="FII287" s="1132" t="n"/>
      <c r="FIJ287" s="1132" t="n"/>
      <c r="FIK287" s="1132" t="n"/>
      <c r="FIL287" s="1132" t="n"/>
      <c r="FIM287" s="1132" t="n"/>
      <c r="FIN287" s="1132" t="n"/>
      <c r="FIO287" s="1132" t="n"/>
      <c r="FIP287" s="1132" t="n"/>
      <c r="FIQ287" s="1132" t="n"/>
      <c r="FIR287" s="1132" t="n"/>
      <c r="FIS287" s="1132" t="n"/>
      <c r="FIT287" s="1132" t="n"/>
      <c r="FIU287" s="1132" t="n"/>
      <c r="FIV287" s="1132" t="n"/>
      <c r="FIW287" s="1132" t="n"/>
      <c r="FIX287" s="1132" t="n"/>
      <c r="FIY287" s="1132" t="n"/>
      <c r="FIZ287" s="1132" t="n"/>
      <c r="FJA287" s="1132" t="n"/>
      <c r="FJB287" s="1132" t="n"/>
      <c r="FJC287" s="1132" t="n"/>
      <c r="FJD287" s="1132" t="n"/>
      <c r="FJE287" s="1132" t="n"/>
      <c r="FJF287" s="1132" t="n"/>
      <c r="FJG287" s="1132" t="n"/>
      <c r="FJH287" s="1132" t="n"/>
      <c r="FJI287" s="1132" t="n"/>
      <c r="FJJ287" s="1132" t="n"/>
      <c r="FJK287" s="1132" t="n"/>
      <c r="FJL287" s="1132" t="n"/>
      <c r="FJM287" s="1132" t="n"/>
      <c r="FJN287" s="1132" t="n"/>
      <c r="FJO287" s="1132" t="n"/>
      <c r="FJP287" s="1132" t="n"/>
      <c r="FJQ287" s="1132" t="n"/>
      <c r="FJR287" s="1132" t="n"/>
      <c r="FJS287" s="1132" t="n"/>
      <c r="FJT287" s="1132" t="n"/>
      <c r="FJU287" s="1132" t="n"/>
      <c r="FJV287" s="1132" t="n"/>
      <c r="FJW287" s="1132" t="n"/>
      <c r="FJX287" s="1132" t="n"/>
      <c r="FJY287" s="1132" t="n"/>
      <c r="FJZ287" s="1132" t="n"/>
      <c r="FKA287" s="1132" t="n"/>
      <c r="FKB287" s="1132" t="n"/>
      <c r="FKC287" s="1132" t="n"/>
      <c r="FKD287" s="1132" t="n"/>
      <c r="FKE287" s="1132" t="n"/>
      <c r="FKF287" s="1132" t="n"/>
      <c r="FKG287" s="1132" t="n"/>
      <c r="FKH287" s="1132" t="n"/>
      <c r="FKI287" s="1132" t="n"/>
      <c r="FKJ287" s="1132" t="n"/>
      <c r="FKK287" s="1132" t="n"/>
      <c r="FKL287" s="1132" t="n"/>
      <c r="FKM287" s="1132" t="n"/>
      <c r="FKN287" s="1132" t="n"/>
      <c r="FKO287" s="1132" t="n"/>
      <c r="FKP287" s="1132" t="n"/>
      <c r="FKQ287" s="1132" t="n"/>
      <c r="FKR287" s="1132" t="n"/>
      <c r="FKS287" s="1132" t="n"/>
      <c r="FKT287" s="1132" t="n"/>
      <c r="FKU287" s="1132" t="n"/>
      <c r="FKV287" s="1132" t="n"/>
      <c r="FKW287" s="1132" t="n"/>
      <c r="FKX287" s="1132" t="n"/>
      <c r="FKY287" s="1132" t="n"/>
      <c r="FKZ287" s="1132" t="n"/>
      <c r="FLA287" s="1132" t="n"/>
      <c r="FLB287" s="1132" t="n"/>
      <c r="FLC287" s="1132" t="n"/>
      <c r="FLD287" s="1132" t="n"/>
      <c r="FLE287" s="1132" t="n"/>
      <c r="FLF287" s="1132" t="n"/>
      <c r="FLG287" s="1132" t="n"/>
      <c r="FLH287" s="1132" t="n"/>
      <c r="FLI287" s="1132" t="n"/>
      <c r="FLJ287" s="1132" t="n"/>
      <c r="FLK287" s="1132" t="n"/>
      <c r="FLL287" s="1132" t="n"/>
      <c r="FLM287" s="1132" t="n"/>
      <c r="FLN287" s="1132" t="n"/>
      <c r="FLO287" s="1132" t="n"/>
      <c r="FLP287" s="1132" t="n"/>
      <c r="FLQ287" s="1132" t="n"/>
      <c r="FLR287" s="1132" t="n"/>
      <c r="FLS287" s="1132" t="n"/>
      <c r="FLT287" s="1132" t="n"/>
      <c r="FLU287" s="1132" t="n"/>
      <c r="FLV287" s="1132" t="n"/>
      <c r="FLW287" s="1132" t="n"/>
      <c r="FLX287" s="1132" t="n"/>
      <c r="FLY287" s="1132" t="n"/>
      <c r="FLZ287" s="1132" t="n"/>
      <c r="FMA287" s="1132" t="n"/>
      <c r="FMB287" s="1132" t="n"/>
      <c r="FMC287" s="1132" t="n"/>
      <c r="FMD287" s="1132" t="n"/>
      <c r="FME287" s="1132" t="n"/>
      <c r="FMF287" s="1132" t="n"/>
      <c r="FMG287" s="1132" t="n"/>
      <c r="FMH287" s="1132" t="n"/>
      <c r="FMI287" s="1132" t="n"/>
      <c r="FMJ287" s="1132" t="n"/>
      <c r="FMK287" s="1132" t="n"/>
      <c r="FML287" s="1132" t="n"/>
      <c r="FMM287" s="1132" t="n"/>
      <c r="FMN287" s="1132" t="n"/>
      <c r="FMO287" s="1132" t="n"/>
      <c r="FMP287" s="1132" t="n"/>
      <c r="FMQ287" s="1132" t="n"/>
      <c r="FMR287" s="1132" t="n"/>
      <c r="FMS287" s="1132" t="n"/>
      <c r="FMT287" s="1132" t="n"/>
      <c r="FMU287" s="1132" t="n"/>
      <c r="FMV287" s="1132" t="n"/>
      <c r="FMW287" s="1132" t="n"/>
      <c r="FMX287" s="1132" t="n"/>
      <c r="FMY287" s="1132" t="n"/>
      <c r="FMZ287" s="1132" t="n"/>
      <c r="FNA287" s="1132" t="n"/>
      <c r="FNB287" s="1132" t="n"/>
      <c r="FNC287" s="1132" t="n"/>
      <c r="FND287" s="1132" t="n"/>
      <c r="FNE287" s="1132" t="n"/>
      <c r="FNF287" s="1132" t="n"/>
      <c r="FNG287" s="1132" t="n"/>
      <c r="FNH287" s="1132" t="n"/>
      <c r="FNI287" s="1132" t="n"/>
      <c r="FNJ287" s="1132" t="n"/>
      <c r="FNK287" s="1132" t="n"/>
      <c r="FNL287" s="1132" t="n"/>
      <c r="FNM287" s="1132" t="n"/>
      <c r="FNN287" s="1132" t="n"/>
      <c r="FNO287" s="1132" t="n"/>
      <c r="FNP287" s="1132" t="n"/>
      <c r="FNQ287" s="1132" t="n"/>
      <c r="FNR287" s="1132" t="n"/>
      <c r="FNS287" s="1132" t="n"/>
      <c r="FNT287" s="1132" t="n"/>
      <c r="FNU287" s="1132" t="n"/>
      <c r="FNV287" s="1132" t="n"/>
      <c r="FNW287" s="1132" t="n"/>
      <c r="FNX287" s="1132" t="n"/>
      <c r="FNY287" s="1132" t="n"/>
      <c r="FNZ287" s="1132" t="n"/>
      <c r="FOA287" s="1132" t="n"/>
      <c r="FOB287" s="1132" t="n"/>
      <c r="FOC287" s="1132" t="n"/>
      <c r="FOD287" s="1132" t="n"/>
      <c r="FOE287" s="1132" t="n"/>
      <c r="FOF287" s="1132" t="n"/>
      <c r="FOG287" s="1132" t="n"/>
      <c r="FOH287" s="1132" t="n"/>
      <c r="FOI287" s="1132" t="n"/>
      <c r="FOJ287" s="1132" t="n"/>
      <c r="FOK287" s="1132" t="n"/>
      <c r="FOL287" s="1132" t="n"/>
      <c r="FOM287" s="1132" t="n"/>
      <c r="FON287" s="1132" t="n"/>
      <c r="FOO287" s="1132" t="n"/>
      <c r="FOP287" s="1132" t="n"/>
      <c r="FOQ287" s="1132" t="n"/>
      <c r="FOR287" s="1132" t="n"/>
      <c r="FOS287" s="1132" t="n"/>
      <c r="FOT287" s="1132" t="n"/>
      <c r="FOU287" s="1132" t="n"/>
      <c r="FOV287" s="1132" t="n"/>
      <c r="FOW287" s="1132" t="n"/>
      <c r="FOX287" s="1132" t="n"/>
      <c r="FOY287" s="1132" t="n"/>
      <c r="FOZ287" s="1132" t="n"/>
      <c r="FPA287" s="1132" t="n"/>
      <c r="FPB287" s="1132" t="n"/>
      <c r="FPC287" s="1132" t="n"/>
      <c r="FPD287" s="1132" t="n"/>
      <c r="FPE287" s="1132" t="n"/>
      <c r="FPF287" s="1132" t="n"/>
      <c r="FPG287" s="1132" t="n"/>
      <c r="FPH287" s="1132" t="n"/>
      <c r="FPI287" s="1132" t="n"/>
      <c r="FPJ287" s="1132" t="n"/>
      <c r="FPK287" s="1132" t="n"/>
      <c r="FPL287" s="1132" t="n"/>
      <c r="FPM287" s="1132" t="n"/>
      <c r="FPN287" s="1132" t="n"/>
      <c r="FPO287" s="1132" t="n"/>
      <c r="FPP287" s="1132" t="n"/>
      <c r="FPQ287" s="1132" t="n"/>
      <c r="FPR287" s="1132" t="n"/>
      <c r="FPS287" s="1132" t="n"/>
      <c r="FPT287" s="1132" t="n"/>
      <c r="FPU287" s="1132" t="n"/>
      <c r="FPV287" s="1132" t="n"/>
      <c r="FPW287" s="1132" t="n"/>
      <c r="FPX287" s="1132" t="n"/>
      <c r="FPY287" s="1132" t="n"/>
      <c r="FPZ287" s="1132" t="n"/>
      <c r="FQA287" s="1132" t="n"/>
      <c r="FQB287" s="1132" t="n"/>
      <c r="FQC287" s="1132" t="n"/>
      <c r="FQD287" s="1132" t="n"/>
      <c r="FQE287" s="1132" t="n"/>
      <c r="FQF287" s="1132" t="n"/>
      <c r="FQG287" s="1132" t="n"/>
      <c r="FQH287" s="1132" t="n"/>
      <c r="FQI287" s="1132" t="n"/>
      <c r="FQJ287" s="1132" t="n"/>
      <c r="FQK287" s="1132" t="n"/>
      <c r="FQL287" s="1132" t="n"/>
      <c r="FQM287" s="1132" t="n"/>
      <c r="FQN287" s="1132" t="n"/>
      <c r="FQO287" s="1132" t="n"/>
      <c r="FQP287" s="1132" t="n"/>
      <c r="FQQ287" s="1132" t="n"/>
      <c r="FQR287" s="1132" t="n"/>
      <c r="FQS287" s="1132" t="n"/>
      <c r="FQT287" s="1132" t="n"/>
      <c r="FQU287" s="1132" t="n"/>
      <c r="FQV287" s="1132" t="n"/>
      <c r="FQW287" s="1132" t="n"/>
      <c r="FQX287" s="1132" t="n"/>
      <c r="FQY287" s="1132" t="n"/>
      <c r="FQZ287" s="1132" t="n"/>
      <c r="FRA287" s="1132" t="n"/>
      <c r="FRB287" s="1132" t="n"/>
      <c r="FRC287" s="1132" t="n"/>
      <c r="FRD287" s="1132" t="n"/>
      <c r="FRE287" s="1132" t="n"/>
      <c r="FRF287" s="1132" t="n"/>
      <c r="FRG287" s="1132" t="n"/>
      <c r="FRH287" s="1132" t="n"/>
      <c r="FRI287" s="1132" t="n"/>
      <c r="FRJ287" s="1132" t="n"/>
      <c r="FRK287" s="1132" t="n"/>
      <c r="FRL287" s="1132" t="n"/>
      <c r="FRM287" s="1132" t="n"/>
      <c r="FRN287" s="1132" t="n"/>
      <c r="FRO287" s="1132" t="n"/>
      <c r="FRP287" s="1132" t="n"/>
      <c r="FRQ287" s="1132" t="n"/>
      <c r="FRR287" s="1132" t="n"/>
      <c r="FRS287" s="1132" t="n"/>
      <c r="FRT287" s="1132" t="n"/>
      <c r="FRU287" s="1132" t="n"/>
      <c r="FRV287" s="1132" t="n"/>
      <c r="FRW287" s="1132" t="n"/>
      <c r="FRX287" s="1132" t="n"/>
      <c r="FRY287" s="1132" t="n"/>
      <c r="FRZ287" s="1132" t="n"/>
      <c r="FSA287" s="1132" t="n"/>
      <c r="FSB287" s="1132" t="n"/>
      <c r="FSC287" s="1132" t="n"/>
      <c r="FSD287" s="1132" t="n"/>
      <c r="FSE287" s="1132" t="n"/>
      <c r="FSF287" s="1132" t="n"/>
      <c r="FSG287" s="1132" t="n"/>
      <c r="FSH287" s="1132" t="n"/>
      <c r="FSI287" s="1132" t="n"/>
      <c r="FSJ287" s="1132" t="n"/>
      <c r="FSK287" s="1132" t="n"/>
      <c r="FSL287" s="1132" t="n"/>
      <c r="FSM287" s="1132" t="n"/>
      <c r="FSN287" s="1132" t="n"/>
      <c r="FSO287" s="1132" t="n"/>
      <c r="FSP287" s="1132" t="n"/>
      <c r="FSQ287" s="1132" t="n"/>
      <c r="FSR287" s="1132" t="n"/>
      <c r="FSS287" s="1132" t="n"/>
      <c r="FST287" s="1132" t="n"/>
      <c r="FSU287" s="1132" t="n"/>
      <c r="FSV287" s="1132" t="n"/>
      <c r="FSW287" s="1132" t="n"/>
      <c r="FSX287" s="1132" t="n"/>
      <c r="FSY287" s="1132" t="n"/>
      <c r="FSZ287" s="1132" t="n"/>
      <c r="FTA287" s="1132" t="n"/>
      <c r="FTB287" s="1132" t="n"/>
      <c r="FTC287" s="1132" t="n"/>
      <c r="FTD287" s="1132" t="n"/>
      <c r="FTE287" s="1132" t="n"/>
      <c r="FTF287" s="1132" t="n"/>
      <c r="FTG287" s="1132" t="n"/>
      <c r="FTH287" s="1132" t="n"/>
      <c r="FTI287" s="1132" t="n"/>
      <c r="FTJ287" s="1132" t="n"/>
      <c r="FTK287" s="1132" t="n"/>
      <c r="FTL287" s="1132" t="n"/>
      <c r="FTM287" s="1132" t="n"/>
      <c r="FTN287" s="1132" t="n"/>
      <c r="FTO287" s="1132" t="n"/>
      <c r="FTP287" s="1132" t="n"/>
      <c r="FTQ287" s="1132" t="n"/>
      <c r="FTR287" s="1132" t="n"/>
      <c r="FTS287" s="1132" t="n"/>
      <c r="FTT287" s="1132" t="n"/>
      <c r="FTU287" s="1132" t="n"/>
      <c r="FTV287" s="1132" t="n"/>
      <c r="FTW287" s="1132" t="n"/>
      <c r="FTX287" s="1132" t="n"/>
      <c r="FTY287" s="1132" t="n"/>
      <c r="FTZ287" s="1132" t="n"/>
      <c r="FUA287" s="1132" t="n"/>
      <c r="FUB287" s="1132" t="n"/>
      <c r="FUC287" s="1132" t="n"/>
      <c r="FUD287" s="1132" t="n"/>
      <c r="FUE287" s="1132" t="n"/>
      <c r="FUF287" s="1132" t="n"/>
      <c r="FUG287" s="1132" t="n"/>
      <c r="FUH287" s="1132" t="n"/>
      <c r="FUI287" s="1132" t="n"/>
      <c r="FUJ287" s="1132" t="n"/>
      <c r="FUK287" s="1132" t="n"/>
      <c r="FUL287" s="1132" t="n"/>
      <c r="FUM287" s="1132" t="n"/>
      <c r="FUN287" s="1132" t="n"/>
      <c r="FUO287" s="1132" t="n"/>
      <c r="FUP287" s="1132" t="n"/>
      <c r="FUQ287" s="1132" t="n"/>
      <c r="FUR287" s="1132" t="n"/>
      <c r="FUS287" s="1132" t="n"/>
      <c r="FUT287" s="1132" t="n"/>
      <c r="FUU287" s="1132" t="n"/>
      <c r="FUV287" s="1132" t="n"/>
      <c r="FUW287" s="1132" t="n"/>
      <c r="FUX287" s="1132" t="n"/>
      <c r="FUY287" s="1132" t="n"/>
      <c r="FUZ287" s="1132" t="n"/>
      <c r="FVA287" s="1132" t="n"/>
      <c r="FVB287" s="1132" t="n"/>
      <c r="FVC287" s="1132" t="n"/>
      <c r="FVD287" s="1132" t="n"/>
      <c r="FVE287" s="1132" t="n"/>
      <c r="FVF287" s="1132" t="n"/>
      <c r="FVG287" s="1132" t="n"/>
      <c r="FVH287" s="1132" t="n"/>
      <c r="FVI287" s="1132" t="n"/>
      <c r="FVJ287" s="1132" t="n"/>
      <c r="FVK287" s="1132" t="n"/>
      <c r="FVL287" s="1132" t="n"/>
      <c r="FVM287" s="1132" t="n"/>
      <c r="FVN287" s="1132" t="n"/>
      <c r="FVO287" s="1132" t="n"/>
      <c r="FVP287" s="1132" t="n"/>
      <c r="FVQ287" s="1132" t="n"/>
      <c r="FVR287" s="1132" t="n"/>
      <c r="FVS287" s="1132" t="n"/>
      <c r="FVT287" s="1132" t="n"/>
      <c r="FVU287" s="1132" t="n"/>
      <c r="FVV287" s="1132" t="n"/>
      <c r="FVW287" s="1132" t="n"/>
      <c r="FVX287" s="1132" t="n"/>
      <c r="FVY287" s="1132" t="n"/>
      <c r="FVZ287" s="1132" t="n"/>
      <c r="FWA287" s="1132" t="n"/>
      <c r="FWB287" s="1132" t="n"/>
      <c r="FWC287" s="1132" t="n"/>
      <c r="FWD287" s="1132" t="n"/>
      <c r="FWE287" s="1132" t="n"/>
      <c r="FWF287" s="1132" t="n"/>
      <c r="FWG287" s="1132" t="n"/>
      <c r="FWH287" s="1132" t="n"/>
      <c r="FWI287" s="1132" t="n"/>
      <c r="FWJ287" s="1132" t="n"/>
      <c r="FWK287" s="1132" t="n"/>
      <c r="FWL287" s="1132" t="n"/>
      <c r="FWM287" s="1132" t="n"/>
      <c r="FWN287" s="1132" t="n"/>
      <c r="FWO287" s="1132" t="n"/>
      <c r="FWP287" s="1132" t="n"/>
      <c r="FWQ287" s="1132" t="n"/>
      <c r="FWR287" s="1132" t="n"/>
      <c r="FWS287" s="1132" t="n"/>
      <c r="FWT287" s="1132" t="n"/>
      <c r="FWU287" s="1132" t="n"/>
      <c r="FWV287" s="1132" t="n"/>
      <c r="FWW287" s="1132" t="n"/>
      <c r="FWX287" s="1132" t="n"/>
      <c r="FWY287" s="1132" t="n"/>
      <c r="FWZ287" s="1132" t="n"/>
      <c r="FXA287" s="1132" t="n"/>
      <c r="FXB287" s="1132" t="n"/>
      <c r="FXC287" s="1132" t="n"/>
      <c r="FXD287" s="1132" t="n"/>
      <c r="FXE287" s="1132" t="n"/>
      <c r="FXF287" s="1132" t="n"/>
      <c r="FXG287" s="1132" t="n"/>
      <c r="FXH287" s="1132" t="n"/>
      <c r="FXI287" s="1132" t="n"/>
      <c r="FXJ287" s="1132" t="n"/>
      <c r="FXK287" s="1132" t="n"/>
      <c r="FXL287" s="1132" t="n"/>
      <c r="FXM287" s="1132" t="n"/>
      <c r="FXN287" s="1132" t="n"/>
      <c r="FXO287" s="1132" t="n"/>
      <c r="FXP287" s="1132" t="n"/>
      <c r="FXQ287" s="1132" t="n"/>
      <c r="FXR287" s="1132" t="n"/>
      <c r="FXS287" s="1132" t="n"/>
      <c r="FXT287" s="1132" t="n"/>
      <c r="FXU287" s="1132" t="n"/>
      <c r="FXV287" s="1132" t="n"/>
      <c r="FXW287" s="1132" t="n"/>
      <c r="FXX287" s="1132" t="n"/>
      <c r="FXY287" s="1132" t="n"/>
      <c r="FXZ287" s="1132" t="n"/>
      <c r="FYA287" s="1132" t="n"/>
      <c r="FYB287" s="1132" t="n"/>
      <c r="FYC287" s="1132" t="n"/>
      <c r="FYD287" s="1132" t="n"/>
      <c r="FYE287" s="1132" t="n"/>
      <c r="FYF287" s="1132" t="n"/>
      <c r="FYG287" s="1132" t="n"/>
      <c r="FYH287" s="1132" t="n"/>
      <c r="FYI287" s="1132" t="n"/>
      <c r="FYJ287" s="1132" t="n"/>
      <c r="FYK287" s="1132" t="n"/>
      <c r="FYL287" s="1132" t="n"/>
      <c r="FYM287" s="1132" t="n"/>
      <c r="FYN287" s="1132" t="n"/>
      <c r="FYO287" s="1132" t="n"/>
      <c r="FYP287" s="1132" t="n"/>
      <c r="FYQ287" s="1132" t="n"/>
      <c r="FYR287" s="1132" t="n"/>
      <c r="FYS287" s="1132" t="n"/>
      <c r="FYT287" s="1132" t="n"/>
      <c r="FYU287" s="1132" t="n"/>
      <c r="FYV287" s="1132" t="n"/>
      <c r="FYW287" s="1132" t="n"/>
      <c r="FYX287" s="1132" t="n"/>
      <c r="FYY287" s="1132" t="n"/>
      <c r="FYZ287" s="1132" t="n"/>
      <c r="FZA287" s="1132" t="n"/>
      <c r="FZB287" s="1132" t="n"/>
      <c r="FZC287" s="1132" t="n"/>
      <c r="FZD287" s="1132" t="n"/>
      <c r="FZE287" s="1132" t="n"/>
      <c r="FZF287" s="1132" t="n"/>
      <c r="FZG287" s="1132" t="n"/>
      <c r="FZH287" s="1132" t="n"/>
      <c r="FZI287" s="1132" t="n"/>
      <c r="FZJ287" s="1132" t="n"/>
      <c r="FZK287" s="1132" t="n"/>
      <c r="FZL287" s="1132" t="n"/>
      <c r="FZM287" s="1132" t="n"/>
      <c r="FZN287" s="1132" t="n"/>
      <c r="FZO287" s="1132" t="n"/>
      <c r="FZP287" s="1132" t="n"/>
      <c r="FZQ287" s="1132" t="n"/>
      <c r="FZR287" s="1132" t="n"/>
      <c r="FZS287" s="1132" t="n"/>
      <c r="FZT287" s="1132" t="n"/>
      <c r="FZU287" s="1132" t="n"/>
      <c r="FZV287" s="1132" t="n"/>
      <c r="FZW287" s="1132" t="n"/>
      <c r="FZX287" s="1132" t="n"/>
      <c r="FZY287" s="1132" t="n"/>
      <c r="FZZ287" s="1132" t="n"/>
      <c r="GAA287" s="1132" t="n"/>
      <c r="GAB287" s="1132" t="n"/>
      <c r="GAC287" s="1132" t="n"/>
      <c r="GAD287" s="1132" t="n"/>
      <c r="GAE287" s="1132" t="n"/>
      <c r="GAF287" s="1132" t="n"/>
      <c r="GAG287" s="1132" t="n"/>
      <c r="GAH287" s="1132" t="n"/>
      <c r="GAI287" s="1132" t="n"/>
      <c r="GAJ287" s="1132" t="n"/>
      <c r="GAK287" s="1132" t="n"/>
      <c r="GAL287" s="1132" t="n"/>
      <c r="GAM287" s="1132" t="n"/>
      <c r="GAN287" s="1132" t="n"/>
      <c r="GAO287" s="1132" t="n"/>
      <c r="GAP287" s="1132" t="n"/>
      <c r="GAQ287" s="1132" t="n"/>
      <c r="GAR287" s="1132" t="n"/>
      <c r="GAS287" s="1132" t="n"/>
      <c r="GAT287" s="1132" t="n"/>
      <c r="GAU287" s="1132" t="n"/>
      <c r="GAV287" s="1132" t="n"/>
      <c r="GAW287" s="1132" t="n"/>
      <c r="GAX287" s="1132" t="n"/>
      <c r="GAY287" s="1132" t="n"/>
      <c r="GAZ287" s="1132" t="n"/>
      <c r="GBA287" s="1132" t="n"/>
      <c r="GBB287" s="1132" t="n"/>
      <c r="GBC287" s="1132" t="n"/>
      <c r="GBD287" s="1132" t="n"/>
      <c r="GBE287" s="1132" t="n"/>
      <c r="GBF287" s="1132" t="n"/>
      <c r="GBG287" s="1132" t="n"/>
      <c r="GBH287" s="1132" t="n"/>
      <c r="GBI287" s="1132" t="n"/>
      <c r="GBJ287" s="1132" t="n"/>
      <c r="GBK287" s="1132" t="n"/>
      <c r="GBL287" s="1132" t="n"/>
      <c r="GBM287" s="1132" t="n"/>
      <c r="GBN287" s="1132" t="n"/>
      <c r="GBO287" s="1132" t="n"/>
      <c r="GBP287" s="1132" t="n"/>
      <c r="GBQ287" s="1132" t="n"/>
      <c r="GBR287" s="1132" t="n"/>
      <c r="GBS287" s="1132" t="n"/>
      <c r="GBT287" s="1132" t="n"/>
      <c r="GBU287" s="1132" t="n"/>
      <c r="GBV287" s="1132" t="n"/>
      <c r="GBW287" s="1132" t="n"/>
      <c r="GBX287" s="1132" t="n"/>
      <c r="GBY287" s="1132" t="n"/>
      <c r="GBZ287" s="1132" t="n"/>
      <c r="GCA287" s="1132" t="n"/>
      <c r="GCB287" s="1132" t="n"/>
      <c r="GCC287" s="1132" t="n"/>
      <c r="GCD287" s="1132" t="n"/>
      <c r="GCE287" s="1132" t="n"/>
      <c r="GCF287" s="1132" t="n"/>
      <c r="GCG287" s="1132" t="n"/>
      <c r="GCH287" s="1132" t="n"/>
      <c r="GCI287" s="1132" t="n"/>
      <c r="GCJ287" s="1132" t="n"/>
      <c r="GCK287" s="1132" t="n"/>
      <c r="GCL287" s="1132" t="n"/>
      <c r="GCM287" s="1132" t="n"/>
      <c r="GCN287" s="1132" t="n"/>
      <c r="GCO287" s="1132" t="n"/>
      <c r="GCP287" s="1132" t="n"/>
      <c r="GCQ287" s="1132" t="n"/>
      <c r="GCR287" s="1132" t="n"/>
      <c r="GCS287" s="1132" t="n"/>
      <c r="GCT287" s="1132" t="n"/>
      <c r="GCU287" s="1132" t="n"/>
      <c r="GCV287" s="1132" t="n"/>
      <c r="GCW287" s="1132" t="n"/>
      <c r="GCX287" s="1132" t="n"/>
      <c r="GCY287" s="1132" t="n"/>
      <c r="GCZ287" s="1132" t="n"/>
      <c r="GDA287" s="1132" t="n"/>
      <c r="GDB287" s="1132" t="n"/>
      <c r="GDC287" s="1132" t="n"/>
      <c r="GDD287" s="1132" t="n"/>
      <c r="GDE287" s="1132" t="n"/>
      <c r="GDF287" s="1132" t="n"/>
      <c r="GDG287" s="1132" t="n"/>
      <c r="GDH287" s="1132" t="n"/>
      <c r="GDI287" s="1132" t="n"/>
      <c r="GDJ287" s="1132" t="n"/>
      <c r="GDK287" s="1132" t="n"/>
      <c r="GDL287" s="1132" t="n"/>
      <c r="GDM287" s="1132" t="n"/>
      <c r="GDN287" s="1132" t="n"/>
      <c r="GDO287" s="1132" t="n"/>
      <c r="GDP287" s="1132" t="n"/>
      <c r="GDQ287" s="1132" t="n"/>
      <c r="GDR287" s="1132" t="n"/>
      <c r="GDS287" s="1132" t="n"/>
      <c r="GDT287" s="1132" t="n"/>
      <c r="GDU287" s="1132" t="n"/>
      <c r="GDV287" s="1132" t="n"/>
      <c r="GDW287" s="1132" t="n"/>
      <c r="GDX287" s="1132" t="n"/>
      <c r="GDY287" s="1132" t="n"/>
      <c r="GDZ287" s="1132" t="n"/>
      <c r="GEA287" s="1132" t="n"/>
      <c r="GEB287" s="1132" t="n"/>
      <c r="GEC287" s="1132" t="n"/>
      <c r="GED287" s="1132" t="n"/>
      <c r="GEE287" s="1132" t="n"/>
      <c r="GEF287" s="1132" t="n"/>
      <c r="GEG287" s="1132" t="n"/>
      <c r="GEH287" s="1132" t="n"/>
      <c r="GEI287" s="1132" t="n"/>
      <c r="GEJ287" s="1132" t="n"/>
      <c r="GEK287" s="1132" t="n"/>
      <c r="GEL287" s="1132" t="n"/>
      <c r="GEM287" s="1132" t="n"/>
      <c r="GEN287" s="1132" t="n"/>
      <c r="GEO287" s="1132" t="n"/>
      <c r="GEP287" s="1132" t="n"/>
      <c r="GEQ287" s="1132" t="n"/>
      <c r="GER287" s="1132" t="n"/>
      <c r="GES287" s="1132" t="n"/>
      <c r="GET287" s="1132" t="n"/>
      <c r="GEU287" s="1132" t="n"/>
      <c r="GEV287" s="1132" t="n"/>
      <c r="GEW287" s="1132" t="n"/>
      <c r="GEX287" s="1132" t="n"/>
      <c r="GEY287" s="1132" t="n"/>
      <c r="GEZ287" s="1132" t="n"/>
      <c r="GFA287" s="1132" t="n"/>
      <c r="GFB287" s="1132" t="n"/>
      <c r="GFC287" s="1132" t="n"/>
      <c r="GFD287" s="1132" t="n"/>
      <c r="GFE287" s="1132" t="n"/>
      <c r="GFF287" s="1132" t="n"/>
      <c r="GFG287" s="1132" t="n"/>
      <c r="GFH287" s="1132" t="n"/>
      <c r="GFI287" s="1132" t="n"/>
      <c r="GFJ287" s="1132" t="n"/>
      <c r="GFK287" s="1132" t="n"/>
      <c r="GFL287" s="1132" t="n"/>
      <c r="GFM287" s="1132" t="n"/>
      <c r="GFN287" s="1132" t="n"/>
      <c r="GFO287" s="1132" t="n"/>
      <c r="GFP287" s="1132" t="n"/>
      <c r="GFQ287" s="1132" t="n"/>
      <c r="GFR287" s="1132" t="n"/>
      <c r="GFS287" s="1132" t="n"/>
      <c r="GFT287" s="1132" t="n"/>
      <c r="GFU287" s="1132" t="n"/>
      <c r="GFV287" s="1132" t="n"/>
      <c r="GFW287" s="1132" t="n"/>
      <c r="GFX287" s="1132" t="n"/>
      <c r="GFY287" s="1132" t="n"/>
      <c r="GFZ287" s="1132" t="n"/>
      <c r="GGA287" s="1132" t="n"/>
      <c r="GGB287" s="1132" t="n"/>
      <c r="GGC287" s="1132" t="n"/>
      <c r="GGD287" s="1132" t="n"/>
      <c r="GGE287" s="1132" t="n"/>
      <c r="GGF287" s="1132" t="n"/>
      <c r="GGG287" s="1132" t="n"/>
      <c r="GGH287" s="1132" t="n"/>
      <c r="GGI287" s="1132" t="n"/>
      <c r="GGJ287" s="1132" t="n"/>
      <c r="GGK287" s="1132" t="n"/>
      <c r="GGL287" s="1132" t="n"/>
      <c r="GGM287" s="1132" t="n"/>
      <c r="GGN287" s="1132" t="n"/>
      <c r="GGO287" s="1132" t="n"/>
      <c r="GGP287" s="1132" t="n"/>
      <c r="GGQ287" s="1132" t="n"/>
      <c r="GGR287" s="1132" t="n"/>
      <c r="GGS287" s="1132" t="n"/>
      <c r="GGT287" s="1132" t="n"/>
      <c r="GGU287" s="1132" t="n"/>
      <c r="GGV287" s="1132" t="n"/>
      <c r="GGW287" s="1132" t="n"/>
      <c r="GGX287" s="1132" t="n"/>
      <c r="GGY287" s="1132" t="n"/>
      <c r="GGZ287" s="1132" t="n"/>
      <c r="GHA287" s="1132" t="n"/>
      <c r="GHB287" s="1132" t="n"/>
      <c r="GHC287" s="1132" t="n"/>
      <c r="GHD287" s="1132" t="n"/>
      <c r="GHE287" s="1132" t="n"/>
      <c r="GHF287" s="1132" t="n"/>
      <c r="GHG287" s="1132" t="n"/>
      <c r="GHH287" s="1132" t="n"/>
      <c r="GHI287" s="1132" t="n"/>
      <c r="GHJ287" s="1132" t="n"/>
      <c r="GHK287" s="1132" t="n"/>
      <c r="GHL287" s="1132" t="n"/>
      <c r="GHM287" s="1132" t="n"/>
      <c r="GHN287" s="1132" t="n"/>
      <c r="GHO287" s="1132" t="n"/>
      <c r="GHP287" s="1132" t="n"/>
      <c r="GHQ287" s="1132" t="n"/>
      <c r="GHR287" s="1132" t="n"/>
      <c r="GHS287" s="1132" t="n"/>
      <c r="GHT287" s="1132" t="n"/>
      <c r="GHU287" s="1132" t="n"/>
      <c r="GHV287" s="1132" t="n"/>
      <c r="GHW287" s="1132" t="n"/>
      <c r="GHX287" s="1132" t="n"/>
      <c r="GHY287" s="1132" t="n"/>
      <c r="GHZ287" s="1132" t="n"/>
      <c r="GIA287" s="1132" t="n"/>
      <c r="GIB287" s="1132" t="n"/>
      <c r="GIC287" s="1132" t="n"/>
      <c r="GID287" s="1132" t="n"/>
      <c r="GIE287" s="1132" t="n"/>
      <c r="GIF287" s="1132" t="n"/>
      <c r="GIG287" s="1132" t="n"/>
      <c r="GIH287" s="1132" t="n"/>
      <c r="GII287" s="1132" t="n"/>
      <c r="GIJ287" s="1132" t="n"/>
      <c r="GIK287" s="1132" t="n"/>
      <c r="GIL287" s="1132" t="n"/>
      <c r="GIM287" s="1132" t="n"/>
      <c r="GIN287" s="1132" t="n"/>
      <c r="GIO287" s="1132" t="n"/>
      <c r="GIP287" s="1132" t="n"/>
      <c r="GIQ287" s="1132" t="n"/>
      <c r="GIR287" s="1132" t="n"/>
      <c r="GIS287" s="1132" t="n"/>
      <c r="GIT287" s="1132" t="n"/>
      <c r="GIU287" s="1132" t="n"/>
      <c r="GIV287" s="1132" t="n"/>
      <c r="GIW287" s="1132" t="n"/>
      <c r="GIX287" s="1132" t="n"/>
      <c r="GIY287" s="1132" t="n"/>
      <c r="GIZ287" s="1132" t="n"/>
      <c r="GJA287" s="1132" t="n"/>
      <c r="GJB287" s="1132" t="n"/>
      <c r="GJC287" s="1132" t="n"/>
      <c r="GJD287" s="1132" t="n"/>
      <c r="GJE287" s="1132" t="n"/>
      <c r="GJF287" s="1132" t="n"/>
      <c r="GJG287" s="1132" t="n"/>
      <c r="GJH287" s="1132" t="n"/>
      <c r="GJI287" s="1132" t="n"/>
      <c r="GJJ287" s="1132" t="n"/>
      <c r="GJK287" s="1132" t="n"/>
      <c r="GJL287" s="1132" t="n"/>
      <c r="GJM287" s="1132" t="n"/>
      <c r="GJN287" s="1132" t="n"/>
      <c r="GJO287" s="1132" t="n"/>
      <c r="GJP287" s="1132" t="n"/>
      <c r="GJQ287" s="1132" t="n"/>
      <c r="GJR287" s="1132" t="n"/>
      <c r="GJS287" s="1132" t="n"/>
      <c r="GJT287" s="1132" t="n"/>
      <c r="GJU287" s="1132" t="n"/>
      <c r="GJV287" s="1132" t="n"/>
      <c r="GJW287" s="1132" t="n"/>
      <c r="GJX287" s="1132" t="n"/>
      <c r="GJY287" s="1132" t="n"/>
      <c r="GJZ287" s="1132" t="n"/>
      <c r="GKA287" s="1132" t="n"/>
      <c r="GKB287" s="1132" t="n"/>
      <c r="GKC287" s="1132" t="n"/>
      <c r="GKD287" s="1132" t="n"/>
      <c r="GKE287" s="1132" t="n"/>
      <c r="GKF287" s="1132" t="n"/>
      <c r="GKG287" s="1132" t="n"/>
      <c r="GKH287" s="1132" t="n"/>
      <c r="GKI287" s="1132" t="n"/>
      <c r="GKJ287" s="1132" t="n"/>
      <c r="GKK287" s="1132" t="n"/>
      <c r="GKL287" s="1132" t="n"/>
      <c r="GKM287" s="1132" t="n"/>
      <c r="GKN287" s="1132" t="n"/>
      <c r="GKO287" s="1132" t="n"/>
      <c r="GKP287" s="1132" t="n"/>
      <c r="GKQ287" s="1132" t="n"/>
      <c r="GKR287" s="1132" t="n"/>
      <c r="GKS287" s="1132" t="n"/>
      <c r="GKT287" s="1132" t="n"/>
      <c r="GKU287" s="1132" t="n"/>
      <c r="GKV287" s="1132" t="n"/>
      <c r="GKW287" s="1132" t="n"/>
      <c r="GKX287" s="1132" t="n"/>
      <c r="GKY287" s="1132" t="n"/>
      <c r="GKZ287" s="1132" t="n"/>
      <c r="GLA287" s="1132" t="n"/>
      <c r="GLB287" s="1132" t="n"/>
      <c r="GLC287" s="1132" t="n"/>
      <c r="GLD287" s="1132" t="n"/>
      <c r="GLE287" s="1132" t="n"/>
      <c r="GLF287" s="1132" t="n"/>
      <c r="GLG287" s="1132" t="n"/>
      <c r="GLH287" s="1132" t="n"/>
      <c r="GLI287" s="1132" t="n"/>
      <c r="GLJ287" s="1132" t="n"/>
      <c r="GLK287" s="1132" t="n"/>
      <c r="GLL287" s="1132" t="n"/>
      <c r="GLM287" s="1132" t="n"/>
      <c r="GLN287" s="1132" t="n"/>
      <c r="GLO287" s="1132" t="n"/>
      <c r="GLP287" s="1132" t="n"/>
      <c r="GLQ287" s="1132" t="n"/>
      <c r="GLR287" s="1132" t="n"/>
      <c r="GLS287" s="1132" t="n"/>
      <c r="GLT287" s="1132" t="n"/>
      <c r="GLU287" s="1132" t="n"/>
      <c r="GLV287" s="1132" t="n"/>
      <c r="GLW287" s="1132" t="n"/>
      <c r="GLX287" s="1132" t="n"/>
      <c r="GLY287" s="1132" t="n"/>
      <c r="GLZ287" s="1132" t="n"/>
      <c r="GMA287" s="1132" t="n"/>
      <c r="GMB287" s="1132" t="n"/>
      <c r="GMC287" s="1132" t="n"/>
      <c r="GMD287" s="1132" t="n"/>
      <c r="GME287" s="1132" t="n"/>
      <c r="GMF287" s="1132" t="n"/>
      <c r="GMG287" s="1132" t="n"/>
      <c r="GMH287" s="1132" t="n"/>
      <c r="GMI287" s="1132" t="n"/>
      <c r="GMJ287" s="1132" t="n"/>
      <c r="GMK287" s="1132" t="n"/>
      <c r="GML287" s="1132" t="n"/>
      <c r="GMM287" s="1132" t="n"/>
      <c r="GMN287" s="1132" t="n"/>
      <c r="GMO287" s="1132" t="n"/>
      <c r="GMP287" s="1132" t="n"/>
      <c r="GMQ287" s="1132" t="n"/>
      <c r="GMR287" s="1132" t="n"/>
      <c r="GMS287" s="1132" t="n"/>
      <c r="GMT287" s="1132" t="n"/>
      <c r="GMU287" s="1132" t="n"/>
      <c r="GMV287" s="1132" t="n"/>
      <c r="GMW287" s="1132" t="n"/>
      <c r="GMX287" s="1132" t="n"/>
      <c r="GMY287" s="1132" t="n"/>
      <c r="GMZ287" s="1132" t="n"/>
      <c r="GNA287" s="1132" t="n"/>
      <c r="GNB287" s="1132" t="n"/>
      <c r="GNC287" s="1132" t="n"/>
      <c r="GND287" s="1132" t="n"/>
      <c r="GNE287" s="1132" t="n"/>
      <c r="GNF287" s="1132" t="n"/>
      <c r="GNG287" s="1132" t="n"/>
      <c r="GNH287" s="1132" t="n"/>
      <c r="GNI287" s="1132" t="n"/>
      <c r="GNJ287" s="1132" t="n"/>
      <c r="GNK287" s="1132" t="n"/>
      <c r="GNL287" s="1132" t="n"/>
      <c r="GNM287" s="1132" t="n"/>
      <c r="GNN287" s="1132" t="n"/>
      <c r="GNO287" s="1132" t="n"/>
      <c r="GNP287" s="1132" t="n"/>
      <c r="GNQ287" s="1132" t="n"/>
      <c r="GNR287" s="1132" t="n"/>
      <c r="GNS287" s="1132" t="n"/>
      <c r="GNT287" s="1132" t="n"/>
      <c r="GNU287" s="1132" t="n"/>
      <c r="GNV287" s="1132" t="n"/>
      <c r="GNW287" s="1132" t="n"/>
      <c r="GNX287" s="1132" t="n"/>
      <c r="GNY287" s="1132" t="n"/>
      <c r="GNZ287" s="1132" t="n"/>
      <c r="GOA287" s="1132" t="n"/>
      <c r="GOB287" s="1132" t="n"/>
      <c r="GOC287" s="1132" t="n"/>
      <c r="GOD287" s="1132" t="n"/>
      <c r="GOE287" s="1132" t="n"/>
      <c r="GOF287" s="1132" t="n"/>
      <c r="GOG287" s="1132" t="n"/>
      <c r="GOH287" s="1132" t="n"/>
      <c r="GOI287" s="1132" t="n"/>
      <c r="GOJ287" s="1132" t="n"/>
      <c r="GOK287" s="1132" t="n"/>
      <c r="GOL287" s="1132" t="n"/>
      <c r="GOM287" s="1132" t="n"/>
      <c r="GON287" s="1132" t="n"/>
      <c r="GOO287" s="1132" t="n"/>
      <c r="GOP287" s="1132" t="n"/>
      <c r="GOQ287" s="1132" t="n"/>
      <c r="GOR287" s="1132" t="n"/>
      <c r="GOS287" s="1132" t="n"/>
      <c r="GOT287" s="1132" t="n"/>
      <c r="GOU287" s="1132" t="n"/>
      <c r="GOV287" s="1132" t="n"/>
      <c r="GOW287" s="1132" t="n"/>
      <c r="GOX287" s="1132" t="n"/>
      <c r="GOY287" s="1132" t="n"/>
      <c r="GOZ287" s="1132" t="n"/>
      <c r="GPA287" s="1132" t="n"/>
      <c r="GPB287" s="1132" t="n"/>
      <c r="GPC287" s="1132" t="n"/>
      <c r="GPD287" s="1132" t="n"/>
      <c r="GPE287" s="1132" t="n"/>
      <c r="GPF287" s="1132" t="n"/>
      <c r="GPG287" s="1132" t="n"/>
      <c r="GPH287" s="1132" t="n"/>
      <c r="GPI287" s="1132" t="n"/>
      <c r="GPJ287" s="1132" t="n"/>
      <c r="GPK287" s="1132" t="n"/>
      <c r="GPL287" s="1132" t="n"/>
      <c r="GPM287" s="1132" t="n"/>
      <c r="GPN287" s="1132" t="n"/>
      <c r="GPO287" s="1132" t="n"/>
      <c r="GPP287" s="1132" t="n"/>
      <c r="GPQ287" s="1132" t="n"/>
      <c r="GPR287" s="1132" t="n"/>
      <c r="GPS287" s="1132" t="n"/>
      <c r="GPT287" s="1132" t="n"/>
      <c r="GPU287" s="1132" t="n"/>
      <c r="GPV287" s="1132" t="n"/>
      <c r="GPW287" s="1132" t="n"/>
      <c r="GPX287" s="1132" t="n"/>
      <c r="GPY287" s="1132" t="n"/>
      <c r="GPZ287" s="1132" t="n"/>
      <c r="GQA287" s="1132" t="n"/>
      <c r="GQB287" s="1132" t="n"/>
      <c r="GQC287" s="1132" t="n"/>
      <c r="GQD287" s="1132" t="n"/>
      <c r="GQE287" s="1132" t="n"/>
      <c r="GQF287" s="1132" t="n"/>
      <c r="GQG287" s="1132" t="n"/>
      <c r="GQH287" s="1132" t="n"/>
      <c r="GQI287" s="1132" t="n"/>
      <c r="GQJ287" s="1132" t="n"/>
      <c r="GQK287" s="1132" t="n"/>
      <c r="GQL287" s="1132" t="n"/>
      <c r="GQM287" s="1132" t="n"/>
      <c r="GQN287" s="1132" t="n"/>
      <c r="GQO287" s="1132" t="n"/>
      <c r="GQP287" s="1132" t="n"/>
      <c r="GQQ287" s="1132" t="n"/>
      <c r="GQR287" s="1132" t="n"/>
      <c r="GQS287" s="1132" t="n"/>
      <c r="GQT287" s="1132" t="n"/>
      <c r="GQU287" s="1132" t="n"/>
      <c r="GQV287" s="1132" t="n"/>
      <c r="GQW287" s="1132" t="n"/>
      <c r="GQX287" s="1132" t="n"/>
      <c r="GQY287" s="1132" t="n"/>
      <c r="GQZ287" s="1132" t="n"/>
      <c r="GRA287" s="1132" t="n"/>
      <c r="GRB287" s="1132" t="n"/>
      <c r="GRC287" s="1132" t="n"/>
      <c r="GRD287" s="1132" t="n"/>
      <c r="GRE287" s="1132" t="n"/>
      <c r="GRF287" s="1132" t="n"/>
      <c r="GRG287" s="1132" t="n"/>
      <c r="GRH287" s="1132" t="n"/>
      <c r="GRI287" s="1132" t="n"/>
      <c r="GRJ287" s="1132" t="n"/>
      <c r="GRK287" s="1132" t="n"/>
      <c r="GRL287" s="1132" t="n"/>
      <c r="GRM287" s="1132" t="n"/>
      <c r="GRN287" s="1132" t="n"/>
      <c r="GRO287" s="1132" t="n"/>
      <c r="GRP287" s="1132" t="n"/>
      <c r="GRQ287" s="1132" t="n"/>
      <c r="GRR287" s="1132" t="n"/>
      <c r="GRS287" s="1132" t="n"/>
      <c r="GRT287" s="1132" t="n"/>
      <c r="GRU287" s="1132" t="n"/>
      <c r="GRV287" s="1132" t="n"/>
      <c r="GRW287" s="1132" t="n"/>
      <c r="GRX287" s="1132" t="n"/>
      <c r="GRY287" s="1132" t="n"/>
      <c r="GRZ287" s="1132" t="n"/>
      <c r="GSA287" s="1132" t="n"/>
      <c r="GSB287" s="1132" t="n"/>
      <c r="GSC287" s="1132" t="n"/>
      <c r="GSD287" s="1132" t="n"/>
      <c r="GSE287" s="1132" t="n"/>
      <c r="GSF287" s="1132" t="n"/>
      <c r="GSG287" s="1132" t="n"/>
      <c r="GSH287" s="1132" t="n"/>
      <c r="GSI287" s="1132" t="n"/>
      <c r="GSJ287" s="1132" t="n"/>
      <c r="GSK287" s="1132" t="n"/>
      <c r="GSL287" s="1132" t="n"/>
      <c r="GSM287" s="1132" t="n"/>
      <c r="GSN287" s="1132" t="n"/>
      <c r="GSO287" s="1132" t="n"/>
      <c r="GSP287" s="1132" t="n"/>
      <c r="GSQ287" s="1132" t="n"/>
      <c r="GSR287" s="1132" t="n"/>
      <c r="GSS287" s="1132" t="n"/>
      <c r="GST287" s="1132" t="n"/>
      <c r="GSU287" s="1132" t="n"/>
      <c r="GSV287" s="1132" t="n"/>
      <c r="GSW287" s="1132" t="n"/>
      <c r="GSX287" s="1132" t="n"/>
      <c r="GSY287" s="1132" t="n"/>
      <c r="GSZ287" s="1132" t="n"/>
      <c r="GTA287" s="1132" t="n"/>
      <c r="GTB287" s="1132" t="n"/>
      <c r="GTC287" s="1132" t="n"/>
      <c r="GTD287" s="1132" t="n"/>
      <c r="GTE287" s="1132" t="n"/>
      <c r="GTF287" s="1132" t="n"/>
      <c r="GTG287" s="1132" t="n"/>
      <c r="GTH287" s="1132" t="n"/>
      <c r="GTI287" s="1132" t="n"/>
      <c r="GTJ287" s="1132" t="n"/>
      <c r="GTK287" s="1132" t="n"/>
      <c r="GTL287" s="1132" t="n"/>
      <c r="GTM287" s="1132" t="n"/>
      <c r="GTN287" s="1132" t="n"/>
      <c r="GTO287" s="1132" t="n"/>
      <c r="GTP287" s="1132" t="n"/>
      <c r="GTQ287" s="1132" t="n"/>
      <c r="GTR287" s="1132" t="n"/>
      <c r="GTS287" s="1132" t="n"/>
      <c r="GTT287" s="1132" t="n"/>
      <c r="GTU287" s="1132" t="n"/>
      <c r="GTV287" s="1132" t="n"/>
      <c r="GTW287" s="1132" t="n"/>
      <c r="GTX287" s="1132" t="n"/>
      <c r="GTY287" s="1132" t="n"/>
      <c r="GTZ287" s="1132" t="n"/>
      <c r="GUA287" s="1132" t="n"/>
      <c r="GUB287" s="1132" t="n"/>
      <c r="GUC287" s="1132" t="n"/>
      <c r="GUD287" s="1132" t="n"/>
      <c r="GUE287" s="1132" t="n"/>
      <c r="GUF287" s="1132" t="n"/>
      <c r="GUG287" s="1132" t="n"/>
      <c r="GUH287" s="1132" t="n"/>
      <c r="GUI287" s="1132" t="n"/>
      <c r="GUJ287" s="1132" t="n"/>
      <c r="GUK287" s="1132" t="n"/>
      <c r="GUL287" s="1132" t="n"/>
      <c r="GUM287" s="1132" t="n"/>
      <c r="GUN287" s="1132" t="n"/>
      <c r="GUO287" s="1132" t="n"/>
      <c r="GUP287" s="1132" t="n"/>
      <c r="GUQ287" s="1132" t="n"/>
      <c r="GUR287" s="1132" t="n"/>
      <c r="GUS287" s="1132" t="n"/>
      <c r="GUT287" s="1132" t="n"/>
      <c r="GUU287" s="1132" t="n"/>
      <c r="GUV287" s="1132" t="n"/>
      <c r="GUW287" s="1132" t="n"/>
      <c r="GUX287" s="1132" t="n"/>
      <c r="GUY287" s="1132" t="n"/>
      <c r="GUZ287" s="1132" t="n"/>
      <c r="GVA287" s="1132" t="n"/>
      <c r="GVB287" s="1132" t="n"/>
      <c r="GVC287" s="1132" t="n"/>
      <c r="GVD287" s="1132" t="n"/>
      <c r="GVE287" s="1132" t="n"/>
      <c r="GVF287" s="1132" t="n"/>
      <c r="GVG287" s="1132" t="n"/>
      <c r="GVH287" s="1132" t="n"/>
      <c r="GVI287" s="1132" t="n"/>
      <c r="GVJ287" s="1132" t="n"/>
      <c r="GVK287" s="1132" t="n"/>
      <c r="GVL287" s="1132" t="n"/>
      <c r="GVM287" s="1132" t="n"/>
      <c r="GVN287" s="1132" t="n"/>
      <c r="GVO287" s="1132" t="n"/>
      <c r="GVP287" s="1132" t="n"/>
      <c r="GVQ287" s="1132" t="n"/>
      <c r="GVR287" s="1132" t="n"/>
      <c r="GVS287" s="1132" t="n"/>
      <c r="GVT287" s="1132" t="n"/>
      <c r="GVU287" s="1132" t="n"/>
      <c r="GVV287" s="1132" t="n"/>
      <c r="GVW287" s="1132" t="n"/>
      <c r="GVX287" s="1132" t="n"/>
      <c r="GVY287" s="1132" t="n"/>
      <c r="GVZ287" s="1132" t="n"/>
      <c r="GWA287" s="1132" t="n"/>
      <c r="GWB287" s="1132" t="n"/>
      <c r="GWC287" s="1132" t="n"/>
      <c r="GWD287" s="1132" t="n"/>
      <c r="GWE287" s="1132" t="n"/>
      <c r="GWF287" s="1132" t="n"/>
      <c r="GWG287" s="1132" t="n"/>
      <c r="GWH287" s="1132" t="n"/>
      <c r="GWI287" s="1132" t="n"/>
      <c r="GWJ287" s="1132" t="n"/>
      <c r="GWK287" s="1132" t="n"/>
      <c r="GWL287" s="1132" t="n"/>
      <c r="GWM287" s="1132" t="n"/>
      <c r="GWN287" s="1132" t="n"/>
      <c r="GWO287" s="1132" t="n"/>
      <c r="GWP287" s="1132" t="n"/>
      <c r="GWQ287" s="1132" t="n"/>
      <c r="GWR287" s="1132" t="n"/>
      <c r="GWS287" s="1132" t="n"/>
      <c r="GWT287" s="1132" t="n"/>
      <c r="GWU287" s="1132" t="n"/>
      <c r="GWV287" s="1132" t="n"/>
      <c r="GWW287" s="1132" t="n"/>
      <c r="GWX287" s="1132" t="n"/>
      <c r="GWY287" s="1132" t="n"/>
      <c r="GWZ287" s="1132" t="n"/>
      <c r="GXA287" s="1132" t="n"/>
      <c r="GXB287" s="1132" t="n"/>
      <c r="GXC287" s="1132" t="n"/>
      <c r="GXD287" s="1132" t="n"/>
      <c r="GXE287" s="1132" t="n"/>
      <c r="GXF287" s="1132" t="n"/>
      <c r="GXG287" s="1132" t="n"/>
      <c r="GXH287" s="1132" t="n"/>
      <c r="GXI287" s="1132" t="n"/>
      <c r="GXJ287" s="1132" t="n"/>
      <c r="GXK287" s="1132" t="n"/>
      <c r="GXL287" s="1132" t="n"/>
      <c r="GXM287" s="1132" t="n"/>
      <c r="GXN287" s="1132" t="n"/>
      <c r="GXO287" s="1132" t="n"/>
      <c r="GXP287" s="1132" t="n"/>
      <c r="GXQ287" s="1132" t="n"/>
      <c r="GXR287" s="1132" t="n"/>
      <c r="GXS287" s="1132" t="n"/>
      <c r="GXT287" s="1132" t="n"/>
      <c r="GXU287" s="1132" t="n"/>
      <c r="GXV287" s="1132" t="n"/>
      <c r="GXW287" s="1132" t="n"/>
      <c r="GXX287" s="1132" t="n"/>
      <c r="GXY287" s="1132" t="n"/>
      <c r="GXZ287" s="1132" t="n"/>
      <c r="GYA287" s="1132" t="n"/>
      <c r="GYB287" s="1132" t="n"/>
      <c r="GYC287" s="1132" t="n"/>
      <c r="GYD287" s="1132" t="n"/>
      <c r="GYE287" s="1132" t="n"/>
      <c r="GYF287" s="1132" t="n"/>
      <c r="GYG287" s="1132" t="n"/>
      <c r="GYH287" s="1132" t="n"/>
      <c r="GYI287" s="1132" t="n"/>
      <c r="GYJ287" s="1132" t="n"/>
      <c r="GYK287" s="1132" t="n"/>
      <c r="GYL287" s="1132" t="n"/>
      <c r="GYM287" s="1132" t="n"/>
      <c r="GYN287" s="1132" t="n"/>
      <c r="GYO287" s="1132" t="n"/>
      <c r="GYP287" s="1132" t="n"/>
      <c r="GYQ287" s="1132" t="n"/>
      <c r="GYR287" s="1132" t="n"/>
      <c r="GYS287" s="1132" t="n"/>
      <c r="GYT287" s="1132" t="n"/>
      <c r="GYU287" s="1132" t="n"/>
      <c r="GYV287" s="1132" t="n"/>
      <c r="GYW287" s="1132" t="n"/>
      <c r="GYX287" s="1132" t="n"/>
      <c r="GYY287" s="1132" t="n"/>
      <c r="GYZ287" s="1132" t="n"/>
      <c r="GZA287" s="1132" t="n"/>
      <c r="GZB287" s="1132" t="n"/>
      <c r="GZC287" s="1132" t="n"/>
      <c r="GZD287" s="1132" t="n"/>
      <c r="GZE287" s="1132" t="n"/>
      <c r="GZF287" s="1132" t="n"/>
      <c r="GZG287" s="1132" t="n"/>
      <c r="GZH287" s="1132" t="n"/>
      <c r="GZI287" s="1132" t="n"/>
      <c r="GZJ287" s="1132" t="n"/>
      <c r="GZK287" s="1132" t="n"/>
      <c r="GZL287" s="1132" t="n"/>
      <c r="GZM287" s="1132" t="n"/>
      <c r="GZN287" s="1132" t="n"/>
      <c r="GZO287" s="1132" t="n"/>
      <c r="GZP287" s="1132" t="n"/>
      <c r="GZQ287" s="1132" t="n"/>
      <c r="GZR287" s="1132" t="n"/>
      <c r="GZS287" s="1132" t="n"/>
      <c r="GZT287" s="1132" t="n"/>
      <c r="GZU287" s="1132" t="n"/>
      <c r="GZV287" s="1132" t="n"/>
      <c r="GZW287" s="1132" t="n"/>
      <c r="GZX287" s="1132" t="n"/>
      <c r="GZY287" s="1132" t="n"/>
      <c r="GZZ287" s="1132" t="n"/>
      <c r="HAA287" s="1132" t="n"/>
      <c r="HAB287" s="1132" t="n"/>
      <c r="HAC287" s="1132" t="n"/>
      <c r="HAD287" s="1132" t="n"/>
      <c r="HAE287" s="1132" t="n"/>
      <c r="HAF287" s="1132" t="n"/>
      <c r="HAG287" s="1132" t="n"/>
      <c r="HAH287" s="1132" t="n"/>
      <c r="HAI287" s="1132" t="n"/>
      <c r="HAJ287" s="1132" t="n"/>
      <c r="HAK287" s="1132" t="n"/>
      <c r="HAL287" s="1132" t="n"/>
      <c r="HAM287" s="1132" t="n"/>
      <c r="HAN287" s="1132" t="n"/>
      <c r="HAO287" s="1132" t="n"/>
      <c r="HAP287" s="1132" t="n"/>
      <c r="HAQ287" s="1132" t="n"/>
      <c r="HAR287" s="1132" t="n"/>
      <c r="HAS287" s="1132" t="n"/>
      <c r="HAT287" s="1132" t="n"/>
      <c r="HAU287" s="1132" t="n"/>
      <c r="HAV287" s="1132" t="n"/>
      <c r="HAW287" s="1132" t="n"/>
      <c r="HAX287" s="1132" t="n"/>
      <c r="HAY287" s="1132" t="n"/>
      <c r="HAZ287" s="1132" t="n"/>
      <c r="HBA287" s="1132" t="n"/>
      <c r="HBB287" s="1132" t="n"/>
      <c r="HBC287" s="1132" t="n"/>
      <c r="HBD287" s="1132" t="n"/>
      <c r="HBE287" s="1132" t="n"/>
      <c r="HBF287" s="1132" t="n"/>
      <c r="HBG287" s="1132" t="n"/>
      <c r="HBH287" s="1132" t="n"/>
      <c r="HBI287" s="1132" t="n"/>
      <c r="HBJ287" s="1132" t="n"/>
      <c r="HBK287" s="1132" t="n"/>
      <c r="HBL287" s="1132" t="n"/>
      <c r="HBM287" s="1132" t="n"/>
      <c r="HBN287" s="1132" t="n"/>
      <c r="HBO287" s="1132" t="n"/>
      <c r="HBP287" s="1132" t="n"/>
      <c r="HBQ287" s="1132" t="n"/>
      <c r="HBR287" s="1132" t="n"/>
      <c r="HBS287" s="1132" t="n"/>
      <c r="HBT287" s="1132" t="n"/>
      <c r="HBU287" s="1132" t="n"/>
      <c r="HBV287" s="1132" t="n"/>
      <c r="HBW287" s="1132" t="n"/>
      <c r="HBX287" s="1132" t="n"/>
      <c r="HBY287" s="1132" t="n"/>
      <c r="HBZ287" s="1132" t="n"/>
      <c r="HCA287" s="1132" t="n"/>
      <c r="HCB287" s="1132" t="n"/>
      <c r="HCC287" s="1132" t="n"/>
      <c r="HCD287" s="1132" t="n"/>
      <c r="HCE287" s="1132" t="n"/>
      <c r="HCF287" s="1132" t="n"/>
      <c r="HCG287" s="1132" t="n"/>
      <c r="HCH287" s="1132" t="n"/>
      <c r="HCI287" s="1132" t="n"/>
      <c r="HCJ287" s="1132" t="n"/>
      <c r="HCK287" s="1132" t="n"/>
      <c r="HCL287" s="1132" t="n"/>
      <c r="HCM287" s="1132" t="n"/>
      <c r="HCN287" s="1132" t="n"/>
      <c r="HCO287" s="1132" t="n"/>
      <c r="HCP287" s="1132" t="n"/>
      <c r="HCQ287" s="1132" t="n"/>
      <c r="HCR287" s="1132" t="n"/>
      <c r="HCS287" s="1132" t="n"/>
      <c r="HCT287" s="1132" t="n"/>
      <c r="HCU287" s="1132" t="n"/>
      <c r="HCV287" s="1132" t="n"/>
      <c r="HCW287" s="1132" t="n"/>
      <c r="HCX287" s="1132" t="n"/>
      <c r="HCY287" s="1132" t="n"/>
      <c r="HCZ287" s="1132" t="n"/>
      <c r="HDA287" s="1132" t="n"/>
      <c r="HDB287" s="1132" t="n"/>
      <c r="HDC287" s="1132" t="n"/>
      <c r="HDD287" s="1132" t="n"/>
      <c r="HDE287" s="1132" t="n"/>
      <c r="HDF287" s="1132" t="n"/>
      <c r="HDG287" s="1132" t="n"/>
      <c r="HDH287" s="1132" t="n"/>
      <c r="HDI287" s="1132" t="n"/>
      <c r="HDJ287" s="1132" t="n"/>
      <c r="HDK287" s="1132" t="n"/>
      <c r="HDL287" s="1132" t="n"/>
      <c r="HDM287" s="1132" t="n"/>
      <c r="HDN287" s="1132" t="n"/>
      <c r="HDO287" s="1132" t="n"/>
      <c r="HDP287" s="1132" t="n"/>
      <c r="HDQ287" s="1132" t="n"/>
      <c r="HDR287" s="1132" t="n"/>
      <c r="HDS287" s="1132" t="n"/>
      <c r="HDT287" s="1132" t="n"/>
      <c r="HDU287" s="1132" t="n"/>
      <c r="HDV287" s="1132" t="n"/>
      <c r="HDW287" s="1132" t="n"/>
      <c r="HDX287" s="1132" t="n"/>
      <c r="HDY287" s="1132" t="n"/>
      <c r="HDZ287" s="1132" t="n"/>
      <c r="HEA287" s="1132" t="n"/>
      <c r="HEB287" s="1132" t="n"/>
      <c r="HEC287" s="1132" t="n"/>
      <c r="HED287" s="1132" t="n"/>
      <c r="HEE287" s="1132" t="n"/>
      <c r="HEF287" s="1132" t="n"/>
      <c r="HEG287" s="1132" t="n"/>
      <c r="HEH287" s="1132" t="n"/>
      <c r="HEI287" s="1132" t="n"/>
      <c r="HEJ287" s="1132" t="n"/>
      <c r="HEK287" s="1132" t="n"/>
      <c r="HEL287" s="1132" t="n"/>
      <c r="HEM287" s="1132" t="n"/>
      <c r="HEN287" s="1132" t="n"/>
      <c r="HEO287" s="1132" t="n"/>
      <c r="HEP287" s="1132" t="n"/>
      <c r="HEQ287" s="1132" t="n"/>
      <c r="HER287" s="1132" t="n"/>
      <c r="HES287" s="1132" t="n"/>
      <c r="HET287" s="1132" t="n"/>
      <c r="HEU287" s="1132" t="n"/>
      <c r="HEV287" s="1132" t="n"/>
      <c r="HEW287" s="1132" t="n"/>
      <c r="HEX287" s="1132" t="n"/>
      <c r="HEY287" s="1132" t="n"/>
      <c r="HEZ287" s="1132" t="n"/>
      <c r="HFA287" s="1132" t="n"/>
      <c r="HFB287" s="1132" t="n"/>
      <c r="HFC287" s="1132" t="n"/>
      <c r="HFD287" s="1132" t="n"/>
      <c r="HFE287" s="1132" t="n"/>
      <c r="HFF287" s="1132" t="n"/>
      <c r="HFG287" s="1132" t="n"/>
      <c r="HFH287" s="1132" t="n"/>
      <c r="HFI287" s="1132" t="n"/>
      <c r="HFJ287" s="1132" t="n"/>
      <c r="HFK287" s="1132" t="n"/>
      <c r="HFL287" s="1132" t="n"/>
      <c r="HFM287" s="1132" t="n"/>
      <c r="HFN287" s="1132" t="n"/>
      <c r="HFO287" s="1132" t="n"/>
      <c r="HFP287" s="1132" t="n"/>
      <c r="HFQ287" s="1132" t="n"/>
      <c r="HFR287" s="1132" t="n"/>
      <c r="HFS287" s="1132" t="n"/>
      <c r="HFT287" s="1132" t="n"/>
      <c r="HFU287" s="1132" t="n"/>
      <c r="HFV287" s="1132" t="n"/>
      <c r="HFW287" s="1132" t="n"/>
      <c r="HFX287" s="1132" t="n"/>
      <c r="HFY287" s="1132" t="n"/>
      <c r="HFZ287" s="1132" t="n"/>
      <c r="HGA287" s="1132" t="n"/>
      <c r="HGB287" s="1132" t="n"/>
      <c r="HGC287" s="1132" t="n"/>
      <c r="HGD287" s="1132" t="n"/>
      <c r="HGE287" s="1132" t="n"/>
      <c r="HGF287" s="1132" t="n"/>
      <c r="HGG287" s="1132" t="n"/>
      <c r="HGH287" s="1132" t="n"/>
      <c r="HGI287" s="1132" t="n"/>
      <c r="HGJ287" s="1132" t="n"/>
      <c r="HGK287" s="1132" t="n"/>
      <c r="HGL287" s="1132" t="n"/>
      <c r="HGM287" s="1132" t="n"/>
      <c r="HGN287" s="1132" t="n"/>
      <c r="HGO287" s="1132" t="n"/>
      <c r="HGP287" s="1132" t="n"/>
      <c r="HGQ287" s="1132" t="n"/>
      <c r="HGR287" s="1132" t="n"/>
      <c r="HGS287" s="1132" t="n"/>
      <c r="HGT287" s="1132" t="n"/>
      <c r="HGU287" s="1132" t="n"/>
      <c r="HGV287" s="1132" t="n"/>
      <c r="HGW287" s="1132" t="n"/>
      <c r="HGX287" s="1132" t="n"/>
      <c r="HGY287" s="1132" t="n"/>
      <c r="HGZ287" s="1132" t="n"/>
      <c r="HHA287" s="1132" t="n"/>
      <c r="HHB287" s="1132" t="n"/>
      <c r="HHC287" s="1132" t="n"/>
      <c r="HHD287" s="1132" t="n"/>
      <c r="HHE287" s="1132" t="n"/>
      <c r="HHF287" s="1132" t="n"/>
      <c r="HHG287" s="1132" t="n"/>
      <c r="HHH287" s="1132" t="n"/>
      <c r="HHI287" s="1132" t="n"/>
      <c r="HHJ287" s="1132" t="n"/>
      <c r="HHK287" s="1132" t="n"/>
      <c r="HHL287" s="1132" t="n"/>
      <c r="HHM287" s="1132" t="n"/>
      <c r="HHN287" s="1132" t="n"/>
      <c r="HHO287" s="1132" t="n"/>
      <c r="HHP287" s="1132" t="n"/>
      <c r="HHQ287" s="1132" t="n"/>
      <c r="HHR287" s="1132" t="n"/>
      <c r="HHS287" s="1132" t="n"/>
      <c r="HHT287" s="1132" t="n"/>
      <c r="HHU287" s="1132" t="n"/>
      <c r="HHV287" s="1132" t="n"/>
      <c r="HHW287" s="1132" t="n"/>
      <c r="HHX287" s="1132" t="n"/>
      <c r="HHY287" s="1132" t="n"/>
      <c r="HHZ287" s="1132" t="n"/>
      <c r="HIA287" s="1132" t="n"/>
      <c r="HIB287" s="1132" t="n"/>
      <c r="HIC287" s="1132" t="n"/>
      <c r="HID287" s="1132" t="n"/>
      <c r="HIE287" s="1132" t="n"/>
      <c r="HIF287" s="1132" t="n"/>
      <c r="HIG287" s="1132" t="n"/>
      <c r="HIH287" s="1132" t="n"/>
      <c r="HII287" s="1132" t="n"/>
      <c r="HIJ287" s="1132" t="n"/>
      <c r="HIK287" s="1132" t="n"/>
      <c r="HIL287" s="1132" t="n"/>
      <c r="HIM287" s="1132" t="n"/>
      <c r="HIN287" s="1132" t="n"/>
      <c r="HIO287" s="1132" t="n"/>
      <c r="HIP287" s="1132" t="n"/>
      <c r="HIQ287" s="1132" t="n"/>
      <c r="HIR287" s="1132" t="n"/>
      <c r="HIS287" s="1132" t="n"/>
      <c r="HIT287" s="1132" t="n"/>
      <c r="HIU287" s="1132" t="n"/>
      <c r="HIV287" s="1132" t="n"/>
      <c r="HIW287" s="1132" t="n"/>
      <c r="HIX287" s="1132" t="n"/>
      <c r="HIY287" s="1132" t="n"/>
      <c r="HIZ287" s="1132" t="n"/>
      <c r="HJA287" s="1132" t="n"/>
      <c r="HJB287" s="1132" t="n"/>
      <c r="HJC287" s="1132" t="n"/>
      <c r="HJD287" s="1132" t="n"/>
      <c r="HJE287" s="1132" t="n"/>
      <c r="HJF287" s="1132" t="n"/>
      <c r="HJG287" s="1132" t="n"/>
      <c r="HJH287" s="1132" t="n"/>
      <c r="HJI287" s="1132" t="n"/>
      <c r="HJJ287" s="1132" t="n"/>
      <c r="HJK287" s="1132" t="n"/>
      <c r="HJL287" s="1132" t="n"/>
      <c r="HJM287" s="1132" t="n"/>
      <c r="HJN287" s="1132" t="n"/>
      <c r="HJO287" s="1132" t="n"/>
      <c r="HJP287" s="1132" t="n"/>
      <c r="HJQ287" s="1132" t="n"/>
      <c r="HJR287" s="1132" t="n"/>
      <c r="HJS287" s="1132" t="n"/>
      <c r="HJT287" s="1132" t="n"/>
      <c r="HJU287" s="1132" t="n"/>
      <c r="HJV287" s="1132" t="n"/>
      <c r="HJW287" s="1132" t="n"/>
      <c r="HJX287" s="1132" t="n"/>
      <c r="HJY287" s="1132" t="n"/>
      <c r="HJZ287" s="1132" t="n"/>
      <c r="HKA287" s="1132" t="n"/>
      <c r="HKB287" s="1132" t="n"/>
      <c r="HKC287" s="1132" t="n"/>
      <c r="HKD287" s="1132" t="n"/>
      <c r="HKE287" s="1132" t="n"/>
      <c r="HKF287" s="1132" t="n"/>
      <c r="HKG287" s="1132" t="n"/>
      <c r="HKH287" s="1132" t="n"/>
      <c r="HKI287" s="1132" t="n"/>
      <c r="HKJ287" s="1132" t="n"/>
      <c r="HKK287" s="1132" t="n"/>
      <c r="HKL287" s="1132" t="n"/>
      <c r="HKM287" s="1132" t="n"/>
      <c r="HKN287" s="1132" t="n"/>
      <c r="HKO287" s="1132" t="n"/>
      <c r="HKP287" s="1132" t="n"/>
      <c r="HKQ287" s="1132" t="n"/>
      <c r="HKR287" s="1132" t="n"/>
      <c r="HKS287" s="1132" t="n"/>
      <c r="HKT287" s="1132" t="n"/>
      <c r="HKU287" s="1132" t="n"/>
      <c r="HKV287" s="1132" t="n"/>
      <c r="HKW287" s="1132" t="n"/>
      <c r="HKX287" s="1132" t="n"/>
      <c r="HKY287" s="1132" t="n"/>
      <c r="HKZ287" s="1132" t="n"/>
      <c r="HLA287" s="1132" t="n"/>
      <c r="HLB287" s="1132" t="n"/>
      <c r="HLC287" s="1132" t="n"/>
      <c r="HLD287" s="1132" t="n"/>
      <c r="HLE287" s="1132" t="n"/>
      <c r="HLF287" s="1132" t="n"/>
      <c r="HLG287" s="1132" t="n"/>
      <c r="HLH287" s="1132" t="n"/>
      <c r="HLI287" s="1132" t="n"/>
      <c r="HLJ287" s="1132" t="n"/>
      <c r="HLK287" s="1132" t="n"/>
      <c r="HLL287" s="1132" t="n"/>
      <c r="HLM287" s="1132" t="n"/>
      <c r="HLN287" s="1132" t="n"/>
      <c r="HLO287" s="1132" t="n"/>
      <c r="HLP287" s="1132" t="n"/>
      <c r="HLQ287" s="1132" t="n"/>
      <c r="HLR287" s="1132" t="n"/>
      <c r="HLS287" s="1132" t="n"/>
      <c r="HLT287" s="1132" t="n"/>
      <c r="HLU287" s="1132" t="n"/>
      <c r="HLV287" s="1132" t="n"/>
      <c r="HLW287" s="1132" t="n"/>
      <c r="HLX287" s="1132" t="n"/>
      <c r="HLY287" s="1132" t="n"/>
      <c r="HLZ287" s="1132" t="n"/>
      <c r="HMA287" s="1132" t="n"/>
      <c r="HMB287" s="1132" t="n"/>
      <c r="HMC287" s="1132" t="n"/>
      <c r="HMD287" s="1132" t="n"/>
      <c r="HME287" s="1132" t="n"/>
      <c r="HMF287" s="1132" t="n"/>
      <c r="HMG287" s="1132" t="n"/>
      <c r="HMH287" s="1132" t="n"/>
      <c r="HMI287" s="1132" t="n"/>
      <c r="HMJ287" s="1132" t="n"/>
      <c r="HMK287" s="1132" t="n"/>
      <c r="HML287" s="1132" t="n"/>
      <c r="HMM287" s="1132" t="n"/>
      <c r="HMN287" s="1132" t="n"/>
      <c r="HMO287" s="1132" t="n"/>
      <c r="HMP287" s="1132" t="n"/>
      <c r="HMQ287" s="1132" t="n"/>
      <c r="HMR287" s="1132" t="n"/>
      <c r="HMS287" s="1132" t="n"/>
      <c r="HMT287" s="1132" t="n"/>
      <c r="HMU287" s="1132" t="n"/>
      <c r="HMV287" s="1132" t="n"/>
      <c r="HMW287" s="1132" t="n"/>
      <c r="HMX287" s="1132" t="n"/>
      <c r="HMY287" s="1132" t="n"/>
      <c r="HMZ287" s="1132" t="n"/>
      <c r="HNA287" s="1132" t="n"/>
      <c r="HNB287" s="1132" t="n"/>
      <c r="HNC287" s="1132" t="n"/>
      <c r="HND287" s="1132" t="n"/>
      <c r="HNE287" s="1132" t="n"/>
      <c r="HNF287" s="1132" t="n"/>
      <c r="HNG287" s="1132" t="n"/>
      <c r="HNH287" s="1132" t="n"/>
      <c r="HNI287" s="1132" t="n"/>
      <c r="HNJ287" s="1132" t="n"/>
      <c r="HNK287" s="1132" t="n"/>
      <c r="HNL287" s="1132" t="n"/>
      <c r="HNM287" s="1132" t="n"/>
      <c r="HNN287" s="1132" t="n"/>
      <c r="HNO287" s="1132" t="n"/>
      <c r="HNP287" s="1132" t="n"/>
      <c r="HNQ287" s="1132" t="n"/>
      <c r="HNR287" s="1132" t="n"/>
      <c r="HNS287" s="1132" t="n"/>
      <c r="HNT287" s="1132" t="n"/>
      <c r="HNU287" s="1132" t="n"/>
      <c r="HNV287" s="1132" t="n"/>
      <c r="HNW287" s="1132" t="n"/>
      <c r="HNX287" s="1132" t="n"/>
      <c r="HNY287" s="1132" t="n"/>
      <c r="HNZ287" s="1132" t="n"/>
      <c r="HOA287" s="1132" t="n"/>
      <c r="HOB287" s="1132" t="n"/>
      <c r="HOC287" s="1132" t="n"/>
      <c r="HOD287" s="1132" t="n"/>
      <c r="HOE287" s="1132" t="n"/>
      <c r="HOF287" s="1132" t="n"/>
      <c r="HOG287" s="1132" t="n"/>
      <c r="HOH287" s="1132" t="n"/>
      <c r="HOI287" s="1132" t="n"/>
      <c r="HOJ287" s="1132" t="n"/>
      <c r="HOK287" s="1132" t="n"/>
      <c r="HOL287" s="1132" t="n"/>
      <c r="HOM287" s="1132" t="n"/>
      <c r="HON287" s="1132" t="n"/>
      <c r="HOO287" s="1132" t="n"/>
      <c r="HOP287" s="1132" t="n"/>
      <c r="HOQ287" s="1132" t="n"/>
      <c r="HOR287" s="1132" t="n"/>
      <c r="HOS287" s="1132" t="n"/>
      <c r="HOT287" s="1132" t="n"/>
      <c r="HOU287" s="1132" t="n"/>
      <c r="HOV287" s="1132" t="n"/>
      <c r="HOW287" s="1132" t="n"/>
      <c r="HOX287" s="1132" t="n"/>
      <c r="HOY287" s="1132" t="n"/>
      <c r="HOZ287" s="1132" t="n"/>
      <c r="HPA287" s="1132" t="n"/>
      <c r="HPB287" s="1132" t="n"/>
      <c r="HPC287" s="1132" t="n"/>
      <c r="HPD287" s="1132" t="n"/>
      <c r="HPE287" s="1132" t="n"/>
      <c r="HPF287" s="1132" t="n"/>
      <c r="HPG287" s="1132" t="n"/>
      <c r="HPH287" s="1132" t="n"/>
      <c r="HPI287" s="1132" t="n"/>
      <c r="HPJ287" s="1132" t="n"/>
      <c r="HPK287" s="1132" t="n"/>
      <c r="HPL287" s="1132" t="n"/>
      <c r="HPM287" s="1132" t="n"/>
      <c r="HPN287" s="1132" t="n"/>
      <c r="HPO287" s="1132" t="n"/>
      <c r="HPP287" s="1132" t="n"/>
      <c r="HPQ287" s="1132" t="n"/>
      <c r="HPR287" s="1132" t="n"/>
      <c r="HPS287" s="1132" t="n"/>
      <c r="HPT287" s="1132" t="n"/>
      <c r="HPU287" s="1132" t="n"/>
      <c r="HPV287" s="1132" t="n"/>
      <c r="HPW287" s="1132" t="n"/>
      <c r="HPX287" s="1132" t="n"/>
      <c r="HPY287" s="1132" t="n"/>
      <c r="HPZ287" s="1132" t="n"/>
      <c r="HQA287" s="1132" t="n"/>
      <c r="HQB287" s="1132" t="n"/>
      <c r="HQC287" s="1132" t="n"/>
      <c r="HQD287" s="1132" t="n"/>
      <c r="HQE287" s="1132" t="n"/>
      <c r="HQF287" s="1132" t="n"/>
      <c r="HQG287" s="1132" t="n"/>
      <c r="HQH287" s="1132" t="n"/>
      <c r="HQI287" s="1132" t="n"/>
      <c r="HQJ287" s="1132" t="n"/>
      <c r="HQK287" s="1132" t="n"/>
      <c r="HQL287" s="1132" t="n"/>
      <c r="HQM287" s="1132" t="n"/>
      <c r="HQN287" s="1132" t="n"/>
      <c r="HQO287" s="1132" t="n"/>
      <c r="HQP287" s="1132" t="n"/>
      <c r="HQQ287" s="1132" t="n"/>
      <c r="HQR287" s="1132" t="n"/>
      <c r="HQS287" s="1132" t="n"/>
      <c r="HQT287" s="1132" t="n"/>
      <c r="HQU287" s="1132" t="n"/>
      <c r="HQV287" s="1132" t="n"/>
      <c r="HQW287" s="1132" t="n"/>
      <c r="HQX287" s="1132" t="n"/>
      <c r="HQY287" s="1132" t="n"/>
      <c r="HQZ287" s="1132" t="n"/>
      <c r="HRA287" s="1132" t="n"/>
      <c r="HRB287" s="1132" t="n"/>
      <c r="HRC287" s="1132" t="n"/>
      <c r="HRD287" s="1132" t="n"/>
      <c r="HRE287" s="1132" t="n"/>
      <c r="HRF287" s="1132" t="n"/>
      <c r="HRG287" s="1132" t="n"/>
      <c r="HRH287" s="1132" t="n"/>
      <c r="HRI287" s="1132" t="n"/>
      <c r="HRJ287" s="1132" t="n"/>
      <c r="HRK287" s="1132" t="n"/>
      <c r="HRL287" s="1132" t="n"/>
      <c r="HRM287" s="1132" t="n"/>
      <c r="HRN287" s="1132" t="n"/>
      <c r="HRO287" s="1132" t="n"/>
      <c r="HRP287" s="1132" t="n"/>
      <c r="HRQ287" s="1132" t="n"/>
      <c r="HRR287" s="1132" t="n"/>
      <c r="HRS287" s="1132" t="n"/>
      <c r="HRT287" s="1132" t="n"/>
      <c r="HRU287" s="1132" t="n"/>
      <c r="HRV287" s="1132" t="n"/>
      <c r="HRW287" s="1132" t="n"/>
      <c r="HRX287" s="1132" t="n"/>
      <c r="HRY287" s="1132" t="n"/>
      <c r="HRZ287" s="1132" t="n"/>
      <c r="HSA287" s="1132" t="n"/>
      <c r="HSB287" s="1132" t="n"/>
      <c r="HSC287" s="1132" t="n"/>
      <c r="HSD287" s="1132" t="n"/>
      <c r="HSE287" s="1132" t="n"/>
      <c r="HSF287" s="1132" t="n"/>
      <c r="HSG287" s="1132" t="n"/>
      <c r="HSH287" s="1132" t="n"/>
      <c r="HSI287" s="1132" t="n"/>
      <c r="HSJ287" s="1132" t="n"/>
      <c r="HSK287" s="1132" t="n"/>
      <c r="HSL287" s="1132" t="n"/>
      <c r="HSM287" s="1132" t="n"/>
      <c r="HSN287" s="1132" t="n"/>
      <c r="HSO287" s="1132" t="n"/>
      <c r="HSP287" s="1132" t="n"/>
      <c r="HSQ287" s="1132" t="n"/>
      <c r="HSR287" s="1132" t="n"/>
      <c r="HSS287" s="1132" t="n"/>
      <c r="HST287" s="1132" t="n"/>
      <c r="HSU287" s="1132" t="n"/>
      <c r="HSV287" s="1132" t="n"/>
      <c r="HSW287" s="1132" t="n"/>
      <c r="HSX287" s="1132" t="n"/>
      <c r="HSY287" s="1132" t="n"/>
      <c r="HSZ287" s="1132" t="n"/>
      <c r="HTA287" s="1132" t="n"/>
      <c r="HTB287" s="1132" t="n"/>
      <c r="HTC287" s="1132" t="n"/>
      <c r="HTD287" s="1132" t="n"/>
      <c r="HTE287" s="1132" t="n"/>
      <c r="HTF287" s="1132" t="n"/>
      <c r="HTG287" s="1132" t="n"/>
      <c r="HTH287" s="1132" t="n"/>
      <c r="HTI287" s="1132" t="n"/>
      <c r="HTJ287" s="1132" t="n"/>
      <c r="HTK287" s="1132" t="n"/>
      <c r="HTL287" s="1132" t="n"/>
      <c r="HTM287" s="1132" t="n"/>
      <c r="HTN287" s="1132" t="n"/>
      <c r="HTO287" s="1132" t="n"/>
      <c r="HTP287" s="1132" t="n"/>
      <c r="HTQ287" s="1132" t="n"/>
      <c r="HTR287" s="1132" t="n"/>
      <c r="HTS287" s="1132" t="n"/>
      <c r="HTT287" s="1132" t="n"/>
      <c r="HTU287" s="1132" t="n"/>
      <c r="HTV287" s="1132" t="n"/>
      <c r="HTW287" s="1132" t="n"/>
      <c r="HTX287" s="1132" t="n"/>
      <c r="HTY287" s="1132" t="n"/>
      <c r="HTZ287" s="1132" t="n"/>
      <c r="HUA287" s="1132" t="n"/>
      <c r="HUB287" s="1132" t="n"/>
      <c r="HUC287" s="1132" t="n"/>
      <c r="HUD287" s="1132" t="n"/>
      <c r="HUE287" s="1132" t="n"/>
      <c r="HUF287" s="1132" t="n"/>
      <c r="HUG287" s="1132" t="n"/>
      <c r="HUH287" s="1132" t="n"/>
      <c r="HUI287" s="1132" t="n"/>
      <c r="HUJ287" s="1132" t="n"/>
      <c r="HUK287" s="1132" t="n"/>
      <c r="HUL287" s="1132" t="n"/>
      <c r="HUM287" s="1132" t="n"/>
      <c r="HUN287" s="1132" t="n"/>
      <c r="HUO287" s="1132" t="n"/>
      <c r="HUP287" s="1132" t="n"/>
      <c r="HUQ287" s="1132" t="n"/>
      <c r="HUR287" s="1132" t="n"/>
      <c r="HUS287" s="1132" t="n"/>
      <c r="HUT287" s="1132" t="n"/>
      <c r="HUU287" s="1132" t="n"/>
      <c r="HUV287" s="1132" t="n"/>
      <c r="HUW287" s="1132" t="n"/>
      <c r="HUX287" s="1132" t="n"/>
      <c r="HUY287" s="1132" t="n"/>
      <c r="HUZ287" s="1132" t="n"/>
      <c r="HVA287" s="1132" t="n"/>
      <c r="HVB287" s="1132" t="n"/>
      <c r="HVC287" s="1132" t="n"/>
      <c r="HVD287" s="1132" t="n"/>
      <c r="HVE287" s="1132" t="n"/>
      <c r="HVF287" s="1132" t="n"/>
      <c r="HVG287" s="1132" t="n"/>
      <c r="HVH287" s="1132" t="n"/>
      <c r="HVI287" s="1132" t="n"/>
      <c r="HVJ287" s="1132" t="n"/>
      <c r="HVK287" s="1132" t="n"/>
      <c r="HVL287" s="1132" t="n"/>
      <c r="HVM287" s="1132" t="n"/>
      <c r="HVN287" s="1132" t="n"/>
      <c r="HVO287" s="1132" t="n"/>
      <c r="HVP287" s="1132" t="n"/>
      <c r="HVQ287" s="1132" t="n"/>
      <c r="HVR287" s="1132" t="n"/>
      <c r="HVS287" s="1132" t="n"/>
      <c r="HVT287" s="1132" t="n"/>
      <c r="HVU287" s="1132" t="n"/>
      <c r="HVV287" s="1132" t="n"/>
      <c r="HVW287" s="1132" t="n"/>
      <c r="HVX287" s="1132" t="n"/>
      <c r="HVY287" s="1132" t="n"/>
      <c r="HVZ287" s="1132" t="n"/>
      <c r="HWA287" s="1132" t="n"/>
      <c r="HWB287" s="1132" t="n"/>
      <c r="HWC287" s="1132" t="n"/>
      <c r="HWD287" s="1132" t="n"/>
      <c r="HWE287" s="1132" t="n"/>
      <c r="HWF287" s="1132" t="n"/>
      <c r="HWG287" s="1132" t="n"/>
      <c r="HWH287" s="1132" t="n"/>
      <c r="HWI287" s="1132" t="n"/>
      <c r="HWJ287" s="1132" t="n"/>
      <c r="HWK287" s="1132" t="n"/>
      <c r="HWL287" s="1132" t="n"/>
      <c r="HWM287" s="1132" t="n"/>
      <c r="HWN287" s="1132" t="n"/>
      <c r="HWO287" s="1132" t="n"/>
      <c r="HWP287" s="1132" t="n"/>
      <c r="HWQ287" s="1132" t="n"/>
      <c r="HWR287" s="1132" t="n"/>
      <c r="HWS287" s="1132" t="n"/>
      <c r="HWT287" s="1132" t="n"/>
      <c r="HWU287" s="1132" t="n"/>
      <c r="HWV287" s="1132" t="n"/>
      <c r="HWW287" s="1132" t="n"/>
      <c r="HWX287" s="1132" t="n"/>
      <c r="HWY287" s="1132" t="n"/>
      <c r="HWZ287" s="1132" t="n"/>
      <c r="HXA287" s="1132" t="n"/>
      <c r="HXB287" s="1132" t="n"/>
      <c r="HXC287" s="1132" t="n"/>
      <c r="HXD287" s="1132" t="n"/>
      <c r="HXE287" s="1132" t="n"/>
      <c r="HXF287" s="1132" t="n"/>
      <c r="HXG287" s="1132" t="n"/>
      <c r="HXH287" s="1132" t="n"/>
      <c r="HXI287" s="1132" t="n"/>
      <c r="HXJ287" s="1132" t="n"/>
      <c r="HXK287" s="1132" t="n"/>
      <c r="HXL287" s="1132" t="n"/>
      <c r="HXM287" s="1132" t="n"/>
      <c r="HXN287" s="1132" t="n"/>
      <c r="HXO287" s="1132" t="n"/>
      <c r="HXP287" s="1132" t="n"/>
      <c r="HXQ287" s="1132" t="n"/>
      <c r="HXR287" s="1132" t="n"/>
      <c r="HXS287" s="1132" t="n"/>
      <c r="HXT287" s="1132" t="n"/>
      <c r="HXU287" s="1132" t="n"/>
      <c r="HXV287" s="1132" t="n"/>
      <c r="HXW287" s="1132" t="n"/>
      <c r="HXX287" s="1132" t="n"/>
      <c r="HXY287" s="1132" t="n"/>
      <c r="HXZ287" s="1132" t="n"/>
      <c r="HYA287" s="1132" t="n"/>
      <c r="HYB287" s="1132" t="n"/>
      <c r="HYC287" s="1132" t="n"/>
      <c r="HYD287" s="1132" t="n"/>
      <c r="HYE287" s="1132" t="n"/>
      <c r="HYF287" s="1132" t="n"/>
      <c r="HYG287" s="1132" t="n"/>
      <c r="HYH287" s="1132" t="n"/>
      <c r="HYI287" s="1132" t="n"/>
      <c r="HYJ287" s="1132" t="n"/>
      <c r="HYK287" s="1132" t="n"/>
      <c r="HYL287" s="1132" t="n"/>
      <c r="HYM287" s="1132" t="n"/>
      <c r="HYN287" s="1132" t="n"/>
      <c r="HYO287" s="1132" t="n"/>
      <c r="HYP287" s="1132" t="n"/>
      <c r="HYQ287" s="1132" t="n"/>
      <c r="HYR287" s="1132" t="n"/>
      <c r="HYS287" s="1132" t="n"/>
      <c r="HYT287" s="1132" t="n"/>
      <c r="HYU287" s="1132" t="n"/>
      <c r="HYV287" s="1132" t="n"/>
      <c r="HYW287" s="1132" t="n"/>
      <c r="HYX287" s="1132" t="n"/>
      <c r="HYY287" s="1132" t="n"/>
      <c r="HYZ287" s="1132" t="n"/>
      <c r="HZA287" s="1132" t="n"/>
      <c r="HZB287" s="1132" t="n"/>
      <c r="HZC287" s="1132" t="n"/>
      <c r="HZD287" s="1132" t="n"/>
      <c r="HZE287" s="1132" t="n"/>
      <c r="HZF287" s="1132" t="n"/>
      <c r="HZG287" s="1132" t="n"/>
      <c r="HZH287" s="1132" t="n"/>
      <c r="HZI287" s="1132" t="n"/>
      <c r="HZJ287" s="1132" t="n"/>
      <c r="HZK287" s="1132" t="n"/>
      <c r="HZL287" s="1132" t="n"/>
      <c r="HZM287" s="1132" t="n"/>
      <c r="HZN287" s="1132" t="n"/>
      <c r="HZO287" s="1132" t="n"/>
      <c r="HZP287" s="1132" t="n"/>
      <c r="HZQ287" s="1132" t="n"/>
      <c r="HZR287" s="1132" t="n"/>
      <c r="HZS287" s="1132" t="n"/>
      <c r="HZT287" s="1132" t="n"/>
      <c r="HZU287" s="1132" t="n"/>
      <c r="HZV287" s="1132" t="n"/>
      <c r="HZW287" s="1132" t="n"/>
      <c r="HZX287" s="1132" t="n"/>
      <c r="HZY287" s="1132" t="n"/>
      <c r="HZZ287" s="1132" t="n"/>
      <c r="IAA287" s="1132" t="n"/>
      <c r="IAB287" s="1132" t="n"/>
      <c r="IAC287" s="1132" t="n"/>
      <c r="IAD287" s="1132" t="n"/>
      <c r="IAE287" s="1132" t="n"/>
      <c r="IAF287" s="1132" t="n"/>
      <c r="IAG287" s="1132" t="n"/>
      <c r="IAH287" s="1132" t="n"/>
      <c r="IAI287" s="1132" t="n"/>
      <c r="IAJ287" s="1132" t="n"/>
      <c r="IAK287" s="1132" t="n"/>
      <c r="IAL287" s="1132" t="n"/>
      <c r="IAM287" s="1132" t="n"/>
      <c r="IAN287" s="1132" t="n"/>
      <c r="IAO287" s="1132" t="n"/>
      <c r="IAP287" s="1132" t="n"/>
      <c r="IAQ287" s="1132" t="n"/>
      <c r="IAR287" s="1132" t="n"/>
      <c r="IAS287" s="1132" t="n"/>
      <c r="IAT287" s="1132" t="n"/>
      <c r="IAU287" s="1132" t="n"/>
      <c r="IAV287" s="1132" t="n"/>
      <c r="IAW287" s="1132" t="n"/>
      <c r="IAX287" s="1132" t="n"/>
      <c r="IAY287" s="1132" t="n"/>
      <c r="IAZ287" s="1132" t="n"/>
      <c r="IBA287" s="1132" t="n"/>
      <c r="IBB287" s="1132" t="n"/>
      <c r="IBC287" s="1132" t="n"/>
      <c r="IBD287" s="1132" t="n"/>
      <c r="IBE287" s="1132" t="n"/>
      <c r="IBF287" s="1132" t="n"/>
      <c r="IBG287" s="1132" t="n"/>
      <c r="IBH287" s="1132" t="n"/>
      <c r="IBI287" s="1132" t="n"/>
      <c r="IBJ287" s="1132" t="n"/>
      <c r="IBK287" s="1132" t="n"/>
      <c r="IBL287" s="1132" t="n"/>
      <c r="IBM287" s="1132" t="n"/>
      <c r="IBN287" s="1132" t="n"/>
      <c r="IBO287" s="1132" t="n"/>
      <c r="IBP287" s="1132" t="n"/>
      <c r="IBQ287" s="1132" t="n"/>
      <c r="IBR287" s="1132" t="n"/>
      <c r="IBS287" s="1132" t="n"/>
      <c r="IBT287" s="1132" t="n"/>
      <c r="IBU287" s="1132" t="n"/>
      <c r="IBV287" s="1132" t="n"/>
      <c r="IBW287" s="1132" t="n"/>
      <c r="IBX287" s="1132" t="n"/>
      <c r="IBY287" s="1132" t="n"/>
      <c r="IBZ287" s="1132" t="n"/>
      <c r="ICA287" s="1132" t="n"/>
      <c r="ICB287" s="1132" t="n"/>
      <c r="ICC287" s="1132" t="n"/>
      <c r="ICD287" s="1132" t="n"/>
      <c r="ICE287" s="1132" t="n"/>
      <c r="ICF287" s="1132" t="n"/>
      <c r="ICG287" s="1132" t="n"/>
      <c r="ICH287" s="1132" t="n"/>
      <c r="ICI287" s="1132" t="n"/>
      <c r="ICJ287" s="1132" t="n"/>
      <c r="ICK287" s="1132" t="n"/>
      <c r="ICL287" s="1132" t="n"/>
      <c r="ICM287" s="1132" t="n"/>
      <c r="ICN287" s="1132" t="n"/>
      <c r="ICO287" s="1132" t="n"/>
      <c r="ICP287" s="1132" t="n"/>
      <c r="ICQ287" s="1132" t="n"/>
      <c r="ICR287" s="1132" t="n"/>
      <c r="ICS287" s="1132" t="n"/>
      <c r="ICT287" s="1132" t="n"/>
      <c r="ICU287" s="1132" t="n"/>
      <c r="ICV287" s="1132" t="n"/>
      <c r="ICW287" s="1132" t="n"/>
      <c r="ICX287" s="1132" t="n"/>
      <c r="ICY287" s="1132" t="n"/>
      <c r="ICZ287" s="1132" t="n"/>
      <c r="IDA287" s="1132" t="n"/>
      <c r="IDB287" s="1132" t="n"/>
      <c r="IDC287" s="1132" t="n"/>
      <c r="IDD287" s="1132" t="n"/>
      <c r="IDE287" s="1132" t="n"/>
      <c r="IDF287" s="1132" t="n"/>
      <c r="IDG287" s="1132" t="n"/>
      <c r="IDH287" s="1132" t="n"/>
      <c r="IDI287" s="1132" t="n"/>
      <c r="IDJ287" s="1132" t="n"/>
      <c r="IDK287" s="1132" t="n"/>
      <c r="IDL287" s="1132" t="n"/>
      <c r="IDM287" s="1132" t="n"/>
      <c r="IDN287" s="1132" t="n"/>
      <c r="IDO287" s="1132" t="n"/>
      <c r="IDP287" s="1132" t="n"/>
      <c r="IDQ287" s="1132" t="n"/>
      <c r="IDR287" s="1132" t="n"/>
      <c r="IDS287" s="1132" t="n"/>
      <c r="IDT287" s="1132" t="n"/>
      <c r="IDU287" s="1132" t="n"/>
      <c r="IDV287" s="1132" t="n"/>
      <c r="IDW287" s="1132" t="n"/>
      <c r="IDX287" s="1132" t="n"/>
      <c r="IDY287" s="1132" t="n"/>
      <c r="IDZ287" s="1132" t="n"/>
      <c r="IEA287" s="1132" t="n"/>
      <c r="IEB287" s="1132" t="n"/>
      <c r="IEC287" s="1132" t="n"/>
      <c r="IED287" s="1132" t="n"/>
      <c r="IEE287" s="1132" t="n"/>
      <c r="IEF287" s="1132" t="n"/>
      <c r="IEG287" s="1132" t="n"/>
      <c r="IEH287" s="1132" t="n"/>
      <c r="IEI287" s="1132" t="n"/>
      <c r="IEJ287" s="1132" t="n"/>
      <c r="IEK287" s="1132" t="n"/>
      <c r="IEL287" s="1132" t="n"/>
      <c r="IEM287" s="1132" t="n"/>
      <c r="IEN287" s="1132" t="n"/>
      <c r="IEO287" s="1132" t="n"/>
      <c r="IEP287" s="1132" t="n"/>
      <c r="IEQ287" s="1132" t="n"/>
      <c r="IER287" s="1132" t="n"/>
      <c r="IES287" s="1132" t="n"/>
      <c r="IET287" s="1132" t="n"/>
      <c r="IEU287" s="1132" t="n"/>
      <c r="IEV287" s="1132" t="n"/>
      <c r="IEW287" s="1132" t="n"/>
      <c r="IEX287" s="1132" t="n"/>
      <c r="IEY287" s="1132" t="n"/>
      <c r="IEZ287" s="1132" t="n"/>
      <c r="IFA287" s="1132" t="n"/>
      <c r="IFB287" s="1132" t="n"/>
      <c r="IFC287" s="1132" t="n"/>
      <c r="IFD287" s="1132" t="n"/>
      <c r="IFE287" s="1132" t="n"/>
      <c r="IFF287" s="1132" t="n"/>
      <c r="IFG287" s="1132" t="n"/>
      <c r="IFH287" s="1132" t="n"/>
      <c r="IFI287" s="1132" t="n"/>
      <c r="IFJ287" s="1132" t="n"/>
      <c r="IFK287" s="1132" t="n"/>
      <c r="IFL287" s="1132" t="n"/>
      <c r="IFM287" s="1132" t="n"/>
      <c r="IFN287" s="1132" t="n"/>
      <c r="IFO287" s="1132" t="n"/>
      <c r="IFP287" s="1132" t="n"/>
      <c r="IFQ287" s="1132" t="n"/>
      <c r="IFR287" s="1132" t="n"/>
      <c r="IFS287" s="1132" t="n"/>
      <c r="IFT287" s="1132" t="n"/>
      <c r="IFU287" s="1132" t="n"/>
      <c r="IFV287" s="1132" t="n"/>
      <c r="IFW287" s="1132" t="n"/>
      <c r="IFX287" s="1132" t="n"/>
      <c r="IFY287" s="1132" t="n"/>
      <c r="IFZ287" s="1132" t="n"/>
      <c r="IGA287" s="1132" t="n"/>
      <c r="IGB287" s="1132" t="n"/>
      <c r="IGC287" s="1132" t="n"/>
      <c r="IGD287" s="1132" t="n"/>
      <c r="IGE287" s="1132" t="n"/>
      <c r="IGF287" s="1132" t="n"/>
      <c r="IGG287" s="1132" t="n"/>
      <c r="IGH287" s="1132" t="n"/>
      <c r="IGI287" s="1132" t="n"/>
      <c r="IGJ287" s="1132" t="n"/>
      <c r="IGK287" s="1132" t="n"/>
      <c r="IGL287" s="1132" t="n"/>
      <c r="IGM287" s="1132" t="n"/>
      <c r="IGN287" s="1132" t="n"/>
      <c r="IGO287" s="1132" t="n"/>
      <c r="IGP287" s="1132" t="n"/>
      <c r="IGQ287" s="1132" t="n"/>
      <c r="IGR287" s="1132" t="n"/>
      <c r="IGS287" s="1132" t="n"/>
      <c r="IGT287" s="1132" t="n"/>
      <c r="IGU287" s="1132" t="n"/>
      <c r="IGV287" s="1132" t="n"/>
      <c r="IGW287" s="1132" t="n"/>
      <c r="IGX287" s="1132" t="n"/>
      <c r="IGY287" s="1132" t="n"/>
      <c r="IGZ287" s="1132" t="n"/>
      <c r="IHA287" s="1132" t="n"/>
      <c r="IHB287" s="1132" t="n"/>
      <c r="IHC287" s="1132" t="n"/>
      <c r="IHD287" s="1132" t="n"/>
      <c r="IHE287" s="1132" t="n"/>
      <c r="IHF287" s="1132" t="n"/>
      <c r="IHG287" s="1132" t="n"/>
      <c r="IHH287" s="1132" t="n"/>
      <c r="IHI287" s="1132" t="n"/>
      <c r="IHJ287" s="1132" t="n"/>
      <c r="IHK287" s="1132" t="n"/>
      <c r="IHL287" s="1132" t="n"/>
      <c r="IHM287" s="1132" t="n"/>
      <c r="IHN287" s="1132" t="n"/>
      <c r="IHO287" s="1132" t="n"/>
      <c r="IHP287" s="1132" t="n"/>
      <c r="IHQ287" s="1132" t="n"/>
      <c r="IHR287" s="1132" t="n"/>
      <c r="IHS287" s="1132" t="n"/>
      <c r="IHT287" s="1132" t="n"/>
      <c r="IHU287" s="1132" t="n"/>
      <c r="IHV287" s="1132" t="n"/>
      <c r="IHW287" s="1132" t="n"/>
      <c r="IHX287" s="1132" t="n"/>
      <c r="IHY287" s="1132" t="n"/>
      <c r="IHZ287" s="1132" t="n"/>
      <c r="IIA287" s="1132" t="n"/>
      <c r="IIB287" s="1132" t="n"/>
      <c r="IIC287" s="1132" t="n"/>
      <c r="IID287" s="1132" t="n"/>
      <c r="IIE287" s="1132" t="n"/>
      <c r="IIF287" s="1132" t="n"/>
      <c r="IIG287" s="1132" t="n"/>
      <c r="IIH287" s="1132" t="n"/>
      <c r="III287" s="1132" t="n"/>
      <c r="IIJ287" s="1132" t="n"/>
      <c r="IIK287" s="1132" t="n"/>
      <c r="IIL287" s="1132" t="n"/>
      <c r="IIM287" s="1132" t="n"/>
      <c r="IIN287" s="1132" t="n"/>
      <c r="IIO287" s="1132" t="n"/>
      <c r="IIP287" s="1132" t="n"/>
      <c r="IIQ287" s="1132" t="n"/>
      <c r="IIR287" s="1132" t="n"/>
      <c r="IIS287" s="1132" t="n"/>
      <c r="IIT287" s="1132" t="n"/>
      <c r="IIU287" s="1132" t="n"/>
      <c r="IIV287" s="1132" t="n"/>
      <c r="IIW287" s="1132" t="n"/>
      <c r="IIX287" s="1132" t="n"/>
      <c r="IIY287" s="1132" t="n"/>
      <c r="IIZ287" s="1132" t="n"/>
      <c r="IJA287" s="1132" t="n"/>
      <c r="IJB287" s="1132" t="n"/>
      <c r="IJC287" s="1132" t="n"/>
      <c r="IJD287" s="1132" t="n"/>
      <c r="IJE287" s="1132" t="n"/>
      <c r="IJF287" s="1132" t="n"/>
      <c r="IJG287" s="1132" t="n"/>
      <c r="IJH287" s="1132" t="n"/>
      <c r="IJI287" s="1132" t="n"/>
      <c r="IJJ287" s="1132" t="n"/>
      <c r="IJK287" s="1132" t="n"/>
      <c r="IJL287" s="1132" t="n"/>
      <c r="IJM287" s="1132" t="n"/>
      <c r="IJN287" s="1132" t="n"/>
      <c r="IJO287" s="1132" t="n"/>
      <c r="IJP287" s="1132" t="n"/>
      <c r="IJQ287" s="1132" t="n"/>
      <c r="IJR287" s="1132" t="n"/>
      <c r="IJS287" s="1132" t="n"/>
      <c r="IJT287" s="1132" t="n"/>
      <c r="IJU287" s="1132" t="n"/>
      <c r="IJV287" s="1132" t="n"/>
      <c r="IJW287" s="1132" t="n"/>
      <c r="IJX287" s="1132" t="n"/>
      <c r="IJY287" s="1132" t="n"/>
      <c r="IJZ287" s="1132" t="n"/>
      <c r="IKA287" s="1132" t="n"/>
      <c r="IKB287" s="1132" t="n"/>
      <c r="IKC287" s="1132" t="n"/>
      <c r="IKD287" s="1132" t="n"/>
      <c r="IKE287" s="1132" t="n"/>
      <c r="IKF287" s="1132" t="n"/>
      <c r="IKG287" s="1132" t="n"/>
      <c r="IKH287" s="1132" t="n"/>
      <c r="IKI287" s="1132" t="n"/>
      <c r="IKJ287" s="1132" t="n"/>
      <c r="IKK287" s="1132" t="n"/>
      <c r="IKL287" s="1132" t="n"/>
      <c r="IKM287" s="1132" t="n"/>
      <c r="IKN287" s="1132" t="n"/>
      <c r="IKO287" s="1132" t="n"/>
      <c r="IKP287" s="1132" t="n"/>
      <c r="IKQ287" s="1132" t="n"/>
      <c r="IKR287" s="1132" t="n"/>
      <c r="IKS287" s="1132" t="n"/>
      <c r="IKT287" s="1132" t="n"/>
      <c r="IKU287" s="1132" t="n"/>
      <c r="IKV287" s="1132" t="n"/>
      <c r="IKW287" s="1132" t="n"/>
      <c r="IKX287" s="1132" t="n"/>
      <c r="IKY287" s="1132" t="n"/>
      <c r="IKZ287" s="1132" t="n"/>
      <c r="ILA287" s="1132" t="n"/>
      <c r="ILB287" s="1132" t="n"/>
      <c r="ILC287" s="1132" t="n"/>
      <c r="ILD287" s="1132" t="n"/>
      <c r="ILE287" s="1132" t="n"/>
      <c r="ILF287" s="1132" t="n"/>
      <c r="ILG287" s="1132" t="n"/>
      <c r="ILH287" s="1132" t="n"/>
      <c r="ILI287" s="1132" t="n"/>
      <c r="ILJ287" s="1132" t="n"/>
      <c r="ILK287" s="1132" t="n"/>
      <c r="ILL287" s="1132" t="n"/>
      <c r="ILM287" s="1132" t="n"/>
      <c r="ILN287" s="1132" t="n"/>
      <c r="ILO287" s="1132" t="n"/>
      <c r="ILP287" s="1132" t="n"/>
      <c r="ILQ287" s="1132" t="n"/>
      <c r="ILR287" s="1132" t="n"/>
      <c r="ILS287" s="1132" t="n"/>
      <c r="ILT287" s="1132" t="n"/>
      <c r="ILU287" s="1132" t="n"/>
      <c r="ILV287" s="1132" t="n"/>
      <c r="ILW287" s="1132" t="n"/>
      <c r="ILX287" s="1132" t="n"/>
      <c r="ILY287" s="1132" t="n"/>
      <c r="ILZ287" s="1132" t="n"/>
      <c r="IMA287" s="1132" t="n"/>
      <c r="IMB287" s="1132" t="n"/>
      <c r="IMC287" s="1132" t="n"/>
      <c r="IMD287" s="1132" t="n"/>
      <c r="IME287" s="1132" t="n"/>
      <c r="IMF287" s="1132" t="n"/>
      <c r="IMG287" s="1132" t="n"/>
      <c r="IMH287" s="1132" t="n"/>
      <c r="IMI287" s="1132" t="n"/>
      <c r="IMJ287" s="1132" t="n"/>
      <c r="IMK287" s="1132" t="n"/>
      <c r="IML287" s="1132" t="n"/>
      <c r="IMM287" s="1132" t="n"/>
      <c r="IMN287" s="1132" t="n"/>
      <c r="IMO287" s="1132" t="n"/>
      <c r="IMP287" s="1132" t="n"/>
      <c r="IMQ287" s="1132" t="n"/>
      <c r="IMR287" s="1132" t="n"/>
      <c r="IMS287" s="1132" t="n"/>
      <c r="IMT287" s="1132" t="n"/>
      <c r="IMU287" s="1132" t="n"/>
      <c r="IMV287" s="1132" t="n"/>
      <c r="IMW287" s="1132" t="n"/>
      <c r="IMX287" s="1132" t="n"/>
      <c r="IMY287" s="1132" t="n"/>
      <c r="IMZ287" s="1132" t="n"/>
      <c r="INA287" s="1132" t="n"/>
      <c r="INB287" s="1132" t="n"/>
      <c r="INC287" s="1132" t="n"/>
      <c r="IND287" s="1132" t="n"/>
      <c r="INE287" s="1132" t="n"/>
      <c r="INF287" s="1132" t="n"/>
      <c r="ING287" s="1132" t="n"/>
      <c r="INH287" s="1132" t="n"/>
      <c r="INI287" s="1132" t="n"/>
      <c r="INJ287" s="1132" t="n"/>
      <c r="INK287" s="1132" t="n"/>
      <c r="INL287" s="1132" t="n"/>
      <c r="INM287" s="1132" t="n"/>
      <c r="INN287" s="1132" t="n"/>
      <c r="INO287" s="1132" t="n"/>
      <c r="INP287" s="1132" t="n"/>
      <c r="INQ287" s="1132" t="n"/>
      <c r="INR287" s="1132" t="n"/>
      <c r="INS287" s="1132" t="n"/>
      <c r="INT287" s="1132" t="n"/>
      <c r="INU287" s="1132" t="n"/>
      <c r="INV287" s="1132" t="n"/>
      <c r="INW287" s="1132" t="n"/>
      <c r="INX287" s="1132" t="n"/>
      <c r="INY287" s="1132" t="n"/>
      <c r="INZ287" s="1132" t="n"/>
      <c r="IOA287" s="1132" t="n"/>
      <c r="IOB287" s="1132" t="n"/>
      <c r="IOC287" s="1132" t="n"/>
      <c r="IOD287" s="1132" t="n"/>
      <c r="IOE287" s="1132" t="n"/>
      <c r="IOF287" s="1132" t="n"/>
      <c r="IOG287" s="1132" t="n"/>
      <c r="IOH287" s="1132" t="n"/>
      <c r="IOI287" s="1132" t="n"/>
      <c r="IOJ287" s="1132" t="n"/>
      <c r="IOK287" s="1132" t="n"/>
      <c r="IOL287" s="1132" t="n"/>
      <c r="IOM287" s="1132" t="n"/>
      <c r="ION287" s="1132" t="n"/>
      <c r="IOO287" s="1132" t="n"/>
      <c r="IOP287" s="1132" t="n"/>
      <c r="IOQ287" s="1132" t="n"/>
      <c r="IOR287" s="1132" t="n"/>
      <c r="IOS287" s="1132" t="n"/>
      <c r="IOT287" s="1132" t="n"/>
      <c r="IOU287" s="1132" t="n"/>
      <c r="IOV287" s="1132" t="n"/>
      <c r="IOW287" s="1132" t="n"/>
      <c r="IOX287" s="1132" t="n"/>
      <c r="IOY287" s="1132" t="n"/>
      <c r="IOZ287" s="1132" t="n"/>
      <c r="IPA287" s="1132" t="n"/>
      <c r="IPB287" s="1132" t="n"/>
      <c r="IPC287" s="1132" t="n"/>
      <c r="IPD287" s="1132" t="n"/>
      <c r="IPE287" s="1132" t="n"/>
      <c r="IPF287" s="1132" t="n"/>
      <c r="IPG287" s="1132" t="n"/>
      <c r="IPH287" s="1132" t="n"/>
      <c r="IPI287" s="1132" t="n"/>
      <c r="IPJ287" s="1132" t="n"/>
      <c r="IPK287" s="1132" t="n"/>
      <c r="IPL287" s="1132" t="n"/>
      <c r="IPM287" s="1132" t="n"/>
      <c r="IPN287" s="1132" t="n"/>
      <c r="IPO287" s="1132" t="n"/>
      <c r="IPP287" s="1132" t="n"/>
      <c r="IPQ287" s="1132" t="n"/>
      <c r="IPR287" s="1132" t="n"/>
      <c r="IPS287" s="1132" t="n"/>
      <c r="IPT287" s="1132" t="n"/>
      <c r="IPU287" s="1132" t="n"/>
      <c r="IPV287" s="1132" t="n"/>
      <c r="IPW287" s="1132" t="n"/>
      <c r="IPX287" s="1132" t="n"/>
      <c r="IPY287" s="1132" t="n"/>
      <c r="IPZ287" s="1132" t="n"/>
      <c r="IQA287" s="1132" t="n"/>
      <c r="IQB287" s="1132" t="n"/>
      <c r="IQC287" s="1132" t="n"/>
      <c r="IQD287" s="1132" t="n"/>
      <c r="IQE287" s="1132" t="n"/>
      <c r="IQF287" s="1132" t="n"/>
      <c r="IQG287" s="1132" t="n"/>
      <c r="IQH287" s="1132" t="n"/>
      <c r="IQI287" s="1132" t="n"/>
      <c r="IQJ287" s="1132" t="n"/>
      <c r="IQK287" s="1132" t="n"/>
      <c r="IQL287" s="1132" t="n"/>
      <c r="IQM287" s="1132" t="n"/>
      <c r="IQN287" s="1132" t="n"/>
      <c r="IQO287" s="1132" t="n"/>
      <c r="IQP287" s="1132" t="n"/>
      <c r="IQQ287" s="1132" t="n"/>
      <c r="IQR287" s="1132" t="n"/>
      <c r="IQS287" s="1132" t="n"/>
      <c r="IQT287" s="1132" t="n"/>
      <c r="IQU287" s="1132" t="n"/>
      <c r="IQV287" s="1132" t="n"/>
      <c r="IQW287" s="1132" t="n"/>
      <c r="IQX287" s="1132" t="n"/>
      <c r="IQY287" s="1132" t="n"/>
      <c r="IQZ287" s="1132" t="n"/>
      <c r="IRA287" s="1132" t="n"/>
      <c r="IRB287" s="1132" t="n"/>
      <c r="IRC287" s="1132" t="n"/>
      <c r="IRD287" s="1132" t="n"/>
      <c r="IRE287" s="1132" t="n"/>
      <c r="IRF287" s="1132" t="n"/>
      <c r="IRG287" s="1132" t="n"/>
      <c r="IRH287" s="1132" t="n"/>
      <c r="IRI287" s="1132" t="n"/>
      <c r="IRJ287" s="1132" t="n"/>
      <c r="IRK287" s="1132" t="n"/>
      <c r="IRL287" s="1132" t="n"/>
      <c r="IRM287" s="1132" t="n"/>
      <c r="IRN287" s="1132" t="n"/>
      <c r="IRO287" s="1132" t="n"/>
      <c r="IRP287" s="1132" t="n"/>
      <c r="IRQ287" s="1132" t="n"/>
      <c r="IRR287" s="1132" t="n"/>
      <c r="IRS287" s="1132" t="n"/>
      <c r="IRT287" s="1132" t="n"/>
      <c r="IRU287" s="1132" t="n"/>
      <c r="IRV287" s="1132" t="n"/>
      <c r="IRW287" s="1132" t="n"/>
      <c r="IRX287" s="1132" t="n"/>
      <c r="IRY287" s="1132" t="n"/>
      <c r="IRZ287" s="1132" t="n"/>
      <c r="ISA287" s="1132" t="n"/>
      <c r="ISB287" s="1132" t="n"/>
      <c r="ISC287" s="1132" t="n"/>
      <c r="ISD287" s="1132" t="n"/>
      <c r="ISE287" s="1132" t="n"/>
      <c r="ISF287" s="1132" t="n"/>
      <c r="ISG287" s="1132" t="n"/>
      <c r="ISH287" s="1132" t="n"/>
      <c r="ISI287" s="1132" t="n"/>
      <c r="ISJ287" s="1132" t="n"/>
      <c r="ISK287" s="1132" t="n"/>
      <c r="ISL287" s="1132" t="n"/>
      <c r="ISM287" s="1132" t="n"/>
      <c r="ISN287" s="1132" t="n"/>
      <c r="ISO287" s="1132" t="n"/>
      <c r="ISP287" s="1132" t="n"/>
      <c r="ISQ287" s="1132" t="n"/>
      <c r="ISR287" s="1132" t="n"/>
      <c r="ISS287" s="1132" t="n"/>
      <c r="IST287" s="1132" t="n"/>
      <c r="ISU287" s="1132" t="n"/>
      <c r="ISV287" s="1132" t="n"/>
      <c r="ISW287" s="1132" t="n"/>
      <c r="ISX287" s="1132" t="n"/>
      <c r="ISY287" s="1132" t="n"/>
      <c r="ISZ287" s="1132" t="n"/>
      <c r="ITA287" s="1132" t="n"/>
      <c r="ITB287" s="1132" t="n"/>
      <c r="ITC287" s="1132" t="n"/>
      <c r="ITD287" s="1132" t="n"/>
      <c r="ITE287" s="1132" t="n"/>
      <c r="ITF287" s="1132" t="n"/>
      <c r="ITG287" s="1132" t="n"/>
      <c r="ITH287" s="1132" t="n"/>
      <c r="ITI287" s="1132" t="n"/>
      <c r="ITJ287" s="1132" t="n"/>
      <c r="ITK287" s="1132" t="n"/>
      <c r="ITL287" s="1132" t="n"/>
      <c r="ITM287" s="1132" t="n"/>
      <c r="ITN287" s="1132" t="n"/>
      <c r="ITO287" s="1132" t="n"/>
      <c r="ITP287" s="1132" t="n"/>
      <c r="ITQ287" s="1132" t="n"/>
      <c r="ITR287" s="1132" t="n"/>
      <c r="ITS287" s="1132" t="n"/>
      <c r="ITT287" s="1132" t="n"/>
      <c r="ITU287" s="1132" t="n"/>
      <c r="ITV287" s="1132" t="n"/>
      <c r="ITW287" s="1132" t="n"/>
      <c r="ITX287" s="1132" t="n"/>
      <c r="ITY287" s="1132" t="n"/>
      <c r="ITZ287" s="1132" t="n"/>
      <c r="IUA287" s="1132" t="n"/>
      <c r="IUB287" s="1132" t="n"/>
      <c r="IUC287" s="1132" t="n"/>
      <c r="IUD287" s="1132" t="n"/>
      <c r="IUE287" s="1132" t="n"/>
      <c r="IUF287" s="1132" t="n"/>
      <c r="IUG287" s="1132" t="n"/>
      <c r="IUH287" s="1132" t="n"/>
      <c r="IUI287" s="1132" t="n"/>
      <c r="IUJ287" s="1132" t="n"/>
      <c r="IUK287" s="1132" t="n"/>
      <c r="IUL287" s="1132" t="n"/>
      <c r="IUM287" s="1132" t="n"/>
      <c r="IUN287" s="1132" t="n"/>
      <c r="IUO287" s="1132" t="n"/>
      <c r="IUP287" s="1132" t="n"/>
      <c r="IUQ287" s="1132" t="n"/>
      <c r="IUR287" s="1132" t="n"/>
      <c r="IUS287" s="1132" t="n"/>
      <c r="IUT287" s="1132" t="n"/>
      <c r="IUU287" s="1132" t="n"/>
      <c r="IUV287" s="1132" t="n"/>
      <c r="IUW287" s="1132" t="n"/>
      <c r="IUX287" s="1132" t="n"/>
      <c r="IUY287" s="1132" t="n"/>
      <c r="IUZ287" s="1132" t="n"/>
      <c r="IVA287" s="1132" t="n"/>
      <c r="IVB287" s="1132" t="n"/>
      <c r="IVC287" s="1132" t="n"/>
      <c r="IVD287" s="1132" t="n"/>
      <c r="IVE287" s="1132" t="n"/>
      <c r="IVF287" s="1132" t="n"/>
      <c r="IVG287" s="1132" t="n"/>
      <c r="IVH287" s="1132" t="n"/>
      <c r="IVI287" s="1132" t="n"/>
      <c r="IVJ287" s="1132" t="n"/>
      <c r="IVK287" s="1132" t="n"/>
      <c r="IVL287" s="1132" t="n"/>
      <c r="IVM287" s="1132" t="n"/>
      <c r="IVN287" s="1132" t="n"/>
      <c r="IVO287" s="1132" t="n"/>
      <c r="IVP287" s="1132" t="n"/>
      <c r="IVQ287" s="1132" t="n"/>
      <c r="IVR287" s="1132" t="n"/>
      <c r="IVS287" s="1132" t="n"/>
      <c r="IVT287" s="1132" t="n"/>
      <c r="IVU287" s="1132" t="n"/>
      <c r="IVV287" s="1132" t="n"/>
      <c r="IVW287" s="1132" t="n"/>
      <c r="IVX287" s="1132" t="n"/>
      <c r="IVY287" s="1132" t="n"/>
      <c r="IVZ287" s="1132" t="n"/>
      <c r="IWA287" s="1132" t="n"/>
      <c r="IWB287" s="1132" t="n"/>
      <c r="IWC287" s="1132" t="n"/>
      <c r="IWD287" s="1132" t="n"/>
      <c r="IWE287" s="1132" t="n"/>
      <c r="IWF287" s="1132" t="n"/>
      <c r="IWG287" s="1132" t="n"/>
      <c r="IWH287" s="1132" t="n"/>
      <c r="IWI287" s="1132" t="n"/>
      <c r="IWJ287" s="1132" t="n"/>
      <c r="IWK287" s="1132" t="n"/>
      <c r="IWL287" s="1132" t="n"/>
      <c r="IWM287" s="1132" t="n"/>
      <c r="IWN287" s="1132" t="n"/>
      <c r="IWO287" s="1132" t="n"/>
      <c r="IWP287" s="1132" t="n"/>
      <c r="IWQ287" s="1132" t="n"/>
      <c r="IWR287" s="1132" t="n"/>
      <c r="IWS287" s="1132" t="n"/>
      <c r="IWT287" s="1132" t="n"/>
      <c r="IWU287" s="1132" t="n"/>
      <c r="IWV287" s="1132" t="n"/>
      <c r="IWW287" s="1132" t="n"/>
      <c r="IWX287" s="1132" t="n"/>
      <c r="IWY287" s="1132" t="n"/>
      <c r="IWZ287" s="1132" t="n"/>
      <c r="IXA287" s="1132" t="n"/>
      <c r="IXB287" s="1132" t="n"/>
      <c r="IXC287" s="1132" t="n"/>
      <c r="IXD287" s="1132" t="n"/>
      <c r="IXE287" s="1132" t="n"/>
      <c r="IXF287" s="1132" t="n"/>
      <c r="IXG287" s="1132" t="n"/>
      <c r="IXH287" s="1132" t="n"/>
      <c r="IXI287" s="1132" t="n"/>
      <c r="IXJ287" s="1132" t="n"/>
      <c r="IXK287" s="1132" t="n"/>
      <c r="IXL287" s="1132" t="n"/>
      <c r="IXM287" s="1132" t="n"/>
      <c r="IXN287" s="1132" t="n"/>
      <c r="IXO287" s="1132" t="n"/>
      <c r="IXP287" s="1132" t="n"/>
      <c r="IXQ287" s="1132" t="n"/>
      <c r="IXR287" s="1132" t="n"/>
      <c r="IXS287" s="1132" t="n"/>
      <c r="IXT287" s="1132" t="n"/>
      <c r="IXU287" s="1132" t="n"/>
      <c r="IXV287" s="1132" t="n"/>
      <c r="IXW287" s="1132" t="n"/>
      <c r="IXX287" s="1132" t="n"/>
      <c r="IXY287" s="1132" t="n"/>
      <c r="IXZ287" s="1132" t="n"/>
      <c r="IYA287" s="1132" t="n"/>
      <c r="IYB287" s="1132" t="n"/>
      <c r="IYC287" s="1132" t="n"/>
      <c r="IYD287" s="1132" t="n"/>
      <c r="IYE287" s="1132" t="n"/>
      <c r="IYF287" s="1132" t="n"/>
      <c r="IYG287" s="1132" t="n"/>
      <c r="IYH287" s="1132" t="n"/>
      <c r="IYI287" s="1132" t="n"/>
      <c r="IYJ287" s="1132" t="n"/>
      <c r="IYK287" s="1132" t="n"/>
      <c r="IYL287" s="1132" t="n"/>
      <c r="IYM287" s="1132" t="n"/>
      <c r="IYN287" s="1132" t="n"/>
      <c r="IYO287" s="1132" t="n"/>
      <c r="IYP287" s="1132" t="n"/>
      <c r="IYQ287" s="1132" t="n"/>
      <c r="IYR287" s="1132" t="n"/>
      <c r="IYS287" s="1132" t="n"/>
      <c r="IYT287" s="1132" t="n"/>
      <c r="IYU287" s="1132" t="n"/>
      <c r="IYV287" s="1132" t="n"/>
      <c r="IYW287" s="1132" t="n"/>
      <c r="IYX287" s="1132" t="n"/>
      <c r="IYY287" s="1132" t="n"/>
      <c r="IYZ287" s="1132" t="n"/>
      <c r="IZA287" s="1132" t="n"/>
      <c r="IZB287" s="1132" t="n"/>
      <c r="IZC287" s="1132" t="n"/>
      <c r="IZD287" s="1132" t="n"/>
      <c r="IZE287" s="1132" t="n"/>
      <c r="IZF287" s="1132" t="n"/>
      <c r="IZG287" s="1132" t="n"/>
      <c r="IZH287" s="1132" t="n"/>
      <c r="IZI287" s="1132" t="n"/>
      <c r="IZJ287" s="1132" t="n"/>
      <c r="IZK287" s="1132" t="n"/>
      <c r="IZL287" s="1132" t="n"/>
      <c r="IZM287" s="1132" t="n"/>
      <c r="IZN287" s="1132" t="n"/>
      <c r="IZO287" s="1132" t="n"/>
      <c r="IZP287" s="1132" t="n"/>
      <c r="IZQ287" s="1132" t="n"/>
      <c r="IZR287" s="1132" t="n"/>
      <c r="IZS287" s="1132" t="n"/>
      <c r="IZT287" s="1132" t="n"/>
      <c r="IZU287" s="1132" t="n"/>
      <c r="IZV287" s="1132" t="n"/>
      <c r="IZW287" s="1132" t="n"/>
      <c r="IZX287" s="1132" t="n"/>
      <c r="IZY287" s="1132" t="n"/>
      <c r="IZZ287" s="1132" t="n"/>
      <c r="JAA287" s="1132" t="n"/>
      <c r="JAB287" s="1132" t="n"/>
      <c r="JAC287" s="1132" t="n"/>
      <c r="JAD287" s="1132" t="n"/>
      <c r="JAE287" s="1132" t="n"/>
      <c r="JAF287" s="1132" t="n"/>
      <c r="JAG287" s="1132" t="n"/>
      <c r="JAH287" s="1132" t="n"/>
      <c r="JAI287" s="1132" t="n"/>
      <c r="JAJ287" s="1132" t="n"/>
      <c r="JAK287" s="1132" t="n"/>
      <c r="JAL287" s="1132" t="n"/>
      <c r="JAM287" s="1132" t="n"/>
      <c r="JAN287" s="1132" t="n"/>
      <c r="JAO287" s="1132" t="n"/>
      <c r="JAP287" s="1132" t="n"/>
      <c r="JAQ287" s="1132" t="n"/>
      <c r="JAR287" s="1132" t="n"/>
      <c r="JAS287" s="1132" t="n"/>
      <c r="JAT287" s="1132" t="n"/>
      <c r="JAU287" s="1132" t="n"/>
      <c r="JAV287" s="1132" t="n"/>
      <c r="JAW287" s="1132" t="n"/>
      <c r="JAX287" s="1132" t="n"/>
      <c r="JAY287" s="1132" t="n"/>
      <c r="JAZ287" s="1132" t="n"/>
      <c r="JBA287" s="1132" t="n"/>
      <c r="JBB287" s="1132" t="n"/>
      <c r="JBC287" s="1132" t="n"/>
      <c r="JBD287" s="1132" t="n"/>
      <c r="JBE287" s="1132" t="n"/>
      <c r="JBF287" s="1132" t="n"/>
      <c r="JBG287" s="1132" t="n"/>
      <c r="JBH287" s="1132" t="n"/>
      <c r="JBI287" s="1132" t="n"/>
      <c r="JBJ287" s="1132" t="n"/>
      <c r="JBK287" s="1132" t="n"/>
      <c r="JBL287" s="1132" t="n"/>
      <c r="JBM287" s="1132" t="n"/>
      <c r="JBN287" s="1132" t="n"/>
      <c r="JBO287" s="1132" t="n"/>
      <c r="JBP287" s="1132" t="n"/>
      <c r="JBQ287" s="1132" t="n"/>
      <c r="JBR287" s="1132" t="n"/>
      <c r="JBS287" s="1132" t="n"/>
      <c r="JBT287" s="1132" t="n"/>
      <c r="JBU287" s="1132" t="n"/>
      <c r="JBV287" s="1132" t="n"/>
      <c r="JBW287" s="1132" t="n"/>
      <c r="JBX287" s="1132" t="n"/>
      <c r="JBY287" s="1132" t="n"/>
      <c r="JBZ287" s="1132" t="n"/>
      <c r="JCA287" s="1132" t="n"/>
      <c r="JCB287" s="1132" t="n"/>
      <c r="JCC287" s="1132" t="n"/>
      <c r="JCD287" s="1132" t="n"/>
      <c r="JCE287" s="1132" t="n"/>
      <c r="JCF287" s="1132" t="n"/>
      <c r="JCG287" s="1132" t="n"/>
      <c r="JCH287" s="1132" t="n"/>
      <c r="JCI287" s="1132" t="n"/>
      <c r="JCJ287" s="1132" t="n"/>
      <c r="JCK287" s="1132" t="n"/>
      <c r="JCL287" s="1132" t="n"/>
      <c r="JCM287" s="1132" t="n"/>
      <c r="JCN287" s="1132" t="n"/>
      <c r="JCO287" s="1132" t="n"/>
      <c r="JCP287" s="1132" t="n"/>
      <c r="JCQ287" s="1132" t="n"/>
      <c r="JCR287" s="1132" t="n"/>
      <c r="JCS287" s="1132" t="n"/>
      <c r="JCT287" s="1132" t="n"/>
      <c r="JCU287" s="1132" t="n"/>
      <c r="JCV287" s="1132" t="n"/>
      <c r="JCW287" s="1132" t="n"/>
      <c r="JCX287" s="1132" t="n"/>
      <c r="JCY287" s="1132" t="n"/>
      <c r="JCZ287" s="1132" t="n"/>
      <c r="JDA287" s="1132" t="n"/>
      <c r="JDB287" s="1132" t="n"/>
      <c r="JDC287" s="1132" t="n"/>
      <c r="JDD287" s="1132" t="n"/>
      <c r="JDE287" s="1132" t="n"/>
      <c r="JDF287" s="1132" t="n"/>
      <c r="JDG287" s="1132" t="n"/>
      <c r="JDH287" s="1132" t="n"/>
      <c r="JDI287" s="1132" t="n"/>
      <c r="JDJ287" s="1132" t="n"/>
      <c r="JDK287" s="1132" t="n"/>
      <c r="JDL287" s="1132" t="n"/>
      <c r="JDM287" s="1132" t="n"/>
      <c r="JDN287" s="1132" t="n"/>
      <c r="JDO287" s="1132" t="n"/>
      <c r="JDP287" s="1132" t="n"/>
      <c r="JDQ287" s="1132" t="n"/>
      <c r="JDR287" s="1132" t="n"/>
      <c r="JDS287" s="1132" t="n"/>
      <c r="JDT287" s="1132" t="n"/>
      <c r="JDU287" s="1132" t="n"/>
      <c r="JDV287" s="1132" t="n"/>
      <c r="JDW287" s="1132" t="n"/>
      <c r="JDX287" s="1132" t="n"/>
      <c r="JDY287" s="1132" t="n"/>
      <c r="JDZ287" s="1132" t="n"/>
      <c r="JEA287" s="1132" t="n"/>
      <c r="JEB287" s="1132" t="n"/>
      <c r="JEC287" s="1132" t="n"/>
      <c r="JED287" s="1132" t="n"/>
      <c r="JEE287" s="1132" t="n"/>
      <c r="JEF287" s="1132" t="n"/>
      <c r="JEG287" s="1132" t="n"/>
      <c r="JEH287" s="1132" t="n"/>
      <c r="JEI287" s="1132" t="n"/>
      <c r="JEJ287" s="1132" t="n"/>
      <c r="JEK287" s="1132" t="n"/>
      <c r="JEL287" s="1132" t="n"/>
      <c r="JEM287" s="1132" t="n"/>
      <c r="JEN287" s="1132" t="n"/>
      <c r="JEO287" s="1132" t="n"/>
      <c r="JEP287" s="1132" t="n"/>
      <c r="JEQ287" s="1132" t="n"/>
      <c r="JER287" s="1132" t="n"/>
      <c r="JES287" s="1132" t="n"/>
      <c r="JET287" s="1132" t="n"/>
      <c r="JEU287" s="1132" t="n"/>
      <c r="JEV287" s="1132" t="n"/>
      <c r="JEW287" s="1132" t="n"/>
      <c r="JEX287" s="1132" t="n"/>
      <c r="JEY287" s="1132" t="n"/>
      <c r="JEZ287" s="1132" t="n"/>
      <c r="JFA287" s="1132" t="n"/>
      <c r="JFB287" s="1132" t="n"/>
      <c r="JFC287" s="1132" t="n"/>
      <c r="JFD287" s="1132" t="n"/>
      <c r="JFE287" s="1132" t="n"/>
      <c r="JFF287" s="1132" t="n"/>
      <c r="JFG287" s="1132" t="n"/>
      <c r="JFH287" s="1132" t="n"/>
      <c r="JFI287" s="1132" t="n"/>
      <c r="JFJ287" s="1132" t="n"/>
      <c r="JFK287" s="1132" t="n"/>
      <c r="JFL287" s="1132" t="n"/>
      <c r="JFM287" s="1132" t="n"/>
      <c r="JFN287" s="1132" t="n"/>
      <c r="JFO287" s="1132" t="n"/>
      <c r="JFP287" s="1132" t="n"/>
      <c r="JFQ287" s="1132" t="n"/>
      <c r="JFR287" s="1132" t="n"/>
      <c r="JFS287" s="1132" t="n"/>
      <c r="JFT287" s="1132" t="n"/>
      <c r="JFU287" s="1132" t="n"/>
      <c r="JFV287" s="1132" t="n"/>
      <c r="JFW287" s="1132" t="n"/>
      <c r="JFX287" s="1132" t="n"/>
      <c r="JFY287" s="1132" t="n"/>
      <c r="JFZ287" s="1132" t="n"/>
      <c r="JGA287" s="1132" t="n"/>
      <c r="JGB287" s="1132" t="n"/>
      <c r="JGC287" s="1132" t="n"/>
      <c r="JGD287" s="1132" t="n"/>
      <c r="JGE287" s="1132" t="n"/>
      <c r="JGF287" s="1132" t="n"/>
      <c r="JGG287" s="1132" t="n"/>
      <c r="JGH287" s="1132" t="n"/>
      <c r="JGI287" s="1132" t="n"/>
      <c r="JGJ287" s="1132" t="n"/>
      <c r="JGK287" s="1132" t="n"/>
      <c r="JGL287" s="1132" t="n"/>
      <c r="JGM287" s="1132" t="n"/>
      <c r="JGN287" s="1132" t="n"/>
      <c r="JGO287" s="1132" t="n"/>
      <c r="JGP287" s="1132" t="n"/>
      <c r="JGQ287" s="1132" t="n"/>
      <c r="JGR287" s="1132" t="n"/>
      <c r="JGS287" s="1132" t="n"/>
      <c r="JGT287" s="1132" t="n"/>
      <c r="JGU287" s="1132" t="n"/>
      <c r="JGV287" s="1132" t="n"/>
      <c r="JGW287" s="1132" t="n"/>
      <c r="JGX287" s="1132" t="n"/>
      <c r="JGY287" s="1132" t="n"/>
      <c r="JGZ287" s="1132" t="n"/>
      <c r="JHA287" s="1132" t="n"/>
      <c r="JHB287" s="1132" t="n"/>
      <c r="JHC287" s="1132" t="n"/>
      <c r="JHD287" s="1132" t="n"/>
      <c r="JHE287" s="1132" t="n"/>
      <c r="JHF287" s="1132" t="n"/>
      <c r="JHG287" s="1132" t="n"/>
      <c r="JHH287" s="1132" t="n"/>
      <c r="JHI287" s="1132" t="n"/>
      <c r="JHJ287" s="1132" t="n"/>
      <c r="JHK287" s="1132" t="n"/>
      <c r="JHL287" s="1132" t="n"/>
      <c r="JHM287" s="1132" t="n"/>
      <c r="JHN287" s="1132" t="n"/>
      <c r="JHO287" s="1132" t="n"/>
      <c r="JHP287" s="1132" t="n"/>
      <c r="JHQ287" s="1132" t="n"/>
      <c r="JHR287" s="1132" t="n"/>
      <c r="JHS287" s="1132" t="n"/>
      <c r="JHT287" s="1132" t="n"/>
      <c r="JHU287" s="1132" t="n"/>
      <c r="JHV287" s="1132" t="n"/>
      <c r="JHW287" s="1132" t="n"/>
      <c r="JHX287" s="1132" t="n"/>
      <c r="JHY287" s="1132" t="n"/>
      <c r="JHZ287" s="1132" t="n"/>
      <c r="JIA287" s="1132" t="n"/>
      <c r="JIB287" s="1132" t="n"/>
      <c r="JIC287" s="1132" t="n"/>
      <c r="JID287" s="1132" t="n"/>
      <c r="JIE287" s="1132" t="n"/>
      <c r="JIF287" s="1132" t="n"/>
      <c r="JIG287" s="1132" t="n"/>
      <c r="JIH287" s="1132" t="n"/>
      <c r="JII287" s="1132" t="n"/>
      <c r="JIJ287" s="1132" t="n"/>
      <c r="JIK287" s="1132" t="n"/>
      <c r="JIL287" s="1132" t="n"/>
      <c r="JIM287" s="1132" t="n"/>
      <c r="JIN287" s="1132" t="n"/>
      <c r="JIO287" s="1132" t="n"/>
      <c r="JIP287" s="1132" t="n"/>
      <c r="JIQ287" s="1132" t="n"/>
      <c r="JIR287" s="1132" t="n"/>
      <c r="JIS287" s="1132" t="n"/>
      <c r="JIT287" s="1132" t="n"/>
      <c r="JIU287" s="1132" t="n"/>
      <c r="JIV287" s="1132" t="n"/>
      <c r="JIW287" s="1132" t="n"/>
      <c r="JIX287" s="1132" t="n"/>
      <c r="JIY287" s="1132" t="n"/>
      <c r="JIZ287" s="1132" t="n"/>
      <c r="JJA287" s="1132" t="n"/>
      <c r="JJB287" s="1132" t="n"/>
      <c r="JJC287" s="1132" t="n"/>
      <c r="JJD287" s="1132" t="n"/>
      <c r="JJE287" s="1132" t="n"/>
      <c r="JJF287" s="1132" t="n"/>
      <c r="JJG287" s="1132" t="n"/>
      <c r="JJH287" s="1132" t="n"/>
      <c r="JJI287" s="1132" t="n"/>
      <c r="JJJ287" s="1132" t="n"/>
      <c r="JJK287" s="1132" t="n"/>
      <c r="JJL287" s="1132" t="n"/>
      <c r="JJM287" s="1132" t="n"/>
      <c r="JJN287" s="1132" t="n"/>
      <c r="JJO287" s="1132" t="n"/>
      <c r="JJP287" s="1132" t="n"/>
      <c r="JJQ287" s="1132" t="n"/>
      <c r="JJR287" s="1132" t="n"/>
      <c r="JJS287" s="1132" t="n"/>
      <c r="JJT287" s="1132" t="n"/>
      <c r="JJU287" s="1132" t="n"/>
      <c r="JJV287" s="1132" t="n"/>
      <c r="JJW287" s="1132" t="n"/>
      <c r="JJX287" s="1132" t="n"/>
      <c r="JJY287" s="1132" t="n"/>
      <c r="JJZ287" s="1132" t="n"/>
      <c r="JKA287" s="1132" t="n"/>
      <c r="JKB287" s="1132" t="n"/>
      <c r="JKC287" s="1132" t="n"/>
      <c r="JKD287" s="1132" t="n"/>
      <c r="JKE287" s="1132" t="n"/>
      <c r="JKF287" s="1132" t="n"/>
      <c r="JKG287" s="1132" t="n"/>
      <c r="JKH287" s="1132" t="n"/>
      <c r="JKI287" s="1132" t="n"/>
      <c r="JKJ287" s="1132" t="n"/>
      <c r="JKK287" s="1132" t="n"/>
      <c r="JKL287" s="1132" t="n"/>
      <c r="JKM287" s="1132" t="n"/>
      <c r="JKN287" s="1132" t="n"/>
      <c r="JKO287" s="1132" t="n"/>
      <c r="JKP287" s="1132" t="n"/>
      <c r="JKQ287" s="1132" t="n"/>
      <c r="JKR287" s="1132" t="n"/>
      <c r="JKS287" s="1132" t="n"/>
      <c r="JKT287" s="1132" t="n"/>
      <c r="JKU287" s="1132" t="n"/>
      <c r="JKV287" s="1132" t="n"/>
      <c r="JKW287" s="1132" t="n"/>
      <c r="JKX287" s="1132" t="n"/>
      <c r="JKY287" s="1132" t="n"/>
      <c r="JKZ287" s="1132" t="n"/>
      <c r="JLA287" s="1132" t="n"/>
      <c r="JLB287" s="1132" t="n"/>
      <c r="JLC287" s="1132" t="n"/>
      <c r="JLD287" s="1132" t="n"/>
      <c r="JLE287" s="1132" t="n"/>
      <c r="JLF287" s="1132" t="n"/>
      <c r="JLG287" s="1132" t="n"/>
      <c r="JLH287" s="1132" t="n"/>
      <c r="JLI287" s="1132" t="n"/>
      <c r="JLJ287" s="1132" t="n"/>
      <c r="JLK287" s="1132" t="n"/>
      <c r="JLL287" s="1132" t="n"/>
      <c r="JLM287" s="1132" t="n"/>
      <c r="JLN287" s="1132" t="n"/>
      <c r="JLO287" s="1132" t="n"/>
      <c r="JLP287" s="1132" t="n"/>
      <c r="JLQ287" s="1132" t="n"/>
      <c r="JLR287" s="1132" t="n"/>
      <c r="JLS287" s="1132" t="n"/>
      <c r="JLT287" s="1132" t="n"/>
      <c r="JLU287" s="1132" t="n"/>
      <c r="JLV287" s="1132" t="n"/>
      <c r="JLW287" s="1132" t="n"/>
      <c r="JLX287" s="1132" t="n"/>
      <c r="JLY287" s="1132" t="n"/>
      <c r="JLZ287" s="1132" t="n"/>
      <c r="JMA287" s="1132" t="n"/>
      <c r="JMB287" s="1132" t="n"/>
      <c r="JMC287" s="1132" t="n"/>
      <c r="JMD287" s="1132" t="n"/>
      <c r="JME287" s="1132" t="n"/>
      <c r="JMF287" s="1132" t="n"/>
      <c r="JMG287" s="1132" t="n"/>
      <c r="JMH287" s="1132" t="n"/>
      <c r="JMI287" s="1132" t="n"/>
      <c r="JMJ287" s="1132" t="n"/>
      <c r="JMK287" s="1132" t="n"/>
      <c r="JML287" s="1132" t="n"/>
      <c r="JMM287" s="1132" t="n"/>
      <c r="JMN287" s="1132" t="n"/>
      <c r="JMO287" s="1132" t="n"/>
      <c r="JMP287" s="1132" t="n"/>
      <c r="JMQ287" s="1132" t="n"/>
      <c r="JMR287" s="1132" t="n"/>
      <c r="JMS287" s="1132" t="n"/>
      <c r="JMT287" s="1132" t="n"/>
      <c r="JMU287" s="1132" t="n"/>
      <c r="JMV287" s="1132" t="n"/>
      <c r="JMW287" s="1132" t="n"/>
      <c r="JMX287" s="1132" t="n"/>
      <c r="JMY287" s="1132" t="n"/>
      <c r="JMZ287" s="1132" t="n"/>
      <c r="JNA287" s="1132" t="n"/>
      <c r="JNB287" s="1132" t="n"/>
      <c r="JNC287" s="1132" t="n"/>
      <c r="JND287" s="1132" t="n"/>
      <c r="JNE287" s="1132" t="n"/>
      <c r="JNF287" s="1132" t="n"/>
      <c r="JNG287" s="1132" t="n"/>
      <c r="JNH287" s="1132" t="n"/>
      <c r="JNI287" s="1132" t="n"/>
      <c r="JNJ287" s="1132" t="n"/>
      <c r="JNK287" s="1132" t="n"/>
      <c r="JNL287" s="1132" t="n"/>
      <c r="JNM287" s="1132" t="n"/>
      <c r="JNN287" s="1132" t="n"/>
      <c r="JNO287" s="1132" t="n"/>
      <c r="JNP287" s="1132" t="n"/>
      <c r="JNQ287" s="1132" t="n"/>
      <c r="JNR287" s="1132" t="n"/>
      <c r="JNS287" s="1132" t="n"/>
      <c r="JNT287" s="1132" t="n"/>
      <c r="JNU287" s="1132" t="n"/>
      <c r="JNV287" s="1132" t="n"/>
      <c r="JNW287" s="1132" t="n"/>
      <c r="JNX287" s="1132" t="n"/>
      <c r="JNY287" s="1132" t="n"/>
      <c r="JNZ287" s="1132" t="n"/>
      <c r="JOA287" s="1132" t="n"/>
      <c r="JOB287" s="1132" t="n"/>
      <c r="JOC287" s="1132" t="n"/>
      <c r="JOD287" s="1132" t="n"/>
      <c r="JOE287" s="1132" t="n"/>
      <c r="JOF287" s="1132" t="n"/>
      <c r="JOG287" s="1132" t="n"/>
      <c r="JOH287" s="1132" t="n"/>
      <c r="JOI287" s="1132" t="n"/>
      <c r="JOJ287" s="1132" t="n"/>
      <c r="JOK287" s="1132" t="n"/>
      <c r="JOL287" s="1132" t="n"/>
      <c r="JOM287" s="1132" t="n"/>
      <c r="JON287" s="1132" t="n"/>
      <c r="JOO287" s="1132" t="n"/>
      <c r="JOP287" s="1132" t="n"/>
      <c r="JOQ287" s="1132" t="n"/>
      <c r="JOR287" s="1132" t="n"/>
      <c r="JOS287" s="1132" t="n"/>
      <c r="JOT287" s="1132" t="n"/>
      <c r="JOU287" s="1132" t="n"/>
      <c r="JOV287" s="1132" t="n"/>
      <c r="JOW287" s="1132" t="n"/>
      <c r="JOX287" s="1132" t="n"/>
      <c r="JOY287" s="1132" t="n"/>
      <c r="JOZ287" s="1132" t="n"/>
      <c r="JPA287" s="1132" t="n"/>
      <c r="JPB287" s="1132" t="n"/>
      <c r="JPC287" s="1132" t="n"/>
      <c r="JPD287" s="1132" t="n"/>
      <c r="JPE287" s="1132" t="n"/>
      <c r="JPF287" s="1132" t="n"/>
      <c r="JPG287" s="1132" t="n"/>
      <c r="JPH287" s="1132" t="n"/>
      <c r="JPI287" s="1132" t="n"/>
      <c r="JPJ287" s="1132" t="n"/>
      <c r="JPK287" s="1132" t="n"/>
      <c r="JPL287" s="1132" t="n"/>
      <c r="JPM287" s="1132" t="n"/>
      <c r="JPN287" s="1132" t="n"/>
      <c r="JPO287" s="1132" t="n"/>
      <c r="JPP287" s="1132" t="n"/>
      <c r="JPQ287" s="1132" t="n"/>
      <c r="JPR287" s="1132" t="n"/>
      <c r="JPS287" s="1132" t="n"/>
      <c r="JPT287" s="1132" t="n"/>
      <c r="JPU287" s="1132" t="n"/>
      <c r="JPV287" s="1132" t="n"/>
      <c r="JPW287" s="1132" t="n"/>
      <c r="JPX287" s="1132" t="n"/>
      <c r="JPY287" s="1132" t="n"/>
      <c r="JPZ287" s="1132" t="n"/>
      <c r="JQA287" s="1132" t="n"/>
      <c r="JQB287" s="1132" t="n"/>
      <c r="JQC287" s="1132" t="n"/>
      <c r="JQD287" s="1132" t="n"/>
      <c r="JQE287" s="1132" t="n"/>
      <c r="JQF287" s="1132" t="n"/>
      <c r="JQG287" s="1132" t="n"/>
      <c r="JQH287" s="1132" t="n"/>
      <c r="JQI287" s="1132" t="n"/>
      <c r="JQJ287" s="1132" t="n"/>
      <c r="JQK287" s="1132" t="n"/>
      <c r="JQL287" s="1132" t="n"/>
      <c r="JQM287" s="1132" t="n"/>
      <c r="JQN287" s="1132" t="n"/>
      <c r="JQO287" s="1132" t="n"/>
      <c r="JQP287" s="1132" t="n"/>
      <c r="JQQ287" s="1132" t="n"/>
      <c r="JQR287" s="1132" t="n"/>
      <c r="JQS287" s="1132" t="n"/>
      <c r="JQT287" s="1132" t="n"/>
      <c r="JQU287" s="1132" t="n"/>
      <c r="JQV287" s="1132" t="n"/>
      <c r="JQW287" s="1132" t="n"/>
      <c r="JQX287" s="1132" t="n"/>
      <c r="JQY287" s="1132" t="n"/>
      <c r="JQZ287" s="1132" t="n"/>
      <c r="JRA287" s="1132" t="n"/>
      <c r="JRB287" s="1132" t="n"/>
      <c r="JRC287" s="1132" t="n"/>
      <c r="JRD287" s="1132" t="n"/>
      <c r="JRE287" s="1132" t="n"/>
      <c r="JRF287" s="1132" t="n"/>
      <c r="JRG287" s="1132" t="n"/>
      <c r="JRH287" s="1132" t="n"/>
      <c r="JRI287" s="1132" t="n"/>
      <c r="JRJ287" s="1132" t="n"/>
      <c r="JRK287" s="1132" t="n"/>
      <c r="JRL287" s="1132" t="n"/>
      <c r="JRM287" s="1132" t="n"/>
      <c r="JRN287" s="1132" t="n"/>
      <c r="JRO287" s="1132" t="n"/>
      <c r="JRP287" s="1132" t="n"/>
      <c r="JRQ287" s="1132" t="n"/>
      <c r="JRR287" s="1132" t="n"/>
      <c r="JRS287" s="1132" t="n"/>
      <c r="JRT287" s="1132" t="n"/>
      <c r="JRU287" s="1132" t="n"/>
      <c r="JRV287" s="1132" t="n"/>
      <c r="JRW287" s="1132" t="n"/>
      <c r="JRX287" s="1132" t="n"/>
      <c r="JRY287" s="1132" t="n"/>
      <c r="JRZ287" s="1132" t="n"/>
      <c r="JSA287" s="1132" t="n"/>
      <c r="JSB287" s="1132" t="n"/>
      <c r="JSC287" s="1132" t="n"/>
      <c r="JSD287" s="1132" t="n"/>
      <c r="JSE287" s="1132" t="n"/>
      <c r="JSF287" s="1132" t="n"/>
      <c r="JSG287" s="1132" t="n"/>
      <c r="JSH287" s="1132" t="n"/>
      <c r="JSI287" s="1132" t="n"/>
      <c r="JSJ287" s="1132" t="n"/>
      <c r="JSK287" s="1132" t="n"/>
      <c r="JSL287" s="1132" t="n"/>
      <c r="JSM287" s="1132" t="n"/>
      <c r="JSN287" s="1132" t="n"/>
      <c r="JSO287" s="1132" t="n"/>
      <c r="JSP287" s="1132" t="n"/>
      <c r="JSQ287" s="1132" t="n"/>
      <c r="JSR287" s="1132" t="n"/>
      <c r="JSS287" s="1132" t="n"/>
      <c r="JST287" s="1132" t="n"/>
      <c r="JSU287" s="1132" t="n"/>
      <c r="JSV287" s="1132" t="n"/>
      <c r="JSW287" s="1132" t="n"/>
      <c r="JSX287" s="1132" t="n"/>
      <c r="JSY287" s="1132" t="n"/>
      <c r="JSZ287" s="1132" t="n"/>
      <c r="JTA287" s="1132" t="n"/>
      <c r="JTB287" s="1132" t="n"/>
      <c r="JTC287" s="1132" t="n"/>
      <c r="JTD287" s="1132" t="n"/>
      <c r="JTE287" s="1132" t="n"/>
      <c r="JTF287" s="1132" t="n"/>
      <c r="JTG287" s="1132" t="n"/>
      <c r="JTH287" s="1132" t="n"/>
      <c r="JTI287" s="1132" t="n"/>
      <c r="JTJ287" s="1132" t="n"/>
      <c r="JTK287" s="1132" t="n"/>
      <c r="JTL287" s="1132" t="n"/>
      <c r="JTM287" s="1132" t="n"/>
      <c r="JTN287" s="1132" t="n"/>
      <c r="JTO287" s="1132" t="n"/>
      <c r="JTP287" s="1132" t="n"/>
      <c r="JTQ287" s="1132" t="n"/>
      <c r="JTR287" s="1132" t="n"/>
      <c r="JTS287" s="1132" t="n"/>
      <c r="JTT287" s="1132" t="n"/>
      <c r="JTU287" s="1132" t="n"/>
      <c r="JTV287" s="1132" t="n"/>
      <c r="JTW287" s="1132" t="n"/>
      <c r="JTX287" s="1132" t="n"/>
      <c r="JTY287" s="1132" t="n"/>
      <c r="JTZ287" s="1132" t="n"/>
      <c r="JUA287" s="1132" t="n"/>
      <c r="JUB287" s="1132" t="n"/>
      <c r="JUC287" s="1132" t="n"/>
      <c r="JUD287" s="1132" t="n"/>
      <c r="JUE287" s="1132" t="n"/>
      <c r="JUF287" s="1132" t="n"/>
      <c r="JUG287" s="1132" t="n"/>
      <c r="JUH287" s="1132" t="n"/>
      <c r="JUI287" s="1132" t="n"/>
      <c r="JUJ287" s="1132" t="n"/>
      <c r="JUK287" s="1132" t="n"/>
      <c r="JUL287" s="1132" t="n"/>
      <c r="JUM287" s="1132" t="n"/>
      <c r="JUN287" s="1132" t="n"/>
      <c r="JUO287" s="1132" t="n"/>
      <c r="JUP287" s="1132" t="n"/>
      <c r="JUQ287" s="1132" t="n"/>
      <c r="JUR287" s="1132" t="n"/>
      <c r="JUS287" s="1132" t="n"/>
      <c r="JUT287" s="1132" t="n"/>
      <c r="JUU287" s="1132" t="n"/>
      <c r="JUV287" s="1132" t="n"/>
      <c r="JUW287" s="1132" t="n"/>
      <c r="JUX287" s="1132" t="n"/>
      <c r="JUY287" s="1132" t="n"/>
      <c r="JUZ287" s="1132" t="n"/>
      <c r="JVA287" s="1132" t="n"/>
      <c r="JVB287" s="1132" t="n"/>
      <c r="JVC287" s="1132" t="n"/>
      <c r="JVD287" s="1132" t="n"/>
      <c r="JVE287" s="1132" t="n"/>
      <c r="JVF287" s="1132" t="n"/>
      <c r="JVG287" s="1132" t="n"/>
      <c r="JVH287" s="1132" t="n"/>
      <c r="JVI287" s="1132" t="n"/>
      <c r="JVJ287" s="1132" t="n"/>
      <c r="JVK287" s="1132" t="n"/>
      <c r="JVL287" s="1132" t="n"/>
      <c r="JVM287" s="1132" t="n"/>
      <c r="JVN287" s="1132" t="n"/>
      <c r="JVO287" s="1132" t="n"/>
      <c r="JVP287" s="1132" t="n"/>
      <c r="JVQ287" s="1132" t="n"/>
      <c r="JVR287" s="1132" t="n"/>
      <c r="JVS287" s="1132" t="n"/>
      <c r="JVT287" s="1132" t="n"/>
      <c r="JVU287" s="1132" t="n"/>
      <c r="JVV287" s="1132" t="n"/>
      <c r="JVW287" s="1132" t="n"/>
      <c r="JVX287" s="1132" t="n"/>
      <c r="JVY287" s="1132" t="n"/>
      <c r="JVZ287" s="1132" t="n"/>
      <c r="JWA287" s="1132" t="n"/>
      <c r="JWB287" s="1132" t="n"/>
      <c r="JWC287" s="1132" t="n"/>
      <c r="JWD287" s="1132" t="n"/>
      <c r="JWE287" s="1132" t="n"/>
      <c r="JWF287" s="1132" t="n"/>
      <c r="JWG287" s="1132" t="n"/>
      <c r="JWH287" s="1132" t="n"/>
      <c r="JWI287" s="1132" t="n"/>
      <c r="JWJ287" s="1132" t="n"/>
      <c r="JWK287" s="1132" t="n"/>
      <c r="JWL287" s="1132" t="n"/>
      <c r="JWM287" s="1132" t="n"/>
      <c r="JWN287" s="1132" t="n"/>
      <c r="JWO287" s="1132" t="n"/>
      <c r="JWP287" s="1132" t="n"/>
      <c r="JWQ287" s="1132" t="n"/>
      <c r="JWR287" s="1132" t="n"/>
      <c r="JWS287" s="1132" t="n"/>
      <c r="JWT287" s="1132" t="n"/>
      <c r="JWU287" s="1132" t="n"/>
      <c r="JWV287" s="1132" t="n"/>
      <c r="JWW287" s="1132" t="n"/>
      <c r="JWX287" s="1132" t="n"/>
      <c r="JWY287" s="1132" t="n"/>
      <c r="JWZ287" s="1132" t="n"/>
      <c r="JXA287" s="1132" t="n"/>
      <c r="JXB287" s="1132" t="n"/>
      <c r="JXC287" s="1132" t="n"/>
      <c r="JXD287" s="1132" t="n"/>
      <c r="JXE287" s="1132" t="n"/>
      <c r="JXF287" s="1132" t="n"/>
      <c r="JXG287" s="1132" t="n"/>
      <c r="JXH287" s="1132" t="n"/>
      <c r="JXI287" s="1132" t="n"/>
      <c r="JXJ287" s="1132" t="n"/>
      <c r="JXK287" s="1132" t="n"/>
      <c r="JXL287" s="1132" t="n"/>
      <c r="JXM287" s="1132" t="n"/>
      <c r="JXN287" s="1132" t="n"/>
      <c r="JXO287" s="1132" t="n"/>
      <c r="JXP287" s="1132" t="n"/>
      <c r="JXQ287" s="1132" t="n"/>
      <c r="JXR287" s="1132" t="n"/>
      <c r="JXS287" s="1132" t="n"/>
      <c r="JXT287" s="1132" t="n"/>
      <c r="JXU287" s="1132" t="n"/>
      <c r="JXV287" s="1132" t="n"/>
      <c r="JXW287" s="1132" t="n"/>
      <c r="JXX287" s="1132" t="n"/>
      <c r="JXY287" s="1132" t="n"/>
      <c r="JXZ287" s="1132" t="n"/>
      <c r="JYA287" s="1132" t="n"/>
      <c r="JYB287" s="1132" t="n"/>
      <c r="JYC287" s="1132" t="n"/>
      <c r="JYD287" s="1132" t="n"/>
      <c r="JYE287" s="1132" t="n"/>
      <c r="JYF287" s="1132" t="n"/>
      <c r="JYG287" s="1132" t="n"/>
      <c r="JYH287" s="1132" t="n"/>
      <c r="JYI287" s="1132" t="n"/>
      <c r="JYJ287" s="1132" t="n"/>
      <c r="JYK287" s="1132" t="n"/>
      <c r="JYL287" s="1132" t="n"/>
      <c r="JYM287" s="1132" t="n"/>
      <c r="JYN287" s="1132" t="n"/>
      <c r="JYO287" s="1132" t="n"/>
      <c r="JYP287" s="1132" t="n"/>
      <c r="JYQ287" s="1132" t="n"/>
      <c r="JYR287" s="1132" t="n"/>
      <c r="JYS287" s="1132" t="n"/>
      <c r="JYT287" s="1132" t="n"/>
      <c r="JYU287" s="1132" t="n"/>
      <c r="JYV287" s="1132" t="n"/>
      <c r="JYW287" s="1132" t="n"/>
      <c r="JYX287" s="1132" t="n"/>
      <c r="JYY287" s="1132" t="n"/>
      <c r="JYZ287" s="1132" t="n"/>
      <c r="JZA287" s="1132" t="n"/>
      <c r="JZB287" s="1132" t="n"/>
      <c r="JZC287" s="1132" t="n"/>
      <c r="JZD287" s="1132" t="n"/>
      <c r="JZE287" s="1132" t="n"/>
      <c r="JZF287" s="1132" t="n"/>
      <c r="JZG287" s="1132" t="n"/>
      <c r="JZH287" s="1132" t="n"/>
      <c r="JZI287" s="1132" t="n"/>
      <c r="JZJ287" s="1132" t="n"/>
      <c r="JZK287" s="1132" t="n"/>
      <c r="JZL287" s="1132" t="n"/>
      <c r="JZM287" s="1132" t="n"/>
      <c r="JZN287" s="1132" t="n"/>
      <c r="JZO287" s="1132" t="n"/>
      <c r="JZP287" s="1132" t="n"/>
      <c r="JZQ287" s="1132" t="n"/>
      <c r="JZR287" s="1132" t="n"/>
      <c r="JZS287" s="1132" t="n"/>
      <c r="JZT287" s="1132" t="n"/>
      <c r="JZU287" s="1132" t="n"/>
      <c r="JZV287" s="1132" t="n"/>
      <c r="JZW287" s="1132" t="n"/>
      <c r="JZX287" s="1132" t="n"/>
      <c r="JZY287" s="1132" t="n"/>
      <c r="JZZ287" s="1132" t="n"/>
      <c r="KAA287" s="1132" t="n"/>
      <c r="KAB287" s="1132" t="n"/>
      <c r="KAC287" s="1132" t="n"/>
      <c r="KAD287" s="1132" t="n"/>
      <c r="KAE287" s="1132" t="n"/>
      <c r="KAF287" s="1132" t="n"/>
      <c r="KAG287" s="1132" t="n"/>
      <c r="KAH287" s="1132" t="n"/>
      <c r="KAI287" s="1132" t="n"/>
      <c r="KAJ287" s="1132" t="n"/>
      <c r="KAK287" s="1132" t="n"/>
      <c r="KAL287" s="1132" t="n"/>
      <c r="KAM287" s="1132" t="n"/>
      <c r="KAN287" s="1132" t="n"/>
      <c r="KAO287" s="1132" t="n"/>
      <c r="KAP287" s="1132" t="n"/>
      <c r="KAQ287" s="1132" t="n"/>
      <c r="KAR287" s="1132" t="n"/>
      <c r="KAS287" s="1132" t="n"/>
      <c r="KAT287" s="1132" t="n"/>
      <c r="KAU287" s="1132" t="n"/>
      <c r="KAV287" s="1132" t="n"/>
      <c r="KAW287" s="1132" t="n"/>
      <c r="KAX287" s="1132" t="n"/>
      <c r="KAY287" s="1132" t="n"/>
      <c r="KAZ287" s="1132" t="n"/>
      <c r="KBA287" s="1132" t="n"/>
      <c r="KBB287" s="1132" t="n"/>
      <c r="KBC287" s="1132" t="n"/>
      <c r="KBD287" s="1132" t="n"/>
      <c r="KBE287" s="1132" t="n"/>
      <c r="KBF287" s="1132" t="n"/>
      <c r="KBG287" s="1132" t="n"/>
      <c r="KBH287" s="1132" t="n"/>
      <c r="KBI287" s="1132" t="n"/>
      <c r="KBJ287" s="1132" t="n"/>
      <c r="KBK287" s="1132" t="n"/>
      <c r="KBL287" s="1132" t="n"/>
      <c r="KBM287" s="1132" t="n"/>
      <c r="KBN287" s="1132" t="n"/>
      <c r="KBO287" s="1132" t="n"/>
      <c r="KBP287" s="1132" t="n"/>
      <c r="KBQ287" s="1132" t="n"/>
      <c r="KBR287" s="1132" t="n"/>
      <c r="KBS287" s="1132" t="n"/>
      <c r="KBT287" s="1132" t="n"/>
      <c r="KBU287" s="1132" t="n"/>
      <c r="KBV287" s="1132" t="n"/>
      <c r="KBW287" s="1132" t="n"/>
      <c r="KBX287" s="1132" t="n"/>
      <c r="KBY287" s="1132" t="n"/>
      <c r="KBZ287" s="1132" t="n"/>
      <c r="KCA287" s="1132" t="n"/>
      <c r="KCB287" s="1132" t="n"/>
      <c r="KCC287" s="1132" t="n"/>
      <c r="KCD287" s="1132" t="n"/>
      <c r="KCE287" s="1132" t="n"/>
      <c r="KCF287" s="1132" t="n"/>
      <c r="KCG287" s="1132" t="n"/>
      <c r="KCH287" s="1132" t="n"/>
      <c r="KCI287" s="1132" t="n"/>
      <c r="KCJ287" s="1132" t="n"/>
      <c r="KCK287" s="1132" t="n"/>
      <c r="KCL287" s="1132" t="n"/>
      <c r="KCM287" s="1132" t="n"/>
      <c r="KCN287" s="1132" t="n"/>
      <c r="KCO287" s="1132" t="n"/>
      <c r="KCP287" s="1132" t="n"/>
      <c r="KCQ287" s="1132" t="n"/>
      <c r="KCR287" s="1132" t="n"/>
      <c r="KCS287" s="1132" t="n"/>
      <c r="KCT287" s="1132" t="n"/>
      <c r="KCU287" s="1132" t="n"/>
      <c r="KCV287" s="1132" t="n"/>
      <c r="KCW287" s="1132" t="n"/>
      <c r="KCX287" s="1132" t="n"/>
      <c r="KCY287" s="1132" t="n"/>
      <c r="KCZ287" s="1132" t="n"/>
      <c r="KDA287" s="1132" t="n"/>
      <c r="KDB287" s="1132" t="n"/>
      <c r="KDC287" s="1132" t="n"/>
      <c r="KDD287" s="1132" t="n"/>
      <c r="KDE287" s="1132" t="n"/>
      <c r="KDF287" s="1132" t="n"/>
      <c r="KDG287" s="1132" t="n"/>
      <c r="KDH287" s="1132" t="n"/>
      <c r="KDI287" s="1132" t="n"/>
      <c r="KDJ287" s="1132" t="n"/>
      <c r="KDK287" s="1132" t="n"/>
      <c r="KDL287" s="1132" t="n"/>
      <c r="KDM287" s="1132" t="n"/>
      <c r="KDN287" s="1132" t="n"/>
      <c r="KDO287" s="1132" t="n"/>
      <c r="KDP287" s="1132" t="n"/>
      <c r="KDQ287" s="1132" t="n"/>
      <c r="KDR287" s="1132" t="n"/>
      <c r="KDS287" s="1132" t="n"/>
      <c r="KDT287" s="1132" t="n"/>
      <c r="KDU287" s="1132" t="n"/>
      <c r="KDV287" s="1132" t="n"/>
      <c r="KDW287" s="1132" t="n"/>
      <c r="KDX287" s="1132" t="n"/>
      <c r="KDY287" s="1132" t="n"/>
      <c r="KDZ287" s="1132" t="n"/>
      <c r="KEA287" s="1132" t="n"/>
      <c r="KEB287" s="1132" t="n"/>
      <c r="KEC287" s="1132" t="n"/>
      <c r="KED287" s="1132" t="n"/>
      <c r="KEE287" s="1132" t="n"/>
      <c r="KEF287" s="1132" t="n"/>
      <c r="KEG287" s="1132" t="n"/>
      <c r="KEH287" s="1132" t="n"/>
      <c r="KEI287" s="1132" t="n"/>
      <c r="KEJ287" s="1132" t="n"/>
      <c r="KEK287" s="1132" t="n"/>
      <c r="KEL287" s="1132" t="n"/>
      <c r="KEM287" s="1132" t="n"/>
      <c r="KEN287" s="1132" t="n"/>
      <c r="KEO287" s="1132" t="n"/>
      <c r="KEP287" s="1132" t="n"/>
      <c r="KEQ287" s="1132" t="n"/>
      <c r="KER287" s="1132" t="n"/>
      <c r="KES287" s="1132" t="n"/>
      <c r="KET287" s="1132" t="n"/>
      <c r="KEU287" s="1132" t="n"/>
      <c r="KEV287" s="1132" t="n"/>
      <c r="KEW287" s="1132" t="n"/>
      <c r="KEX287" s="1132" t="n"/>
      <c r="KEY287" s="1132" t="n"/>
      <c r="KEZ287" s="1132" t="n"/>
      <c r="KFA287" s="1132" t="n"/>
      <c r="KFB287" s="1132" t="n"/>
      <c r="KFC287" s="1132" t="n"/>
      <c r="KFD287" s="1132" t="n"/>
      <c r="KFE287" s="1132" t="n"/>
      <c r="KFF287" s="1132" t="n"/>
      <c r="KFG287" s="1132" t="n"/>
      <c r="KFH287" s="1132" t="n"/>
      <c r="KFI287" s="1132" t="n"/>
      <c r="KFJ287" s="1132" t="n"/>
      <c r="KFK287" s="1132" t="n"/>
      <c r="KFL287" s="1132" t="n"/>
      <c r="KFM287" s="1132" t="n"/>
      <c r="KFN287" s="1132" t="n"/>
      <c r="KFO287" s="1132" t="n"/>
      <c r="KFP287" s="1132" t="n"/>
      <c r="KFQ287" s="1132" t="n"/>
      <c r="KFR287" s="1132" t="n"/>
      <c r="KFS287" s="1132" t="n"/>
      <c r="KFT287" s="1132" t="n"/>
      <c r="KFU287" s="1132" t="n"/>
      <c r="KFV287" s="1132" t="n"/>
      <c r="KFW287" s="1132" t="n"/>
      <c r="KFX287" s="1132" t="n"/>
      <c r="KFY287" s="1132" t="n"/>
      <c r="KFZ287" s="1132" t="n"/>
      <c r="KGA287" s="1132" t="n"/>
      <c r="KGB287" s="1132" t="n"/>
      <c r="KGC287" s="1132" t="n"/>
      <c r="KGD287" s="1132" t="n"/>
      <c r="KGE287" s="1132" t="n"/>
      <c r="KGF287" s="1132" t="n"/>
      <c r="KGG287" s="1132" t="n"/>
      <c r="KGH287" s="1132" t="n"/>
      <c r="KGI287" s="1132" t="n"/>
      <c r="KGJ287" s="1132" t="n"/>
      <c r="KGK287" s="1132" t="n"/>
      <c r="KGL287" s="1132" t="n"/>
      <c r="KGM287" s="1132" t="n"/>
      <c r="KGN287" s="1132" t="n"/>
      <c r="KGO287" s="1132" t="n"/>
      <c r="KGP287" s="1132" t="n"/>
      <c r="KGQ287" s="1132" t="n"/>
      <c r="KGR287" s="1132" t="n"/>
      <c r="KGS287" s="1132" t="n"/>
      <c r="KGT287" s="1132" t="n"/>
      <c r="KGU287" s="1132" t="n"/>
      <c r="KGV287" s="1132" t="n"/>
      <c r="KGW287" s="1132" t="n"/>
      <c r="KGX287" s="1132" t="n"/>
      <c r="KGY287" s="1132" t="n"/>
      <c r="KGZ287" s="1132" t="n"/>
      <c r="KHA287" s="1132" t="n"/>
      <c r="KHB287" s="1132" t="n"/>
      <c r="KHC287" s="1132" t="n"/>
      <c r="KHD287" s="1132" t="n"/>
      <c r="KHE287" s="1132" t="n"/>
      <c r="KHF287" s="1132" t="n"/>
      <c r="KHG287" s="1132" t="n"/>
      <c r="KHH287" s="1132" t="n"/>
      <c r="KHI287" s="1132" t="n"/>
      <c r="KHJ287" s="1132" t="n"/>
      <c r="KHK287" s="1132" t="n"/>
      <c r="KHL287" s="1132" t="n"/>
      <c r="KHM287" s="1132" t="n"/>
      <c r="KHN287" s="1132" t="n"/>
      <c r="KHO287" s="1132" t="n"/>
      <c r="KHP287" s="1132" t="n"/>
      <c r="KHQ287" s="1132" t="n"/>
      <c r="KHR287" s="1132" t="n"/>
      <c r="KHS287" s="1132" t="n"/>
      <c r="KHT287" s="1132" t="n"/>
      <c r="KHU287" s="1132" t="n"/>
      <c r="KHV287" s="1132" t="n"/>
      <c r="KHW287" s="1132" t="n"/>
      <c r="KHX287" s="1132" t="n"/>
      <c r="KHY287" s="1132" t="n"/>
      <c r="KHZ287" s="1132" t="n"/>
      <c r="KIA287" s="1132" t="n"/>
      <c r="KIB287" s="1132" t="n"/>
      <c r="KIC287" s="1132" t="n"/>
      <c r="KID287" s="1132" t="n"/>
      <c r="KIE287" s="1132" t="n"/>
      <c r="KIF287" s="1132" t="n"/>
      <c r="KIG287" s="1132" t="n"/>
      <c r="KIH287" s="1132" t="n"/>
      <c r="KII287" s="1132" t="n"/>
      <c r="KIJ287" s="1132" t="n"/>
      <c r="KIK287" s="1132" t="n"/>
      <c r="KIL287" s="1132" t="n"/>
      <c r="KIM287" s="1132" t="n"/>
      <c r="KIN287" s="1132" t="n"/>
      <c r="KIO287" s="1132" t="n"/>
      <c r="KIP287" s="1132" t="n"/>
      <c r="KIQ287" s="1132" t="n"/>
      <c r="KIR287" s="1132" t="n"/>
      <c r="KIS287" s="1132" t="n"/>
      <c r="KIT287" s="1132" t="n"/>
      <c r="KIU287" s="1132" t="n"/>
      <c r="KIV287" s="1132" t="n"/>
      <c r="KIW287" s="1132" t="n"/>
      <c r="KIX287" s="1132" t="n"/>
      <c r="KIY287" s="1132" t="n"/>
      <c r="KIZ287" s="1132" t="n"/>
      <c r="KJA287" s="1132" t="n"/>
      <c r="KJB287" s="1132" t="n"/>
      <c r="KJC287" s="1132" t="n"/>
      <c r="KJD287" s="1132" t="n"/>
      <c r="KJE287" s="1132" t="n"/>
      <c r="KJF287" s="1132" t="n"/>
      <c r="KJG287" s="1132" t="n"/>
      <c r="KJH287" s="1132" t="n"/>
      <c r="KJI287" s="1132" t="n"/>
      <c r="KJJ287" s="1132" t="n"/>
      <c r="KJK287" s="1132" t="n"/>
      <c r="KJL287" s="1132" t="n"/>
      <c r="KJM287" s="1132" t="n"/>
      <c r="KJN287" s="1132" t="n"/>
      <c r="KJO287" s="1132" t="n"/>
      <c r="KJP287" s="1132" t="n"/>
      <c r="KJQ287" s="1132" t="n"/>
      <c r="KJR287" s="1132" t="n"/>
      <c r="KJS287" s="1132" t="n"/>
      <c r="KJT287" s="1132" t="n"/>
      <c r="KJU287" s="1132" t="n"/>
      <c r="KJV287" s="1132" t="n"/>
      <c r="KJW287" s="1132" t="n"/>
      <c r="KJX287" s="1132" t="n"/>
      <c r="KJY287" s="1132" t="n"/>
      <c r="KJZ287" s="1132" t="n"/>
      <c r="KKA287" s="1132" t="n"/>
      <c r="KKB287" s="1132" t="n"/>
      <c r="KKC287" s="1132" t="n"/>
      <c r="KKD287" s="1132" t="n"/>
      <c r="KKE287" s="1132" t="n"/>
      <c r="KKF287" s="1132" t="n"/>
      <c r="KKG287" s="1132" t="n"/>
      <c r="KKH287" s="1132" t="n"/>
      <c r="KKI287" s="1132" t="n"/>
      <c r="KKJ287" s="1132" t="n"/>
      <c r="KKK287" s="1132" t="n"/>
      <c r="KKL287" s="1132" t="n"/>
      <c r="KKM287" s="1132" t="n"/>
      <c r="KKN287" s="1132" t="n"/>
      <c r="KKO287" s="1132" t="n"/>
      <c r="KKP287" s="1132" t="n"/>
      <c r="KKQ287" s="1132" t="n"/>
      <c r="KKR287" s="1132" t="n"/>
      <c r="KKS287" s="1132" t="n"/>
      <c r="KKT287" s="1132" t="n"/>
      <c r="KKU287" s="1132" t="n"/>
      <c r="KKV287" s="1132" t="n"/>
      <c r="KKW287" s="1132" t="n"/>
      <c r="KKX287" s="1132" t="n"/>
      <c r="KKY287" s="1132" t="n"/>
      <c r="KKZ287" s="1132" t="n"/>
      <c r="KLA287" s="1132" t="n"/>
      <c r="KLB287" s="1132" t="n"/>
      <c r="KLC287" s="1132" t="n"/>
      <c r="KLD287" s="1132" t="n"/>
      <c r="KLE287" s="1132" t="n"/>
      <c r="KLF287" s="1132" t="n"/>
      <c r="KLG287" s="1132" t="n"/>
      <c r="KLH287" s="1132" t="n"/>
      <c r="KLI287" s="1132" t="n"/>
      <c r="KLJ287" s="1132" t="n"/>
      <c r="KLK287" s="1132" t="n"/>
      <c r="KLL287" s="1132" t="n"/>
      <c r="KLM287" s="1132" t="n"/>
      <c r="KLN287" s="1132" t="n"/>
      <c r="KLO287" s="1132" t="n"/>
      <c r="KLP287" s="1132" t="n"/>
      <c r="KLQ287" s="1132" t="n"/>
      <c r="KLR287" s="1132" t="n"/>
      <c r="KLS287" s="1132" t="n"/>
      <c r="KLT287" s="1132" t="n"/>
      <c r="KLU287" s="1132" t="n"/>
      <c r="KLV287" s="1132" t="n"/>
      <c r="KLW287" s="1132" t="n"/>
      <c r="KLX287" s="1132" t="n"/>
      <c r="KLY287" s="1132" t="n"/>
      <c r="KLZ287" s="1132" t="n"/>
      <c r="KMA287" s="1132" t="n"/>
      <c r="KMB287" s="1132" t="n"/>
      <c r="KMC287" s="1132" t="n"/>
      <c r="KMD287" s="1132" t="n"/>
      <c r="KME287" s="1132" t="n"/>
      <c r="KMF287" s="1132" t="n"/>
      <c r="KMG287" s="1132" t="n"/>
      <c r="KMH287" s="1132" t="n"/>
      <c r="KMI287" s="1132" t="n"/>
      <c r="KMJ287" s="1132" t="n"/>
      <c r="KMK287" s="1132" t="n"/>
      <c r="KML287" s="1132" t="n"/>
      <c r="KMM287" s="1132" t="n"/>
      <c r="KMN287" s="1132" t="n"/>
      <c r="KMO287" s="1132" t="n"/>
      <c r="KMP287" s="1132" t="n"/>
      <c r="KMQ287" s="1132" t="n"/>
      <c r="KMR287" s="1132" t="n"/>
      <c r="KMS287" s="1132" t="n"/>
      <c r="KMT287" s="1132" t="n"/>
      <c r="KMU287" s="1132" t="n"/>
      <c r="KMV287" s="1132" t="n"/>
      <c r="KMW287" s="1132" t="n"/>
      <c r="KMX287" s="1132" t="n"/>
      <c r="KMY287" s="1132" t="n"/>
      <c r="KMZ287" s="1132" t="n"/>
      <c r="KNA287" s="1132" t="n"/>
      <c r="KNB287" s="1132" t="n"/>
      <c r="KNC287" s="1132" t="n"/>
      <c r="KND287" s="1132" t="n"/>
      <c r="KNE287" s="1132" t="n"/>
      <c r="KNF287" s="1132" t="n"/>
      <c r="KNG287" s="1132" t="n"/>
      <c r="KNH287" s="1132" t="n"/>
      <c r="KNI287" s="1132" t="n"/>
      <c r="KNJ287" s="1132" t="n"/>
      <c r="KNK287" s="1132" t="n"/>
      <c r="KNL287" s="1132" t="n"/>
      <c r="KNM287" s="1132" t="n"/>
      <c r="KNN287" s="1132" t="n"/>
      <c r="KNO287" s="1132" t="n"/>
      <c r="KNP287" s="1132" t="n"/>
      <c r="KNQ287" s="1132" t="n"/>
      <c r="KNR287" s="1132" t="n"/>
      <c r="KNS287" s="1132" t="n"/>
      <c r="KNT287" s="1132" t="n"/>
      <c r="KNU287" s="1132" t="n"/>
      <c r="KNV287" s="1132" t="n"/>
      <c r="KNW287" s="1132" t="n"/>
      <c r="KNX287" s="1132" t="n"/>
      <c r="KNY287" s="1132" t="n"/>
      <c r="KNZ287" s="1132" t="n"/>
      <c r="KOA287" s="1132" t="n"/>
      <c r="KOB287" s="1132" t="n"/>
      <c r="KOC287" s="1132" t="n"/>
      <c r="KOD287" s="1132" t="n"/>
      <c r="KOE287" s="1132" t="n"/>
      <c r="KOF287" s="1132" t="n"/>
      <c r="KOG287" s="1132" t="n"/>
      <c r="KOH287" s="1132" t="n"/>
      <c r="KOI287" s="1132" t="n"/>
      <c r="KOJ287" s="1132" t="n"/>
      <c r="KOK287" s="1132" t="n"/>
      <c r="KOL287" s="1132" t="n"/>
      <c r="KOM287" s="1132" t="n"/>
      <c r="KON287" s="1132" t="n"/>
      <c r="KOO287" s="1132" t="n"/>
      <c r="KOP287" s="1132" t="n"/>
      <c r="KOQ287" s="1132" t="n"/>
      <c r="KOR287" s="1132" t="n"/>
      <c r="KOS287" s="1132" t="n"/>
      <c r="KOT287" s="1132" t="n"/>
      <c r="KOU287" s="1132" t="n"/>
      <c r="KOV287" s="1132" t="n"/>
      <c r="KOW287" s="1132" t="n"/>
      <c r="KOX287" s="1132" t="n"/>
      <c r="KOY287" s="1132" t="n"/>
      <c r="KOZ287" s="1132" t="n"/>
      <c r="KPA287" s="1132" t="n"/>
      <c r="KPB287" s="1132" t="n"/>
      <c r="KPC287" s="1132" t="n"/>
      <c r="KPD287" s="1132" t="n"/>
      <c r="KPE287" s="1132" t="n"/>
      <c r="KPF287" s="1132" t="n"/>
      <c r="KPG287" s="1132" t="n"/>
      <c r="KPH287" s="1132" t="n"/>
      <c r="KPI287" s="1132" t="n"/>
      <c r="KPJ287" s="1132" t="n"/>
      <c r="KPK287" s="1132" t="n"/>
      <c r="KPL287" s="1132" t="n"/>
      <c r="KPM287" s="1132" t="n"/>
      <c r="KPN287" s="1132" t="n"/>
      <c r="KPO287" s="1132" t="n"/>
      <c r="KPP287" s="1132" t="n"/>
      <c r="KPQ287" s="1132" t="n"/>
      <c r="KPR287" s="1132" t="n"/>
      <c r="KPS287" s="1132" t="n"/>
      <c r="KPT287" s="1132" t="n"/>
      <c r="KPU287" s="1132" t="n"/>
      <c r="KPV287" s="1132" t="n"/>
      <c r="KPW287" s="1132" t="n"/>
      <c r="KPX287" s="1132" t="n"/>
      <c r="KPY287" s="1132" t="n"/>
      <c r="KPZ287" s="1132" t="n"/>
      <c r="KQA287" s="1132" t="n"/>
      <c r="KQB287" s="1132" t="n"/>
      <c r="KQC287" s="1132" t="n"/>
      <c r="KQD287" s="1132" t="n"/>
      <c r="KQE287" s="1132" t="n"/>
      <c r="KQF287" s="1132" t="n"/>
      <c r="KQG287" s="1132" t="n"/>
      <c r="KQH287" s="1132" t="n"/>
      <c r="KQI287" s="1132" t="n"/>
      <c r="KQJ287" s="1132" t="n"/>
      <c r="KQK287" s="1132" t="n"/>
      <c r="KQL287" s="1132" t="n"/>
      <c r="KQM287" s="1132" t="n"/>
      <c r="KQN287" s="1132" t="n"/>
      <c r="KQO287" s="1132" t="n"/>
      <c r="KQP287" s="1132" t="n"/>
      <c r="KQQ287" s="1132" t="n"/>
      <c r="KQR287" s="1132" t="n"/>
      <c r="KQS287" s="1132" t="n"/>
      <c r="KQT287" s="1132" t="n"/>
      <c r="KQU287" s="1132" t="n"/>
      <c r="KQV287" s="1132" t="n"/>
      <c r="KQW287" s="1132" t="n"/>
      <c r="KQX287" s="1132" t="n"/>
      <c r="KQY287" s="1132" t="n"/>
      <c r="KQZ287" s="1132" t="n"/>
      <c r="KRA287" s="1132" t="n"/>
      <c r="KRB287" s="1132" t="n"/>
      <c r="KRC287" s="1132" t="n"/>
      <c r="KRD287" s="1132" t="n"/>
      <c r="KRE287" s="1132" t="n"/>
      <c r="KRF287" s="1132" t="n"/>
      <c r="KRG287" s="1132" t="n"/>
      <c r="KRH287" s="1132" t="n"/>
      <c r="KRI287" s="1132" t="n"/>
      <c r="KRJ287" s="1132" t="n"/>
      <c r="KRK287" s="1132" t="n"/>
      <c r="KRL287" s="1132" t="n"/>
      <c r="KRM287" s="1132" t="n"/>
      <c r="KRN287" s="1132" t="n"/>
      <c r="KRO287" s="1132" t="n"/>
      <c r="KRP287" s="1132" t="n"/>
      <c r="KRQ287" s="1132" t="n"/>
      <c r="KRR287" s="1132" t="n"/>
      <c r="KRS287" s="1132" t="n"/>
      <c r="KRT287" s="1132" t="n"/>
      <c r="KRU287" s="1132" t="n"/>
      <c r="KRV287" s="1132" t="n"/>
      <c r="KRW287" s="1132" t="n"/>
      <c r="KRX287" s="1132" t="n"/>
      <c r="KRY287" s="1132" t="n"/>
      <c r="KRZ287" s="1132" t="n"/>
      <c r="KSA287" s="1132" t="n"/>
      <c r="KSB287" s="1132" t="n"/>
      <c r="KSC287" s="1132" t="n"/>
      <c r="KSD287" s="1132" t="n"/>
      <c r="KSE287" s="1132" t="n"/>
      <c r="KSF287" s="1132" t="n"/>
      <c r="KSG287" s="1132" t="n"/>
      <c r="KSH287" s="1132" t="n"/>
      <c r="KSI287" s="1132" t="n"/>
      <c r="KSJ287" s="1132" t="n"/>
      <c r="KSK287" s="1132" t="n"/>
      <c r="KSL287" s="1132" t="n"/>
      <c r="KSM287" s="1132" t="n"/>
      <c r="KSN287" s="1132" t="n"/>
      <c r="KSO287" s="1132" t="n"/>
      <c r="KSP287" s="1132" t="n"/>
      <c r="KSQ287" s="1132" t="n"/>
      <c r="KSR287" s="1132" t="n"/>
      <c r="KSS287" s="1132" t="n"/>
      <c r="KST287" s="1132" t="n"/>
      <c r="KSU287" s="1132" t="n"/>
      <c r="KSV287" s="1132" t="n"/>
      <c r="KSW287" s="1132" t="n"/>
      <c r="KSX287" s="1132" t="n"/>
      <c r="KSY287" s="1132" t="n"/>
      <c r="KSZ287" s="1132" t="n"/>
      <c r="KTA287" s="1132" t="n"/>
      <c r="KTB287" s="1132" t="n"/>
      <c r="KTC287" s="1132" t="n"/>
      <c r="KTD287" s="1132" t="n"/>
      <c r="KTE287" s="1132" t="n"/>
      <c r="KTF287" s="1132" t="n"/>
      <c r="KTG287" s="1132" t="n"/>
      <c r="KTH287" s="1132" t="n"/>
      <c r="KTI287" s="1132" t="n"/>
      <c r="KTJ287" s="1132" t="n"/>
      <c r="KTK287" s="1132" t="n"/>
      <c r="KTL287" s="1132" t="n"/>
      <c r="KTM287" s="1132" t="n"/>
      <c r="KTN287" s="1132" t="n"/>
      <c r="KTO287" s="1132" t="n"/>
      <c r="KTP287" s="1132" t="n"/>
      <c r="KTQ287" s="1132" t="n"/>
      <c r="KTR287" s="1132" t="n"/>
      <c r="KTS287" s="1132" t="n"/>
      <c r="KTT287" s="1132" t="n"/>
      <c r="KTU287" s="1132" t="n"/>
      <c r="KTV287" s="1132" t="n"/>
      <c r="KTW287" s="1132" t="n"/>
      <c r="KTX287" s="1132" t="n"/>
      <c r="KTY287" s="1132" t="n"/>
      <c r="KTZ287" s="1132" t="n"/>
      <c r="KUA287" s="1132" t="n"/>
      <c r="KUB287" s="1132" t="n"/>
      <c r="KUC287" s="1132" t="n"/>
      <c r="KUD287" s="1132" t="n"/>
      <c r="KUE287" s="1132" t="n"/>
      <c r="KUF287" s="1132" t="n"/>
      <c r="KUG287" s="1132" t="n"/>
      <c r="KUH287" s="1132" t="n"/>
      <c r="KUI287" s="1132" t="n"/>
      <c r="KUJ287" s="1132" t="n"/>
      <c r="KUK287" s="1132" t="n"/>
      <c r="KUL287" s="1132" t="n"/>
      <c r="KUM287" s="1132" t="n"/>
      <c r="KUN287" s="1132" t="n"/>
      <c r="KUO287" s="1132" t="n"/>
      <c r="KUP287" s="1132" t="n"/>
      <c r="KUQ287" s="1132" t="n"/>
      <c r="KUR287" s="1132" t="n"/>
      <c r="KUS287" s="1132" t="n"/>
      <c r="KUT287" s="1132" t="n"/>
      <c r="KUU287" s="1132" t="n"/>
      <c r="KUV287" s="1132" t="n"/>
      <c r="KUW287" s="1132" t="n"/>
      <c r="KUX287" s="1132" t="n"/>
      <c r="KUY287" s="1132" t="n"/>
      <c r="KUZ287" s="1132" t="n"/>
      <c r="KVA287" s="1132" t="n"/>
      <c r="KVB287" s="1132" t="n"/>
      <c r="KVC287" s="1132" t="n"/>
      <c r="KVD287" s="1132" t="n"/>
      <c r="KVE287" s="1132" t="n"/>
      <c r="KVF287" s="1132" t="n"/>
      <c r="KVG287" s="1132" t="n"/>
      <c r="KVH287" s="1132" t="n"/>
      <c r="KVI287" s="1132" t="n"/>
      <c r="KVJ287" s="1132" t="n"/>
      <c r="KVK287" s="1132" t="n"/>
      <c r="KVL287" s="1132" t="n"/>
      <c r="KVM287" s="1132" t="n"/>
      <c r="KVN287" s="1132" t="n"/>
      <c r="KVO287" s="1132" t="n"/>
      <c r="KVP287" s="1132" t="n"/>
      <c r="KVQ287" s="1132" t="n"/>
      <c r="KVR287" s="1132" t="n"/>
      <c r="KVS287" s="1132" t="n"/>
      <c r="KVT287" s="1132" t="n"/>
      <c r="KVU287" s="1132" t="n"/>
      <c r="KVV287" s="1132" t="n"/>
      <c r="KVW287" s="1132" t="n"/>
      <c r="KVX287" s="1132" t="n"/>
      <c r="KVY287" s="1132" t="n"/>
      <c r="KVZ287" s="1132" t="n"/>
      <c r="KWA287" s="1132" t="n"/>
      <c r="KWB287" s="1132" t="n"/>
      <c r="KWC287" s="1132" t="n"/>
      <c r="KWD287" s="1132" t="n"/>
      <c r="KWE287" s="1132" t="n"/>
      <c r="KWF287" s="1132" t="n"/>
      <c r="KWG287" s="1132" t="n"/>
      <c r="KWH287" s="1132" t="n"/>
      <c r="KWI287" s="1132" t="n"/>
      <c r="KWJ287" s="1132" t="n"/>
      <c r="KWK287" s="1132" t="n"/>
      <c r="KWL287" s="1132" t="n"/>
      <c r="KWM287" s="1132" t="n"/>
      <c r="KWN287" s="1132" t="n"/>
      <c r="KWO287" s="1132" t="n"/>
      <c r="KWP287" s="1132" t="n"/>
      <c r="KWQ287" s="1132" t="n"/>
      <c r="KWR287" s="1132" t="n"/>
      <c r="KWS287" s="1132" t="n"/>
      <c r="KWT287" s="1132" t="n"/>
      <c r="KWU287" s="1132" t="n"/>
      <c r="KWV287" s="1132" t="n"/>
      <c r="KWW287" s="1132" t="n"/>
      <c r="KWX287" s="1132" t="n"/>
      <c r="KWY287" s="1132" t="n"/>
      <c r="KWZ287" s="1132" t="n"/>
      <c r="KXA287" s="1132" t="n"/>
      <c r="KXB287" s="1132" t="n"/>
      <c r="KXC287" s="1132" t="n"/>
      <c r="KXD287" s="1132" t="n"/>
      <c r="KXE287" s="1132" t="n"/>
      <c r="KXF287" s="1132" t="n"/>
      <c r="KXG287" s="1132" t="n"/>
      <c r="KXH287" s="1132" t="n"/>
      <c r="KXI287" s="1132" t="n"/>
      <c r="KXJ287" s="1132" t="n"/>
      <c r="KXK287" s="1132" t="n"/>
      <c r="KXL287" s="1132" t="n"/>
      <c r="KXM287" s="1132" t="n"/>
      <c r="KXN287" s="1132" t="n"/>
      <c r="KXO287" s="1132" t="n"/>
      <c r="KXP287" s="1132" t="n"/>
      <c r="KXQ287" s="1132" t="n"/>
      <c r="KXR287" s="1132" t="n"/>
      <c r="KXS287" s="1132" t="n"/>
      <c r="KXT287" s="1132" t="n"/>
      <c r="KXU287" s="1132" t="n"/>
      <c r="KXV287" s="1132" t="n"/>
      <c r="KXW287" s="1132" t="n"/>
      <c r="KXX287" s="1132" t="n"/>
      <c r="KXY287" s="1132" t="n"/>
      <c r="KXZ287" s="1132" t="n"/>
      <c r="KYA287" s="1132" t="n"/>
      <c r="KYB287" s="1132" t="n"/>
      <c r="KYC287" s="1132" t="n"/>
      <c r="KYD287" s="1132" t="n"/>
      <c r="KYE287" s="1132" t="n"/>
      <c r="KYF287" s="1132" t="n"/>
      <c r="KYG287" s="1132" t="n"/>
      <c r="KYH287" s="1132" t="n"/>
      <c r="KYI287" s="1132" t="n"/>
      <c r="KYJ287" s="1132" t="n"/>
      <c r="KYK287" s="1132" t="n"/>
      <c r="KYL287" s="1132" t="n"/>
      <c r="KYM287" s="1132" t="n"/>
      <c r="KYN287" s="1132" t="n"/>
      <c r="KYO287" s="1132" t="n"/>
      <c r="KYP287" s="1132" t="n"/>
      <c r="KYQ287" s="1132" t="n"/>
      <c r="KYR287" s="1132" t="n"/>
      <c r="KYS287" s="1132" t="n"/>
      <c r="KYT287" s="1132" t="n"/>
      <c r="KYU287" s="1132" t="n"/>
      <c r="KYV287" s="1132" t="n"/>
      <c r="KYW287" s="1132" t="n"/>
      <c r="KYX287" s="1132" t="n"/>
      <c r="KYY287" s="1132" t="n"/>
      <c r="KYZ287" s="1132" t="n"/>
      <c r="KZA287" s="1132" t="n"/>
      <c r="KZB287" s="1132" t="n"/>
      <c r="KZC287" s="1132" t="n"/>
      <c r="KZD287" s="1132" t="n"/>
      <c r="KZE287" s="1132" t="n"/>
      <c r="KZF287" s="1132" t="n"/>
      <c r="KZG287" s="1132" t="n"/>
      <c r="KZH287" s="1132" t="n"/>
      <c r="KZI287" s="1132" t="n"/>
      <c r="KZJ287" s="1132" t="n"/>
      <c r="KZK287" s="1132" t="n"/>
      <c r="KZL287" s="1132" t="n"/>
      <c r="KZM287" s="1132" t="n"/>
      <c r="KZN287" s="1132" t="n"/>
      <c r="KZO287" s="1132" t="n"/>
      <c r="KZP287" s="1132" t="n"/>
      <c r="KZQ287" s="1132" t="n"/>
      <c r="KZR287" s="1132" t="n"/>
      <c r="KZS287" s="1132" t="n"/>
      <c r="KZT287" s="1132" t="n"/>
      <c r="KZU287" s="1132" t="n"/>
      <c r="KZV287" s="1132" t="n"/>
      <c r="KZW287" s="1132" t="n"/>
      <c r="KZX287" s="1132" t="n"/>
      <c r="KZY287" s="1132" t="n"/>
      <c r="KZZ287" s="1132" t="n"/>
      <c r="LAA287" s="1132" t="n"/>
      <c r="LAB287" s="1132" t="n"/>
      <c r="LAC287" s="1132" t="n"/>
      <c r="LAD287" s="1132" t="n"/>
      <c r="LAE287" s="1132" t="n"/>
      <c r="LAF287" s="1132" t="n"/>
      <c r="LAG287" s="1132" t="n"/>
      <c r="LAH287" s="1132" t="n"/>
      <c r="LAI287" s="1132" t="n"/>
      <c r="LAJ287" s="1132" t="n"/>
      <c r="LAK287" s="1132" t="n"/>
      <c r="LAL287" s="1132" t="n"/>
      <c r="LAM287" s="1132" t="n"/>
      <c r="LAN287" s="1132" t="n"/>
      <c r="LAO287" s="1132" t="n"/>
      <c r="LAP287" s="1132" t="n"/>
      <c r="LAQ287" s="1132" t="n"/>
      <c r="LAR287" s="1132" t="n"/>
      <c r="LAS287" s="1132" t="n"/>
      <c r="LAT287" s="1132" t="n"/>
      <c r="LAU287" s="1132" t="n"/>
      <c r="LAV287" s="1132" t="n"/>
      <c r="LAW287" s="1132" t="n"/>
      <c r="LAX287" s="1132" t="n"/>
      <c r="LAY287" s="1132" t="n"/>
      <c r="LAZ287" s="1132" t="n"/>
      <c r="LBA287" s="1132" t="n"/>
      <c r="LBB287" s="1132" t="n"/>
      <c r="LBC287" s="1132" t="n"/>
      <c r="LBD287" s="1132" t="n"/>
      <c r="LBE287" s="1132" t="n"/>
      <c r="LBF287" s="1132" t="n"/>
      <c r="LBG287" s="1132" t="n"/>
      <c r="LBH287" s="1132" t="n"/>
      <c r="LBI287" s="1132" t="n"/>
      <c r="LBJ287" s="1132" t="n"/>
      <c r="LBK287" s="1132" t="n"/>
      <c r="LBL287" s="1132" t="n"/>
      <c r="LBM287" s="1132" t="n"/>
      <c r="LBN287" s="1132" t="n"/>
      <c r="LBO287" s="1132" t="n"/>
      <c r="LBP287" s="1132" t="n"/>
      <c r="LBQ287" s="1132" t="n"/>
      <c r="LBR287" s="1132" t="n"/>
      <c r="LBS287" s="1132" t="n"/>
      <c r="LBT287" s="1132" t="n"/>
      <c r="LBU287" s="1132" t="n"/>
      <c r="LBV287" s="1132" t="n"/>
      <c r="LBW287" s="1132" t="n"/>
      <c r="LBX287" s="1132" t="n"/>
      <c r="LBY287" s="1132" t="n"/>
      <c r="LBZ287" s="1132" t="n"/>
      <c r="LCA287" s="1132" t="n"/>
      <c r="LCB287" s="1132" t="n"/>
      <c r="LCC287" s="1132" t="n"/>
      <c r="LCD287" s="1132" t="n"/>
      <c r="LCE287" s="1132" t="n"/>
      <c r="LCF287" s="1132" t="n"/>
      <c r="LCG287" s="1132" t="n"/>
      <c r="LCH287" s="1132" t="n"/>
      <c r="LCI287" s="1132" t="n"/>
      <c r="LCJ287" s="1132" t="n"/>
      <c r="LCK287" s="1132" t="n"/>
      <c r="LCL287" s="1132" t="n"/>
      <c r="LCM287" s="1132" t="n"/>
      <c r="LCN287" s="1132" t="n"/>
      <c r="LCO287" s="1132" t="n"/>
      <c r="LCP287" s="1132" t="n"/>
      <c r="LCQ287" s="1132" t="n"/>
      <c r="LCR287" s="1132" t="n"/>
      <c r="LCS287" s="1132" t="n"/>
      <c r="LCT287" s="1132" t="n"/>
      <c r="LCU287" s="1132" t="n"/>
      <c r="LCV287" s="1132" t="n"/>
      <c r="LCW287" s="1132" t="n"/>
      <c r="LCX287" s="1132" t="n"/>
      <c r="LCY287" s="1132" t="n"/>
      <c r="LCZ287" s="1132" t="n"/>
      <c r="LDA287" s="1132" t="n"/>
      <c r="LDB287" s="1132" t="n"/>
      <c r="LDC287" s="1132" t="n"/>
      <c r="LDD287" s="1132" t="n"/>
      <c r="LDE287" s="1132" t="n"/>
      <c r="LDF287" s="1132" t="n"/>
      <c r="LDG287" s="1132" t="n"/>
      <c r="LDH287" s="1132" t="n"/>
      <c r="LDI287" s="1132" t="n"/>
      <c r="LDJ287" s="1132" t="n"/>
      <c r="LDK287" s="1132" t="n"/>
      <c r="LDL287" s="1132" t="n"/>
      <c r="LDM287" s="1132" t="n"/>
      <c r="LDN287" s="1132" t="n"/>
      <c r="LDO287" s="1132" t="n"/>
      <c r="LDP287" s="1132" t="n"/>
      <c r="LDQ287" s="1132" t="n"/>
      <c r="LDR287" s="1132" t="n"/>
      <c r="LDS287" s="1132" t="n"/>
      <c r="LDT287" s="1132" t="n"/>
      <c r="LDU287" s="1132" t="n"/>
      <c r="LDV287" s="1132" t="n"/>
      <c r="LDW287" s="1132" t="n"/>
      <c r="LDX287" s="1132" t="n"/>
      <c r="LDY287" s="1132" t="n"/>
      <c r="LDZ287" s="1132" t="n"/>
      <c r="LEA287" s="1132" t="n"/>
      <c r="LEB287" s="1132" t="n"/>
      <c r="LEC287" s="1132" t="n"/>
      <c r="LED287" s="1132" t="n"/>
      <c r="LEE287" s="1132" t="n"/>
      <c r="LEF287" s="1132" t="n"/>
      <c r="LEG287" s="1132" t="n"/>
      <c r="LEH287" s="1132" t="n"/>
      <c r="LEI287" s="1132" t="n"/>
      <c r="LEJ287" s="1132" t="n"/>
      <c r="LEK287" s="1132" t="n"/>
      <c r="LEL287" s="1132" t="n"/>
      <c r="LEM287" s="1132" t="n"/>
      <c r="LEN287" s="1132" t="n"/>
      <c r="LEO287" s="1132" t="n"/>
      <c r="LEP287" s="1132" t="n"/>
      <c r="LEQ287" s="1132" t="n"/>
      <c r="LER287" s="1132" t="n"/>
      <c r="LES287" s="1132" t="n"/>
      <c r="LET287" s="1132" t="n"/>
      <c r="LEU287" s="1132" t="n"/>
      <c r="LEV287" s="1132" t="n"/>
      <c r="LEW287" s="1132" t="n"/>
      <c r="LEX287" s="1132" t="n"/>
      <c r="LEY287" s="1132" t="n"/>
      <c r="LEZ287" s="1132" t="n"/>
      <c r="LFA287" s="1132" t="n"/>
      <c r="LFB287" s="1132" t="n"/>
      <c r="LFC287" s="1132" t="n"/>
      <c r="LFD287" s="1132" t="n"/>
      <c r="LFE287" s="1132" t="n"/>
      <c r="LFF287" s="1132" t="n"/>
      <c r="LFG287" s="1132" t="n"/>
      <c r="LFH287" s="1132" t="n"/>
      <c r="LFI287" s="1132" t="n"/>
      <c r="LFJ287" s="1132" t="n"/>
      <c r="LFK287" s="1132" t="n"/>
      <c r="LFL287" s="1132" t="n"/>
      <c r="LFM287" s="1132" t="n"/>
      <c r="LFN287" s="1132" t="n"/>
      <c r="LFO287" s="1132" t="n"/>
      <c r="LFP287" s="1132" t="n"/>
      <c r="LFQ287" s="1132" t="n"/>
      <c r="LFR287" s="1132" t="n"/>
      <c r="LFS287" s="1132" t="n"/>
      <c r="LFT287" s="1132" t="n"/>
      <c r="LFU287" s="1132" t="n"/>
      <c r="LFV287" s="1132" t="n"/>
      <c r="LFW287" s="1132" t="n"/>
      <c r="LFX287" s="1132" t="n"/>
      <c r="LFY287" s="1132" t="n"/>
      <c r="LFZ287" s="1132" t="n"/>
      <c r="LGA287" s="1132" t="n"/>
      <c r="LGB287" s="1132" t="n"/>
      <c r="LGC287" s="1132" t="n"/>
      <c r="LGD287" s="1132" t="n"/>
      <c r="LGE287" s="1132" t="n"/>
      <c r="LGF287" s="1132" t="n"/>
      <c r="LGG287" s="1132" t="n"/>
      <c r="LGH287" s="1132" t="n"/>
      <c r="LGI287" s="1132" t="n"/>
      <c r="LGJ287" s="1132" t="n"/>
      <c r="LGK287" s="1132" t="n"/>
      <c r="LGL287" s="1132" t="n"/>
      <c r="LGM287" s="1132" t="n"/>
      <c r="LGN287" s="1132" t="n"/>
      <c r="LGO287" s="1132" t="n"/>
      <c r="LGP287" s="1132" t="n"/>
      <c r="LGQ287" s="1132" t="n"/>
      <c r="LGR287" s="1132" t="n"/>
      <c r="LGS287" s="1132" t="n"/>
      <c r="LGT287" s="1132" t="n"/>
      <c r="LGU287" s="1132" t="n"/>
      <c r="LGV287" s="1132" t="n"/>
      <c r="LGW287" s="1132" t="n"/>
      <c r="LGX287" s="1132" t="n"/>
      <c r="LGY287" s="1132" t="n"/>
      <c r="LGZ287" s="1132" t="n"/>
      <c r="LHA287" s="1132" t="n"/>
      <c r="LHB287" s="1132" t="n"/>
      <c r="LHC287" s="1132" t="n"/>
      <c r="LHD287" s="1132" t="n"/>
      <c r="LHE287" s="1132" t="n"/>
      <c r="LHF287" s="1132" t="n"/>
      <c r="LHG287" s="1132" t="n"/>
      <c r="LHH287" s="1132" t="n"/>
      <c r="LHI287" s="1132" t="n"/>
      <c r="LHJ287" s="1132" t="n"/>
      <c r="LHK287" s="1132" t="n"/>
      <c r="LHL287" s="1132" t="n"/>
      <c r="LHM287" s="1132" t="n"/>
      <c r="LHN287" s="1132" t="n"/>
      <c r="LHO287" s="1132" t="n"/>
      <c r="LHP287" s="1132" t="n"/>
      <c r="LHQ287" s="1132" t="n"/>
      <c r="LHR287" s="1132" t="n"/>
      <c r="LHS287" s="1132" t="n"/>
      <c r="LHT287" s="1132" t="n"/>
      <c r="LHU287" s="1132" t="n"/>
      <c r="LHV287" s="1132" t="n"/>
      <c r="LHW287" s="1132" t="n"/>
      <c r="LHX287" s="1132" t="n"/>
      <c r="LHY287" s="1132" t="n"/>
      <c r="LHZ287" s="1132" t="n"/>
      <c r="LIA287" s="1132" t="n"/>
      <c r="LIB287" s="1132" t="n"/>
      <c r="LIC287" s="1132" t="n"/>
      <c r="LID287" s="1132" t="n"/>
      <c r="LIE287" s="1132" t="n"/>
      <c r="LIF287" s="1132" t="n"/>
      <c r="LIG287" s="1132" t="n"/>
      <c r="LIH287" s="1132" t="n"/>
      <c r="LII287" s="1132" t="n"/>
      <c r="LIJ287" s="1132" t="n"/>
      <c r="LIK287" s="1132" t="n"/>
      <c r="LIL287" s="1132" t="n"/>
      <c r="LIM287" s="1132" t="n"/>
      <c r="LIN287" s="1132" t="n"/>
      <c r="LIO287" s="1132" t="n"/>
      <c r="LIP287" s="1132" t="n"/>
      <c r="LIQ287" s="1132" t="n"/>
      <c r="LIR287" s="1132" t="n"/>
      <c r="LIS287" s="1132" t="n"/>
      <c r="LIT287" s="1132" t="n"/>
      <c r="LIU287" s="1132" t="n"/>
      <c r="LIV287" s="1132" t="n"/>
      <c r="LIW287" s="1132" t="n"/>
      <c r="LIX287" s="1132" t="n"/>
      <c r="LIY287" s="1132" t="n"/>
      <c r="LIZ287" s="1132" t="n"/>
      <c r="LJA287" s="1132" t="n"/>
      <c r="LJB287" s="1132" t="n"/>
      <c r="LJC287" s="1132" t="n"/>
      <c r="LJD287" s="1132" t="n"/>
      <c r="LJE287" s="1132" t="n"/>
      <c r="LJF287" s="1132" t="n"/>
      <c r="LJG287" s="1132" t="n"/>
      <c r="LJH287" s="1132" t="n"/>
      <c r="LJI287" s="1132" t="n"/>
      <c r="LJJ287" s="1132" t="n"/>
      <c r="LJK287" s="1132" t="n"/>
      <c r="LJL287" s="1132" t="n"/>
      <c r="LJM287" s="1132" t="n"/>
      <c r="LJN287" s="1132" t="n"/>
      <c r="LJO287" s="1132" t="n"/>
      <c r="LJP287" s="1132" t="n"/>
      <c r="LJQ287" s="1132" t="n"/>
      <c r="LJR287" s="1132" t="n"/>
      <c r="LJS287" s="1132" t="n"/>
      <c r="LJT287" s="1132" t="n"/>
      <c r="LJU287" s="1132" t="n"/>
      <c r="LJV287" s="1132" t="n"/>
      <c r="LJW287" s="1132" t="n"/>
      <c r="LJX287" s="1132" t="n"/>
      <c r="LJY287" s="1132" t="n"/>
      <c r="LJZ287" s="1132" t="n"/>
      <c r="LKA287" s="1132" t="n"/>
      <c r="LKB287" s="1132" t="n"/>
      <c r="LKC287" s="1132" t="n"/>
      <c r="LKD287" s="1132" t="n"/>
      <c r="LKE287" s="1132" t="n"/>
      <c r="LKF287" s="1132" t="n"/>
      <c r="LKG287" s="1132" t="n"/>
      <c r="LKH287" s="1132" t="n"/>
      <c r="LKI287" s="1132" t="n"/>
      <c r="LKJ287" s="1132" t="n"/>
      <c r="LKK287" s="1132" t="n"/>
      <c r="LKL287" s="1132" t="n"/>
      <c r="LKM287" s="1132" t="n"/>
      <c r="LKN287" s="1132" t="n"/>
      <c r="LKO287" s="1132" t="n"/>
      <c r="LKP287" s="1132" t="n"/>
      <c r="LKQ287" s="1132" t="n"/>
      <c r="LKR287" s="1132" t="n"/>
      <c r="LKS287" s="1132" t="n"/>
      <c r="LKT287" s="1132" t="n"/>
      <c r="LKU287" s="1132" t="n"/>
      <c r="LKV287" s="1132" t="n"/>
      <c r="LKW287" s="1132" t="n"/>
      <c r="LKX287" s="1132" t="n"/>
      <c r="LKY287" s="1132" t="n"/>
      <c r="LKZ287" s="1132" t="n"/>
      <c r="LLA287" s="1132" t="n"/>
      <c r="LLB287" s="1132" t="n"/>
      <c r="LLC287" s="1132" t="n"/>
      <c r="LLD287" s="1132" t="n"/>
      <c r="LLE287" s="1132" t="n"/>
      <c r="LLF287" s="1132" t="n"/>
      <c r="LLG287" s="1132" t="n"/>
      <c r="LLH287" s="1132" t="n"/>
      <c r="LLI287" s="1132" t="n"/>
      <c r="LLJ287" s="1132" t="n"/>
      <c r="LLK287" s="1132" t="n"/>
      <c r="LLL287" s="1132" t="n"/>
      <c r="LLM287" s="1132" t="n"/>
      <c r="LLN287" s="1132" t="n"/>
      <c r="LLO287" s="1132" t="n"/>
      <c r="LLP287" s="1132" t="n"/>
      <c r="LLQ287" s="1132" t="n"/>
      <c r="LLR287" s="1132" t="n"/>
      <c r="LLS287" s="1132" t="n"/>
      <c r="LLT287" s="1132" t="n"/>
      <c r="LLU287" s="1132" t="n"/>
      <c r="LLV287" s="1132" t="n"/>
      <c r="LLW287" s="1132" t="n"/>
      <c r="LLX287" s="1132" t="n"/>
      <c r="LLY287" s="1132" t="n"/>
      <c r="LLZ287" s="1132" t="n"/>
      <c r="LMA287" s="1132" t="n"/>
      <c r="LMB287" s="1132" t="n"/>
      <c r="LMC287" s="1132" t="n"/>
      <c r="LMD287" s="1132" t="n"/>
      <c r="LME287" s="1132" t="n"/>
      <c r="LMF287" s="1132" t="n"/>
      <c r="LMG287" s="1132" t="n"/>
      <c r="LMH287" s="1132" t="n"/>
      <c r="LMI287" s="1132" t="n"/>
      <c r="LMJ287" s="1132" t="n"/>
      <c r="LMK287" s="1132" t="n"/>
      <c r="LML287" s="1132" t="n"/>
      <c r="LMM287" s="1132" t="n"/>
      <c r="LMN287" s="1132" t="n"/>
      <c r="LMO287" s="1132" t="n"/>
      <c r="LMP287" s="1132" t="n"/>
      <c r="LMQ287" s="1132" t="n"/>
      <c r="LMR287" s="1132" t="n"/>
      <c r="LMS287" s="1132" t="n"/>
      <c r="LMT287" s="1132" t="n"/>
      <c r="LMU287" s="1132" t="n"/>
      <c r="LMV287" s="1132" t="n"/>
      <c r="LMW287" s="1132" t="n"/>
      <c r="LMX287" s="1132" t="n"/>
      <c r="LMY287" s="1132" t="n"/>
      <c r="LMZ287" s="1132" t="n"/>
      <c r="LNA287" s="1132" t="n"/>
      <c r="LNB287" s="1132" t="n"/>
      <c r="LNC287" s="1132" t="n"/>
      <c r="LND287" s="1132" t="n"/>
      <c r="LNE287" s="1132" t="n"/>
      <c r="LNF287" s="1132" t="n"/>
      <c r="LNG287" s="1132" t="n"/>
      <c r="LNH287" s="1132" t="n"/>
      <c r="LNI287" s="1132" t="n"/>
      <c r="LNJ287" s="1132" t="n"/>
      <c r="LNK287" s="1132" t="n"/>
      <c r="LNL287" s="1132" t="n"/>
      <c r="LNM287" s="1132" t="n"/>
      <c r="LNN287" s="1132" t="n"/>
      <c r="LNO287" s="1132" t="n"/>
      <c r="LNP287" s="1132" t="n"/>
      <c r="LNQ287" s="1132" t="n"/>
      <c r="LNR287" s="1132" t="n"/>
      <c r="LNS287" s="1132" t="n"/>
      <c r="LNT287" s="1132" t="n"/>
      <c r="LNU287" s="1132" t="n"/>
      <c r="LNV287" s="1132" t="n"/>
      <c r="LNW287" s="1132" t="n"/>
      <c r="LNX287" s="1132" t="n"/>
      <c r="LNY287" s="1132" t="n"/>
      <c r="LNZ287" s="1132" t="n"/>
      <c r="LOA287" s="1132" t="n"/>
      <c r="LOB287" s="1132" t="n"/>
      <c r="LOC287" s="1132" t="n"/>
      <c r="LOD287" s="1132" t="n"/>
      <c r="LOE287" s="1132" t="n"/>
      <c r="LOF287" s="1132" t="n"/>
      <c r="LOG287" s="1132" t="n"/>
      <c r="LOH287" s="1132" t="n"/>
      <c r="LOI287" s="1132" t="n"/>
      <c r="LOJ287" s="1132" t="n"/>
      <c r="LOK287" s="1132" t="n"/>
      <c r="LOL287" s="1132" t="n"/>
      <c r="LOM287" s="1132" t="n"/>
      <c r="LON287" s="1132" t="n"/>
      <c r="LOO287" s="1132" t="n"/>
      <c r="LOP287" s="1132" t="n"/>
      <c r="LOQ287" s="1132" t="n"/>
      <c r="LOR287" s="1132" t="n"/>
      <c r="LOS287" s="1132" t="n"/>
      <c r="LOT287" s="1132" t="n"/>
      <c r="LOU287" s="1132" t="n"/>
      <c r="LOV287" s="1132" t="n"/>
      <c r="LOW287" s="1132" t="n"/>
      <c r="LOX287" s="1132" t="n"/>
      <c r="LOY287" s="1132" t="n"/>
      <c r="LOZ287" s="1132" t="n"/>
      <c r="LPA287" s="1132" t="n"/>
      <c r="LPB287" s="1132" t="n"/>
      <c r="LPC287" s="1132" t="n"/>
      <c r="LPD287" s="1132" t="n"/>
      <c r="LPE287" s="1132" t="n"/>
      <c r="LPF287" s="1132" t="n"/>
      <c r="LPG287" s="1132" t="n"/>
      <c r="LPH287" s="1132" t="n"/>
      <c r="LPI287" s="1132" t="n"/>
      <c r="LPJ287" s="1132" t="n"/>
      <c r="LPK287" s="1132" t="n"/>
      <c r="LPL287" s="1132" t="n"/>
      <c r="LPM287" s="1132" t="n"/>
      <c r="LPN287" s="1132" t="n"/>
      <c r="LPO287" s="1132" t="n"/>
      <c r="LPP287" s="1132" t="n"/>
      <c r="LPQ287" s="1132" t="n"/>
      <c r="LPR287" s="1132" t="n"/>
      <c r="LPS287" s="1132" t="n"/>
      <c r="LPT287" s="1132" t="n"/>
      <c r="LPU287" s="1132" t="n"/>
      <c r="LPV287" s="1132" t="n"/>
      <c r="LPW287" s="1132" t="n"/>
      <c r="LPX287" s="1132" t="n"/>
      <c r="LPY287" s="1132" t="n"/>
      <c r="LPZ287" s="1132" t="n"/>
      <c r="LQA287" s="1132" t="n"/>
      <c r="LQB287" s="1132" t="n"/>
      <c r="LQC287" s="1132" t="n"/>
      <c r="LQD287" s="1132" t="n"/>
      <c r="LQE287" s="1132" t="n"/>
      <c r="LQF287" s="1132" t="n"/>
      <c r="LQG287" s="1132" t="n"/>
      <c r="LQH287" s="1132" t="n"/>
      <c r="LQI287" s="1132" t="n"/>
      <c r="LQJ287" s="1132" t="n"/>
      <c r="LQK287" s="1132" t="n"/>
      <c r="LQL287" s="1132" t="n"/>
      <c r="LQM287" s="1132" t="n"/>
      <c r="LQN287" s="1132" t="n"/>
      <c r="LQO287" s="1132" t="n"/>
      <c r="LQP287" s="1132" t="n"/>
      <c r="LQQ287" s="1132" t="n"/>
      <c r="LQR287" s="1132" t="n"/>
      <c r="LQS287" s="1132" t="n"/>
      <c r="LQT287" s="1132" t="n"/>
      <c r="LQU287" s="1132" t="n"/>
      <c r="LQV287" s="1132" t="n"/>
      <c r="LQW287" s="1132" t="n"/>
      <c r="LQX287" s="1132" t="n"/>
      <c r="LQY287" s="1132" t="n"/>
      <c r="LQZ287" s="1132" t="n"/>
      <c r="LRA287" s="1132" t="n"/>
      <c r="LRB287" s="1132" t="n"/>
      <c r="LRC287" s="1132" t="n"/>
      <c r="LRD287" s="1132" t="n"/>
      <c r="LRE287" s="1132" t="n"/>
      <c r="LRF287" s="1132" t="n"/>
      <c r="LRG287" s="1132" t="n"/>
      <c r="LRH287" s="1132" t="n"/>
      <c r="LRI287" s="1132" t="n"/>
      <c r="LRJ287" s="1132" t="n"/>
      <c r="LRK287" s="1132" t="n"/>
      <c r="LRL287" s="1132" t="n"/>
      <c r="LRM287" s="1132" t="n"/>
      <c r="LRN287" s="1132" t="n"/>
      <c r="LRO287" s="1132" t="n"/>
      <c r="LRP287" s="1132" t="n"/>
      <c r="LRQ287" s="1132" t="n"/>
      <c r="LRR287" s="1132" t="n"/>
      <c r="LRS287" s="1132" t="n"/>
      <c r="LRT287" s="1132" t="n"/>
      <c r="LRU287" s="1132" t="n"/>
      <c r="LRV287" s="1132" t="n"/>
      <c r="LRW287" s="1132" t="n"/>
      <c r="LRX287" s="1132" t="n"/>
      <c r="LRY287" s="1132" t="n"/>
      <c r="LRZ287" s="1132" t="n"/>
      <c r="LSA287" s="1132" t="n"/>
      <c r="LSB287" s="1132" t="n"/>
      <c r="LSC287" s="1132" t="n"/>
      <c r="LSD287" s="1132" t="n"/>
      <c r="LSE287" s="1132" t="n"/>
      <c r="LSF287" s="1132" t="n"/>
      <c r="LSG287" s="1132" t="n"/>
      <c r="LSH287" s="1132" t="n"/>
      <c r="LSI287" s="1132" t="n"/>
      <c r="LSJ287" s="1132" t="n"/>
      <c r="LSK287" s="1132" t="n"/>
      <c r="LSL287" s="1132" t="n"/>
      <c r="LSM287" s="1132" t="n"/>
      <c r="LSN287" s="1132" t="n"/>
      <c r="LSO287" s="1132" t="n"/>
      <c r="LSP287" s="1132" t="n"/>
      <c r="LSQ287" s="1132" t="n"/>
      <c r="LSR287" s="1132" t="n"/>
      <c r="LSS287" s="1132" t="n"/>
      <c r="LST287" s="1132" t="n"/>
      <c r="LSU287" s="1132" t="n"/>
      <c r="LSV287" s="1132" t="n"/>
      <c r="LSW287" s="1132" t="n"/>
      <c r="LSX287" s="1132" t="n"/>
      <c r="LSY287" s="1132" t="n"/>
      <c r="LSZ287" s="1132" t="n"/>
      <c r="LTA287" s="1132" t="n"/>
      <c r="LTB287" s="1132" t="n"/>
      <c r="LTC287" s="1132" t="n"/>
      <c r="LTD287" s="1132" t="n"/>
      <c r="LTE287" s="1132" t="n"/>
      <c r="LTF287" s="1132" t="n"/>
      <c r="LTG287" s="1132" t="n"/>
      <c r="LTH287" s="1132" t="n"/>
      <c r="LTI287" s="1132" t="n"/>
      <c r="LTJ287" s="1132" t="n"/>
      <c r="LTK287" s="1132" t="n"/>
      <c r="LTL287" s="1132" t="n"/>
      <c r="LTM287" s="1132" t="n"/>
      <c r="LTN287" s="1132" t="n"/>
      <c r="LTO287" s="1132" t="n"/>
      <c r="LTP287" s="1132" t="n"/>
      <c r="LTQ287" s="1132" t="n"/>
      <c r="LTR287" s="1132" t="n"/>
      <c r="LTS287" s="1132" t="n"/>
      <c r="LTT287" s="1132" t="n"/>
      <c r="LTU287" s="1132" t="n"/>
      <c r="LTV287" s="1132" t="n"/>
      <c r="LTW287" s="1132" t="n"/>
      <c r="LTX287" s="1132" t="n"/>
      <c r="LTY287" s="1132" t="n"/>
      <c r="LTZ287" s="1132" t="n"/>
      <c r="LUA287" s="1132" t="n"/>
      <c r="LUB287" s="1132" t="n"/>
      <c r="LUC287" s="1132" t="n"/>
      <c r="LUD287" s="1132" t="n"/>
      <c r="LUE287" s="1132" t="n"/>
      <c r="LUF287" s="1132" t="n"/>
      <c r="LUG287" s="1132" t="n"/>
      <c r="LUH287" s="1132" t="n"/>
      <c r="LUI287" s="1132" t="n"/>
      <c r="LUJ287" s="1132" t="n"/>
      <c r="LUK287" s="1132" t="n"/>
      <c r="LUL287" s="1132" t="n"/>
      <c r="LUM287" s="1132" t="n"/>
      <c r="LUN287" s="1132" t="n"/>
      <c r="LUO287" s="1132" t="n"/>
      <c r="LUP287" s="1132" t="n"/>
      <c r="LUQ287" s="1132" t="n"/>
      <c r="LUR287" s="1132" t="n"/>
      <c r="LUS287" s="1132" t="n"/>
      <c r="LUT287" s="1132" t="n"/>
      <c r="LUU287" s="1132" t="n"/>
      <c r="LUV287" s="1132" t="n"/>
      <c r="LUW287" s="1132" t="n"/>
      <c r="LUX287" s="1132" t="n"/>
      <c r="LUY287" s="1132" t="n"/>
      <c r="LUZ287" s="1132" t="n"/>
      <c r="LVA287" s="1132" t="n"/>
      <c r="LVB287" s="1132" t="n"/>
      <c r="LVC287" s="1132" t="n"/>
      <c r="LVD287" s="1132" t="n"/>
      <c r="LVE287" s="1132" t="n"/>
      <c r="LVF287" s="1132" t="n"/>
      <c r="LVG287" s="1132" t="n"/>
      <c r="LVH287" s="1132" t="n"/>
      <c r="LVI287" s="1132" t="n"/>
      <c r="LVJ287" s="1132" t="n"/>
      <c r="LVK287" s="1132" t="n"/>
      <c r="LVL287" s="1132" t="n"/>
      <c r="LVM287" s="1132" t="n"/>
      <c r="LVN287" s="1132" t="n"/>
      <c r="LVO287" s="1132" t="n"/>
      <c r="LVP287" s="1132" t="n"/>
      <c r="LVQ287" s="1132" t="n"/>
      <c r="LVR287" s="1132" t="n"/>
      <c r="LVS287" s="1132" t="n"/>
      <c r="LVT287" s="1132" t="n"/>
      <c r="LVU287" s="1132" t="n"/>
      <c r="LVV287" s="1132" t="n"/>
      <c r="LVW287" s="1132" t="n"/>
      <c r="LVX287" s="1132" t="n"/>
      <c r="LVY287" s="1132" t="n"/>
      <c r="LVZ287" s="1132" t="n"/>
      <c r="LWA287" s="1132" t="n"/>
      <c r="LWB287" s="1132" t="n"/>
      <c r="LWC287" s="1132" t="n"/>
      <c r="LWD287" s="1132" t="n"/>
      <c r="LWE287" s="1132" t="n"/>
      <c r="LWF287" s="1132" t="n"/>
      <c r="LWG287" s="1132" t="n"/>
      <c r="LWH287" s="1132" t="n"/>
      <c r="LWI287" s="1132" t="n"/>
      <c r="LWJ287" s="1132" t="n"/>
      <c r="LWK287" s="1132" t="n"/>
      <c r="LWL287" s="1132" t="n"/>
      <c r="LWM287" s="1132" t="n"/>
      <c r="LWN287" s="1132" t="n"/>
      <c r="LWO287" s="1132" t="n"/>
      <c r="LWP287" s="1132" t="n"/>
      <c r="LWQ287" s="1132" t="n"/>
      <c r="LWR287" s="1132" t="n"/>
      <c r="LWS287" s="1132" t="n"/>
      <c r="LWT287" s="1132" t="n"/>
      <c r="LWU287" s="1132" t="n"/>
      <c r="LWV287" s="1132" t="n"/>
      <c r="LWW287" s="1132" t="n"/>
      <c r="LWX287" s="1132" t="n"/>
      <c r="LWY287" s="1132" t="n"/>
      <c r="LWZ287" s="1132" t="n"/>
      <c r="LXA287" s="1132" t="n"/>
      <c r="LXB287" s="1132" t="n"/>
      <c r="LXC287" s="1132" t="n"/>
      <c r="LXD287" s="1132" t="n"/>
      <c r="LXE287" s="1132" t="n"/>
      <c r="LXF287" s="1132" t="n"/>
      <c r="LXG287" s="1132" t="n"/>
      <c r="LXH287" s="1132" t="n"/>
      <c r="LXI287" s="1132" t="n"/>
      <c r="LXJ287" s="1132" t="n"/>
      <c r="LXK287" s="1132" t="n"/>
      <c r="LXL287" s="1132" t="n"/>
      <c r="LXM287" s="1132" t="n"/>
      <c r="LXN287" s="1132" t="n"/>
      <c r="LXO287" s="1132" t="n"/>
      <c r="LXP287" s="1132" t="n"/>
      <c r="LXQ287" s="1132" t="n"/>
      <c r="LXR287" s="1132" t="n"/>
      <c r="LXS287" s="1132" t="n"/>
      <c r="LXT287" s="1132" t="n"/>
      <c r="LXU287" s="1132" t="n"/>
      <c r="LXV287" s="1132" t="n"/>
      <c r="LXW287" s="1132" t="n"/>
      <c r="LXX287" s="1132" t="n"/>
      <c r="LXY287" s="1132" t="n"/>
      <c r="LXZ287" s="1132" t="n"/>
      <c r="LYA287" s="1132" t="n"/>
      <c r="LYB287" s="1132" t="n"/>
      <c r="LYC287" s="1132" t="n"/>
      <c r="LYD287" s="1132" t="n"/>
      <c r="LYE287" s="1132" t="n"/>
      <c r="LYF287" s="1132" t="n"/>
      <c r="LYG287" s="1132" t="n"/>
      <c r="LYH287" s="1132" t="n"/>
      <c r="LYI287" s="1132" t="n"/>
      <c r="LYJ287" s="1132" t="n"/>
      <c r="LYK287" s="1132" t="n"/>
      <c r="LYL287" s="1132" t="n"/>
      <c r="LYM287" s="1132" t="n"/>
      <c r="LYN287" s="1132" t="n"/>
      <c r="LYO287" s="1132" t="n"/>
      <c r="LYP287" s="1132" t="n"/>
      <c r="LYQ287" s="1132" t="n"/>
      <c r="LYR287" s="1132" t="n"/>
      <c r="LYS287" s="1132" t="n"/>
      <c r="LYT287" s="1132" t="n"/>
      <c r="LYU287" s="1132" t="n"/>
      <c r="LYV287" s="1132" t="n"/>
      <c r="LYW287" s="1132" t="n"/>
      <c r="LYX287" s="1132" t="n"/>
      <c r="LYY287" s="1132" t="n"/>
      <c r="LYZ287" s="1132" t="n"/>
      <c r="LZA287" s="1132" t="n"/>
      <c r="LZB287" s="1132" t="n"/>
      <c r="LZC287" s="1132" t="n"/>
      <c r="LZD287" s="1132" t="n"/>
      <c r="LZE287" s="1132" t="n"/>
      <c r="LZF287" s="1132" t="n"/>
      <c r="LZG287" s="1132" t="n"/>
      <c r="LZH287" s="1132" t="n"/>
      <c r="LZI287" s="1132" t="n"/>
      <c r="LZJ287" s="1132" t="n"/>
      <c r="LZK287" s="1132" t="n"/>
      <c r="LZL287" s="1132" t="n"/>
      <c r="LZM287" s="1132" t="n"/>
      <c r="LZN287" s="1132" t="n"/>
      <c r="LZO287" s="1132" t="n"/>
      <c r="LZP287" s="1132" t="n"/>
      <c r="LZQ287" s="1132" t="n"/>
      <c r="LZR287" s="1132" t="n"/>
      <c r="LZS287" s="1132" t="n"/>
      <c r="LZT287" s="1132" t="n"/>
      <c r="LZU287" s="1132" t="n"/>
      <c r="LZV287" s="1132" t="n"/>
      <c r="LZW287" s="1132" t="n"/>
      <c r="LZX287" s="1132" t="n"/>
      <c r="LZY287" s="1132" t="n"/>
      <c r="LZZ287" s="1132" t="n"/>
      <c r="MAA287" s="1132" t="n"/>
      <c r="MAB287" s="1132" t="n"/>
      <c r="MAC287" s="1132" t="n"/>
      <c r="MAD287" s="1132" t="n"/>
      <c r="MAE287" s="1132" t="n"/>
      <c r="MAF287" s="1132" t="n"/>
      <c r="MAG287" s="1132" t="n"/>
      <c r="MAH287" s="1132" t="n"/>
      <c r="MAI287" s="1132" t="n"/>
      <c r="MAJ287" s="1132" t="n"/>
      <c r="MAK287" s="1132" t="n"/>
      <c r="MAL287" s="1132" t="n"/>
      <c r="MAM287" s="1132" t="n"/>
      <c r="MAN287" s="1132" t="n"/>
      <c r="MAO287" s="1132" t="n"/>
      <c r="MAP287" s="1132" t="n"/>
      <c r="MAQ287" s="1132" t="n"/>
      <c r="MAR287" s="1132" t="n"/>
      <c r="MAS287" s="1132" t="n"/>
      <c r="MAT287" s="1132" t="n"/>
      <c r="MAU287" s="1132" t="n"/>
      <c r="MAV287" s="1132" t="n"/>
      <c r="MAW287" s="1132" t="n"/>
      <c r="MAX287" s="1132" t="n"/>
      <c r="MAY287" s="1132" t="n"/>
      <c r="MAZ287" s="1132" t="n"/>
      <c r="MBA287" s="1132" t="n"/>
      <c r="MBB287" s="1132" t="n"/>
      <c r="MBC287" s="1132" t="n"/>
      <c r="MBD287" s="1132" t="n"/>
      <c r="MBE287" s="1132" t="n"/>
      <c r="MBF287" s="1132" t="n"/>
      <c r="MBG287" s="1132" t="n"/>
      <c r="MBH287" s="1132" t="n"/>
      <c r="MBI287" s="1132" t="n"/>
      <c r="MBJ287" s="1132" t="n"/>
      <c r="MBK287" s="1132" t="n"/>
      <c r="MBL287" s="1132" t="n"/>
      <c r="MBM287" s="1132" t="n"/>
      <c r="MBN287" s="1132" t="n"/>
      <c r="MBO287" s="1132" t="n"/>
      <c r="MBP287" s="1132" t="n"/>
      <c r="MBQ287" s="1132" t="n"/>
      <c r="MBR287" s="1132" t="n"/>
      <c r="MBS287" s="1132" t="n"/>
      <c r="MBT287" s="1132" t="n"/>
      <c r="MBU287" s="1132" t="n"/>
      <c r="MBV287" s="1132" t="n"/>
      <c r="MBW287" s="1132" t="n"/>
      <c r="MBX287" s="1132" t="n"/>
      <c r="MBY287" s="1132" t="n"/>
      <c r="MBZ287" s="1132" t="n"/>
      <c r="MCA287" s="1132" t="n"/>
      <c r="MCB287" s="1132" t="n"/>
      <c r="MCC287" s="1132" t="n"/>
      <c r="MCD287" s="1132" t="n"/>
      <c r="MCE287" s="1132" t="n"/>
      <c r="MCF287" s="1132" t="n"/>
      <c r="MCG287" s="1132" t="n"/>
      <c r="MCH287" s="1132" t="n"/>
      <c r="MCI287" s="1132" t="n"/>
      <c r="MCJ287" s="1132" t="n"/>
      <c r="MCK287" s="1132" t="n"/>
      <c r="MCL287" s="1132" t="n"/>
      <c r="MCM287" s="1132" t="n"/>
      <c r="MCN287" s="1132" t="n"/>
      <c r="MCO287" s="1132" t="n"/>
      <c r="MCP287" s="1132" t="n"/>
      <c r="MCQ287" s="1132" t="n"/>
      <c r="MCR287" s="1132" t="n"/>
      <c r="MCS287" s="1132" t="n"/>
      <c r="MCT287" s="1132" t="n"/>
      <c r="MCU287" s="1132" t="n"/>
      <c r="MCV287" s="1132" t="n"/>
      <c r="MCW287" s="1132" t="n"/>
      <c r="MCX287" s="1132" t="n"/>
      <c r="MCY287" s="1132" t="n"/>
      <c r="MCZ287" s="1132" t="n"/>
      <c r="MDA287" s="1132" t="n"/>
      <c r="MDB287" s="1132" t="n"/>
      <c r="MDC287" s="1132" t="n"/>
      <c r="MDD287" s="1132" t="n"/>
      <c r="MDE287" s="1132" t="n"/>
      <c r="MDF287" s="1132" t="n"/>
      <c r="MDG287" s="1132" t="n"/>
      <c r="MDH287" s="1132" t="n"/>
      <c r="MDI287" s="1132" t="n"/>
      <c r="MDJ287" s="1132" t="n"/>
      <c r="MDK287" s="1132" t="n"/>
      <c r="MDL287" s="1132" t="n"/>
      <c r="MDM287" s="1132" t="n"/>
      <c r="MDN287" s="1132" t="n"/>
      <c r="MDO287" s="1132" t="n"/>
      <c r="MDP287" s="1132" t="n"/>
      <c r="MDQ287" s="1132" t="n"/>
      <c r="MDR287" s="1132" t="n"/>
      <c r="MDS287" s="1132" t="n"/>
      <c r="MDT287" s="1132" t="n"/>
      <c r="MDU287" s="1132" t="n"/>
      <c r="MDV287" s="1132" t="n"/>
      <c r="MDW287" s="1132" t="n"/>
      <c r="MDX287" s="1132" t="n"/>
      <c r="MDY287" s="1132" t="n"/>
      <c r="MDZ287" s="1132" t="n"/>
      <c r="MEA287" s="1132" t="n"/>
      <c r="MEB287" s="1132" t="n"/>
      <c r="MEC287" s="1132" t="n"/>
      <c r="MED287" s="1132" t="n"/>
      <c r="MEE287" s="1132" t="n"/>
      <c r="MEF287" s="1132" t="n"/>
      <c r="MEG287" s="1132" t="n"/>
      <c r="MEH287" s="1132" t="n"/>
      <c r="MEI287" s="1132" t="n"/>
      <c r="MEJ287" s="1132" t="n"/>
      <c r="MEK287" s="1132" t="n"/>
      <c r="MEL287" s="1132" t="n"/>
      <c r="MEM287" s="1132" t="n"/>
      <c r="MEN287" s="1132" t="n"/>
      <c r="MEO287" s="1132" t="n"/>
      <c r="MEP287" s="1132" t="n"/>
      <c r="MEQ287" s="1132" t="n"/>
      <c r="MER287" s="1132" t="n"/>
      <c r="MES287" s="1132" t="n"/>
      <c r="MET287" s="1132" t="n"/>
      <c r="MEU287" s="1132" t="n"/>
      <c r="MEV287" s="1132" t="n"/>
      <c r="MEW287" s="1132" t="n"/>
      <c r="MEX287" s="1132" t="n"/>
      <c r="MEY287" s="1132" t="n"/>
      <c r="MEZ287" s="1132" t="n"/>
      <c r="MFA287" s="1132" t="n"/>
      <c r="MFB287" s="1132" t="n"/>
      <c r="MFC287" s="1132" t="n"/>
      <c r="MFD287" s="1132" t="n"/>
      <c r="MFE287" s="1132" t="n"/>
      <c r="MFF287" s="1132" t="n"/>
      <c r="MFG287" s="1132" t="n"/>
      <c r="MFH287" s="1132" t="n"/>
      <c r="MFI287" s="1132" t="n"/>
      <c r="MFJ287" s="1132" t="n"/>
      <c r="MFK287" s="1132" t="n"/>
      <c r="MFL287" s="1132" t="n"/>
      <c r="MFM287" s="1132" t="n"/>
      <c r="MFN287" s="1132" t="n"/>
      <c r="MFO287" s="1132" t="n"/>
      <c r="MFP287" s="1132" t="n"/>
      <c r="MFQ287" s="1132" t="n"/>
      <c r="MFR287" s="1132" t="n"/>
      <c r="MFS287" s="1132" t="n"/>
      <c r="MFT287" s="1132" t="n"/>
      <c r="MFU287" s="1132" t="n"/>
      <c r="MFV287" s="1132" t="n"/>
      <c r="MFW287" s="1132" t="n"/>
      <c r="MFX287" s="1132" t="n"/>
      <c r="MFY287" s="1132" t="n"/>
      <c r="MFZ287" s="1132" t="n"/>
      <c r="MGA287" s="1132" t="n"/>
      <c r="MGB287" s="1132" t="n"/>
      <c r="MGC287" s="1132" t="n"/>
      <c r="MGD287" s="1132" t="n"/>
      <c r="MGE287" s="1132" t="n"/>
      <c r="MGF287" s="1132" t="n"/>
      <c r="MGG287" s="1132" t="n"/>
      <c r="MGH287" s="1132" t="n"/>
      <c r="MGI287" s="1132" t="n"/>
      <c r="MGJ287" s="1132" t="n"/>
      <c r="MGK287" s="1132" t="n"/>
      <c r="MGL287" s="1132" t="n"/>
      <c r="MGM287" s="1132" t="n"/>
      <c r="MGN287" s="1132" t="n"/>
      <c r="MGO287" s="1132" t="n"/>
      <c r="MGP287" s="1132" t="n"/>
      <c r="MGQ287" s="1132" t="n"/>
      <c r="MGR287" s="1132" t="n"/>
      <c r="MGS287" s="1132" t="n"/>
      <c r="MGT287" s="1132" t="n"/>
      <c r="MGU287" s="1132" t="n"/>
      <c r="MGV287" s="1132" t="n"/>
      <c r="MGW287" s="1132" t="n"/>
      <c r="MGX287" s="1132" t="n"/>
      <c r="MGY287" s="1132" t="n"/>
      <c r="MGZ287" s="1132" t="n"/>
      <c r="MHA287" s="1132" t="n"/>
      <c r="MHB287" s="1132" t="n"/>
      <c r="MHC287" s="1132" t="n"/>
      <c r="MHD287" s="1132" t="n"/>
      <c r="MHE287" s="1132" t="n"/>
      <c r="MHF287" s="1132" t="n"/>
      <c r="MHG287" s="1132" t="n"/>
      <c r="MHH287" s="1132" t="n"/>
      <c r="MHI287" s="1132" t="n"/>
      <c r="MHJ287" s="1132" t="n"/>
      <c r="MHK287" s="1132" t="n"/>
      <c r="MHL287" s="1132" t="n"/>
      <c r="MHM287" s="1132" t="n"/>
      <c r="MHN287" s="1132" t="n"/>
      <c r="MHO287" s="1132" t="n"/>
      <c r="MHP287" s="1132" t="n"/>
      <c r="MHQ287" s="1132" t="n"/>
      <c r="MHR287" s="1132" t="n"/>
      <c r="MHS287" s="1132" t="n"/>
      <c r="MHT287" s="1132" t="n"/>
      <c r="MHU287" s="1132" t="n"/>
      <c r="MHV287" s="1132" t="n"/>
      <c r="MHW287" s="1132" t="n"/>
      <c r="MHX287" s="1132" t="n"/>
      <c r="MHY287" s="1132" t="n"/>
      <c r="MHZ287" s="1132" t="n"/>
      <c r="MIA287" s="1132" t="n"/>
      <c r="MIB287" s="1132" t="n"/>
      <c r="MIC287" s="1132" t="n"/>
      <c r="MID287" s="1132" t="n"/>
      <c r="MIE287" s="1132" t="n"/>
      <c r="MIF287" s="1132" t="n"/>
      <c r="MIG287" s="1132" t="n"/>
      <c r="MIH287" s="1132" t="n"/>
      <c r="MII287" s="1132" t="n"/>
      <c r="MIJ287" s="1132" t="n"/>
      <c r="MIK287" s="1132" t="n"/>
      <c r="MIL287" s="1132" t="n"/>
      <c r="MIM287" s="1132" t="n"/>
      <c r="MIN287" s="1132" t="n"/>
      <c r="MIO287" s="1132" t="n"/>
      <c r="MIP287" s="1132" t="n"/>
      <c r="MIQ287" s="1132" t="n"/>
      <c r="MIR287" s="1132" t="n"/>
      <c r="MIS287" s="1132" t="n"/>
      <c r="MIT287" s="1132" t="n"/>
      <c r="MIU287" s="1132" t="n"/>
      <c r="MIV287" s="1132" t="n"/>
      <c r="MIW287" s="1132" t="n"/>
      <c r="MIX287" s="1132" t="n"/>
      <c r="MIY287" s="1132" t="n"/>
      <c r="MIZ287" s="1132" t="n"/>
      <c r="MJA287" s="1132" t="n"/>
      <c r="MJB287" s="1132" t="n"/>
      <c r="MJC287" s="1132" t="n"/>
      <c r="MJD287" s="1132" t="n"/>
      <c r="MJE287" s="1132" t="n"/>
      <c r="MJF287" s="1132" t="n"/>
      <c r="MJG287" s="1132" t="n"/>
      <c r="MJH287" s="1132" t="n"/>
      <c r="MJI287" s="1132" t="n"/>
      <c r="MJJ287" s="1132" t="n"/>
      <c r="MJK287" s="1132" t="n"/>
      <c r="MJL287" s="1132" t="n"/>
      <c r="MJM287" s="1132" t="n"/>
      <c r="MJN287" s="1132" t="n"/>
      <c r="MJO287" s="1132" t="n"/>
      <c r="MJP287" s="1132" t="n"/>
      <c r="MJQ287" s="1132" t="n"/>
      <c r="MJR287" s="1132" t="n"/>
      <c r="MJS287" s="1132" t="n"/>
      <c r="MJT287" s="1132" t="n"/>
      <c r="MJU287" s="1132" t="n"/>
      <c r="MJV287" s="1132" t="n"/>
      <c r="MJW287" s="1132" t="n"/>
      <c r="MJX287" s="1132" t="n"/>
      <c r="MJY287" s="1132" t="n"/>
      <c r="MJZ287" s="1132" t="n"/>
      <c r="MKA287" s="1132" t="n"/>
      <c r="MKB287" s="1132" t="n"/>
      <c r="MKC287" s="1132" t="n"/>
      <c r="MKD287" s="1132" t="n"/>
      <c r="MKE287" s="1132" t="n"/>
      <c r="MKF287" s="1132" t="n"/>
      <c r="MKG287" s="1132" t="n"/>
      <c r="MKH287" s="1132" t="n"/>
      <c r="MKI287" s="1132" t="n"/>
      <c r="MKJ287" s="1132" t="n"/>
      <c r="MKK287" s="1132" t="n"/>
      <c r="MKL287" s="1132" t="n"/>
      <c r="MKM287" s="1132" t="n"/>
      <c r="MKN287" s="1132" t="n"/>
      <c r="MKO287" s="1132" t="n"/>
      <c r="MKP287" s="1132" t="n"/>
      <c r="MKQ287" s="1132" t="n"/>
      <c r="MKR287" s="1132" t="n"/>
      <c r="MKS287" s="1132" t="n"/>
      <c r="MKT287" s="1132" t="n"/>
      <c r="MKU287" s="1132" t="n"/>
      <c r="MKV287" s="1132" t="n"/>
      <c r="MKW287" s="1132" t="n"/>
      <c r="MKX287" s="1132" t="n"/>
      <c r="MKY287" s="1132" t="n"/>
      <c r="MKZ287" s="1132" t="n"/>
      <c r="MLA287" s="1132" t="n"/>
      <c r="MLB287" s="1132" t="n"/>
      <c r="MLC287" s="1132" t="n"/>
      <c r="MLD287" s="1132" t="n"/>
      <c r="MLE287" s="1132" t="n"/>
      <c r="MLF287" s="1132" t="n"/>
      <c r="MLG287" s="1132" t="n"/>
      <c r="MLH287" s="1132" t="n"/>
      <c r="MLI287" s="1132" t="n"/>
      <c r="MLJ287" s="1132" t="n"/>
      <c r="MLK287" s="1132" t="n"/>
      <c r="MLL287" s="1132" t="n"/>
      <c r="MLM287" s="1132" t="n"/>
      <c r="MLN287" s="1132" t="n"/>
      <c r="MLO287" s="1132" t="n"/>
      <c r="MLP287" s="1132" t="n"/>
      <c r="MLQ287" s="1132" t="n"/>
      <c r="MLR287" s="1132" t="n"/>
      <c r="MLS287" s="1132" t="n"/>
      <c r="MLT287" s="1132" t="n"/>
      <c r="MLU287" s="1132" t="n"/>
      <c r="MLV287" s="1132" t="n"/>
      <c r="MLW287" s="1132" t="n"/>
      <c r="MLX287" s="1132" t="n"/>
      <c r="MLY287" s="1132" t="n"/>
      <c r="MLZ287" s="1132" t="n"/>
      <c r="MMA287" s="1132" t="n"/>
      <c r="MMB287" s="1132" t="n"/>
      <c r="MMC287" s="1132" t="n"/>
      <c r="MMD287" s="1132" t="n"/>
      <c r="MME287" s="1132" t="n"/>
      <c r="MMF287" s="1132" t="n"/>
      <c r="MMG287" s="1132" t="n"/>
      <c r="MMH287" s="1132" t="n"/>
      <c r="MMI287" s="1132" t="n"/>
      <c r="MMJ287" s="1132" t="n"/>
      <c r="MMK287" s="1132" t="n"/>
      <c r="MML287" s="1132" t="n"/>
      <c r="MMM287" s="1132" t="n"/>
      <c r="MMN287" s="1132" t="n"/>
      <c r="MMO287" s="1132" t="n"/>
      <c r="MMP287" s="1132" t="n"/>
      <c r="MMQ287" s="1132" t="n"/>
      <c r="MMR287" s="1132" t="n"/>
      <c r="MMS287" s="1132" t="n"/>
      <c r="MMT287" s="1132" t="n"/>
      <c r="MMU287" s="1132" t="n"/>
      <c r="MMV287" s="1132" t="n"/>
      <c r="MMW287" s="1132" t="n"/>
      <c r="MMX287" s="1132" t="n"/>
      <c r="MMY287" s="1132" t="n"/>
      <c r="MMZ287" s="1132" t="n"/>
      <c r="MNA287" s="1132" t="n"/>
      <c r="MNB287" s="1132" t="n"/>
      <c r="MNC287" s="1132" t="n"/>
      <c r="MND287" s="1132" t="n"/>
      <c r="MNE287" s="1132" t="n"/>
      <c r="MNF287" s="1132" t="n"/>
      <c r="MNG287" s="1132" t="n"/>
      <c r="MNH287" s="1132" t="n"/>
      <c r="MNI287" s="1132" t="n"/>
      <c r="MNJ287" s="1132" t="n"/>
      <c r="MNK287" s="1132" t="n"/>
      <c r="MNL287" s="1132" t="n"/>
      <c r="MNM287" s="1132" t="n"/>
      <c r="MNN287" s="1132" t="n"/>
      <c r="MNO287" s="1132" t="n"/>
      <c r="MNP287" s="1132" t="n"/>
      <c r="MNQ287" s="1132" t="n"/>
      <c r="MNR287" s="1132" t="n"/>
      <c r="MNS287" s="1132" t="n"/>
      <c r="MNT287" s="1132" t="n"/>
      <c r="MNU287" s="1132" t="n"/>
      <c r="MNV287" s="1132" t="n"/>
      <c r="MNW287" s="1132" t="n"/>
      <c r="MNX287" s="1132" t="n"/>
      <c r="MNY287" s="1132" t="n"/>
      <c r="MNZ287" s="1132" t="n"/>
      <c r="MOA287" s="1132" t="n"/>
      <c r="MOB287" s="1132" t="n"/>
      <c r="MOC287" s="1132" t="n"/>
      <c r="MOD287" s="1132" t="n"/>
      <c r="MOE287" s="1132" t="n"/>
      <c r="MOF287" s="1132" t="n"/>
      <c r="MOG287" s="1132" t="n"/>
      <c r="MOH287" s="1132" t="n"/>
      <c r="MOI287" s="1132" t="n"/>
      <c r="MOJ287" s="1132" t="n"/>
      <c r="MOK287" s="1132" t="n"/>
      <c r="MOL287" s="1132" t="n"/>
      <c r="MOM287" s="1132" t="n"/>
      <c r="MON287" s="1132" t="n"/>
      <c r="MOO287" s="1132" t="n"/>
      <c r="MOP287" s="1132" t="n"/>
      <c r="MOQ287" s="1132" t="n"/>
      <c r="MOR287" s="1132" t="n"/>
      <c r="MOS287" s="1132" t="n"/>
      <c r="MOT287" s="1132" t="n"/>
      <c r="MOU287" s="1132" t="n"/>
      <c r="MOV287" s="1132" t="n"/>
      <c r="MOW287" s="1132" t="n"/>
      <c r="MOX287" s="1132" t="n"/>
      <c r="MOY287" s="1132" t="n"/>
      <c r="MOZ287" s="1132" t="n"/>
      <c r="MPA287" s="1132" t="n"/>
      <c r="MPB287" s="1132" t="n"/>
      <c r="MPC287" s="1132" t="n"/>
      <c r="MPD287" s="1132" t="n"/>
      <c r="MPE287" s="1132" t="n"/>
      <c r="MPF287" s="1132" t="n"/>
      <c r="MPG287" s="1132" t="n"/>
      <c r="MPH287" s="1132" t="n"/>
      <c r="MPI287" s="1132" t="n"/>
      <c r="MPJ287" s="1132" t="n"/>
      <c r="MPK287" s="1132" t="n"/>
      <c r="MPL287" s="1132" t="n"/>
      <c r="MPM287" s="1132" t="n"/>
      <c r="MPN287" s="1132" t="n"/>
      <c r="MPO287" s="1132" t="n"/>
      <c r="MPP287" s="1132" t="n"/>
      <c r="MPQ287" s="1132" t="n"/>
      <c r="MPR287" s="1132" t="n"/>
      <c r="MPS287" s="1132" t="n"/>
      <c r="MPT287" s="1132" t="n"/>
      <c r="MPU287" s="1132" t="n"/>
      <c r="MPV287" s="1132" t="n"/>
      <c r="MPW287" s="1132" t="n"/>
      <c r="MPX287" s="1132" t="n"/>
      <c r="MPY287" s="1132" t="n"/>
      <c r="MPZ287" s="1132" t="n"/>
      <c r="MQA287" s="1132" t="n"/>
      <c r="MQB287" s="1132" t="n"/>
      <c r="MQC287" s="1132" t="n"/>
      <c r="MQD287" s="1132" t="n"/>
      <c r="MQE287" s="1132" t="n"/>
      <c r="MQF287" s="1132" t="n"/>
      <c r="MQG287" s="1132" t="n"/>
      <c r="MQH287" s="1132" t="n"/>
      <c r="MQI287" s="1132" t="n"/>
      <c r="MQJ287" s="1132" t="n"/>
      <c r="MQK287" s="1132" t="n"/>
      <c r="MQL287" s="1132" t="n"/>
      <c r="MQM287" s="1132" t="n"/>
      <c r="MQN287" s="1132" t="n"/>
      <c r="MQO287" s="1132" t="n"/>
      <c r="MQP287" s="1132" t="n"/>
      <c r="MQQ287" s="1132" t="n"/>
      <c r="MQR287" s="1132" t="n"/>
      <c r="MQS287" s="1132" t="n"/>
      <c r="MQT287" s="1132" t="n"/>
      <c r="MQU287" s="1132" t="n"/>
      <c r="MQV287" s="1132" t="n"/>
      <c r="MQW287" s="1132" t="n"/>
      <c r="MQX287" s="1132" t="n"/>
      <c r="MQY287" s="1132" t="n"/>
      <c r="MQZ287" s="1132" t="n"/>
      <c r="MRA287" s="1132" t="n"/>
      <c r="MRB287" s="1132" t="n"/>
      <c r="MRC287" s="1132" t="n"/>
      <c r="MRD287" s="1132" t="n"/>
      <c r="MRE287" s="1132" t="n"/>
      <c r="MRF287" s="1132" t="n"/>
      <c r="MRG287" s="1132" t="n"/>
      <c r="MRH287" s="1132" t="n"/>
      <c r="MRI287" s="1132" t="n"/>
      <c r="MRJ287" s="1132" t="n"/>
      <c r="MRK287" s="1132" t="n"/>
      <c r="MRL287" s="1132" t="n"/>
      <c r="MRM287" s="1132" t="n"/>
      <c r="MRN287" s="1132" t="n"/>
      <c r="MRO287" s="1132" t="n"/>
      <c r="MRP287" s="1132" t="n"/>
      <c r="MRQ287" s="1132" t="n"/>
      <c r="MRR287" s="1132" t="n"/>
      <c r="MRS287" s="1132" t="n"/>
      <c r="MRT287" s="1132" t="n"/>
      <c r="MRU287" s="1132" t="n"/>
      <c r="MRV287" s="1132" t="n"/>
      <c r="MRW287" s="1132" t="n"/>
      <c r="MRX287" s="1132" t="n"/>
      <c r="MRY287" s="1132" t="n"/>
      <c r="MRZ287" s="1132" t="n"/>
      <c r="MSA287" s="1132" t="n"/>
      <c r="MSB287" s="1132" t="n"/>
      <c r="MSC287" s="1132" t="n"/>
      <c r="MSD287" s="1132" t="n"/>
      <c r="MSE287" s="1132" t="n"/>
      <c r="MSF287" s="1132" t="n"/>
      <c r="MSG287" s="1132" t="n"/>
      <c r="MSH287" s="1132" t="n"/>
      <c r="MSI287" s="1132" t="n"/>
      <c r="MSJ287" s="1132" t="n"/>
      <c r="MSK287" s="1132" t="n"/>
      <c r="MSL287" s="1132" t="n"/>
      <c r="MSM287" s="1132" t="n"/>
      <c r="MSN287" s="1132" t="n"/>
      <c r="MSO287" s="1132" t="n"/>
      <c r="MSP287" s="1132" t="n"/>
      <c r="MSQ287" s="1132" t="n"/>
      <c r="MSR287" s="1132" t="n"/>
      <c r="MSS287" s="1132" t="n"/>
      <c r="MST287" s="1132" t="n"/>
      <c r="MSU287" s="1132" t="n"/>
      <c r="MSV287" s="1132" t="n"/>
      <c r="MSW287" s="1132" t="n"/>
      <c r="MSX287" s="1132" t="n"/>
      <c r="MSY287" s="1132" t="n"/>
      <c r="MSZ287" s="1132" t="n"/>
      <c r="MTA287" s="1132" t="n"/>
      <c r="MTB287" s="1132" t="n"/>
      <c r="MTC287" s="1132" t="n"/>
      <c r="MTD287" s="1132" t="n"/>
      <c r="MTE287" s="1132" t="n"/>
      <c r="MTF287" s="1132" t="n"/>
      <c r="MTG287" s="1132" t="n"/>
      <c r="MTH287" s="1132" t="n"/>
      <c r="MTI287" s="1132" t="n"/>
      <c r="MTJ287" s="1132" t="n"/>
      <c r="MTK287" s="1132" t="n"/>
      <c r="MTL287" s="1132" t="n"/>
      <c r="MTM287" s="1132" t="n"/>
      <c r="MTN287" s="1132" t="n"/>
      <c r="MTO287" s="1132" t="n"/>
      <c r="MTP287" s="1132" t="n"/>
      <c r="MTQ287" s="1132" t="n"/>
      <c r="MTR287" s="1132" t="n"/>
      <c r="MTS287" s="1132" t="n"/>
      <c r="MTT287" s="1132" t="n"/>
      <c r="MTU287" s="1132" t="n"/>
      <c r="MTV287" s="1132" t="n"/>
      <c r="MTW287" s="1132" t="n"/>
      <c r="MTX287" s="1132" t="n"/>
      <c r="MTY287" s="1132" t="n"/>
      <c r="MTZ287" s="1132" t="n"/>
      <c r="MUA287" s="1132" t="n"/>
      <c r="MUB287" s="1132" t="n"/>
      <c r="MUC287" s="1132" t="n"/>
      <c r="MUD287" s="1132" t="n"/>
      <c r="MUE287" s="1132" t="n"/>
      <c r="MUF287" s="1132" t="n"/>
      <c r="MUG287" s="1132" t="n"/>
      <c r="MUH287" s="1132" t="n"/>
      <c r="MUI287" s="1132" t="n"/>
      <c r="MUJ287" s="1132" t="n"/>
      <c r="MUK287" s="1132" t="n"/>
      <c r="MUL287" s="1132" t="n"/>
      <c r="MUM287" s="1132" t="n"/>
      <c r="MUN287" s="1132" t="n"/>
      <c r="MUO287" s="1132" t="n"/>
      <c r="MUP287" s="1132" t="n"/>
      <c r="MUQ287" s="1132" t="n"/>
      <c r="MUR287" s="1132" t="n"/>
      <c r="MUS287" s="1132" t="n"/>
      <c r="MUT287" s="1132" t="n"/>
      <c r="MUU287" s="1132" t="n"/>
      <c r="MUV287" s="1132" t="n"/>
      <c r="MUW287" s="1132" t="n"/>
      <c r="MUX287" s="1132" t="n"/>
      <c r="MUY287" s="1132" t="n"/>
      <c r="MUZ287" s="1132" t="n"/>
      <c r="MVA287" s="1132" t="n"/>
      <c r="MVB287" s="1132" t="n"/>
      <c r="MVC287" s="1132" t="n"/>
      <c r="MVD287" s="1132" t="n"/>
      <c r="MVE287" s="1132" t="n"/>
      <c r="MVF287" s="1132" t="n"/>
      <c r="MVG287" s="1132" t="n"/>
      <c r="MVH287" s="1132" t="n"/>
      <c r="MVI287" s="1132" t="n"/>
      <c r="MVJ287" s="1132" t="n"/>
      <c r="MVK287" s="1132" t="n"/>
      <c r="MVL287" s="1132" t="n"/>
      <c r="MVM287" s="1132" t="n"/>
      <c r="MVN287" s="1132" t="n"/>
      <c r="MVO287" s="1132" t="n"/>
      <c r="MVP287" s="1132" t="n"/>
      <c r="MVQ287" s="1132" t="n"/>
      <c r="MVR287" s="1132" t="n"/>
      <c r="MVS287" s="1132" t="n"/>
      <c r="MVT287" s="1132" t="n"/>
      <c r="MVU287" s="1132" t="n"/>
      <c r="MVV287" s="1132" t="n"/>
      <c r="MVW287" s="1132" t="n"/>
      <c r="MVX287" s="1132" t="n"/>
      <c r="MVY287" s="1132" t="n"/>
      <c r="MVZ287" s="1132" t="n"/>
      <c r="MWA287" s="1132" t="n"/>
      <c r="MWB287" s="1132" t="n"/>
      <c r="MWC287" s="1132" t="n"/>
      <c r="MWD287" s="1132" t="n"/>
      <c r="MWE287" s="1132" t="n"/>
      <c r="MWF287" s="1132" t="n"/>
      <c r="MWG287" s="1132" t="n"/>
      <c r="MWH287" s="1132" t="n"/>
      <c r="MWI287" s="1132" t="n"/>
      <c r="MWJ287" s="1132" t="n"/>
      <c r="MWK287" s="1132" t="n"/>
      <c r="MWL287" s="1132" t="n"/>
      <c r="MWM287" s="1132" t="n"/>
      <c r="MWN287" s="1132" t="n"/>
      <c r="MWO287" s="1132" t="n"/>
      <c r="MWP287" s="1132" t="n"/>
      <c r="MWQ287" s="1132" t="n"/>
      <c r="MWR287" s="1132" t="n"/>
      <c r="MWS287" s="1132" t="n"/>
      <c r="MWT287" s="1132" t="n"/>
      <c r="MWU287" s="1132" t="n"/>
      <c r="MWV287" s="1132" t="n"/>
      <c r="MWW287" s="1132" t="n"/>
      <c r="MWX287" s="1132" t="n"/>
      <c r="MWY287" s="1132" t="n"/>
      <c r="MWZ287" s="1132" t="n"/>
      <c r="MXA287" s="1132" t="n"/>
      <c r="MXB287" s="1132" t="n"/>
      <c r="MXC287" s="1132" t="n"/>
      <c r="MXD287" s="1132" t="n"/>
      <c r="MXE287" s="1132" t="n"/>
      <c r="MXF287" s="1132" t="n"/>
      <c r="MXG287" s="1132" t="n"/>
      <c r="MXH287" s="1132" t="n"/>
      <c r="MXI287" s="1132" t="n"/>
      <c r="MXJ287" s="1132" t="n"/>
      <c r="MXK287" s="1132" t="n"/>
      <c r="MXL287" s="1132" t="n"/>
      <c r="MXM287" s="1132" t="n"/>
      <c r="MXN287" s="1132" t="n"/>
      <c r="MXO287" s="1132" t="n"/>
      <c r="MXP287" s="1132" t="n"/>
      <c r="MXQ287" s="1132" t="n"/>
      <c r="MXR287" s="1132" t="n"/>
      <c r="MXS287" s="1132" t="n"/>
      <c r="MXT287" s="1132" t="n"/>
      <c r="MXU287" s="1132" t="n"/>
      <c r="MXV287" s="1132" t="n"/>
      <c r="MXW287" s="1132" t="n"/>
      <c r="MXX287" s="1132" t="n"/>
      <c r="MXY287" s="1132" t="n"/>
      <c r="MXZ287" s="1132" t="n"/>
      <c r="MYA287" s="1132" t="n"/>
      <c r="MYB287" s="1132" t="n"/>
      <c r="MYC287" s="1132" t="n"/>
      <c r="MYD287" s="1132" t="n"/>
      <c r="MYE287" s="1132" t="n"/>
      <c r="MYF287" s="1132" t="n"/>
      <c r="MYG287" s="1132" t="n"/>
      <c r="MYH287" s="1132" t="n"/>
      <c r="MYI287" s="1132" t="n"/>
      <c r="MYJ287" s="1132" t="n"/>
      <c r="MYK287" s="1132" t="n"/>
      <c r="MYL287" s="1132" t="n"/>
      <c r="MYM287" s="1132" t="n"/>
      <c r="MYN287" s="1132" t="n"/>
      <c r="MYO287" s="1132" t="n"/>
      <c r="MYP287" s="1132" t="n"/>
      <c r="MYQ287" s="1132" t="n"/>
      <c r="MYR287" s="1132" t="n"/>
      <c r="MYS287" s="1132" t="n"/>
      <c r="MYT287" s="1132" t="n"/>
      <c r="MYU287" s="1132" t="n"/>
      <c r="MYV287" s="1132" t="n"/>
      <c r="MYW287" s="1132" t="n"/>
      <c r="MYX287" s="1132" t="n"/>
      <c r="MYY287" s="1132" t="n"/>
      <c r="MYZ287" s="1132" t="n"/>
      <c r="MZA287" s="1132" t="n"/>
      <c r="MZB287" s="1132" t="n"/>
      <c r="MZC287" s="1132" t="n"/>
      <c r="MZD287" s="1132" t="n"/>
      <c r="MZE287" s="1132" t="n"/>
      <c r="MZF287" s="1132" t="n"/>
      <c r="MZG287" s="1132" t="n"/>
      <c r="MZH287" s="1132" t="n"/>
      <c r="MZI287" s="1132" t="n"/>
      <c r="MZJ287" s="1132" t="n"/>
      <c r="MZK287" s="1132" t="n"/>
      <c r="MZL287" s="1132" t="n"/>
      <c r="MZM287" s="1132" t="n"/>
      <c r="MZN287" s="1132" t="n"/>
      <c r="MZO287" s="1132" t="n"/>
      <c r="MZP287" s="1132" t="n"/>
      <c r="MZQ287" s="1132" t="n"/>
      <c r="MZR287" s="1132" t="n"/>
      <c r="MZS287" s="1132" t="n"/>
      <c r="MZT287" s="1132" t="n"/>
      <c r="MZU287" s="1132" t="n"/>
      <c r="MZV287" s="1132" t="n"/>
      <c r="MZW287" s="1132" t="n"/>
      <c r="MZX287" s="1132" t="n"/>
      <c r="MZY287" s="1132" t="n"/>
      <c r="MZZ287" s="1132" t="n"/>
      <c r="NAA287" s="1132" t="n"/>
      <c r="NAB287" s="1132" t="n"/>
      <c r="NAC287" s="1132" t="n"/>
      <c r="NAD287" s="1132" t="n"/>
      <c r="NAE287" s="1132" t="n"/>
      <c r="NAF287" s="1132" t="n"/>
      <c r="NAG287" s="1132" t="n"/>
      <c r="NAH287" s="1132" t="n"/>
      <c r="NAI287" s="1132" t="n"/>
      <c r="NAJ287" s="1132" t="n"/>
      <c r="NAK287" s="1132" t="n"/>
      <c r="NAL287" s="1132" t="n"/>
      <c r="NAM287" s="1132" t="n"/>
      <c r="NAN287" s="1132" t="n"/>
      <c r="NAO287" s="1132" t="n"/>
      <c r="NAP287" s="1132" t="n"/>
      <c r="NAQ287" s="1132" t="n"/>
      <c r="NAR287" s="1132" t="n"/>
      <c r="NAS287" s="1132" t="n"/>
      <c r="NAT287" s="1132" t="n"/>
      <c r="NAU287" s="1132" t="n"/>
      <c r="NAV287" s="1132" t="n"/>
      <c r="NAW287" s="1132" t="n"/>
      <c r="NAX287" s="1132" t="n"/>
      <c r="NAY287" s="1132" t="n"/>
      <c r="NAZ287" s="1132" t="n"/>
      <c r="NBA287" s="1132" t="n"/>
      <c r="NBB287" s="1132" t="n"/>
      <c r="NBC287" s="1132" t="n"/>
      <c r="NBD287" s="1132" t="n"/>
      <c r="NBE287" s="1132" t="n"/>
      <c r="NBF287" s="1132" t="n"/>
      <c r="NBG287" s="1132" t="n"/>
      <c r="NBH287" s="1132" t="n"/>
      <c r="NBI287" s="1132" t="n"/>
      <c r="NBJ287" s="1132" t="n"/>
      <c r="NBK287" s="1132" t="n"/>
      <c r="NBL287" s="1132" t="n"/>
      <c r="NBM287" s="1132" t="n"/>
      <c r="NBN287" s="1132" t="n"/>
      <c r="NBO287" s="1132" t="n"/>
      <c r="NBP287" s="1132" t="n"/>
      <c r="NBQ287" s="1132" t="n"/>
      <c r="NBR287" s="1132" t="n"/>
      <c r="NBS287" s="1132" t="n"/>
      <c r="NBT287" s="1132" t="n"/>
      <c r="NBU287" s="1132" t="n"/>
      <c r="NBV287" s="1132" t="n"/>
      <c r="NBW287" s="1132" t="n"/>
      <c r="NBX287" s="1132" t="n"/>
      <c r="NBY287" s="1132" t="n"/>
      <c r="NBZ287" s="1132" t="n"/>
      <c r="NCA287" s="1132" t="n"/>
      <c r="NCB287" s="1132" t="n"/>
      <c r="NCC287" s="1132" t="n"/>
      <c r="NCD287" s="1132" t="n"/>
      <c r="NCE287" s="1132" t="n"/>
      <c r="NCF287" s="1132" t="n"/>
      <c r="NCG287" s="1132" t="n"/>
      <c r="NCH287" s="1132" t="n"/>
      <c r="NCI287" s="1132" t="n"/>
      <c r="NCJ287" s="1132" t="n"/>
      <c r="NCK287" s="1132" t="n"/>
      <c r="NCL287" s="1132" t="n"/>
      <c r="NCM287" s="1132" t="n"/>
      <c r="NCN287" s="1132" t="n"/>
      <c r="NCO287" s="1132" t="n"/>
      <c r="NCP287" s="1132" t="n"/>
      <c r="NCQ287" s="1132" t="n"/>
      <c r="NCR287" s="1132" t="n"/>
      <c r="NCS287" s="1132" t="n"/>
      <c r="NCT287" s="1132" t="n"/>
      <c r="NCU287" s="1132" t="n"/>
      <c r="NCV287" s="1132" t="n"/>
      <c r="NCW287" s="1132" t="n"/>
      <c r="NCX287" s="1132" t="n"/>
      <c r="NCY287" s="1132" t="n"/>
      <c r="NCZ287" s="1132" t="n"/>
      <c r="NDA287" s="1132" t="n"/>
      <c r="NDB287" s="1132" t="n"/>
      <c r="NDC287" s="1132" t="n"/>
      <c r="NDD287" s="1132" t="n"/>
      <c r="NDE287" s="1132" t="n"/>
      <c r="NDF287" s="1132" t="n"/>
      <c r="NDG287" s="1132" t="n"/>
      <c r="NDH287" s="1132" t="n"/>
      <c r="NDI287" s="1132" t="n"/>
      <c r="NDJ287" s="1132" t="n"/>
      <c r="NDK287" s="1132" t="n"/>
      <c r="NDL287" s="1132" t="n"/>
      <c r="NDM287" s="1132" t="n"/>
      <c r="NDN287" s="1132" t="n"/>
      <c r="NDO287" s="1132" t="n"/>
      <c r="NDP287" s="1132" t="n"/>
      <c r="NDQ287" s="1132" t="n"/>
      <c r="NDR287" s="1132" t="n"/>
      <c r="NDS287" s="1132" t="n"/>
      <c r="NDT287" s="1132" t="n"/>
      <c r="NDU287" s="1132" t="n"/>
      <c r="NDV287" s="1132" t="n"/>
      <c r="NDW287" s="1132" t="n"/>
      <c r="NDX287" s="1132" t="n"/>
      <c r="NDY287" s="1132" t="n"/>
      <c r="NDZ287" s="1132" t="n"/>
      <c r="NEA287" s="1132" t="n"/>
      <c r="NEB287" s="1132" t="n"/>
      <c r="NEC287" s="1132" t="n"/>
      <c r="NED287" s="1132" t="n"/>
      <c r="NEE287" s="1132" t="n"/>
      <c r="NEF287" s="1132" t="n"/>
      <c r="NEG287" s="1132" t="n"/>
      <c r="NEH287" s="1132" t="n"/>
      <c r="NEI287" s="1132" t="n"/>
      <c r="NEJ287" s="1132" t="n"/>
      <c r="NEK287" s="1132" t="n"/>
      <c r="NEL287" s="1132" t="n"/>
      <c r="NEM287" s="1132" t="n"/>
      <c r="NEN287" s="1132" t="n"/>
      <c r="NEO287" s="1132" t="n"/>
      <c r="NEP287" s="1132" t="n"/>
      <c r="NEQ287" s="1132" t="n"/>
      <c r="NER287" s="1132" t="n"/>
      <c r="NES287" s="1132" t="n"/>
      <c r="NET287" s="1132" t="n"/>
      <c r="NEU287" s="1132" t="n"/>
      <c r="NEV287" s="1132" t="n"/>
      <c r="NEW287" s="1132" t="n"/>
      <c r="NEX287" s="1132" t="n"/>
      <c r="NEY287" s="1132" t="n"/>
      <c r="NEZ287" s="1132" t="n"/>
      <c r="NFA287" s="1132" t="n"/>
      <c r="NFB287" s="1132" t="n"/>
      <c r="NFC287" s="1132" t="n"/>
      <c r="NFD287" s="1132" t="n"/>
      <c r="NFE287" s="1132" t="n"/>
      <c r="NFF287" s="1132" t="n"/>
      <c r="NFG287" s="1132" t="n"/>
      <c r="NFH287" s="1132" t="n"/>
      <c r="NFI287" s="1132" t="n"/>
      <c r="NFJ287" s="1132" t="n"/>
      <c r="NFK287" s="1132" t="n"/>
      <c r="NFL287" s="1132" t="n"/>
      <c r="NFM287" s="1132" t="n"/>
      <c r="NFN287" s="1132" t="n"/>
      <c r="NFO287" s="1132" t="n"/>
      <c r="NFP287" s="1132" t="n"/>
      <c r="NFQ287" s="1132" t="n"/>
      <c r="NFR287" s="1132" t="n"/>
      <c r="NFS287" s="1132" t="n"/>
      <c r="NFT287" s="1132" t="n"/>
      <c r="NFU287" s="1132" t="n"/>
      <c r="NFV287" s="1132" t="n"/>
      <c r="NFW287" s="1132" t="n"/>
      <c r="NFX287" s="1132" t="n"/>
      <c r="NFY287" s="1132" t="n"/>
      <c r="NFZ287" s="1132" t="n"/>
      <c r="NGA287" s="1132" t="n"/>
      <c r="NGB287" s="1132" t="n"/>
      <c r="NGC287" s="1132" t="n"/>
      <c r="NGD287" s="1132" t="n"/>
      <c r="NGE287" s="1132" t="n"/>
      <c r="NGF287" s="1132" t="n"/>
      <c r="NGG287" s="1132" t="n"/>
      <c r="NGH287" s="1132" t="n"/>
      <c r="NGI287" s="1132" t="n"/>
      <c r="NGJ287" s="1132" t="n"/>
      <c r="NGK287" s="1132" t="n"/>
      <c r="NGL287" s="1132" t="n"/>
      <c r="NGM287" s="1132" t="n"/>
      <c r="NGN287" s="1132" t="n"/>
      <c r="NGO287" s="1132" t="n"/>
      <c r="NGP287" s="1132" t="n"/>
      <c r="NGQ287" s="1132" t="n"/>
      <c r="NGR287" s="1132" t="n"/>
      <c r="NGS287" s="1132" t="n"/>
      <c r="NGT287" s="1132" t="n"/>
      <c r="NGU287" s="1132" t="n"/>
      <c r="NGV287" s="1132" t="n"/>
      <c r="NGW287" s="1132" t="n"/>
      <c r="NGX287" s="1132" t="n"/>
      <c r="NGY287" s="1132" t="n"/>
      <c r="NGZ287" s="1132" t="n"/>
      <c r="NHA287" s="1132" t="n"/>
      <c r="NHB287" s="1132" t="n"/>
      <c r="NHC287" s="1132" t="n"/>
      <c r="NHD287" s="1132" t="n"/>
      <c r="NHE287" s="1132" t="n"/>
      <c r="NHF287" s="1132" t="n"/>
      <c r="NHG287" s="1132" t="n"/>
      <c r="NHH287" s="1132" t="n"/>
      <c r="NHI287" s="1132" t="n"/>
      <c r="NHJ287" s="1132" t="n"/>
      <c r="NHK287" s="1132" t="n"/>
      <c r="NHL287" s="1132" t="n"/>
      <c r="NHM287" s="1132" t="n"/>
      <c r="NHN287" s="1132" t="n"/>
      <c r="NHO287" s="1132" t="n"/>
      <c r="NHP287" s="1132" t="n"/>
      <c r="NHQ287" s="1132" t="n"/>
      <c r="NHR287" s="1132" t="n"/>
      <c r="NHS287" s="1132" t="n"/>
      <c r="NHT287" s="1132" t="n"/>
      <c r="NHU287" s="1132" t="n"/>
      <c r="NHV287" s="1132" t="n"/>
      <c r="NHW287" s="1132" t="n"/>
      <c r="NHX287" s="1132" t="n"/>
      <c r="NHY287" s="1132" t="n"/>
      <c r="NHZ287" s="1132" t="n"/>
      <c r="NIA287" s="1132" t="n"/>
      <c r="NIB287" s="1132" t="n"/>
      <c r="NIC287" s="1132" t="n"/>
      <c r="NID287" s="1132" t="n"/>
      <c r="NIE287" s="1132" t="n"/>
      <c r="NIF287" s="1132" t="n"/>
      <c r="NIG287" s="1132" t="n"/>
      <c r="NIH287" s="1132" t="n"/>
      <c r="NII287" s="1132" t="n"/>
      <c r="NIJ287" s="1132" t="n"/>
      <c r="NIK287" s="1132" t="n"/>
      <c r="NIL287" s="1132" t="n"/>
      <c r="NIM287" s="1132" t="n"/>
      <c r="NIN287" s="1132" t="n"/>
      <c r="NIO287" s="1132" t="n"/>
      <c r="NIP287" s="1132" t="n"/>
      <c r="NIQ287" s="1132" t="n"/>
      <c r="NIR287" s="1132" t="n"/>
      <c r="NIS287" s="1132" t="n"/>
      <c r="NIT287" s="1132" t="n"/>
      <c r="NIU287" s="1132" t="n"/>
      <c r="NIV287" s="1132" t="n"/>
      <c r="NIW287" s="1132" t="n"/>
      <c r="NIX287" s="1132" t="n"/>
      <c r="NIY287" s="1132" t="n"/>
      <c r="NIZ287" s="1132" t="n"/>
      <c r="NJA287" s="1132" t="n"/>
      <c r="NJB287" s="1132" t="n"/>
      <c r="NJC287" s="1132" t="n"/>
      <c r="NJD287" s="1132" t="n"/>
      <c r="NJE287" s="1132" t="n"/>
      <c r="NJF287" s="1132" t="n"/>
      <c r="NJG287" s="1132" t="n"/>
      <c r="NJH287" s="1132" t="n"/>
      <c r="NJI287" s="1132" t="n"/>
      <c r="NJJ287" s="1132" t="n"/>
      <c r="NJK287" s="1132" t="n"/>
      <c r="NJL287" s="1132" t="n"/>
      <c r="NJM287" s="1132" t="n"/>
      <c r="NJN287" s="1132" t="n"/>
      <c r="NJO287" s="1132" t="n"/>
      <c r="NJP287" s="1132" t="n"/>
      <c r="NJQ287" s="1132" t="n"/>
      <c r="NJR287" s="1132" t="n"/>
      <c r="NJS287" s="1132" t="n"/>
      <c r="NJT287" s="1132" t="n"/>
      <c r="NJU287" s="1132" t="n"/>
      <c r="NJV287" s="1132" t="n"/>
      <c r="NJW287" s="1132" t="n"/>
      <c r="NJX287" s="1132" t="n"/>
      <c r="NJY287" s="1132" t="n"/>
      <c r="NJZ287" s="1132" t="n"/>
      <c r="NKA287" s="1132" t="n"/>
      <c r="NKB287" s="1132" t="n"/>
      <c r="NKC287" s="1132" t="n"/>
      <c r="NKD287" s="1132" t="n"/>
      <c r="NKE287" s="1132" t="n"/>
      <c r="NKF287" s="1132" t="n"/>
      <c r="NKG287" s="1132" t="n"/>
      <c r="NKH287" s="1132" t="n"/>
      <c r="NKI287" s="1132" t="n"/>
      <c r="NKJ287" s="1132" t="n"/>
      <c r="NKK287" s="1132" t="n"/>
      <c r="NKL287" s="1132" t="n"/>
      <c r="NKM287" s="1132" t="n"/>
      <c r="NKN287" s="1132" t="n"/>
      <c r="NKO287" s="1132" t="n"/>
      <c r="NKP287" s="1132" t="n"/>
      <c r="NKQ287" s="1132" t="n"/>
      <c r="NKR287" s="1132" t="n"/>
      <c r="NKS287" s="1132" t="n"/>
      <c r="NKT287" s="1132" t="n"/>
      <c r="NKU287" s="1132" t="n"/>
      <c r="NKV287" s="1132" t="n"/>
      <c r="NKW287" s="1132" t="n"/>
      <c r="NKX287" s="1132" t="n"/>
      <c r="NKY287" s="1132" t="n"/>
      <c r="NKZ287" s="1132" t="n"/>
      <c r="NLA287" s="1132" t="n"/>
      <c r="NLB287" s="1132" t="n"/>
      <c r="NLC287" s="1132" t="n"/>
      <c r="NLD287" s="1132" t="n"/>
      <c r="NLE287" s="1132" t="n"/>
      <c r="NLF287" s="1132" t="n"/>
      <c r="NLG287" s="1132" t="n"/>
      <c r="NLH287" s="1132" t="n"/>
      <c r="NLI287" s="1132" t="n"/>
      <c r="NLJ287" s="1132" t="n"/>
      <c r="NLK287" s="1132" t="n"/>
      <c r="NLL287" s="1132" t="n"/>
      <c r="NLM287" s="1132" t="n"/>
      <c r="NLN287" s="1132" t="n"/>
      <c r="NLO287" s="1132" t="n"/>
      <c r="NLP287" s="1132" t="n"/>
      <c r="NLQ287" s="1132" t="n"/>
      <c r="NLR287" s="1132" t="n"/>
      <c r="NLS287" s="1132" t="n"/>
      <c r="NLT287" s="1132" t="n"/>
      <c r="NLU287" s="1132" t="n"/>
      <c r="NLV287" s="1132" t="n"/>
      <c r="NLW287" s="1132" t="n"/>
      <c r="NLX287" s="1132" t="n"/>
      <c r="NLY287" s="1132" t="n"/>
      <c r="NLZ287" s="1132" t="n"/>
      <c r="NMA287" s="1132" t="n"/>
      <c r="NMB287" s="1132" t="n"/>
      <c r="NMC287" s="1132" t="n"/>
      <c r="NMD287" s="1132" t="n"/>
      <c r="NME287" s="1132" t="n"/>
      <c r="NMF287" s="1132" t="n"/>
      <c r="NMG287" s="1132" t="n"/>
      <c r="NMH287" s="1132" t="n"/>
      <c r="NMI287" s="1132" t="n"/>
      <c r="NMJ287" s="1132" t="n"/>
      <c r="NMK287" s="1132" t="n"/>
      <c r="NML287" s="1132" t="n"/>
      <c r="NMM287" s="1132" t="n"/>
      <c r="NMN287" s="1132" t="n"/>
      <c r="NMO287" s="1132" t="n"/>
      <c r="NMP287" s="1132" t="n"/>
      <c r="NMQ287" s="1132" t="n"/>
      <c r="NMR287" s="1132" t="n"/>
      <c r="NMS287" s="1132" t="n"/>
      <c r="NMT287" s="1132" t="n"/>
      <c r="NMU287" s="1132" t="n"/>
      <c r="NMV287" s="1132" t="n"/>
      <c r="NMW287" s="1132" t="n"/>
      <c r="NMX287" s="1132" t="n"/>
      <c r="NMY287" s="1132" t="n"/>
      <c r="NMZ287" s="1132" t="n"/>
      <c r="NNA287" s="1132" t="n"/>
      <c r="NNB287" s="1132" t="n"/>
      <c r="NNC287" s="1132" t="n"/>
      <c r="NND287" s="1132" t="n"/>
      <c r="NNE287" s="1132" t="n"/>
      <c r="NNF287" s="1132" t="n"/>
      <c r="NNG287" s="1132" t="n"/>
      <c r="NNH287" s="1132" t="n"/>
      <c r="NNI287" s="1132" t="n"/>
      <c r="NNJ287" s="1132" t="n"/>
      <c r="NNK287" s="1132" t="n"/>
      <c r="NNL287" s="1132" t="n"/>
      <c r="NNM287" s="1132" t="n"/>
      <c r="NNN287" s="1132" t="n"/>
      <c r="NNO287" s="1132" t="n"/>
      <c r="NNP287" s="1132" t="n"/>
      <c r="NNQ287" s="1132" t="n"/>
      <c r="NNR287" s="1132" t="n"/>
      <c r="NNS287" s="1132" t="n"/>
      <c r="NNT287" s="1132" t="n"/>
      <c r="NNU287" s="1132" t="n"/>
      <c r="NNV287" s="1132" t="n"/>
      <c r="NNW287" s="1132" t="n"/>
      <c r="NNX287" s="1132" t="n"/>
      <c r="NNY287" s="1132" t="n"/>
      <c r="NNZ287" s="1132" t="n"/>
      <c r="NOA287" s="1132" t="n"/>
      <c r="NOB287" s="1132" t="n"/>
      <c r="NOC287" s="1132" t="n"/>
      <c r="NOD287" s="1132" t="n"/>
      <c r="NOE287" s="1132" t="n"/>
      <c r="NOF287" s="1132" t="n"/>
      <c r="NOG287" s="1132" t="n"/>
      <c r="NOH287" s="1132" t="n"/>
      <c r="NOI287" s="1132" t="n"/>
      <c r="NOJ287" s="1132" t="n"/>
      <c r="NOK287" s="1132" t="n"/>
      <c r="NOL287" s="1132" t="n"/>
      <c r="NOM287" s="1132" t="n"/>
      <c r="NON287" s="1132" t="n"/>
      <c r="NOO287" s="1132" t="n"/>
      <c r="NOP287" s="1132" t="n"/>
      <c r="NOQ287" s="1132" t="n"/>
      <c r="NOR287" s="1132" t="n"/>
      <c r="NOS287" s="1132" t="n"/>
      <c r="NOT287" s="1132" t="n"/>
      <c r="NOU287" s="1132" t="n"/>
      <c r="NOV287" s="1132" t="n"/>
      <c r="NOW287" s="1132" t="n"/>
      <c r="NOX287" s="1132" t="n"/>
      <c r="NOY287" s="1132" t="n"/>
      <c r="NOZ287" s="1132" t="n"/>
      <c r="NPA287" s="1132" t="n"/>
      <c r="NPB287" s="1132" t="n"/>
      <c r="NPC287" s="1132" t="n"/>
      <c r="NPD287" s="1132" t="n"/>
      <c r="NPE287" s="1132" t="n"/>
      <c r="NPF287" s="1132" t="n"/>
      <c r="NPG287" s="1132" t="n"/>
      <c r="NPH287" s="1132" t="n"/>
      <c r="NPI287" s="1132" t="n"/>
      <c r="NPJ287" s="1132" t="n"/>
      <c r="NPK287" s="1132" t="n"/>
      <c r="NPL287" s="1132" t="n"/>
      <c r="NPM287" s="1132" t="n"/>
      <c r="NPN287" s="1132" t="n"/>
      <c r="NPO287" s="1132" t="n"/>
      <c r="NPP287" s="1132" t="n"/>
      <c r="NPQ287" s="1132" t="n"/>
      <c r="NPR287" s="1132" t="n"/>
      <c r="NPS287" s="1132" t="n"/>
      <c r="NPT287" s="1132" t="n"/>
      <c r="NPU287" s="1132" t="n"/>
      <c r="NPV287" s="1132" t="n"/>
      <c r="NPW287" s="1132" t="n"/>
      <c r="NPX287" s="1132" t="n"/>
      <c r="NPY287" s="1132" t="n"/>
      <c r="NPZ287" s="1132" t="n"/>
      <c r="NQA287" s="1132" t="n"/>
      <c r="NQB287" s="1132" t="n"/>
      <c r="NQC287" s="1132" t="n"/>
      <c r="NQD287" s="1132" t="n"/>
      <c r="NQE287" s="1132" t="n"/>
      <c r="NQF287" s="1132" t="n"/>
      <c r="NQG287" s="1132" t="n"/>
      <c r="NQH287" s="1132" t="n"/>
      <c r="NQI287" s="1132" t="n"/>
      <c r="NQJ287" s="1132" t="n"/>
      <c r="NQK287" s="1132" t="n"/>
      <c r="NQL287" s="1132" t="n"/>
      <c r="NQM287" s="1132" t="n"/>
      <c r="NQN287" s="1132" t="n"/>
      <c r="NQO287" s="1132" t="n"/>
      <c r="NQP287" s="1132" t="n"/>
      <c r="NQQ287" s="1132" t="n"/>
      <c r="NQR287" s="1132" t="n"/>
      <c r="NQS287" s="1132" t="n"/>
      <c r="NQT287" s="1132" t="n"/>
      <c r="NQU287" s="1132" t="n"/>
      <c r="NQV287" s="1132" t="n"/>
      <c r="NQW287" s="1132" t="n"/>
      <c r="NQX287" s="1132" t="n"/>
      <c r="NQY287" s="1132" t="n"/>
      <c r="NQZ287" s="1132" t="n"/>
      <c r="NRA287" s="1132" t="n"/>
      <c r="NRB287" s="1132" t="n"/>
      <c r="NRC287" s="1132" t="n"/>
      <c r="NRD287" s="1132" t="n"/>
      <c r="NRE287" s="1132" t="n"/>
      <c r="NRF287" s="1132" t="n"/>
      <c r="NRG287" s="1132" t="n"/>
      <c r="NRH287" s="1132" t="n"/>
      <c r="NRI287" s="1132" t="n"/>
      <c r="NRJ287" s="1132" t="n"/>
      <c r="NRK287" s="1132" t="n"/>
      <c r="NRL287" s="1132" t="n"/>
      <c r="NRM287" s="1132" t="n"/>
      <c r="NRN287" s="1132" t="n"/>
      <c r="NRO287" s="1132" t="n"/>
      <c r="NRP287" s="1132" t="n"/>
      <c r="NRQ287" s="1132" t="n"/>
      <c r="NRR287" s="1132" t="n"/>
      <c r="NRS287" s="1132" t="n"/>
      <c r="NRT287" s="1132" t="n"/>
      <c r="NRU287" s="1132" t="n"/>
      <c r="NRV287" s="1132" t="n"/>
      <c r="NRW287" s="1132" t="n"/>
      <c r="NRX287" s="1132" t="n"/>
      <c r="NRY287" s="1132" t="n"/>
      <c r="NRZ287" s="1132" t="n"/>
      <c r="NSA287" s="1132" t="n"/>
      <c r="NSB287" s="1132" t="n"/>
      <c r="NSC287" s="1132" t="n"/>
      <c r="NSD287" s="1132" t="n"/>
      <c r="NSE287" s="1132" t="n"/>
      <c r="NSF287" s="1132" t="n"/>
      <c r="NSG287" s="1132" t="n"/>
      <c r="NSH287" s="1132" t="n"/>
      <c r="NSI287" s="1132" t="n"/>
      <c r="NSJ287" s="1132" t="n"/>
      <c r="NSK287" s="1132" t="n"/>
      <c r="NSL287" s="1132" t="n"/>
      <c r="NSM287" s="1132" t="n"/>
      <c r="NSN287" s="1132" t="n"/>
      <c r="NSO287" s="1132" t="n"/>
      <c r="NSP287" s="1132" t="n"/>
      <c r="NSQ287" s="1132" t="n"/>
      <c r="NSR287" s="1132" t="n"/>
      <c r="NSS287" s="1132" t="n"/>
      <c r="NST287" s="1132" t="n"/>
      <c r="NSU287" s="1132" t="n"/>
      <c r="NSV287" s="1132" t="n"/>
      <c r="NSW287" s="1132" t="n"/>
      <c r="NSX287" s="1132" t="n"/>
      <c r="NSY287" s="1132" t="n"/>
      <c r="NSZ287" s="1132" t="n"/>
      <c r="NTA287" s="1132" t="n"/>
      <c r="NTB287" s="1132" t="n"/>
      <c r="NTC287" s="1132" t="n"/>
      <c r="NTD287" s="1132" t="n"/>
      <c r="NTE287" s="1132" t="n"/>
      <c r="NTF287" s="1132" t="n"/>
      <c r="NTG287" s="1132" t="n"/>
      <c r="NTH287" s="1132" t="n"/>
      <c r="NTI287" s="1132" t="n"/>
      <c r="NTJ287" s="1132" t="n"/>
      <c r="NTK287" s="1132" t="n"/>
      <c r="NTL287" s="1132" t="n"/>
      <c r="NTM287" s="1132" t="n"/>
      <c r="NTN287" s="1132" t="n"/>
      <c r="NTO287" s="1132" t="n"/>
      <c r="NTP287" s="1132" t="n"/>
      <c r="NTQ287" s="1132" t="n"/>
      <c r="NTR287" s="1132" t="n"/>
      <c r="NTS287" s="1132" t="n"/>
      <c r="NTT287" s="1132" t="n"/>
      <c r="NTU287" s="1132" t="n"/>
      <c r="NTV287" s="1132" t="n"/>
      <c r="NTW287" s="1132" t="n"/>
      <c r="NTX287" s="1132" t="n"/>
      <c r="NTY287" s="1132" t="n"/>
      <c r="NTZ287" s="1132" t="n"/>
      <c r="NUA287" s="1132" t="n"/>
      <c r="NUB287" s="1132" t="n"/>
      <c r="NUC287" s="1132" t="n"/>
      <c r="NUD287" s="1132" t="n"/>
      <c r="NUE287" s="1132" t="n"/>
      <c r="NUF287" s="1132" t="n"/>
      <c r="NUG287" s="1132" t="n"/>
      <c r="NUH287" s="1132" t="n"/>
      <c r="NUI287" s="1132" t="n"/>
      <c r="NUJ287" s="1132" t="n"/>
      <c r="NUK287" s="1132" t="n"/>
      <c r="NUL287" s="1132" t="n"/>
      <c r="NUM287" s="1132" t="n"/>
      <c r="NUN287" s="1132" t="n"/>
      <c r="NUO287" s="1132" t="n"/>
      <c r="NUP287" s="1132" t="n"/>
      <c r="NUQ287" s="1132" t="n"/>
      <c r="NUR287" s="1132" t="n"/>
      <c r="NUS287" s="1132" t="n"/>
      <c r="NUT287" s="1132" t="n"/>
      <c r="NUU287" s="1132" t="n"/>
      <c r="NUV287" s="1132" t="n"/>
      <c r="NUW287" s="1132" t="n"/>
      <c r="NUX287" s="1132" t="n"/>
      <c r="NUY287" s="1132" t="n"/>
      <c r="NUZ287" s="1132" t="n"/>
      <c r="NVA287" s="1132" t="n"/>
      <c r="NVB287" s="1132" t="n"/>
      <c r="NVC287" s="1132" t="n"/>
      <c r="NVD287" s="1132" t="n"/>
      <c r="NVE287" s="1132" t="n"/>
      <c r="NVF287" s="1132" t="n"/>
      <c r="NVG287" s="1132" t="n"/>
      <c r="NVH287" s="1132" t="n"/>
      <c r="NVI287" s="1132" t="n"/>
      <c r="NVJ287" s="1132" t="n"/>
      <c r="NVK287" s="1132" t="n"/>
      <c r="NVL287" s="1132" t="n"/>
      <c r="NVM287" s="1132" t="n"/>
      <c r="NVN287" s="1132" t="n"/>
      <c r="NVO287" s="1132" t="n"/>
      <c r="NVP287" s="1132" t="n"/>
      <c r="NVQ287" s="1132" t="n"/>
      <c r="NVR287" s="1132" t="n"/>
      <c r="NVS287" s="1132" t="n"/>
      <c r="NVT287" s="1132" t="n"/>
      <c r="NVU287" s="1132" t="n"/>
      <c r="NVV287" s="1132" t="n"/>
      <c r="NVW287" s="1132" t="n"/>
      <c r="NVX287" s="1132" t="n"/>
      <c r="NVY287" s="1132" t="n"/>
      <c r="NVZ287" s="1132" t="n"/>
      <c r="NWA287" s="1132" t="n"/>
      <c r="NWB287" s="1132" t="n"/>
      <c r="NWC287" s="1132" t="n"/>
      <c r="NWD287" s="1132" t="n"/>
      <c r="NWE287" s="1132" t="n"/>
      <c r="NWF287" s="1132" t="n"/>
      <c r="NWG287" s="1132" t="n"/>
      <c r="NWH287" s="1132" t="n"/>
      <c r="NWI287" s="1132" t="n"/>
      <c r="NWJ287" s="1132" t="n"/>
      <c r="NWK287" s="1132" t="n"/>
      <c r="NWL287" s="1132" t="n"/>
      <c r="NWM287" s="1132" t="n"/>
      <c r="NWN287" s="1132" t="n"/>
      <c r="NWO287" s="1132" t="n"/>
      <c r="NWP287" s="1132" t="n"/>
      <c r="NWQ287" s="1132" t="n"/>
      <c r="NWR287" s="1132" t="n"/>
      <c r="NWS287" s="1132" t="n"/>
      <c r="NWT287" s="1132" t="n"/>
      <c r="NWU287" s="1132" t="n"/>
      <c r="NWV287" s="1132" t="n"/>
      <c r="NWW287" s="1132" t="n"/>
      <c r="NWX287" s="1132" t="n"/>
      <c r="NWY287" s="1132" t="n"/>
      <c r="NWZ287" s="1132" t="n"/>
      <c r="NXA287" s="1132" t="n"/>
      <c r="NXB287" s="1132" t="n"/>
      <c r="NXC287" s="1132" t="n"/>
      <c r="NXD287" s="1132" t="n"/>
      <c r="NXE287" s="1132" t="n"/>
      <c r="NXF287" s="1132" t="n"/>
      <c r="NXG287" s="1132" t="n"/>
      <c r="NXH287" s="1132" t="n"/>
      <c r="NXI287" s="1132" t="n"/>
      <c r="NXJ287" s="1132" t="n"/>
      <c r="NXK287" s="1132" t="n"/>
      <c r="NXL287" s="1132" t="n"/>
      <c r="NXM287" s="1132" t="n"/>
      <c r="NXN287" s="1132" t="n"/>
      <c r="NXO287" s="1132" t="n"/>
      <c r="NXP287" s="1132" t="n"/>
      <c r="NXQ287" s="1132" t="n"/>
      <c r="NXR287" s="1132" t="n"/>
      <c r="NXS287" s="1132" t="n"/>
      <c r="NXT287" s="1132" t="n"/>
      <c r="NXU287" s="1132" t="n"/>
      <c r="NXV287" s="1132" t="n"/>
      <c r="NXW287" s="1132" t="n"/>
      <c r="NXX287" s="1132" t="n"/>
      <c r="NXY287" s="1132" t="n"/>
      <c r="NXZ287" s="1132" t="n"/>
      <c r="NYA287" s="1132" t="n"/>
      <c r="NYB287" s="1132" t="n"/>
      <c r="NYC287" s="1132" t="n"/>
      <c r="NYD287" s="1132" t="n"/>
      <c r="NYE287" s="1132" t="n"/>
      <c r="NYF287" s="1132" t="n"/>
      <c r="NYG287" s="1132" t="n"/>
      <c r="NYH287" s="1132" t="n"/>
      <c r="NYI287" s="1132" t="n"/>
      <c r="NYJ287" s="1132" t="n"/>
      <c r="NYK287" s="1132" t="n"/>
      <c r="NYL287" s="1132" t="n"/>
      <c r="NYM287" s="1132" t="n"/>
      <c r="NYN287" s="1132" t="n"/>
      <c r="NYO287" s="1132" t="n"/>
      <c r="NYP287" s="1132" t="n"/>
      <c r="NYQ287" s="1132" t="n"/>
      <c r="NYR287" s="1132" t="n"/>
      <c r="NYS287" s="1132" t="n"/>
      <c r="NYT287" s="1132" t="n"/>
      <c r="NYU287" s="1132" t="n"/>
      <c r="NYV287" s="1132" t="n"/>
      <c r="NYW287" s="1132" t="n"/>
      <c r="NYX287" s="1132" t="n"/>
      <c r="NYY287" s="1132" t="n"/>
      <c r="NYZ287" s="1132" t="n"/>
      <c r="NZA287" s="1132" t="n"/>
      <c r="NZB287" s="1132" t="n"/>
      <c r="NZC287" s="1132" t="n"/>
      <c r="NZD287" s="1132" t="n"/>
      <c r="NZE287" s="1132" t="n"/>
      <c r="NZF287" s="1132" t="n"/>
      <c r="NZG287" s="1132" t="n"/>
      <c r="NZH287" s="1132" t="n"/>
      <c r="NZI287" s="1132" t="n"/>
      <c r="NZJ287" s="1132" t="n"/>
      <c r="NZK287" s="1132" t="n"/>
      <c r="NZL287" s="1132" t="n"/>
      <c r="NZM287" s="1132" t="n"/>
      <c r="NZN287" s="1132" t="n"/>
      <c r="NZO287" s="1132" t="n"/>
      <c r="NZP287" s="1132" t="n"/>
      <c r="NZQ287" s="1132" t="n"/>
      <c r="NZR287" s="1132" t="n"/>
      <c r="NZS287" s="1132" t="n"/>
      <c r="NZT287" s="1132" t="n"/>
      <c r="NZU287" s="1132" t="n"/>
      <c r="NZV287" s="1132" t="n"/>
      <c r="NZW287" s="1132" t="n"/>
      <c r="NZX287" s="1132" t="n"/>
      <c r="NZY287" s="1132" t="n"/>
      <c r="NZZ287" s="1132" t="n"/>
      <c r="OAA287" s="1132" t="n"/>
      <c r="OAB287" s="1132" t="n"/>
      <c r="OAC287" s="1132" t="n"/>
      <c r="OAD287" s="1132" t="n"/>
      <c r="OAE287" s="1132" t="n"/>
      <c r="OAF287" s="1132" t="n"/>
      <c r="OAG287" s="1132" t="n"/>
      <c r="OAH287" s="1132" t="n"/>
      <c r="OAI287" s="1132" t="n"/>
      <c r="OAJ287" s="1132" t="n"/>
      <c r="OAK287" s="1132" t="n"/>
      <c r="OAL287" s="1132" t="n"/>
      <c r="OAM287" s="1132" t="n"/>
      <c r="OAN287" s="1132" t="n"/>
      <c r="OAO287" s="1132" t="n"/>
      <c r="OAP287" s="1132" t="n"/>
      <c r="OAQ287" s="1132" t="n"/>
      <c r="OAR287" s="1132" t="n"/>
      <c r="OAS287" s="1132" t="n"/>
      <c r="OAT287" s="1132" t="n"/>
      <c r="OAU287" s="1132" t="n"/>
      <c r="OAV287" s="1132" t="n"/>
      <c r="OAW287" s="1132" t="n"/>
      <c r="OAX287" s="1132" t="n"/>
      <c r="OAY287" s="1132" t="n"/>
      <c r="OAZ287" s="1132" t="n"/>
      <c r="OBA287" s="1132" t="n"/>
      <c r="OBB287" s="1132" t="n"/>
      <c r="OBC287" s="1132" t="n"/>
      <c r="OBD287" s="1132" t="n"/>
      <c r="OBE287" s="1132" t="n"/>
      <c r="OBF287" s="1132" t="n"/>
      <c r="OBG287" s="1132" t="n"/>
      <c r="OBH287" s="1132" t="n"/>
      <c r="OBI287" s="1132" t="n"/>
      <c r="OBJ287" s="1132" t="n"/>
      <c r="OBK287" s="1132" t="n"/>
      <c r="OBL287" s="1132" t="n"/>
      <c r="OBM287" s="1132" t="n"/>
      <c r="OBN287" s="1132" t="n"/>
      <c r="OBO287" s="1132" t="n"/>
      <c r="OBP287" s="1132" t="n"/>
      <c r="OBQ287" s="1132" t="n"/>
      <c r="OBR287" s="1132" t="n"/>
      <c r="OBS287" s="1132" t="n"/>
      <c r="OBT287" s="1132" t="n"/>
      <c r="OBU287" s="1132" t="n"/>
      <c r="OBV287" s="1132" t="n"/>
      <c r="OBW287" s="1132" t="n"/>
      <c r="OBX287" s="1132" t="n"/>
      <c r="OBY287" s="1132" t="n"/>
      <c r="OBZ287" s="1132" t="n"/>
      <c r="OCA287" s="1132" t="n"/>
      <c r="OCB287" s="1132" t="n"/>
      <c r="OCC287" s="1132" t="n"/>
      <c r="OCD287" s="1132" t="n"/>
      <c r="OCE287" s="1132" t="n"/>
      <c r="OCF287" s="1132" t="n"/>
      <c r="OCG287" s="1132" t="n"/>
      <c r="OCH287" s="1132" t="n"/>
      <c r="OCI287" s="1132" t="n"/>
      <c r="OCJ287" s="1132" t="n"/>
      <c r="OCK287" s="1132" t="n"/>
      <c r="OCL287" s="1132" t="n"/>
      <c r="OCM287" s="1132" t="n"/>
      <c r="OCN287" s="1132" t="n"/>
      <c r="OCO287" s="1132" t="n"/>
      <c r="OCP287" s="1132" t="n"/>
      <c r="OCQ287" s="1132" t="n"/>
      <c r="OCR287" s="1132" t="n"/>
      <c r="OCS287" s="1132" t="n"/>
      <c r="OCT287" s="1132" t="n"/>
      <c r="OCU287" s="1132" t="n"/>
      <c r="OCV287" s="1132" t="n"/>
      <c r="OCW287" s="1132" t="n"/>
      <c r="OCX287" s="1132" t="n"/>
      <c r="OCY287" s="1132" t="n"/>
      <c r="OCZ287" s="1132" t="n"/>
      <c r="ODA287" s="1132" t="n"/>
      <c r="ODB287" s="1132" t="n"/>
      <c r="ODC287" s="1132" t="n"/>
      <c r="ODD287" s="1132" t="n"/>
      <c r="ODE287" s="1132" t="n"/>
      <c r="ODF287" s="1132" t="n"/>
      <c r="ODG287" s="1132" t="n"/>
      <c r="ODH287" s="1132" t="n"/>
      <c r="ODI287" s="1132" t="n"/>
      <c r="ODJ287" s="1132" t="n"/>
      <c r="ODK287" s="1132" t="n"/>
      <c r="ODL287" s="1132" t="n"/>
      <c r="ODM287" s="1132" t="n"/>
      <c r="ODN287" s="1132" t="n"/>
      <c r="ODO287" s="1132" t="n"/>
      <c r="ODP287" s="1132" t="n"/>
      <c r="ODQ287" s="1132" t="n"/>
      <c r="ODR287" s="1132" t="n"/>
      <c r="ODS287" s="1132" t="n"/>
      <c r="ODT287" s="1132" t="n"/>
      <c r="ODU287" s="1132" t="n"/>
      <c r="ODV287" s="1132" t="n"/>
      <c r="ODW287" s="1132" t="n"/>
      <c r="ODX287" s="1132" t="n"/>
      <c r="ODY287" s="1132" t="n"/>
      <c r="ODZ287" s="1132" t="n"/>
      <c r="OEA287" s="1132" t="n"/>
      <c r="OEB287" s="1132" t="n"/>
      <c r="OEC287" s="1132" t="n"/>
      <c r="OED287" s="1132" t="n"/>
      <c r="OEE287" s="1132" t="n"/>
      <c r="OEF287" s="1132" t="n"/>
      <c r="OEG287" s="1132" t="n"/>
      <c r="OEH287" s="1132" t="n"/>
      <c r="OEI287" s="1132" t="n"/>
      <c r="OEJ287" s="1132" t="n"/>
      <c r="OEK287" s="1132" t="n"/>
      <c r="OEL287" s="1132" t="n"/>
      <c r="OEM287" s="1132" t="n"/>
      <c r="OEN287" s="1132" t="n"/>
      <c r="OEO287" s="1132" t="n"/>
      <c r="OEP287" s="1132" t="n"/>
      <c r="OEQ287" s="1132" t="n"/>
      <c r="OER287" s="1132" t="n"/>
      <c r="OES287" s="1132" t="n"/>
      <c r="OET287" s="1132" t="n"/>
      <c r="OEU287" s="1132" t="n"/>
      <c r="OEV287" s="1132" t="n"/>
      <c r="OEW287" s="1132" t="n"/>
      <c r="OEX287" s="1132" t="n"/>
      <c r="OEY287" s="1132" t="n"/>
      <c r="OEZ287" s="1132" t="n"/>
      <c r="OFA287" s="1132" t="n"/>
      <c r="OFB287" s="1132" t="n"/>
      <c r="OFC287" s="1132" t="n"/>
      <c r="OFD287" s="1132" t="n"/>
      <c r="OFE287" s="1132" t="n"/>
      <c r="OFF287" s="1132" t="n"/>
      <c r="OFG287" s="1132" t="n"/>
      <c r="OFH287" s="1132" t="n"/>
      <c r="OFI287" s="1132" t="n"/>
      <c r="OFJ287" s="1132" t="n"/>
      <c r="OFK287" s="1132" t="n"/>
      <c r="OFL287" s="1132" t="n"/>
      <c r="OFM287" s="1132" t="n"/>
      <c r="OFN287" s="1132" t="n"/>
      <c r="OFO287" s="1132" t="n"/>
      <c r="OFP287" s="1132" t="n"/>
      <c r="OFQ287" s="1132" t="n"/>
      <c r="OFR287" s="1132" t="n"/>
      <c r="OFS287" s="1132" t="n"/>
      <c r="OFT287" s="1132" t="n"/>
      <c r="OFU287" s="1132" t="n"/>
      <c r="OFV287" s="1132" t="n"/>
      <c r="OFW287" s="1132" t="n"/>
      <c r="OFX287" s="1132" t="n"/>
      <c r="OFY287" s="1132" t="n"/>
      <c r="OFZ287" s="1132" t="n"/>
      <c r="OGA287" s="1132" t="n"/>
      <c r="OGB287" s="1132" t="n"/>
      <c r="OGC287" s="1132" t="n"/>
      <c r="OGD287" s="1132" t="n"/>
      <c r="OGE287" s="1132" t="n"/>
      <c r="OGF287" s="1132" t="n"/>
      <c r="OGG287" s="1132" t="n"/>
      <c r="OGH287" s="1132" t="n"/>
      <c r="OGI287" s="1132" t="n"/>
      <c r="OGJ287" s="1132" t="n"/>
      <c r="OGK287" s="1132" t="n"/>
      <c r="OGL287" s="1132" t="n"/>
      <c r="OGM287" s="1132" t="n"/>
      <c r="OGN287" s="1132" t="n"/>
      <c r="OGO287" s="1132" t="n"/>
      <c r="OGP287" s="1132" t="n"/>
      <c r="OGQ287" s="1132" t="n"/>
      <c r="OGR287" s="1132" t="n"/>
      <c r="OGS287" s="1132" t="n"/>
      <c r="OGT287" s="1132" t="n"/>
      <c r="OGU287" s="1132" t="n"/>
      <c r="OGV287" s="1132" t="n"/>
      <c r="OGW287" s="1132" t="n"/>
      <c r="OGX287" s="1132" t="n"/>
      <c r="OGY287" s="1132" t="n"/>
      <c r="OGZ287" s="1132" t="n"/>
      <c r="OHA287" s="1132" t="n"/>
      <c r="OHB287" s="1132" t="n"/>
      <c r="OHC287" s="1132" t="n"/>
      <c r="OHD287" s="1132" t="n"/>
      <c r="OHE287" s="1132" t="n"/>
      <c r="OHF287" s="1132" t="n"/>
      <c r="OHG287" s="1132" t="n"/>
      <c r="OHH287" s="1132" t="n"/>
      <c r="OHI287" s="1132" t="n"/>
      <c r="OHJ287" s="1132" t="n"/>
      <c r="OHK287" s="1132" t="n"/>
      <c r="OHL287" s="1132" t="n"/>
      <c r="OHM287" s="1132" t="n"/>
      <c r="OHN287" s="1132" t="n"/>
      <c r="OHO287" s="1132" t="n"/>
      <c r="OHP287" s="1132" t="n"/>
      <c r="OHQ287" s="1132" t="n"/>
      <c r="OHR287" s="1132" t="n"/>
      <c r="OHS287" s="1132" t="n"/>
      <c r="OHT287" s="1132" t="n"/>
      <c r="OHU287" s="1132" t="n"/>
      <c r="OHV287" s="1132" t="n"/>
      <c r="OHW287" s="1132" t="n"/>
      <c r="OHX287" s="1132" t="n"/>
      <c r="OHY287" s="1132" t="n"/>
      <c r="OHZ287" s="1132" t="n"/>
      <c r="OIA287" s="1132" t="n"/>
      <c r="OIB287" s="1132" t="n"/>
      <c r="OIC287" s="1132" t="n"/>
      <c r="OID287" s="1132" t="n"/>
      <c r="OIE287" s="1132" t="n"/>
      <c r="OIF287" s="1132" t="n"/>
      <c r="OIG287" s="1132" t="n"/>
      <c r="OIH287" s="1132" t="n"/>
      <c r="OII287" s="1132" t="n"/>
      <c r="OIJ287" s="1132" t="n"/>
      <c r="OIK287" s="1132" t="n"/>
      <c r="OIL287" s="1132" t="n"/>
      <c r="OIM287" s="1132" t="n"/>
      <c r="OIN287" s="1132" t="n"/>
      <c r="OIO287" s="1132" t="n"/>
      <c r="OIP287" s="1132" t="n"/>
      <c r="OIQ287" s="1132" t="n"/>
      <c r="OIR287" s="1132" t="n"/>
      <c r="OIS287" s="1132" t="n"/>
      <c r="OIT287" s="1132" t="n"/>
      <c r="OIU287" s="1132" t="n"/>
      <c r="OIV287" s="1132" t="n"/>
      <c r="OIW287" s="1132" t="n"/>
      <c r="OIX287" s="1132" t="n"/>
      <c r="OIY287" s="1132" t="n"/>
      <c r="OIZ287" s="1132" t="n"/>
      <c r="OJA287" s="1132" t="n"/>
      <c r="OJB287" s="1132" t="n"/>
      <c r="OJC287" s="1132" t="n"/>
      <c r="OJD287" s="1132" t="n"/>
      <c r="OJE287" s="1132" t="n"/>
      <c r="OJF287" s="1132" t="n"/>
      <c r="OJG287" s="1132" t="n"/>
      <c r="OJH287" s="1132" t="n"/>
      <c r="OJI287" s="1132" t="n"/>
      <c r="OJJ287" s="1132" t="n"/>
      <c r="OJK287" s="1132" t="n"/>
      <c r="OJL287" s="1132" t="n"/>
      <c r="OJM287" s="1132" t="n"/>
      <c r="OJN287" s="1132" t="n"/>
      <c r="OJO287" s="1132" t="n"/>
      <c r="OJP287" s="1132" t="n"/>
      <c r="OJQ287" s="1132" t="n"/>
      <c r="OJR287" s="1132" t="n"/>
      <c r="OJS287" s="1132" t="n"/>
      <c r="OJT287" s="1132" t="n"/>
      <c r="OJU287" s="1132" t="n"/>
      <c r="OJV287" s="1132" t="n"/>
      <c r="OJW287" s="1132" t="n"/>
      <c r="OJX287" s="1132" t="n"/>
      <c r="OJY287" s="1132" t="n"/>
      <c r="OJZ287" s="1132" t="n"/>
      <c r="OKA287" s="1132" t="n"/>
      <c r="OKB287" s="1132" t="n"/>
      <c r="OKC287" s="1132" t="n"/>
      <c r="OKD287" s="1132" t="n"/>
      <c r="OKE287" s="1132" t="n"/>
      <c r="OKF287" s="1132" t="n"/>
      <c r="OKG287" s="1132" t="n"/>
      <c r="OKH287" s="1132" t="n"/>
      <c r="OKI287" s="1132" t="n"/>
      <c r="OKJ287" s="1132" t="n"/>
      <c r="OKK287" s="1132" t="n"/>
      <c r="OKL287" s="1132" t="n"/>
      <c r="OKM287" s="1132" t="n"/>
      <c r="OKN287" s="1132" t="n"/>
      <c r="OKO287" s="1132" t="n"/>
      <c r="OKP287" s="1132" t="n"/>
      <c r="OKQ287" s="1132" t="n"/>
      <c r="OKR287" s="1132" t="n"/>
      <c r="OKS287" s="1132" t="n"/>
      <c r="OKT287" s="1132" t="n"/>
      <c r="OKU287" s="1132" t="n"/>
      <c r="OKV287" s="1132" t="n"/>
      <c r="OKW287" s="1132" t="n"/>
      <c r="OKX287" s="1132" t="n"/>
      <c r="OKY287" s="1132" t="n"/>
      <c r="OKZ287" s="1132" t="n"/>
      <c r="OLA287" s="1132" t="n"/>
      <c r="OLB287" s="1132" t="n"/>
      <c r="OLC287" s="1132" t="n"/>
      <c r="OLD287" s="1132" t="n"/>
      <c r="OLE287" s="1132" t="n"/>
      <c r="OLF287" s="1132" t="n"/>
      <c r="OLG287" s="1132" t="n"/>
      <c r="OLH287" s="1132" t="n"/>
      <c r="OLI287" s="1132" t="n"/>
      <c r="OLJ287" s="1132" t="n"/>
      <c r="OLK287" s="1132" t="n"/>
      <c r="OLL287" s="1132" t="n"/>
      <c r="OLM287" s="1132" t="n"/>
      <c r="OLN287" s="1132" t="n"/>
      <c r="OLO287" s="1132" t="n"/>
      <c r="OLP287" s="1132" t="n"/>
      <c r="OLQ287" s="1132" t="n"/>
      <c r="OLR287" s="1132" t="n"/>
      <c r="OLS287" s="1132" t="n"/>
      <c r="OLT287" s="1132" t="n"/>
      <c r="OLU287" s="1132" t="n"/>
      <c r="OLV287" s="1132" t="n"/>
      <c r="OLW287" s="1132" t="n"/>
      <c r="OLX287" s="1132" t="n"/>
      <c r="OLY287" s="1132" t="n"/>
      <c r="OLZ287" s="1132" t="n"/>
      <c r="OMA287" s="1132" t="n"/>
      <c r="OMB287" s="1132" t="n"/>
      <c r="OMC287" s="1132" t="n"/>
      <c r="OMD287" s="1132" t="n"/>
      <c r="OME287" s="1132" t="n"/>
      <c r="OMF287" s="1132" t="n"/>
      <c r="OMG287" s="1132" t="n"/>
      <c r="OMH287" s="1132" t="n"/>
      <c r="OMI287" s="1132" t="n"/>
      <c r="OMJ287" s="1132" t="n"/>
      <c r="OMK287" s="1132" t="n"/>
      <c r="OML287" s="1132" t="n"/>
      <c r="OMM287" s="1132" t="n"/>
      <c r="OMN287" s="1132" t="n"/>
      <c r="OMO287" s="1132" t="n"/>
      <c r="OMP287" s="1132" t="n"/>
      <c r="OMQ287" s="1132" t="n"/>
      <c r="OMR287" s="1132" t="n"/>
      <c r="OMS287" s="1132" t="n"/>
      <c r="OMT287" s="1132" t="n"/>
      <c r="OMU287" s="1132" t="n"/>
      <c r="OMV287" s="1132" t="n"/>
      <c r="OMW287" s="1132" t="n"/>
      <c r="OMX287" s="1132" t="n"/>
      <c r="OMY287" s="1132" t="n"/>
      <c r="OMZ287" s="1132" t="n"/>
      <c r="ONA287" s="1132" t="n"/>
      <c r="ONB287" s="1132" t="n"/>
      <c r="ONC287" s="1132" t="n"/>
      <c r="OND287" s="1132" t="n"/>
      <c r="ONE287" s="1132" t="n"/>
      <c r="ONF287" s="1132" t="n"/>
      <c r="ONG287" s="1132" t="n"/>
      <c r="ONH287" s="1132" t="n"/>
      <c r="ONI287" s="1132" t="n"/>
      <c r="ONJ287" s="1132" t="n"/>
      <c r="ONK287" s="1132" t="n"/>
      <c r="ONL287" s="1132" t="n"/>
      <c r="ONM287" s="1132" t="n"/>
      <c r="ONN287" s="1132" t="n"/>
      <c r="ONO287" s="1132" t="n"/>
      <c r="ONP287" s="1132" t="n"/>
      <c r="ONQ287" s="1132" t="n"/>
      <c r="ONR287" s="1132" t="n"/>
      <c r="ONS287" s="1132" t="n"/>
      <c r="ONT287" s="1132" t="n"/>
      <c r="ONU287" s="1132" t="n"/>
      <c r="ONV287" s="1132" t="n"/>
      <c r="ONW287" s="1132" t="n"/>
      <c r="ONX287" s="1132" t="n"/>
      <c r="ONY287" s="1132" t="n"/>
      <c r="ONZ287" s="1132" t="n"/>
      <c r="OOA287" s="1132" t="n"/>
      <c r="OOB287" s="1132" t="n"/>
      <c r="OOC287" s="1132" t="n"/>
      <c r="OOD287" s="1132" t="n"/>
      <c r="OOE287" s="1132" t="n"/>
      <c r="OOF287" s="1132" t="n"/>
      <c r="OOG287" s="1132" t="n"/>
      <c r="OOH287" s="1132" t="n"/>
      <c r="OOI287" s="1132" t="n"/>
      <c r="OOJ287" s="1132" t="n"/>
      <c r="OOK287" s="1132" t="n"/>
      <c r="OOL287" s="1132" t="n"/>
      <c r="OOM287" s="1132" t="n"/>
      <c r="OON287" s="1132" t="n"/>
      <c r="OOO287" s="1132" t="n"/>
      <c r="OOP287" s="1132" t="n"/>
      <c r="OOQ287" s="1132" t="n"/>
      <c r="OOR287" s="1132" t="n"/>
      <c r="OOS287" s="1132" t="n"/>
      <c r="OOT287" s="1132" t="n"/>
      <c r="OOU287" s="1132" t="n"/>
      <c r="OOV287" s="1132" t="n"/>
      <c r="OOW287" s="1132" t="n"/>
      <c r="OOX287" s="1132" t="n"/>
      <c r="OOY287" s="1132" t="n"/>
      <c r="OOZ287" s="1132" t="n"/>
      <c r="OPA287" s="1132" t="n"/>
      <c r="OPB287" s="1132" t="n"/>
      <c r="OPC287" s="1132" t="n"/>
      <c r="OPD287" s="1132" t="n"/>
      <c r="OPE287" s="1132" t="n"/>
      <c r="OPF287" s="1132" t="n"/>
      <c r="OPG287" s="1132" t="n"/>
      <c r="OPH287" s="1132" t="n"/>
      <c r="OPI287" s="1132" t="n"/>
      <c r="OPJ287" s="1132" t="n"/>
      <c r="OPK287" s="1132" t="n"/>
      <c r="OPL287" s="1132" t="n"/>
      <c r="OPM287" s="1132" t="n"/>
      <c r="OPN287" s="1132" t="n"/>
      <c r="OPO287" s="1132" t="n"/>
      <c r="OPP287" s="1132" t="n"/>
      <c r="OPQ287" s="1132" t="n"/>
      <c r="OPR287" s="1132" t="n"/>
      <c r="OPS287" s="1132" t="n"/>
      <c r="OPT287" s="1132" t="n"/>
      <c r="OPU287" s="1132" t="n"/>
      <c r="OPV287" s="1132" t="n"/>
      <c r="OPW287" s="1132" t="n"/>
      <c r="OPX287" s="1132" t="n"/>
      <c r="OPY287" s="1132" t="n"/>
      <c r="OPZ287" s="1132" t="n"/>
      <c r="OQA287" s="1132" t="n"/>
      <c r="OQB287" s="1132" t="n"/>
      <c r="OQC287" s="1132" t="n"/>
      <c r="OQD287" s="1132" t="n"/>
      <c r="OQE287" s="1132" t="n"/>
      <c r="OQF287" s="1132" t="n"/>
      <c r="OQG287" s="1132" t="n"/>
      <c r="OQH287" s="1132" t="n"/>
      <c r="OQI287" s="1132" t="n"/>
      <c r="OQJ287" s="1132" t="n"/>
      <c r="OQK287" s="1132" t="n"/>
      <c r="OQL287" s="1132" t="n"/>
      <c r="OQM287" s="1132" t="n"/>
      <c r="OQN287" s="1132" t="n"/>
      <c r="OQO287" s="1132" t="n"/>
      <c r="OQP287" s="1132" t="n"/>
      <c r="OQQ287" s="1132" t="n"/>
      <c r="OQR287" s="1132" t="n"/>
      <c r="OQS287" s="1132" t="n"/>
      <c r="OQT287" s="1132" t="n"/>
      <c r="OQU287" s="1132" t="n"/>
      <c r="OQV287" s="1132" t="n"/>
      <c r="OQW287" s="1132" t="n"/>
      <c r="OQX287" s="1132" t="n"/>
      <c r="OQY287" s="1132" t="n"/>
      <c r="OQZ287" s="1132" t="n"/>
      <c r="ORA287" s="1132" t="n"/>
      <c r="ORB287" s="1132" t="n"/>
      <c r="ORC287" s="1132" t="n"/>
      <c r="ORD287" s="1132" t="n"/>
      <c r="ORE287" s="1132" t="n"/>
      <c r="ORF287" s="1132" t="n"/>
      <c r="ORG287" s="1132" t="n"/>
      <c r="ORH287" s="1132" t="n"/>
      <c r="ORI287" s="1132" t="n"/>
      <c r="ORJ287" s="1132" t="n"/>
      <c r="ORK287" s="1132" t="n"/>
      <c r="ORL287" s="1132" t="n"/>
      <c r="ORM287" s="1132" t="n"/>
      <c r="ORN287" s="1132" t="n"/>
      <c r="ORO287" s="1132" t="n"/>
      <c r="ORP287" s="1132" t="n"/>
      <c r="ORQ287" s="1132" t="n"/>
      <c r="ORR287" s="1132" t="n"/>
      <c r="ORS287" s="1132" t="n"/>
      <c r="ORT287" s="1132" t="n"/>
      <c r="ORU287" s="1132" t="n"/>
      <c r="ORV287" s="1132" t="n"/>
      <c r="ORW287" s="1132" t="n"/>
      <c r="ORX287" s="1132" t="n"/>
      <c r="ORY287" s="1132" t="n"/>
      <c r="ORZ287" s="1132" t="n"/>
      <c r="OSA287" s="1132" t="n"/>
      <c r="OSB287" s="1132" t="n"/>
      <c r="OSC287" s="1132" t="n"/>
      <c r="OSD287" s="1132" t="n"/>
      <c r="OSE287" s="1132" t="n"/>
      <c r="OSF287" s="1132" t="n"/>
      <c r="OSG287" s="1132" t="n"/>
      <c r="OSH287" s="1132" t="n"/>
      <c r="OSI287" s="1132" t="n"/>
      <c r="OSJ287" s="1132" t="n"/>
      <c r="OSK287" s="1132" t="n"/>
      <c r="OSL287" s="1132" t="n"/>
      <c r="OSM287" s="1132" t="n"/>
      <c r="OSN287" s="1132" t="n"/>
      <c r="OSO287" s="1132" t="n"/>
      <c r="OSP287" s="1132" t="n"/>
      <c r="OSQ287" s="1132" t="n"/>
      <c r="OSR287" s="1132" t="n"/>
      <c r="OSS287" s="1132" t="n"/>
      <c r="OST287" s="1132" t="n"/>
      <c r="OSU287" s="1132" t="n"/>
      <c r="OSV287" s="1132" t="n"/>
      <c r="OSW287" s="1132" t="n"/>
      <c r="OSX287" s="1132" t="n"/>
      <c r="OSY287" s="1132" t="n"/>
      <c r="OSZ287" s="1132" t="n"/>
      <c r="OTA287" s="1132" t="n"/>
      <c r="OTB287" s="1132" t="n"/>
      <c r="OTC287" s="1132" t="n"/>
      <c r="OTD287" s="1132" t="n"/>
      <c r="OTE287" s="1132" t="n"/>
      <c r="OTF287" s="1132" t="n"/>
      <c r="OTG287" s="1132" t="n"/>
      <c r="OTH287" s="1132" t="n"/>
      <c r="OTI287" s="1132" t="n"/>
      <c r="OTJ287" s="1132" t="n"/>
      <c r="OTK287" s="1132" t="n"/>
      <c r="OTL287" s="1132" t="n"/>
      <c r="OTM287" s="1132" t="n"/>
      <c r="OTN287" s="1132" t="n"/>
      <c r="OTO287" s="1132" t="n"/>
      <c r="OTP287" s="1132" t="n"/>
      <c r="OTQ287" s="1132" t="n"/>
      <c r="OTR287" s="1132" t="n"/>
      <c r="OTS287" s="1132" t="n"/>
      <c r="OTT287" s="1132" t="n"/>
      <c r="OTU287" s="1132" t="n"/>
      <c r="OTV287" s="1132" t="n"/>
      <c r="OTW287" s="1132" t="n"/>
      <c r="OTX287" s="1132" t="n"/>
      <c r="OTY287" s="1132" t="n"/>
      <c r="OTZ287" s="1132" t="n"/>
      <c r="OUA287" s="1132" t="n"/>
      <c r="OUB287" s="1132" t="n"/>
      <c r="OUC287" s="1132" t="n"/>
      <c r="OUD287" s="1132" t="n"/>
      <c r="OUE287" s="1132" t="n"/>
      <c r="OUF287" s="1132" t="n"/>
      <c r="OUG287" s="1132" t="n"/>
      <c r="OUH287" s="1132" t="n"/>
      <c r="OUI287" s="1132" t="n"/>
      <c r="OUJ287" s="1132" t="n"/>
      <c r="OUK287" s="1132" t="n"/>
      <c r="OUL287" s="1132" t="n"/>
      <c r="OUM287" s="1132" t="n"/>
      <c r="OUN287" s="1132" t="n"/>
      <c r="OUO287" s="1132" t="n"/>
      <c r="OUP287" s="1132" t="n"/>
      <c r="OUQ287" s="1132" t="n"/>
      <c r="OUR287" s="1132" t="n"/>
      <c r="OUS287" s="1132" t="n"/>
      <c r="OUT287" s="1132" t="n"/>
      <c r="OUU287" s="1132" t="n"/>
      <c r="OUV287" s="1132" t="n"/>
      <c r="OUW287" s="1132" t="n"/>
      <c r="OUX287" s="1132" t="n"/>
      <c r="OUY287" s="1132" t="n"/>
      <c r="OUZ287" s="1132" t="n"/>
      <c r="OVA287" s="1132" t="n"/>
      <c r="OVB287" s="1132" t="n"/>
      <c r="OVC287" s="1132" t="n"/>
      <c r="OVD287" s="1132" t="n"/>
      <c r="OVE287" s="1132" t="n"/>
      <c r="OVF287" s="1132" t="n"/>
      <c r="OVG287" s="1132" t="n"/>
      <c r="OVH287" s="1132" t="n"/>
      <c r="OVI287" s="1132" t="n"/>
      <c r="OVJ287" s="1132" t="n"/>
      <c r="OVK287" s="1132" t="n"/>
      <c r="OVL287" s="1132" t="n"/>
      <c r="OVM287" s="1132" t="n"/>
      <c r="OVN287" s="1132" t="n"/>
      <c r="OVO287" s="1132" t="n"/>
      <c r="OVP287" s="1132" t="n"/>
      <c r="OVQ287" s="1132" t="n"/>
      <c r="OVR287" s="1132" t="n"/>
      <c r="OVS287" s="1132" t="n"/>
      <c r="OVT287" s="1132" t="n"/>
      <c r="OVU287" s="1132" t="n"/>
      <c r="OVV287" s="1132" t="n"/>
      <c r="OVW287" s="1132" t="n"/>
      <c r="OVX287" s="1132" t="n"/>
      <c r="OVY287" s="1132" t="n"/>
      <c r="OVZ287" s="1132" t="n"/>
      <c r="OWA287" s="1132" t="n"/>
      <c r="OWB287" s="1132" t="n"/>
      <c r="OWC287" s="1132" t="n"/>
      <c r="OWD287" s="1132" t="n"/>
      <c r="OWE287" s="1132" t="n"/>
      <c r="OWF287" s="1132" t="n"/>
      <c r="OWG287" s="1132" t="n"/>
      <c r="OWH287" s="1132" t="n"/>
      <c r="OWI287" s="1132" t="n"/>
      <c r="OWJ287" s="1132" t="n"/>
      <c r="OWK287" s="1132" t="n"/>
      <c r="OWL287" s="1132" t="n"/>
      <c r="OWM287" s="1132" t="n"/>
      <c r="OWN287" s="1132" t="n"/>
      <c r="OWO287" s="1132" t="n"/>
      <c r="OWP287" s="1132" t="n"/>
      <c r="OWQ287" s="1132" t="n"/>
      <c r="OWR287" s="1132" t="n"/>
      <c r="OWS287" s="1132" t="n"/>
      <c r="OWT287" s="1132" t="n"/>
      <c r="OWU287" s="1132" t="n"/>
      <c r="OWV287" s="1132" t="n"/>
      <c r="OWW287" s="1132" t="n"/>
      <c r="OWX287" s="1132" t="n"/>
      <c r="OWY287" s="1132" t="n"/>
      <c r="OWZ287" s="1132" t="n"/>
      <c r="OXA287" s="1132" t="n"/>
      <c r="OXB287" s="1132" t="n"/>
      <c r="OXC287" s="1132" t="n"/>
      <c r="OXD287" s="1132" t="n"/>
      <c r="OXE287" s="1132" t="n"/>
      <c r="OXF287" s="1132" t="n"/>
      <c r="OXG287" s="1132" t="n"/>
      <c r="OXH287" s="1132" t="n"/>
      <c r="OXI287" s="1132" t="n"/>
      <c r="OXJ287" s="1132" t="n"/>
      <c r="OXK287" s="1132" t="n"/>
      <c r="OXL287" s="1132" t="n"/>
      <c r="OXM287" s="1132" t="n"/>
      <c r="OXN287" s="1132" t="n"/>
      <c r="OXO287" s="1132" t="n"/>
      <c r="OXP287" s="1132" t="n"/>
      <c r="OXQ287" s="1132" t="n"/>
      <c r="OXR287" s="1132" t="n"/>
      <c r="OXS287" s="1132" t="n"/>
      <c r="OXT287" s="1132" t="n"/>
      <c r="OXU287" s="1132" t="n"/>
      <c r="OXV287" s="1132" t="n"/>
      <c r="OXW287" s="1132" t="n"/>
      <c r="OXX287" s="1132" t="n"/>
      <c r="OXY287" s="1132" t="n"/>
      <c r="OXZ287" s="1132" t="n"/>
      <c r="OYA287" s="1132" t="n"/>
      <c r="OYB287" s="1132" t="n"/>
      <c r="OYC287" s="1132" t="n"/>
      <c r="OYD287" s="1132" t="n"/>
      <c r="OYE287" s="1132" t="n"/>
      <c r="OYF287" s="1132" t="n"/>
      <c r="OYG287" s="1132" t="n"/>
      <c r="OYH287" s="1132" t="n"/>
      <c r="OYI287" s="1132" t="n"/>
      <c r="OYJ287" s="1132" t="n"/>
      <c r="OYK287" s="1132" t="n"/>
      <c r="OYL287" s="1132" t="n"/>
      <c r="OYM287" s="1132" t="n"/>
      <c r="OYN287" s="1132" t="n"/>
      <c r="OYO287" s="1132" t="n"/>
      <c r="OYP287" s="1132" t="n"/>
      <c r="OYQ287" s="1132" t="n"/>
      <c r="OYR287" s="1132" t="n"/>
      <c r="OYS287" s="1132" t="n"/>
      <c r="OYT287" s="1132" t="n"/>
      <c r="OYU287" s="1132" t="n"/>
      <c r="OYV287" s="1132" t="n"/>
      <c r="OYW287" s="1132" t="n"/>
      <c r="OYX287" s="1132" t="n"/>
      <c r="OYY287" s="1132" t="n"/>
      <c r="OYZ287" s="1132" t="n"/>
      <c r="OZA287" s="1132" t="n"/>
      <c r="OZB287" s="1132" t="n"/>
      <c r="OZC287" s="1132" t="n"/>
      <c r="OZD287" s="1132" t="n"/>
      <c r="OZE287" s="1132" t="n"/>
      <c r="OZF287" s="1132" t="n"/>
      <c r="OZG287" s="1132" t="n"/>
      <c r="OZH287" s="1132" t="n"/>
      <c r="OZI287" s="1132" t="n"/>
      <c r="OZJ287" s="1132" t="n"/>
      <c r="OZK287" s="1132" t="n"/>
      <c r="OZL287" s="1132" t="n"/>
      <c r="OZM287" s="1132" t="n"/>
      <c r="OZN287" s="1132" t="n"/>
      <c r="OZO287" s="1132" t="n"/>
      <c r="OZP287" s="1132" t="n"/>
      <c r="OZQ287" s="1132" t="n"/>
      <c r="OZR287" s="1132" t="n"/>
      <c r="OZS287" s="1132" t="n"/>
      <c r="OZT287" s="1132" t="n"/>
      <c r="OZU287" s="1132" t="n"/>
      <c r="OZV287" s="1132" t="n"/>
      <c r="OZW287" s="1132" t="n"/>
      <c r="OZX287" s="1132" t="n"/>
      <c r="OZY287" s="1132" t="n"/>
      <c r="OZZ287" s="1132" t="n"/>
      <c r="PAA287" s="1132" t="n"/>
      <c r="PAB287" s="1132" t="n"/>
      <c r="PAC287" s="1132" t="n"/>
      <c r="PAD287" s="1132" t="n"/>
      <c r="PAE287" s="1132" t="n"/>
      <c r="PAF287" s="1132" t="n"/>
      <c r="PAG287" s="1132" t="n"/>
      <c r="PAH287" s="1132" t="n"/>
      <c r="PAI287" s="1132" t="n"/>
      <c r="PAJ287" s="1132" t="n"/>
      <c r="PAK287" s="1132" t="n"/>
      <c r="PAL287" s="1132" t="n"/>
      <c r="PAM287" s="1132" t="n"/>
      <c r="PAN287" s="1132" t="n"/>
      <c r="PAO287" s="1132" t="n"/>
      <c r="PAP287" s="1132" t="n"/>
      <c r="PAQ287" s="1132" t="n"/>
      <c r="PAR287" s="1132" t="n"/>
      <c r="PAS287" s="1132" t="n"/>
      <c r="PAT287" s="1132" t="n"/>
      <c r="PAU287" s="1132" t="n"/>
      <c r="PAV287" s="1132" t="n"/>
      <c r="PAW287" s="1132" t="n"/>
      <c r="PAX287" s="1132" t="n"/>
      <c r="PAY287" s="1132" t="n"/>
      <c r="PAZ287" s="1132" t="n"/>
      <c r="PBA287" s="1132" t="n"/>
      <c r="PBB287" s="1132" t="n"/>
      <c r="PBC287" s="1132" t="n"/>
      <c r="PBD287" s="1132" t="n"/>
      <c r="PBE287" s="1132" t="n"/>
      <c r="PBF287" s="1132" t="n"/>
      <c r="PBG287" s="1132" t="n"/>
      <c r="PBH287" s="1132" t="n"/>
      <c r="PBI287" s="1132" t="n"/>
      <c r="PBJ287" s="1132" t="n"/>
      <c r="PBK287" s="1132" t="n"/>
      <c r="PBL287" s="1132" t="n"/>
      <c r="PBM287" s="1132" t="n"/>
      <c r="PBN287" s="1132" t="n"/>
      <c r="PBO287" s="1132" t="n"/>
      <c r="PBP287" s="1132" t="n"/>
      <c r="PBQ287" s="1132" t="n"/>
      <c r="PBR287" s="1132" t="n"/>
      <c r="PBS287" s="1132" t="n"/>
      <c r="PBT287" s="1132" t="n"/>
      <c r="PBU287" s="1132" t="n"/>
      <c r="PBV287" s="1132" t="n"/>
      <c r="PBW287" s="1132" t="n"/>
      <c r="PBX287" s="1132" t="n"/>
      <c r="PBY287" s="1132" t="n"/>
      <c r="PBZ287" s="1132" t="n"/>
      <c r="PCA287" s="1132" t="n"/>
      <c r="PCB287" s="1132" t="n"/>
      <c r="PCC287" s="1132" t="n"/>
      <c r="PCD287" s="1132" t="n"/>
      <c r="PCE287" s="1132" t="n"/>
      <c r="PCF287" s="1132" t="n"/>
      <c r="PCG287" s="1132" t="n"/>
      <c r="PCH287" s="1132" t="n"/>
      <c r="PCI287" s="1132" t="n"/>
      <c r="PCJ287" s="1132" t="n"/>
      <c r="PCK287" s="1132" t="n"/>
      <c r="PCL287" s="1132" t="n"/>
      <c r="PCM287" s="1132" t="n"/>
      <c r="PCN287" s="1132" t="n"/>
      <c r="PCO287" s="1132" t="n"/>
      <c r="PCP287" s="1132" t="n"/>
      <c r="PCQ287" s="1132" t="n"/>
      <c r="PCR287" s="1132" t="n"/>
      <c r="PCS287" s="1132" t="n"/>
      <c r="PCT287" s="1132" t="n"/>
      <c r="PCU287" s="1132" t="n"/>
      <c r="PCV287" s="1132" t="n"/>
      <c r="PCW287" s="1132" t="n"/>
      <c r="PCX287" s="1132" t="n"/>
      <c r="PCY287" s="1132" t="n"/>
      <c r="PCZ287" s="1132" t="n"/>
      <c r="PDA287" s="1132" t="n"/>
      <c r="PDB287" s="1132" t="n"/>
      <c r="PDC287" s="1132" t="n"/>
      <c r="PDD287" s="1132" t="n"/>
      <c r="PDE287" s="1132" t="n"/>
      <c r="PDF287" s="1132" t="n"/>
      <c r="PDG287" s="1132" t="n"/>
      <c r="PDH287" s="1132" t="n"/>
      <c r="PDI287" s="1132" t="n"/>
      <c r="PDJ287" s="1132" t="n"/>
      <c r="PDK287" s="1132" t="n"/>
      <c r="PDL287" s="1132" t="n"/>
      <c r="PDM287" s="1132" t="n"/>
      <c r="PDN287" s="1132" t="n"/>
      <c r="PDO287" s="1132" t="n"/>
      <c r="PDP287" s="1132" t="n"/>
      <c r="PDQ287" s="1132" t="n"/>
      <c r="PDR287" s="1132" t="n"/>
      <c r="PDS287" s="1132" t="n"/>
      <c r="PDT287" s="1132" t="n"/>
      <c r="PDU287" s="1132" t="n"/>
      <c r="PDV287" s="1132" t="n"/>
      <c r="PDW287" s="1132" t="n"/>
      <c r="PDX287" s="1132" t="n"/>
      <c r="PDY287" s="1132" t="n"/>
      <c r="PDZ287" s="1132" t="n"/>
      <c r="PEA287" s="1132" t="n"/>
      <c r="PEB287" s="1132" t="n"/>
      <c r="PEC287" s="1132" t="n"/>
      <c r="PED287" s="1132" t="n"/>
      <c r="PEE287" s="1132" t="n"/>
      <c r="PEF287" s="1132" t="n"/>
      <c r="PEG287" s="1132" t="n"/>
      <c r="PEH287" s="1132" t="n"/>
      <c r="PEI287" s="1132" t="n"/>
      <c r="PEJ287" s="1132" t="n"/>
      <c r="PEK287" s="1132" t="n"/>
      <c r="PEL287" s="1132" t="n"/>
      <c r="PEM287" s="1132" t="n"/>
      <c r="PEN287" s="1132" t="n"/>
      <c r="PEO287" s="1132" t="n"/>
      <c r="PEP287" s="1132" t="n"/>
      <c r="PEQ287" s="1132" t="n"/>
      <c r="PER287" s="1132" t="n"/>
      <c r="PES287" s="1132" t="n"/>
      <c r="PET287" s="1132" t="n"/>
      <c r="PEU287" s="1132" t="n"/>
      <c r="PEV287" s="1132" t="n"/>
      <c r="PEW287" s="1132" t="n"/>
      <c r="PEX287" s="1132" t="n"/>
      <c r="PEY287" s="1132" t="n"/>
      <c r="PEZ287" s="1132" t="n"/>
      <c r="PFA287" s="1132" t="n"/>
      <c r="PFB287" s="1132" t="n"/>
      <c r="PFC287" s="1132" t="n"/>
      <c r="PFD287" s="1132" t="n"/>
      <c r="PFE287" s="1132" t="n"/>
      <c r="PFF287" s="1132" t="n"/>
      <c r="PFG287" s="1132" t="n"/>
      <c r="PFH287" s="1132" t="n"/>
      <c r="PFI287" s="1132" t="n"/>
      <c r="PFJ287" s="1132" t="n"/>
      <c r="PFK287" s="1132" t="n"/>
      <c r="PFL287" s="1132" t="n"/>
      <c r="PFM287" s="1132" t="n"/>
      <c r="PFN287" s="1132" t="n"/>
      <c r="PFO287" s="1132" t="n"/>
      <c r="PFP287" s="1132" t="n"/>
      <c r="PFQ287" s="1132" t="n"/>
      <c r="PFR287" s="1132" t="n"/>
      <c r="PFS287" s="1132" t="n"/>
      <c r="PFT287" s="1132" t="n"/>
      <c r="PFU287" s="1132" t="n"/>
      <c r="PFV287" s="1132" t="n"/>
      <c r="PFW287" s="1132" t="n"/>
      <c r="PFX287" s="1132" t="n"/>
      <c r="PFY287" s="1132" t="n"/>
      <c r="PFZ287" s="1132" t="n"/>
      <c r="PGA287" s="1132" t="n"/>
      <c r="PGB287" s="1132" t="n"/>
      <c r="PGC287" s="1132" t="n"/>
      <c r="PGD287" s="1132" t="n"/>
      <c r="PGE287" s="1132" t="n"/>
      <c r="PGF287" s="1132" t="n"/>
      <c r="PGG287" s="1132" t="n"/>
      <c r="PGH287" s="1132" t="n"/>
      <c r="PGI287" s="1132" t="n"/>
      <c r="PGJ287" s="1132" t="n"/>
      <c r="PGK287" s="1132" t="n"/>
      <c r="PGL287" s="1132" t="n"/>
      <c r="PGM287" s="1132" t="n"/>
      <c r="PGN287" s="1132" t="n"/>
      <c r="PGO287" s="1132" t="n"/>
      <c r="PGP287" s="1132" t="n"/>
      <c r="PGQ287" s="1132" t="n"/>
      <c r="PGR287" s="1132" t="n"/>
      <c r="PGS287" s="1132" t="n"/>
      <c r="PGT287" s="1132" t="n"/>
      <c r="PGU287" s="1132" t="n"/>
      <c r="PGV287" s="1132" t="n"/>
      <c r="PGW287" s="1132" t="n"/>
      <c r="PGX287" s="1132" t="n"/>
      <c r="PGY287" s="1132" t="n"/>
      <c r="PGZ287" s="1132" t="n"/>
      <c r="PHA287" s="1132" t="n"/>
      <c r="PHB287" s="1132" t="n"/>
      <c r="PHC287" s="1132" t="n"/>
      <c r="PHD287" s="1132" t="n"/>
      <c r="PHE287" s="1132" t="n"/>
      <c r="PHF287" s="1132" t="n"/>
      <c r="PHG287" s="1132" t="n"/>
      <c r="PHH287" s="1132" t="n"/>
      <c r="PHI287" s="1132" t="n"/>
      <c r="PHJ287" s="1132" t="n"/>
      <c r="PHK287" s="1132" t="n"/>
      <c r="PHL287" s="1132" t="n"/>
      <c r="PHM287" s="1132" t="n"/>
      <c r="PHN287" s="1132" t="n"/>
      <c r="PHO287" s="1132" t="n"/>
      <c r="PHP287" s="1132" t="n"/>
      <c r="PHQ287" s="1132" t="n"/>
      <c r="PHR287" s="1132" t="n"/>
      <c r="PHS287" s="1132" t="n"/>
      <c r="PHT287" s="1132" t="n"/>
      <c r="PHU287" s="1132" t="n"/>
      <c r="PHV287" s="1132" t="n"/>
      <c r="PHW287" s="1132" t="n"/>
      <c r="PHX287" s="1132" t="n"/>
      <c r="PHY287" s="1132" t="n"/>
      <c r="PHZ287" s="1132" t="n"/>
      <c r="PIA287" s="1132" t="n"/>
      <c r="PIB287" s="1132" t="n"/>
      <c r="PIC287" s="1132" t="n"/>
      <c r="PID287" s="1132" t="n"/>
      <c r="PIE287" s="1132" t="n"/>
      <c r="PIF287" s="1132" t="n"/>
      <c r="PIG287" s="1132" t="n"/>
      <c r="PIH287" s="1132" t="n"/>
      <c r="PII287" s="1132" t="n"/>
      <c r="PIJ287" s="1132" t="n"/>
      <c r="PIK287" s="1132" t="n"/>
      <c r="PIL287" s="1132" t="n"/>
      <c r="PIM287" s="1132" t="n"/>
      <c r="PIN287" s="1132" t="n"/>
      <c r="PIO287" s="1132" t="n"/>
      <c r="PIP287" s="1132" t="n"/>
      <c r="PIQ287" s="1132" t="n"/>
      <c r="PIR287" s="1132" t="n"/>
      <c r="PIS287" s="1132" t="n"/>
      <c r="PIT287" s="1132" t="n"/>
      <c r="PIU287" s="1132" t="n"/>
      <c r="PIV287" s="1132" t="n"/>
      <c r="PIW287" s="1132" t="n"/>
      <c r="PIX287" s="1132" t="n"/>
      <c r="PIY287" s="1132" t="n"/>
      <c r="PIZ287" s="1132" t="n"/>
      <c r="PJA287" s="1132" t="n"/>
      <c r="PJB287" s="1132" t="n"/>
      <c r="PJC287" s="1132" t="n"/>
      <c r="PJD287" s="1132" t="n"/>
      <c r="PJE287" s="1132" t="n"/>
      <c r="PJF287" s="1132" t="n"/>
      <c r="PJG287" s="1132" t="n"/>
      <c r="PJH287" s="1132" t="n"/>
      <c r="PJI287" s="1132" t="n"/>
      <c r="PJJ287" s="1132" t="n"/>
      <c r="PJK287" s="1132" t="n"/>
      <c r="PJL287" s="1132" t="n"/>
      <c r="PJM287" s="1132" t="n"/>
      <c r="PJN287" s="1132" t="n"/>
      <c r="PJO287" s="1132" t="n"/>
      <c r="PJP287" s="1132" t="n"/>
      <c r="PJQ287" s="1132" t="n"/>
      <c r="PJR287" s="1132" t="n"/>
      <c r="PJS287" s="1132" t="n"/>
      <c r="PJT287" s="1132" t="n"/>
      <c r="PJU287" s="1132" t="n"/>
      <c r="PJV287" s="1132" t="n"/>
      <c r="PJW287" s="1132" t="n"/>
      <c r="PJX287" s="1132" t="n"/>
      <c r="PJY287" s="1132" t="n"/>
      <c r="PJZ287" s="1132" t="n"/>
      <c r="PKA287" s="1132" t="n"/>
      <c r="PKB287" s="1132" t="n"/>
      <c r="PKC287" s="1132" t="n"/>
      <c r="PKD287" s="1132" t="n"/>
      <c r="PKE287" s="1132" t="n"/>
      <c r="PKF287" s="1132" t="n"/>
      <c r="PKG287" s="1132" t="n"/>
      <c r="PKH287" s="1132" t="n"/>
      <c r="PKI287" s="1132" t="n"/>
      <c r="PKJ287" s="1132" t="n"/>
      <c r="PKK287" s="1132" t="n"/>
      <c r="PKL287" s="1132" t="n"/>
      <c r="PKM287" s="1132" t="n"/>
      <c r="PKN287" s="1132" t="n"/>
      <c r="PKO287" s="1132" t="n"/>
      <c r="PKP287" s="1132" t="n"/>
      <c r="PKQ287" s="1132" t="n"/>
      <c r="PKR287" s="1132" t="n"/>
      <c r="PKS287" s="1132" t="n"/>
      <c r="PKT287" s="1132" t="n"/>
      <c r="PKU287" s="1132" t="n"/>
      <c r="PKV287" s="1132" t="n"/>
      <c r="PKW287" s="1132" t="n"/>
      <c r="PKX287" s="1132" t="n"/>
      <c r="PKY287" s="1132" t="n"/>
      <c r="PKZ287" s="1132" t="n"/>
      <c r="PLA287" s="1132" t="n"/>
      <c r="PLB287" s="1132" t="n"/>
      <c r="PLC287" s="1132" t="n"/>
      <c r="PLD287" s="1132" t="n"/>
      <c r="PLE287" s="1132" t="n"/>
      <c r="PLF287" s="1132" t="n"/>
      <c r="PLG287" s="1132" t="n"/>
      <c r="PLH287" s="1132" t="n"/>
      <c r="PLI287" s="1132" t="n"/>
      <c r="PLJ287" s="1132" t="n"/>
      <c r="PLK287" s="1132" t="n"/>
      <c r="PLL287" s="1132" t="n"/>
      <c r="PLM287" s="1132" t="n"/>
      <c r="PLN287" s="1132" t="n"/>
      <c r="PLO287" s="1132" t="n"/>
      <c r="PLP287" s="1132" t="n"/>
      <c r="PLQ287" s="1132" t="n"/>
      <c r="PLR287" s="1132" t="n"/>
      <c r="PLS287" s="1132" t="n"/>
      <c r="PLT287" s="1132" t="n"/>
      <c r="PLU287" s="1132" t="n"/>
      <c r="PLV287" s="1132" t="n"/>
      <c r="PLW287" s="1132" t="n"/>
      <c r="PLX287" s="1132" t="n"/>
      <c r="PLY287" s="1132" t="n"/>
      <c r="PLZ287" s="1132" t="n"/>
      <c r="PMA287" s="1132" t="n"/>
      <c r="PMB287" s="1132" t="n"/>
      <c r="PMC287" s="1132" t="n"/>
      <c r="PMD287" s="1132" t="n"/>
      <c r="PME287" s="1132" t="n"/>
      <c r="PMF287" s="1132" t="n"/>
      <c r="PMG287" s="1132" t="n"/>
      <c r="PMH287" s="1132" t="n"/>
      <c r="PMI287" s="1132" t="n"/>
      <c r="PMJ287" s="1132" t="n"/>
      <c r="PMK287" s="1132" t="n"/>
      <c r="PML287" s="1132" t="n"/>
      <c r="PMM287" s="1132" t="n"/>
      <c r="PMN287" s="1132" t="n"/>
      <c r="PMO287" s="1132" t="n"/>
      <c r="PMP287" s="1132" t="n"/>
      <c r="PMQ287" s="1132" t="n"/>
      <c r="PMR287" s="1132" t="n"/>
      <c r="PMS287" s="1132" t="n"/>
      <c r="PMT287" s="1132" t="n"/>
      <c r="PMU287" s="1132" t="n"/>
      <c r="PMV287" s="1132" t="n"/>
      <c r="PMW287" s="1132" t="n"/>
      <c r="PMX287" s="1132" t="n"/>
      <c r="PMY287" s="1132" t="n"/>
      <c r="PMZ287" s="1132" t="n"/>
      <c r="PNA287" s="1132" t="n"/>
      <c r="PNB287" s="1132" t="n"/>
      <c r="PNC287" s="1132" t="n"/>
      <c r="PND287" s="1132" t="n"/>
      <c r="PNE287" s="1132" t="n"/>
      <c r="PNF287" s="1132" t="n"/>
      <c r="PNG287" s="1132" t="n"/>
      <c r="PNH287" s="1132" t="n"/>
      <c r="PNI287" s="1132" t="n"/>
      <c r="PNJ287" s="1132" t="n"/>
      <c r="PNK287" s="1132" t="n"/>
      <c r="PNL287" s="1132" t="n"/>
      <c r="PNM287" s="1132" t="n"/>
      <c r="PNN287" s="1132" t="n"/>
      <c r="PNO287" s="1132" t="n"/>
      <c r="PNP287" s="1132" t="n"/>
      <c r="PNQ287" s="1132" t="n"/>
      <c r="PNR287" s="1132" t="n"/>
      <c r="PNS287" s="1132" t="n"/>
      <c r="PNT287" s="1132" t="n"/>
      <c r="PNU287" s="1132" t="n"/>
      <c r="PNV287" s="1132" t="n"/>
      <c r="PNW287" s="1132" t="n"/>
      <c r="PNX287" s="1132" t="n"/>
      <c r="PNY287" s="1132" t="n"/>
      <c r="PNZ287" s="1132" t="n"/>
      <c r="POA287" s="1132" t="n"/>
      <c r="POB287" s="1132" t="n"/>
      <c r="POC287" s="1132" t="n"/>
      <c r="POD287" s="1132" t="n"/>
      <c r="POE287" s="1132" t="n"/>
      <c r="POF287" s="1132" t="n"/>
      <c r="POG287" s="1132" t="n"/>
      <c r="POH287" s="1132" t="n"/>
      <c r="POI287" s="1132" t="n"/>
      <c r="POJ287" s="1132" t="n"/>
      <c r="POK287" s="1132" t="n"/>
      <c r="POL287" s="1132" t="n"/>
      <c r="POM287" s="1132" t="n"/>
      <c r="PON287" s="1132" t="n"/>
      <c r="POO287" s="1132" t="n"/>
      <c r="POP287" s="1132" t="n"/>
      <c r="POQ287" s="1132" t="n"/>
      <c r="POR287" s="1132" t="n"/>
      <c r="POS287" s="1132" t="n"/>
      <c r="POT287" s="1132" t="n"/>
      <c r="POU287" s="1132" t="n"/>
      <c r="POV287" s="1132" t="n"/>
      <c r="POW287" s="1132" t="n"/>
      <c r="POX287" s="1132" t="n"/>
      <c r="POY287" s="1132" t="n"/>
      <c r="POZ287" s="1132" t="n"/>
      <c r="PPA287" s="1132" t="n"/>
      <c r="PPB287" s="1132" t="n"/>
      <c r="PPC287" s="1132" t="n"/>
      <c r="PPD287" s="1132" t="n"/>
      <c r="PPE287" s="1132" t="n"/>
      <c r="PPF287" s="1132" t="n"/>
      <c r="PPG287" s="1132" t="n"/>
      <c r="PPH287" s="1132" t="n"/>
      <c r="PPI287" s="1132" t="n"/>
      <c r="PPJ287" s="1132" t="n"/>
      <c r="PPK287" s="1132" t="n"/>
      <c r="PPL287" s="1132" t="n"/>
      <c r="PPM287" s="1132" t="n"/>
      <c r="PPN287" s="1132" t="n"/>
      <c r="PPO287" s="1132" t="n"/>
      <c r="PPP287" s="1132" t="n"/>
      <c r="PPQ287" s="1132" t="n"/>
      <c r="PPR287" s="1132" t="n"/>
      <c r="PPS287" s="1132" t="n"/>
      <c r="PPT287" s="1132" t="n"/>
      <c r="PPU287" s="1132" t="n"/>
      <c r="PPV287" s="1132" t="n"/>
      <c r="PPW287" s="1132" t="n"/>
      <c r="PPX287" s="1132" t="n"/>
      <c r="PPY287" s="1132" t="n"/>
      <c r="PPZ287" s="1132" t="n"/>
      <c r="PQA287" s="1132" t="n"/>
      <c r="PQB287" s="1132" t="n"/>
      <c r="PQC287" s="1132" t="n"/>
      <c r="PQD287" s="1132" t="n"/>
      <c r="PQE287" s="1132" t="n"/>
      <c r="PQF287" s="1132" t="n"/>
      <c r="PQG287" s="1132" t="n"/>
      <c r="PQH287" s="1132" t="n"/>
      <c r="PQI287" s="1132" t="n"/>
      <c r="PQJ287" s="1132" t="n"/>
      <c r="PQK287" s="1132" t="n"/>
      <c r="PQL287" s="1132" t="n"/>
      <c r="PQM287" s="1132" t="n"/>
      <c r="PQN287" s="1132" t="n"/>
      <c r="PQO287" s="1132" t="n"/>
      <c r="PQP287" s="1132" t="n"/>
      <c r="PQQ287" s="1132" t="n"/>
      <c r="PQR287" s="1132" t="n"/>
      <c r="PQS287" s="1132" t="n"/>
      <c r="PQT287" s="1132" t="n"/>
      <c r="PQU287" s="1132" t="n"/>
      <c r="PQV287" s="1132" t="n"/>
      <c r="PQW287" s="1132" t="n"/>
      <c r="PQX287" s="1132" t="n"/>
      <c r="PQY287" s="1132" t="n"/>
      <c r="PQZ287" s="1132" t="n"/>
      <c r="PRA287" s="1132" t="n"/>
      <c r="PRB287" s="1132" t="n"/>
      <c r="PRC287" s="1132" t="n"/>
      <c r="PRD287" s="1132" t="n"/>
      <c r="PRE287" s="1132" t="n"/>
      <c r="PRF287" s="1132" t="n"/>
      <c r="PRG287" s="1132" t="n"/>
      <c r="PRH287" s="1132" t="n"/>
      <c r="PRI287" s="1132" t="n"/>
      <c r="PRJ287" s="1132" t="n"/>
      <c r="PRK287" s="1132" t="n"/>
      <c r="PRL287" s="1132" t="n"/>
      <c r="PRM287" s="1132" t="n"/>
      <c r="PRN287" s="1132" t="n"/>
      <c r="PRO287" s="1132" t="n"/>
      <c r="PRP287" s="1132" t="n"/>
      <c r="PRQ287" s="1132" t="n"/>
      <c r="PRR287" s="1132" t="n"/>
      <c r="PRS287" s="1132" t="n"/>
      <c r="PRT287" s="1132" t="n"/>
      <c r="PRU287" s="1132" t="n"/>
      <c r="PRV287" s="1132" t="n"/>
      <c r="PRW287" s="1132" t="n"/>
      <c r="PRX287" s="1132" t="n"/>
      <c r="PRY287" s="1132" t="n"/>
      <c r="PRZ287" s="1132" t="n"/>
      <c r="PSA287" s="1132" t="n"/>
      <c r="PSB287" s="1132" t="n"/>
      <c r="PSC287" s="1132" t="n"/>
      <c r="PSD287" s="1132" t="n"/>
      <c r="PSE287" s="1132" t="n"/>
      <c r="PSF287" s="1132" t="n"/>
      <c r="PSG287" s="1132" t="n"/>
      <c r="PSH287" s="1132" t="n"/>
      <c r="PSI287" s="1132" t="n"/>
      <c r="PSJ287" s="1132" t="n"/>
      <c r="PSK287" s="1132" t="n"/>
      <c r="PSL287" s="1132" t="n"/>
      <c r="PSM287" s="1132" t="n"/>
      <c r="PSN287" s="1132" t="n"/>
      <c r="PSO287" s="1132" t="n"/>
      <c r="PSP287" s="1132" t="n"/>
      <c r="PSQ287" s="1132" t="n"/>
      <c r="PSR287" s="1132" t="n"/>
      <c r="PSS287" s="1132" t="n"/>
      <c r="PST287" s="1132" t="n"/>
      <c r="PSU287" s="1132" t="n"/>
      <c r="PSV287" s="1132" t="n"/>
      <c r="PSW287" s="1132" t="n"/>
      <c r="PSX287" s="1132" t="n"/>
      <c r="PSY287" s="1132" t="n"/>
      <c r="PSZ287" s="1132" t="n"/>
      <c r="PTA287" s="1132" t="n"/>
      <c r="PTB287" s="1132" t="n"/>
      <c r="PTC287" s="1132" t="n"/>
      <c r="PTD287" s="1132" t="n"/>
      <c r="PTE287" s="1132" t="n"/>
      <c r="PTF287" s="1132" t="n"/>
      <c r="PTG287" s="1132" t="n"/>
      <c r="PTH287" s="1132" t="n"/>
      <c r="PTI287" s="1132" t="n"/>
      <c r="PTJ287" s="1132" t="n"/>
      <c r="PTK287" s="1132" t="n"/>
      <c r="PTL287" s="1132" t="n"/>
      <c r="PTM287" s="1132" t="n"/>
      <c r="PTN287" s="1132" t="n"/>
      <c r="PTO287" s="1132" t="n"/>
      <c r="PTP287" s="1132" t="n"/>
      <c r="PTQ287" s="1132" t="n"/>
      <c r="PTR287" s="1132" t="n"/>
      <c r="PTS287" s="1132" t="n"/>
      <c r="PTT287" s="1132" t="n"/>
      <c r="PTU287" s="1132" t="n"/>
      <c r="PTV287" s="1132" t="n"/>
      <c r="PTW287" s="1132" t="n"/>
      <c r="PTX287" s="1132" t="n"/>
      <c r="PTY287" s="1132" t="n"/>
      <c r="PTZ287" s="1132" t="n"/>
      <c r="PUA287" s="1132" t="n"/>
      <c r="PUB287" s="1132" t="n"/>
      <c r="PUC287" s="1132" t="n"/>
      <c r="PUD287" s="1132" t="n"/>
      <c r="PUE287" s="1132" t="n"/>
      <c r="PUF287" s="1132" t="n"/>
      <c r="PUG287" s="1132" t="n"/>
      <c r="PUH287" s="1132" t="n"/>
      <c r="PUI287" s="1132" t="n"/>
      <c r="PUJ287" s="1132" t="n"/>
      <c r="PUK287" s="1132" t="n"/>
      <c r="PUL287" s="1132" t="n"/>
      <c r="PUM287" s="1132" t="n"/>
      <c r="PUN287" s="1132" t="n"/>
      <c r="PUO287" s="1132" t="n"/>
      <c r="PUP287" s="1132" t="n"/>
      <c r="PUQ287" s="1132" t="n"/>
      <c r="PUR287" s="1132" t="n"/>
      <c r="PUS287" s="1132" t="n"/>
      <c r="PUT287" s="1132" t="n"/>
      <c r="PUU287" s="1132" t="n"/>
      <c r="PUV287" s="1132" t="n"/>
      <c r="PUW287" s="1132" t="n"/>
      <c r="PUX287" s="1132" t="n"/>
      <c r="PUY287" s="1132" t="n"/>
      <c r="PUZ287" s="1132" t="n"/>
      <c r="PVA287" s="1132" t="n"/>
      <c r="PVB287" s="1132" t="n"/>
      <c r="PVC287" s="1132" t="n"/>
      <c r="PVD287" s="1132" t="n"/>
      <c r="PVE287" s="1132" t="n"/>
      <c r="PVF287" s="1132" t="n"/>
      <c r="PVG287" s="1132" t="n"/>
      <c r="PVH287" s="1132" t="n"/>
      <c r="PVI287" s="1132" t="n"/>
      <c r="PVJ287" s="1132" t="n"/>
      <c r="PVK287" s="1132" t="n"/>
      <c r="PVL287" s="1132" t="n"/>
      <c r="PVM287" s="1132" t="n"/>
      <c r="PVN287" s="1132" t="n"/>
      <c r="PVO287" s="1132" t="n"/>
      <c r="PVP287" s="1132" t="n"/>
      <c r="PVQ287" s="1132" t="n"/>
      <c r="PVR287" s="1132" t="n"/>
      <c r="PVS287" s="1132" t="n"/>
      <c r="PVT287" s="1132" t="n"/>
      <c r="PVU287" s="1132" t="n"/>
      <c r="PVV287" s="1132" t="n"/>
      <c r="PVW287" s="1132" t="n"/>
      <c r="PVX287" s="1132" t="n"/>
      <c r="PVY287" s="1132" t="n"/>
      <c r="PVZ287" s="1132" t="n"/>
      <c r="PWA287" s="1132" t="n"/>
      <c r="PWB287" s="1132" t="n"/>
      <c r="PWC287" s="1132" t="n"/>
      <c r="PWD287" s="1132" t="n"/>
      <c r="PWE287" s="1132" t="n"/>
      <c r="PWF287" s="1132" t="n"/>
      <c r="PWG287" s="1132" t="n"/>
      <c r="PWH287" s="1132" t="n"/>
      <c r="PWI287" s="1132" t="n"/>
      <c r="PWJ287" s="1132" t="n"/>
      <c r="PWK287" s="1132" t="n"/>
      <c r="PWL287" s="1132" t="n"/>
      <c r="PWM287" s="1132" t="n"/>
      <c r="PWN287" s="1132" t="n"/>
      <c r="PWO287" s="1132" t="n"/>
      <c r="PWP287" s="1132" t="n"/>
      <c r="PWQ287" s="1132" t="n"/>
      <c r="PWR287" s="1132" t="n"/>
      <c r="PWS287" s="1132" t="n"/>
      <c r="PWT287" s="1132" t="n"/>
      <c r="PWU287" s="1132" t="n"/>
      <c r="PWV287" s="1132" t="n"/>
      <c r="PWW287" s="1132" t="n"/>
      <c r="PWX287" s="1132" t="n"/>
      <c r="PWY287" s="1132" t="n"/>
      <c r="PWZ287" s="1132" t="n"/>
      <c r="PXA287" s="1132" t="n"/>
      <c r="PXB287" s="1132" t="n"/>
      <c r="PXC287" s="1132" t="n"/>
      <c r="PXD287" s="1132" t="n"/>
      <c r="PXE287" s="1132" t="n"/>
      <c r="PXF287" s="1132" t="n"/>
      <c r="PXG287" s="1132" t="n"/>
      <c r="PXH287" s="1132" t="n"/>
      <c r="PXI287" s="1132" t="n"/>
      <c r="PXJ287" s="1132" t="n"/>
      <c r="PXK287" s="1132" t="n"/>
      <c r="PXL287" s="1132" t="n"/>
      <c r="PXM287" s="1132" t="n"/>
      <c r="PXN287" s="1132" t="n"/>
      <c r="PXO287" s="1132" t="n"/>
      <c r="PXP287" s="1132" t="n"/>
      <c r="PXQ287" s="1132" t="n"/>
      <c r="PXR287" s="1132" t="n"/>
      <c r="PXS287" s="1132" t="n"/>
      <c r="PXT287" s="1132" t="n"/>
      <c r="PXU287" s="1132" t="n"/>
      <c r="PXV287" s="1132" t="n"/>
      <c r="PXW287" s="1132" t="n"/>
      <c r="PXX287" s="1132" t="n"/>
      <c r="PXY287" s="1132" t="n"/>
      <c r="PXZ287" s="1132" t="n"/>
      <c r="PYA287" s="1132" t="n"/>
      <c r="PYB287" s="1132" t="n"/>
      <c r="PYC287" s="1132" t="n"/>
      <c r="PYD287" s="1132" t="n"/>
      <c r="PYE287" s="1132" t="n"/>
      <c r="PYF287" s="1132" t="n"/>
      <c r="PYG287" s="1132" t="n"/>
      <c r="PYH287" s="1132" t="n"/>
      <c r="PYI287" s="1132" t="n"/>
      <c r="PYJ287" s="1132" t="n"/>
      <c r="PYK287" s="1132" t="n"/>
      <c r="PYL287" s="1132" t="n"/>
      <c r="PYM287" s="1132" t="n"/>
      <c r="PYN287" s="1132" t="n"/>
      <c r="PYO287" s="1132" t="n"/>
      <c r="PYP287" s="1132" t="n"/>
      <c r="PYQ287" s="1132" t="n"/>
      <c r="PYR287" s="1132" t="n"/>
      <c r="PYS287" s="1132" t="n"/>
      <c r="PYT287" s="1132" t="n"/>
      <c r="PYU287" s="1132" t="n"/>
      <c r="PYV287" s="1132" t="n"/>
      <c r="PYW287" s="1132" t="n"/>
      <c r="PYX287" s="1132" t="n"/>
      <c r="PYY287" s="1132" t="n"/>
      <c r="PYZ287" s="1132" t="n"/>
      <c r="PZA287" s="1132" t="n"/>
      <c r="PZB287" s="1132" t="n"/>
      <c r="PZC287" s="1132" t="n"/>
      <c r="PZD287" s="1132" t="n"/>
      <c r="PZE287" s="1132" t="n"/>
      <c r="PZF287" s="1132" t="n"/>
      <c r="PZG287" s="1132" t="n"/>
      <c r="PZH287" s="1132" t="n"/>
      <c r="PZI287" s="1132" t="n"/>
      <c r="PZJ287" s="1132" t="n"/>
      <c r="PZK287" s="1132" t="n"/>
      <c r="PZL287" s="1132" t="n"/>
      <c r="PZM287" s="1132" t="n"/>
      <c r="PZN287" s="1132" t="n"/>
      <c r="PZO287" s="1132" t="n"/>
      <c r="PZP287" s="1132" t="n"/>
      <c r="PZQ287" s="1132" t="n"/>
      <c r="PZR287" s="1132" t="n"/>
      <c r="PZS287" s="1132" t="n"/>
      <c r="PZT287" s="1132" t="n"/>
      <c r="PZU287" s="1132" t="n"/>
      <c r="PZV287" s="1132" t="n"/>
      <c r="PZW287" s="1132" t="n"/>
      <c r="PZX287" s="1132" t="n"/>
      <c r="PZY287" s="1132" t="n"/>
      <c r="PZZ287" s="1132" t="n"/>
      <c r="QAA287" s="1132" t="n"/>
      <c r="QAB287" s="1132" t="n"/>
      <c r="QAC287" s="1132" t="n"/>
      <c r="QAD287" s="1132" t="n"/>
      <c r="QAE287" s="1132" t="n"/>
      <c r="QAF287" s="1132" t="n"/>
      <c r="QAG287" s="1132" t="n"/>
      <c r="QAH287" s="1132" t="n"/>
      <c r="QAI287" s="1132" t="n"/>
      <c r="QAJ287" s="1132" t="n"/>
      <c r="QAK287" s="1132" t="n"/>
      <c r="QAL287" s="1132" t="n"/>
      <c r="QAM287" s="1132" t="n"/>
      <c r="QAN287" s="1132" t="n"/>
      <c r="QAO287" s="1132" t="n"/>
      <c r="QAP287" s="1132" t="n"/>
      <c r="QAQ287" s="1132" t="n"/>
      <c r="QAR287" s="1132" t="n"/>
      <c r="QAS287" s="1132" t="n"/>
      <c r="QAT287" s="1132" t="n"/>
      <c r="QAU287" s="1132" t="n"/>
      <c r="QAV287" s="1132" t="n"/>
      <c r="QAW287" s="1132" t="n"/>
      <c r="QAX287" s="1132" t="n"/>
      <c r="QAY287" s="1132" t="n"/>
      <c r="QAZ287" s="1132" t="n"/>
      <c r="QBA287" s="1132" t="n"/>
      <c r="QBB287" s="1132" t="n"/>
      <c r="QBC287" s="1132" t="n"/>
      <c r="QBD287" s="1132" t="n"/>
      <c r="QBE287" s="1132" t="n"/>
      <c r="QBF287" s="1132" t="n"/>
      <c r="QBG287" s="1132" t="n"/>
      <c r="QBH287" s="1132" t="n"/>
      <c r="QBI287" s="1132" t="n"/>
      <c r="QBJ287" s="1132" t="n"/>
      <c r="QBK287" s="1132" t="n"/>
      <c r="QBL287" s="1132" t="n"/>
      <c r="QBM287" s="1132" t="n"/>
      <c r="QBN287" s="1132" t="n"/>
      <c r="QBO287" s="1132" t="n"/>
      <c r="QBP287" s="1132" t="n"/>
      <c r="QBQ287" s="1132" t="n"/>
      <c r="QBR287" s="1132" t="n"/>
      <c r="QBS287" s="1132" t="n"/>
      <c r="QBT287" s="1132" t="n"/>
      <c r="QBU287" s="1132" t="n"/>
      <c r="QBV287" s="1132" t="n"/>
      <c r="QBW287" s="1132" t="n"/>
      <c r="QBX287" s="1132" t="n"/>
      <c r="QBY287" s="1132" t="n"/>
      <c r="QBZ287" s="1132" t="n"/>
      <c r="QCA287" s="1132" t="n"/>
      <c r="QCB287" s="1132" t="n"/>
      <c r="QCC287" s="1132" t="n"/>
      <c r="QCD287" s="1132" t="n"/>
      <c r="QCE287" s="1132" t="n"/>
      <c r="QCF287" s="1132" t="n"/>
      <c r="QCG287" s="1132" t="n"/>
      <c r="QCH287" s="1132" t="n"/>
      <c r="QCI287" s="1132" t="n"/>
      <c r="QCJ287" s="1132" t="n"/>
      <c r="QCK287" s="1132" t="n"/>
      <c r="QCL287" s="1132" t="n"/>
      <c r="QCM287" s="1132" t="n"/>
      <c r="QCN287" s="1132" t="n"/>
      <c r="QCO287" s="1132" t="n"/>
      <c r="QCP287" s="1132" t="n"/>
      <c r="QCQ287" s="1132" t="n"/>
      <c r="QCR287" s="1132" t="n"/>
      <c r="QCS287" s="1132" t="n"/>
      <c r="QCT287" s="1132" t="n"/>
      <c r="QCU287" s="1132" t="n"/>
      <c r="QCV287" s="1132" t="n"/>
      <c r="QCW287" s="1132" t="n"/>
      <c r="QCX287" s="1132" t="n"/>
      <c r="QCY287" s="1132" t="n"/>
      <c r="QCZ287" s="1132" t="n"/>
      <c r="QDA287" s="1132" t="n"/>
      <c r="QDB287" s="1132" t="n"/>
      <c r="QDC287" s="1132" t="n"/>
      <c r="QDD287" s="1132" t="n"/>
      <c r="QDE287" s="1132" t="n"/>
      <c r="QDF287" s="1132" t="n"/>
      <c r="QDG287" s="1132" t="n"/>
      <c r="QDH287" s="1132" t="n"/>
      <c r="QDI287" s="1132" t="n"/>
      <c r="QDJ287" s="1132" t="n"/>
      <c r="QDK287" s="1132" t="n"/>
      <c r="QDL287" s="1132" t="n"/>
      <c r="QDM287" s="1132" t="n"/>
      <c r="QDN287" s="1132" t="n"/>
      <c r="QDO287" s="1132" t="n"/>
      <c r="QDP287" s="1132" t="n"/>
      <c r="QDQ287" s="1132" t="n"/>
      <c r="QDR287" s="1132" t="n"/>
      <c r="QDS287" s="1132" t="n"/>
      <c r="QDT287" s="1132" t="n"/>
      <c r="QDU287" s="1132" t="n"/>
      <c r="QDV287" s="1132" t="n"/>
      <c r="QDW287" s="1132" t="n"/>
      <c r="QDX287" s="1132" t="n"/>
      <c r="QDY287" s="1132" t="n"/>
      <c r="QDZ287" s="1132" t="n"/>
      <c r="QEA287" s="1132" t="n"/>
      <c r="QEB287" s="1132" t="n"/>
      <c r="QEC287" s="1132" t="n"/>
      <c r="QED287" s="1132" t="n"/>
      <c r="QEE287" s="1132" t="n"/>
      <c r="QEF287" s="1132" t="n"/>
      <c r="QEG287" s="1132" t="n"/>
      <c r="QEH287" s="1132" t="n"/>
      <c r="QEI287" s="1132" t="n"/>
      <c r="QEJ287" s="1132" t="n"/>
      <c r="QEK287" s="1132" t="n"/>
      <c r="QEL287" s="1132" t="n"/>
      <c r="QEM287" s="1132" t="n"/>
      <c r="QEN287" s="1132" t="n"/>
      <c r="QEO287" s="1132" t="n"/>
      <c r="QEP287" s="1132" t="n"/>
      <c r="QEQ287" s="1132" t="n"/>
      <c r="QER287" s="1132" t="n"/>
      <c r="QES287" s="1132" t="n"/>
      <c r="QET287" s="1132" t="n"/>
      <c r="QEU287" s="1132" t="n"/>
      <c r="QEV287" s="1132" t="n"/>
      <c r="QEW287" s="1132" t="n"/>
      <c r="QEX287" s="1132" t="n"/>
      <c r="QEY287" s="1132" t="n"/>
      <c r="QEZ287" s="1132" t="n"/>
      <c r="QFA287" s="1132" t="n"/>
      <c r="QFB287" s="1132" t="n"/>
      <c r="QFC287" s="1132" t="n"/>
      <c r="QFD287" s="1132" t="n"/>
      <c r="QFE287" s="1132" t="n"/>
      <c r="QFF287" s="1132" t="n"/>
      <c r="QFG287" s="1132" t="n"/>
      <c r="QFH287" s="1132" t="n"/>
      <c r="QFI287" s="1132" t="n"/>
      <c r="QFJ287" s="1132" t="n"/>
      <c r="QFK287" s="1132" t="n"/>
      <c r="QFL287" s="1132" t="n"/>
      <c r="QFM287" s="1132" t="n"/>
      <c r="QFN287" s="1132" t="n"/>
      <c r="QFO287" s="1132" t="n"/>
      <c r="QFP287" s="1132" t="n"/>
      <c r="QFQ287" s="1132" t="n"/>
      <c r="QFR287" s="1132" t="n"/>
      <c r="QFS287" s="1132" t="n"/>
      <c r="QFT287" s="1132" t="n"/>
      <c r="QFU287" s="1132" t="n"/>
      <c r="QFV287" s="1132" t="n"/>
      <c r="QFW287" s="1132" t="n"/>
      <c r="QFX287" s="1132" t="n"/>
      <c r="QFY287" s="1132" t="n"/>
      <c r="QFZ287" s="1132" t="n"/>
      <c r="QGA287" s="1132" t="n"/>
      <c r="QGB287" s="1132" t="n"/>
      <c r="QGC287" s="1132" t="n"/>
      <c r="QGD287" s="1132" t="n"/>
      <c r="QGE287" s="1132" t="n"/>
      <c r="QGF287" s="1132" t="n"/>
      <c r="QGG287" s="1132" t="n"/>
      <c r="QGH287" s="1132" t="n"/>
      <c r="QGI287" s="1132" t="n"/>
      <c r="QGJ287" s="1132" t="n"/>
      <c r="QGK287" s="1132" t="n"/>
      <c r="QGL287" s="1132" t="n"/>
      <c r="QGM287" s="1132" t="n"/>
      <c r="QGN287" s="1132" t="n"/>
      <c r="QGO287" s="1132" t="n"/>
      <c r="QGP287" s="1132" t="n"/>
      <c r="QGQ287" s="1132" t="n"/>
      <c r="QGR287" s="1132" t="n"/>
      <c r="QGS287" s="1132" t="n"/>
      <c r="QGT287" s="1132" t="n"/>
      <c r="QGU287" s="1132" t="n"/>
      <c r="QGV287" s="1132" t="n"/>
      <c r="QGW287" s="1132" t="n"/>
      <c r="QGX287" s="1132" t="n"/>
      <c r="QGY287" s="1132" t="n"/>
      <c r="QGZ287" s="1132" t="n"/>
      <c r="QHA287" s="1132" t="n"/>
      <c r="QHB287" s="1132" t="n"/>
      <c r="QHC287" s="1132" t="n"/>
      <c r="QHD287" s="1132" t="n"/>
      <c r="QHE287" s="1132" t="n"/>
      <c r="QHF287" s="1132" t="n"/>
      <c r="QHG287" s="1132" t="n"/>
      <c r="QHH287" s="1132" t="n"/>
      <c r="QHI287" s="1132" t="n"/>
      <c r="QHJ287" s="1132" t="n"/>
      <c r="QHK287" s="1132" t="n"/>
      <c r="QHL287" s="1132" t="n"/>
      <c r="QHM287" s="1132" t="n"/>
      <c r="QHN287" s="1132" t="n"/>
      <c r="QHO287" s="1132" t="n"/>
      <c r="QHP287" s="1132" t="n"/>
      <c r="QHQ287" s="1132" t="n"/>
      <c r="QHR287" s="1132" t="n"/>
      <c r="QHS287" s="1132" t="n"/>
      <c r="QHT287" s="1132" t="n"/>
      <c r="QHU287" s="1132" t="n"/>
      <c r="QHV287" s="1132" t="n"/>
      <c r="QHW287" s="1132" t="n"/>
      <c r="QHX287" s="1132" t="n"/>
      <c r="QHY287" s="1132" t="n"/>
      <c r="QHZ287" s="1132" t="n"/>
      <c r="QIA287" s="1132" t="n"/>
      <c r="QIB287" s="1132" t="n"/>
      <c r="QIC287" s="1132" t="n"/>
      <c r="QID287" s="1132" t="n"/>
      <c r="QIE287" s="1132" t="n"/>
      <c r="QIF287" s="1132" t="n"/>
      <c r="QIG287" s="1132" t="n"/>
      <c r="QIH287" s="1132" t="n"/>
      <c r="QII287" s="1132" t="n"/>
      <c r="QIJ287" s="1132" t="n"/>
      <c r="QIK287" s="1132" t="n"/>
      <c r="QIL287" s="1132" t="n"/>
      <c r="QIM287" s="1132" t="n"/>
      <c r="QIN287" s="1132" t="n"/>
      <c r="QIO287" s="1132" t="n"/>
      <c r="QIP287" s="1132" t="n"/>
      <c r="QIQ287" s="1132" t="n"/>
      <c r="QIR287" s="1132" t="n"/>
      <c r="QIS287" s="1132" t="n"/>
      <c r="QIT287" s="1132" t="n"/>
      <c r="QIU287" s="1132" t="n"/>
      <c r="QIV287" s="1132" t="n"/>
      <c r="QIW287" s="1132" t="n"/>
      <c r="QIX287" s="1132" t="n"/>
      <c r="QIY287" s="1132" t="n"/>
      <c r="QIZ287" s="1132" t="n"/>
      <c r="QJA287" s="1132" t="n"/>
      <c r="QJB287" s="1132" t="n"/>
      <c r="QJC287" s="1132" t="n"/>
      <c r="QJD287" s="1132" t="n"/>
      <c r="QJE287" s="1132" t="n"/>
      <c r="QJF287" s="1132" t="n"/>
      <c r="QJG287" s="1132" t="n"/>
      <c r="QJH287" s="1132" t="n"/>
      <c r="QJI287" s="1132" t="n"/>
      <c r="QJJ287" s="1132" t="n"/>
      <c r="QJK287" s="1132" t="n"/>
      <c r="QJL287" s="1132" t="n"/>
      <c r="QJM287" s="1132" t="n"/>
      <c r="QJN287" s="1132" t="n"/>
      <c r="QJO287" s="1132" t="n"/>
      <c r="QJP287" s="1132" t="n"/>
      <c r="QJQ287" s="1132" t="n"/>
      <c r="QJR287" s="1132" t="n"/>
      <c r="QJS287" s="1132" t="n"/>
      <c r="QJT287" s="1132" t="n"/>
      <c r="QJU287" s="1132" t="n"/>
      <c r="QJV287" s="1132" t="n"/>
      <c r="QJW287" s="1132" t="n"/>
      <c r="QJX287" s="1132" t="n"/>
      <c r="QJY287" s="1132" t="n"/>
      <c r="QJZ287" s="1132" t="n"/>
      <c r="QKA287" s="1132" t="n"/>
      <c r="QKB287" s="1132" t="n"/>
      <c r="QKC287" s="1132" t="n"/>
      <c r="QKD287" s="1132" t="n"/>
      <c r="QKE287" s="1132" t="n"/>
      <c r="QKF287" s="1132" t="n"/>
      <c r="QKG287" s="1132" t="n"/>
      <c r="QKH287" s="1132" t="n"/>
      <c r="QKI287" s="1132" t="n"/>
      <c r="QKJ287" s="1132" t="n"/>
      <c r="QKK287" s="1132" t="n"/>
      <c r="QKL287" s="1132" t="n"/>
      <c r="QKM287" s="1132" t="n"/>
      <c r="QKN287" s="1132" t="n"/>
      <c r="QKO287" s="1132" t="n"/>
      <c r="QKP287" s="1132" t="n"/>
      <c r="QKQ287" s="1132" t="n"/>
      <c r="QKR287" s="1132" t="n"/>
      <c r="QKS287" s="1132" t="n"/>
      <c r="QKT287" s="1132" t="n"/>
      <c r="QKU287" s="1132" t="n"/>
      <c r="QKV287" s="1132" t="n"/>
      <c r="QKW287" s="1132" t="n"/>
      <c r="QKX287" s="1132" t="n"/>
      <c r="QKY287" s="1132" t="n"/>
      <c r="QKZ287" s="1132" t="n"/>
      <c r="QLA287" s="1132" t="n"/>
      <c r="QLB287" s="1132" t="n"/>
      <c r="QLC287" s="1132" t="n"/>
      <c r="QLD287" s="1132" t="n"/>
      <c r="QLE287" s="1132" t="n"/>
      <c r="QLF287" s="1132" t="n"/>
      <c r="QLG287" s="1132" t="n"/>
      <c r="QLH287" s="1132" t="n"/>
      <c r="QLI287" s="1132" t="n"/>
      <c r="QLJ287" s="1132" t="n"/>
      <c r="QLK287" s="1132" t="n"/>
      <c r="QLL287" s="1132" t="n"/>
      <c r="QLM287" s="1132" t="n"/>
      <c r="QLN287" s="1132" t="n"/>
      <c r="QLO287" s="1132" t="n"/>
      <c r="QLP287" s="1132" t="n"/>
      <c r="QLQ287" s="1132" t="n"/>
      <c r="QLR287" s="1132" t="n"/>
      <c r="QLS287" s="1132" t="n"/>
      <c r="QLT287" s="1132" t="n"/>
      <c r="QLU287" s="1132" t="n"/>
      <c r="QLV287" s="1132" t="n"/>
      <c r="QLW287" s="1132" t="n"/>
      <c r="QLX287" s="1132" t="n"/>
      <c r="QLY287" s="1132" t="n"/>
      <c r="QLZ287" s="1132" t="n"/>
      <c r="QMA287" s="1132" t="n"/>
      <c r="QMB287" s="1132" t="n"/>
      <c r="QMC287" s="1132" t="n"/>
      <c r="QMD287" s="1132" t="n"/>
      <c r="QME287" s="1132" t="n"/>
      <c r="QMF287" s="1132" t="n"/>
      <c r="QMG287" s="1132" t="n"/>
      <c r="QMH287" s="1132" t="n"/>
      <c r="QMI287" s="1132" t="n"/>
      <c r="QMJ287" s="1132" t="n"/>
      <c r="QMK287" s="1132" t="n"/>
      <c r="QML287" s="1132" t="n"/>
      <c r="QMM287" s="1132" t="n"/>
      <c r="QMN287" s="1132" t="n"/>
      <c r="QMO287" s="1132" t="n"/>
      <c r="QMP287" s="1132" t="n"/>
      <c r="QMQ287" s="1132" t="n"/>
      <c r="QMR287" s="1132" t="n"/>
      <c r="QMS287" s="1132" t="n"/>
      <c r="QMT287" s="1132" t="n"/>
      <c r="QMU287" s="1132" t="n"/>
      <c r="QMV287" s="1132" t="n"/>
      <c r="QMW287" s="1132" t="n"/>
      <c r="QMX287" s="1132" t="n"/>
      <c r="QMY287" s="1132" t="n"/>
      <c r="QMZ287" s="1132" t="n"/>
      <c r="QNA287" s="1132" t="n"/>
      <c r="QNB287" s="1132" t="n"/>
      <c r="QNC287" s="1132" t="n"/>
      <c r="QND287" s="1132" t="n"/>
      <c r="QNE287" s="1132" t="n"/>
      <c r="QNF287" s="1132" t="n"/>
      <c r="QNG287" s="1132" t="n"/>
      <c r="QNH287" s="1132" t="n"/>
      <c r="QNI287" s="1132" t="n"/>
      <c r="QNJ287" s="1132" t="n"/>
      <c r="QNK287" s="1132" t="n"/>
      <c r="QNL287" s="1132" t="n"/>
      <c r="QNM287" s="1132" t="n"/>
      <c r="QNN287" s="1132" t="n"/>
      <c r="QNO287" s="1132" t="n"/>
      <c r="QNP287" s="1132" t="n"/>
      <c r="QNQ287" s="1132" t="n"/>
      <c r="QNR287" s="1132" t="n"/>
      <c r="QNS287" s="1132" t="n"/>
      <c r="QNT287" s="1132" t="n"/>
      <c r="QNU287" s="1132" t="n"/>
      <c r="QNV287" s="1132" t="n"/>
      <c r="QNW287" s="1132" t="n"/>
      <c r="QNX287" s="1132" t="n"/>
      <c r="QNY287" s="1132" t="n"/>
      <c r="QNZ287" s="1132" t="n"/>
      <c r="QOA287" s="1132" t="n"/>
      <c r="QOB287" s="1132" t="n"/>
      <c r="QOC287" s="1132" t="n"/>
      <c r="QOD287" s="1132" t="n"/>
      <c r="QOE287" s="1132" t="n"/>
      <c r="QOF287" s="1132" t="n"/>
      <c r="QOG287" s="1132" t="n"/>
      <c r="QOH287" s="1132" t="n"/>
      <c r="QOI287" s="1132" t="n"/>
      <c r="QOJ287" s="1132" t="n"/>
      <c r="QOK287" s="1132" t="n"/>
      <c r="QOL287" s="1132" t="n"/>
      <c r="QOM287" s="1132" t="n"/>
      <c r="QON287" s="1132" t="n"/>
      <c r="QOO287" s="1132" t="n"/>
      <c r="QOP287" s="1132" t="n"/>
      <c r="QOQ287" s="1132" t="n"/>
      <c r="QOR287" s="1132" t="n"/>
      <c r="QOS287" s="1132" t="n"/>
      <c r="QOT287" s="1132" t="n"/>
      <c r="QOU287" s="1132" t="n"/>
      <c r="QOV287" s="1132" t="n"/>
      <c r="QOW287" s="1132" t="n"/>
      <c r="QOX287" s="1132" t="n"/>
      <c r="QOY287" s="1132" t="n"/>
      <c r="QOZ287" s="1132" t="n"/>
      <c r="QPA287" s="1132" t="n"/>
      <c r="QPB287" s="1132" t="n"/>
      <c r="QPC287" s="1132" t="n"/>
      <c r="QPD287" s="1132" t="n"/>
      <c r="QPE287" s="1132" t="n"/>
      <c r="QPF287" s="1132" t="n"/>
      <c r="QPG287" s="1132" t="n"/>
      <c r="QPH287" s="1132" t="n"/>
      <c r="QPI287" s="1132" t="n"/>
      <c r="QPJ287" s="1132" t="n"/>
      <c r="QPK287" s="1132" t="n"/>
      <c r="QPL287" s="1132" t="n"/>
      <c r="QPM287" s="1132" t="n"/>
      <c r="QPN287" s="1132" t="n"/>
      <c r="QPO287" s="1132" t="n"/>
      <c r="QPP287" s="1132" t="n"/>
      <c r="QPQ287" s="1132" t="n"/>
      <c r="QPR287" s="1132" t="n"/>
      <c r="QPS287" s="1132" t="n"/>
      <c r="QPT287" s="1132" t="n"/>
      <c r="QPU287" s="1132" t="n"/>
      <c r="QPV287" s="1132" t="n"/>
      <c r="QPW287" s="1132" t="n"/>
      <c r="QPX287" s="1132" t="n"/>
      <c r="QPY287" s="1132" t="n"/>
      <c r="QPZ287" s="1132" t="n"/>
      <c r="QQA287" s="1132" t="n"/>
      <c r="QQB287" s="1132" t="n"/>
      <c r="QQC287" s="1132" t="n"/>
      <c r="QQD287" s="1132" t="n"/>
      <c r="QQE287" s="1132" t="n"/>
      <c r="QQF287" s="1132" t="n"/>
      <c r="QQG287" s="1132" t="n"/>
      <c r="QQH287" s="1132" t="n"/>
      <c r="QQI287" s="1132" t="n"/>
      <c r="QQJ287" s="1132" t="n"/>
      <c r="QQK287" s="1132" t="n"/>
      <c r="QQL287" s="1132" t="n"/>
      <c r="QQM287" s="1132" t="n"/>
      <c r="QQN287" s="1132" t="n"/>
      <c r="QQO287" s="1132" t="n"/>
      <c r="QQP287" s="1132" t="n"/>
      <c r="QQQ287" s="1132" t="n"/>
      <c r="QQR287" s="1132" t="n"/>
      <c r="QQS287" s="1132" t="n"/>
      <c r="QQT287" s="1132" t="n"/>
      <c r="QQU287" s="1132" t="n"/>
      <c r="QQV287" s="1132" t="n"/>
      <c r="QQW287" s="1132" t="n"/>
      <c r="QQX287" s="1132" t="n"/>
      <c r="QQY287" s="1132" t="n"/>
      <c r="QQZ287" s="1132" t="n"/>
      <c r="QRA287" s="1132" t="n"/>
      <c r="QRB287" s="1132" t="n"/>
      <c r="QRC287" s="1132" t="n"/>
      <c r="QRD287" s="1132" t="n"/>
      <c r="QRE287" s="1132" t="n"/>
      <c r="QRF287" s="1132" t="n"/>
      <c r="QRG287" s="1132" t="n"/>
      <c r="QRH287" s="1132" t="n"/>
      <c r="QRI287" s="1132" t="n"/>
      <c r="QRJ287" s="1132" t="n"/>
      <c r="QRK287" s="1132" t="n"/>
      <c r="QRL287" s="1132" t="n"/>
      <c r="QRM287" s="1132" t="n"/>
      <c r="QRN287" s="1132" t="n"/>
      <c r="QRO287" s="1132" t="n"/>
      <c r="QRP287" s="1132" t="n"/>
      <c r="QRQ287" s="1132" t="n"/>
      <c r="QRR287" s="1132" t="n"/>
      <c r="QRS287" s="1132" t="n"/>
      <c r="QRT287" s="1132" t="n"/>
      <c r="QRU287" s="1132" t="n"/>
      <c r="QRV287" s="1132" t="n"/>
      <c r="QRW287" s="1132" t="n"/>
      <c r="QRX287" s="1132" t="n"/>
      <c r="QRY287" s="1132" t="n"/>
      <c r="QRZ287" s="1132" t="n"/>
      <c r="QSA287" s="1132" t="n"/>
      <c r="QSB287" s="1132" t="n"/>
      <c r="QSC287" s="1132" t="n"/>
      <c r="QSD287" s="1132" t="n"/>
      <c r="QSE287" s="1132" t="n"/>
      <c r="QSF287" s="1132" t="n"/>
      <c r="QSG287" s="1132" t="n"/>
      <c r="QSH287" s="1132" t="n"/>
      <c r="QSI287" s="1132" t="n"/>
      <c r="QSJ287" s="1132" t="n"/>
      <c r="QSK287" s="1132" t="n"/>
      <c r="QSL287" s="1132" t="n"/>
      <c r="QSM287" s="1132" t="n"/>
      <c r="QSN287" s="1132" t="n"/>
      <c r="QSO287" s="1132" t="n"/>
      <c r="QSP287" s="1132" t="n"/>
      <c r="QSQ287" s="1132" t="n"/>
      <c r="QSR287" s="1132" t="n"/>
      <c r="QSS287" s="1132" t="n"/>
      <c r="QST287" s="1132" t="n"/>
      <c r="QSU287" s="1132" t="n"/>
      <c r="QSV287" s="1132" t="n"/>
      <c r="QSW287" s="1132" t="n"/>
      <c r="QSX287" s="1132" t="n"/>
      <c r="QSY287" s="1132" t="n"/>
      <c r="QSZ287" s="1132" t="n"/>
      <c r="QTA287" s="1132" t="n"/>
      <c r="QTB287" s="1132" t="n"/>
      <c r="QTC287" s="1132" t="n"/>
      <c r="QTD287" s="1132" t="n"/>
      <c r="QTE287" s="1132" t="n"/>
      <c r="QTF287" s="1132" t="n"/>
      <c r="QTG287" s="1132" t="n"/>
      <c r="QTH287" s="1132" t="n"/>
      <c r="QTI287" s="1132" t="n"/>
      <c r="QTJ287" s="1132" t="n"/>
      <c r="QTK287" s="1132" t="n"/>
      <c r="QTL287" s="1132" t="n"/>
      <c r="QTM287" s="1132" t="n"/>
      <c r="QTN287" s="1132" t="n"/>
      <c r="QTO287" s="1132" t="n"/>
      <c r="QTP287" s="1132" t="n"/>
      <c r="QTQ287" s="1132" t="n"/>
      <c r="QTR287" s="1132" t="n"/>
      <c r="QTS287" s="1132" t="n"/>
      <c r="QTT287" s="1132" t="n"/>
      <c r="QTU287" s="1132" t="n"/>
      <c r="QTV287" s="1132" t="n"/>
      <c r="QTW287" s="1132" t="n"/>
      <c r="QTX287" s="1132" t="n"/>
      <c r="QTY287" s="1132" t="n"/>
      <c r="QTZ287" s="1132" t="n"/>
      <c r="QUA287" s="1132" t="n"/>
      <c r="QUB287" s="1132" t="n"/>
      <c r="QUC287" s="1132" t="n"/>
      <c r="QUD287" s="1132" t="n"/>
      <c r="QUE287" s="1132" t="n"/>
      <c r="QUF287" s="1132" t="n"/>
      <c r="QUG287" s="1132" t="n"/>
      <c r="QUH287" s="1132" t="n"/>
      <c r="QUI287" s="1132" t="n"/>
      <c r="QUJ287" s="1132" t="n"/>
      <c r="QUK287" s="1132" t="n"/>
      <c r="QUL287" s="1132" t="n"/>
      <c r="QUM287" s="1132" t="n"/>
      <c r="QUN287" s="1132" t="n"/>
      <c r="QUO287" s="1132" t="n"/>
      <c r="QUP287" s="1132" t="n"/>
      <c r="QUQ287" s="1132" t="n"/>
      <c r="QUR287" s="1132" t="n"/>
      <c r="QUS287" s="1132" t="n"/>
      <c r="QUT287" s="1132" t="n"/>
      <c r="QUU287" s="1132" t="n"/>
      <c r="QUV287" s="1132" t="n"/>
      <c r="QUW287" s="1132" t="n"/>
      <c r="QUX287" s="1132" t="n"/>
      <c r="QUY287" s="1132" t="n"/>
      <c r="QUZ287" s="1132" t="n"/>
      <c r="QVA287" s="1132" t="n"/>
      <c r="QVB287" s="1132" t="n"/>
      <c r="QVC287" s="1132" t="n"/>
      <c r="QVD287" s="1132" t="n"/>
      <c r="QVE287" s="1132" t="n"/>
      <c r="QVF287" s="1132" t="n"/>
      <c r="QVG287" s="1132" t="n"/>
      <c r="QVH287" s="1132" t="n"/>
      <c r="QVI287" s="1132" t="n"/>
      <c r="QVJ287" s="1132" t="n"/>
      <c r="QVK287" s="1132" t="n"/>
      <c r="QVL287" s="1132" t="n"/>
      <c r="QVM287" s="1132" t="n"/>
      <c r="QVN287" s="1132" t="n"/>
      <c r="QVO287" s="1132" t="n"/>
      <c r="QVP287" s="1132" t="n"/>
      <c r="QVQ287" s="1132" t="n"/>
      <c r="QVR287" s="1132" t="n"/>
      <c r="QVS287" s="1132" t="n"/>
      <c r="QVT287" s="1132" t="n"/>
      <c r="QVU287" s="1132" t="n"/>
      <c r="QVV287" s="1132" t="n"/>
      <c r="QVW287" s="1132" t="n"/>
      <c r="QVX287" s="1132" t="n"/>
      <c r="QVY287" s="1132" t="n"/>
      <c r="QVZ287" s="1132" t="n"/>
      <c r="QWA287" s="1132" t="n"/>
      <c r="QWB287" s="1132" t="n"/>
      <c r="QWC287" s="1132" t="n"/>
      <c r="QWD287" s="1132" t="n"/>
      <c r="QWE287" s="1132" t="n"/>
      <c r="QWF287" s="1132" t="n"/>
      <c r="QWG287" s="1132" t="n"/>
      <c r="QWH287" s="1132" t="n"/>
      <c r="QWI287" s="1132" t="n"/>
      <c r="QWJ287" s="1132" t="n"/>
      <c r="QWK287" s="1132" t="n"/>
      <c r="QWL287" s="1132" t="n"/>
      <c r="QWM287" s="1132" t="n"/>
      <c r="QWN287" s="1132" t="n"/>
      <c r="QWO287" s="1132" t="n"/>
      <c r="QWP287" s="1132" t="n"/>
      <c r="QWQ287" s="1132" t="n"/>
      <c r="QWR287" s="1132" t="n"/>
      <c r="QWS287" s="1132" t="n"/>
      <c r="QWT287" s="1132" t="n"/>
      <c r="QWU287" s="1132" t="n"/>
      <c r="QWV287" s="1132" t="n"/>
      <c r="QWW287" s="1132" t="n"/>
      <c r="QWX287" s="1132" t="n"/>
      <c r="QWY287" s="1132" t="n"/>
      <c r="QWZ287" s="1132" t="n"/>
      <c r="QXA287" s="1132" t="n"/>
      <c r="QXB287" s="1132" t="n"/>
      <c r="QXC287" s="1132" t="n"/>
      <c r="QXD287" s="1132" t="n"/>
      <c r="QXE287" s="1132" t="n"/>
      <c r="QXF287" s="1132" t="n"/>
      <c r="QXG287" s="1132" t="n"/>
      <c r="QXH287" s="1132" t="n"/>
      <c r="QXI287" s="1132" t="n"/>
      <c r="QXJ287" s="1132" t="n"/>
      <c r="QXK287" s="1132" t="n"/>
      <c r="QXL287" s="1132" t="n"/>
      <c r="QXM287" s="1132" t="n"/>
      <c r="QXN287" s="1132" t="n"/>
      <c r="QXO287" s="1132" t="n"/>
      <c r="QXP287" s="1132" t="n"/>
      <c r="QXQ287" s="1132" t="n"/>
      <c r="QXR287" s="1132" t="n"/>
      <c r="QXS287" s="1132" t="n"/>
      <c r="QXT287" s="1132" t="n"/>
      <c r="QXU287" s="1132" t="n"/>
      <c r="QXV287" s="1132" t="n"/>
      <c r="QXW287" s="1132" t="n"/>
      <c r="QXX287" s="1132" t="n"/>
      <c r="QXY287" s="1132" t="n"/>
      <c r="QXZ287" s="1132" t="n"/>
      <c r="QYA287" s="1132" t="n"/>
      <c r="QYB287" s="1132" t="n"/>
      <c r="QYC287" s="1132" t="n"/>
      <c r="QYD287" s="1132" t="n"/>
      <c r="QYE287" s="1132" t="n"/>
      <c r="QYF287" s="1132" t="n"/>
      <c r="QYG287" s="1132" t="n"/>
      <c r="QYH287" s="1132" t="n"/>
      <c r="QYI287" s="1132" t="n"/>
      <c r="QYJ287" s="1132" t="n"/>
      <c r="QYK287" s="1132" t="n"/>
      <c r="QYL287" s="1132" t="n"/>
      <c r="QYM287" s="1132" t="n"/>
      <c r="QYN287" s="1132" t="n"/>
      <c r="QYO287" s="1132" t="n"/>
      <c r="QYP287" s="1132" t="n"/>
      <c r="QYQ287" s="1132" t="n"/>
      <c r="QYR287" s="1132" t="n"/>
      <c r="QYS287" s="1132" t="n"/>
      <c r="QYT287" s="1132" t="n"/>
      <c r="QYU287" s="1132" t="n"/>
      <c r="QYV287" s="1132" t="n"/>
      <c r="QYW287" s="1132" t="n"/>
      <c r="QYX287" s="1132" t="n"/>
      <c r="QYY287" s="1132" t="n"/>
      <c r="QYZ287" s="1132" t="n"/>
      <c r="QZA287" s="1132" t="n"/>
      <c r="QZB287" s="1132" t="n"/>
      <c r="QZC287" s="1132" t="n"/>
      <c r="QZD287" s="1132" t="n"/>
      <c r="QZE287" s="1132" t="n"/>
      <c r="QZF287" s="1132" t="n"/>
      <c r="QZG287" s="1132" t="n"/>
      <c r="QZH287" s="1132" t="n"/>
      <c r="QZI287" s="1132" t="n"/>
      <c r="QZJ287" s="1132" t="n"/>
      <c r="QZK287" s="1132" t="n"/>
      <c r="QZL287" s="1132" t="n"/>
      <c r="QZM287" s="1132" t="n"/>
      <c r="QZN287" s="1132" t="n"/>
      <c r="QZO287" s="1132" t="n"/>
      <c r="QZP287" s="1132" t="n"/>
      <c r="QZQ287" s="1132" t="n"/>
      <c r="QZR287" s="1132" t="n"/>
      <c r="QZS287" s="1132" t="n"/>
      <c r="QZT287" s="1132" t="n"/>
      <c r="QZU287" s="1132" t="n"/>
      <c r="QZV287" s="1132" t="n"/>
      <c r="QZW287" s="1132" t="n"/>
      <c r="QZX287" s="1132" t="n"/>
      <c r="QZY287" s="1132" t="n"/>
      <c r="QZZ287" s="1132" t="n"/>
      <c r="RAA287" s="1132" t="n"/>
      <c r="RAB287" s="1132" t="n"/>
      <c r="RAC287" s="1132" t="n"/>
      <c r="RAD287" s="1132" t="n"/>
      <c r="RAE287" s="1132" t="n"/>
      <c r="RAF287" s="1132" t="n"/>
      <c r="RAG287" s="1132" t="n"/>
      <c r="RAH287" s="1132" t="n"/>
      <c r="RAI287" s="1132" t="n"/>
      <c r="RAJ287" s="1132" t="n"/>
      <c r="RAK287" s="1132" t="n"/>
      <c r="RAL287" s="1132" t="n"/>
      <c r="RAM287" s="1132" t="n"/>
      <c r="RAN287" s="1132" t="n"/>
      <c r="RAO287" s="1132" t="n"/>
      <c r="RAP287" s="1132" t="n"/>
      <c r="RAQ287" s="1132" t="n"/>
      <c r="RAR287" s="1132" t="n"/>
      <c r="RAS287" s="1132" t="n"/>
      <c r="RAT287" s="1132" t="n"/>
      <c r="RAU287" s="1132" t="n"/>
      <c r="RAV287" s="1132" t="n"/>
      <c r="RAW287" s="1132" t="n"/>
      <c r="RAX287" s="1132" t="n"/>
      <c r="RAY287" s="1132" t="n"/>
      <c r="RAZ287" s="1132" t="n"/>
      <c r="RBA287" s="1132" t="n"/>
      <c r="RBB287" s="1132" t="n"/>
      <c r="RBC287" s="1132" t="n"/>
      <c r="RBD287" s="1132" t="n"/>
      <c r="RBE287" s="1132" t="n"/>
      <c r="RBF287" s="1132" t="n"/>
      <c r="RBG287" s="1132" t="n"/>
      <c r="RBH287" s="1132" t="n"/>
      <c r="RBI287" s="1132" t="n"/>
      <c r="RBJ287" s="1132" t="n"/>
      <c r="RBK287" s="1132" t="n"/>
      <c r="RBL287" s="1132" t="n"/>
      <c r="RBM287" s="1132" t="n"/>
      <c r="RBN287" s="1132" t="n"/>
      <c r="RBO287" s="1132" t="n"/>
      <c r="RBP287" s="1132" t="n"/>
      <c r="RBQ287" s="1132" t="n"/>
      <c r="RBR287" s="1132" t="n"/>
      <c r="RBS287" s="1132" t="n"/>
      <c r="RBT287" s="1132" t="n"/>
      <c r="RBU287" s="1132" t="n"/>
      <c r="RBV287" s="1132" t="n"/>
      <c r="RBW287" s="1132" t="n"/>
      <c r="RBX287" s="1132" t="n"/>
      <c r="RBY287" s="1132" t="n"/>
      <c r="RBZ287" s="1132" t="n"/>
      <c r="RCA287" s="1132" t="n"/>
      <c r="RCB287" s="1132" t="n"/>
      <c r="RCC287" s="1132" t="n"/>
      <c r="RCD287" s="1132" t="n"/>
      <c r="RCE287" s="1132" t="n"/>
      <c r="RCF287" s="1132" t="n"/>
      <c r="RCG287" s="1132" t="n"/>
      <c r="RCH287" s="1132" t="n"/>
      <c r="RCI287" s="1132" t="n"/>
      <c r="RCJ287" s="1132" t="n"/>
      <c r="RCK287" s="1132" t="n"/>
      <c r="RCL287" s="1132" t="n"/>
      <c r="RCM287" s="1132" t="n"/>
      <c r="RCN287" s="1132" t="n"/>
      <c r="RCO287" s="1132" t="n"/>
      <c r="RCP287" s="1132" t="n"/>
      <c r="RCQ287" s="1132" t="n"/>
      <c r="RCR287" s="1132" t="n"/>
      <c r="RCS287" s="1132" t="n"/>
      <c r="RCT287" s="1132" t="n"/>
      <c r="RCU287" s="1132" t="n"/>
      <c r="RCV287" s="1132" t="n"/>
      <c r="RCW287" s="1132" t="n"/>
      <c r="RCX287" s="1132" t="n"/>
      <c r="RCY287" s="1132" t="n"/>
      <c r="RCZ287" s="1132" t="n"/>
      <c r="RDA287" s="1132" t="n"/>
      <c r="RDB287" s="1132" t="n"/>
      <c r="RDC287" s="1132" t="n"/>
      <c r="RDD287" s="1132" t="n"/>
      <c r="RDE287" s="1132" t="n"/>
      <c r="RDF287" s="1132" t="n"/>
      <c r="RDG287" s="1132" t="n"/>
      <c r="RDH287" s="1132" t="n"/>
      <c r="RDI287" s="1132" t="n"/>
      <c r="RDJ287" s="1132" t="n"/>
      <c r="RDK287" s="1132" t="n"/>
      <c r="RDL287" s="1132" t="n"/>
      <c r="RDM287" s="1132" t="n"/>
      <c r="RDN287" s="1132" t="n"/>
      <c r="RDO287" s="1132" t="n"/>
      <c r="RDP287" s="1132" t="n"/>
      <c r="RDQ287" s="1132" t="n"/>
      <c r="RDR287" s="1132" t="n"/>
      <c r="RDS287" s="1132" t="n"/>
      <c r="RDT287" s="1132" t="n"/>
      <c r="RDU287" s="1132" t="n"/>
      <c r="RDV287" s="1132" t="n"/>
      <c r="RDW287" s="1132" t="n"/>
      <c r="RDX287" s="1132" t="n"/>
      <c r="RDY287" s="1132" t="n"/>
      <c r="RDZ287" s="1132" t="n"/>
      <c r="REA287" s="1132" t="n"/>
      <c r="REB287" s="1132" t="n"/>
      <c r="REC287" s="1132" t="n"/>
      <c r="RED287" s="1132" t="n"/>
      <c r="REE287" s="1132" t="n"/>
      <c r="REF287" s="1132" t="n"/>
      <c r="REG287" s="1132" t="n"/>
      <c r="REH287" s="1132" t="n"/>
      <c r="REI287" s="1132" t="n"/>
      <c r="REJ287" s="1132" t="n"/>
      <c r="REK287" s="1132" t="n"/>
      <c r="REL287" s="1132" t="n"/>
      <c r="REM287" s="1132" t="n"/>
      <c r="REN287" s="1132" t="n"/>
      <c r="REO287" s="1132" t="n"/>
      <c r="REP287" s="1132" t="n"/>
      <c r="REQ287" s="1132" t="n"/>
      <c r="RER287" s="1132" t="n"/>
      <c r="RES287" s="1132" t="n"/>
      <c r="RET287" s="1132" t="n"/>
      <c r="REU287" s="1132" t="n"/>
      <c r="REV287" s="1132" t="n"/>
      <c r="REW287" s="1132" t="n"/>
      <c r="REX287" s="1132" t="n"/>
      <c r="REY287" s="1132" t="n"/>
      <c r="REZ287" s="1132" t="n"/>
      <c r="RFA287" s="1132" t="n"/>
      <c r="RFB287" s="1132" t="n"/>
      <c r="RFC287" s="1132" t="n"/>
      <c r="RFD287" s="1132" t="n"/>
      <c r="RFE287" s="1132" t="n"/>
      <c r="RFF287" s="1132" t="n"/>
      <c r="RFG287" s="1132" t="n"/>
      <c r="RFH287" s="1132" t="n"/>
      <c r="RFI287" s="1132" t="n"/>
      <c r="RFJ287" s="1132" t="n"/>
      <c r="RFK287" s="1132" t="n"/>
      <c r="RFL287" s="1132" t="n"/>
      <c r="RFM287" s="1132" t="n"/>
      <c r="RFN287" s="1132" t="n"/>
      <c r="RFO287" s="1132" t="n"/>
      <c r="RFP287" s="1132" t="n"/>
      <c r="RFQ287" s="1132" t="n"/>
      <c r="RFR287" s="1132" t="n"/>
      <c r="RFS287" s="1132" t="n"/>
      <c r="RFT287" s="1132" t="n"/>
      <c r="RFU287" s="1132" t="n"/>
      <c r="RFV287" s="1132" t="n"/>
      <c r="RFW287" s="1132" t="n"/>
      <c r="RFX287" s="1132" t="n"/>
      <c r="RFY287" s="1132" t="n"/>
      <c r="RFZ287" s="1132" t="n"/>
      <c r="RGA287" s="1132" t="n"/>
      <c r="RGB287" s="1132" t="n"/>
      <c r="RGC287" s="1132" t="n"/>
      <c r="RGD287" s="1132" t="n"/>
      <c r="RGE287" s="1132" t="n"/>
      <c r="RGF287" s="1132" t="n"/>
      <c r="RGG287" s="1132" t="n"/>
      <c r="RGH287" s="1132" t="n"/>
      <c r="RGI287" s="1132" t="n"/>
      <c r="RGJ287" s="1132" t="n"/>
      <c r="RGK287" s="1132" t="n"/>
      <c r="RGL287" s="1132" t="n"/>
      <c r="RGM287" s="1132" t="n"/>
      <c r="RGN287" s="1132" t="n"/>
      <c r="RGO287" s="1132" t="n"/>
      <c r="RGP287" s="1132" t="n"/>
      <c r="RGQ287" s="1132" t="n"/>
      <c r="RGR287" s="1132" t="n"/>
      <c r="RGS287" s="1132" t="n"/>
      <c r="RGT287" s="1132" t="n"/>
      <c r="RGU287" s="1132" t="n"/>
      <c r="RGV287" s="1132" t="n"/>
      <c r="RGW287" s="1132" t="n"/>
      <c r="RGX287" s="1132" t="n"/>
      <c r="RGY287" s="1132" t="n"/>
      <c r="RGZ287" s="1132" t="n"/>
      <c r="RHA287" s="1132" t="n"/>
      <c r="RHB287" s="1132" t="n"/>
      <c r="RHC287" s="1132" t="n"/>
      <c r="RHD287" s="1132" t="n"/>
      <c r="RHE287" s="1132" t="n"/>
      <c r="RHF287" s="1132" t="n"/>
      <c r="RHG287" s="1132" t="n"/>
      <c r="RHH287" s="1132" t="n"/>
      <c r="RHI287" s="1132" t="n"/>
      <c r="RHJ287" s="1132" t="n"/>
      <c r="RHK287" s="1132" t="n"/>
      <c r="RHL287" s="1132" t="n"/>
      <c r="RHM287" s="1132" t="n"/>
      <c r="RHN287" s="1132" t="n"/>
      <c r="RHO287" s="1132" t="n"/>
      <c r="RHP287" s="1132" t="n"/>
      <c r="RHQ287" s="1132" t="n"/>
      <c r="RHR287" s="1132" t="n"/>
      <c r="RHS287" s="1132" t="n"/>
      <c r="RHT287" s="1132" t="n"/>
      <c r="RHU287" s="1132" t="n"/>
      <c r="RHV287" s="1132" t="n"/>
      <c r="RHW287" s="1132" t="n"/>
      <c r="RHX287" s="1132" t="n"/>
      <c r="RHY287" s="1132" t="n"/>
      <c r="RHZ287" s="1132" t="n"/>
      <c r="RIA287" s="1132" t="n"/>
      <c r="RIB287" s="1132" t="n"/>
      <c r="RIC287" s="1132" t="n"/>
      <c r="RID287" s="1132" t="n"/>
      <c r="RIE287" s="1132" t="n"/>
      <c r="RIF287" s="1132" t="n"/>
      <c r="RIG287" s="1132" t="n"/>
      <c r="RIH287" s="1132" t="n"/>
      <c r="RII287" s="1132" t="n"/>
      <c r="RIJ287" s="1132" t="n"/>
      <c r="RIK287" s="1132" t="n"/>
      <c r="RIL287" s="1132" t="n"/>
      <c r="RIM287" s="1132" t="n"/>
      <c r="RIN287" s="1132" t="n"/>
      <c r="RIO287" s="1132" t="n"/>
      <c r="RIP287" s="1132" t="n"/>
      <c r="RIQ287" s="1132" t="n"/>
      <c r="RIR287" s="1132" t="n"/>
      <c r="RIS287" s="1132" t="n"/>
      <c r="RIT287" s="1132" t="n"/>
      <c r="RIU287" s="1132" t="n"/>
      <c r="RIV287" s="1132" t="n"/>
      <c r="RIW287" s="1132" t="n"/>
      <c r="RIX287" s="1132" t="n"/>
      <c r="RIY287" s="1132" t="n"/>
      <c r="RIZ287" s="1132" t="n"/>
      <c r="RJA287" s="1132" t="n"/>
      <c r="RJB287" s="1132" t="n"/>
      <c r="RJC287" s="1132" t="n"/>
      <c r="RJD287" s="1132" t="n"/>
      <c r="RJE287" s="1132" t="n"/>
      <c r="RJF287" s="1132" t="n"/>
      <c r="RJG287" s="1132" t="n"/>
      <c r="RJH287" s="1132" t="n"/>
      <c r="RJI287" s="1132" t="n"/>
      <c r="RJJ287" s="1132" t="n"/>
      <c r="RJK287" s="1132" t="n"/>
      <c r="RJL287" s="1132" t="n"/>
      <c r="RJM287" s="1132" t="n"/>
      <c r="RJN287" s="1132" t="n"/>
      <c r="RJO287" s="1132" t="n"/>
      <c r="RJP287" s="1132" t="n"/>
      <c r="RJQ287" s="1132" t="n"/>
      <c r="RJR287" s="1132" t="n"/>
      <c r="RJS287" s="1132" t="n"/>
      <c r="RJT287" s="1132" t="n"/>
      <c r="RJU287" s="1132" t="n"/>
      <c r="RJV287" s="1132" t="n"/>
      <c r="RJW287" s="1132" t="n"/>
      <c r="RJX287" s="1132" t="n"/>
      <c r="RJY287" s="1132" t="n"/>
      <c r="RJZ287" s="1132" t="n"/>
      <c r="RKA287" s="1132" t="n"/>
      <c r="RKB287" s="1132" t="n"/>
      <c r="RKC287" s="1132" t="n"/>
      <c r="RKD287" s="1132" t="n"/>
      <c r="RKE287" s="1132" t="n"/>
      <c r="RKF287" s="1132" t="n"/>
      <c r="RKG287" s="1132" t="n"/>
      <c r="RKH287" s="1132" t="n"/>
      <c r="RKI287" s="1132" t="n"/>
      <c r="RKJ287" s="1132" t="n"/>
      <c r="RKK287" s="1132" t="n"/>
      <c r="RKL287" s="1132" t="n"/>
      <c r="RKM287" s="1132" t="n"/>
      <c r="RKN287" s="1132" t="n"/>
      <c r="RKO287" s="1132" t="n"/>
      <c r="RKP287" s="1132" t="n"/>
      <c r="RKQ287" s="1132" t="n"/>
      <c r="RKR287" s="1132" t="n"/>
      <c r="RKS287" s="1132" t="n"/>
      <c r="RKT287" s="1132" t="n"/>
      <c r="RKU287" s="1132" t="n"/>
      <c r="RKV287" s="1132" t="n"/>
      <c r="RKW287" s="1132" t="n"/>
      <c r="RKX287" s="1132" t="n"/>
      <c r="RKY287" s="1132" t="n"/>
      <c r="RKZ287" s="1132" t="n"/>
      <c r="RLA287" s="1132" t="n"/>
      <c r="RLB287" s="1132" t="n"/>
      <c r="RLC287" s="1132" t="n"/>
      <c r="RLD287" s="1132" t="n"/>
      <c r="RLE287" s="1132" t="n"/>
      <c r="RLF287" s="1132" t="n"/>
      <c r="RLG287" s="1132" t="n"/>
      <c r="RLH287" s="1132" t="n"/>
      <c r="RLI287" s="1132" t="n"/>
      <c r="RLJ287" s="1132" t="n"/>
      <c r="RLK287" s="1132" t="n"/>
      <c r="RLL287" s="1132" t="n"/>
      <c r="RLM287" s="1132" t="n"/>
      <c r="RLN287" s="1132" t="n"/>
      <c r="RLO287" s="1132" t="n"/>
      <c r="RLP287" s="1132" t="n"/>
      <c r="RLQ287" s="1132" t="n"/>
      <c r="RLR287" s="1132" t="n"/>
      <c r="RLS287" s="1132" t="n"/>
      <c r="RLT287" s="1132" t="n"/>
      <c r="RLU287" s="1132" t="n"/>
      <c r="RLV287" s="1132" t="n"/>
      <c r="RLW287" s="1132" t="n"/>
      <c r="RLX287" s="1132" t="n"/>
      <c r="RLY287" s="1132" t="n"/>
      <c r="RLZ287" s="1132" t="n"/>
      <c r="RMA287" s="1132" t="n"/>
      <c r="RMB287" s="1132" t="n"/>
      <c r="RMC287" s="1132" t="n"/>
      <c r="RMD287" s="1132" t="n"/>
      <c r="RME287" s="1132" t="n"/>
      <c r="RMF287" s="1132" t="n"/>
      <c r="RMG287" s="1132" t="n"/>
      <c r="RMH287" s="1132" t="n"/>
      <c r="RMI287" s="1132" t="n"/>
      <c r="RMJ287" s="1132" t="n"/>
      <c r="RMK287" s="1132" t="n"/>
      <c r="RML287" s="1132" t="n"/>
      <c r="RMM287" s="1132" t="n"/>
      <c r="RMN287" s="1132" t="n"/>
      <c r="RMO287" s="1132" t="n"/>
      <c r="RMP287" s="1132" t="n"/>
      <c r="RMQ287" s="1132" t="n"/>
      <c r="RMR287" s="1132" t="n"/>
      <c r="RMS287" s="1132" t="n"/>
      <c r="RMT287" s="1132" t="n"/>
      <c r="RMU287" s="1132" t="n"/>
      <c r="RMV287" s="1132" t="n"/>
      <c r="RMW287" s="1132" t="n"/>
      <c r="RMX287" s="1132" t="n"/>
      <c r="RMY287" s="1132" t="n"/>
      <c r="RMZ287" s="1132" t="n"/>
      <c r="RNA287" s="1132" t="n"/>
      <c r="RNB287" s="1132" t="n"/>
      <c r="RNC287" s="1132" t="n"/>
      <c r="RND287" s="1132" t="n"/>
      <c r="RNE287" s="1132" t="n"/>
      <c r="RNF287" s="1132" t="n"/>
      <c r="RNG287" s="1132" t="n"/>
      <c r="RNH287" s="1132" t="n"/>
      <c r="RNI287" s="1132" t="n"/>
      <c r="RNJ287" s="1132" t="n"/>
      <c r="RNK287" s="1132" t="n"/>
      <c r="RNL287" s="1132" t="n"/>
      <c r="RNM287" s="1132" t="n"/>
      <c r="RNN287" s="1132" t="n"/>
      <c r="RNO287" s="1132" t="n"/>
      <c r="RNP287" s="1132" t="n"/>
      <c r="RNQ287" s="1132" t="n"/>
      <c r="RNR287" s="1132" t="n"/>
      <c r="RNS287" s="1132" t="n"/>
      <c r="RNT287" s="1132" t="n"/>
      <c r="RNU287" s="1132" t="n"/>
      <c r="RNV287" s="1132" t="n"/>
      <c r="RNW287" s="1132" t="n"/>
      <c r="RNX287" s="1132" t="n"/>
      <c r="RNY287" s="1132" t="n"/>
      <c r="RNZ287" s="1132" t="n"/>
      <c r="ROA287" s="1132" t="n"/>
      <c r="ROB287" s="1132" t="n"/>
      <c r="ROC287" s="1132" t="n"/>
      <c r="ROD287" s="1132" t="n"/>
      <c r="ROE287" s="1132" t="n"/>
      <c r="ROF287" s="1132" t="n"/>
      <c r="ROG287" s="1132" t="n"/>
      <c r="ROH287" s="1132" t="n"/>
      <c r="ROI287" s="1132" t="n"/>
      <c r="ROJ287" s="1132" t="n"/>
      <c r="ROK287" s="1132" t="n"/>
      <c r="ROL287" s="1132" t="n"/>
      <c r="ROM287" s="1132" t="n"/>
      <c r="RON287" s="1132" t="n"/>
      <c r="ROO287" s="1132" t="n"/>
      <c r="ROP287" s="1132" t="n"/>
      <c r="ROQ287" s="1132" t="n"/>
      <c r="ROR287" s="1132" t="n"/>
      <c r="ROS287" s="1132" t="n"/>
      <c r="ROT287" s="1132" t="n"/>
      <c r="ROU287" s="1132" t="n"/>
      <c r="ROV287" s="1132" t="n"/>
      <c r="ROW287" s="1132" t="n"/>
      <c r="ROX287" s="1132" t="n"/>
      <c r="ROY287" s="1132" t="n"/>
      <c r="ROZ287" s="1132" t="n"/>
      <c r="RPA287" s="1132" t="n"/>
      <c r="RPB287" s="1132" t="n"/>
      <c r="RPC287" s="1132" t="n"/>
      <c r="RPD287" s="1132" t="n"/>
      <c r="RPE287" s="1132" t="n"/>
      <c r="RPF287" s="1132" t="n"/>
      <c r="RPG287" s="1132" t="n"/>
      <c r="RPH287" s="1132" t="n"/>
      <c r="RPI287" s="1132" t="n"/>
      <c r="RPJ287" s="1132" t="n"/>
      <c r="RPK287" s="1132" t="n"/>
      <c r="RPL287" s="1132" t="n"/>
      <c r="RPM287" s="1132" t="n"/>
      <c r="RPN287" s="1132" t="n"/>
      <c r="RPO287" s="1132" t="n"/>
      <c r="RPP287" s="1132" t="n"/>
      <c r="RPQ287" s="1132" t="n"/>
      <c r="RPR287" s="1132" t="n"/>
      <c r="RPS287" s="1132" t="n"/>
      <c r="RPT287" s="1132" t="n"/>
      <c r="RPU287" s="1132" t="n"/>
      <c r="RPV287" s="1132" t="n"/>
      <c r="RPW287" s="1132" t="n"/>
      <c r="RPX287" s="1132" t="n"/>
      <c r="RPY287" s="1132" t="n"/>
      <c r="RPZ287" s="1132" t="n"/>
      <c r="RQA287" s="1132" t="n"/>
      <c r="RQB287" s="1132" t="n"/>
      <c r="RQC287" s="1132" t="n"/>
      <c r="RQD287" s="1132" t="n"/>
      <c r="RQE287" s="1132" t="n"/>
      <c r="RQF287" s="1132" t="n"/>
      <c r="RQG287" s="1132" t="n"/>
      <c r="RQH287" s="1132" t="n"/>
      <c r="RQI287" s="1132" t="n"/>
      <c r="RQJ287" s="1132" t="n"/>
      <c r="RQK287" s="1132" t="n"/>
      <c r="RQL287" s="1132" t="n"/>
      <c r="RQM287" s="1132" t="n"/>
      <c r="RQN287" s="1132" t="n"/>
      <c r="RQO287" s="1132" t="n"/>
      <c r="RQP287" s="1132" t="n"/>
      <c r="RQQ287" s="1132" t="n"/>
      <c r="RQR287" s="1132" t="n"/>
      <c r="RQS287" s="1132" t="n"/>
      <c r="RQT287" s="1132" t="n"/>
      <c r="RQU287" s="1132" t="n"/>
      <c r="RQV287" s="1132" t="n"/>
      <c r="RQW287" s="1132" t="n"/>
      <c r="RQX287" s="1132" t="n"/>
      <c r="RQY287" s="1132" t="n"/>
      <c r="RQZ287" s="1132" t="n"/>
      <c r="RRA287" s="1132" t="n"/>
      <c r="RRB287" s="1132" t="n"/>
      <c r="RRC287" s="1132" t="n"/>
      <c r="RRD287" s="1132" t="n"/>
      <c r="RRE287" s="1132" t="n"/>
      <c r="RRF287" s="1132" t="n"/>
      <c r="RRG287" s="1132" t="n"/>
      <c r="RRH287" s="1132" t="n"/>
      <c r="RRI287" s="1132" t="n"/>
      <c r="RRJ287" s="1132" t="n"/>
      <c r="RRK287" s="1132" t="n"/>
      <c r="RRL287" s="1132" t="n"/>
      <c r="RRM287" s="1132" t="n"/>
      <c r="RRN287" s="1132" t="n"/>
      <c r="RRO287" s="1132" t="n"/>
      <c r="RRP287" s="1132" t="n"/>
      <c r="RRQ287" s="1132" t="n"/>
      <c r="RRR287" s="1132" t="n"/>
      <c r="RRS287" s="1132" t="n"/>
      <c r="RRT287" s="1132" t="n"/>
      <c r="RRU287" s="1132" t="n"/>
      <c r="RRV287" s="1132" t="n"/>
      <c r="RRW287" s="1132" t="n"/>
      <c r="RRX287" s="1132" t="n"/>
      <c r="RRY287" s="1132" t="n"/>
      <c r="RRZ287" s="1132" t="n"/>
      <c r="RSA287" s="1132" t="n"/>
      <c r="RSB287" s="1132" t="n"/>
      <c r="RSC287" s="1132" t="n"/>
      <c r="RSD287" s="1132" t="n"/>
      <c r="RSE287" s="1132" t="n"/>
      <c r="RSF287" s="1132" t="n"/>
      <c r="RSG287" s="1132" t="n"/>
      <c r="RSH287" s="1132" t="n"/>
      <c r="RSI287" s="1132" t="n"/>
      <c r="RSJ287" s="1132" t="n"/>
      <c r="RSK287" s="1132" t="n"/>
      <c r="RSL287" s="1132" t="n"/>
      <c r="RSM287" s="1132" t="n"/>
      <c r="RSN287" s="1132" t="n"/>
      <c r="RSO287" s="1132" t="n"/>
      <c r="RSP287" s="1132" t="n"/>
      <c r="RSQ287" s="1132" t="n"/>
      <c r="RSR287" s="1132" t="n"/>
      <c r="RSS287" s="1132" t="n"/>
      <c r="RST287" s="1132" t="n"/>
      <c r="RSU287" s="1132" t="n"/>
      <c r="RSV287" s="1132" t="n"/>
      <c r="RSW287" s="1132" t="n"/>
      <c r="RSX287" s="1132" t="n"/>
      <c r="RSY287" s="1132" t="n"/>
      <c r="RSZ287" s="1132" t="n"/>
      <c r="RTA287" s="1132" t="n"/>
      <c r="RTB287" s="1132" t="n"/>
      <c r="RTC287" s="1132" t="n"/>
      <c r="RTD287" s="1132" t="n"/>
      <c r="RTE287" s="1132" t="n"/>
      <c r="RTF287" s="1132" t="n"/>
      <c r="RTG287" s="1132" t="n"/>
      <c r="RTH287" s="1132" t="n"/>
      <c r="RTI287" s="1132" t="n"/>
      <c r="RTJ287" s="1132" t="n"/>
      <c r="RTK287" s="1132" t="n"/>
      <c r="RTL287" s="1132" t="n"/>
      <c r="RTM287" s="1132" t="n"/>
      <c r="RTN287" s="1132" t="n"/>
      <c r="RTO287" s="1132" t="n"/>
      <c r="RTP287" s="1132" t="n"/>
      <c r="RTQ287" s="1132" t="n"/>
      <c r="RTR287" s="1132" t="n"/>
      <c r="RTS287" s="1132" t="n"/>
      <c r="RTT287" s="1132" t="n"/>
      <c r="RTU287" s="1132" t="n"/>
      <c r="RTV287" s="1132" t="n"/>
      <c r="RTW287" s="1132" t="n"/>
      <c r="RTX287" s="1132" t="n"/>
      <c r="RTY287" s="1132" t="n"/>
      <c r="RTZ287" s="1132" t="n"/>
      <c r="RUA287" s="1132" t="n"/>
      <c r="RUB287" s="1132" t="n"/>
      <c r="RUC287" s="1132" t="n"/>
      <c r="RUD287" s="1132" t="n"/>
      <c r="RUE287" s="1132" t="n"/>
      <c r="RUF287" s="1132" t="n"/>
      <c r="RUG287" s="1132" t="n"/>
      <c r="RUH287" s="1132" t="n"/>
      <c r="RUI287" s="1132" t="n"/>
      <c r="RUJ287" s="1132" t="n"/>
      <c r="RUK287" s="1132" t="n"/>
      <c r="RUL287" s="1132" t="n"/>
      <c r="RUM287" s="1132" t="n"/>
      <c r="RUN287" s="1132" t="n"/>
      <c r="RUO287" s="1132" t="n"/>
      <c r="RUP287" s="1132" t="n"/>
      <c r="RUQ287" s="1132" t="n"/>
      <c r="RUR287" s="1132" t="n"/>
      <c r="RUS287" s="1132" t="n"/>
      <c r="RUT287" s="1132" t="n"/>
      <c r="RUU287" s="1132" t="n"/>
      <c r="RUV287" s="1132" t="n"/>
      <c r="RUW287" s="1132" t="n"/>
      <c r="RUX287" s="1132" t="n"/>
      <c r="RUY287" s="1132" t="n"/>
      <c r="RUZ287" s="1132" t="n"/>
      <c r="RVA287" s="1132" t="n"/>
      <c r="RVB287" s="1132" t="n"/>
      <c r="RVC287" s="1132" t="n"/>
      <c r="RVD287" s="1132" t="n"/>
      <c r="RVE287" s="1132" t="n"/>
      <c r="RVF287" s="1132" t="n"/>
      <c r="RVG287" s="1132" t="n"/>
      <c r="RVH287" s="1132" t="n"/>
      <c r="RVI287" s="1132" t="n"/>
      <c r="RVJ287" s="1132" t="n"/>
      <c r="RVK287" s="1132" t="n"/>
      <c r="RVL287" s="1132" t="n"/>
      <c r="RVM287" s="1132" t="n"/>
      <c r="RVN287" s="1132" t="n"/>
      <c r="RVO287" s="1132" t="n"/>
      <c r="RVP287" s="1132" t="n"/>
      <c r="RVQ287" s="1132" t="n"/>
      <c r="RVR287" s="1132" t="n"/>
      <c r="RVS287" s="1132" t="n"/>
      <c r="RVT287" s="1132" t="n"/>
      <c r="RVU287" s="1132" t="n"/>
      <c r="RVV287" s="1132" t="n"/>
      <c r="RVW287" s="1132" t="n"/>
      <c r="RVX287" s="1132" t="n"/>
      <c r="RVY287" s="1132" t="n"/>
      <c r="RVZ287" s="1132" t="n"/>
      <c r="RWA287" s="1132" t="n"/>
      <c r="RWB287" s="1132" t="n"/>
      <c r="RWC287" s="1132" t="n"/>
      <c r="RWD287" s="1132" t="n"/>
      <c r="RWE287" s="1132" t="n"/>
      <c r="RWF287" s="1132" t="n"/>
      <c r="RWG287" s="1132" t="n"/>
      <c r="RWH287" s="1132" t="n"/>
      <c r="RWI287" s="1132" t="n"/>
      <c r="RWJ287" s="1132" t="n"/>
      <c r="RWK287" s="1132" t="n"/>
      <c r="RWL287" s="1132" t="n"/>
      <c r="RWM287" s="1132" t="n"/>
      <c r="RWN287" s="1132" t="n"/>
      <c r="RWO287" s="1132" t="n"/>
      <c r="RWP287" s="1132" t="n"/>
      <c r="RWQ287" s="1132" t="n"/>
      <c r="RWR287" s="1132" t="n"/>
      <c r="RWS287" s="1132" t="n"/>
      <c r="RWT287" s="1132" t="n"/>
      <c r="RWU287" s="1132" t="n"/>
      <c r="RWV287" s="1132" t="n"/>
      <c r="RWW287" s="1132" t="n"/>
      <c r="RWX287" s="1132" t="n"/>
      <c r="RWY287" s="1132" t="n"/>
      <c r="RWZ287" s="1132" t="n"/>
      <c r="RXA287" s="1132" t="n"/>
      <c r="RXB287" s="1132" t="n"/>
      <c r="RXC287" s="1132" t="n"/>
      <c r="RXD287" s="1132" t="n"/>
      <c r="RXE287" s="1132" t="n"/>
      <c r="RXF287" s="1132" t="n"/>
      <c r="RXG287" s="1132" t="n"/>
      <c r="RXH287" s="1132" t="n"/>
      <c r="RXI287" s="1132" t="n"/>
      <c r="RXJ287" s="1132" t="n"/>
      <c r="RXK287" s="1132" t="n"/>
      <c r="RXL287" s="1132" t="n"/>
      <c r="RXM287" s="1132" t="n"/>
      <c r="RXN287" s="1132" t="n"/>
      <c r="RXO287" s="1132" t="n"/>
      <c r="RXP287" s="1132" t="n"/>
      <c r="RXQ287" s="1132" t="n"/>
      <c r="RXR287" s="1132" t="n"/>
      <c r="RXS287" s="1132" t="n"/>
      <c r="RXT287" s="1132" t="n"/>
      <c r="RXU287" s="1132" t="n"/>
      <c r="RXV287" s="1132" t="n"/>
      <c r="RXW287" s="1132" t="n"/>
      <c r="RXX287" s="1132" t="n"/>
      <c r="RXY287" s="1132" t="n"/>
      <c r="RXZ287" s="1132" t="n"/>
      <c r="RYA287" s="1132" t="n"/>
      <c r="RYB287" s="1132" t="n"/>
      <c r="RYC287" s="1132" t="n"/>
      <c r="RYD287" s="1132" t="n"/>
      <c r="RYE287" s="1132" t="n"/>
      <c r="RYF287" s="1132" t="n"/>
      <c r="RYG287" s="1132" t="n"/>
      <c r="RYH287" s="1132" t="n"/>
      <c r="RYI287" s="1132" t="n"/>
      <c r="RYJ287" s="1132" t="n"/>
      <c r="RYK287" s="1132" t="n"/>
      <c r="RYL287" s="1132" t="n"/>
      <c r="RYM287" s="1132" t="n"/>
      <c r="RYN287" s="1132" t="n"/>
      <c r="RYO287" s="1132" t="n"/>
      <c r="RYP287" s="1132" t="n"/>
      <c r="RYQ287" s="1132" t="n"/>
      <c r="RYR287" s="1132" t="n"/>
      <c r="RYS287" s="1132" t="n"/>
      <c r="RYT287" s="1132" t="n"/>
      <c r="RYU287" s="1132" t="n"/>
      <c r="RYV287" s="1132" t="n"/>
      <c r="RYW287" s="1132" t="n"/>
      <c r="RYX287" s="1132" t="n"/>
      <c r="RYY287" s="1132" t="n"/>
      <c r="RYZ287" s="1132" t="n"/>
      <c r="RZA287" s="1132" t="n"/>
      <c r="RZB287" s="1132" t="n"/>
      <c r="RZC287" s="1132" t="n"/>
      <c r="RZD287" s="1132" t="n"/>
      <c r="RZE287" s="1132" t="n"/>
      <c r="RZF287" s="1132" t="n"/>
      <c r="RZG287" s="1132" t="n"/>
      <c r="RZH287" s="1132" t="n"/>
      <c r="RZI287" s="1132" t="n"/>
      <c r="RZJ287" s="1132" t="n"/>
      <c r="RZK287" s="1132" t="n"/>
      <c r="RZL287" s="1132" t="n"/>
      <c r="RZM287" s="1132" t="n"/>
      <c r="RZN287" s="1132" t="n"/>
      <c r="RZO287" s="1132" t="n"/>
      <c r="RZP287" s="1132" t="n"/>
      <c r="RZQ287" s="1132" t="n"/>
      <c r="RZR287" s="1132" t="n"/>
      <c r="RZS287" s="1132" t="n"/>
      <c r="RZT287" s="1132" t="n"/>
      <c r="RZU287" s="1132" t="n"/>
      <c r="RZV287" s="1132" t="n"/>
      <c r="RZW287" s="1132" t="n"/>
      <c r="RZX287" s="1132" t="n"/>
      <c r="RZY287" s="1132" t="n"/>
      <c r="RZZ287" s="1132" t="n"/>
      <c r="SAA287" s="1132" t="n"/>
      <c r="SAB287" s="1132" t="n"/>
      <c r="SAC287" s="1132" t="n"/>
      <c r="SAD287" s="1132" t="n"/>
      <c r="SAE287" s="1132" t="n"/>
      <c r="SAF287" s="1132" t="n"/>
      <c r="SAG287" s="1132" t="n"/>
      <c r="SAH287" s="1132" t="n"/>
      <c r="SAI287" s="1132" t="n"/>
      <c r="SAJ287" s="1132" t="n"/>
      <c r="SAK287" s="1132" t="n"/>
      <c r="SAL287" s="1132" t="n"/>
      <c r="SAM287" s="1132" t="n"/>
      <c r="SAN287" s="1132" t="n"/>
      <c r="SAO287" s="1132" t="n"/>
      <c r="SAP287" s="1132" t="n"/>
      <c r="SAQ287" s="1132" t="n"/>
      <c r="SAR287" s="1132" t="n"/>
      <c r="SAS287" s="1132" t="n"/>
      <c r="SAT287" s="1132" t="n"/>
      <c r="SAU287" s="1132" t="n"/>
      <c r="SAV287" s="1132" t="n"/>
      <c r="SAW287" s="1132" t="n"/>
      <c r="SAX287" s="1132" t="n"/>
      <c r="SAY287" s="1132" t="n"/>
      <c r="SAZ287" s="1132" t="n"/>
      <c r="SBA287" s="1132" t="n"/>
      <c r="SBB287" s="1132" t="n"/>
      <c r="SBC287" s="1132" t="n"/>
      <c r="SBD287" s="1132" t="n"/>
      <c r="SBE287" s="1132" t="n"/>
      <c r="SBF287" s="1132" t="n"/>
      <c r="SBG287" s="1132" t="n"/>
      <c r="SBH287" s="1132" t="n"/>
      <c r="SBI287" s="1132" t="n"/>
      <c r="SBJ287" s="1132" t="n"/>
      <c r="SBK287" s="1132" t="n"/>
      <c r="SBL287" s="1132" t="n"/>
      <c r="SBM287" s="1132" t="n"/>
      <c r="SBN287" s="1132" t="n"/>
      <c r="SBO287" s="1132" t="n"/>
      <c r="SBP287" s="1132" t="n"/>
      <c r="SBQ287" s="1132" t="n"/>
      <c r="SBR287" s="1132" t="n"/>
      <c r="SBS287" s="1132" t="n"/>
      <c r="SBT287" s="1132" t="n"/>
      <c r="SBU287" s="1132" t="n"/>
      <c r="SBV287" s="1132" t="n"/>
      <c r="SBW287" s="1132" t="n"/>
      <c r="SBX287" s="1132" t="n"/>
      <c r="SBY287" s="1132" t="n"/>
      <c r="SBZ287" s="1132" t="n"/>
      <c r="SCA287" s="1132" t="n"/>
      <c r="SCB287" s="1132" t="n"/>
      <c r="SCC287" s="1132" t="n"/>
      <c r="SCD287" s="1132" t="n"/>
      <c r="SCE287" s="1132" t="n"/>
      <c r="SCF287" s="1132" t="n"/>
      <c r="SCG287" s="1132" t="n"/>
      <c r="SCH287" s="1132" t="n"/>
      <c r="SCI287" s="1132" t="n"/>
      <c r="SCJ287" s="1132" t="n"/>
      <c r="SCK287" s="1132" t="n"/>
      <c r="SCL287" s="1132" t="n"/>
      <c r="SCM287" s="1132" t="n"/>
      <c r="SCN287" s="1132" t="n"/>
      <c r="SCO287" s="1132" t="n"/>
      <c r="SCP287" s="1132" t="n"/>
      <c r="SCQ287" s="1132" t="n"/>
      <c r="SCR287" s="1132" t="n"/>
      <c r="SCS287" s="1132" t="n"/>
      <c r="SCT287" s="1132" t="n"/>
      <c r="SCU287" s="1132" t="n"/>
      <c r="SCV287" s="1132" t="n"/>
      <c r="SCW287" s="1132" t="n"/>
      <c r="SCX287" s="1132" t="n"/>
      <c r="SCY287" s="1132" t="n"/>
      <c r="SCZ287" s="1132" t="n"/>
      <c r="SDA287" s="1132" t="n"/>
      <c r="SDB287" s="1132" t="n"/>
      <c r="SDC287" s="1132" t="n"/>
      <c r="SDD287" s="1132" t="n"/>
      <c r="SDE287" s="1132" t="n"/>
      <c r="SDF287" s="1132" t="n"/>
      <c r="SDG287" s="1132" t="n"/>
      <c r="SDH287" s="1132" t="n"/>
      <c r="SDI287" s="1132" t="n"/>
      <c r="SDJ287" s="1132" t="n"/>
      <c r="SDK287" s="1132" t="n"/>
      <c r="SDL287" s="1132" t="n"/>
      <c r="SDM287" s="1132" t="n"/>
      <c r="SDN287" s="1132" t="n"/>
      <c r="SDO287" s="1132" t="n"/>
      <c r="SDP287" s="1132" t="n"/>
      <c r="SDQ287" s="1132" t="n"/>
      <c r="SDR287" s="1132" t="n"/>
      <c r="SDS287" s="1132" t="n"/>
      <c r="SDT287" s="1132" t="n"/>
      <c r="SDU287" s="1132" t="n"/>
      <c r="SDV287" s="1132" t="n"/>
      <c r="SDW287" s="1132" t="n"/>
      <c r="SDX287" s="1132" t="n"/>
      <c r="SDY287" s="1132" t="n"/>
      <c r="SDZ287" s="1132" t="n"/>
      <c r="SEA287" s="1132" t="n"/>
      <c r="SEB287" s="1132" t="n"/>
      <c r="SEC287" s="1132" t="n"/>
      <c r="SED287" s="1132" t="n"/>
      <c r="SEE287" s="1132" t="n"/>
      <c r="SEF287" s="1132" t="n"/>
      <c r="SEG287" s="1132" t="n"/>
      <c r="SEH287" s="1132" t="n"/>
      <c r="SEI287" s="1132" t="n"/>
      <c r="SEJ287" s="1132" t="n"/>
      <c r="SEK287" s="1132" t="n"/>
      <c r="SEL287" s="1132" t="n"/>
      <c r="SEM287" s="1132" t="n"/>
      <c r="SEN287" s="1132" t="n"/>
      <c r="SEO287" s="1132" t="n"/>
      <c r="SEP287" s="1132" t="n"/>
      <c r="SEQ287" s="1132" t="n"/>
      <c r="SER287" s="1132" t="n"/>
      <c r="SES287" s="1132" t="n"/>
      <c r="SET287" s="1132" t="n"/>
      <c r="SEU287" s="1132" t="n"/>
      <c r="SEV287" s="1132" t="n"/>
      <c r="SEW287" s="1132" t="n"/>
      <c r="SEX287" s="1132" t="n"/>
      <c r="SEY287" s="1132" t="n"/>
      <c r="SEZ287" s="1132" t="n"/>
      <c r="SFA287" s="1132" t="n"/>
      <c r="SFB287" s="1132" t="n"/>
      <c r="SFC287" s="1132" t="n"/>
      <c r="SFD287" s="1132" t="n"/>
      <c r="SFE287" s="1132" t="n"/>
      <c r="SFF287" s="1132" t="n"/>
      <c r="SFG287" s="1132" t="n"/>
      <c r="SFH287" s="1132" t="n"/>
      <c r="SFI287" s="1132" t="n"/>
      <c r="SFJ287" s="1132" t="n"/>
      <c r="SFK287" s="1132" t="n"/>
      <c r="SFL287" s="1132" t="n"/>
      <c r="SFM287" s="1132" t="n"/>
      <c r="SFN287" s="1132" t="n"/>
      <c r="SFO287" s="1132" t="n"/>
      <c r="SFP287" s="1132" t="n"/>
      <c r="SFQ287" s="1132" t="n"/>
      <c r="SFR287" s="1132" t="n"/>
      <c r="SFS287" s="1132" t="n"/>
      <c r="SFT287" s="1132" t="n"/>
      <c r="SFU287" s="1132" t="n"/>
      <c r="SFV287" s="1132" t="n"/>
      <c r="SFW287" s="1132" t="n"/>
      <c r="SFX287" s="1132" t="n"/>
      <c r="SFY287" s="1132" t="n"/>
      <c r="SFZ287" s="1132" t="n"/>
      <c r="SGA287" s="1132" t="n"/>
      <c r="SGB287" s="1132" t="n"/>
      <c r="SGC287" s="1132" t="n"/>
      <c r="SGD287" s="1132" t="n"/>
      <c r="SGE287" s="1132" t="n"/>
      <c r="SGF287" s="1132" t="n"/>
      <c r="SGG287" s="1132" t="n"/>
      <c r="SGH287" s="1132" t="n"/>
      <c r="SGI287" s="1132" t="n"/>
      <c r="SGJ287" s="1132" t="n"/>
      <c r="SGK287" s="1132" t="n"/>
      <c r="SGL287" s="1132" t="n"/>
      <c r="SGM287" s="1132" t="n"/>
      <c r="SGN287" s="1132" t="n"/>
      <c r="SGO287" s="1132" t="n"/>
      <c r="SGP287" s="1132" t="n"/>
      <c r="SGQ287" s="1132" t="n"/>
      <c r="SGR287" s="1132" t="n"/>
      <c r="SGS287" s="1132" t="n"/>
      <c r="SGT287" s="1132" t="n"/>
      <c r="SGU287" s="1132" t="n"/>
      <c r="SGV287" s="1132" t="n"/>
      <c r="SGW287" s="1132" t="n"/>
      <c r="SGX287" s="1132" t="n"/>
      <c r="SGY287" s="1132" t="n"/>
      <c r="SGZ287" s="1132" t="n"/>
      <c r="SHA287" s="1132" t="n"/>
      <c r="SHB287" s="1132" t="n"/>
      <c r="SHC287" s="1132" t="n"/>
      <c r="SHD287" s="1132" t="n"/>
      <c r="SHE287" s="1132" t="n"/>
      <c r="SHF287" s="1132" t="n"/>
      <c r="SHG287" s="1132" t="n"/>
      <c r="SHH287" s="1132" t="n"/>
      <c r="SHI287" s="1132" t="n"/>
      <c r="SHJ287" s="1132" t="n"/>
      <c r="SHK287" s="1132" t="n"/>
      <c r="SHL287" s="1132" t="n"/>
      <c r="SHM287" s="1132" t="n"/>
      <c r="SHN287" s="1132" t="n"/>
      <c r="SHO287" s="1132" t="n"/>
      <c r="SHP287" s="1132" t="n"/>
      <c r="SHQ287" s="1132" t="n"/>
      <c r="SHR287" s="1132" t="n"/>
      <c r="SHS287" s="1132" t="n"/>
      <c r="SHT287" s="1132" t="n"/>
      <c r="SHU287" s="1132" t="n"/>
      <c r="SHV287" s="1132" t="n"/>
      <c r="SHW287" s="1132" t="n"/>
      <c r="SHX287" s="1132" t="n"/>
      <c r="SHY287" s="1132" t="n"/>
      <c r="SHZ287" s="1132" t="n"/>
      <c r="SIA287" s="1132" t="n"/>
      <c r="SIB287" s="1132" t="n"/>
      <c r="SIC287" s="1132" t="n"/>
      <c r="SID287" s="1132" t="n"/>
      <c r="SIE287" s="1132" t="n"/>
      <c r="SIF287" s="1132" t="n"/>
      <c r="SIG287" s="1132" t="n"/>
      <c r="SIH287" s="1132" t="n"/>
      <c r="SII287" s="1132" t="n"/>
      <c r="SIJ287" s="1132" t="n"/>
      <c r="SIK287" s="1132" t="n"/>
      <c r="SIL287" s="1132" t="n"/>
      <c r="SIM287" s="1132" t="n"/>
      <c r="SIN287" s="1132" t="n"/>
      <c r="SIO287" s="1132" t="n"/>
      <c r="SIP287" s="1132" t="n"/>
      <c r="SIQ287" s="1132" t="n"/>
      <c r="SIR287" s="1132" t="n"/>
      <c r="SIS287" s="1132" t="n"/>
      <c r="SIT287" s="1132" t="n"/>
      <c r="SIU287" s="1132" t="n"/>
      <c r="SIV287" s="1132" t="n"/>
      <c r="SIW287" s="1132" t="n"/>
      <c r="SIX287" s="1132" t="n"/>
      <c r="SIY287" s="1132" t="n"/>
      <c r="SIZ287" s="1132" t="n"/>
      <c r="SJA287" s="1132" t="n"/>
      <c r="SJB287" s="1132" t="n"/>
      <c r="SJC287" s="1132" t="n"/>
      <c r="SJD287" s="1132" t="n"/>
      <c r="SJE287" s="1132" t="n"/>
      <c r="SJF287" s="1132" t="n"/>
      <c r="SJG287" s="1132" t="n"/>
      <c r="SJH287" s="1132" t="n"/>
      <c r="SJI287" s="1132" t="n"/>
      <c r="SJJ287" s="1132" t="n"/>
      <c r="SJK287" s="1132" t="n"/>
      <c r="SJL287" s="1132" t="n"/>
      <c r="SJM287" s="1132" t="n"/>
      <c r="SJN287" s="1132" t="n"/>
      <c r="SJO287" s="1132" t="n"/>
      <c r="SJP287" s="1132" t="n"/>
      <c r="SJQ287" s="1132" t="n"/>
      <c r="SJR287" s="1132" t="n"/>
      <c r="SJS287" s="1132" t="n"/>
      <c r="SJT287" s="1132" t="n"/>
      <c r="SJU287" s="1132" t="n"/>
      <c r="SJV287" s="1132" t="n"/>
      <c r="SJW287" s="1132" t="n"/>
      <c r="SJX287" s="1132" t="n"/>
      <c r="SJY287" s="1132" t="n"/>
      <c r="SJZ287" s="1132" t="n"/>
      <c r="SKA287" s="1132" t="n"/>
      <c r="SKB287" s="1132" t="n"/>
      <c r="SKC287" s="1132" t="n"/>
      <c r="SKD287" s="1132" t="n"/>
      <c r="SKE287" s="1132" t="n"/>
      <c r="SKF287" s="1132" t="n"/>
      <c r="SKG287" s="1132" t="n"/>
      <c r="SKH287" s="1132" t="n"/>
      <c r="SKI287" s="1132" t="n"/>
      <c r="SKJ287" s="1132" t="n"/>
      <c r="SKK287" s="1132" t="n"/>
      <c r="SKL287" s="1132" t="n"/>
      <c r="SKM287" s="1132" t="n"/>
      <c r="SKN287" s="1132" t="n"/>
      <c r="SKO287" s="1132" t="n"/>
      <c r="SKP287" s="1132" t="n"/>
      <c r="SKQ287" s="1132" t="n"/>
      <c r="SKR287" s="1132" t="n"/>
      <c r="SKS287" s="1132" t="n"/>
      <c r="SKT287" s="1132" t="n"/>
      <c r="SKU287" s="1132" t="n"/>
      <c r="SKV287" s="1132" t="n"/>
      <c r="SKW287" s="1132" t="n"/>
      <c r="SKX287" s="1132" t="n"/>
      <c r="SKY287" s="1132" t="n"/>
      <c r="SKZ287" s="1132" t="n"/>
      <c r="SLA287" s="1132" t="n"/>
      <c r="SLB287" s="1132" t="n"/>
      <c r="SLC287" s="1132" t="n"/>
      <c r="SLD287" s="1132" t="n"/>
      <c r="SLE287" s="1132" t="n"/>
      <c r="SLF287" s="1132" t="n"/>
      <c r="SLG287" s="1132" t="n"/>
      <c r="SLH287" s="1132" t="n"/>
      <c r="SLI287" s="1132" t="n"/>
      <c r="SLJ287" s="1132" t="n"/>
      <c r="SLK287" s="1132" t="n"/>
      <c r="SLL287" s="1132" t="n"/>
      <c r="SLM287" s="1132" t="n"/>
      <c r="SLN287" s="1132" t="n"/>
      <c r="SLO287" s="1132" t="n"/>
      <c r="SLP287" s="1132" t="n"/>
      <c r="SLQ287" s="1132" t="n"/>
      <c r="SLR287" s="1132" t="n"/>
      <c r="SLS287" s="1132" t="n"/>
      <c r="SLT287" s="1132" t="n"/>
      <c r="SLU287" s="1132" t="n"/>
      <c r="SLV287" s="1132" t="n"/>
      <c r="SLW287" s="1132" t="n"/>
      <c r="SLX287" s="1132" t="n"/>
      <c r="SLY287" s="1132" t="n"/>
      <c r="SLZ287" s="1132" t="n"/>
      <c r="SMA287" s="1132" t="n"/>
      <c r="SMB287" s="1132" t="n"/>
      <c r="SMC287" s="1132" t="n"/>
      <c r="SMD287" s="1132" t="n"/>
      <c r="SME287" s="1132" t="n"/>
      <c r="SMF287" s="1132" t="n"/>
      <c r="SMG287" s="1132" t="n"/>
      <c r="SMH287" s="1132" t="n"/>
      <c r="SMI287" s="1132" t="n"/>
      <c r="SMJ287" s="1132" t="n"/>
      <c r="SMK287" s="1132" t="n"/>
      <c r="SML287" s="1132" t="n"/>
      <c r="SMM287" s="1132" t="n"/>
      <c r="SMN287" s="1132" t="n"/>
      <c r="SMO287" s="1132" t="n"/>
      <c r="SMP287" s="1132" t="n"/>
      <c r="SMQ287" s="1132" t="n"/>
      <c r="SMR287" s="1132" t="n"/>
      <c r="SMS287" s="1132" t="n"/>
      <c r="SMT287" s="1132" t="n"/>
      <c r="SMU287" s="1132" t="n"/>
      <c r="SMV287" s="1132" t="n"/>
      <c r="SMW287" s="1132" t="n"/>
      <c r="SMX287" s="1132" t="n"/>
      <c r="SMY287" s="1132" t="n"/>
      <c r="SMZ287" s="1132" t="n"/>
      <c r="SNA287" s="1132" t="n"/>
      <c r="SNB287" s="1132" t="n"/>
      <c r="SNC287" s="1132" t="n"/>
      <c r="SND287" s="1132" t="n"/>
      <c r="SNE287" s="1132" t="n"/>
      <c r="SNF287" s="1132" t="n"/>
      <c r="SNG287" s="1132" t="n"/>
      <c r="SNH287" s="1132" t="n"/>
      <c r="SNI287" s="1132" t="n"/>
      <c r="SNJ287" s="1132" t="n"/>
      <c r="SNK287" s="1132" t="n"/>
      <c r="SNL287" s="1132" t="n"/>
      <c r="SNM287" s="1132" t="n"/>
      <c r="SNN287" s="1132" t="n"/>
      <c r="SNO287" s="1132" t="n"/>
      <c r="SNP287" s="1132" t="n"/>
      <c r="SNQ287" s="1132" t="n"/>
      <c r="SNR287" s="1132" t="n"/>
      <c r="SNS287" s="1132" t="n"/>
      <c r="SNT287" s="1132" t="n"/>
      <c r="SNU287" s="1132" t="n"/>
      <c r="SNV287" s="1132" t="n"/>
      <c r="SNW287" s="1132" t="n"/>
      <c r="SNX287" s="1132" t="n"/>
      <c r="SNY287" s="1132" t="n"/>
      <c r="SNZ287" s="1132" t="n"/>
      <c r="SOA287" s="1132" t="n"/>
      <c r="SOB287" s="1132" t="n"/>
      <c r="SOC287" s="1132" t="n"/>
      <c r="SOD287" s="1132" t="n"/>
      <c r="SOE287" s="1132" t="n"/>
      <c r="SOF287" s="1132" t="n"/>
      <c r="SOG287" s="1132" t="n"/>
      <c r="SOH287" s="1132" t="n"/>
      <c r="SOI287" s="1132" t="n"/>
      <c r="SOJ287" s="1132" t="n"/>
      <c r="SOK287" s="1132" t="n"/>
      <c r="SOL287" s="1132" t="n"/>
      <c r="SOM287" s="1132" t="n"/>
      <c r="SON287" s="1132" t="n"/>
      <c r="SOO287" s="1132" t="n"/>
      <c r="SOP287" s="1132" t="n"/>
      <c r="SOQ287" s="1132" t="n"/>
      <c r="SOR287" s="1132" t="n"/>
      <c r="SOS287" s="1132" t="n"/>
      <c r="SOT287" s="1132" t="n"/>
      <c r="SOU287" s="1132" t="n"/>
      <c r="SOV287" s="1132" t="n"/>
      <c r="SOW287" s="1132" t="n"/>
      <c r="SOX287" s="1132" t="n"/>
      <c r="SOY287" s="1132" t="n"/>
      <c r="SOZ287" s="1132" t="n"/>
      <c r="SPA287" s="1132" t="n"/>
      <c r="SPB287" s="1132" t="n"/>
      <c r="SPC287" s="1132" t="n"/>
      <c r="SPD287" s="1132" t="n"/>
      <c r="SPE287" s="1132" t="n"/>
      <c r="SPF287" s="1132" t="n"/>
      <c r="SPG287" s="1132" t="n"/>
      <c r="SPH287" s="1132" t="n"/>
      <c r="SPI287" s="1132" t="n"/>
      <c r="SPJ287" s="1132" t="n"/>
      <c r="SPK287" s="1132" t="n"/>
      <c r="SPL287" s="1132" t="n"/>
      <c r="SPM287" s="1132" t="n"/>
      <c r="SPN287" s="1132" t="n"/>
      <c r="SPO287" s="1132" t="n"/>
      <c r="SPP287" s="1132" t="n"/>
      <c r="SPQ287" s="1132" t="n"/>
      <c r="SPR287" s="1132" t="n"/>
      <c r="SPS287" s="1132" t="n"/>
      <c r="SPT287" s="1132" t="n"/>
      <c r="SPU287" s="1132" t="n"/>
      <c r="SPV287" s="1132" t="n"/>
      <c r="SPW287" s="1132" t="n"/>
      <c r="SPX287" s="1132" t="n"/>
      <c r="SPY287" s="1132" t="n"/>
      <c r="SPZ287" s="1132" t="n"/>
      <c r="SQA287" s="1132" t="n"/>
      <c r="SQB287" s="1132" t="n"/>
      <c r="SQC287" s="1132" t="n"/>
      <c r="SQD287" s="1132" t="n"/>
      <c r="SQE287" s="1132" t="n"/>
      <c r="SQF287" s="1132" t="n"/>
      <c r="SQG287" s="1132" t="n"/>
      <c r="SQH287" s="1132" t="n"/>
      <c r="SQI287" s="1132" t="n"/>
      <c r="SQJ287" s="1132" t="n"/>
      <c r="SQK287" s="1132" t="n"/>
      <c r="SQL287" s="1132" t="n"/>
      <c r="SQM287" s="1132" t="n"/>
      <c r="SQN287" s="1132" t="n"/>
      <c r="SQO287" s="1132" t="n"/>
      <c r="SQP287" s="1132" t="n"/>
      <c r="SQQ287" s="1132" t="n"/>
      <c r="SQR287" s="1132" t="n"/>
      <c r="SQS287" s="1132" t="n"/>
      <c r="SQT287" s="1132" t="n"/>
      <c r="SQU287" s="1132" t="n"/>
      <c r="SQV287" s="1132" t="n"/>
      <c r="SQW287" s="1132" t="n"/>
      <c r="SQX287" s="1132" t="n"/>
      <c r="SQY287" s="1132" t="n"/>
      <c r="SQZ287" s="1132" t="n"/>
      <c r="SRA287" s="1132" t="n"/>
      <c r="SRB287" s="1132" t="n"/>
      <c r="SRC287" s="1132" t="n"/>
      <c r="SRD287" s="1132" t="n"/>
      <c r="SRE287" s="1132" t="n"/>
      <c r="SRF287" s="1132" t="n"/>
      <c r="SRG287" s="1132" t="n"/>
      <c r="SRH287" s="1132" t="n"/>
      <c r="SRI287" s="1132" t="n"/>
      <c r="SRJ287" s="1132" t="n"/>
      <c r="SRK287" s="1132" t="n"/>
      <c r="SRL287" s="1132" t="n"/>
      <c r="SRM287" s="1132" t="n"/>
      <c r="SRN287" s="1132" t="n"/>
      <c r="SRO287" s="1132" t="n"/>
      <c r="SRP287" s="1132" t="n"/>
      <c r="SRQ287" s="1132" t="n"/>
      <c r="SRR287" s="1132" t="n"/>
      <c r="SRS287" s="1132" t="n"/>
      <c r="SRT287" s="1132" t="n"/>
      <c r="SRU287" s="1132" t="n"/>
      <c r="SRV287" s="1132" t="n"/>
      <c r="SRW287" s="1132" t="n"/>
      <c r="SRX287" s="1132" t="n"/>
      <c r="SRY287" s="1132" t="n"/>
      <c r="SRZ287" s="1132" t="n"/>
      <c r="SSA287" s="1132" t="n"/>
      <c r="SSB287" s="1132" t="n"/>
      <c r="SSC287" s="1132" t="n"/>
      <c r="SSD287" s="1132" t="n"/>
      <c r="SSE287" s="1132" t="n"/>
      <c r="SSF287" s="1132" t="n"/>
      <c r="SSG287" s="1132" t="n"/>
      <c r="SSH287" s="1132" t="n"/>
      <c r="SSI287" s="1132" t="n"/>
      <c r="SSJ287" s="1132" t="n"/>
      <c r="SSK287" s="1132" t="n"/>
      <c r="SSL287" s="1132" t="n"/>
      <c r="SSM287" s="1132" t="n"/>
      <c r="SSN287" s="1132" t="n"/>
      <c r="SSO287" s="1132" t="n"/>
      <c r="SSP287" s="1132" t="n"/>
      <c r="SSQ287" s="1132" t="n"/>
      <c r="SSR287" s="1132" t="n"/>
      <c r="SSS287" s="1132" t="n"/>
      <c r="SST287" s="1132" t="n"/>
      <c r="SSU287" s="1132" t="n"/>
      <c r="SSV287" s="1132" t="n"/>
      <c r="SSW287" s="1132" t="n"/>
      <c r="SSX287" s="1132" t="n"/>
      <c r="SSY287" s="1132" t="n"/>
      <c r="SSZ287" s="1132" t="n"/>
      <c r="STA287" s="1132" t="n"/>
      <c r="STB287" s="1132" t="n"/>
      <c r="STC287" s="1132" t="n"/>
      <c r="STD287" s="1132" t="n"/>
      <c r="STE287" s="1132" t="n"/>
      <c r="STF287" s="1132" t="n"/>
      <c r="STG287" s="1132" t="n"/>
      <c r="STH287" s="1132" t="n"/>
      <c r="STI287" s="1132" t="n"/>
      <c r="STJ287" s="1132" t="n"/>
      <c r="STK287" s="1132" t="n"/>
      <c r="STL287" s="1132" t="n"/>
      <c r="STM287" s="1132" t="n"/>
      <c r="STN287" s="1132" t="n"/>
      <c r="STO287" s="1132" t="n"/>
      <c r="STP287" s="1132" t="n"/>
      <c r="STQ287" s="1132" t="n"/>
      <c r="STR287" s="1132" t="n"/>
      <c r="STS287" s="1132" t="n"/>
      <c r="STT287" s="1132" t="n"/>
      <c r="STU287" s="1132" t="n"/>
      <c r="STV287" s="1132" t="n"/>
      <c r="STW287" s="1132" t="n"/>
      <c r="STX287" s="1132" t="n"/>
      <c r="STY287" s="1132" t="n"/>
      <c r="STZ287" s="1132" t="n"/>
      <c r="SUA287" s="1132" t="n"/>
      <c r="SUB287" s="1132" t="n"/>
      <c r="SUC287" s="1132" t="n"/>
      <c r="SUD287" s="1132" t="n"/>
      <c r="SUE287" s="1132" t="n"/>
      <c r="SUF287" s="1132" t="n"/>
      <c r="SUG287" s="1132" t="n"/>
      <c r="SUH287" s="1132" t="n"/>
      <c r="SUI287" s="1132" t="n"/>
      <c r="SUJ287" s="1132" t="n"/>
      <c r="SUK287" s="1132" t="n"/>
      <c r="SUL287" s="1132" t="n"/>
      <c r="SUM287" s="1132" t="n"/>
      <c r="SUN287" s="1132" t="n"/>
      <c r="SUO287" s="1132" t="n"/>
      <c r="SUP287" s="1132" t="n"/>
      <c r="SUQ287" s="1132" t="n"/>
      <c r="SUR287" s="1132" t="n"/>
      <c r="SUS287" s="1132" t="n"/>
      <c r="SUT287" s="1132" t="n"/>
      <c r="SUU287" s="1132" t="n"/>
      <c r="SUV287" s="1132" t="n"/>
      <c r="SUW287" s="1132" t="n"/>
      <c r="SUX287" s="1132" t="n"/>
      <c r="SUY287" s="1132" t="n"/>
      <c r="SUZ287" s="1132" t="n"/>
      <c r="SVA287" s="1132" t="n"/>
      <c r="SVB287" s="1132" t="n"/>
      <c r="SVC287" s="1132" t="n"/>
      <c r="SVD287" s="1132" t="n"/>
      <c r="SVE287" s="1132" t="n"/>
      <c r="SVF287" s="1132" t="n"/>
      <c r="SVG287" s="1132" t="n"/>
      <c r="SVH287" s="1132" t="n"/>
      <c r="SVI287" s="1132" t="n"/>
      <c r="SVJ287" s="1132" t="n"/>
      <c r="SVK287" s="1132" t="n"/>
      <c r="SVL287" s="1132" t="n"/>
      <c r="SVM287" s="1132" t="n"/>
      <c r="SVN287" s="1132" t="n"/>
      <c r="SVO287" s="1132" t="n"/>
      <c r="SVP287" s="1132" t="n"/>
      <c r="SVQ287" s="1132" t="n"/>
      <c r="SVR287" s="1132" t="n"/>
      <c r="SVS287" s="1132" t="n"/>
      <c r="SVT287" s="1132" t="n"/>
      <c r="SVU287" s="1132" t="n"/>
      <c r="SVV287" s="1132" t="n"/>
      <c r="SVW287" s="1132" t="n"/>
      <c r="SVX287" s="1132" t="n"/>
      <c r="SVY287" s="1132" t="n"/>
      <c r="SVZ287" s="1132" t="n"/>
      <c r="SWA287" s="1132" t="n"/>
      <c r="SWB287" s="1132" t="n"/>
      <c r="SWC287" s="1132" t="n"/>
      <c r="SWD287" s="1132" t="n"/>
      <c r="SWE287" s="1132" t="n"/>
      <c r="SWF287" s="1132" t="n"/>
      <c r="SWG287" s="1132" t="n"/>
      <c r="SWH287" s="1132" t="n"/>
      <c r="SWI287" s="1132" t="n"/>
      <c r="SWJ287" s="1132" t="n"/>
      <c r="SWK287" s="1132" t="n"/>
      <c r="SWL287" s="1132" t="n"/>
      <c r="SWM287" s="1132" t="n"/>
      <c r="SWN287" s="1132" t="n"/>
      <c r="SWO287" s="1132" t="n"/>
      <c r="SWP287" s="1132" t="n"/>
      <c r="SWQ287" s="1132" t="n"/>
      <c r="SWR287" s="1132" t="n"/>
      <c r="SWS287" s="1132" t="n"/>
      <c r="SWT287" s="1132" t="n"/>
      <c r="SWU287" s="1132" t="n"/>
      <c r="SWV287" s="1132" t="n"/>
      <c r="SWW287" s="1132" t="n"/>
      <c r="SWX287" s="1132" t="n"/>
      <c r="SWY287" s="1132" t="n"/>
      <c r="SWZ287" s="1132" t="n"/>
      <c r="SXA287" s="1132" t="n"/>
      <c r="SXB287" s="1132" t="n"/>
      <c r="SXC287" s="1132" t="n"/>
      <c r="SXD287" s="1132" t="n"/>
      <c r="SXE287" s="1132" t="n"/>
      <c r="SXF287" s="1132" t="n"/>
      <c r="SXG287" s="1132" t="n"/>
      <c r="SXH287" s="1132" t="n"/>
      <c r="SXI287" s="1132" t="n"/>
      <c r="SXJ287" s="1132" t="n"/>
      <c r="SXK287" s="1132" t="n"/>
      <c r="SXL287" s="1132" t="n"/>
      <c r="SXM287" s="1132" t="n"/>
      <c r="SXN287" s="1132" t="n"/>
      <c r="SXO287" s="1132" t="n"/>
      <c r="SXP287" s="1132" t="n"/>
      <c r="SXQ287" s="1132" t="n"/>
      <c r="SXR287" s="1132" t="n"/>
      <c r="SXS287" s="1132" t="n"/>
      <c r="SXT287" s="1132" t="n"/>
      <c r="SXU287" s="1132" t="n"/>
      <c r="SXV287" s="1132" t="n"/>
      <c r="SXW287" s="1132" t="n"/>
      <c r="SXX287" s="1132" t="n"/>
      <c r="SXY287" s="1132" t="n"/>
      <c r="SXZ287" s="1132" t="n"/>
      <c r="SYA287" s="1132" t="n"/>
      <c r="SYB287" s="1132" t="n"/>
      <c r="SYC287" s="1132" t="n"/>
      <c r="SYD287" s="1132" t="n"/>
      <c r="SYE287" s="1132" t="n"/>
      <c r="SYF287" s="1132" t="n"/>
      <c r="SYG287" s="1132" t="n"/>
      <c r="SYH287" s="1132" t="n"/>
      <c r="SYI287" s="1132" t="n"/>
      <c r="SYJ287" s="1132" t="n"/>
      <c r="SYK287" s="1132" t="n"/>
      <c r="SYL287" s="1132" t="n"/>
      <c r="SYM287" s="1132" t="n"/>
      <c r="SYN287" s="1132" t="n"/>
      <c r="SYO287" s="1132" t="n"/>
      <c r="SYP287" s="1132" t="n"/>
      <c r="SYQ287" s="1132" t="n"/>
      <c r="SYR287" s="1132" t="n"/>
      <c r="SYS287" s="1132" t="n"/>
      <c r="SYT287" s="1132" t="n"/>
      <c r="SYU287" s="1132" t="n"/>
      <c r="SYV287" s="1132" t="n"/>
      <c r="SYW287" s="1132" t="n"/>
      <c r="SYX287" s="1132" t="n"/>
      <c r="SYY287" s="1132" t="n"/>
      <c r="SYZ287" s="1132" t="n"/>
      <c r="SZA287" s="1132" t="n"/>
      <c r="SZB287" s="1132" t="n"/>
      <c r="SZC287" s="1132" t="n"/>
      <c r="SZD287" s="1132" t="n"/>
      <c r="SZE287" s="1132" t="n"/>
      <c r="SZF287" s="1132" t="n"/>
      <c r="SZG287" s="1132" t="n"/>
      <c r="SZH287" s="1132" t="n"/>
      <c r="SZI287" s="1132" t="n"/>
      <c r="SZJ287" s="1132" t="n"/>
      <c r="SZK287" s="1132" t="n"/>
      <c r="SZL287" s="1132" t="n"/>
      <c r="SZM287" s="1132" t="n"/>
      <c r="SZN287" s="1132" t="n"/>
      <c r="SZO287" s="1132" t="n"/>
      <c r="SZP287" s="1132" t="n"/>
      <c r="SZQ287" s="1132" t="n"/>
      <c r="SZR287" s="1132" t="n"/>
      <c r="SZS287" s="1132" t="n"/>
      <c r="SZT287" s="1132" t="n"/>
      <c r="SZU287" s="1132" t="n"/>
      <c r="SZV287" s="1132" t="n"/>
      <c r="SZW287" s="1132" t="n"/>
      <c r="SZX287" s="1132" t="n"/>
      <c r="SZY287" s="1132" t="n"/>
      <c r="SZZ287" s="1132" t="n"/>
      <c r="TAA287" s="1132" t="n"/>
      <c r="TAB287" s="1132" t="n"/>
      <c r="TAC287" s="1132" t="n"/>
      <c r="TAD287" s="1132" t="n"/>
      <c r="TAE287" s="1132" t="n"/>
      <c r="TAF287" s="1132" t="n"/>
      <c r="TAG287" s="1132" t="n"/>
      <c r="TAH287" s="1132" t="n"/>
      <c r="TAI287" s="1132" t="n"/>
      <c r="TAJ287" s="1132" t="n"/>
      <c r="TAK287" s="1132" t="n"/>
      <c r="TAL287" s="1132" t="n"/>
      <c r="TAM287" s="1132" t="n"/>
      <c r="TAN287" s="1132" t="n"/>
      <c r="TAO287" s="1132" t="n"/>
      <c r="TAP287" s="1132" t="n"/>
      <c r="TAQ287" s="1132" t="n"/>
      <c r="TAR287" s="1132" t="n"/>
      <c r="TAS287" s="1132" t="n"/>
      <c r="TAT287" s="1132" t="n"/>
      <c r="TAU287" s="1132" t="n"/>
      <c r="TAV287" s="1132" t="n"/>
      <c r="TAW287" s="1132" t="n"/>
      <c r="TAX287" s="1132" t="n"/>
      <c r="TAY287" s="1132" t="n"/>
      <c r="TAZ287" s="1132" t="n"/>
      <c r="TBA287" s="1132" t="n"/>
      <c r="TBB287" s="1132" t="n"/>
      <c r="TBC287" s="1132" t="n"/>
      <c r="TBD287" s="1132" t="n"/>
      <c r="TBE287" s="1132" t="n"/>
      <c r="TBF287" s="1132" t="n"/>
      <c r="TBG287" s="1132" t="n"/>
      <c r="TBH287" s="1132" t="n"/>
      <c r="TBI287" s="1132" t="n"/>
      <c r="TBJ287" s="1132" t="n"/>
      <c r="TBK287" s="1132" t="n"/>
      <c r="TBL287" s="1132" t="n"/>
      <c r="TBM287" s="1132" t="n"/>
      <c r="TBN287" s="1132" t="n"/>
      <c r="TBO287" s="1132" t="n"/>
      <c r="TBP287" s="1132" t="n"/>
      <c r="TBQ287" s="1132" t="n"/>
      <c r="TBR287" s="1132" t="n"/>
      <c r="TBS287" s="1132" t="n"/>
      <c r="TBT287" s="1132" t="n"/>
      <c r="TBU287" s="1132" t="n"/>
      <c r="TBV287" s="1132" t="n"/>
      <c r="TBW287" s="1132" t="n"/>
      <c r="TBX287" s="1132" t="n"/>
      <c r="TBY287" s="1132" t="n"/>
      <c r="TBZ287" s="1132" t="n"/>
      <c r="TCA287" s="1132" t="n"/>
      <c r="TCB287" s="1132" t="n"/>
      <c r="TCC287" s="1132" t="n"/>
      <c r="TCD287" s="1132" t="n"/>
      <c r="TCE287" s="1132" t="n"/>
      <c r="TCF287" s="1132" t="n"/>
      <c r="TCG287" s="1132" t="n"/>
      <c r="TCH287" s="1132" t="n"/>
      <c r="TCI287" s="1132" t="n"/>
      <c r="TCJ287" s="1132" t="n"/>
      <c r="TCK287" s="1132" t="n"/>
      <c r="TCL287" s="1132" t="n"/>
      <c r="TCM287" s="1132" t="n"/>
      <c r="TCN287" s="1132" t="n"/>
      <c r="TCO287" s="1132" t="n"/>
      <c r="TCP287" s="1132" t="n"/>
      <c r="TCQ287" s="1132" t="n"/>
      <c r="TCR287" s="1132" t="n"/>
      <c r="TCS287" s="1132" t="n"/>
      <c r="TCT287" s="1132" t="n"/>
      <c r="TCU287" s="1132" t="n"/>
      <c r="TCV287" s="1132" t="n"/>
      <c r="TCW287" s="1132" t="n"/>
      <c r="TCX287" s="1132" t="n"/>
      <c r="TCY287" s="1132" t="n"/>
      <c r="TCZ287" s="1132" t="n"/>
      <c r="TDA287" s="1132" t="n"/>
      <c r="TDB287" s="1132" t="n"/>
      <c r="TDC287" s="1132" t="n"/>
      <c r="TDD287" s="1132" t="n"/>
      <c r="TDE287" s="1132" t="n"/>
      <c r="TDF287" s="1132" t="n"/>
      <c r="TDG287" s="1132" t="n"/>
      <c r="TDH287" s="1132" t="n"/>
      <c r="TDI287" s="1132" t="n"/>
      <c r="TDJ287" s="1132" t="n"/>
      <c r="TDK287" s="1132" t="n"/>
      <c r="TDL287" s="1132" t="n"/>
      <c r="TDM287" s="1132" t="n"/>
      <c r="TDN287" s="1132" t="n"/>
      <c r="TDO287" s="1132" t="n"/>
      <c r="TDP287" s="1132" t="n"/>
      <c r="TDQ287" s="1132" t="n"/>
      <c r="TDR287" s="1132" t="n"/>
      <c r="TDS287" s="1132" t="n"/>
      <c r="TDT287" s="1132" t="n"/>
      <c r="TDU287" s="1132" t="n"/>
      <c r="TDV287" s="1132" t="n"/>
      <c r="TDW287" s="1132" t="n"/>
      <c r="TDX287" s="1132" t="n"/>
      <c r="TDY287" s="1132" t="n"/>
      <c r="TDZ287" s="1132" t="n"/>
      <c r="TEA287" s="1132" t="n"/>
      <c r="TEB287" s="1132" t="n"/>
      <c r="TEC287" s="1132" t="n"/>
      <c r="TED287" s="1132" t="n"/>
      <c r="TEE287" s="1132" t="n"/>
      <c r="TEF287" s="1132" t="n"/>
      <c r="TEG287" s="1132" t="n"/>
      <c r="TEH287" s="1132" t="n"/>
      <c r="TEI287" s="1132" t="n"/>
      <c r="TEJ287" s="1132" t="n"/>
      <c r="TEK287" s="1132" t="n"/>
      <c r="TEL287" s="1132" t="n"/>
      <c r="TEM287" s="1132" t="n"/>
      <c r="TEN287" s="1132" t="n"/>
      <c r="TEO287" s="1132" t="n"/>
      <c r="TEP287" s="1132" t="n"/>
      <c r="TEQ287" s="1132" t="n"/>
      <c r="TER287" s="1132" t="n"/>
      <c r="TES287" s="1132" t="n"/>
      <c r="TET287" s="1132" t="n"/>
      <c r="TEU287" s="1132" t="n"/>
      <c r="TEV287" s="1132" t="n"/>
      <c r="TEW287" s="1132" t="n"/>
      <c r="TEX287" s="1132" t="n"/>
      <c r="TEY287" s="1132" t="n"/>
      <c r="TEZ287" s="1132" t="n"/>
      <c r="TFA287" s="1132" t="n"/>
      <c r="TFB287" s="1132" t="n"/>
      <c r="TFC287" s="1132" t="n"/>
      <c r="TFD287" s="1132" t="n"/>
      <c r="TFE287" s="1132" t="n"/>
      <c r="TFF287" s="1132" t="n"/>
      <c r="TFG287" s="1132" t="n"/>
      <c r="TFH287" s="1132" t="n"/>
      <c r="TFI287" s="1132" t="n"/>
      <c r="TFJ287" s="1132" t="n"/>
      <c r="TFK287" s="1132" t="n"/>
      <c r="TFL287" s="1132" t="n"/>
      <c r="TFM287" s="1132" t="n"/>
      <c r="TFN287" s="1132" t="n"/>
      <c r="TFO287" s="1132" t="n"/>
      <c r="TFP287" s="1132" t="n"/>
      <c r="TFQ287" s="1132" t="n"/>
      <c r="TFR287" s="1132" t="n"/>
      <c r="TFS287" s="1132" t="n"/>
      <c r="TFT287" s="1132" t="n"/>
      <c r="TFU287" s="1132" t="n"/>
      <c r="TFV287" s="1132" t="n"/>
      <c r="TFW287" s="1132" t="n"/>
      <c r="TFX287" s="1132" t="n"/>
      <c r="TFY287" s="1132" t="n"/>
      <c r="TFZ287" s="1132" t="n"/>
      <c r="TGA287" s="1132" t="n"/>
      <c r="TGB287" s="1132" t="n"/>
      <c r="TGC287" s="1132" t="n"/>
      <c r="TGD287" s="1132" t="n"/>
      <c r="TGE287" s="1132" t="n"/>
      <c r="TGF287" s="1132" t="n"/>
      <c r="TGG287" s="1132" t="n"/>
      <c r="TGH287" s="1132" t="n"/>
      <c r="TGI287" s="1132" t="n"/>
      <c r="TGJ287" s="1132" t="n"/>
      <c r="TGK287" s="1132" t="n"/>
      <c r="TGL287" s="1132" t="n"/>
      <c r="TGM287" s="1132" t="n"/>
      <c r="TGN287" s="1132" t="n"/>
      <c r="TGO287" s="1132" t="n"/>
      <c r="TGP287" s="1132" t="n"/>
      <c r="TGQ287" s="1132" t="n"/>
      <c r="TGR287" s="1132" t="n"/>
      <c r="TGS287" s="1132" t="n"/>
      <c r="TGT287" s="1132" t="n"/>
      <c r="TGU287" s="1132" t="n"/>
      <c r="TGV287" s="1132" t="n"/>
      <c r="TGW287" s="1132" t="n"/>
      <c r="TGX287" s="1132" t="n"/>
      <c r="TGY287" s="1132" t="n"/>
      <c r="TGZ287" s="1132" t="n"/>
      <c r="THA287" s="1132" t="n"/>
      <c r="THB287" s="1132" t="n"/>
      <c r="THC287" s="1132" t="n"/>
      <c r="THD287" s="1132" t="n"/>
      <c r="THE287" s="1132" t="n"/>
      <c r="THF287" s="1132" t="n"/>
      <c r="THG287" s="1132" t="n"/>
      <c r="THH287" s="1132" t="n"/>
      <c r="THI287" s="1132" t="n"/>
      <c r="THJ287" s="1132" t="n"/>
      <c r="THK287" s="1132" t="n"/>
      <c r="THL287" s="1132" t="n"/>
      <c r="THM287" s="1132" t="n"/>
      <c r="THN287" s="1132" t="n"/>
      <c r="THO287" s="1132" t="n"/>
      <c r="THP287" s="1132" t="n"/>
      <c r="THQ287" s="1132" t="n"/>
      <c r="THR287" s="1132" t="n"/>
      <c r="THS287" s="1132" t="n"/>
      <c r="THT287" s="1132" t="n"/>
      <c r="THU287" s="1132" t="n"/>
      <c r="THV287" s="1132" t="n"/>
      <c r="THW287" s="1132" t="n"/>
      <c r="THX287" s="1132" t="n"/>
      <c r="THY287" s="1132" t="n"/>
      <c r="THZ287" s="1132" t="n"/>
      <c r="TIA287" s="1132" t="n"/>
      <c r="TIB287" s="1132" t="n"/>
      <c r="TIC287" s="1132" t="n"/>
      <c r="TID287" s="1132" t="n"/>
      <c r="TIE287" s="1132" t="n"/>
      <c r="TIF287" s="1132" t="n"/>
      <c r="TIG287" s="1132" t="n"/>
      <c r="TIH287" s="1132" t="n"/>
      <c r="TII287" s="1132" t="n"/>
      <c r="TIJ287" s="1132" t="n"/>
      <c r="TIK287" s="1132" t="n"/>
      <c r="TIL287" s="1132" t="n"/>
      <c r="TIM287" s="1132" t="n"/>
      <c r="TIN287" s="1132" t="n"/>
      <c r="TIO287" s="1132" t="n"/>
      <c r="TIP287" s="1132" t="n"/>
      <c r="TIQ287" s="1132" t="n"/>
      <c r="TIR287" s="1132" t="n"/>
      <c r="TIS287" s="1132" t="n"/>
      <c r="TIT287" s="1132" t="n"/>
      <c r="TIU287" s="1132" t="n"/>
      <c r="TIV287" s="1132" t="n"/>
      <c r="TIW287" s="1132" t="n"/>
      <c r="TIX287" s="1132" t="n"/>
      <c r="TIY287" s="1132" t="n"/>
      <c r="TIZ287" s="1132" t="n"/>
      <c r="TJA287" s="1132" t="n"/>
      <c r="TJB287" s="1132" t="n"/>
      <c r="TJC287" s="1132" t="n"/>
      <c r="TJD287" s="1132" t="n"/>
      <c r="TJE287" s="1132" t="n"/>
      <c r="TJF287" s="1132" t="n"/>
      <c r="TJG287" s="1132" t="n"/>
      <c r="TJH287" s="1132" t="n"/>
      <c r="TJI287" s="1132" t="n"/>
      <c r="TJJ287" s="1132" t="n"/>
      <c r="TJK287" s="1132" t="n"/>
      <c r="TJL287" s="1132" t="n"/>
      <c r="TJM287" s="1132" t="n"/>
      <c r="TJN287" s="1132" t="n"/>
      <c r="TJO287" s="1132" t="n"/>
      <c r="TJP287" s="1132" t="n"/>
      <c r="TJQ287" s="1132" t="n"/>
      <c r="TJR287" s="1132" t="n"/>
      <c r="TJS287" s="1132" t="n"/>
      <c r="TJT287" s="1132" t="n"/>
      <c r="TJU287" s="1132" t="n"/>
      <c r="TJV287" s="1132" t="n"/>
      <c r="TJW287" s="1132" t="n"/>
      <c r="TJX287" s="1132" t="n"/>
      <c r="TJY287" s="1132" t="n"/>
      <c r="TJZ287" s="1132" t="n"/>
      <c r="TKA287" s="1132" t="n"/>
      <c r="TKB287" s="1132" t="n"/>
      <c r="TKC287" s="1132" t="n"/>
      <c r="TKD287" s="1132" t="n"/>
      <c r="TKE287" s="1132" t="n"/>
      <c r="TKF287" s="1132" t="n"/>
      <c r="TKG287" s="1132" t="n"/>
      <c r="TKH287" s="1132" t="n"/>
      <c r="TKI287" s="1132" t="n"/>
      <c r="TKJ287" s="1132" t="n"/>
      <c r="TKK287" s="1132" t="n"/>
      <c r="TKL287" s="1132" t="n"/>
      <c r="TKM287" s="1132" t="n"/>
      <c r="TKN287" s="1132" t="n"/>
      <c r="TKO287" s="1132" t="n"/>
      <c r="TKP287" s="1132" t="n"/>
      <c r="TKQ287" s="1132" t="n"/>
      <c r="TKR287" s="1132" t="n"/>
      <c r="TKS287" s="1132" t="n"/>
      <c r="TKT287" s="1132" t="n"/>
      <c r="TKU287" s="1132" t="n"/>
      <c r="TKV287" s="1132" t="n"/>
      <c r="TKW287" s="1132" t="n"/>
      <c r="TKX287" s="1132" t="n"/>
      <c r="TKY287" s="1132" t="n"/>
      <c r="TKZ287" s="1132" t="n"/>
      <c r="TLA287" s="1132" t="n"/>
      <c r="TLB287" s="1132" t="n"/>
      <c r="TLC287" s="1132" t="n"/>
      <c r="TLD287" s="1132" t="n"/>
      <c r="TLE287" s="1132" t="n"/>
      <c r="TLF287" s="1132" t="n"/>
      <c r="TLG287" s="1132" t="n"/>
      <c r="TLH287" s="1132" t="n"/>
      <c r="TLI287" s="1132" t="n"/>
      <c r="TLJ287" s="1132" t="n"/>
      <c r="TLK287" s="1132" t="n"/>
      <c r="TLL287" s="1132" t="n"/>
      <c r="TLM287" s="1132" t="n"/>
      <c r="TLN287" s="1132" t="n"/>
      <c r="TLO287" s="1132" t="n"/>
      <c r="TLP287" s="1132" t="n"/>
      <c r="TLQ287" s="1132" t="n"/>
      <c r="TLR287" s="1132" t="n"/>
      <c r="TLS287" s="1132" t="n"/>
      <c r="TLT287" s="1132" t="n"/>
      <c r="TLU287" s="1132" t="n"/>
      <c r="TLV287" s="1132" t="n"/>
      <c r="TLW287" s="1132" t="n"/>
      <c r="TLX287" s="1132" t="n"/>
      <c r="TLY287" s="1132" t="n"/>
      <c r="TLZ287" s="1132" t="n"/>
      <c r="TMA287" s="1132" t="n"/>
      <c r="TMB287" s="1132" t="n"/>
      <c r="TMC287" s="1132" t="n"/>
      <c r="TMD287" s="1132" t="n"/>
      <c r="TME287" s="1132" t="n"/>
      <c r="TMF287" s="1132" t="n"/>
      <c r="TMG287" s="1132" t="n"/>
      <c r="TMH287" s="1132" t="n"/>
      <c r="TMI287" s="1132" t="n"/>
      <c r="TMJ287" s="1132" t="n"/>
      <c r="TMK287" s="1132" t="n"/>
      <c r="TML287" s="1132" t="n"/>
      <c r="TMM287" s="1132" t="n"/>
      <c r="TMN287" s="1132" t="n"/>
      <c r="TMO287" s="1132" t="n"/>
      <c r="TMP287" s="1132" t="n"/>
      <c r="TMQ287" s="1132" t="n"/>
      <c r="TMR287" s="1132" t="n"/>
      <c r="TMS287" s="1132" t="n"/>
      <c r="TMT287" s="1132" t="n"/>
      <c r="TMU287" s="1132" t="n"/>
      <c r="TMV287" s="1132" t="n"/>
      <c r="TMW287" s="1132" t="n"/>
      <c r="TMX287" s="1132" t="n"/>
      <c r="TMY287" s="1132" t="n"/>
      <c r="TMZ287" s="1132" t="n"/>
      <c r="TNA287" s="1132" t="n"/>
      <c r="TNB287" s="1132" t="n"/>
      <c r="TNC287" s="1132" t="n"/>
      <c r="TND287" s="1132" t="n"/>
      <c r="TNE287" s="1132" t="n"/>
      <c r="TNF287" s="1132" t="n"/>
      <c r="TNG287" s="1132" t="n"/>
      <c r="TNH287" s="1132" t="n"/>
      <c r="TNI287" s="1132" t="n"/>
      <c r="TNJ287" s="1132" t="n"/>
      <c r="TNK287" s="1132" t="n"/>
      <c r="TNL287" s="1132" t="n"/>
      <c r="TNM287" s="1132" t="n"/>
      <c r="TNN287" s="1132" t="n"/>
      <c r="TNO287" s="1132" t="n"/>
      <c r="TNP287" s="1132" t="n"/>
      <c r="TNQ287" s="1132" t="n"/>
      <c r="TNR287" s="1132" t="n"/>
      <c r="TNS287" s="1132" t="n"/>
      <c r="TNT287" s="1132" t="n"/>
      <c r="TNU287" s="1132" t="n"/>
      <c r="TNV287" s="1132" t="n"/>
      <c r="TNW287" s="1132" t="n"/>
      <c r="TNX287" s="1132" t="n"/>
      <c r="TNY287" s="1132" t="n"/>
      <c r="TNZ287" s="1132" t="n"/>
      <c r="TOA287" s="1132" t="n"/>
      <c r="TOB287" s="1132" t="n"/>
      <c r="TOC287" s="1132" t="n"/>
      <c r="TOD287" s="1132" t="n"/>
      <c r="TOE287" s="1132" t="n"/>
      <c r="TOF287" s="1132" t="n"/>
      <c r="TOG287" s="1132" t="n"/>
      <c r="TOH287" s="1132" t="n"/>
      <c r="TOI287" s="1132" t="n"/>
      <c r="TOJ287" s="1132" t="n"/>
      <c r="TOK287" s="1132" t="n"/>
      <c r="TOL287" s="1132" t="n"/>
      <c r="TOM287" s="1132" t="n"/>
      <c r="TON287" s="1132" t="n"/>
      <c r="TOO287" s="1132" t="n"/>
      <c r="TOP287" s="1132" t="n"/>
      <c r="TOQ287" s="1132" t="n"/>
      <c r="TOR287" s="1132" t="n"/>
      <c r="TOS287" s="1132" t="n"/>
      <c r="TOT287" s="1132" t="n"/>
      <c r="TOU287" s="1132" t="n"/>
      <c r="TOV287" s="1132" t="n"/>
      <c r="TOW287" s="1132" t="n"/>
      <c r="TOX287" s="1132" t="n"/>
      <c r="TOY287" s="1132" t="n"/>
      <c r="TOZ287" s="1132" t="n"/>
      <c r="TPA287" s="1132" t="n"/>
      <c r="TPB287" s="1132" t="n"/>
      <c r="TPC287" s="1132" t="n"/>
      <c r="TPD287" s="1132" t="n"/>
      <c r="TPE287" s="1132" t="n"/>
      <c r="TPF287" s="1132" t="n"/>
      <c r="TPG287" s="1132" t="n"/>
      <c r="TPH287" s="1132" t="n"/>
      <c r="TPI287" s="1132" t="n"/>
      <c r="TPJ287" s="1132" t="n"/>
      <c r="TPK287" s="1132" t="n"/>
      <c r="TPL287" s="1132" t="n"/>
      <c r="TPM287" s="1132" t="n"/>
      <c r="TPN287" s="1132" t="n"/>
      <c r="TPO287" s="1132" t="n"/>
      <c r="TPP287" s="1132" t="n"/>
      <c r="TPQ287" s="1132" t="n"/>
      <c r="TPR287" s="1132" t="n"/>
      <c r="TPS287" s="1132" t="n"/>
      <c r="TPT287" s="1132" t="n"/>
      <c r="TPU287" s="1132" t="n"/>
      <c r="TPV287" s="1132" t="n"/>
      <c r="TPW287" s="1132" t="n"/>
      <c r="TPX287" s="1132" t="n"/>
      <c r="TPY287" s="1132" t="n"/>
      <c r="TPZ287" s="1132" t="n"/>
      <c r="TQA287" s="1132" t="n"/>
      <c r="TQB287" s="1132" t="n"/>
      <c r="TQC287" s="1132" t="n"/>
      <c r="TQD287" s="1132" t="n"/>
      <c r="TQE287" s="1132" t="n"/>
      <c r="TQF287" s="1132" t="n"/>
      <c r="TQG287" s="1132" t="n"/>
      <c r="TQH287" s="1132" t="n"/>
      <c r="TQI287" s="1132" t="n"/>
      <c r="TQJ287" s="1132" t="n"/>
      <c r="TQK287" s="1132" t="n"/>
      <c r="TQL287" s="1132" t="n"/>
      <c r="TQM287" s="1132" t="n"/>
      <c r="TQN287" s="1132" t="n"/>
      <c r="TQO287" s="1132" t="n"/>
      <c r="TQP287" s="1132" t="n"/>
      <c r="TQQ287" s="1132" t="n"/>
      <c r="TQR287" s="1132" t="n"/>
      <c r="TQS287" s="1132" t="n"/>
      <c r="TQT287" s="1132" t="n"/>
      <c r="TQU287" s="1132" t="n"/>
      <c r="TQV287" s="1132" t="n"/>
      <c r="TQW287" s="1132" t="n"/>
      <c r="TQX287" s="1132" t="n"/>
      <c r="TQY287" s="1132" t="n"/>
      <c r="TQZ287" s="1132" t="n"/>
      <c r="TRA287" s="1132" t="n"/>
      <c r="TRB287" s="1132" t="n"/>
      <c r="TRC287" s="1132" t="n"/>
      <c r="TRD287" s="1132" t="n"/>
      <c r="TRE287" s="1132" t="n"/>
      <c r="TRF287" s="1132" t="n"/>
      <c r="TRG287" s="1132" t="n"/>
      <c r="TRH287" s="1132" t="n"/>
      <c r="TRI287" s="1132" t="n"/>
      <c r="TRJ287" s="1132" t="n"/>
      <c r="TRK287" s="1132" t="n"/>
      <c r="TRL287" s="1132" t="n"/>
      <c r="TRM287" s="1132" t="n"/>
      <c r="TRN287" s="1132" t="n"/>
      <c r="TRO287" s="1132" t="n"/>
      <c r="TRP287" s="1132" t="n"/>
      <c r="TRQ287" s="1132" t="n"/>
      <c r="TRR287" s="1132" t="n"/>
      <c r="TRS287" s="1132" t="n"/>
      <c r="TRT287" s="1132" t="n"/>
      <c r="TRU287" s="1132" t="n"/>
      <c r="TRV287" s="1132" t="n"/>
      <c r="TRW287" s="1132" t="n"/>
      <c r="TRX287" s="1132" t="n"/>
      <c r="TRY287" s="1132" t="n"/>
      <c r="TRZ287" s="1132" t="n"/>
      <c r="TSA287" s="1132" t="n"/>
      <c r="TSB287" s="1132" t="n"/>
      <c r="TSC287" s="1132" t="n"/>
      <c r="TSD287" s="1132" t="n"/>
      <c r="TSE287" s="1132" t="n"/>
      <c r="TSF287" s="1132" t="n"/>
      <c r="TSG287" s="1132" t="n"/>
      <c r="TSH287" s="1132" t="n"/>
      <c r="TSI287" s="1132" t="n"/>
      <c r="TSJ287" s="1132" t="n"/>
      <c r="TSK287" s="1132" t="n"/>
      <c r="TSL287" s="1132" t="n"/>
      <c r="TSM287" s="1132" t="n"/>
      <c r="TSN287" s="1132" t="n"/>
      <c r="TSO287" s="1132" t="n"/>
      <c r="TSP287" s="1132" t="n"/>
      <c r="TSQ287" s="1132" t="n"/>
      <c r="TSR287" s="1132" t="n"/>
      <c r="TSS287" s="1132" t="n"/>
      <c r="TST287" s="1132" t="n"/>
      <c r="TSU287" s="1132" t="n"/>
      <c r="TSV287" s="1132" t="n"/>
      <c r="TSW287" s="1132" t="n"/>
      <c r="TSX287" s="1132" t="n"/>
      <c r="TSY287" s="1132" t="n"/>
      <c r="TSZ287" s="1132" t="n"/>
      <c r="TTA287" s="1132" t="n"/>
      <c r="TTB287" s="1132" t="n"/>
      <c r="TTC287" s="1132" t="n"/>
      <c r="TTD287" s="1132" t="n"/>
      <c r="TTE287" s="1132" t="n"/>
      <c r="TTF287" s="1132" t="n"/>
      <c r="TTG287" s="1132" t="n"/>
      <c r="TTH287" s="1132" t="n"/>
      <c r="TTI287" s="1132" t="n"/>
      <c r="TTJ287" s="1132" t="n"/>
      <c r="TTK287" s="1132" t="n"/>
      <c r="TTL287" s="1132" t="n"/>
      <c r="TTM287" s="1132" t="n"/>
      <c r="TTN287" s="1132" t="n"/>
      <c r="TTO287" s="1132" t="n"/>
      <c r="TTP287" s="1132" t="n"/>
      <c r="TTQ287" s="1132" t="n"/>
      <c r="TTR287" s="1132" t="n"/>
      <c r="TTS287" s="1132" t="n"/>
      <c r="TTT287" s="1132" t="n"/>
      <c r="TTU287" s="1132" t="n"/>
      <c r="TTV287" s="1132" t="n"/>
      <c r="TTW287" s="1132" t="n"/>
      <c r="TTX287" s="1132" t="n"/>
      <c r="TTY287" s="1132" t="n"/>
      <c r="TTZ287" s="1132" t="n"/>
      <c r="TUA287" s="1132" t="n"/>
      <c r="TUB287" s="1132" t="n"/>
      <c r="TUC287" s="1132" t="n"/>
      <c r="TUD287" s="1132" t="n"/>
      <c r="TUE287" s="1132" t="n"/>
      <c r="TUF287" s="1132" t="n"/>
      <c r="TUG287" s="1132" t="n"/>
      <c r="TUH287" s="1132" t="n"/>
      <c r="TUI287" s="1132" t="n"/>
      <c r="TUJ287" s="1132" t="n"/>
      <c r="TUK287" s="1132" t="n"/>
      <c r="TUL287" s="1132" t="n"/>
      <c r="TUM287" s="1132" t="n"/>
      <c r="TUN287" s="1132" t="n"/>
      <c r="TUO287" s="1132" t="n"/>
      <c r="TUP287" s="1132" t="n"/>
      <c r="TUQ287" s="1132" t="n"/>
      <c r="TUR287" s="1132" t="n"/>
      <c r="TUS287" s="1132" t="n"/>
      <c r="TUT287" s="1132" t="n"/>
      <c r="TUU287" s="1132" t="n"/>
      <c r="TUV287" s="1132" t="n"/>
      <c r="TUW287" s="1132" t="n"/>
      <c r="TUX287" s="1132" t="n"/>
      <c r="TUY287" s="1132" t="n"/>
      <c r="TUZ287" s="1132" t="n"/>
      <c r="TVA287" s="1132" t="n"/>
      <c r="TVB287" s="1132" t="n"/>
      <c r="TVC287" s="1132" t="n"/>
      <c r="TVD287" s="1132" t="n"/>
      <c r="TVE287" s="1132" t="n"/>
      <c r="TVF287" s="1132" t="n"/>
      <c r="TVG287" s="1132" t="n"/>
      <c r="TVH287" s="1132" t="n"/>
      <c r="TVI287" s="1132" t="n"/>
      <c r="TVJ287" s="1132" t="n"/>
      <c r="TVK287" s="1132" t="n"/>
      <c r="TVL287" s="1132" t="n"/>
      <c r="TVM287" s="1132" t="n"/>
      <c r="TVN287" s="1132" t="n"/>
      <c r="TVO287" s="1132" t="n"/>
      <c r="TVP287" s="1132" t="n"/>
      <c r="TVQ287" s="1132" t="n"/>
      <c r="TVR287" s="1132" t="n"/>
      <c r="TVS287" s="1132" t="n"/>
      <c r="TVT287" s="1132" t="n"/>
      <c r="TVU287" s="1132" t="n"/>
      <c r="TVV287" s="1132" t="n"/>
      <c r="TVW287" s="1132" t="n"/>
      <c r="TVX287" s="1132" t="n"/>
      <c r="TVY287" s="1132" t="n"/>
      <c r="TVZ287" s="1132" t="n"/>
      <c r="TWA287" s="1132" t="n"/>
      <c r="TWB287" s="1132" t="n"/>
      <c r="TWC287" s="1132" t="n"/>
      <c r="TWD287" s="1132" t="n"/>
      <c r="TWE287" s="1132" t="n"/>
      <c r="TWF287" s="1132" t="n"/>
      <c r="TWG287" s="1132" t="n"/>
      <c r="TWH287" s="1132" t="n"/>
      <c r="TWI287" s="1132" t="n"/>
      <c r="TWJ287" s="1132" t="n"/>
      <c r="TWK287" s="1132" t="n"/>
      <c r="TWL287" s="1132" t="n"/>
      <c r="TWM287" s="1132" t="n"/>
      <c r="TWN287" s="1132" t="n"/>
      <c r="TWO287" s="1132" t="n"/>
      <c r="TWP287" s="1132" t="n"/>
      <c r="TWQ287" s="1132" t="n"/>
      <c r="TWR287" s="1132" t="n"/>
      <c r="TWS287" s="1132" t="n"/>
      <c r="TWT287" s="1132" t="n"/>
      <c r="TWU287" s="1132" t="n"/>
      <c r="TWV287" s="1132" t="n"/>
      <c r="TWW287" s="1132" t="n"/>
      <c r="TWX287" s="1132" t="n"/>
      <c r="TWY287" s="1132" t="n"/>
      <c r="TWZ287" s="1132" t="n"/>
      <c r="TXA287" s="1132" t="n"/>
      <c r="TXB287" s="1132" t="n"/>
      <c r="TXC287" s="1132" t="n"/>
      <c r="TXD287" s="1132" t="n"/>
      <c r="TXE287" s="1132" t="n"/>
      <c r="TXF287" s="1132" t="n"/>
      <c r="TXG287" s="1132" t="n"/>
      <c r="TXH287" s="1132" t="n"/>
      <c r="TXI287" s="1132" t="n"/>
      <c r="TXJ287" s="1132" t="n"/>
      <c r="TXK287" s="1132" t="n"/>
      <c r="TXL287" s="1132" t="n"/>
      <c r="TXM287" s="1132" t="n"/>
      <c r="TXN287" s="1132" t="n"/>
      <c r="TXO287" s="1132" t="n"/>
      <c r="TXP287" s="1132" t="n"/>
      <c r="TXQ287" s="1132" t="n"/>
      <c r="TXR287" s="1132" t="n"/>
      <c r="TXS287" s="1132" t="n"/>
      <c r="TXT287" s="1132" t="n"/>
      <c r="TXU287" s="1132" t="n"/>
      <c r="TXV287" s="1132" t="n"/>
      <c r="TXW287" s="1132" t="n"/>
      <c r="TXX287" s="1132" t="n"/>
      <c r="TXY287" s="1132" t="n"/>
      <c r="TXZ287" s="1132" t="n"/>
      <c r="TYA287" s="1132" t="n"/>
      <c r="TYB287" s="1132" t="n"/>
      <c r="TYC287" s="1132" t="n"/>
      <c r="TYD287" s="1132" t="n"/>
      <c r="TYE287" s="1132" t="n"/>
      <c r="TYF287" s="1132" t="n"/>
      <c r="TYG287" s="1132" t="n"/>
      <c r="TYH287" s="1132" t="n"/>
      <c r="TYI287" s="1132" t="n"/>
      <c r="TYJ287" s="1132" t="n"/>
      <c r="TYK287" s="1132" t="n"/>
      <c r="TYL287" s="1132" t="n"/>
      <c r="TYM287" s="1132" t="n"/>
      <c r="TYN287" s="1132" t="n"/>
      <c r="TYO287" s="1132" t="n"/>
      <c r="TYP287" s="1132" t="n"/>
      <c r="TYQ287" s="1132" t="n"/>
      <c r="TYR287" s="1132" t="n"/>
      <c r="TYS287" s="1132" t="n"/>
      <c r="TYT287" s="1132" t="n"/>
      <c r="TYU287" s="1132" t="n"/>
      <c r="TYV287" s="1132" t="n"/>
      <c r="TYW287" s="1132" t="n"/>
      <c r="TYX287" s="1132" t="n"/>
      <c r="TYY287" s="1132" t="n"/>
      <c r="TYZ287" s="1132" t="n"/>
      <c r="TZA287" s="1132" t="n"/>
      <c r="TZB287" s="1132" t="n"/>
      <c r="TZC287" s="1132" t="n"/>
      <c r="TZD287" s="1132" t="n"/>
      <c r="TZE287" s="1132" t="n"/>
      <c r="TZF287" s="1132" t="n"/>
      <c r="TZG287" s="1132" t="n"/>
      <c r="TZH287" s="1132" t="n"/>
      <c r="TZI287" s="1132" t="n"/>
      <c r="TZJ287" s="1132" t="n"/>
      <c r="TZK287" s="1132" t="n"/>
      <c r="TZL287" s="1132" t="n"/>
      <c r="TZM287" s="1132" t="n"/>
      <c r="TZN287" s="1132" t="n"/>
      <c r="TZO287" s="1132" t="n"/>
      <c r="TZP287" s="1132" t="n"/>
      <c r="TZQ287" s="1132" t="n"/>
      <c r="TZR287" s="1132" t="n"/>
      <c r="TZS287" s="1132" t="n"/>
      <c r="TZT287" s="1132" t="n"/>
      <c r="TZU287" s="1132" t="n"/>
      <c r="TZV287" s="1132" t="n"/>
      <c r="TZW287" s="1132" t="n"/>
      <c r="TZX287" s="1132" t="n"/>
      <c r="TZY287" s="1132" t="n"/>
      <c r="TZZ287" s="1132" t="n"/>
      <c r="UAA287" s="1132" t="n"/>
      <c r="UAB287" s="1132" t="n"/>
      <c r="UAC287" s="1132" t="n"/>
      <c r="UAD287" s="1132" t="n"/>
      <c r="UAE287" s="1132" t="n"/>
      <c r="UAF287" s="1132" t="n"/>
      <c r="UAG287" s="1132" t="n"/>
      <c r="UAH287" s="1132" t="n"/>
      <c r="UAI287" s="1132" t="n"/>
      <c r="UAJ287" s="1132" t="n"/>
      <c r="UAK287" s="1132" t="n"/>
      <c r="UAL287" s="1132" t="n"/>
      <c r="UAM287" s="1132" t="n"/>
      <c r="UAN287" s="1132" t="n"/>
      <c r="UAO287" s="1132" t="n"/>
      <c r="UAP287" s="1132" t="n"/>
      <c r="UAQ287" s="1132" t="n"/>
      <c r="UAR287" s="1132" t="n"/>
      <c r="UAS287" s="1132" t="n"/>
      <c r="UAT287" s="1132" t="n"/>
      <c r="UAU287" s="1132" t="n"/>
      <c r="UAV287" s="1132" t="n"/>
      <c r="UAW287" s="1132" t="n"/>
      <c r="UAX287" s="1132" t="n"/>
      <c r="UAY287" s="1132" t="n"/>
      <c r="UAZ287" s="1132" t="n"/>
      <c r="UBA287" s="1132" t="n"/>
      <c r="UBB287" s="1132" t="n"/>
      <c r="UBC287" s="1132" t="n"/>
      <c r="UBD287" s="1132" t="n"/>
      <c r="UBE287" s="1132" t="n"/>
      <c r="UBF287" s="1132" t="n"/>
      <c r="UBG287" s="1132" t="n"/>
      <c r="UBH287" s="1132" t="n"/>
      <c r="UBI287" s="1132" t="n"/>
      <c r="UBJ287" s="1132" t="n"/>
      <c r="UBK287" s="1132" t="n"/>
      <c r="UBL287" s="1132" t="n"/>
      <c r="UBM287" s="1132" t="n"/>
      <c r="UBN287" s="1132" t="n"/>
      <c r="UBO287" s="1132" t="n"/>
      <c r="UBP287" s="1132" t="n"/>
      <c r="UBQ287" s="1132" t="n"/>
      <c r="UBR287" s="1132" t="n"/>
      <c r="UBS287" s="1132" t="n"/>
      <c r="UBT287" s="1132" t="n"/>
      <c r="UBU287" s="1132" t="n"/>
      <c r="UBV287" s="1132" t="n"/>
      <c r="UBW287" s="1132" t="n"/>
      <c r="UBX287" s="1132" t="n"/>
      <c r="UBY287" s="1132" t="n"/>
      <c r="UBZ287" s="1132" t="n"/>
      <c r="UCA287" s="1132" t="n"/>
      <c r="UCB287" s="1132" t="n"/>
      <c r="UCC287" s="1132" t="n"/>
      <c r="UCD287" s="1132" t="n"/>
      <c r="UCE287" s="1132" t="n"/>
      <c r="UCF287" s="1132" t="n"/>
      <c r="UCG287" s="1132" t="n"/>
      <c r="UCH287" s="1132" t="n"/>
      <c r="UCI287" s="1132" t="n"/>
      <c r="UCJ287" s="1132" t="n"/>
      <c r="UCK287" s="1132" t="n"/>
      <c r="UCL287" s="1132" t="n"/>
      <c r="UCM287" s="1132" t="n"/>
      <c r="UCN287" s="1132" t="n"/>
      <c r="UCO287" s="1132" t="n"/>
      <c r="UCP287" s="1132" t="n"/>
      <c r="UCQ287" s="1132" t="n"/>
      <c r="UCR287" s="1132" t="n"/>
      <c r="UCS287" s="1132" t="n"/>
      <c r="UCT287" s="1132" t="n"/>
      <c r="UCU287" s="1132" t="n"/>
      <c r="UCV287" s="1132" t="n"/>
      <c r="UCW287" s="1132" t="n"/>
      <c r="UCX287" s="1132" t="n"/>
      <c r="UCY287" s="1132" t="n"/>
      <c r="UCZ287" s="1132" t="n"/>
      <c r="UDA287" s="1132" t="n"/>
      <c r="UDB287" s="1132" t="n"/>
      <c r="UDC287" s="1132" t="n"/>
      <c r="UDD287" s="1132" t="n"/>
      <c r="UDE287" s="1132" t="n"/>
      <c r="UDF287" s="1132" t="n"/>
      <c r="UDG287" s="1132" t="n"/>
      <c r="UDH287" s="1132" t="n"/>
      <c r="UDI287" s="1132" t="n"/>
      <c r="UDJ287" s="1132" t="n"/>
      <c r="UDK287" s="1132" t="n"/>
      <c r="UDL287" s="1132" t="n"/>
      <c r="UDM287" s="1132" t="n"/>
      <c r="UDN287" s="1132" t="n"/>
      <c r="UDO287" s="1132" t="n"/>
      <c r="UDP287" s="1132" t="n"/>
      <c r="UDQ287" s="1132" t="n"/>
      <c r="UDR287" s="1132" t="n"/>
      <c r="UDS287" s="1132" t="n"/>
      <c r="UDT287" s="1132" t="n"/>
      <c r="UDU287" s="1132" t="n"/>
      <c r="UDV287" s="1132" t="n"/>
      <c r="UDW287" s="1132" t="n"/>
      <c r="UDX287" s="1132" t="n"/>
      <c r="UDY287" s="1132" t="n"/>
      <c r="UDZ287" s="1132" t="n"/>
      <c r="UEA287" s="1132" t="n"/>
      <c r="UEB287" s="1132" t="n"/>
      <c r="UEC287" s="1132" t="n"/>
      <c r="UED287" s="1132" t="n"/>
      <c r="UEE287" s="1132" t="n"/>
      <c r="UEF287" s="1132" t="n"/>
      <c r="UEG287" s="1132" t="n"/>
      <c r="UEH287" s="1132" t="n"/>
      <c r="UEI287" s="1132" t="n"/>
      <c r="UEJ287" s="1132" t="n"/>
      <c r="UEK287" s="1132" t="n"/>
      <c r="UEL287" s="1132" t="n"/>
      <c r="UEM287" s="1132" t="n"/>
      <c r="UEN287" s="1132" t="n"/>
      <c r="UEO287" s="1132" t="n"/>
      <c r="UEP287" s="1132" t="n"/>
      <c r="UEQ287" s="1132" t="n"/>
      <c r="UER287" s="1132" t="n"/>
      <c r="UES287" s="1132" t="n"/>
      <c r="UET287" s="1132" t="n"/>
      <c r="UEU287" s="1132" t="n"/>
      <c r="UEV287" s="1132" t="n"/>
      <c r="UEW287" s="1132" t="n"/>
      <c r="UEX287" s="1132" t="n"/>
      <c r="UEY287" s="1132" t="n"/>
      <c r="UEZ287" s="1132" t="n"/>
      <c r="UFA287" s="1132" t="n"/>
      <c r="UFB287" s="1132" t="n"/>
      <c r="UFC287" s="1132" t="n"/>
      <c r="UFD287" s="1132" t="n"/>
      <c r="UFE287" s="1132" t="n"/>
      <c r="UFF287" s="1132" t="n"/>
      <c r="UFG287" s="1132" t="n"/>
      <c r="UFH287" s="1132" t="n"/>
      <c r="UFI287" s="1132" t="n"/>
      <c r="UFJ287" s="1132" t="n"/>
      <c r="UFK287" s="1132" t="n"/>
      <c r="UFL287" s="1132" t="n"/>
      <c r="UFM287" s="1132" t="n"/>
      <c r="UFN287" s="1132" t="n"/>
      <c r="UFO287" s="1132" t="n"/>
      <c r="UFP287" s="1132" t="n"/>
      <c r="UFQ287" s="1132" t="n"/>
      <c r="UFR287" s="1132" t="n"/>
      <c r="UFS287" s="1132" t="n"/>
      <c r="UFT287" s="1132" t="n"/>
      <c r="UFU287" s="1132" t="n"/>
      <c r="UFV287" s="1132" t="n"/>
      <c r="UFW287" s="1132" t="n"/>
      <c r="UFX287" s="1132" t="n"/>
      <c r="UFY287" s="1132" t="n"/>
      <c r="UFZ287" s="1132" t="n"/>
      <c r="UGA287" s="1132" t="n"/>
      <c r="UGB287" s="1132" t="n"/>
      <c r="UGC287" s="1132" t="n"/>
      <c r="UGD287" s="1132" t="n"/>
      <c r="UGE287" s="1132" t="n"/>
      <c r="UGF287" s="1132" t="n"/>
      <c r="UGG287" s="1132" t="n"/>
      <c r="UGH287" s="1132" t="n"/>
      <c r="UGI287" s="1132" t="n"/>
      <c r="UGJ287" s="1132" t="n"/>
      <c r="UGK287" s="1132" t="n"/>
      <c r="UGL287" s="1132" t="n"/>
      <c r="UGM287" s="1132" t="n"/>
      <c r="UGN287" s="1132" t="n"/>
      <c r="UGO287" s="1132" t="n"/>
      <c r="UGP287" s="1132" t="n"/>
      <c r="UGQ287" s="1132" t="n"/>
      <c r="UGR287" s="1132" t="n"/>
      <c r="UGS287" s="1132" t="n"/>
      <c r="UGT287" s="1132" t="n"/>
      <c r="UGU287" s="1132" t="n"/>
      <c r="UGV287" s="1132" t="n"/>
      <c r="UGW287" s="1132" t="n"/>
      <c r="UGX287" s="1132" t="n"/>
      <c r="UGY287" s="1132" t="n"/>
      <c r="UGZ287" s="1132" t="n"/>
      <c r="UHA287" s="1132" t="n"/>
      <c r="UHB287" s="1132" t="n"/>
      <c r="UHC287" s="1132" t="n"/>
      <c r="UHD287" s="1132" t="n"/>
      <c r="UHE287" s="1132" t="n"/>
      <c r="UHF287" s="1132" t="n"/>
      <c r="UHG287" s="1132" t="n"/>
      <c r="UHH287" s="1132" t="n"/>
      <c r="UHI287" s="1132" t="n"/>
      <c r="UHJ287" s="1132" t="n"/>
      <c r="UHK287" s="1132" t="n"/>
      <c r="UHL287" s="1132" t="n"/>
      <c r="UHM287" s="1132" t="n"/>
      <c r="UHN287" s="1132" t="n"/>
      <c r="UHO287" s="1132" t="n"/>
      <c r="UHP287" s="1132" t="n"/>
      <c r="UHQ287" s="1132" t="n"/>
      <c r="UHR287" s="1132" t="n"/>
      <c r="UHS287" s="1132" t="n"/>
      <c r="UHT287" s="1132" t="n"/>
      <c r="UHU287" s="1132" t="n"/>
      <c r="UHV287" s="1132" t="n"/>
      <c r="UHW287" s="1132" t="n"/>
      <c r="UHX287" s="1132" t="n"/>
      <c r="UHY287" s="1132" t="n"/>
      <c r="UHZ287" s="1132" t="n"/>
      <c r="UIA287" s="1132" t="n"/>
      <c r="UIB287" s="1132" t="n"/>
      <c r="UIC287" s="1132" t="n"/>
      <c r="UID287" s="1132" t="n"/>
      <c r="UIE287" s="1132" t="n"/>
      <c r="UIF287" s="1132" t="n"/>
      <c r="UIG287" s="1132" t="n"/>
      <c r="UIH287" s="1132" t="n"/>
      <c r="UII287" s="1132" t="n"/>
      <c r="UIJ287" s="1132" t="n"/>
      <c r="UIK287" s="1132" t="n"/>
      <c r="UIL287" s="1132" t="n"/>
      <c r="UIM287" s="1132" t="n"/>
      <c r="UIN287" s="1132" t="n"/>
      <c r="UIO287" s="1132" t="n"/>
      <c r="UIP287" s="1132" t="n"/>
      <c r="UIQ287" s="1132" t="n"/>
      <c r="UIR287" s="1132" t="n"/>
      <c r="UIS287" s="1132" t="n"/>
      <c r="UIT287" s="1132" t="n"/>
      <c r="UIU287" s="1132" t="n"/>
      <c r="UIV287" s="1132" t="n"/>
      <c r="UIW287" s="1132" t="n"/>
      <c r="UIX287" s="1132" t="n"/>
      <c r="UIY287" s="1132" t="n"/>
      <c r="UIZ287" s="1132" t="n"/>
      <c r="UJA287" s="1132" t="n"/>
      <c r="UJB287" s="1132" t="n"/>
      <c r="UJC287" s="1132" t="n"/>
      <c r="UJD287" s="1132" t="n"/>
      <c r="UJE287" s="1132" t="n"/>
      <c r="UJF287" s="1132" t="n"/>
      <c r="UJG287" s="1132" t="n"/>
      <c r="UJH287" s="1132" t="n"/>
      <c r="UJI287" s="1132" t="n"/>
      <c r="UJJ287" s="1132" t="n"/>
      <c r="UJK287" s="1132" t="n"/>
      <c r="UJL287" s="1132" t="n"/>
      <c r="UJM287" s="1132" t="n"/>
      <c r="UJN287" s="1132" t="n"/>
      <c r="UJO287" s="1132" t="n"/>
      <c r="UJP287" s="1132" t="n"/>
      <c r="UJQ287" s="1132" t="n"/>
      <c r="UJR287" s="1132" t="n"/>
      <c r="UJS287" s="1132" t="n"/>
      <c r="UJT287" s="1132" t="n"/>
      <c r="UJU287" s="1132" t="n"/>
      <c r="UJV287" s="1132" t="n"/>
      <c r="UJW287" s="1132" t="n"/>
      <c r="UJX287" s="1132" t="n"/>
      <c r="UJY287" s="1132" t="n"/>
      <c r="UJZ287" s="1132" t="n"/>
      <c r="UKA287" s="1132" t="n"/>
      <c r="UKB287" s="1132" t="n"/>
      <c r="UKC287" s="1132" t="n"/>
      <c r="UKD287" s="1132" t="n"/>
      <c r="UKE287" s="1132" t="n"/>
      <c r="UKF287" s="1132" t="n"/>
      <c r="UKG287" s="1132" t="n"/>
      <c r="UKH287" s="1132" t="n"/>
      <c r="UKI287" s="1132" t="n"/>
      <c r="UKJ287" s="1132" t="n"/>
      <c r="UKK287" s="1132" t="n"/>
      <c r="UKL287" s="1132" t="n"/>
      <c r="UKM287" s="1132" t="n"/>
      <c r="UKN287" s="1132" t="n"/>
      <c r="UKO287" s="1132" t="n"/>
      <c r="UKP287" s="1132" t="n"/>
      <c r="UKQ287" s="1132" t="n"/>
      <c r="UKR287" s="1132" t="n"/>
      <c r="UKS287" s="1132" t="n"/>
      <c r="UKT287" s="1132" t="n"/>
      <c r="UKU287" s="1132" t="n"/>
      <c r="UKV287" s="1132" t="n"/>
      <c r="UKW287" s="1132" t="n"/>
      <c r="UKX287" s="1132" t="n"/>
      <c r="UKY287" s="1132" t="n"/>
      <c r="UKZ287" s="1132" t="n"/>
      <c r="ULA287" s="1132" t="n"/>
      <c r="ULB287" s="1132" t="n"/>
      <c r="ULC287" s="1132" t="n"/>
      <c r="ULD287" s="1132" t="n"/>
      <c r="ULE287" s="1132" t="n"/>
      <c r="ULF287" s="1132" t="n"/>
      <c r="ULG287" s="1132" t="n"/>
      <c r="ULH287" s="1132" t="n"/>
      <c r="ULI287" s="1132" t="n"/>
      <c r="ULJ287" s="1132" t="n"/>
      <c r="ULK287" s="1132" t="n"/>
      <c r="ULL287" s="1132" t="n"/>
      <c r="ULM287" s="1132" t="n"/>
      <c r="ULN287" s="1132" t="n"/>
      <c r="ULO287" s="1132" t="n"/>
      <c r="ULP287" s="1132" t="n"/>
      <c r="ULQ287" s="1132" t="n"/>
      <c r="ULR287" s="1132" t="n"/>
      <c r="ULS287" s="1132" t="n"/>
      <c r="ULT287" s="1132" t="n"/>
      <c r="ULU287" s="1132" t="n"/>
      <c r="ULV287" s="1132" t="n"/>
      <c r="ULW287" s="1132" t="n"/>
      <c r="ULX287" s="1132" t="n"/>
      <c r="ULY287" s="1132" t="n"/>
      <c r="ULZ287" s="1132" t="n"/>
      <c r="UMA287" s="1132" t="n"/>
      <c r="UMB287" s="1132" t="n"/>
      <c r="UMC287" s="1132" t="n"/>
      <c r="UMD287" s="1132" t="n"/>
      <c r="UME287" s="1132" t="n"/>
      <c r="UMF287" s="1132" t="n"/>
      <c r="UMG287" s="1132" t="n"/>
      <c r="UMH287" s="1132" t="n"/>
      <c r="UMI287" s="1132" t="n"/>
      <c r="UMJ287" s="1132" t="n"/>
      <c r="UMK287" s="1132" t="n"/>
      <c r="UML287" s="1132" t="n"/>
      <c r="UMM287" s="1132" t="n"/>
      <c r="UMN287" s="1132" t="n"/>
      <c r="UMO287" s="1132" t="n"/>
      <c r="UMP287" s="1132" t="n"/>
      <c r="UMQ287" s="1132" t="n"/>
      <c r="UMR287" s="1132" t="n"/>
      <c r="UMS287" s="1132" t="n"/>
      <c r="UMT287" s="1132" t="n"/>
      <c r="UMU287" s="1132" t="n"/>
      <c r="UMV287" s="1132" t="n"/>
      <c r="UMW287" s="1132" t="n"/>
      <c r="UMX287" s="1132" t="n"/>
      <c r="UMY287" s="1132" t="n"/>
      <c r="UMZ287" s="1132" t="n"/>
      <c r="UNA287" s="1132" t="n"/>
      <c r="UNB287" s="1132" t="n"/>
      <c r="UNC287" s="1132" t="n"/>
      <c r="UND287" s="1132" t="n"/>
      <c r="UNE287" s="1132" t="n"/>
      <c r="UNF287" s="1132" t="n"/>
      <c r="UNG287" s="1132" t="n"/>
      <c r="UNH287" s="1132" t="n"/>
      <c r="UNI287" s="1132" t="n"/>
      <c r="UNJ287" s="1132" t="n"/>
      <c r="UNK287" s="1132" t="n"/>
      <c r="UNL287" s="1132" t="n"/>
      <c r="UNM287" s="1132" t="n"/>
      <c r="UNN287" s="1132" t="n"/>
      <c r="UNO287" s="1132" t="n"/>
      <c r="UNP287" s="1132" t="n"/>
      <c r="UNQ287" s="1132" t="n"/>
      <c r="UNR287" s="1132" t="n"/>
      <c r="UNS287" s="1132" t="n"/>
      <c r="UNT287" s="1132" t="n"/>
      <c r="UNU287" s="1132" t="n"/>
      <c r="UNV287" s="1132" t="n"/>
      <c r="UNW287" s="1132" t="n"/>
      <c r="UNX287" s="1132" t="n"/>
      <c r="UNY287" s="1132" t="n"/>
      <c r="UNZ287" s="1132" t="n"/>
      <c r="UOA287" s="1132" t="n"/>
      <c r="UOB287" s="1132" t="n"/>
      <c r="UOC287" s="1132" t="n"/>
      <c r="UOD287" s="1132" t="n"/>
      <c r="UOE287" s="1132" t="n"/>
      <c r="UOF287" s="1132" t="n"/>
      <c r="UOG287" s="1132" t="n"/>
      <c r="UOH287" s="1132" t="n"/>
      <c r="UOI287" s="1132" t="n"/>
      <c r="UOJ287" s="1132" t="n"/>
      <c r="UOK287" s="1132" t="n"/>
      <c r="UOL287" s="1132" t="n"/>
      <c r="UOM287" s="1132" t="n"/>
      <c r="UON287" s="1132" t="n"/>
      <c r="UOO287" s="1132" t="n"/>
      <c r="UOP287" s="1132" t="n"/>
      <c r="UOQ287" s="1132" t="n"/>
      <c r="UOR287" s="1132" t="n"/>
      <c r="UOS287" s="1132" t="n"/>
      <c r="UOT287" s="1132" t="n"/>
      <c r="UOU287" s="1132" t="n"/>
      <c r="UOV287" s="1132" t="n"/>
      <c r="UOW287" s="1132" t="n"/>
      <c r="UOX287" s="1132" t="n"/>
      <c r="UOY287" s="1132" t="n"/>
      <c r="UOZ287" s="1132" t="n"/>
      <c r="UPA287" s="1132" t="n"/>
      <c r="UPB287" s="1132" t="n"/>
      <c r="UPC287" s="1132" t="n"/>
      <c r="UPD287" s="1132" t="n"/>
      <c r="UPE287" s="1132" t="n"/>
      <c r="UPF287" s="1132" t="n"/>
      <c r="UPG287" s="1132" t="n"/>
      <c r="UPH287" s="1132" t="n"/>
      <c r="UPI287" s="1132" t="n"/>
      <c r="UPJ287" s="1132" t="n"/>
      <c r="UPK287" s="1132" t="n"/>
      <c r="UPL287" s="1132" t="n"/>
      <c r="UPM287" s="1132" t="n"/>
      <c r="UPN287" s="1132" t="n"/>
      <c r="UPO287" s="1132" t="n"/>
      <c r="UPP287" s="1132" t="n"/>
      <c r="UPQ287" s="1132" t="n"/>
      <c r="UPR287" s="1132" t="n"/>
      <c r="UPS287" s="1132" t="n"/>
      <c r="UPT287" s="1132" t="n"/>
      <c r="UPU287" s="1132" t="n"/>
      <c r="UPV287" s="1132" t="n"/>
      <c r="UPW287" s="1132" t="n"/>
      <c r="UPX287" s="1132" t="n"/>
      <c r="UPY287" s="1132" t="n"/>
      <c r="UPZ287" s="1132" t="n"/>
      <c r="UQA287" s="1132" t="n"/>
      <c r="UQB287" s="1132" t="n"/>
      <c r="UQC287" s="1132" t="n"/>
      <c r="UQD287" s="1132" t="n"/>
      <c r="UQE287" s="1132" t="n"/>
      <c r="UQF287" s="1132" t="n"/>
      <c r="UQG287" s="1132" t="n"/>
      <c r="UQH287" s="1132" t="n"/>
      <c r="UQI287" s="1132" t="n"/>
      <c r="UQJ287" s="1132" t="n"/>
      <c r="UQK287" s="1132" t="n"/>
      <c r="UQL287" s="1132" t="n"/>
      <c r="UQM287" s="1132" t="n"/>
      <c r="UQN287" s="1132" t="n"/>
      <c r="UQO287" s="1132" t="n"/>
      <c r="UQP287" s="1132" t="n"/>
      <c r="UQQ287" s="1132" t="n"/>
      <c r="UQR287" s="1132" t="n"/>
      <c r="UQS287" s="1132" t="n"/>
      <c r="UQT287" s="1132" t="n"/>
      <c r="UQU287" s="1132" t="n"/>
      <c r="UQV287" s="1132" t="n"/>
      <c r="UQW287" s="1132" t="n"/>
      <c r="UQX287" s="1132" t="n"/>
      <c r="UQY287" s="1132" t="n"/>
      <c r="UQZ287" s="1132" t="n"/>
      <c r="URA287" s="1132" t="n"/>
      <c r="URB287" s="1132" t="n"/>
      <c r="URC287" s="1132" t="n"/>
      <c r="URD287" s="1132" t="n"/>
      <c r="URE287" s="1132" t="n"/>
      <c r="URF287" s="1132" t="n"/>
      <c r="URG287" s="1132" t="n"/>
      <c r="URH287" s="1132" t="n"/>
      <c r="URI287" s="1132" t="n"/>
      <c r="URJ287" s="1132" t="n"/>
      <c r="URK287" s="1132" t="n"/>
      <c r="URL287" s="1132" t="n"/>
      <c r="URM287" s="1132" t="n"/>
      <c r="URN287" s="1132" t="n"/>
      <c r="URO287" s="1132" t="n"/>
      <c r="URP287" s="1132" t="n"/>
      <c r="URQ287" s="1132" t="n"/>
      <c r="URR287" s="1132" t="n"/>
      <c r="URS287" s="1132" t="n"/>
      <c r="URT287" s="1132" t="n"/>
      <c r="URU287" s="1132" t="n"/>
      <c r="URV287" s="1132" t="n"/>
      <c r="URW287" s="1132" t="n"/>
      <c r="URX287" s="1132" t="n"/>
      <c r="URY287" s="1132" t="n"/>
      <c r="URZ287" s="1132" t="n"/>
      <c r="USA287" s="1132" t="n"/>
      <c r="USB287" s="1132" t="n"/>
      <c r="USC287" s="1132" t="n"/>
      <c r="USD287" s="1132" t="n"/>
      <c r="USE287" s="1132" t="n"/>
      <c r="USF287" s="1132" t="n"/>
      <c r="USG287" s="1132" t="n"/>
      <c r="USH287" s="1132" t="n"/>
      <c r="USI287" s="1132" t="n"/>
      <c r="USJ287" s="1132" t="n"/>
      <c r="USK287" s="1132" t="n"/>
      <c r="USL287" s="1132" t="n"/>
      <c r="USM287" s="1132" t="n"/>
      <c r="USN287" s="1132" t="n"/>
      <c r="USO287" s="1132" t="n"/>
      <c r="USP287" s="1132" t="n"/>
      <c r="USQ287" s="1132" t="n"/>
      <c r="USR287" s="1132" t="n"/>
      <c r="USS287" s="1132" t="n"/>
      <c r="UST287" s="1132" t="n"/>
      <c r="USU287" s="1132" t="n"/>
      <c r="USV287" s="1132" t="n"/>
      <c r="USW287" s="1132" t="n"/>
      <c r="USX287" s="1132" t="n"/>
      <c r="USY287" s="1132" t="n"/>
      <c r="USZ287" s="1132" t="n"/>
      <c r="UTA287" s="1132" t="n"/>
      <c r="UTB287" s="1132" t="n"/>
      <c r="UTC287" s="1132" t="n"/>
      <c r="UTD287" s="1132" t="n"/>
      <c r="UTE287" s="1132" t="n"/>
      <c r="UTF287" s="1132" t="n"/>
      <c r="UTG287" s="1132" t="n"/>
      <c r="UTH287" s="1132" t="n"/>
      <c r="UTI287" s="1132" t="n"/>
      <c r="UTJ287" s="1132" t="n"/>
      <c r="UTK287" s="1132" t="n"/>
      <c r="UTL287" s="1132" t="n"/>
      <c r="UTM287" s="1132" t="n"/>
      <c r="UTN287" s="1132" t="n"/>
      <c r="UTO287" s="1132" t="n"/>
      <c r="UTP287" s="1132" t="n"/>
      <c r="UTQ287" s="1132" t="n"/>
      <c r="UTR287" s="1132" t="n"/>
      <c r="UTS287" s="1132" t="n"/>
      <c r="UTT287" s="1132" t="n"/>
      <c r="UTU287" s="1132" t="n"/>
      <c r="UTV287" s="1132" t="n"/>
      <c r="UTW287" s="1132" t="n"/>
      <c r="UTX287" s="1132" t="n"/>
      <c r="UTY287" s="1132" t="n"/>
      <c r="UTZ287" s="1132" t="n"/>
      <c r="UUA287" s="1132" t="n"/>
      <c r="UUB287" s="1132" t="n"/>
      <c r="UUC287" s="1132" t="n"/>
      <c r="UUD287" s="1132" t="n"/>
      <c r="UUE287" s="1132" t="n"/>
      <c r="UUF287" s="1132" t="n"/>
      <c r="UUG287" s="1132" t="n"/>
      <c r="UUH287" s="1132" t="n"/>
      <c r="UUI287" s="1132" t="n"/>
      <c r="UUJ287" s="1132" t="n"/>
      <c r="UUK287" s="1132" t="n"/>
      <c r="UUL287" s="1132" t="n"/>
      <c r="UUM287" s="1132" t="n"/>
      <c r="UUN287" s="1132" t="n"/>
      <c r="UUO287" s="1132" t="n"/>
      <c r="UUP287" s="1132" t="n"/>
      <c r="UUQ287" s="1132" t="n"/>
      <c r="UUR287" s="1132" t="n"/>
      <c r="UUS287" s="1132" t="n"/>
      <c r="UUT287" s="1132" t="n"/>
      <c r="UUU287" s="1132" t="n"/>
      <c r="UUV287" s="1132" t="n"/>
      <c r="UUW287" s="1132" t="n"/>
      <c r="UUX287" s="1132" t="n"/>
      <c r="UUY287" s="1132" t="n"/>
      <c r="UUZ287" s="1132" t="n"/>
      <c r="UVA287" s="1132" t="n"/>
      <c r="UVB287" s="1132" t="n"/>
      <c r="UVC287" s="1132" t="n"/>
      <c r="UVD287" s="1132" t="n"/>
      <c r="UVE287" s="1132" t="n"/>
      <c r="UVF287" s="1132" t="n"/>
      <c r="UVG287" s="1132" t="n"/>
      <c r="UVH287" s="1132" t="n"/>
      <c r="UVI287" s="1132" t="n"/>
      <c r="UVJ287" s="1132" t="n"/>
      <c r="UVK287" s="1132" t="n"/>
      <c r="UVL287" s="1132" t="n"/>
      <c r="UVM287" s="1132" t="n"/>
      <c r="UVN287" s="1132" t="n"/>
      <c r="UVO287" s="1132" t="n"/>
      <c r="UVP287" s="1132" t="n"/>
      <c r="UVQ287" s="1132" t="n"/>
      <c r="UVR287" s="1132" t="n"/>
      <c r="UVS287" s="1132" t="n"/>
      <c r="UVT287" s="1132" t="n"/>
      <c r="UVU287" s="1132" t="n"/>
      <c r="UVV287" s="1132" t="n"/>
      <c r="UVW287" s="1132" t="n"/>
      <c r="UVX287" s="1132" t="n"/>
      <c r="UVY287" s="1132" t="n"/>
      <c r="UVZ287" s="1132" t="n"/>
      <c r="UWA287" s="1132" t="n"/>
      <c r="UWB287" s="1132" t="n"/>
      <c r="UWC287" s="1132" t="n"/>
      <c r="UWD287" s="1132" t="n"/>
      <c r="UWE287" s="1132" t="n"/>
      <c r="UWF287" s="1132" t="n"/>
      <c r="UWG287" s="1132" t="n"/>
      <c r="UWH287" s="1132" t="n"/>
      <c r="UWI287" s="1132" t="n"/>
      <c r="UWJ287" s="1132" t="n"/>
      <c r="UWK287" s="1132" t="n"/>
      <c r="UWL287" s="1132" t="n"/>
      <c r="UWM287" s="1132" t="n"/>
      <c r="UWN287" s="1132" t="n"/>
      <c r="UWO287" s="1132" t="n"/>
      <c r="UWP287" s="1132" t="n"/>
      <c r="UWQ287" s="1132" t="n"/>
      <c r="UWR287" s="1132" t="n"/>
      <c r="UWS287" s="1132" t="n"/>
      <c r="UWT287" s="1132" t="n"/>
      <c r="UWU287" s="1132" t="n"/>
      <c r="UWV287" s="1132" t="n"/>
      <c r="UWW287" s="1132" t="n"/>
      <c r="UWX287" s="1132" t="n"/>
      <c r="UWY287" s="1132" t="n"/>
      <c r="UWZ287" s="1132" t="n"/>
      <c r="UXA287" s="1132" t="n"/>
      <c r="UXB287" s="1132" t="n"/>
      <c r="UXC287" s="1132" t="n"/>
      <c r="UXD287" s="1132" t="n"/>
      <c r="UXE287" s="1132" t="n"/>
      <c r="UXF287" s="1132" t="n"/>
      <c r="UXG287" s="1132" t="n"/>
      <c r="UXH287" s="1132" t="n"/>
      <c r="UXI287" s="1132" t="n"/>
      <c r="UXJ287" s="1132" t="n"/>
      <c r="UXK287" s="1132" t="n"/>
      <c r="UXL287" s="1132" t="n"/>
      <c r="UXM287" s="1132" t="n"/>
      <c r="UXN287" s="1132" t="n"/>
      <c r="UXO287" s="1132" t="n"/>
      <c r="UXP287" s="1132" t="n"/>
      <c r="UXQ287" s="1132" t="n"/>
      <c r="UXR287" s="1132" t="n"/>
      <c r="UXS287" s="1132" t="n"/>
      <c r="UXT287" s="1132" t="n"/>
      <c r="UXU287" s="1132" t="n"/>
      <c r="UXV287" s="1132" t="n"/>
      <c r="UXW287" s="1132" t="n"/>
      <c r="UXX287" s="1132" t="n"/>
      <c r="UXY287" s="1132" t="n"/>
      <c r="UXZ287" s="1132" t="n"/>
      <c r="UYA287" s="1132" t="n"/>
      <c r="UYB287" s="1132" t="n"/>
      <c r="UYC287" s="1132" t="n"/>
      <c r="UYD287" s="1132" t="n"/>
      <c r="UYE287" s="1132" t="n"/>
      <c r="UYF287" s="1132" t="n"/>
      <c r="UYG287" s="1132" t="n"/>
      <c r="UYH287" s="1132" t="n"/>
      <c r="UYI287" s="1132" t="n"/>
      <c r="UYJ287" s="1132" t="n"/>
      <c r="UYK287" s="1132" t="n"/>
      <c r="UYL287" s="1132" t="n"/>
      <c r="UYM287" s="1132" t="n"/>
      <c r="UYN287" s="1132" t="n"/>
      <c r="UYO287" s="1132" t="n"/>
      <c r="UYP287" s="1132" t="n"/>
      <c r="UYQ287" s="1132" t="n"/>
      <c r="UYR287" s="1132" t="n"/>
      <c r="UYS287" s="1132" t="n"/>
      <c r="UYT287" s="1132" t="n"/>
      <c r="UYU287" s="1132" t="n"/>
      <c r="UYV287" s="1132" t="n"/>
      <c r="UYW287" s="1132" t="n"/>
      <c r="UYX287" s="1132" t="n"/>
      <c r="UYY287" s="1132" t="n"/>
      <c r="UYZ287" s="1132" t="n"/>
      <c r="UZA287" s="1132" t="n"/>
      <c r="UZB287" s="1132" t="n"/>
      <c r="UZC287" s="1132" t="n"/>
      <c r="UZD287" s="1132" t="n"/>
      <c r="UZE287" s="1132" t="n"/>
      <c r="UZF287" s="1132" t="n"/>
      <c r="UZG287" s="1132" t="n"/>
      <c r="UZH287" s="1132" t="n"/>
      <c r="UZI287" s="1132" t="n"/>
      <c r="UZJ287" s="1132" t="n"/>
      <c r="UZK287" s="1132" t="n"/>
      <c r="UZL287" s="1132" t="n"/>
      <c r="UZM287" s="1132" t="n"/>
      <c r="UZN287" s="1132" t="n"/>
      <c r="UZO287" s="1132" t="n"/>
      <c r="UZP287" s="1132" t="n"/>
      <c r="UZQ287" s="1132" t="n"/>
      <c r="UZR287" s="1132" t="n"/>
      <c r="UZS287" s="1132" t="n"/>
      <c r="UZT287" s="1132" t="n"/>
      <c r="UZU287" s="1132" t="n"/>
      <c r="UZV287" s="1132" t="n"/>
      <c r="UZW287" s="1132" t="n"/>
      <c r="UZX287" s="1132" t="n"/>
      <c r="UZY287" s="1132" t="n"/>
      <c r="UZZ287" s="1132" t="n"/>
      <c r="VAA287" s="1132" t="n"/>
      <c r="VAB287" s="1132" t="n"/>
      <c r="VAC287" s="1132" t="n"/>
      <c r="VAD287" s="1132" t="n"/>
      <c r="VAE287" s="1132" t="n"/>
      <c r="VAF287" s="1132" t="n"/>
      <c r="VAG287" s="1132" t="n"/>
      <c r="VAH287" s="1132" t="n"/>
      <c r="VAI287" s="1132" t="n"/>
      <c r="VAJ287" s="1132" t="n"/>
      <c r="VAK287" s="1132" t="n"/>
      <c r="VAL287" s="1132" t="n"/>
      <c r="VAM287" s="1132" t="n"/>
      <c r="VAN287" s="1132" t="n"/>
      <c r="VAO287" s="1132" t="n"/>
      <c r="VAP287" s="1132" t="n"/>
      <c r="VAQ287" s="1132" t="n"/>
      <c r="VAR287" s="1132" t="n"/>
      <c r="VAS287" s="1132" t="n"/>
      <c r="VAT287" s="1132" t="n"/>
      <c r="VAU287" s="1132" t="n"/>
      <c r="VAV287" s="1132" t="n"/>
      <c r="VAW287" s="1132" t="n"/>
      <c r="VAX287" s="1132" t="n"/>
      <c r="VAY287" s="1132" t="n"/>
      <c r="VAZ287" s="1132" t="n"/>
      <c r="VBA287" s="1132" t="n"/>
      <c r="VBB287" s="1132" t="n"/>
      <c r="VBC287" s="1132" t="n"/>
      <c r="VBD287" s="1132" t="n"/>
      <c r="VBE287" s="1132" t="n"/>
      <c r="VBF287" s="1132" t="n"/>
      <c r="VBG287" s="1132" t="n"/>
      <c r="VBH287" s="1132" t="n"/>
      <c r="VBI287" s="1132" t="n"/>
      <c r="VBJ287" s="1132" t="n"/>
      <c r="VBK287" s="1132" t="n"/>
      <c r="VBL287" s="1132" t="n"/>
      <c r="VBM287" s="1132" t="n"/>
      <c r="VBN287" s="1132" t="n"/>
      <c r="VBO287" s="1132" t="n"/>
      <c r="VBP287" s="1132" t="n"/>
      <c r="VBQ287" s="1132" t="n"/>
      <c r="VBR287" s="1132" t="n"/>
      <c r="VBS287" s="1132" t="n"/>
      <c r="VBT287" s="1132" t="n"/>
      <c r="VBU287" s="1132" t="n"/>
      <c r="VBV287" s="1132" t="n"/>
      <c r="VBW287" s="1132" t="n"/>
      <c r="VBX287" s="1132" t="n"/>
      <c r="VBY287" s="1132" t="n"/>
      <c r="VBZ287" s="1132" t="n"/>
      <c r="VCA287" s="1132" t="n"/>
      <c r="VCB287" s="1132" t="n"/>
      <c r="VCC287" s="1132" t="n"/>
      <c r="VCD287" s="1132" t="n"/>
      <c r="VCE287" s="1132" t="n"/>
      <c r="VCF287" s="1132" t="n"/>
      <c r="VCG287" s="1132" t="n"/>
      <c r="VCH287" s="1132" t="n"/>
      <c r="VCI287" s="1132" t="n"/>
      <c r="VCJ287" s="1132" t="n"/>
      <c r="VCK287" s="1132" t="n"/>
      <c r="VCL287" s="1132" t="n"/>
      <c r="VCM287" s="1132" t="n"/>
      <c r="VCN287" s="1132" t="n"/>
      <c r="VCO287" s="1132" t="n"/>
      <c r="VCP287" s="1132" t="n"/>
      <c r="VCQ287" s="1132" t="n"/>
      <c r="VCR287" s="1132" t="n"/>
      <c r="VCS287" s="1132" t="n"/>
      <c r="VCT287" s="1132" t="n"/>
      <c r="VCU287" s="1132" t="n"/>
      <c r="VCV287" s="1132" t="n"/>
      <c r="VCW287" s="1132" t="n"/>
      <c r="VCX287" s="1132" t="n"/>
      <c r="VCY287" s="1132" t="n"/>
      <c r="VCZ287" s="1132" t="n"/>
      <c r="VDA287" s="1132" t="n"/>
      <c r="VDB287" s="1132" t="n"/>
      <c r="VDC287" s="1132" t="n"/>
      <c r="VDD287" s="1132" t="n"/>
      <c r="VDE287" s="1132" t="n"/>
      <c r="VDF287" s="1132" t="n"/>
      <c r="VDG287" s="1132" t="n"/>
      <c r="VDH287" s="1132" t="n"/>
      <c r="VDI287" s="1132" t="n"/>
      <c r="VDJ287" s="1132" t="n"/>
      <c r="VDK287" s="1132" t="n"/>
      <c r="VDL287" s="1132" t="n"/>
      <c r="VDM287" s="1132" t="n"/>
      <c r="VDN287" s="1132" t="n"/>
      <c r="VDO287" s="1132" t="n"/>
      <c r="VDP287" s="1132" t="n"/>
      <c r="VDQ287" s="1132" t="n"/>
      <c r="VDR287" s="1132" t="n"/>
      <c r="VDS287" s="1132" t="n"/>
      <c r="VDT287" s="1132" t="n"/>
      <c r="VDU287" s="1132" t="n"/>
      <c r="VDV287" s="1132" t="n"/>
      <c r="VDW287" s="1132" t="n"/>
      <c r="VDX287" s="1132" t="n"/>
      <c r="VDY287" s="1132" t="n"/>
      <c r="VDZ287" s="1132" t="n"/>
      <c r="VEA287" s="1132" t="n"/>
      <c r="VEB287" s="1132" t="n"/>
      <c r="VEC287" s="1132" t="n"/>
      <c r="VED287" s="1132" t="n"/>
      <c r="VEE287" s="1132" t="n"/>
      <c r="VEF287" s="1132" t="n"/>
      <c r="VEG287" s="1132" t="n"/>
      <c r="VEH287" s="1132" t="n"/>
      <c r="VEI287" s="1132" t="n"/>
      <c r="VEJ287" s="1132" t="n"/>
      <c r="VEK287" s="1132" t="n"/>
      <c r="VEL287" s="1132" t="n"/>
      <c r="VEM287" s="1132" t="n"/>
      <c r="VEN287" s="1132" t="n"/>
      <c r="VEO287" s="1132" t="n"/>
      <c r="VEP287" s="1132" t="n"/>
      <c r="VEQ287" s="1132" t="n"/>
      <c r="VER287" s="1132" t="n"/>
      <c r="VES287" s="1132" t="n"/>
      <c r="VET287" s="1132" t="n"/>
      <c r="VEU287" s="1132" t="n"/>
      <c r="VEV287" s="1132" t="n"/>
      <c r="VEW287" s="1132" t="n"/>
      <c r="VEX287" s="1132" t="n"/>
      <c r="VEY287" s="1132" t="n"/>
      <c r="VEZ287" s="1132" t="n"/>
      <c r="VFA287" s="1132" t="n"/>
      <c r="VFB287" s="1132" t="n"/>
      <c r="VFC287" s="1132" t="n"/>
      <c r="VFD287" s="1132" t="n"/>
      <c r="VFE287" s="1132" t="n"/>
      <c r="VFF287" s="1132" t="n"/>
      <c r="VFG287" s="1132" t="n"/>
      <c r="VFH287" s="1132" t="n"/>
      <c r="VFI287" s="1132" t="n"/>
      <c r="VFJ287" s="1132" t="n"/>
      <c r="VFK287" s="1132" t="n"/>
      <c r="VFL287" s="1132" t="n"/>
      <c r="VFM287" s="1132" t="n"/>
      <c r="VFN287" s="1132" t="n"/>
      <c r="VFO287" s="1132" t="n"/>
      <c r="VFP287" s="1132" t="n"/>
      <c r="VFQ287" s="1132" t="n"/>
      <c r="VFR287" s="1132" t="n"/>
      <c r="VFS287" s="1132" t="n"/>
      <c r="VFT287" s="1132" t="n"/>
      <c r="VFU287" s="1132" t="n"/>
      <c r="VFV287" s="1132" t="n"/>
      <c r="VFW287" s="1132" t="n"/>
      <c r="VFX287" s="1132" t="n"/>
      <c r="VFY287" s="1132" t="n"/>
      <c r="VFZ287" s="1132" t="n"/>
      <c r="VGA287" s="1132" t="n"/>
      <c r="VGB287" s="1132" t="n"/>
      <c r="VGC287" s="1132" t="n"/>
      <c r="VGD287" s="1132" t="n"/>
      <c r="VGE287" s="1132" t="n"/>
      <c r="VGF287" s="1132" t="n"/>
      <c r="VGG287" s="1132" t="n"/>
      <c r="VGH287" s="1132" t="n"/>
      <c r="VGI287" s="1132" t="n"/>
      <c r="VGJ287" s="1132" t="n"/>
      <c r="VGK287" s="1132" t="n"/>
      <c r="VGL287" s="1132" t="n"/>
      <c r="VGM287" s="1132" t="n"/>
      <c r="VGN287" s="1132" t="n"/>
      <c r="VGO287" s="1132" t="n"/>
      <c r="VGP287" s="1132" t="n"/>
      <c r="VGQ287" s="1132" t="n"/>
      <c r="VGR287" s="1132" t="n"/>
      <c r="VGS287" s="1132" t="n"/>
      <c r="VGT287" s="1132" t="n"/>
      <c r="VGU287" s="1132" t="n"/>
      <c r="VGV287" s="1132" t="n"/>
      <c r="VGW287" s="1132" t="n"/>
      <c r="VGX287" s="1132" t="n"/>
      <c r="VGY287" s="1132" t="n"/>
      <c r="VGZ287" s="1132" t="n"/>
      <c r="VHA287" s="1132" t="n"/>
      <c r="VHB287" s="1132" t="n"/>
      <c r="VHC287" s="1132" t="n"/>
      <c r="VHD287" s="1132" t="n"/>
      <c r="VHE287" s="1132" t="n"/>
      <c r="VHF287" s="1132" t="n"/>
      <c r="VHG287" s="1132" t="n"/>
      <c r="VHH287" s="1132" t="n"/>
      <c r="VHI287" s="1132" t="n"/>
      <c r="VHJ287" s="1132" t="n"/>
      <c r="VHK287" s="1132" t="n"/>
      <c r="VHL287" s="1132" t="n"/>
      <c r="VHM287" s="1132" t="n"/>
      <c r="VHN287" s="1132" t="n"/>
      <c r="VHO287" s="1132" t="n"/>
      <c r="VHP287" s="1132" t="n"/>
      <c r="VHQ287" s="1132" t="n"/>
      <c r="VHR287" s="1132" t="n"/>
      <c r="VHS287" s="1132" t="n"/>
      <c r="VHT287" s="1132" t="n"/>
      <c r="VHU287" s="1132" t="n"/>
      <c r="VHV287" s="1132" t="n"/>
      <c r="VHW287" s="1132" t="n"/>
      <c r="VHX287" s="1132" t="n"/>
      <c r="VHY287" s="1132" t="n"/>
      <c r="VHZ287" s="1132" t="n"/>
      <c r="VIA287" s="1132" t="n"/>
      <c r="VIB287" s="1132" t="n"/>
      <c r="VIC287" s="1132" t="n"/>
      <c r="VID287" s="1132" t="n"/>
      <c r="VIE287" s="1132" t="n"/>
      <c r="VIF287" s="1132" t="n"/>
      <c r="VIG287" s="1132" t="n"/>
      <c r="VIH287" s="1132" t="n"/>
      <c r="VII287" s="1132" t="n"/>
      <c r="VIJ287" s="1132" t="n"/>
      <c r="VIK287" s="1132" t="n"/>
      <c r="VIL287" s="1132" t="n"/>
      <c r="VIM287" s="1132" t="n"/>
      <c r="VIN287" s="1132" t="n"/>
      <c r="VIO287" s="1132" t="n"/>
      <c r="VIP287" s="1132" t="n"/>
      <c r="VIQ287" s="1132" t="n"/>
      <c r="VIR287" s="1132" t="n"/>
      <c r="VIS287" s="1132" t="n"/>
      <c r="VIT287" s="1132" t="n"/>
      <c r="VIU287" s="1132" t="n"/>
      <c r="VIV287" s="1132" t="n"/>
      <c r="VIW287" s="1132" t="n"/>
      <c r="VIX287" s="1132" t="n"/>
      <c r="VIY287" s="1132" t="n"/>
      <c r="VIZ287" s="1132" t="n"/>
      <c r="VJA287" s="1132" t="n"/>
      <c r="VJB287" s="1132" t="n"/>
      <c r="VJC287" s="1132" t="n"/>
      <c r="VJD287" s="1132" t="n"/>
      <c r="VJE287" s="1132" t="n"/>
      <c r="VJF287" s="1132" t="n"/>
      <c r="VJG287" s="1132" t="n"/>
      <c r="VJH287" s="1132" t="n"/>
      <c r="VJI287" s="1132" t="n"/>
      <c r="VJJ287" s="1132" t="n"/>
      <c r="VJK287" s="1132" t="n"/>
      <c r="VJL287" s="1132" t="n"/>
      <c r="VJM287" s="1132" t="n"/>
      <c r="VJN287" s="1132" t="n"/>
      <c r="VJO287" s="1132" t="n"/>
      <c r="VJP287" s="1132" t="n"/>
      <c r="VJQ287" s="1132" t="n"/>
      <c r="VJR287" s="1132" t="n"/>
      <c r="VJS287" s="1132" t="n"/>
      <c r="VJT287" s="1132" t="n"/>
      <c r="VJU287" s="1132" t="n"/>
      <c r="VJV287" s="1132" t="n"/>
      <c r="VJW287" s="1132" t="n"/>
      <c r="VJX287" s="1132" t="n"/>
      <c r="VJY287" s="1132" t="n"/>
      <c r="VJZ287" s="1132" t="n"/>
      <c r="VKA287" s="1132" t="n"/>
      <c r="VKB287" s="1132" t="n"/>
      <c r="VKC287" s="1132" t="n"/>
      <c r="VKD287" s="1132" t="n"/>
      <c r="VKE287" s="1132" t="n"/>
      <c r="VKF287" s="1132" t="n"/>
      <c r="VKG287" s="1132" t="n"/>
      <c r="VKH287" s="1132" t="n"/>
      <c r="VKI287" s="1132" t="n"/>
      <c r="VKJ287" s="1132" t="n"/>
      <c r="VKK287" s="1132" t="n"/>
      <c r="VKL287" s="1132" t="n"/>
      <c r="VKM287" s="1132" t="n"/>
      <c r="VKN287" s="1132" t="n"/>
      <c r="VKO287" s="1132" t="n"/>
      <c r="VKP287" s="1132" t="n"/>
      <c r="VKQ287" s="1132" t="n"/>
      <c r="VKR287" s="1132" t="n"/>
      <c r="VKS287" s="1132" t="n"/>
      <c r="VKT287" s="1132" t="n"/>
      <c r="VKU287" s="1132" t="n"/>
      <c r="VKV287" s="1132" t="n"/>
      <c r="VKW287" s="1132" t="n"/>
      <c r="VKX287" s="1132" t="n"/>
      <c r="VKY287" s="1132" t="n"/>
      <c r="VKZ287" s="1132" t="n"/>
      <c r="VLA287" s="1132" t="n"/>
      <c r="VLB287" s="1132" t="n"/>
      <c r="VLC287" s="1132" t="n"/>
      <c r="VLD287" s="1132" t="n"/>
      <c r="VLE287" s="1132" t="n"/>
      <c r="VLF287" s="1132" t="n"/>
      <c r="VLG287" s="1132" t="n"/>
      <c r="VLH287" s="1132" t="n"/>
      <c r="VLI287" s="1132" t="n"/>
      <c r="VLJ287" s="1132" t="n"/>
      <c r="VLK287" s="1132" t="n"/>
      <c r="VLL287" s="1132" t="n"/>
      <c r="VLM287" s="1132" t="n"/>
      <c r="VLN287" s="1132" t="n"/>
      <c r="VLO287" s="1132" t="n"/>
      <c r="VLP287" s="1132" t="n"/>
      <c r="VLQ287" s="1132" t="n"/>
      <c r="VLR287" s="1132" t="n"/>
      <c r="VLS287" s="1132" t="n"/>
      <c r="VLT287" s="1132" t="n"/>
      <c r="VLU287" s="1132" t="n"/>
      <c r="VLV287" s="1132" t="n"/>
      <c r="VLW287" s="1132" t="n"/>
      <c r="VLX287" s="1132" t="n"/>
      <c r="VLY287" s="1132" t="n"/>
      <c r="VLZ287" s="1132" t="n"/>
      <c r="VMA287" s="1132" t="n"/>
      <c r="VMB287" s="1132" t="n"/>
      <c r="VMC287" s="1132" t="n"/>
      <c r="VMD287" s="1132" t="n"/>
      <c r="VME287" s="1132" t="n"/>
      <c r="VMF287" s="1132" t="n"/>
      <c r="VMG287" s="1132" t="n"/>
      <c r="VMH287" s="1132" t="n"/>
      <c r="VMI287" s="1132" t="n"/>
      <c r="VMJ287" s="1132" t="n"/>
      <c r="VMK287" s="1132" t="n"/>
      <c r="VML287" s="1132" t="n"/>
      <c r="VMM287" s="1132" t="n"/>
      <c r="VMN287" s="1132" t="n"/>
      <c r="VMO287" s="1132" t="n"/>
      <c r="VMP287" s="1132" t="n"/>
      <c r="VMQ287" s="1132" t="n"/>
      <c r="VMR287" s="1132" t="n"/>
      <c r="VMS287" s="1132" t="n"/>
      <c r="VMT287" s="1132" t="n"/>
      <c r="VMU287" s="1132" t="n"/>
      <c r="VMV287" s="1132" t="n"/>
      <c r="VMW287" s="1132" t="n"/>
      <c r="VMX287" s="1132" t="n"/>
      <c r="VMY287" s="1132" t="n"/>
      <c r="VMZ287" s="1132" t="n"/>
      <c r="VNA287" s="1132" t="n"/>
      <c r="VNB287" s="1132" t="n"/>
      <c r="VNC287" s="1132" t="n"/>
      <c r="VND287" s="1132" t="n"/>
      <c r="VNE287" s="1132" t="n"/>
      <c r="VNF287" s="1132" t="n"/>
      <c r="VNG287" s="1132" t="n"/>
      <c r="VNH287" s="1132" t="n"/>
      <c r="VNI287" s="1132" t="n"/>
      <c r="VNJ287" s="1132" t="n"/>
      <c r="VNK287" s="1132" t="n"/>
      <c r="VNL287" s="1132" t="n"/>
      <c r="VNM287" s="1132" t="n"/>
      <c r="VNN287" s="1132" t="n"/>
      <c r="VNO287" s="1132" t="n"/>
      <c r="VNP287" s="1132" t="n"/>
      <c r="VNQ287" s="1132" t="n"/>
      <c r="VNR287" s="1132" t="n"/>
      <c r="VNS287" s="1132" t="n"/>
      <c r="VNT287" s="1132" t="n"/>
      <c r="VNU287" s="1132" t="n"/>
      <c r="VNV287" s="1132" t="n"/>
      <c r="VNW287" s="1132" t="n"/>
      <c r="VNX287" s="1132" t="n"/>
      <c r="VNY287" s="1132" t="n"/>
      <c r="VNZ287" s="1132" t="n"/>
      <c r="VOA287" s="1132" t="n"/>
      <c r="VOB287" s="1132" t="n"/>
      <c r="VOC287" s="1132" t="n"/>
      <c r="VOD287" s="1132" t="n"/>
      <c r="VOE287" s="1132" t="n"/>
      <c r="VOF287" s="1132" t="n"/>
      <c r="VOG287" s="1132" t="n"/>
      <c r="VOH287" s="1132" t="n"/>
      <c r="VOI287" s="1132" t="n"/>
      <c r="VOJ287" s="1132" t="n"/>
      <c r="VOK287" s="1132" t="n"/>
      <c r="VOL287" s="1132" t="n"/>
      <c r="VOM287" s="1132" t="n"/>
      <c r="VON287" s="1132" t="n"/>
      <c r="VOO287" s="1132" t="n"/>
      <c r="VOP287" s="1132" t="n"/>
      <c r="VOQ287" s="1132" t="n"/>
      <c r="VOR287" s="1132" t="n"/>
      <c r="VOS287" s="1132" t="n"/>
      <c r="VOT287" s="1132" t="n"/>
      <c r="VOU287" s="1132" t="n"/>
      <c r="VOV287" s="1132" t="n"/>
      <c r="VOW287" s="1132" t="n"/>
      <c r="VOX287" s="1132" t="n"/>
      <c r="VOY287" s="1132" t="n"/>
      <c r="VOZ287" s="1132" t="n"/>
      <c r="VPA287" s="1132" t="n"/>
      <c r="VPB287" s="1132" t="n"/>
      <c r="VPC287" s="1132" t="n"/>
      <c r="VPD287" s="1132" t="n"/>
      <c r="VPE287" s="1132" t="n"/>
      <c r="VPF287" s="1132" t="n"/>
      <c r="VPG287" s="1132" t="n"/>
      <c r="VPH287" s="1132" t="n"/>
      <c r="VPI287" s="1132" t="n"/>
      <c r="VPJ287" s="1132" t="n"/>
      <c r="VPK287" s="1132" t="n"/>
      <c r="VPL287" s="1132" t="n"/>
      <c r="VPM287" s="1132" t="n"/>
      <c r="VPN287" s="1132" t="n"/>
      <c r="VPO287" s="1132" t="n"/>
      <c r="VPP287" s="1132" t="n"/>
      <c r="VPQ287" s="1132" t="n"/>
      <c r="VPR287" s="1132" t="n"/>
      <c r="VPS287" s="1132" t="n"/>
      <c r="VPT287" s="1132" t="n"/>
      <c r="VPU287" s="1132" t="n"/>
      <c r="VPV287" s="1132" t="n"/>
      <c r="VPW287" s="1132" t="n"/>
      <c r="VPX287" s="1132" t="n"/>
      <c r="VPY287" s="1132" t="n"/>
      <c r="VPZ287" s="1132" t="n"/>
      <c r="VQA287" s="1132" t="n"/>
      <c r="VQB287" s="1132" t="n"/>
      <c r="VQC287" s="1132" t="n"/>
      <c r="VQD287" s="1132" t="n"/>
      <c r="VQE287" s="1132" t="n"/>
      <c r="VQF287" s="1132" t="n"/>
      <c r="VQG287" s="1132" t="n"/>
      <c r="VQH287" s="1132" t="n"/>
      <c r="VQI287" s="1132" t="n"/>
      <c r="VQJ287" s="1132" t="n"/>
      <c r="VQK287" s="1132" t="n"/>
      <c r="VQL287" s="1132" t="n"/>
      <c r="VQM287" s="1132" t="n"/>
      <c r="VQN287" s="1132" t="n"/>
      <c r="VQO287" s="1132" t="n"/>
      <c r="VQP287" s="1132" t="n"/>
      <c r="VQQ287" s="1132" t="n"/>
      <c r="VQR287" s="1132" t="n"/>
      <c r="VQS287" s="1132" t="n"/>
      <c r="VQT287" s="1132" t="n"/>
      <c r="VQU287" s="1132" t="n"/>
      <c r="VQV287" s="1132" t="n"/>
      <c r="VQW287" s="1132" t="n"/>
      <c r="VQX287" s="1132" t="n"/>
      <c r="VQY287" s="1132" t="n"/>
      <c r="VQZ287" s="1132" t="n"/>
      <c r="VRA287" s="1132" t="n"/>
      <c r="VRB287" s="1132" t="n"/>
      <c r="VRC287" s="1132" t="n"/>
      <c r="VRD287" s="1132" t="n"/>
      <c r="VRE287" s="1132" t="n"/>
      <c r="VRF287" s="1132" t="n"/>
      <c r="VRG287" s="1132" t="n"/>
      <c r="VRH287" s="1132" t="n"/>
      <c r="VRI287" s="1132" t="n"/>
      <c r="VRJ287" s="1132" t="n"/>
      <c r="VRK287" s="1132" t="n"/>
      <c r="VRL287" s="1132" t="n"/>
      <c r="VRM287" s="1132" t="n"/>
      <c r="VRN287" s="1132" t="n"/>
      <c r="VRO287" s="1132" t="n"/>
      <c r="VRP287" s="1132" t="n"/>
      <c r="VRQ287" s="1132" t="n"/>
      <c r="VRR287" s="1132" t="n"/>
      <c r="VRS287" s="1132" t="n"/>
      <c r="VRT287" s="1132" t="n"/>
      <c r="VRU287" s="1132" t="n"/>
      <c r="VRV287" s="1132" t="n"/>
      <c r="VRW287" s="1132" t="n"/>
      <c r="VRX287" s="1132" t="n"/>
      <c r="VRY287" s="1132" t="n"/>
      <c r="VRZ287" s="1132" t="n"/>
      <c r="VSA287" s="1132" t="n"/>
      <c r="VSB287" s="1132" t="n"/>
      <c r="VSC287" s="1132" t="n"/>
      <c r="VSD287" s="1132" t="n"/>
      <c r="VSE287" s="1132" t="n"/>
      <c r="VSF287" s="1132" t="n"/>
      <c r="VSG287" s="1132" t="n"/>
      <c r="VSH287" s="1132" t="n"/>
      <c r="VSI287" s="1132" t="n"/>
      <c r="VSJ287" s="1132" t="n"/>
      <c r="VSK287" s="1132" t="n"/>
      <c r="VSL287" s="1132" t="n"/>
      <c r="VSM287" s="1132" t="n"/>
      <c r="VSN287" s="1132" t="n"/>
      <c r="VSO287" s="1132" t="n"/>
      <c r="VSP287" s="1132" t="n"/>
      <c r="VSQ287" s="1132" t="n"/>
      <c r="VSR287" s="1132" t="n"/>
      <c r="VSS287" s="1132" t="n"/>
      <c r="VST287" s="1132" t="n"/>
      <c r="VSU287" s="1132" t="n"/>
      <c r="VSV287" s="1132" t="n"/>
      <c r="VSW287" s="1132" t="n"/>
      <c r="VSX287" s="1132" t="n"/>
      <c r="VSY287" s="1132" t="n"/>
      <c r="VSZ287" s="1132" t="n"/>
      <c r="VTA287" s="1132" t="n"/>
      <c r="VTB287" s="1132" t="n"/>
      <c r="VTC287" s="1132" t="n"/>
      <c r="VTD287" s="1132" t="n"/>
      <c r="VTE287" s="1132" t="n"/>
      <c r="VTF287" s="1132" t="n"/>
      <c r="VTG287" s="1132" t="n"/>
      <c r="VTH287" s="1132" t="n"/>
      <c r="VTI287" s="1132" t="n"/>
      <c r="VTJ287" s="1132" t="n"/>
      <c r="VTK287" s="1132" t="n"/>
      <c r="VTL287" s="1132" t="n"/>
      <c r="VTM287" s="1132" t="n"/>
      <c r="VTN287" s="1132" t="n"/>
      <c r="VTO287" s="1132" t="n"/>
      <c r="VTP287" s="1132" t="n"/>
      <c r="VTQ287" s="1132" t="n"/>
      <c r="VTR287" s="1132" t="n"/>
      <c r="VTS287" s="1132" t="n"/>
      <c r="VTT287" s="1132" t="n"/>
      <c r="VTU287" s="1132" t="n"/>
      <c r="VTV287" s="1132" t="n"/>
      <c r="VTW287" s="1132" t="n"/>
      <c r="VTX287" s="1132" t="n"/>
      <c r="VTY287" s="1132" t="n"/>
      <c r="VTZ287" s="1132" t="n"/>
      <c r="VUA287" s="1132" t="n"/>
      <c r="VUB287" s="1132" t="n"/>
      <c r="VUC287" s="1132" t="n"/>
      <c r="VUD287" s="1132" t="n"/>
      <c r="VUE287" s="1132" t="n"/>
      <c r="VUF287" s="1132" t="n"/>
      <c r="VUG287" s="1132" t="n"/>
      <c r="VUH287" s="1132" t="n"/>
      <c r="VUI287" s="1132" t="n"/>
      <c r="VUJ287" s="1132" t="n"/>
      <c r="VUK287" s="1132" t="n"/>
      <c r="VUL287" s="1132" t="n"/>
      <c r="VUM287" s="1132" t="n"/>
      <c r="VUN287" s="1132" t="n"/>
      <c r="VUO287" s="1132" t="n"/>
      <c r="VUP287" s="1132" t="n"/>
      <c r="VUQ287" s="1132" t="n"/>
      <c r="VUR287" s="1132" t="n"/>
      <c r="VUS287" s="1132" t="n"/>
      <c r="VUT287" s="1132" t="n"/>
      <c r="VUU287" s="1132" t="n"/>
      <c r="VUV287" s="1132" t="n"/>
      <c r="VUW287" s="1132" t="n"/>
      <c r="VUX287" s="1132" t="n"/>
      <c r="VUY287" s="1132" t="n"/>
      <c r="VUZ287" s="1132" t="n"/>
      <c r="VVA287" s="1132" t="n"/>
      <c r="VVB287" s="1132" t="n"/>
      <c r="VVC287" s="1132" t="n"/>
      <c r="VVD287" s="1132" t="n"/>
      <c r="VVE287" s="1132" t="n"/>
      <c r="VVF287" s="1132" t="n"/>
      <c r="VVG287" s="1132" t="n"/>
      <c r="VVH287" s="1132" t="n"/>
      <c r="VVI287" s="1132" t="n"/>
      <c r="VVJ287" s="1132" t="n"/>
      <c r="VVK287" s="1132" t="n"/>
      <c r="VVL287" s="1132" t="n"/>
      <c r="VVM287" s="1132" t="n"/>
      <c r="VVN287" s="1132" t="n"/>
      <c r="VVO287" s="1132" t="n"/>
      <c r="VVP287" s="1132" t="n"/>
      <c r="VVQ287" s="1132" t="n"/>
      <c r="VVR287" s="1132" t="n"/>
      <c r="VVS287" s="1132" t="n"/>
      <c r="VVT287" s="1132" t="n"/>
      <c r="VVU287" s="1132" t="n"/>
      <c r="VVV287" s="1132" t="n"/>
      <c r="VVW287" s="1132" t="n"/>
      <c r="VVX287" s="1132" t="n"/>
      <c r="VVY287" s="1132" t="n"/>
      <c r="VVZ287" s="1132" t="n"/>
      <c r="VWA287" s="1132" t="n"/>
      <c r="VWB287" s="1132" t="n"/>
      <c r="VWC287" s="1132" t="n"/>
      <c r="VWD287" s="1132" t="n"/>
      <c r="VWE287" s="1132" t="n"/>
      <c r="VWF287" s="1132" t="n"/>
      <c r="VWG287" s="1132" t="n"/>
      <c r="VWH287" s="1132" t="n"/>
      <c r="VWI287" s="1132" t="n"/>
      <c r="VWJ287" s="1132" t="n"/>
      <c r="VWK287" s="1132" t="n"/>
      <c r="VWL287" s="1132" t="n"/>
      <c r="VWM287" s="1132" t="n"/>
      <c r="VWN287" s="1132" t="n"/>
      <c r="VWO287" s="1132" t="n"/>
      <c r="VWP287" s="1132" t="n"/>
      <c r="VWQ287" s="1132" t="n"/>
      <c r="VWR287" s="1132" t="n"/>
      <c r="VWS287" s="1132" t="n"/>
      <c r="VWT287" s="1132" t="n"/>
      <c r="VWU287" s="1132" t="n"/>
      <c r="VWV287" s="1132" t="n"/>
      <c r="VWW287" s="1132" t="n"/>
      <c r="VWX287" s="1132" t="n"/>
      <c r="VWY287" s="1132" t="n"/>
      <c r="VWZ287" s="1132" t="n"/>
      <c r="VXA287" s="1132" t="n"/>
      <c r="VXB287" s="1132" t="n"/>
      <c r="VXC287" s="1132" t="n"/>
      <c r="VXD287" s="1132" t="n"/>
      <c r="VXE287" s="1132" t="n"/>
      <c r="VXF287" s="1132" t="n"/>
      <c r="VXG287" s="1132" t="n"/>
      <c r="VXH287" s="1132" t="n"/>
      <c r="VXI287" s="1132" t="n"/>
      <c r="VXJ287" s="1132" t="n"/>
      <c r="VXK287" s="1132" t="n"/>
      <c r="VXL287" s="1132" t="n"/>
      <c r="VXM287" s="1132" t="n"/>
      <c r="VXN287" s="1132" t="n"/>
      <c r="VXO287" s="1132" t="n"/>
      <c r="VXP287" s="1132" t="n"/>
      <c r="VXQ287" s="1132" t="n"/>
      <c r="VXR287" s="1132" t="n"/>
      <c r="VXS287" s="1132" t="n"/>
      <c r="VXT287" s="1132" t="n"/>
      <c r="VXU287" s="1132" t="n"/>
      <c r="VXV287" s="1132" t="n"/>
      <c r="VXW287" s="1132" t="n"/>
      <c r="VXX287" s="1132" t="n"/>
      <c r="VXY287" s="1132" t="n"/>
      <c r="VXZ287" s="1132" t="n"/>
      <c r="VYA287" s="1132" t="n"/>
      <c r="VYB287" s="1132" t="n"/>
      <c r="VYC287" s="1132" t="n"/>
      <c r="VYD287" s="1132" t="n"/>
      <c r="VYE287" s="1132" t="n"/>
      <c r="VYF287" s="1132" t="n"/>
      <c r="VYG287" s="1132" t="n"/>
      <c r="VYH287" s="1132" t="n"/>
      <c r="VYI287" s="1132" t="n"/>
      <c r="VYJ287" s="1132" t="n"/>
      <c r="VYK287" s="1132" t="n"/>
      <c r="VYL287" s="1132" t="n"/>
      <c r="VYM287" s="1132" t="n"/>
      <c r="VYN287" s="1132" t="n"/>
      <c r="VYO287" s="1132" t="n"/>
      <c r="VYP287" s="1132" t="n"/>
      <c r="VYQ287" s="1132" t="n"/>
      <c r="VYR287" s="1132" t="n"/>
      <c r="VYS287" s="1132" t="n"/>
      <c r="VYT287" s="1132" t="n"/>
      <c r="VYU287" s="1132" t="n"/>
      <c r="VYV287" s="1132" t="n"/>
      <c r="VYW287" s="1132" t="n"/>
      <c r="VYX287" s="1132" t="n"/>
      <c r="VYY287" s="1132" t="n"/>
      <c r="VYZ287" s="1132" t="n"/>
      <c r="VZA287" s="1132" t="n"/>
      <c r="VZB287" s="1132" t="n"/>
      <c r="VZC287" s="1132" t="n"/>
      <c r="VZD287" s="1132" t="n"/>
      <c r="VZE287" s="1132" t="n"/>
      <c r="VZF287" s="1132" t="n"/>
      <c r="VZG287" s="1132" t="n"/>
      <c r="VZH287" s="1132" t="n"/>
      <c r="VZI287" s="1132" t="n"/>
      <c r="VZJ287" s="1132" t="n"/>
      <c r="VZK287" s="1132" t="n"/>
      <c r="VZL287" s="1132" t="n"/>
      <c r="VZM287" s="1132" t="n"/>
      <c r="VZN287" s="1132" t="n"/>
      <c r="VZO287" s="1132" t="n"/>
      <c r="VZP287" s="1132" t="n"/>
      <c r="VZQ287" s="1132" t="n"/>
      <c r="VZR287" s="1132" t="n"/>
      <c r="VZS287" s="1132" t="n"/>
      <c r="VZT287" s="1132" t="n"/>
      <c r="VZU287" s="1132" t="n"/>
      <c r="VZV287" s="1132" t="n"/>
      <c r="VZW287" s="1132" t="n"/>
      <c r="VZX287" s="1132" t="n"/>
      <c r="VZY287" s="1132" t="n"/>
      <c r="VZZ287" s="1132" t="n"/>
      <c r="WAA287" s="1132" t="n"/>
      <c r="WAB287" s="1132" t="n"/>
      <c r="WAC287" s="1132" t="n"/>
      <c r="WAD287" s="1132" t="n"/>
      <c r="WAE287" s="1132" t="n"/>
      <c r="WAF287" s="1132" t="n"/>
      <c r="WAG287" s="1132" t="n"/>
      <c r="WAH287" s="1132" t="n"/>
      <c r="WAI287" s="1132" t="n"/>
      <c r="WAJ287" s="1132" t="n"/>
      <c r="WAK287" s="1132" t="n"/>
      <c r="WAL287" s="1132" t="n"/>
      <c r="WAM287" s="1132" t="n"/>
      <c r="WAN287" s="1132" t="n"/>
      <c r="WAO287" s="1132" t="n"/>
      <c r="WAP287" s="1132" t="n"/>
      <c r="WAQ287" s="1132" t="n"/>
      <c r="WAR287" s="1132" t="n"/>
      <c r="WAS287" s="1132" t="n"/>
      <c r="WAT287" s="1132" t="n"/>
      <c r="WAU287" s="1132" t="n"/>
      <c r="WAV287" s="1132" t="n"/>
      <c r="WAW287" s="1132" t="n"/>
      <c r="WAX287" s="1132" t="n"/>
      <c r="WAY287" s="1132" t="n"/>
      <c r="WAZ287" s="1132" t="n"/>
      <c r="WBA287" s="1132" t="n"/>
      <c r="WBB287" s="1132" t="n"/>
      <c r="WBC287" s="1132" t="n"/>
      <c r="WBD287" s="1132" t="n"/>
      <c r="WBE287" s="1132" t="n"/>
      <c r="WBF287" s="1132" t="n"/>
      <c r="WBG287" s="1132" t="n"/>
      <c r="WBH287" s="1132" t="n"/>
      <c r="WBI287" s="1132" t="n"/>
      <c r="WBJ287" s="1132" t="n"/>
      <c r="WBK287" s="1132" t="n"/>
      <c r="WBL287" s="1132" t="n"/>
      <c r="WBM287" s="1132" t="n"/>
      <c r="WBN287" s="1132" t="n"/>
      <c r="WBO287" s="1132" t="n"/>
      <c r="WBP287" s="1132" t="n"/>
      <c r="WBQ287" s="1132" t="n"/>
      <c r="WBR287" s="1132" t="n"/>
      <c r="WBS287" s="1132" t="n"/>
      <c r="WBT287" s="1132" t="n"/>
      <c r="WBU287" s="1132" t="n"/>
      <c r="WBV287" s="1132" t="n"/>
      <c r="WBW287" s="1132" t="n"/>
      <c r="WBX287" s="1132" t="n"/>
      <c r="WBY287" s="1132" t="n"/>
      <c r="WBZ287" s="1132" t="n"/>
      <c r="WCA287" s="1132" t="n"/>
      <c r="WCB287" s="1132" t="n"/>
      <c r="WCC287" s="1132" t="n"/>
      <c r="WCD287" s="1132" t="n"/>
      <c r="WCE287" s="1132" t="n"/>
      <c r="WCF287" s="1132" t="n"/>
      <c r="WCG287" s="1132" t="n"/>
      <c r="WCH287" s="1132" t="n"/>
      <c r="WCI287" s="1132" t="n"/>
      <c r="WCJ287" s="1132" t="n"/>
      <c r="WCK287" s="1132" t="n"/>
      <c r="WCL287" s="1132" t="n"/>
      <c r="WCM287" s="1132" t="n"/>
      <c r="WCN287" s="1132" t="n"/>
      <c r="WCO287" s="1132" t="n"/>
      <c r="WCP287" s="1132" t="n"/>
      <c r="WCQ287" s="1132" t="n"/>
      <c r="WCR287" s="1132" t="n"/>
      <c r="WCS287" s="1132" t="n"/>
      <c r="WCT287" s="1132" t="n"/>
      <c r="WCU287" s="1132" t="n"/>
      <c r="WCV287" s="1132" t="n"/>
      <c r="WCW287" s="1132" t="n"/>
      <c r="WCX287" s="1132" t="n"/>
      <c r="WCY287" s="1132" t="n"/>
      <c r="WCZ287" s="1132" t="n"/>
      <c r="WDA287" s="1132" t="n"/>
      <c r="WDB287" s="1132" t="n"/>
      <c r="WDC287" s="1132" t="n"/>
      <c r="WDD287" s="1132" t="n"/>
      <c r="WDE287" s="1132" t="n"/>
      <c r="WDF287" s="1132" t="n"/>
      <c r="WDG287" s="1132" t="n"/>
      <c r="WDH287" s="1132" t="n"/>
      <c r="WDI287" s="1132" t="n"/>
      <c r="WDJ287" s="1132" t="n"/>
      <c r="WDK287" s="1132" t="n"/>
      <c r="WDL287" s="1132" t="n"/>
      <c r="WDM287" s="1132" t="n"/>
      <c r="WDN287" s="1132" t="n"/>
      <c r="WDO287" s="1132" t="n"/>
      <c r="WDP287" s="1132" t="n"/>
      <c r="WDQ287" s="1132" t="n"/>
      <c r="WDR287" s="1132" t="n"/>
      <c r="WDS287" s="1132" t="n"/>
      <c r="WDT287" s="1132" t="n"/>
      <c r="WDU287" s="1132" t="n"/>
      <c r="WDV287" s="1132" t="n"/>
      <c r="WDW287" s="1132" t="n"/>
      <c r="WDX287" s="1132" t="n"/>
      <c r="WDY287" s="1132" t="n"/>
      <c r="WDZ287" s="1132" t="n"/>
      <c r="WEA287" s="1132" t="n"/>
      <c r="WEB287" s="1132" t="n"/>
      <c r="WEC287" s="1132" t="n"/>
      <c r="WED287" s="1132" t="n"/>
      <c r="WEE287" s="1132" t="n"/>
      <c r="WEF287" s="1132" t="n"/>
      <c r="WEG287" s="1132" t="n"/>
      <c r="WEH287" s="1132" t="n"/>
      <c r="WEI287" s="1132" t="n"/>
      <c r="WEJ287" s="1132" t="n"/>
      <c r="WEK287" s="1132" t="n"/>
      <c r="WEL287" s="1132" t="n"/>
      <c r="WEM287" s="1132" t="n"/>
      <c r="WEN287" s="1132" t="n"/>
      <c r="WEO287" s="1132" t="n"/>
      <c r="WEP287" s="1132" t="n"/>
      <c r="WEQ287" s="1132" t="n"/>
      <c r="WER287" s="1132" t="n"/>
      <c r="WES287" s="1132" t="n"/>
      <c r="WET287" s="1132" t="n"/>
      <c r="WEU287" s="1132" t="n"/>
      <c r="WEV287" s="1132" t="n"/>
      <c r="WEW287" s="1132" t="n"/>
      <c r="WEX287" s="1132" t="n"/>
      <c r="WEY287" s="1132" t="n"/>
      <c r="WEZ287" s="1132" t="n"/>
      <c r="WFA287" s="1132" t="n"/>
      <c r="WFB287" s="1132" t="n"/>
      <c r="WFC287" s="1132" t="n"/>
      <c r="WFD287" s="1132" t="n"/>
      <c r="WFE287" s="1132" t="n"/>
      <c r="WFF287" s="1132" t="n"/>
      <c r="WFG287" s="1132" t="n"/>
      <c r="WFH287" s="1132" t="n"/>
      <c r="WFI287" s="1132" t="n"/>
      <c r="WFJ287" s="1132" t="n"/>
      <c r="WFK287" s="1132" t="n"/>
      <c r="WFL287" s="1132" t="n"/>
      <c r="WFM287" s="1132" t="n"/>
      <c r="WFN287" s="1132" t="n"/>
      <c r="WFO287" s="1132" t="n"/>
      <c r="WFP287" s="1132" t="n"/>
      <c r="WFQ287" s="1132" t="n"/>
      <c r="WFR287" s="1132" t="n"/>
      <c r="WFS287" s="1132" t="n"/>
      <c r="WFT287" s="1132" t="n"/>
      <c r="WFU287" s="1132" t="n"/>
      <c r="WFV287" s="1132" t="n"/>
      <c r="WFW287" s="1132" t="n"/>
      <c r="WFX287" s="1132" t="n"/>
      <c r="WFY287" s="1132" t="n"/>
      <c r="WFZ287" s="1132" t="n"/>
      <c r="WGA287" s="1132" t="n"/>
      <c r="WGB287" s="1132" t="n"/>
      <c r="WGC287" s="1132" t="n"/>
      <c r="WGD287" s="1132" t="n"/>
      <c r="WGE287" s="1132" t="n"/>
      <c r="WGF287" s="1132" t="n"/>
      <c r="WGG287" s="1132" t="n"/>
      <c r="WGH287" s="1132" t="n"/>
      <c r="WGI287" s="1132" t="n"/>
      <c r="WGJ287" s="1132" t="n"/>
      <c r="WGK287" s="1132" t="n"/>
      <c r="WGL287" s="1132" t="n"/>
      <c r="WGM287" s="1132" t="n"/>
      <c r="WGN287" s="1132" t="n"/>
      <c r="WGO287" s="1132" t="n"/>
      <c r="WGP287" s="1132" t="n"/>
      <c r="WGQ287" s="1132" t="n"/>
      <c r="WGR287" s="1132" t="n"/>
      <c r="WGS287" s="1132" t="n"/>
      <c r="WGT287" s="1132" t="n"/>
      <c r="WGU287" s="1132" t="n"/>
      <c r="WGV287" s="1132" t="n"/>
      <c r="WGW287" s="1132" t="n"/>
      <c r="WGX287" s="1132" t="n"/>
      <c r="WGY287" s="1132" t="n"/>
      <c r="WGZ287" s="1132" t="n"/>
      <c r="WHA287" s="1132" t="n"/>
      <c r="WHB287" s="1132" t="n"/>
      <c r="WHC287" s="1132" t="n"/>
      <c r="WHD287" s="1132" t="n"/>
      <c r="WHE287" s="1132" t="n"/>
      <c r="WHF287" s="1132" t="n"/>
      <c r="WHG287" s="1132" t="n"/>
      <c r="WHH287" s="1132" t="n"/>
      <c r="WHI287" s="1132" t="n"/>
      <c r="WHJ287" s="1132" t="n"/>
      <c r="WHK287" s="1132" t="n"/>
      <c r="WHL287" s="1132" t="n"/>
      <c r="WHM287" s="1132" t="n"/>
      <c r="WHN287" s="1132" t="n"/>
      <c r="WHO287" s="1132" t="n"/>
      <c r="WHP287" s="1132" t="n"/>
      <c r="WHQ287" s="1132" t="n"/>
      <c r="WHR287" s="1132" t="n"/>
      <c r="WHS287" s="1132" t="n"/>
      <c r="WHT287" s="1132" t="n"/>
      <c r="WHU287" s="1132" t="n"/>
      <c r="WHV287" s="1132" t="n"/>
      <c r="WHW287" s="1132" t="n"/>
      <c r="WHX287" s="1132" t="n"/>
      <c r="WHY287" s="1132" t="n"/>
      <c r="WHZ287" s="1132" t="n"/>
      <c r="WIA287" s="1132" t="n"/>
      <c r="WIB287" s="1132" t="n"/>
      <c r="WIC287" s="1132" t="n"/>
      <c r="WID287" s="1132" t="n"/>
      <c r="WIE287" s="1132" t="n"/>
      <c r="WIF287" s="1132" t="n"/>
      <c r="WIG287" s="1132" t="n"/>
      <c r="WIH287" s="1132" t="n"/>
      <c r="WII287" s="1132" t="n"/>
      <c r="WIJ287" s="1132" t="n"/>
      <c r="WIK287" s="1132" t="n"/>
      <c r="WIL287" s="1132" t="n"/>
      <c r="WIM287" s="1132" t="n"/>
      <c r="WIN287" s="1132" t="n"/>
      <c r="WIO287" s="1132" t="n"/>
      <c r="WIP287" s="1132" t="n"/>
      <c r="WIQ287" s="1132" t="n"/>
      <c r="WIR287" s="1132" t="n"/>
      <c r="WIS287" s="1132" t="n"/>
      <c r="WIT287" s="1132" t="n"/>
      <c r="WIU287" s="1132" t="n"/>
      <c r="WIV287" s="1132" t="n"/>
      <c r="WIW287" s="1132" t="n"/>
      <c r="WIX287" s="1132" t="n"/>
      <c r="WIY287" s="1132" t="n"/>
      <c r="WIZ287" s="1132" t="n"/>
      <c r="WJA287" s="1132" t="n"/>
      <c r="WJB287" s="1132" t="n"/>
      <c r="WJC287" s="1132" t="n"/>
      <c r="WJD287" s="1132" t="n"/>
      <c r="WJE287" s="1132" t="n"/>
      <c r="WJF287" s="1132" t="n"/>
      <c r="WJG287" s="1132" t="n"/>
      <c r="WJH287" s="1132" t="n"/>
      <c r="WJI287" s="1132" t="n"/>
      <c r="WJJ287" s="1132" t="n"/>
      <c r="WJK287" s="1132" t="n"/>
      <c r="WJL287" s="1132" t="n"/>
      <c r="WJM287" s="1132" t="n"/>
      <c r="WJN287" s="1132" t="n"/>
      <c r="WJO287" s="1132" t="n"/>
      <c r="WJP287" s="1132" t="n"/>
      <c r="WJQ287" s="1132" t="n"/>
      <c r="WJR287" s="1132" t="n"/>
      <c r="WJS287" s="1132" t="n"/>
      <c r="WJT287" s="1132" t="n"/>
      <c r="WJU287" s="1132" t="n"/>
      <c r="WJV287" s="1132" t="n"/>
      <c r="WJW287" s="1132" t="n"/>
      <c r="WJX287" s="1132" t="n"/>
      <c r="WJY287" s="1132" t="n"/>
      <c r="WJZ287" s="1132" t="n"/>
      <c r="WKA287" s="1132" t="n"/>
      <c r="WKB287" s="1132" t="n"/>
      <c r="WKC287" s="1132" t="n"/>
      <c r="WKD287" s="1132" t="n"/>
      <c r="WKE287" s="1132" t="n"/>
      <c r="WKF287" s="1132" t="n"/>
      <c r="WKG287" s="1132" t="n"/>
      <c r="WKH287" s="1132" t="n"/>
      <c r="WKI287" s="1132" t="n"/>
      <c r="WKJ287" s="1132" t="n"/>
      <c r="WKK287" s="1132" t="n"/>
      <c r="WKL287" s="1132" t="n"/>
      <c r="WKM287" s="1132" t="n"/>
      <c r="WKN287" s="1132" t="n"/>
      <c r="WKO287" s="1132" t="n"/>
      <c r="WKP287" s="1132" t="n"/>
      <c r="WKQ287" s="1132" t="n"/>
      <c r="WKR287" s="1132" t="n"/>
      <c r="WKS287" s="1132" t="n"/>
      <c r="WKT287" s="1132" t="n"/>
      <c r="WKU287" s="1132" t="n"/>
      <c r="WKV287" s="1132" t="n"/>
      <c r="WKW287" s="1132" t="n"/>
      <c r="WKX287" s="1132" t="n"/>
      <c r="WKY287" s="1132" t="n"/>
      <c r="WKZ287" s="1132" t="n"/>
      <c r="WLA287" s="1132" t="n"/>
      <c r="WLB287" s="1132" t="n"/>
      <c r="WLC287" s="1132" t="n"/>
      <c r="WLD287" s="1132" t="n"/>
      <c r="WLE287" s="1132" t="n"/>
      <c r="WLF287" s="1132" t="n"/>
      <c r="WLG287" s="1132" t="n"/>
      <c r="WLH287" s="1132" t="n"/>
      <c r="WLI287" s="1132" t="n"/>
      <c r="WLJ287" s="1132" t="n"/>
      <c r="WLK287" s="1132" t="n"/>
      <c r="WLL287" s="1132" t="n"/>
      <c r="WLM287" s="1132" t="n"/>
      <c r="WLN287" s="1132" t="n"/>
      <c r="WLO287" s="1132" t="n"/>
      <c r="WLP287" s="1132" t="n"/>
      <c r="WLQ287" s="1132" t="n"/>
      <c r="WLR287" s="1132" t="n"/>
      <c r="WLS287" s="1132" t="n"/>
      <c r="WLT287" s="1132" t="n"/>
      <c r="WLU287" s="1132" t="n"/>
      <c r="WLV287" s="1132" t="n"/>
      <c r="WLW287" s="1132" t="n"/>
      <c r="WLX287" s="1132" t="n"/>
      <c r="WLY287" s="1132" t="n"/>
      <c r="WLZ287" s="1132" t="n"/>
      <c r="WMA287" s="1132" t="n"/>
      <c r="WMB287" s="1132" t="n"/>
      <c r="WMC287" s="1132" t="n"/>
      <c r="WMD287" s="1132" t="n"/>
      <c r="WME287" s="1132" t="n"/>
      <c r="WMF287" s="1132" t="n"/>
      <c r="WMG287" s="1132" t="n"/>
      <c r="WMH287" s="1132" t="n"/>
      <c r="WMI287" s="1132" t="n"/>
      <c r="WMJ287" s="1132" t="n"/>
      <c r="WMK287" s="1132" t="n"/>
      <c r="WML287" s="1132" t="n"/>
      <c r="WMM287" s="1132" t="n"/>
      <c r="WMN287" s="1132" t="n"/>
      <c r="WMO287" s="1132" t="n"/>
      <c r="WMP287" s="1132" t="n"/>
      <c r="WMQ287" s="1132" t="n"/>
      <c r="WMR287" s="1132" t="n"/>
      <c r="WMS287" s="1132" t="n"/>
      <c r="WMT287" s="1132" t="n"/>
      <c r="WMU287" s="1132" t="n"/>
      <c r="WMV287" s="1132" t="n"/>
      <c r="WMW287" s="1132" t="n"/>
      <c r="WMX287" s="1132" t="n"/>
      <c r="WMY287" s="1132" t="n"/>
      <c r="WMZ287" s="1132" t="n"/>
      <c r="WNA287" s="1132" t="n"/>
      <c r="WNB287" s="1132" t="n"/>
      <c r="WNC287" s="1132" t="n"/>
      <c r="WND287" s="1132" t="n"/>
      <c r="WNE287" s="1132" t="n"/>
      <c r="WNF287" s="1132" t="n"/>
      <c r="WNG287" s="1132" t="n"/>
      <c r="WNH287" s="1132" t="n"/>
      <c r="WNI287" s="1132" t="n"/>
      <c r="WNJ287" s="1132" t="n"/>
      <c r="WNK287" s="1132" t="n"/>
      <c r="WNL287" s="1132" t="n"/>
      <c r="WNM287" s="1132" t="n"/>
      <c r="WNN287" s="1132" t="n"/>
      <c r="WNO287" s="1132" t="n"/>
      <c r="WNP287" s="1132" t="n"/>
      <c r="WNQ287" s="1132" t="n"/>
      <c r="WNR287" s="1132" t="n"/>
      <c r="WNS287" s="1132" t="n"/>
      <c r="WNT287" s="1132" t="n"/>
      <c r="WNU287" s="1132" t="n"/>
      <c r="WNV287" s="1132" t="n"/>
      <c r="WNW287" s="1132" t="n"/>
      <c r="WNX287" s="1132" t="n"/>
      <c r="WNY287" s="1132" t="n"/>
      <c r="WNZ287" s="1132" t="n"/>
      <c r="WOA287" s="1132" t="n"/>
      <c r="WOB287" s="1132" t="n"/>
      <c r="WOC287" s="1132" t="n"/>
      <c r="WOD287" s="1132" t="n"/>
      <c r="WOE287" s="1132" t="n"/>
      <c r="WOF287" s="1132" t="n"/>
      <c r="WOG287" s="1132" t="n"/>
      <c r="WOH287" s="1132" t="n"/>
      <c r="WOI287" s="1132" t="n"/>
      <c r="WOJ287" s="1132" t="n"/>
      <c r="WOK287" s="1132" t="n"/>
      <c r="WOL287" s="1132" t="n"/>
      <c r="WOM287" s="1132" t="n"/>
      <c r="WON287" s="1132" t="n"/>
      <c r="WOO287" s="1132" t="n"/>
      <c r="WOP287" s="1132" t="n"/>
      <c r="WOQ287" s="1132" t="n"/>
      <c r="WOR287" s="1132" t="n"/>
      <c r="WOS287" s="1132" t="n"/>
      <c r="WOT287" s="1132" t="n"/>
      <c r="WOU287" s="1132" t="n"/>
      <c r="WOV287" s="1132" t="n"/>
      <c r="WOW287" s="1132" t="n"/>
      <c r="WOX287" s="1132" t="n"/>
      <c r="WOY287" s="1132" t="n"/>
      <c r="WOZ287" s="1132" t="n"/>
      <c r="WPA287" s="1132" t="n"/>
      <c r="WPB287" s="1132" t="n"/>
      <c r="WPC287" s="1132" t="n"/>
      <c r="WPD287" s="1132" t="n"/>
      <c r="WPE287" s="1132" t="n"/>
      <c r="WPF287" s="1132" t="n"/>
      <c r="WPG287" s="1132" t="n"/>
      <c r="WPH287" s="1132" t="n"/>
      <c r="WPI287" s="1132" t="n"/>
      <c r="WPJ287" s="1132" t="n"/>
      <c r="WPK287" s="1132" t="n"/>
      <c r="WPL287" s="1132" t="n"/>
      <c r="WPM287" s="1132" t="n"/>
      <c r="WPN287" s="1132" t="n"/>
      <c r="WPO287" s="1132" t="n"/>
      <c r="WPP287" s="1132" t="n"/>
      <c r="WPQ287" s="1132" t="n"/>
      <c r="WPR287" s="1132" t="n"/>
      <c r="WPS287" s="1132" t="n"/>
      <c r="WPT287" s="1132" t="n"/>
      <c r="WPU287" s="1132" t="n"/>
      <c r="WPV287" s="1132" t="n"/>
      <c r="WPW287" s="1132" t="n"/>
      <c r="WPX287" s="1132" t="n"/>
      <c r="WPY287" s="1132" t="n"/>
      <c r="WPZ287" s="1132" t="n"/>
      <c r="WQA287" s="1132" t="n"/>
      <c r="WQB287" s="1132" t="n"/>
      <c r="WQC287" s="1132" t="n"/>
      <c r="WQD287" s="1132" t="n"/>
      <c r="WQE287" s="1132" t="n"/>
      <c r="WQF287" s="1132" t="n"/>
      <c r="WQG287" s="1132" t="n"/>
      <c r="WQH287" s="1132" t="n"/>
      <c r="WQI287" s="1132" t="n"/>
      <c r="WQJ287" s="1132" t="n"/>
      <c r="WQK287" s="1132" t="n"/>
      <c r="WQL287" s="1132" t="n"/>
      <c r="WQM287" s="1132" t="n"/>
      <c r="WQN287" s="1132" t="n"/>
      <c r="WQO287" s="1132" t="n"/>
      <c r="WQP287" s="1132" t="n"/>
      <c r="WQQ287" s="1132" t="n"/>
      <c r="WQR287" s="1132" t="n"/>
      <c r="WQS287" s="1132" t="n"/>
      <c r="WQT287" s="1132" t="n"/>
      <c r="WQU287" s="1132" t="n"/>
      <c r="WQV287" s="1132" t="n"/>
      <c r="WQW287" s="1132" t="n"/>
      <c r="WQX287" s="1132" t="n"/>
      <c r="WQY287" s="1132" t="n"/>
      <c r="WQZ287" s="1132" t="n"/>
      <c r="WRA287" s="1132" t="n"/>
      <c r="WRB287" s="1132" t="n"/>
      <c r="WRC287" s="1132" t="n"/>
      <c r="WRD287" s="1132" t="n"/>
      <c r="WRE287" s="1132" t="n"/>
      <c r="WRF287" s="1132" t="n"/>
      <c r="WRG287" s="1132" t="n"/>
      <c r="WRH287" s="1132" t="n"/>
      <c r="WRI287" s="1132" t="n"/>
      <c r="WRJ287" s="1132" t="n"/>
      <c r="WRK287" s="1132" t="n"/>
      <c r="WRL287" s="1132" t="n"/>
      <c r="WRM287" s="1132" t="n"/>
      <c r="WRN287" s="1132" t="n"/>
      <c r="WRO287" s="1132" t="n"/>
      <c r="WRP287" s="1132" t="n"/>
      <c r="WRQ287" s="1132" t="n"/>
      <c r="WRR287" s="1132" t="n"/>
      <c r="WRS287" s="1132" t="n"/>
      <c r="WRT287" s="1132" t="n"/>
      <c r="WRU287" s="1132" t="n"/>
      <c r="WRV287" s="1132" t="n"/>
      <c r="WRW287" s="1132" t="n"/>
      <c r="WRX287" s="1132" t="n"/>
      <c r="WRY287" s="1132" t="n"/>
      <c r="WRZ287" s="1132" t="n"/>
      <c r="WSA287" s="1132" t="n"/>
      <c r="WSB287" s="1132" t="n"/>
      <c r="WSC287" s="1132" t="n"/>
      <c r="WSD287" s="1132" t="n"/>
      <c r="WSE287" s="1132" t="n"/>
      <c r="WSF287" s="1132" t="n"/>
      <c r="WSG287" s="1132" t="n"/>
      <c r="WSH287" s="1132" t="n"/>
      <c r="WSI287" s="1132" t="n"/>
      <c r="WSJ287" s="1132" t="n"/>
      <c r="WSK287" s="1132" t="n"/>
      <c r="WSL287" s="1132" t="n"/>
      <c r="WSM287" s="1132" t="n"/>
      <c r="WSN287" s="1132" t="n"/>
      <c r="WSO287" s="1132" t="n"/>
      <c r="WSP287" s="1132" t="n"/>
      <c r="WSQ287" s="1132" t="n"/>
      <c r="WSR287" s="1132" t="n"/>
      <c r="WSS287" s="1132" t="n"/>
      <c r="WST287" s="1132" t="n"/>
      <c r="WSU287" s="1132" t="n"/>
      <c r="WSV287" s="1132" t="n"/>
      <c r="WSW287" s="1132" t="n"/>
      <c r="WSX287" s="1132" t="n"/>
      <c r="WSY287" s="1132" t="n"/>
      <c r="WSZ287" s="1132" t="n"/>
      <c r="WTA287" s="1132" t="n"/>
      <c r="WTB287" s="1132" t="n"/>
      <c r="WTC287" s="1132" t="n"/>
      <c r="WTD287" s="1132" t="n"/>
      <c r="WTE287" s="1132" t="n"/>
      <c r="WTF287" s="1132" t="n"/>
      <c r="WTG287" s="1132" t="n"/>
      <c r="WTH287" s="1132" t="n"/>
      <c r="WTI287" s="1132" t="n"/>
      <c r="WTJ287" s="1132" t="n"/>
      <c r="WTK287" s="1132" t="n"/>
      <c r="WTL287" s="1132" t="n"/>
      <c r="WTM287" s="1132" t="n"/>
      <c r="WTN287" s="1132" t="n"/>
      <c r="WTO287" s="1132" t="n"/>
      <c r="WTP287" s="1132" t="n"/>
      <c r="WTQ287" s="1132" t="n"/>
      <c r="WTR287" s="1132" t="n"/>
      <c r="WTS287" s="1132" t="n"/>
      <c r="WTT287" s="1132" t="n"/>
      <c r="WTU287" s="1132" t="n"/>
      <c r="WTV287" s="1132" t="n"/>
      <c r="WTW287" s="1132" t="n"/>
      <c r="WTX287" s="1132" t="n"/>
      <c r="WTY287" s="1132" t="n"/>
      <c r="WTZ287" s="1132" t="n"/>
      <c r="WUA287" s="1132" t="n"/>
      <c r="WUB287" s="1132" t="n"/>
      <c r="WUC287" s="1132" t="n"/>
      <c r="WUD287" s="1132" t="n"/>
      <c r="WUE287" s="1132" t="n"/>
      <c r="WUF287" s="1132" t="n"/>
      <c r="WUG287" s="1132" t="n"/>
      <c r="WUH287" s="1132" t="n"/>
      <c r="WUI287" s="1132" t="n"/>
      <c r="WUJ287" s="1132" t="n"/>
      <c r="WUK287" s="1132" t="n"/>
      <c r="WUL287" s="1132" t="n"/>
      <c r="WUM287" s="1132" t="n"/>
      <c r="WUN287" s="1132" t="n"/>
      <c r="WUO287" s="1132" t="n"/>
      <c r="WUP287" s="1132" t="n"/>
      <c r="WUQ287" s="1132" t="n"/>
      <c r="WUR287" s="1132" t="n"/>
      <c r="WUS287" s="1132" t="n"/>
      <c r="WUT287" s="1132" t="n"/>
      <c r="WUU287" s="1132" t="n"/>
      <c r="WUV287" s="1132" t="n"/>
      <c r="WUW287" s="1132" t="n"/>
      <c r="WUX287" s="1132" t="n"/>
      <c r="WUY287" s="1132" t="n"/>
      <c r="WUZ287" s="1132" t="n"/>
      <c r="WVA287" s="1132" t="n"/>
      <c r="WVB287" s="1132" t="n"/>
      <c r="WVC287" s="1132" t="n"/>
      <c r="WVD287" s="1132" t="n"/>
      <c r="WVE287" s="1132" t="n"/>
      <c r="WVF287" s="1132" t="n"/>
      <c r="WVG287" s="1132" t="n"/>
      <c r="WVH287" s="1132" t="n"/>
      <c r="WVI287" s="1132" t="n"/>
      <c r="WVJ287" s="1132" t="n"/>
      <c r="WVK287" s="1132" t="n"/>
      <c r="WVL287" s="1132" t="n"/>
      <c r="WVM287" s="1132" t="n"/>
      <c r="WVN287" s="1132" t="n"/>
      <c r="WVO287" s="1132" t="n"/>
      <c r="WVP287" s="1132" t="n"/>
      <c r="WVQ287" s="1132" t="n"/>
      <c r="WVR287" s="1132" t="n"/>
      <c r="WVS287" s="1132" t="n"/>
      <c r="WVT287" s="1132" t="n"/>
      <c r="WVU287" s="1132" t="n"/>
      <c r="WVV287" s="1132" t="n"/>
      <c r="WVW287" s="1132" t="n"/>
      <c r="WVX287" s="1132" t="n"/>
      <c r="WVY287" s="1132" t="n"/>
      <c r="WVZ287" s="1132" t="n"/>
      <c r="WWA287" s="1132" t="n"/>
      <c r="WWB287" s="1132" t="n"/>
      <c r="WWC287" s="1132" t="n"/>
      <c r="WWD287" s="1132" t="n"/>
      <c r="WWE287" s="1132" t="n"/>
      <c r="WWF287" s="1132" t="n"/>
      <c r="WWG287" s="1132" t="n"/>
      <c r="WWH287" s="1132" t="n"/>
      <c r="WWI287" s="1132" t="n"/>
      <c r="WWJ287" s="1132" t="n"/>
      <c r="WWK287" s="1132" t="n"/>
      <c r="WWL287" s="1132" t="n"/>
      <c r="WWM287" s="1132" t="n"/>
      <c r="WWN287" s="1132" t="n"/>
      <c r="WWO287" s="1132" t="n"/>
      <c r="WWP287" s="1132" t="n"/>
      <c r="WWQ287" s="1132" t="n"/>
      <c r="WWR287" s="1132" t="n"/>
      <c r="WWS287" s="1132" t="n"/>
      <c r="WWT287" s="1132" t="n"/>
      <c r="WWU287" s="1132" t="n"/>
      <c r="WWV287" s="1132" t="n"/>
      <c r="WWW287" s="1132" t="n"/>
      <c r="WWX287" s="1132" t="n"/>
      <c r="WWY287" s="1132" t="n"/>
      <c r="WWZ287" s="1132" t="n"/>
      <c r="WXA287" s="1132" t="n"/>
      <c r="WXB287" s="1132" t="n"/>
      <c r="WXC287" s="1132" t="n"/>
      <c r="WXD287" s="1132" t="n"/>
      <c r="WXE287" s="1132" t="n"/>
      <c r="WXF287" s="1132" t="n"/>
      <c r="WXG287" s="1132" t="n"/>
      <c r="WXH287" s="1132" t="n"/>
      <c r="WXI287" s="1132" t="n"/>
      <c r="WXJ287" s="1132" t="n"/>
      <c r="WXK287" s="1132" t="n"/>
      <c r="WXL287" s="1132" t="n"/>
      <c r="WXM287" s="1132" t="n"/>
      <c r="WXN287" s="1132" t="n"/>
      <c r="WXO287" s="1132" t="n"/>
      <c r="WXP287" s="1132" t="n"/>
      <c r="WXQ287" s="1132" t="n"/>
      <c r="WXR287" s="1132" t="n"/>
      <c r="WXS287" s="1132" t="n"/>
      <c r="WXT287" s="1132" t="n"/>
      <c r="WXU287" s="1132" t="n"/>
      <c r="WXV287" s="1132" t="n"/>
      <c r="WXW287" s="1132" t="n"/>
      <c r="WXX287" s="1132" t="n"/>
      <c r="WXY287" s="1132" t="n"/>
      <c r="WXZ287" s="1132" t="n"/>
      <c r="WYA287" s="1132" t="n"/>
      <c r="WYB287" s="1132" t="n"/>
      <c r="WYC287" s="1132" t="n"/>
      <c r="WYD287" s="1132" t="n"/>
      <c r="WYE287" s="1132" t="n"/>
      <c r="WYF287" s="1132" t="n"/>
      <c r="WYG287" s="1132" t="n"/>
      <c r="WYH287" s="1132" t="n"/>
      <c r="WYI287" s="1132" t="n"/>
      <c r="WYJ287" s="1132" t="n"/>
      <c r="WYK287" s="1132" t="n"/>
      <c r="WYL287" s="1132" t="n"/>
      <c r="WYM287" s="1132" t="n"/>
      <c r="WYN287" s="1132" t="n"/>
      <c r="WYO287" s="1132" t="n"/>
      <c r="WYP287" s="1132" t="n"/>
      <c r="WYQ287" s="1132" t="n"/>
      <c r="WYR287" s="1132" t="n"/>
      <c r="WYS287" s="1132" t="n"/>
      <c r="WYT287" s="1132" t="n"/>
      <c r="WYU287" s="1132" t="n"/>
      <c r="WYV287" s="1132" t="n"/>
      <c r="WYW287" s="1132" t="n"/>
      <c r="WYX287" s="1132" t="n"/>
      <c r="WYY287" s="1132" t="n"/>
      <c r="WYZ287" s="1132" t="n"/>
      <c r="WZA287" s="1132" t="n"/>
      <c r="WZB287" s="1132" t="n"/>
      <c r="WZC287" s="1132" t="n"/>
      <c r="WZD287" s="1132" t="n"/>
      <c r="WZE287" s="1132" t="n"/>
      <c r="WZF287" s="1132" t="n"/>
      <c r="WZG287" s="1132" t="n"/>
      <c r="WZH287" s="1132" t="n"/>
      <c r="WZI287" s="1132" t="n"/>
      <c r="WZJ287" s="1132" t="n"/>
      <c r="WZK287" s="1132" t="n"/>
      <c r="WZL287" s="1132" t="n"/>
      <c r="WZM287" s="1132" t="n"/>
      <c r="WZN287" s="1132" t="n"/>
      <c r="WZO287" s="1132" t="n"/>
      <c r="WZP287" s="1132" t="n"/>
      <c r="WZQ287" s="1132" t="n"/>
      <c r="WZR287" s="1132" t="n"/>
      <c r="WZS287" s="1132" t="n"/>
      <c r="WZT287" s="1132" t="n"/>
      <c r="WZU287" s="1132" t="n"/>
      <c r="WZV287" s="1132" t="n"/>
      <c r="WZW287" s="1132" t="n"/>
      <c r="WZX287" s="1132" t="n"/>
      <c r="WZY287" s="1132" t="n"/>
      <c r="WZZ287" s="1132" t="n"/>
      <c r="XAA287" s="1132" t="n"/>
      <c r="XAB287" s="1132" t="n"/>
      <c r="XAC287" s="1132" t="n"/>
      <c r="XAD287" s="1132" t="n"/>
      <c r="XAE287" s="1132" t="n"/>
      <c r="XAF287" s="1132" t="n"/>
      <c r="XAG287" s="1132" t="n"/>
      <c r="XAH287" s="1132" t="n"/>
      <c r="XAI287" s="1132" t="n"/>
      <c r="XAJ287" s="1132" t="n"/>
      <c r="XAK287" s="1132" t="n"/>
      <c r="XAL287" s="1132" t="n"/>
      <c r="XAM287" s="1132" t="n"/>
      <c r="XAN287" s="1132" t="n"/>
      <c r="XAO287" s="1132" t="n"/>
      <c r="XAP287" s="1132" t="n"/>
      <c r="XAQ287" s="1132" t="n"/>
      <c r="XAR287" s="1132" t="n"/>
      <c r="XAS287" s="1132" t="n"/>
      <c r="XAT287" s="1132" t="n"/>
      <c r="XAU287" s="1132" t="n"/>
      <c r="XAV287" s="1132" t="n"/>
      <c r="XAW287" s="1132" t="n"/>
      <c r="XAX287" s="1132" t="n"/>
      <c r="XAY287" s="1132" t="n"/>
      <c r="XAZ287" s="1132" t="n"/>
      <c r="XBA287" s="1132" t="n"/>
      <c r="XBB287" s="1132" t="n"/>
      <c r="XBC287" s="1132" t="n"/>
      <c r="XBD287" s="1132" t="n"/>
      <c r="XBE287" s="1132" t="n"/>
      <c r="XBF287" s="1132" t="n"/>
      <c r="XBG287" s="1132" t="n"/>
      <c r="XBH287" s="1132" t="n"/>
      <c r="XBI287" s="1132" t="n"/>
      <c r="XBJ287" s="1132" t="n"/>
      <c r="XBK287" s="1132" t="n"/>
      <c r="XBL287" s="1132" t="n"/>
      <c r="XBM287" s="1132" t="n"/>
      <c r="XBN287" s="1132" t="n"/>
      <c r="XBO287" s="1132" t="n"/>
      <c r="XBP287" s="1132" t="n"/>
      <c r="XBQ287" s="1132" t="n"/>
      <c r="XBR287" s="1132" t="n"/>
      <c r="XBS287" s="1132" t="n"/>
      <c r="XBT287" s="1132" t="n"/>
      <c r="XBU287" s="1132" t="n"/>
      <c r="XBV287" s="1132" t="n"/>
      <c r="XBW287" s="1132" t="n"/>
      <c r="XBX287" s="1132" t="n"/>
      <c r="XBY287" s="1132" t="n"/>
      <c r="XBZ287" s="1132" t="n"/>
      <c r="XCA287" s="1132" t="n"/>
      <c r="XCB287" s="1132" t="n"/>
      <c r="XCC287" s="1132" t="n"/>
      <c r="XCD287" s="1132" t="n"/>
      <c r="XCE287" s="1132" t="n"/>
      <c r="XCF287" s="1132" t="n"/>
      <c r="XCG287" s="1132" t="n"/>
      <c r="XCH287" s="1132" t="n"/>
      <c r="XCI287" s="1132" t="n"/>
      <c r="XCJ287" s="1132" t="n"/>
      <c r="XCK287" s="1132" t="n"/>
      <c r="XCL287" s="1132" t="n"/>
      <c r="XCM287" s="1132" t="n"/>
      <c r="XCN287" s="1132" t="n"/>
      <c r="XCO287" s="1132" t="n"/>
      <c r="XCP287" s="1132" t="n"/>
      <c r="XCQ287" s="1132" t="n"/>
      <c r="XCR287" s="1132" t="n"/>
      <c r="XCS287" s="1132" t="n"/>
      <c r="XCT287" s="1132" t="n"/>
      <c r="XCU287" s="1132" t="n"/>
      <c r="XCV287" s="1132" t="n"/>
      <c r="XCW287" s="1132" t="n"/>
      <c r="XCX287" s="1132" t="n"/>
      <c r="XCY287" s="1132" t="n"/>
      <c r="XCZ287" s="1132" t="n"/>
      <c r="XDA287" s="1132" t="n"/>
      <c r="XDB287" s="1132" t="n"/>
      <c r="XDC287" s="1132" t="n"/>
      <c r="XDD287" s="1132" t="n"/>
      <c r="XDE287" s="1132" t="n"/>
      <c r="XDF287" s="1132" t="n"/>
      <c r="XDG287" s="1132" t="n"/>
      <c r="XDH287" s="1132" t="n"/>
      <c r="XDI287" s="1132" t="n"/>
      <c r="XDJ287" s="1132" t="n"/>
      <c r="XDK287" s="1132" t="n"/>
      <c r="XDL287" s="1132" t="n"/>
      <c r="XDM287" s="1132" t="n"/>
      <c r="XDN287" s="1132" t="n"/>
      <c r="XDO287" s="1132" t="n"/>
      <c r="XDP287" s="1132" t="n"/>
      <c r="XDQ287" s="1132" t="n"/>
      <c r="XDR287" s="1132" t="n"/>
      <c r="XDS287" s="1132" t="n"/>
      <c r="XDT287" s="1132" t="n"/>
      <c r="XDU287" s="1132" t="n"/>
      <c r="XDV287" s="1132" t="n"/>
      <c r="XDW287" s="1132" t="n"/>
      <c r="XDX287" s="1132" t="n"/>
      <c r="XDY287" s="1132" t="n"/>
      <c r="XDZ287" s="1132" t="n"/>
      <c r="XEA287" s="1132" t="n"/>
      <c r="XEB287" s="1132" t="n"/>
      <c r="XEC287" s="1132" t="n"/>
      <c r="XED287" s="1132" t="n"/>
      <c r="XEE287" s="1132" t="n"/>
      <c r="XEF287" s="1132" t="n"/>
      <c r="XEG287" s="1132" t="n"/>
      <c r="XEH287" s="1132" t="n"/>
      <c r="XEI287" s="1132" t="n"/>
      <c r="XEJ287" s="1132" t="n"/>
      <c r="XEK287" s="1132" t="n"/>
      <c r="XEL287" s="1132" t="n"/>
      <c r="XEM287" s="1132" t="n"/>
      <c r="XEN287" s="1132" t="n"/>
      <c r="XEO287" s="1132" t="n"/>
      <c r="XEP287" s="1132" t="n"/>
      <c r="XEQ287" s="1132" t="n"/>
      <c r="XER287" s="1132" t="n"/>
      <c r="XES287" s="1132" t="n"/>
      <c r="XET287" s="1132" t="n"/>
      <c r="XEU287" s="1132" t="n"/>
      <c r="XEV287" s="1132" t="n"/>
      <c r="XEW287" s="1132" t="n"/>
      <c r="XEX287" s="1132" t="n"/>
      <c r="XEY287" s="1132" t="n"/>
      <c r="XEZ287" s="1132" t="n"/>
      <c r="XFA287" s="1132" t="n"/>
      <c r="XFB287" s="1132" t="n"/>
      <c r="XFC287" s="1132" t="n"/>
      <c r="XFD287" s="1132" t="n"/>
    </row>
    <row r="288" ht="12.75" customHeight="1" s="1134">
      <c r="A288" s="1132" t="n"/>
      <c r="B288" s="1132" t="n"/>
      <c r="C288" s="1132" t="n"/>
      <c r="D288" s="1132" t="n"/>
      <c r="E288" s="1132" t="n"/>
      <c r="F288" s="1132" t="n"/>
      <c r="G288" s="1132" t="n"/>
      <c r="H288" s="1132" t="n"/>
      <c r="I288" s="1132" t="n"/>
      <c r="J288" s="1132" t="n"/>
      <c r="K288" s="1132" t="n"/>
      <c r="L288" s="1344" t="n"/>
      <c r="M288" s="1132" t="n"/>
      <c r="N288" s="1344" t="n"/>
      <c r="O288" s="1132" t="n"/>
      <c r="P288" s="1132" t="n"/>
      <c r="Q288" s="1132" t="n"/>
      <c r="R288" s="1132" t="n"/>
      <c r="S288" s="1132" t="n"/>
      <c r="T288" s="1132" t="n"/>
      <c r="U288" s="1132" t="n"/>
      <c r="V288" s="1132" t="n"/>
      <c r="W288" s="1132" t="n"/>
      <c r="X288" s="1132" t="n"/>
      <c r="Y288" s="1132" t="n"/>
      <c r="Z288" s="1132" t="n"/>
      <c r="AA288" s="1132" t="n"/>
      <c r="AB288" s="1132" t="n"/>
      <c r="AC288" s="1132" t="n"/>
      <c r="AD288" s="1132" t="n"/>
      <c r="AE288" s="1132" t="n"/>
      <c r="AF288" s="1132" t="n"/>
      <c r="AG288" s="1132" t="n"/>
      <c r="AH288" s="1132" t="n"/>
      <c r="AI288" s="1132" t="n"/>
      <c r="AJ288" s="1132" t="n"/>
      <c r="AK288" s="1132" t="n"/>
      <c r="AL288" s="1132" t="n"/>
      <c r="AM288" s="1132" t="n"/>
      <c r="AN288" s="1132" t="n"/>
      <c r="AO288" s="1132" t="n"/>
      <c r="AP288" s="1132" t="n"/>
      <c r="AQ288" s="1132" t="n"/>
      <c r="AR288" s="1132" t="n"/>
      <c r="AS288" s="1132" t="n"/>
      <c r="AT288" s="1132" t="n"/>
      <c r="AU288" s="1132" t="n"/>
      <c r="AV288" s="1132" t="n"/>
      <c r="AW288" s="1132" t="n"/>
      <c r="AX288" s="1132" t="n"/>
      <c r="AY288" s="1132" t="n"/>
      <c r="AZ288" s="1132" t="n"/>
      <c r="BA288" s="1132" t="n"/>
      <c r="BB288" s="1132" t="n"/>
      <c r="BC288" s="1132" t="n"/>
      <c r="BD288" s="1132" t="n"/>
      <c r="BE288" s="1132" t="n"/>
      <c r="BF288" s="1132" t="n"/>
      <c r="BG288" s="1132" t="n"/>
      <c r="BH288" s="1132" t="n"/>
      <c r="BI288" s="1132" t="n"/>
      <c r="BJ288" s="1132" t="n"/>
      <c r="BK288" s="1132" t="n"/>
      <c r="BL288" s="1132" t="n"/>
      <c r="BM288" s="1132" t="n"/>
      <c r="BN288" s="1132" t="n"/>
      <c r="BO288" s="1132" t="n"/>
      <c r="BP288" s="1132" t="n"/>
      <c r="BQ288" s="1132" t="n"/>
      <c r="BR288" s="1132" t="n"/>
      <c r="BS288" s="1132" t="n"/>
      <c r="BT288" s="1132" t="n"/>
      <c r="BU288" s="1132" t="n"/>
      <c r="BV288" s="1132" t="n"/>
      <c r="BW288" s="1132" t="n"/>
      <c r="BX288" s="1132" t="n"/>
      <c r="BY288" s="1132" t="n"/>
      <c r="BZ288" s="1132" t="n"/>
      <c r="CA288" s="1132" t="n"/>
      <c r="CB288" s="1132" t="n"/>
      <c r="CC288" s="1132" t="n"/>
      <c r="CD288" s="1132" t="n"/>
      <c r="CE288" s="1132" t="n"/>
      <c r="CF288" s="1132" t="n"/>
      <c r="CG288" s="1132" t="n"/>
      <c r="CH288" s="1132" t="n"/>
      <c r="CI288" s="1132" t="n"/>
      <c r="CJ288" s="1132" t="n"/>
      <c r="CK288" s="1132" t="n"/>
      <c r="CL288" s="1132" t="n"/>
      <c r="CM288" s="1132" t="n"/>
      <c r="CN288" s="1132" t="n"/>
      <c r="CO288" s="1132" t="n"/>
      <c r="CP288" s="1132" t="n"/>
      <c r="CQ288" s="1132" t="n"/>
      <c r="CR288" s="1132" t="n"/>
      <c r="CS288" s="1132" t="n"/>
      <c r="CT288" s="1132" t="n"/>
      <c r="CU288" s="1132" t="n"/>
      <c r="CV288" s="1132" t="n"/>
      <c r="CW288" s="1132" t="n"/>
      <c r="CX288" s="1132" t="n"/>
      <c r="CY288" s="1132" t="n"/>
      <c r="CZ288" s="1132" t="n"/>
      <c r="DA288" s="1132" t="n"/>
      <c r="DB288" s="1132" t="n"/>
      <c r="DC288" s="1132" t="n"/>
      <c r="DD288" s="1132" t="n"/>
      <c r="DE288" s="1132" t="n"/>
      <c r="DF288" s="1132" t="n"/>
      <c r="DG288" s="1132" t="n"/>
      <c r="DH288" s="1132" t="n"/>
      <c r="DI288" s="1132" t="n"/>
      <c r="DJ288" s="1132" t="n"/>
      <c r="DK288" s="1132" t="n"/>
      <c r="DL288" s="1132" t="n"/>
      <c r="DM288" s="1132" t="n"/>
      <c r="DN288" s="1132" t="n"/>
      <c r="DO288" s="1132" t="n"/>
      <c r="DP288" s="1132" t="n"/>
      <c r="DQ288" s="1132" t="n"/>
      <c r="DR288" s="1132" t="n"/>
      <c r="DS288" s="1132" t="n"/>
      <c r="DT288" s="1132" t="n"/>
      <c r="DU288" s="1132" t="n"/>
      <c r="DV288" s="1132" t="n"/>
      <c r="DW288" s="1132" t="n"/>
      <c r="DX288" s="1132" t="n"/>
      <c r="DY288" s="1132" t="n"/>
      <c r="DZ288" s="1132" t="n"/>
      <c r="EA288" s="1132" t="n"/>
      <c r="EB288" s="1132" t="n"/>
      <c r="EC288" s="1132" t="n"/>
      <c r="ED288" s="1132" t="n"/>
      <c r="EE288" s="1132" t="n"/>
      <c r="EF288" s="1132" t="n"/>
      <c r="EG288" s="1132" t="n"/>
      <c r="EH288" s="1132" t="n"/>
      <c r="EI288" s="1132" t="n"/>
      <c r="EJ288" s="1132" t="n"/>
      <c r="EK288" s="1132" t="n"/>
      <c r="EL288" s="1132" t="n"/>
      <c r="EM288" s="1132" t="n"/>
      <c r="EN288" s="1132" t="n"/>
      <c r="EO288" s="1132" t="n"/>
      <c r="EP288" s="1132" t="n"/>
      <c r="EQ288" s="1132" t="n"/>
      <c r="ER288" s="1132" t="n"/>
      <c r="ES288" s="1132" t="n"/>
      <c r="ET288" s="1132" t="n"/>
      <c r="EU288" s="1132" t="n"/>
      <c r="EV288" s="1132" t="n"/>
      <c r="EW288" s="1132" t="n"/>
      <c r="EX288" s="1132" t="n"/>
      <c r="EY288" s="1132" t="n"/>
      <c r="EZ288" s="1132" t="n"/>
      <c r="FA288" s="1132" t="n"/>
      <c r="FB288" s="1132" t="n"/>
      <c r="FC288" s="1132" t="n"/>
      <c r="FD288" s="1132" t="n"/>
      <c r="FE288" s="1132" t="n"/>
      <c r="FF288" s="1132" t="n"/>
      <c r="FG288" s="1132" t="n"/>
      <c r="FH288" s="1132" t="n"/>
      <c r="FI288" s="1132" t="n"/>
      <c r="FJ288" s="1132" t="n"/>
      <c r="FK288" s="1132" t="n"/>
      <c r="FL288" s="1132" t="n"/>
      <c r="FM288" s="1132" t="n"/>
      <c r="FN288" s="1132" t="n"/>
      <c r="FO288" s="1132" t="n"/>
      <c r="FP288" s="1132" t="n"/>
      <c r="FQ288" s="1132" t="n"/>
      <c r="FR288" s="1132" t="n"/>
      <c r="FS288" s="1132" t="n"/>
      <c r="FT288" s="1132" t="n"/>
      <c r="FU288" s="1132" t="n"/>
      <c r="FV288" s="1132" t="n"/>
      <c r="FW288" s="1132" t="n"/>
      <c r="FX288" s="1132" t="n"/>
      <c r="FY288" s="1132" t="n"/>
      <c r="FZ288" s="1132" t="n"/>
      <c r="GA288" s="1132" t="n"/>
      <c r="GB288" s="1132" t="n"/>
      <c r="GC288" s="1132" t="n"/>
      <c r="GD288" s="1132" t="n"/>
      <c r="GE288" s="1132" t="n"/>
      <c r="GF288" s="1132" t="n"/>
      <c r="GG288" s="1132" t="n"/>
      <c r="GH288" s="1132" t="n"/>
      <c r="GI288" s="1132" t="n"/>
      <c r="GJ288" s="1132" t="n"/>
      <c r="GK288" s="1132" t="n"/>
      <c r="GL288" s="1132" t="n"/>
      <c r="GM288" s="1132" t="n"/>
      <c r="GN288" s="1132" t="n"/>
      <c r="GO288" s="1132" t="n"/>
      <c r="GP288" s="1132" t="n"/>
      <c r="GQ288" s="1132" t="n"/>
      <c r="GR288" s="1132" t="n"/>
      <c r="GS288" s="1132" t="n"/>
      <c r="GT288" s="1132" t="n"/>
      <c r="GU288" s="1132" t="n"/>
      <c r="GV288" s="1132" t="n"/>
      <c r="GW288" s="1132" t="n"/>
      <c r="GX288" s="1132" t="n"/>
      <c r="GY288" s="1132" t="n"/>
      <c r="GZ288" s="1132" t="n"/>
      <c r="HA288" s="1132" t="n"/>
      <c r="HB288" s="1132" t="n"/>
      <c r="HC288" s="1132" t="n"/>
      <c r="HD288" s="1132" t="n"/>
      <c r="HE288" s="1132" t="n"/>
      <c r="HF288" s="1132" t="n"/>
      <c r="HG288" s="1132" t="n"/>
      <c r="HH288" s="1132" t="n"/>
      <c r="HI288" s="1132" t="n"/>
      <c r="HJ288" s="1132" t="n"/>
      <c r="HK288" s="1132" t="n"/>
      <c r="HL288" s="1132" t="n"/>
      <c r="HM288" s="1132" t="n"/>
      <c r="HN288" s="1132" t="n"/>
      <c r="HO288" s="1132" t="n"/>
      <c r="HP288" s="1132" t="n"/>
      <c r="HQ288" s="1132" t="n"/>
      <c r="HR288" s="1132" t="n"/>
      <c r="HS288" s="1132" t="n"/>
      <c r="HT288" s="1132" t="n"/>
      <c r="HU288" s="1132" t="n"/>
      <c r="HV288" s="1132" t="n"/>
      <c r="HW288" s="1132" t="n"/>
      <c r="HX288" s="1132" t="n"/>
      <c r="HY288" s="1132" t="n"/>
      <c r="HZ288" s="1132" t="n"/>
      <c r="IA288" s="1132" t="n"/>
      <c r="IB288" s="1132" t="n"/>
      <c r="IC288" s="1132" t="n"/>
      <c r="ID288" s="1132" t="n"/>
      <c r="IE288" s="1132" t="n"/>
      <c r="IF288" s="1132" t="n"/>
      <c r="IG288" s="1132" t="n"/>
      <c r="IH288" s="1132" t="n"/>
      <c r="II288" s="1132" t="n"/>
      <c r="IJ288" s="1132" t="n"/>
      <c r="IK288" s="1132" t="n"/>
      <c r="IL288" s="1132" t="n"/>
      <c r="IM288" s="1132" t="n"/>
      <c r="IN288" s="1132" t="n"/>
      <c r="IO288" s="1132" t="n"/>
      <c r="IP288" s="1132" t="n"/>
      <c r="IQ288" s="1132" t="n"/>
      <c r="IR288" s="1132" t="n"/>
      <c r="IS288" s="1132" t="n"/>
      <c r="IT288" s="1132" t="n"/>
      <c r="IU288" s="1132" t="n"/>
      <c r="IV288" s="1132" t="n"/>
      <c r="IW288" s="1132" t="n"/>
      <c r="IX288" s="1132" t="n"/>
      <c r="IY288" s="1132" t="n"/>
      <c r="IZ288" s="1132" t="n"/>
      <c r="JA288" s="1132" t="n"/>
      <c r="JB288" s="1132" t="n"/>
      <c r="JC288" s="1132" t="n"/>
      <c r="JD288" s="1132" t="n"/>
      <c r="JE288" s="1132" t="n"/>
      <c r="JF288" s="1132" t="n"/>
      <c r="JG288" s="1132" t="n"/>
      <c r="JH288" s="1132" t="n"/>
      <c r="JI288" s="1132" t="n"/>
      <c r="JJ288" s="1132" t="n"/>
      <c r="JK288" s="1132" t="n"/>
      <c r="JL288" s="1132" t="n"/>
      <c r="JM288" s="1132" t="n"/>
      <c r="JN288" s="1132" t="n"/>
      <c r="JO288" s="1132" t="n"/>
      <c r="JP288" s="1132" t="n"/>
      <c r="JQ288" s="1132" t="n"/>
      <c r="JR288" s="1132" t="n"/>
      <c r="JS288" s="1132" t="n"/>
      <c r="JT288" s="1132" t="n"/>
      <c r="JU288" s="1132" t="n"/>
      <c r="JV288" s="1132" t="n"/>
      <c r="JW288" s="1132" t="n"/>
      <c r="JX288" s="1132" t="n"/>
      <c r="JY288" s="1132" t="n"/>
      <c r="JZ288" s="1132" t="n"/>
      <c r="KA288" s="1132" t="n"/>
      <c r="KB288" s="1132" t="n"/>
      <c r="KC288" s="1132" t="n"/>
      <c r="KD288" s="1132" t="n"/>
      <c r="KE288" s="1132" t="n"/>
      <c r="KF288" s="1132" t="n"/>
      <c r="KG288" s="1132" t="n"/>
      <c r="KH288" s="1132" t="n"/>
      <c r="KI288" s="1132" t="n"/>
      <c r="KJ288" s="1132" t="n"/>
      <c r="KK288" s="1132" t="n"/>
      <c r="KL288" s="1132" t="n"/>
      <c r="KM288" s="1132" t="n"/>
      <c r="KN288" s="1132" t="n"/>
      <c r="KO288" s="1132" t="n"/>
      <c r="KP288" s="1132" t="n"/>
      <c r="KQ288" s="1132" t="n"/>
      <c r="KR288" s="1132" t="n"/>
      <c r="KS288" s="1132" t="n"/>
      <c r="KT288" s="1132" t="n"/>
      <c r="KU288" s="1132" t="n"/>
      <c r="KV288" s="1132" t="n"/>
      <c r="KW288" s="1132" t="n"/>
      <c r="KX288" s="1132" t="n"/>
      <c r="KY288" s="1132" t="n"/>
      <c r="KZ288" s="1132" t="n"/>
      <c r="LA288" s="1132" t="n"/>
      <c r="LB288" s="1132" t="n"/>
      <c r="LC288" s="1132" t="n"/>
      <c r="LD288" s="1132" t="n"/>
      <c r="LE288" s="1132" t="n"/>
      <c r="LF288" s="1132" t="n"/>
      <c r="LG288" s="1132" t="n"/>
      <c r="LH288" s="1132" t="n"/>
      <c r="LI288" s="1132" t="n"/>
      <c r="LJ288" s="1132" t="n"/>
      <c r="LK288" s="1132" t="n"/>
      <c r="LL288" s="1132" t="n"/>
      <c r="LM288" s="1132" t="n"/>
      <c r="LN288" s="1132" t="n"/>
      <c r="LO288" s="1132" t="n"/>
      <c r="LP288" s="1132" t="n"/>
      <c r="LQ288" s="1132" t="n"/>
      <c r="LR288" s="1132" t="n"/>
      <c r="LS288" s="1132" t="n"/>
      <c r="LT288" s="1132" t="n"/>
      <c r="LU288" s="1132" t="n"/>
      <c r="LV288" s="1132" t="n"/>
      <c r="LW288" s="1132" t="n"/>
      <c r="LX288" s="1132" t="n"/>
      <c r="LY288" s="1132" t="n"/>
      <c r="LZ288" s="1132" t="n"/>
      <c r="MA288" s="1132" t="n"/>
      <c r="MB288" s="1132" t="n"/>
      <c r="MC288" s="1132" t="n"/>
      <c r="MD288" s="1132" t="n"/>
      <c r="ME288" s="1132" t="n"/>
      <c r="MF288" s="1132" t="n"/>
      <c r="MG288" s="1132" t="n"/>
      <c r="MH288" s="1132" t="n"/>
      <c r="MI288" s="1132" t="n"/>
      <c r="MJ288" s="1132" t="n"/>
      <c r="MK288" s="1132" t="n"/>
      <c r="ML288" s="1132" t="n"/>
      <c r="MM288" s="1132" t="n"/>
      <c r="MN288" s="1132" t="n"/>
      <c r="MO288" s="1132" t="n"/>
      <c r="MP288" s="1132" t="n"/>
      <c r="MQ288" s="1132" t="n"/>
      <c r="MR288" s="1132" t="n"/>
      <c r="MS288" s="1132" t="n"/>
      <c r="MT288" s="1132" t="n"/>
      <c r="MU288" s="1132" t="n"/>
      <c r="MV288" s="1132" t="n"/>
      <c r="MW288" s="1132" t="n"/>
      <c r="MX288" s="1132" t="n"/>
      <c r="MY288" s="1132" t="n"/>
      <c r="MZ288" s="1132" t="n"/>
      <c r="NA288" s="1132" t="n"/>
      <c r="NB288" s="1132" t="n"/>
      <c r="NC288" s="1132" t="n"/>
      <c r="ND288" s="1132" t="n"/>
      <c r="NE288" s="1132" t="n"/>
      <c r="NF288" s="1132" t="n"/>
      <c r="NG288" s="1132" t="n"/>
      <c r="NH288" s="1132" t="n"/>
      <c r="NI288" s="1132" t="n"/>
      <c r="NJ288" s="1132" t="n"/>
      <c r="NK288" s="1132" t="n"/>
      <c r="NL288" s="1132" t="n"/>
      <c r="NM288" s="1132" t="n"/>
      <c r="NN288" s="1132" t="n"/>
      <c r="NO288" s="1132" t="n"/>
      <c r="NP288" s="1132" t="n"/>
      <c r="NQ288" s="1132" t="n"/>
      <c r="NR288" s="1132" t="n"/>
      <c r="NS288" s="1132" t="n"/>
      <c r="NT288" s="1132" t="n"/>
      <c r="NU288" s="1132" t="n"/>
      <c r="NV288" s="1132" t="n"/>
      <c r="NW288" s="1132" t="n"/>
      <c r="NX288" s="1132" t="n"/>
      <c r="NY288" s="1132" t="n"/>
      <c r="NZ288" s="1132" t="n"/>
      <c r="OA288" s="1132" t="n"/>
      <c r="OB288" s="1132" t="n"/>
      <c r="OC288" s="1132" t="n"/>
      <c r="OD288" s="1132" t="n"/>
      <c r="OE288" s="1132" t="n"/>
      <c r="OF288" s="1132" t="n"/>
      <c r="OG288" s="1132" t="n"/>
      <c r="OH288" s="1132" t="n"/>
      <c r="OI288" s="1132" t="n"/>
      <c r="OJ288" s="1132" t="n"/>
      <c r="OK288" s="1132" t="n"/>
      <c r="OL288" s="1132" t="n"/>
      <c r="OM288" s="1132" t="n"/>
      <c r="ON288" s="1132" t="n"/>
      <c r="OO288" s="1132" t="n"/>
      <c r="OP288" s="1132" t="n"/>
      <c r="OQ288" s="1132" t="n"/>
      <c r="OR288" s="1132" t="n"/>
      <c r="OS288" s="1132" t="n"/>
      <c r="OT288" s="1132" t="n"/>
      <c r="OU288" s="1132" t="n"/>
      <c r="OV288" s="1132" t="n"/>
      <c r="OW288" s="1132" t="n"/>
      <c r="OX288" s="1132" t="n"/>
      <c r="OY288" s="1132" t="n"/>
      <c r="OZ288" s="1132" t="n"/>
      <c r="PA288" s="1132" t="n"/>
      <c r="PB288" s="1132" t="n"/>
      <c r="PC288" s="1132" t="n"/>
      <c r="PD288" s="1132" t="n"/>
      <c r="PE288" s="1132" t="n"/>
      <c r="PF288" s="1132" t="n"/>
      <c r="PG288" s="1132" t="n"/>
      <c r="PH288" s="1132" t="n"/>
      <c r="PI288" s="1132" t="n"/>
      <c r="PJ288" s="1132" t="n"/>
      <c r="PK288" s="1132" t="n"/>
      <c r="PL288" s="1132" t="n"/>
      <c r="PM288" s="1132" t="n"/>
      <c r="PN288" s="1132" t="n"/>
      <c r="PO288" s="1132" t="n"/>
      <c r="PP288" s="1132" t="n"/>
      <c r="PQ288" s="1132" t="n"/>
      <c r="PR288" s="1132" t="n"/>
      <c r="PS288" s="1132" t="n"/>
      <c r="PT288" s="1132" t="n"/>
      <c r="PU288" s="1132" t="n"/>
      <c r="PV288" s="1132" t="n"/>
      <c r="PW288" s="1132" t="n"/>
      <c r="PX288" s="1132" t="n"/>
      <c r="PY288" s="1132" t="n"/>
      <c r="PZ288" s="1132" t="n"/>
      <c r="QA288" s="1132" t="n"/>
      <c r="QB288" s="1132" t="n"/>
      <c r="QC288" s="1132" t="n"/>
      <c r="QD288" s="1132" t="n"/>
      <c r="QE288" s="1132" t="n"/>
      <c r="QF288" s="1132" t="n"/>
      <c r="QG288" s="1132" t="n"/>
      <c r="QH288" s="1132" t="n"/>
      <c r="QI288" s="1132" t="n"/>
      <c r="QJ288" s="1132" t="n"/>
      <c r="QK288" s="1132" t="n"/>
      <c r="QL288" s="1132" t="n"/>
      <c r="QM288" s="1132" t="n"/>
      <c r="QN288" s="1132" t="n"/>
      <c r="QO288" s="1132" t="n"/>
      <c r="QP288" s="1132" t="n"/>
      <c r="QQ288" s="1132" t="n"/>
      <c r="QR288" s="1132" t="n"/>
      <c r="QS288" s="1132" t="n"/>
      <c r="QT288" s="1132" t="n"/>
      <c r="QU288" s="1132" t="n"/>
      <c r="QV288" s="1132" t="n"/>
      <c r="QW288" s="1132" t="n"/>
      <c r="QX288" s="1132" t="n"/>
      <c r="QY288" s="1132" t="n"/>
      <c r="QZ288" s="1132" t="n"/>
      <c r="RA288" s="1132" t="n"/>
      <c r="RB288" s="1132" t="n"/>
      <c r="RC288" s="1132" t="n"/>
      <c r="RD288" s="1132" t="n"/>
      <c r="RE288" s="1132" t="n"/>
      <c r="RF288" s="1132" t="n"/>
      <c r="RG288" s="1132" t="n"/>
      <c r="RH288" s="1132" t="n"/>
      <c r="RI288" s="1132" t="n"/>
      <c r="RJ288" s="1132" t="n"/>
      <c r="RK288" s="1132" t="n"/>
      <c r="RL288" s="1132" t="n"/>
      <c r="RM288" s="1132" t="n"/>
      <c r="RN288" s="1132" t="n"/>
      <c r="RO288" s="1132" t="n"/>
      <c r="RP288" s="1132" t="n"/>
      <c r="RQ288" s="1132" t="n"/>
      <c r="RR288" s="1132" t="n"/>
      <c r="RS288" s="1132" t="n"/>
      <c r="RT288" s="1132" t="n"/>
      <c r="RU288" s="1132" t="n"/>
      <c r="RV288" s="1132" t="n"/>
      <c r="RW288" s="1132" t="n"/>
      <c r="RX288" s="1132" t="n"/>
      <c r="RY288" s="1132" t="n"/>
      <c r="RZ288" s="1132" t="n"/>
      <c r="SA288" s="1132" t="n"/>
      <c r="SB288" s="1132" t="n"/>
      <c r="SC288" s="1132" t="n"/>
      <c r="SD288" s="1132" t="n"/>
      <c r="SE288" s="1132" t="n"/>
      <c r="SF288" s="1132" t="n"/>
      <c r="SG288" s="1132" t="n"/>
      <c r="SH288" s="1132" t="n"/>
      <c r="SI288" s="1132" t="n"/>
      <c r="SJ288" s="1132" t="n"/>
      <c r="SK288" s="1132" t="n"/>
      <c r="SL288" s="1132" t="n"/>
      <c r="SM288" s="1132" t="n"/>
      <c r="SN288" s="1132" t="n"/>
      <c r="SO288" s="1132" t="n"/>
      <c r="SP288" s="1132" t="n"/>
      <c r="SQ288" s="1132" t="n"/>
      <c r="SR288" s="1132" t="n"/>
      <c r="SS288" s="1132" t="n"/>
      <c r="ST288" s="1132" t="n"/>
      <c r="SU288" s="1132" t="n"/>
      <c r="SV288" s="1132" t="n"/>
      <c r="SW288" s="1132" t="n"/>
      <c r="SX288" s="1132" t="n"/>
      <c r="SY288" s="1132" t="n"/>
      <c r="SZ288" s="1132" t="n"/>
      <c r="TA288" s="1132" t="n"/>
      <c r="TB288" s="1132" t="n"/>
      <c r="TC288" s="1132" t="n"/>
      <c r="TD288" s="1132" t="n"/>
      <c r="TE288" s="1132" t="n"/>
      <c r="TF288" s="1132" t="n"/>
      <c r="TG288" s="1132" t="n"/>
      <c r="TH288" s="1132" t="n"/>
      <c r="TI288" s="1132" t="n"/>
      <c r="TJ288" s="1132" t="n"/>
      <c r="TK288" s="1132" t="n"/>
      <c r="TL288" s="1132" t="n"/>
      <c r="TM288" s="1132" t="n"/>
      <c r="TN288" s="1132" t="n"/>
      <c r="TO288" s="1132" t="n"/>
      <c r="TP288" s="1132" t="n"/>
      <c r="TQ288" s="1132" t="n"/>
      <c r="TR288" s="1132" t="n"/>
      <c r="TS288" s="1132" t="n"/>
      <c r="TT288" s="1132" t="n"/>
      <c r="TU288" s="1132" t="n"/>
      <c r="TV288" s="1132" t="n"/>
      <c r="TW288" s="1132" t="n"/>
      <c r="TX288" s="1132" t="n"/>
      <c r="TY288" s="1132" t="n"/>
      <c r="TZ288" s="1132" t="n"/>
      <c r="UA288" s="1132" t="n"/>
      <c r="UB288" s="1132" t="n"/>
      <c r="UC288" s="1132" t="n"/>
      <c r="UD288" s="1132" t="n"/>
      <c r="UE288" s="1132" t="n"/>
      <c r="UF288" s="1132" t="n"/>
      <c r="UG288" s="1132" t="n"/>
      <c r="UH288" s="1132" t="n"/>
      <c r="UI288" s="1132" t="n"/>
      <c r="UJ288" s="1132" t="n"/>
      <c r="UK288" s="1132" t="n"/>
      <c r="UL288" s="1132" t="n"/>
      <c r="UM288" s="1132" t="n"/>
      <c r="UN288" s="1132" t="n"/>
      <c r="UO288" s="1132" t="n"/>
      <c r="UP288" s="1132" t="n"/>
      <c r="UQ288" s="1132" t="n"/>
      <c r="UR288" s="1132" t="n"/>
      <c r="US288" s="1132" t="n"/>
      <c r="UT288" s="1132" t="n"/>
      <c r="UU288" s="1132" t="n"/>
      <c r="UV288" s="1132" t="n"/>
      <c r="UW288" s="1132" t="n"/>
      <c r="UX288" s="1132" t="n"/>
      <c r="UY288" s="1132" t="n"/>
      <c r="UZ288" s="1132" t="n"/>
      <c r="VA288" s="1132" t="n"/>
      <c r="VB288" s="1132" t="n"/>
      <c r="VC288" s="1132" t="n"/>
      <c r="VD288" s="1132" t="n"/>
      <c r="VE288" s="1132" t="n"/>
      <c r="VF288" s="1132" t="n"/>
      <c r="VG288" s="1132" t="n"/>
      <c r="VH288" s="1132" t="n"/>
      <c r="VI288" s="1132" t="n"/>
      <c r="VJ288" s="1132" t="n"/>
      <c r="VK288" s="1132" t="n"/>
      <c r="VL288" s="1132" t="n"/>
      <c r="VM288" s="1132" t="n"/>
      <c r="VN288" s="1132" t="n"/>
      <c r="VO288" s="1132" t="n"/>
      <c r="VP288" s="1132" t="n"/>
      <c r="VQ288" s="1132" t="n"/>
      <c r="VR288" s="1132" t="n"/>
      <c r="VS288" s="1132" t="n"/>
      <c r="VT288" s="1132" t="n"/>
      <c r="VU288" s="1132" t="n"/>
      <c r="VV288" s="1132" t="n"/>
      <c r="VW288" s="1132" t="n"/>
      <c r="VX288" s="1132" t="n"/>
      <c r="VY288" s="1132" t="n"/>
      <c r="VZ288" s="1132" t="n"/>
      <c r="WA288" s="1132" t="n"/>
      <c r="WB288" s="1132" t="n"/>
      <c r="WC288" s="1132" t="n"/>
      <c r="WD288" s="1132" t="n"/>
      <c r="WE288" s="1132" t="n"/>
      <c r="WF288" s="1132" t="n"/>
      <c r="WG288" s="1132" t="n"/>
      <c r="WH288" s="1132" t="n"/>
      <c r="WI288" s="1132" t="n"/>
      <c r="WJ288" s="1132" t="n"/>
      <c r="WK288" s="1132" t="n"/>
      <c r="WL288" s="1132" t="n"/>
      <c r="WM288" s="1132" t="n"/>
      <c r="WN288" s="1132" t="n"/>
      <c r="WO288" s="1132" t="n"/>
      <c r="WP288" s="1132" t="n"/>
      <c r="WQ288" s="1132" t="n"/>
      <c r="WR288" s="1132" t="n"/>
      <c r="WS288" s="1132" t="n"/>
      <c r="WT288" s="1132" t="n"/>
      <c r="WU288" s="1132" t="n"/>
      <c r="WV288" s="1132" t="n"/>
      <c r="WW288" s="1132" t="n"/>
      <c r="WX288" s="1132" t="n"/>
      <c r="WY288" s="1132" t="n"/>
      <c r="WZ288" s="1132" t="n"/>
      <c r="XA288" s="1132" t="n"/>
      <c r="XB288" s="1132" t="n"/>
      <c r="XC288" s="1132" t="n"/>
      <c r="XD288" s="1132" t="n"/>
      <c r="XE288" s="1132" t="n"/>
      <c r="XF288" s="1132" t="n"/>
      <c r="XG288" s="1132" t="n"/>
      <c r="XH288" s="1132" t="n"/>
      <c r="XI288" s="1132" t="n"/>
      <c r="XJ288" s="1132" t="n"/>
      <c r="XK288" s="1132" t="n"/>
      <c r="XL288" s="1132" t="n"/>
      <c r="XM288" s="1132" t="n"/>
      <c r="XN288" s="1132" t="n"/>
      <c r="XO288" s="1132" t="n"/>
      <c r="XP288" s="1132" t="n"/>
      <c r="XQ288" s="1132" t="n"/>
      <c r="XR288" s="1132" t="n"/>
      <c r="XS288" s="1132" t="n"/>
      <c r="XT288" s="1132" t="n"/>
      <c r="XU288" s="1132" t="n"/>
      <c r="XV288" s="1132" t="n"/>
      <c r="XW288" s="1132" t="n"/>
      <c r="XX288" s="1132" t="n"/>
      <c r="XY288" s="1132" t="n"/>
      <c r="XZ288" s="1132" t="n"/>
      <c r="YA288" s="1132" t="n"/>
      <c r="YB288" s="1132" t="n"/>
      <c r="YC288" s="1132" t="n"/>
      <c r="YD288" s="1132" t="n"/>
      <c r="YE288" s="1132" t="n"/>
      <c r="YF288" s="1132" t="n"/>
      <c r="YG288" s="1132" t="n"/>
      <c r="YH288" s="1132" t="n"/>
      <c r="YI288" s="1132" t="n"/>
      <c r="YJ288" s="1132" t="n"/>
      <c r="YK288" s="1132" t="n"/>
      <c r="YL288" s="1132" t="n"/>
      <c r="YM288" s="1132" t="n"/>
      <c r="YN288" s="1132" t="n"/>
      <c r="YO288" s="1132" t="n"/>
      <c r="YP288" s="1132" t="n"/>
      <c r="YQ288" s="1132" t="n"/>
      <c r="YR288" s="1132" t="n"/>
      <c r="YS288" s="1132" t="n"/>
      <c r="YT288" s="1132" t="n"/>
      <c r="YU288" s="1132" t="n"/>
      <c r="YV288" s="1132" t="n"/>
      <c r="YW288" s="1132" t="n"/>
      <c r="YX288" s="1132" t="n"/>
      <c r="YY288" s="1132" t="n"/>
      <c r="YZ288" s="1132" t="n"/>
      <c r="ZA288" s="1132" t="n"/>
      <c r="ZB288" s="1132" t="n"/>
      <c r="ZC288" s="1132" t="n"/>
      <c r="ZD288" s="1132" t="n"/>
      <c r="ZE288" s="1132" t="n"/>
      <c r="ZF288" s="1132" t="n"/>
      <c r="ZG288" s="1132" t="n"/>
      <c r="ZH288" s="1132" t="n"/>
      <c r="ZI288" s="1132" t="n"/>
      <c r="ZJ288" s="1132" t="n"/>
      <c r="ZK288" s="1132" t="n"/>
      <c r="ZL288" s="1132" t="n"/>
      <c r="ZM288" s="1132" t="n"/>
      <c r="ZN288" s="1132" t="n"/>
      <c r="ZO288" s="1132" t="n"/>
      <c r="ZP288" s="1132" t="n"/>
      <c r="ZQ288" s="1132" t="n"/>
      <c r="ZR288" s="1132" t="n"/>
      <c r="ZS288" s="1132" t="n"/>
      <c r="ZT288" s="1132" t="n"/>
      <c r="ZU288" s="1132" t="n"/>
      <c r="ZV288" s="1132" t="n"/>
      <c r="ZW288" s="1132" t="n"/>
      <c r="ZX288" s="1132" t="n"/>
      <c r="ZY288" s="1132" t="n"/>
      <c r="ZZ288" s="1132" t="n"/>
      <c r="AAA288" s="1132" t="n"/>
      <c r="AAB288" s="1132" t="n"/>
      <c r="AAC288" s="1132" t="n"/>
      <c r="AAD288" s="1132" t="n"/>
      <c r="AAE288" s="1132" t="n"/>
      <c r="AAF288" s="1132" t="n"/>
      <c r="AAG288" s="1132" t="n"/>
      <c r="AAH288" s="1132" t="n"/>
      <c r="AAI288" s="1132" t="n"/>
      <c r="AAJ288" s="1132" t="n"/>
      <c r="AAK288" s="1132" t="n"/>
      <c r="AAL288" s="1132" t="n"/>
      <c r="AAM288" s="1132" t="n"/>
      <c r="AAN288" s="1132" t="n"/>
      <c r="AAO288" s="1132" t="n"/>
      <c r="AAP288" s="1132" t="n"/>
      <c r="AAQ288" s="1132" t="n"/>
      <c r="AAR288" s="1132" t="n"/>
      <c r="AAS288" s="1132" t="n"/>
      <c r="AAT288" s="1132" t="n"/>
      <c r="AAU288" s="1132" t="n"/>
      <c r="AAV288" s="1132" t="n"/>
      <c r="AAW288" s="1132" t="n"/>
      <c r="AAX288" s="1132" t="n"/>
      <c r="AAY288" s="1132" t="n"/>
      <c r="AAZ288" s="1132" t="n"/>
      <c r="ABA288" s="1132" t="n"/>
      <c r="ABB288" s="1132" t="n"/>
      <c r="ABC288" s="1132" t="n"/>
      <c r="ABD288" s="1132" t="n"/>
      <c r="ABE288" s="1132" t="n"/>
      <c r="ABF288" s="1132" t="n"/>
      <c r="ABG288" s="1132" t="n"/>
      <c r="ABH288" s="1132" t="n"/>
      <c r="ABI288" s="1132" t="n"/>
      <c r="ABJ288" s="1132" t="n"/>
      <c r="ABK288" s="1132" t="n"/>
      <c r="ABL288" s="1132" t="n"/>
      <c r="ABM288" s="1132" t="n"/>
      <c r="ABN288" s="1132" t="n"/>
      <c r="ABO288" s="1132" t="n"/>
      <c r="ABP288" s="1132" t="n"/>
      <c r="ABQ288" s="1132" t="n"/>
      <c r="ABR288" s="1132" t="n"/>
      <c r="ABS288" s="1132" t="n"/>
      <c r="ABT288" s="1132" t="n"/>
      <c r="ABU288" s="1132" t="n"/>
      <c r="ABV288" s="1132" t="n"/>
      <c r="ABW288" s="1132" t="n"/>
      <c r="ABX288" s="1132" t="n"/>
      <c r="ABY288" s="1132" t="n"/>
      <c r="ABZ288" s="1132" t="n"/>
      <c r="ACA288" s="1132" t="n"/>
      <c r="ACB288" s="1132" t="n"/>
      <c r="ACC288" s="1132" t="n"/>
      <c r="ACD288" s="1132" t="n"/>
      <c r="ACE288" s="1132" t="n"/>
      <c r="ACF288" s="1132" t="n"/>
      <c r="ACG288" s="1132" t="n"/>
      <c r="ACH288" s="1132" t="n"/>
      <c r="ACI288" s="1132" t="n"/>
      <c r="ACJ288" s="1132" t="n"/>
      <c r="ACK288" s="1132" t="n"/>
      <c r="ACL288" s="1132" t="n"/>
      <c r="ACM288" s="1132" t="n"/>
      <c r="ACN288" s="1132" t="n"/>
      <c r="ACO288" s="1132" t="n"/>
      <c r="ACP288" s="1132" t="n"/>
      <c r="ACQ288" s="1132" t="n"/>
      <c r="ACR288" s="1132" t="n"/>
      <c r="ACS288" s="1132" t="n"/>
      <c r="ACT288" s="1132" t="n"/>
      <c r="ACU288" s="1132" t="n"/>
      <c r="ACV288" s="1132" t="n"/>
      <c r="ACW288" s="1132" t="n"/>
      <c r="ACX288" s="1132" t="n"/>
      <c r="ACY288" s="1132" t="n"/>
      <c r="ACZ288" s="1132" t="n"/>
      <c r="ADA288" s="1132" t="n"/>
      <c r="ADB288" s="1132" t="n"/>
      <c r="ADC288" s="1132" t="n"/>
      <c r="ADD288" s="1132" t="n"/>
      <c r="ADE288" s="1132" t="n"/>
      <c r="ADF288" s="1132" t="n"/>
      <c r="ADG288" s="1132" t="n"/>
      <c r="ADH288" s="1132" t="n"/>
      <c r="ADI288" s="1132" t="n"/>
      <c r="ADJ288" s="1132" t="n"/>
      <c r="ADK288" s="1132" t="n"/>
      <c r="ADL288" s="1132" t="n"/>
      <c r="ADM288" s="1132" t="n"/>
      <c r="ADN288" s="1132" t="n"/>
      <c r="ADO288" s="1132" t="n"/>
      <c r="ADP288" s="1132" t="n"/>
      <c r="ADQ288" s="1132" t="n"/>
      <c r="ADR288" s="1132" t="n"/>
      <c r="ADS288" s="1132" t="n"/>
      <c r="ADT288" s="1132" t="n"/>
      <c r="ADU288" s="1132" t="n"/>
      <c r="ADV288" s="1132" t="n"/>
      <c r="ADW288" s="1132" t="n"/>
      <c r="ADX288" s="1132" t="n"/>
      <c r="ADY288" s="1132" t="n"/>
      <c r="ADZ288" s="1132" t="n"/>
      <c r="AEA288" s="1132" t="n"/>
      <c r="AEB288" s="1132" t="n"/>
      <c r="AEC288" s="1132" t="n"/>
      <c r="AED288" s="1132" t="n"/>
      <c r="AEE288" s="1132" t="n"/>
      <c r="AEF288" s="1132" t="n"/>
      <c r="AEG288" s="1132" t="n"/>
      <c r="AEH288" s="1132" t="n"/>
      <c r="AEI288" s="1132" t="n"/>
      <c r="AEJ288" s="1132" t="n"/>
      <c r="AEK288" s="1132" t="n"/>
      <c r="AEL288" s="1132" t="n"/>
      <c r="AEM288" s="1132" t="n"/>
      <c r="AEN288" s="1132" t="n"/>
      <c r="AEO288" s="1132" t="n"/>
      <c r="AEP288" s="1132" t="n"/>
      <c r="AEQ288" s="1132" t="n"/>
      <c r="AER288" s="1132" t="n"/>
      <c r="AES288" s="1132" t="n"/>
      <c r="AET288" s="1132" t="n"/>
      <c r="AEU288" s="1132" t="n"/>
      <c r="AEV288" s="1132" t="n"/>
      <c r="AEW288" s="1132" t="n"/>
      <c r="AEX288" s="1132" t="n"/>
      <c r="AEY288" s="1132" t="n"/>
      <c r="AEZ288" s="1132" t="n"/>
      <c r="AFA288" s="1132" t="n"/>
      <c r="AFB288" s="1132" t="n"/>
      <c r="AFC288" s="1132" t="n"/>
      <c r="AFD288" s="1132" t="n"/>
      <c r="AFE288" s="1132" t="n"/>
      <c r="AFF288" s="1132" t="n"/>
      <c r="AFG288" s="1132" t="n"/>
      <c r="AFH288" s="1132" t="n"/>
      <c r="AFI288" s="1132" t="n"/>
      <c r="AFJ288" s="1132" t="n"/>
      <c r="AFK288" s="1132" t="n"/>
      <c r="AFL288" s="1132" t="n"/>
      <c r="AFM288" s="1132" t="n"/>
      <c r="AFN288" s="1132" t="n"/>
      <c r="AFO288" s="1132" t="n"/>
      <c r="AFP288" s="1132" t="n"/>
      <c r="AFQ288" s="1132" t="n"/>
      <c r="AFR288" s="1132" t="n"/>
      <c r="AFS288" s="1132" t="n"/>
      <c r="AFT288" s="1132" t="n"/>
      <c r="AFU288" s="1132" t="n"/>
      <c r="AFV288" s="1132" t="n"/>
      <c r="AFW288" s="1132" t="n"/>
      <c r="AFX288" s="1132" t="n"/>
      <c r="AFY288" s="1132" t="n"/>
      <c r="AFZ288" s="1132" t="n"/>
      <c r="AGA288" s="1132" t="n"/>
      <c r="AGB288" s="1132" t="n"/>
      <c r="AGC288" s="1132" t="n"/>
      <c r="AGD288" s="1132" t="n"/>
      <c r="AGE288" s="1132" t="n"/>
      <c r="AGF288" s="1132" t="n"/>
      <c r="AGG288" s="1132" t="n"/>
      <c r="AGH288" s="1132" t="n"/>
      <c r="AGI288" s="1132" t="n"/>
      <c r="AGJ288" s="1132" t="n"/>
      <c r="AGK288" s="1132" t="n"/>
      <c r="AGL288" s="1132" t="n"/>
      <c r="AGM288" s="1132" t="n"/>
      <c r="AGN288" s="1132" t="n"/>
      <c r="AGO288" s="1132" t="n"/>
      <c r="AGP288" s="1132" t="n"/>
      <c r="AGQ288" s="1132" t="n"/>
      <c r="AGR288" s="1132" t="n"/>
      <c r="AGS288" s="1132" t="n"/>
      <c r="AGT288" s="1132" t="n"/>
      <c r="AGU288" s="1132" t="n"/>
      <c r="AGV288" s="1132" t="n"/>
      <c r="AGW288" s="1132" t="n"/>
      <c r="AGX288" s="1132" t="n"/>
      <c r="AGY288" s="1132" t="n"/>
      <c r="AGZ288" s="1132" t="n"/>
      <c r="AHA288" s="1132" t="n"/>
      <c r="AHB288" s="1132" t="n"/>
      <c r="AHC288" s="1132" t="n"/>
      <c r="AHD288" s="1132" t="n"/>
      <c r="AHE288" s="1132" t="n"/>
      <c r="AHF288" s="1132" t="n"/>
      <c r="AHG288" s="1132" t="n"/>
      <c r="AHH288" s="1132" t="n"/>
      <c r="AHI288" s="1132" t="n"/>
      <c r="AHJ288" s="1132" t="n"/>
      <c r="AHK288" s="1132" t="n"/>
      <c r="AHL288" s="1132" t="n"/>
      <c r="AHM288" s="1132" t="n"/>
      <c r="AHN288" s="1132" t="n"/>
      <c r="AHO288" s="1132" t="n"/>
      <c r="AHP288" s="1132" t="n"/>
      <c r="AHQ288" s="1132" t="n"/>
      <c r="AHR288" s="1132" t="n"/>
      <c r="AHS288" s="1132" t="n"/>
      <c r="AHT288" s="1132" t="n"/>
      <c r="AHU288" s="1132" t="n"/>
      <c r="AHV288" s="1132" t="n"/>
      <c r="AHW288" s="1132" t="n"/>
      <c r="AHX288" s="1132" t="n"/>
      <c r="AHY288" s="1132" t="n"/>
      <c r="AHZ288" s="1132" t="n"/>
      <c r="AIA288" s="1132" t="n"/>
      <c r="AIB288" s="1132" t="n"/>
      <c r="AIC288" s="1132" t="n"/>
      <c r="AID288" s="1132" t="n"/>
      <c r="AIE288" s="1132" t="n"/>
      <c r="AIF288" s="1132" t="n"/>
      <c r="AIG288" s="1132" t="n"/>
      <c r="AIH288" s="1132" t="n"/>
      <c r="AII288" s="1132" t="n"/>
      <c r="AIJ288" s="1132" t="n"/>
      <c r="AIK288" s="1132" t="n"/>
      <c r="AIL288" s="1132" t="n"/>
      <c r="AIM288" s="1132" t="n"/>
      <c r="AIN288" s="1132" t="n"/>
      <c r="AIO288" s="1132" t="n"/>
      <c r="AIP288" s="1132" t="n"/>
      <c r="AIQ288" s="1132" t="n"/>
      <c r="AIR288" s="1132" t="n"/>
      <c r="AIS288" s="1132" t="n"/>
      <c r="AIT288" s="1132" t="n"/>
      <c r="AIU288" s="1132" t="n"/>
      <c r="AIV288" s="1132" t="n"/>
      <c r="AIW288" s="1132" t="n"/>
      <c r="AIX288" s="1132" t="n"/>
      <c r="AIY288" s="1132" t="n"/>
      <c r="AIZ288" s="1132" t="n"/>
      <c r="AJA288" s="1132" t="n"/>
      <c r="AJB288" s="1132" t="n"/>
      <c r="AJC288" s="1132" t="n"/>
      <c r="AJD288" s="1132" t="n"/>
      <c r="AJE288" s="1132" t="n"/>
      <c r="AJF288" s="1132" t="n"/>
      <c r="AJG288" s="1132" t="n"/>
      <c r="AJH288" s="1132" t="n"/>
      <c r="AJI288" s="1132" t="n"/>
      <c r="AJJ288" s="1132" t="n"/>
      <c r="AJK288" s="1132" t="n"/>
      <c r="AJL288" s="1132" t="n"/>
      <c r="AJM288" s="1132" t="n"/>
      <c r="AJN288" s="1132" t="n"/>
      <c r="AJO288" s="1132" t="n"/>
      <c r="AJP288" s="1132" t="n"/>
      <c r="AJQ288" s="1132" t="n"/>
      <c r="AJR288" s="1132" t="n"/>
      <c r="AJS288" s="1132" t="n"/>
      <c r="AJT288" s="1132" t="n"/>
      <c r="AJU288" s="1132" t="n"/>
      <c r="AJV288" s="1132" t="n"/>
      <c r="AJW288" s="1132" t="n"/>
      <c r="AJX288" s="1132" t="n"/>
      <c r="AJY288" s="1132" t="n"/>
      <c r="AJZ288" s="1132" t="n"/>
      <c r="AKA288" s="1132" t="n"/>
      <c r="AKB288" s="1132" t="n"/>
      <c r="AKC288" s="1132" t="n"/>
      <c r="AKD288" s="1132" t="n"/>
      <c r="AKE288" s="1132" t="n"/>
      <c r="AKF288" s="1132" t="n"/>
      <c r="AKG288" s="1132" t="n"/>
      <c r="AKH288" s="1132" t="n"/>
      <c r="AKI288" s="1132" t="n"/>
      <c r="AKJ288" s="1132" t="n"/>
      <c r="AKK288" s="1132" t="n"/>
      <c r="AKL288" s="1132" t="n"/>
      <c r="AKM288" s="1132" t="n"/>
      <c r="AKN288" s="1132" t="n"/>
      <c r="AKO288" s="1132" t="n"/>
      <c r="AKP288" s="1132" t="n"/>
      <c r="AKQ288" s="1132" t="n"/>
      <c r="AKR288" s="1132" t="n"/>
      <c r="AKS288" s="1132" t="n"/>
      <c r="AKT288" s="1132" t="n"/>
      <c r="AKU288" s="1132" t="n"/>
      <c r="AKV288" s="1132" t="n"/>
      <c r="AKW288" s="1132" t="n"/>
      <c r="AKX288" s="1132" t="n"/>
      <c r="AKY288" s="1132" t="n"/>
      <c r="AKZ288" s="1132" t="n"/>
      <c r="ALA288" s="1132" t="n"/>
      <c r="ALB288" s="1132" t="n"/>
      <c r="ALC288" s="1132" t="n"/>
      <c r="ALD288" s="1132" t="n"/>
      <c r="ALE288" s="1132" t="n"/>
      <c r="ALF288" s="1132" t="n"/>
      <c r="ALG288" s="1132" t="n"/>
      <c r="ALH288" s="1132" t="n"/>
      <c r="ALI288" s="1132" t="n"/>
      <c r="ALJ288" s="1132" t="n"/>
      <c r="ALK288" s="1132" t="n"/>
      <c r="ALL288" s="1132" t="n"/>
      <c r="ALM288" s="1132" t="n"/>
      <c r="ALN288" s="1132" t="n"/>
      <c r="ALO288" s="1132" t="n"/>
      <c r="ALP288" s="1132" t="n"/>
      <c r="ALQ288" s="1132" t="n"/>
      <c r="ALR288" s="1132" t="n"/>
      <c r="ALS288" s="1132" t="n"/>
      <c r="ALT288" s="1132" t="n"/>
      <c r="ALU288" s="1132" t="n"/>
      <c r="ALV288" s="1132" t="n"/>
      <c r="ALW288" s="1132" t="n"/>
      <c r="ALX288" s="1132" t="n"/>
      <c r="ALY288" s="1132" t="n"/>
      <c r="ALZ288" s="1132" t="n"/>
      <c r="AMA288" s="1132" t="n"/>
      <c r="AMB288" s="1132" t="n"/>
      <c r="AMC288" s="1132" t="n"/>
      <c r="AMD288" s="1132" t="n"/>
      <c r="AME288" s="1132" t="n"/>
      <c r="AMF288" s="1132" t="n"/>
      <c r="AMG288" s="1132" t="n"/>
      <c r="AMH288" s="1132" t="n"/>
      <c r="AMI288" s="1132" t="n"/>
      <c r="AMJ288" s="1132" t="n"/>
      <c r="AMK288" s="1132" t="n"/>
      <c r="AML288" s="1132" t="n"/>
      <c r="AMM288" s="1132" t="n"/>
      <c r="AMN288" s="1132" t="n"/>
      <c r="AMO288" s="1132" t="n"/>
      <c r="AMP288" s="1132" t="n"/>
      <c r="AMQ288" s="1132" t="n"/>
      <c r="AMR288" s="1132" t="n"/>
      <c r="AMS288" s="1132" t="n"/>
      <c r="AMT288" s="1132" t="n"/>
      <c r="AMU288" s="1132" t="n"/>
      <c r="AMV288" s="1132" t="n"/>
      <c r="AMW288" s="1132" t="n"/>
      <c r="AMX288" s="1132" t="n"/>
      <c r="AMY288" s="1132" t="n"/>
      <c r="AMZ288" s="1132" t="n"/>
      <c r="ANA288" s="1132" t="n"/>
      <c r="ANB288" s="1132" t="n"/>
      <c r="ANC288" s="1132" t="n"/>
      <c r="AND288" s="1132" t="n"/>
      <c r="ANE288" s="1132" t="n"/>
      <c r="ANF288" s="1132" t="n"/>
      <c r="ANG288" s="1132" t="n"/>
      <c r="ANH288" s="1132" t="n"/>
      <c r="ANI288" s="1132" t="n"/>
      <c r="ANJ288" s="1132" t="n"/>
      <c r="ANK288" s="1132" t="n"/>
      <c r="ANL288" s="1132" t="n"/>
      <c r="ANM288" s="1132" t="n"/>
      <c r="ANN288" s="1132" t="n"/>
      <c r="ANO288" s="1132" t="n"/>
      <c r="ANP288" s="1132" t="n"/>
      <c r="ANQ288" s="1132" t="n"/>
      <c r="ANR288" s="1132" t="n"/>
      <c r="ANS288" s="1132" t="n"/>
      <c r="ANT288" s="1132" t="n"/>
      <c r="ANU288" s="1132" t="n"/>
      <c r="ANV288" s="1132" t="n"/>
      <c r="ANW288" s="1132" t="n"/>
      <c r="ANX288" s="1132" t="n"/>
      <c r="ANY288" s="1132" t="n"/>
      <c r="ANZ288" s="1132" t="n"/>
      <c r="AOA288" s="1132" t="n"/>
      <c r="AOB288" s="1132" t="n"/>
      <c r="AOC288" s="1132" t="n"/>
      <c r="AOD288" s="1132" t="n"/>
      <c r="AOE288" s="1132" t="n"/>
      <c r="AOF288" s="1132" t="n"/>
      <c r="AOG288" s="1132" t="n"/>
      <c r="AOH288" s="1132" t="n"/>
      <c r="AOI288" s="1132" t="n"/>
      <c r="AOJ288" s="1132" t="n"/>
      <c r="AOK288" s="1132" t="n"/>
      <c r="AOL288" s="1132" t="n"/>
      <c r="AOM288" s="1132" t="n"/>
      <c r="AON288" s="1132" t="n"/>
      <c r="AOO288" s="1132" t="n"/>
      <c r="AOP288" s="1132" t="n"/>
      <c r="AOQ288" s="1132" t="n"/>
      <c r="AOR288" s="1132" t="n"/>
      <c r="AOS288" s="1132" t="n"/>
      <c r="AOT288" s="1132" t="n"/>
      <c r="AOU288" s="1132" t="n"/>
      <c r="AOV288" s="1132" t="n"/>
      <c r="AOW288" s="1132" t="n"/>
      <c r="AOX288" s="1132" t="n"/>
      <c r="AOY288" s="1132" t="n"/>
      <c r="AOZ288" s="1132" t="n"/>
      <c r="APA288" s="1132" t="n"/>
      <c r="APB288" s="1132" t="n"/>
      <c r="APC288" s="1132" t="n"/>
      <c r="APD288" s="1132" t="n"/>
      <c r="APE288" s="1132" t="n"/>
      <c r="APF288" s="1132" t="n"/>
      <c r="APG288" s="1132" t="n"/>
      <c r="APH288" s="1132" t="n"/>
      <c r="API288" s="1132" t="n"/>
      <c r="APJ288" s="1132" t="n"/>
      <c r="APK288" s="1132" t="n"/>
      <c r="APL288" s="1132" t="n"/>
      <c r="APM288" s="1132" t="n"/>
      <c r="APN288" s="1132" t="n"/>
      <c r="APO288" s="1132" t="n"/>
      <c r="APP288" s="1132" t="n"/>
      <c r="APQ288" s="1132" t="n"/>
      <c r="APR288" s="1132" t="n"/>
      <c r="APS288" s="1132" t="n"/>
      <c r="APT288" s="1132" t="n"/>
      <c r="APU288" s="1132" t="n"/>
      <c r="APV288" s="1132" t="n"/>
      <c r="APW288" s="1132" t="n"/>
      <c r="APX288" s="1132" t="n"/>
      <c r="APY288" s="1132" t="n"/>
      <c r="APZ288" s="1132" t="n"/>
      <c r="AQA288" s="1132" t="n"/>
      <c r="AQB288" s="1132" t="n"/>
      <c r="AQC288" s="1132" t="n"/>
      <c r="AQD288" s="1132" t="n"/>
      <c r="AQE288" s="1132" t="n"/>
      <c r="AQF288" s="1132" t="n"/>
      <c r="AQG288" s="1132" t="n"/>
      <c r="AQH288" s="1132" t="n"/>
      <c r="AQI288" s="1132" t="n"/>
      <c r="AQJ288" s="1132" t="n"/>
      <c r="AQK288" s="1132" t="n"/>
      <c r="AQL288" s="1132" t="n"/>
      <c r="AQM288" s="1132" t="n"/>
      <c r="AQN288" s="1132" t="n"/>
      <c r="AQO288" s="1132" t="n"/>
      <c r="AQP288" s="1132" t="n"/>
      <c r="AQQ288" s="1132" t="n"/>
      <c r="AQR288" s="1132" t="n"/>
      <c r="AQS288" s="1132" t="n"/>
      <c r="AQT288" s="1132" t="n"/>
      <c r="AQU288" s="1132" t="n"/>
      <c r="AQV288" s="1132" t="n"/>
      <c r="AQW288" s="1132" t="n"/>
      <c r="AQX288" s="1132" t="n"/>
      <c r="AQY288" s="1132" t="n"/>
      <c r="AQZ288" s="1132" t="n"/>
      <c r="ARA288" s="1132" t="n"/>
      <c r="ARB288" s="1132" t="n"/>
      <c r="ARC288" s="1132" t="n"/>
      <c r="ARD288" s="1132" t="n"/>
      <c r="ARE288" s="1132" t="n"/>
      <c r="ARF288" s="1132" t="n"/>
      <c r="ARG288" s="1132" t="n"/>
      <c r="ARH288" s="1132" t="n"/>
      <c r="ARI288" s="1132" t="n"/>
      <c r="ARJ288" s="1132" t="n"/>
      <c r="ARK288" s="1132" t="n"/>
      <c r="ARL288" s="1132" t="n"/>
      <c r="ARM288" s="1132" t="n"/>
      <c r="ARN288" s="1132" t="n"/>
      <c r="ARO288" s="1132" t="n"/>
      <c r="ARP288" s="1132" t="n"/>
      <c r="ARQ288" s="1132" t="n"/>
      <c r="ARR288" s="1132" t="n"/>
      <c r="ARS288" s="1132" t="n"/>
      <c r="ART288" s="1132" t="n"/>
      <c r="ARU288" s="1132" t="n"/>
      <c r="ARV288" s="1132" t="n"/>
      <c r="ARW288" s="1132" t="n"/>
      <c r="ARX288" s="1132" t="n"/>
      <c r="ARY288" s="1132" t="n"/>
      <c r="ARZ288" s="1132" t="n"/>
      <c r="ASA288" s="1132" t="n"/>
      <c r="ASB288" s="1132" t="n"/>
      <c r="ASC288" s="1132" t="n"/>
      <c r="ASD288" s="1132" t="n"/>
      <c r="ASE288" s="1132" t="n"/>
      <c r="ASF288" s="1132" t="n"/>
      <c r="ASG288" s="1132" t="n"/>
      <c r="ASH288" s="1132" t="n"/>
      <c r="ASI288" s="1132" t="n"/>
      <c r="ASJ288" s="1132" t="n"/>
      <c r="ASK288" s="1132" t="n"/>
      <c r="ASL288" s="1132" t="n"/>
      <c r="ASM288" s="1132" t="n"/>
      <c r="ASN288" s="1132" t="n"/>
      <c r="ASO288" s="1132" t="n"/>
      <c r="ASP288" s="1132" t="n"/>
      <c r="ASQ288" s="1132" t="n"/>
      <c r="ASR288" s="1132" t="n"/>
      <c r="ASS288" s="1132" t="n"/>
      <c r="AST288" s="1132" t="n"/>
      <c r="ASU288" s="1132" t="n"/>
      <c r="ASV288" s="1132" t="n"/>
      <c r="ASW288" s="1132" t="n"/>
      <c r="ASX288" s="1132" t="n"/>
      <c r="ASY288" s="1132" t="n"/>
      <c r="ASZ288" s="1132" t="n"/>
      <c r="ATA288" s="1132" t="n"/>
      <c r="ATB288" s="1132" t="n"/>
      <c r="ATC288" s="1132" t="n"/>
      <c r="ATD288" s="1132" t="n"/>
      <c r="ATE288" s="1132" t="n"/>
      <c r="ATF288" s="1132" t="n"/>
      <c r="ATG288" s="1132" t="n"/>
      <c r="ATH288" s="1132" t="n"/>
      <c r="ATI288" s="1132" t="n"/>
      <c r="ATJ288" s="1132" t="n"/>
      <c r="ATK288" s="1132" t="n"/>
      <c r="ATL288" s="1132" t="n"/>
      <c r="ATM288" s="1132" t="n"/>
      <c r="ATN288" s="1132" t="n"/>
      <c r="ATO288" s="1132" t="n"/>
      <c r="ATP288" s="1132" t="n"/>
      <c r="ATQ288" s="1132" t="n"/>
      <c r="ATR288" s="1132" t="n"/>
      <c r="ATS288" s="1132" t="n"/>
      <c r="ATT288" s="1132" t="n"/>
      <c r="ATU288" s="1132" t="n"/>
      <c r="ATV288" s="1132" t="n"/>
      <c r="ATW288" s="1132" t="n"/>
      <c r="ATX288" s="1132" t="n"/>
      <c r="ATY288" s="1132" t="n"/>
      <c r="ATZ288" s="1132" t="n"/>
      <c r="AUA288" s="1132" t="n"/>
      <c r="AUB288" s="1132" t="n"/>
      <c r="AUC288" s="1132" t="n"/>
      <c r="AUD288" s="1132" t="n"/>
      <c r="AUE288" s="1132" t="n"/>
      <c r="AUF288" s="1132" t="n"/>
      <c r="AUG288" s="1132" t="n"/>
      <c r="AUH288" s="1132" t="n"/>
      <c r="AUI288" s="1132" t="n"/>
      <c r="AUJ288" s="1132" t="n"/>
      <c r="AUK288" s="1132" t="n"/>
      <c r="AUL288" s="1132" t="n"/>
      <c r="AUM288" s="1132" t="n"/>
      <c r="AUN288" s="1132" t="n"/>
      <c r="AUO288" s="1132" t="n"/>
      <c r="AUP288" s="1132" t="n"/>
      <c r="AUQ288" s="1132" t="n"/>
      <c r="AUR288" s="1132" t="n"/>
      <c r="AUS288" s="1132" t="n"/>
      <c r="AUT288" s="1132" t="n"/>
      <c r="AUU288" s="1132" t="n"/>
      <c r="AUV288" s="1132" t="n"/>
      <c r="AUW288" s="1132" t="n"/>
      <c r="AUX288" s="1132" t="n"/>
      <c r="AUY288" s="1132" t="n"/>
      <c r="AUZ288" s="1132" t="n"/>
      <c r="AVA288" s="1132" t="n"/>
      <c r="AVB288" s="1132" t="n"/>
      <c r="AVC288" s="1132" t="n"/>
      <c r="AVD288" s="1132" t="n"/>
      <c r="AVE288" s="1132" t="n"/>
      <c r="AVF288" s="1132" t="n"/>
      <c r="AVG288" s="1132" t="n"/>
      <c r="AVH288" s="1132" t="n"/>
      <c r="AVI288" s="1132" t="n"/>
      <c r="AVJ288" s="1132" t="n"/>
      <c r="AVK288" s="1132" t="n"/>
      <c r="AVL288" s="1132" t="n"/>
      <c r="AVM288" s="1132" t="n"/>
      <c r="AVN288" s="1132" t="n"/>
      <c r="AVO288" s="1132" t="n"/>
      <c r="AVP288" s="1132" t="n"/>
      <c r="AVQ288" s="1132" t="n"/>
      <c r="AVR288" s="1132" t="n"/>
      <c r="AVS288" s="1132" t="n"/>
      <c r="AVT288" s="1132" t="n"/>
      <c r="AVU288" s="1132" t="n"/>
      <c r="AVV288" s="1132" t="n"/>
      <c r="AVW288" s="1132" t="n"/>
      <c r="AVX288" s="1132" t="n"/>
      <c r="AVY288" s="1132" t="n"/>
      <c r="AVZ288" s="1132" t="n"/>
      <c r="AWA288" s="1132" t="n"/>
      <c r="AWB288" s="1132" t="n"/>
      <c r="AWC288" s="1132" t="n"/>
      <c r="AWD288" s="1132" t="n"/>
      <c r="AWE288" s="1132" t="n"/>
      <c r="AWF288" s="1132" t="n"/>
      <c r="AWG288" s="1132" t="n"/>
      <c r="AWH288" s="1132" t="n"/>
      <c r="AWI288" s="1132" t="n"/>
      <c r="AWJ288" s="1132" t="n"/>
      <c r="AWK288" s="1132" t="n"/>
      <c r="AWL288" s="1132" t="n"/>
      <c r="AWM288" s="1132" t="n"/>
      <c r="AWN288" s="1132" t="n"/>
      <c r="AWO288" s="1132" t="n"/>
      <c r="AWP288" s="1132" t="n"/>
      <c r="AWQ288" s="1132" t="n"/>
      <c r="AWR288" s="1132" t="n"/>
      <c r="AWS288" s="1132" t="n"/>
      <c r="AWT288" s="1132" t="n"/>
      <c r="AWU288" s="1132" t="n"/>
      <c r="AWV288" s="1132" t="n"/>
      <c r="AWW288" s="1132" t="n"/>
      <c r="AWX288" s="1132" t="n"/>
      <c r="AWY288" s="1132" t="n"/>
      <c r="AWZ288" s="1132" t="n"/>
      <c r="AXA288" s="1132" t="n"/>
      <c r="AXB288" s="1132" t="n"/>
      <c r="AXC288" s="1132" t="n"/>
      <c r="AXD288" s="1132" t="n"/>
      <c r="AXE288" s="1132" t="n"/>
      <c r="AXF288" s="1132" t="n"/>
      <c r="AXG288" s="1132" t="n"/>
      <c r="AXH288" s="1132" t="n"/>
      <c r="AXI288" s="1132" t="n"/>
      <c r="AXJ288" s="1132" t="n"/>
      <c r="AXK288" s="1132" t="n"/>
      <c r="AXL288" s="1132" t="n"/>
      <c r="AXM288" s="1132" t="n"/>
      <c r="AXN288" s="1132" t="n"/>
      <c r="AXO288" s="1132" t="n"/>
      <c r="AXP288" s="1132" t="n"/>
      <c r="AXQ288" s="1132" t="n"/>
      <c r="AXR288" s="1132" t="n"/>
      <c r="AXS288" s="1132" t="n"/>
      <c r="AXT288" s="1132" t="n"/>
      <c r="AXU288" s="1132" t="n"/>
      <c r="AXV288" s="1132" t="n"/>
      <c r="AXW288" s="1132" t="n"/>
      <c r="AXX288" s="1132" t="n"/>
      <c r="AXY288" s="1132" t="n"/>
      <c r="AXZ288" s="1132" t="n"/>
      <c r="AYA288" s="1132" t="n"/>
      <c r="AYB288" s="1132" t="n"/>
      <c r="AYC288" s="1132" t="n"/>
      <c r="AYD288" s="1132" t="n"/>
      <c r="AYE288" s="1132" t="n"/>
      <c r="AYF288" s="1132" t="n"/>
      <c r="AYG288" s="1132" t="n"/>
      <c r="AYH288" s="1132" t="n"/>
      <c r="AYI288" s="1132" t="n"/>
      <c r="AYJ288" s="1132" t="n"/>
      <c r="AYK288" s="1132" t="n"/>
      <c r="AYL288" s="1132" t="n"/>
      <c r="AYM288" s="1132" t="n"/>
      <c r="AYN288" s="1132" t="n"/>
      <c r="AYO288" s="1132" t="n"/>
      <c r="AYP288" s="1132" t="n"/>
      <c r="AYQ288" s="1132" t="n"/>
      <c r="AYR288" s="1132" t="n"/>
      <c r="AYS288" s="1132" t="n"/>
      <c r="AYT288" s="1132" t="n"/>
      <c r="AYU288" s="1132" t="n"/>
      <c r="AYV288" s="1132" t="n"/>
      <c r="AYW288" s="1132" t="n"/>
      <c r="AYX288" s="1132" t="n"/>
      <c r="AYY288" s="1132" t="n"/>
      <c r="AYZ288" s="1132" t="n"/>
      <c r="AZA288" s="1132" t="n"/>
      <c r="AZB288" s="1132" t="n"/>
      <c r="AZC288" s="1132" t="n"/>
      <c r="AZD288" s="1132" t="n"/>
      <c r="AZE288" s="1132" t="n"/>
      <c r="AZF288" s="1132" t="n"/>
      <c r="AZG288" s="1132" t="n"/>
      <c r="AZH288" s="1132" t="n"/>
      <c r="AZI288" s="1132" t="n"/>
      <c r="AZJ288" s="1132" t="n"/>
      <c r="AZK288" s="1132" t="n"/>
      <c r="AZL288" s="1132" t="n"/>
      <c r="AZM288" s="1132" t="n"/>
      <c r="AZN288" s="1132" t="n"/>
      <c r="AZO288" s="1132" t="n"/>
      <c r="AZP288" s="1132" t="n"/>
      <c r="AZQ288" s="1132" t="n"/>
      <c r="AZR288" s="1132" t="n"/>
      <c r="AZS288" s="1132" t="n"/>
      <c r="AZT288" s="1132" t="n"/>
      <c r="AZU288" s="1132" t="n"/>
      <c r="AZV288" s="1132" t="n"/>
      <c r="AZW288" s="1132" t="n"/>
      <c r="AZX288" s="1132" t="n"/>
      <c r="AZY288" s="1132" t="n"/>
      <c r="AZZ288" s="1132" t="n"/>
      <c r="BAA288" s="1132" t="n"/>
      <c r="BAB288" s="1132" t="n"/>
      <c r="BAC288" s="1132" t="n"/>
      <c r="BAD288" s="1132" t="n"/>
      <c r="BAE288" s="1132" t="n"/>
      <c r="BAF288" s="1132" t="n"/>
      <c r="BAG288" s="1132" t="n"/>
      <c r="BAH288" s="1132" t="n"/>
      <c r="BAI288" s="1132" t="n"/>
      <c r="BAJ288" s="1132" t="n"/>
      <c r="BAK288" s="1132" t="n"/>
      <c r="BAL288" s="1132" t="n"/>
      <c r="BAM288" s="1132" t="n"/>
      <c r="BAN288" s="1132" t="n"/>
      <c r="BAO288" s="1132" t="n"/>
      <c r="BAP288" s="1132" t="n"/>
      <c r="BAQ288" s="1132" t="n"/>
      <c r="BAR288" s="1132" t="n"/>
      <c r="BAS288" s="1132" t="n"/>
      <c r="BAT288" s="1132" t="n"/>
      <c r="BAU288" s="1132" t="n"/>
      <c r="BAV288" s="1132" t="n"/>
      <c r="BAW288" s="1132" t="n"/>
      <c r="BAX288" s="1132" t="n"/>
      <c r="BAY288" s="1132" t="n"/>
      <c r="BAZ288" s="1132" t="n"/>
      <c r="BBA288" s="1132" t="n"/>
      <c r="BBB288" s="1132" t="n"/>
      <c r="BBC288" s="1132" t="n"/>
      <c r="BBD288" s="1132" t="n"/>
      <c r="BBE288" s="1132" t="n"/>
      <c r="BBF288" s="1132" t="n"/>
      <c r="BBG288" s="1132" t="n"/>
      <c r="BBH288" s="1132" t="n"/>
      <c r="BBI288" s="1132" t="n"/>
      <c r="BBJ288" s="1132" t="n"/>
      <c r="BBK288" s="1132" t="n"/>
      <c r="BBL288" s="1132" t="n"/>
      <c r="BBM288" s="1132" t="n"/>
      <c r="BBN288" s="1132" t="n"/>
      <c r="BBO288" s="1132" t="n"/>
      <c r="BBP288" s="1132" t="n"/>
      <c r="BBQ288" s="1132" t="n"/>
      <c r="BBR288" s="1132" t="n"/>
      <c r="BBS288" s="1132" t="n"/>
      <c r="BBT288" s="1132" t="n"/>
      <c r="BBU288" s="1132" t="n"/>
      <c r="BBV288" s="1132" t="n"/>
      <c r="BBW288" s="1132" t="n"/>
      <c r="BBX288" s="1132" t="n"/>
      <c r="BBY288" s="1132" t="n"/>
      <c r="BBZ288" s="1132" t="n"/>
      <c r="BCA288" s="1132" t="n"/>
      <c r="BCB288" s="1132" t="n"/>
      <c r="BCC288" s="1132" t="n"/>
      <c r="BCD288" s="1132" t="n"/>
      <c r="BCE288" s="1132" t="n"/>
      <c r="BCF288" s="1132" t="n"/>
      <c r="BCG288" s="1132" t="n"/>
      <c r="BCH288" s="1132" t="n"/>
      <c r="BCI288" s="1132" t="n"/>
      <c r="BCJ288" s="1132" t="n"/>
      <c r="BCK288" s="1132" t="n"/>
      <c r="BCL288" s="1132" t="n"/>
      <c r="BCM288" s="1132" t="n"/>
      <c r="BCN288" s="1132" t="n"/>
      <c r="BCO288" s="1132" t="n"/>
      <c r="BCP288" s="1132" t="n"/>
      <c r="BCQ288" s="1132" t="n"/>
      <c r="BCR288" s="1132" t="n"/>
      <c r="BCS288" s="1132" t="n"/>
      <c r="BCT288" s="1132" t="n"/>
      <c r="BCU288" s="1132" t="n"/>
      <c r="BCV288" s="1132" t="n"/>
      <c r="BCW288" s="1132" t="n"/>
      <c r="BCX288" s="1132" t="n"/>
      <c r="BCY288" s="1132" t="n"/>
      <c r="BCZ288" s="1132" t="n"/>
      <c r="BDA288" s="1132" t="n"/>
      <c r="BDB288" s="1132" t="n"/>
      <c r="BDC288" s="1132" t="n"/>
      <c r="BDD288" s="1132" t="n"/>
      <c r="BDE288" s="1132" t="n"/>
      <c r="BDF288" s="1132" t="n"/>
      <c r="BDG288" s="1132" t="n"/>
      <c r="BDH288" s="1132" t="n"/>
      <c r="BDI288" s="1132" t="n"/>
      <c r="BDJ288" s="1132" t="n"/>
      <c r="BDK288" s="1132" t="n"/>
      <c r="BDL288" s="1132" t="n"/>
      <c r="BDM288" s="1132" t="n"/>
      <c r="BDN288" s="1132" t="n"/>
      <c r="BDO288" s="1132" t="n"/>
      <c r="BDP288" s="1132" t="n"/>
      <c r="BDQ288" s="1132" t="n"/>
      <c r="BDR288" s="1132" t="n"/>
      <c r="BDS288" s="1132" t="n"/>
      <c r="BDT288" s="1132" t="n"/>
      <c r="BDU288" s="1132" t="n"/>
      <c r="BDV288" s="1132" t="n"/>
      <c r="BDW288" s="1132" t="n"/>
      <c r="BDX288" s="1132" t="n"/>
      <c r="BDY288" s="1132" t="n"/>
      <c r="BDZ288" s="1132" t="n"/>
      <c r="BEA288" s="1132" t="n"/>
      <c r="BEB288" s="1132" t="n"/>
      <c r="BEC288" s="1132" t="n"/>
      <c r="BED288" s="1132" t="n"/>
      <c r="BEE288" s="1132" t="n"/>
      <c r="BEF288" s="1132" t="n"/>
      <c r="BEG288" s="1132" t="n"/>
      <c r="BEH288" s="1132" t="n"/>
      <c r="BEI288" s="1132" t="n"/>
      <c r="BEJ288" s="1132" t="n"/>
      <c r="BEK288" s="1132" t="n"/>
      <c r="BEL288" s="1132" t="n"/>
      <c r="BEM288" s="1132" t="n"/>
      <c r="BEN288" s="1132" t="n"/>
      <c r="BEO288" s="1132" t="n"/>
      <c r="BEP288" s="1132" t="n"/>
      <c r="BEQ288" s="1132" t="n"/>
      <c r="BER288" s="1132" t="n"/>
      <c r="BES288" s="1132" t="n"/>
      <c r="BET288" s="1132" t="n"/>
      <c r="BEU288" s="1132" t="n"/>
      <c r="BEV288" s="1132" t="n"/>
      <c r="BEW288" s="1132" t="n"/>
      <c r="BEX288" s="1132" t="n"/>
      <c r="BEY288" s="1132" t="n"/>
      <c r="BEZ288" s="1132" t="n"/>
      <c r="BFA288" s="1132" t="n"/>
      <c r="BFB288" s="1132" t="n"/>
      <c r="BFC288" s="1132" t="n"/>
      <c r="BFD288" s="1132" t="n"/>
      <c r="BFE288" s="1132" t="n"/>
      <c r="BFF288" s="1132" t="n"/>
      <c r="BFG288" s="1132" t="n"/>
      <c r="BFH288" s="1132" t="n"/>
      <c r="BFI288" s="1132" t="n"/>
      <c r="BFJ288" s="1132" t="n"/>
      <c r="BFK288" s="1132" t="n"/>
      <c r="BFL288" s="1132" t="n"/>
      <c r="BFM288" s="1132" t="n"/>
      <c r="BFN288" s="1132" t="n"/>
      <c r="BFO288" s="1132" t="n"/>
      <c r="BFP288" s="1132" t="n"/>
      <c r="BFQ288" s="1132" t="n"/>
      <c r="BFR288" s="1132" t="n"/>
      <c r="BFS288" s="1132" t="n"/>
      <c r="BFT288" s="1132" t="n"/>
      <c r="BFU288" s="1132" t="n"/>
      <c r="BFV288" s="1132" t="n"/>
      <c r="BFW288" s="1132" t="n"/>
      <c r="BFX288" s="1132" t="n"/>
      <c r="BFY288" s="1132" t="n"/>
      <c r="BFZ288" s="1132" t="n"/>
      <c r="BGA288" s="1132" t="n"/>
      <c r="BGB288" s="1132" t="n"/>
      <c r="BGC288" s="1132" t="n"/>
      <c r="BGD288" s="1132" t="n"/>
      <c r="BGE288" s="1132" t="n"/>
      <c r="BGF288" s="1132" t="n"/>
      <c r="BGG288" s="1132" t="n"/>
      <c r="BGH288" s="1132" t="n"/>
      <c r="BGI288" s="1132" t="n"/>
      <c r="BGJ288" s="1132" t="n"/>
      <c r="BGK288" s="1132" t="n"/>
      <c r="BGL288" s="1132" t="n"/>
      <c r="BGM288" s="1132" t="n"/>
      <c r="BGN288" s="1132" t="n"/>
      <c r="BGO288" s="1132" t="n"/>
      <c r="BGP288" s="1132" t="n"/>
      <c r="BGQ288" s="1132" t="n"/>
      <c r="BGR288" s="1132" t="n"/>
      <c r="BGS288" s="1132" t="n"/>
      <c r="BGT288" s="1132" t="n"/>
      <c r="BGU288" s="1132" t="n"/>
      <c r="BGV288" s="1132" t="n"/>
      <c r="BGW288" s="1132" t="n"/>
      <c r="BGX288" s="1132" t="n"/>
      <c r="BGY288" s="1132" t="n"/>
      <c r="BGZ288" s="1132" t="n"/>
      <c r="BHA288" s="1132" t="n"/>
      <c r="BHB288" s="1132" t="n"/>
      <c r="BHC288" s="1132" t="n"/>
      <c r="BHD288" s="1132" t="n"/>
      <c r="BHE288" s="1132" t="n"/>
      <c r="BHF288" s="1132" t="n"/>
      <c r="BHG288" s="1132" t="n"/>
      <c r="BHH288" s="1132" t="n"/>
      <c r="BHI288" s="1132" t="n"/>
      <c r="BHJ288" s="1132" t="n"/>
      <c r="BHK288" s="1132" t="n"/>
      <c r="BHL288" s="1132" t="n"/>
      <c r="BHM288" s="1132" t="n"/>
      <c r="BHN288" s="1132" t="n"/>
      <c r="BHO288" s="1132" t="n"/>
      <c r="BHP288" s="1132" t="n"/>
      <c r="BHQ288" s="1132" t="n"/>
      <c r="BHR288" s="1132" t="n"/>
      <c r="BHS288" s="1132" t="n"/>
      <c r="BHT288" s="1132" t="n"/>
      <c r="BHU288" s="1132" t="n"/>
      <c r="BHV288" s="1132" t="n"/>
      <c r="BHW288" s="1132" t="n"/>
      <c r="BHX288" s="1132" t="n"/>
      <c r="BHY288" s="1132" t="n"/>
      <c r="BHZ288" s="1132" t="n"/>
      <c r="BIA288" s="1132" t="n"/>
      <c r="BIB288" s="1132" t="n"/>
      <c r="BIC288" s="1132" t="n"/>
      <c r="BID288" s="1132" t="n"/>
      <c r="BIE288" s="1132" t="n"/>
      <c r="BIF288" s="1132" t="n"/>
      <c r="BIG288" s="1132" t="n"/>
      <c r="BIH288" s="1132" t="n"/>
      <c r="BII288" s="1132" t="n"/>
      <c r="BIJ288" s="1132" t="n"/>
      <c r="BIK288" s="1132" t="n"/>
      <c r="BIL288" s="1132" t="n"/>
      <c r="BIM288" s="1132" t="n"/>
      <c r="BIN288" s="1132" t="n"/>
      <c r="BIO288" s="1132" t="n"/>
      <c r="BIP288" s="1132" t="n"/>
      <c r="BIQ288" s="1132" t="n"/>
      <c r="BIR288" s="1132" t="n"/>
      <c r="BIS288" s="1132" t="n"/>
      <c r="BIT288" s="1132" t="n"/>
      <c r="BIU288" s="1132" t="n"/>
      <c r="BIV288" s="1132" t="n"/>
      <c r="BIW288" s="1132" t="n"/>
      <c r="BIX288" s="1132" t="n"/>
      <c r="BIY288" s="1132" t="n"/>
      <c r="BIZ288" s="1132" t="n"/>
      <c r="BJA288" s="1132" t="n"/>
      <c r="BJB288" s="1132" t="n"/>
      <c r="BJC288" s="1132" t="n"/>
      <c r="BJD288" s="1132" t="n"/>
      <c r="BJE288" s="1132" t="n"/>
      <c r="BJF288" s="1132" t="n"/>
      <c r="BJG288" s="1132" t="n"/>
      <c r="BJH288" s="1132" t="n"/>
      <c r="BJI288" s="1132" t="n"/>
      <c r="BJJ288" s="1132" t="n"/>
      <c r="BJK288" s="1132" t="n"/>
      <c r="BJL288" s="1132" t="n"/>
      <c r="BJM288" s="1132" t="n"/>
      <c r="BJN288" s="1132" t="n"/>
      <c r="BJO288" s="1132" t="n"/>
      <c r="BJP288" s="1132" t="n"/>
      <c r="BJQ288" s="1132" t="n"/>
      <c r="BJR288" s="1132" t="n"/>
      <c r="BJS288" s="1132" t="n"/>
      <c r="BJT288" s="1132" t="n"/>
      <c r="BJU288" s="1132" t="n"/>
      <c r="BJV288" s="1132" t="n"/>
      <c r="BJW288" s="1132" t="n"/>
      <c r="BJX288" s="1132" t="n"/>
      <c r="BJY288" s="1132" t="n"/>
      <c r="BJZ288" s="1132" t="n"/>
      <c r="BKA288" s="1132" t="n"/>
      <c r="BKB288" s="1132" t="n"/>
      <c r="BKC288" s="1132" t="n"/>
      <c r="BKD288" s="1132" t="n"/>
      <c r="BKE288" s="1132" t="n"/>
      <c r="BKF288" s="1132" t="n"/>
      <c r="BKG288" s="1132" t="n"/>
      <c r="BKH288" s="1132" t="n"/>
      <c r="BKI288" s="1132" t="n"/>
      <c r="BKJ288" s="1132" t="n"/>
      <c r="BKK288" s="1132" t="n"/>
      <c r="BKL288" s="1132" t="n"/>
      <c r="BKM288" s="1132" t="n"/>
      <c r="BKN288" s="1132" t="n"/>
      <c r="BKO288" s="1132" t="n"/>
      <c r="BKP288" s="1132" t="n"/>
      <c r="BKQ288" s="1132" t="n"/>
      <c r="BKR288" s="1132" t="n"/>
      <c r="BKS288" s="1132" t="n"/>
      <c r="BKT288" s="1132" t="n"/>
      <c r="BKU288" s="1132" t="n"/>
      <c r="BKV288" s="1132" t="n"/>
      <c r="BKW288" s="1132" t="n"/>
      <c r="BKX288" s="1132" t="n"/>
      <c r="BKY288" s="1132" t="n"/>
      <c r="BKZ288" s="1132" t="n"/>
      <c r="BLA288" s="1132" t="n"/>
      <c r="BLB288" s="1132" t="n"/>
      <c r="BLC288" s="1132" t="n"/>
      <c r="BLD288" s="1132" t="n"/>
      <c r="BLE288" s="1132" t="n"/>
      <c r="BLF288" s="1132" t="n"/>
      <c r="BLG288" s="1132" t="n"/>
      <c r="BLH288" s="1132" t="n"/>
      <c r="BLI288" s="1132" t="n"/>
      <c r="BLJ288" s="1132" t="n"/>
      <c r="BLK288" s="1132" t="n"/>
      <c r="BLL288" s="1132" t="n"/>
      <c r="BLM288" s="1132" t="n"/>
      <c r="BLN288" s="1132" t="n"/>
      <c r="BLO288" s="1132" t="n"/>
      <c r="BLP288" s="1132" t="n"/>
      <c r="BLQ288" s="1132" t="n"/>
      <c r="BLR288" s="1132" t="n"/>
      <c r="BLS288" s="1132" t="n"/>
      <c r="BLT288" s="1132" t="n"/>
      <c r="BLU288" s="1132" t="n"/>
      <c r="BLV288" s="1132" t="n"/>
      <c r="BLW288" s="1132" t="n"/>
      <c r="BLX288" s="1132" t="n"/>
      <c r="BLY288" s="1132" t="n"/>
      <c r="BLZ288" s="1132" t="n"/>
      <c r="BMA288" s="1132" t="n"/>
      <c r="BMB288" s="1132" t="n"/>
      <c r="BMC288" s="1132" t="n"/>
      <c r="BMD288" s="1132" t="n"/>
      <c r="BME288" s="1132" t="n"/>
      <c r="BMF288" s="1132" t="n"/>
      <c r="BMG288" s="1132" t="n"/>
      <c r="BMH288" s="1132" t="n"/>
      <c r="BMI288" s="1132" t="n"/>
      <c r="BMJ288" s="1132" t="n"/>
      <c r="BMK288" s="1132" t="n"/>
      <c r="BML288" s="1132" t="n"/>
      <c r="BMM288" s="1132" t="n"/>
      <c r="BMN288" s="1132" t="n"/>
      <c r="BMO288" s="1132" t="n"/>
      <c r="BMP288" s="1132" t="n"/>
      <c r="BMQ288" s="1132" t="n"/>
      <c r="BMR288" s="1132" t="n"/>
      <c r="BMS288" s="1132" t="n"/>
      <c r="BMT288" s="1132" t="n"/>
      <c r="BMU288" s="1132" t="n"/>
      <c r="BMV288" s="1132" t="n"/>
      <c r="BMW288" s="1132" t="n"/>
      <c r="BMX288" s="1132" t="n"/>
      <c r="BMY288" s="1132" t="n"/>
      <c r="BMZ288" s="1132" t="n"/>
      <c r="BNA288" s="1132" t="n"/>
      <c r="BNB288" s="1132" t="n"/>
      <c r="BNC288" s="1132" t="n"/>
      <c r="BND288" s="1132" t="n"/>
      <c r="BNE288" s="1132" t="n"/>
      <c r="BNF288" s="1132" t="n"/>
      <c r="BNG288" s="1132" t="n"/>
      <c r="BNH288" s="1132" t="n"/>
      <c r="BNI288" s="1132" t="n"/>
      <c r="BNJ288" s="1132" t="n"/>
      <c r="BNK288" s="1132" t="n"/>
      <c r="BNL288" s="1132" t="n"/>
      <c r="BNM288" s="1132" t="n"/>
      <c r="BNN288" s="1132" t="n"/>
      <c r="BNO288" s="1132" t="n"/>
      <c r="BNP288" s="1132" t="n"/>
      <c r="BNQ288" s="1132" t="n"/>
      <c r="BNR288" s="1132" t="n"/>
      <c r="BNS288" s="1132" t="n"/>
      <c r="BNT288" s="1132" t="n"/>
      <c r="BNU288" s="1132" t="n"/>
      <c r="BNV288" s="1132" t="n"/>
      <c r="BNW288" s="1132" t="n"/>
      <c r="BNX288" s="1132" t="n"/>
      <c r="BNY288" s="1132" t="n"/>
      <c r="BNZ288" s="1132" t="n"/>
      <c r="BOA288" s="1132" t="n"/>
      <c r="BOB288" s="1132" t="n"/>
      <c r="BOC288" s="1132" t="n"/>
      <c r="BOD288" s="1132" t="n"/>
      <c r="BOE288" s="1132" t="n"/>
      <c r="BOF288" s="1132" t="n"/>
      <c r="BOG288" s="1132" t="n"/>
      <c r="BOH288" s="1132" t="n"/>
      <c r="BOI288" s="1132" t="n"/>
      <c r="BOJ288" s="1132" t="n"/>
      <c r="BOK288" s="1132" t="n"/>
      <c r="BOL288" s="1132" t="n"/>
      <c r="BOM288" s="1132" t="n"/>
      <c r="BON288" s="1132" t="n"/>
      <c r="BOO288" s="1132" t="n"/>
      <c r="BOP288" s="1132" t="n"/>
      <c r="BOQ288" s="1132" t="n"/>
      <c r="BOR288" s="1132" t="n"/>
      <c r="BOS288" s="1132" t="n"/>
      <c r="BOT288" s="1132" t="n"/>
      <c r="BOU288" s="1132" t="n"/>
      <c r="BOV288" s="1132" t="n"/>
      <c r="BOW288" s="1132" t="n"/>
      <c r="BOX288" s="1132" t="n"/>
      <c r="BOY288" s="1132" t="n"/>
      <c r="BOZ288" s="1132" t="n"/>
      <c r="BPA288" s="1132" t="n"/>
      <c r="BPB288" s="1132" t="n"/>
      <c r="BPC288" s="1132" t="n"/>
      <c r="BPD288" s="1132" t="n"/>
      <c r="BPE288" s="1132" t="n"/>
      <c r="BPF288" s="1132" t="n"/>
      <c r="BPG288" s="1132" t="n"/>
      <c r="BPH288" s="1132" t="n"/>
      <c r="BPI288" s="1132" t="n"/>
      <c r="BPJ288" s="1132" t="n"/>
      <c r="BPK288" s="1132" t="n"/>
      <c r="BPL288" s="1132" t="n"/>
      <c r="BPM288" s="1132" t="n"/>
      <c r="BPN288" s="1132" t="n"/>
      <c r="BPO288" s="1132" t="n"/>
      <c r="BPP288" s="1132" t="n"/>
      <c r="BPQ288" s="1132" t="n"/>
      <c r="BPR288" s="1132" t="n"/>
      <c r="BPS288" s="1132" t="n"/>
      <c r="BPT288" s="1132" t="n"/>
      <c r="BPU288" s="1132" t="n"/>
      <c r="BPV288" s="1132" t="n"/>
      <c r="BPW288" s="1132" t="n"/>
      <c r="BPX288" s="1132" t="n"/>
      <c r="BPY288" s="1132" t="n"/>
      <c r="BPZ288" s="1132" t="n"/>
      <c r="BQA288" s="1132" t="n"/>
      <c r="BQB288" s="1132" t="n"/>
      <c r="BQC288" s="1132" t="n"/>
      <c r="BQD288" s="1132" t="n"/>
      <c r="BQE288" s="1132" t="n"/>
      <c r="BQF288" s="1132" t="n"/>
      <c r="BQG288" s="1132" t="n"/>
      <c r="BQH288" s="1132" t="n"/>
      <c r="BQI288" s="1132" t="n"/>
      <c r="BQJ288" s="1132" t="n"/>
      <c r="BQK288" s="1132" t="n"/>
      <c r="BQL288" s="1132" t="n"/>
      <c r="BQM288" s="1132" t="n"/>
      <c r="BQN288" s="1132" t="n"/>
      <c r="BQO288" s="1132" t="n"/>
      <c r="BQP288" s="1132" t="n"/>
      <c r="BQQ288" s="1132" t="n"/>
      <c r="BQR288" s="1132" t="n"/>
      <c r="BQS288" s="1132" t="n"/>
      <c r="BQT288" s="1132" t="n"/>
      <c r="BQU288" s="1132" t="n"/>
      <c r="BQV288" s="1132" t="n"/>
      <c r="BQW288" s="1132" t="n"/>
      <c r="BQX288" s="1132" t="n"/>
      <c r="BQY288" s="1132" t="n"/>
      <c r="BQZ288" s="1132" t="n"/>
      <c r="BRA288" s="1132" t="n"/>
      <c r="BRB288" s="1132" t="n"/>
      <c r="BRC288" s="1132" t="n"/>
      <c r="BRD288" s="1132" t="n"/>
      <c r="BRE288" s="1132" t="n"/>
      <c r="BRF288" s="1132" t="n"/>
      <c r="BRG288" s="1132" t="n"/>
      <c r="BRH288" s="1132" t="n"/>
      <c r="BRI288" s="1132" t="n"/>
      <c r="BRJ288" s="1132" t="n"/>
      <c r="BRK288" s="1132" t="n"/>
      <c r="BRL288" s="1132" t="n"/>
      <c r="BRM288" s="1132" t="n"/>
      <c r="BRN288" s="1132" t="n"/>
      <c r="BRO288" s="1132" t="n"/>
      <c r="BRP288" s="1132" t="n"/>
      <c r="BRQ288" s="1132" t="n"/>
      <c r="BRR288" s="1132" t="n"/>
      <c r="BRS288" s="1132" t="n"/>
      <c r="BRT288" s="1132" t="n"/>
      <c r="BRU288" s="1132" t="n"/>
      <c r="BRV288" s="1132" t="n"/>
      <c r="BRW288" s="1132" t="n"/>
      <c r="BRX288" s="1132" t="n"/>
      <c r="BRY288" s="1132" t="n"/>
      <c r="BRZ288" s="1132" t="n"/>
      <c r="BSA288" s="1132" t="n"/>
      <c r="BSB288" s="1132" t="n"/>
      <c r="BSC288" s="1132" t="n"/>
      <c r="BSD288" s="1132" t="n"/>
      <c r="BSE288" s="1132" t="n"/>
      <c r="BSF288" s="1132" t="n"/>
      <c r="BSG288" s="1132" t="n"/>
      <c r="BSH288" s="1132" t="n"/>
      <c r="BSI288" s="1132" t="n"/>
      <c r="BSJ288" s="1132" t="n"/>
      <c r="BSK288" s="1132" t="n"/>
      <c r="BSL288" s="1132" t="n"/>
      <c r="BSM288" s="1132" t="n"/>
      <c r="BSN288" s="1132" t="n"/>
      <c r="BSO288" s="1132" t="n"/>
      <c r="BSP288" s="1132" t="n"/>
      <c r="BSQ288" s="1132" t="n"/>
      <c r="BSR288" s="1132" t="n"/>
      <c r="BSS288" s="1132" t="n"/>
      <c r="BST288" s="1132" t="n"/>
      <c r="BSU288" s="1132" t="n"/>
      <c r="BSV288" s="1132" t="n"/>
      <c r="BSW288" s="1132" t="n"/>
      <c r="BSX288" s="1132" t="n"/>
      <c r="BSY288" s="1132" t="n"/>
      <c r="BSZ288" s="1132" t="n"/>
      <c r="BTA288" s="1132" t="n"/>
      <c r="BTB288" s="1132" t="n"/>
      <c r="BTC288" s="1132" t="n"/>
      <c r="BTD288" s="1132" t="n"/>
      <c r="BTE288" s="1132" t="n"/>
      <c r="BTF288" s="1132" t="n"/>
      <c r="BTG288" s="1132" t="n"/>
      <c r="BTH288" s="1132" t="n"/>
      <c r="BTI288" s="1132" t="n"/>
      <c r="BTJ288" s="1132" t="n"/>
      <c r="BTK288" s="1132" t="n"/>
      <c r="BTL288" s="1132" t="n"/>
      <c r="BTM288" s="1132" t="n"/>
      <c r="BTN288" s="1132" t="n"/>
      <c r="BTO288" s="1132" t="n"/>
      <c r="BTP288" s="1132" t="n"/>
      <c r="BTQ288" s="1132" t="n"/>
      <c r="BTR288" s="1132" t="n"/>
      <c r="BTS288" s="1132" t="n"/>
      <c r="BTT288" s="1132" t="n"/>
      <c r="BTU288" s="1132" t="n"/>
      <c r="BTV288" s="1132" t="n"/>
      <c r="BTW288" s="1132" t="n"/>
      <c r="BTX288" s="1132" t="n"/>
      <c r="BTY288" s="1132" t="n"/>
      <c r="BTZ288" s="1132" t="n"/>
      <c r="BUA288" s="1132" t="n"/>
      <c r="BUB288" s="1132" t="n"/>
      <c r="BUC288" s="1132" t="n"/>
      <c r="BUD288" s="1132" t="n"/>
      <c r="BUE288" s="1132" t="n"/>
      <c r="BUF288" s="1132" t="n"/>
      <c r="BUG288" s="1132" t="n"/>
      <c r="BUH288" s="1132" t="n"/>
      <c r="BUI288" s="1132" t="n"/>
      <c r="BUJ288" s="1132" t="n"/>
      <c r="BUK288" s="1132" t="n"/>
      <c r="BUL288" s="1132" t="n"/>
      <c r="BUM288" s="1132" t="n"/>
      <c r="BUN288" s="1132" t="n"/>
      <c r="BUO288" s="1132" t="n"/>
      <c r="BUP288" s="1132" t="n"/>
      <c r="BUQ288" s="1132" t="n"/>
      <c r="BUR288" s="1132" t="n"/>
      <c r="BUS288" s="1132" t="n"/>
      <c r="BUT288" s="1132" t="n"/>
      <c r="BUU288" s="1132" t="n"/>
      <c r="BUV288" s="1132" t="n"/>
      <c r="BUW288" s="1132" t="n"/>
      <c r="BUX288" s="1132" t="n"/>
      <c r="BUY288" s="1132" t="n"/>
      <c r="BUZ288" s="1132" t="n"/>
      <c r="BVA288" s="1132" t="n"/>
      <c r="BVB288" s="1132" t="n"/>
      <c r="BVC288" s="1132" t="n"/>
      <c r="BVD288" s="1132" t="n"/>
      <c r="BVE288" s="1132" t="n"/>
      <c r="BVF288" s="1132" t="n"/>
      <c r="BVG288" s="1132" t="n"/>
      <c r="BVH288" s="1132" t="n"/>
      <c r="BVI288" s="1132" t="n"/>
      <c r="BVJ288" s="1132" t="n"/>
      <c r="BVK288" s="1132" t="n"/>
      <c r="BVL288" s="1132" t="n"/>
      <c r="BVM288" s="1132" t="n"/>
      <c r="BVN288" s="1132" t="n"/>
      <c r="BVO288" s="1132" t="n"/>
      <c r="BVP288" s="1132" t="n"/>
      <c r="BVQ288" s="1132" t="n"/>
      <c r="BVR288" s="1132" t="n"/>
      <c r="BVS288" s="1132" t="n"/>
      <c r="BVT288" s="1132" t="n"/>
      <c r="BVU288" s="1132" t="n"/>
      <c r="BVV288" s="1132" t="n"/>
      <c r="BVW288" s="1132" t="n"/>
      <c r="BVX288" s="1132" t="n"/>
      <c r="BVY288" s="1132" t="n"/>
      <c r="BVZ288" s="1132" t="n"/>
      <c r="BWA288" s="1132" t="n"/>
      <c r="BWB288" s="1132" t="n"/>
      <c r="BWC288" s="1132" t="n"/>
      <c r="BWD288" s="1132" t="n"/>
      <c r="BWE288" s="1132" t="n"/>
      <c r="BWF288" s="1132" t="n"/>
      <c r="BWG288" s="1132" t="n"/>
      <c r="BWH288" s="1132" t="n"/>
      <c r="BWI288" s="1132" t="n"/>
      <c r="BWJ288" s="1132" t="n"/>
      <c r="BWK288" s="1132" t="n"/>
      <c r="BWL288" s="1132" t="n"/>
      <c r="BWM288" s="1132" t="n"/>
      <c r="BWN288" s="1132" t="n"/>
      <c r="BWO288" s="1132" t="n"/>
      <c r="BWP288" s="1132" t="n"/>
      <c r="BWQ288" s="1132" t="n"/>
      <c r="BWR288" s="1132" t="n"/>
      <c r="BWS288" s="1132" t="n"/>
      <c r="BWT288" s="1132" t="n"/>
      <c r="BWU288" s="1132" t="n"/>
      <c r="BWV288" s="1132" t="n"/>
      <c r="BWW288" s="1132" t="n"/>
      <c r="BWX288" s="1132" t="n"/>
      <c r="BWY288" s="1132" t="n"/>
      <c r="BWZ288" s="1132" t="n"/>
      <c r="BXA288" s="1132" t="n"/>
      <c r="BXB288" s="1132" t="n"/>
      <c r="BXC288" s="1132" t="n"/>
      <c r="BXD288" s="1132" t="n"/>
      <c r="BXE288" s="1132" t="n"/>
      <c r="BXF288" s="1132" t="n"/>
      <c r="BXG288" s="1132" t="n"/>
      <c r="BXH288" s="1132" t="n"/>
      <c r="BXI288" s="1132" t="n"/>
      <c r="BXJ288" s="1132" t="n"/>
      <c r="BXK288" s="1132" t="n"/>
      <c r="BXL288" s="1132" t="n"/>
      <c r="BXM288" s="1132" t="n"/>
      <c r="BXN288" s="1132" t="n"/>
      <c r="BXO288" s="1132" t="n"/>
      <c r="BXP288" s="1132" t="n"/>
      <c r="BXQ288" s="1132" t="n"/>
      <c r="BXR288" s="1132" t="n"/>
      <c r="BXS288" s="1132" t="n"/>
      <c r="BXT288" s="1132" t="n"/>
      <c r="BXU288" s="1132" t="n"/>
      <c r="BXV288" s="1132" t="n"/>
      <c r="BXW288" s="1132" t="n"/>
      <c r="BXX288" s="1132" t="n"/>
      <c r="BXY288" s="1132" t="n"/>
      <c r="BXZ288" s="1132" t="n"/>
      <c r="BYA288" s="1132" t="n"/>
      <c r="BYB288" s="1132" t="n"/>
      <c r="BYC288" s="1132" t="n"/>
      <c r="BYD288" s="1132" t="n"/>
      <c r="BYE288" s="1132" t="n"/>
      <c r="BYF288" s="1132" t="n"/>
      <c r="BYG288" s="1132" t="n"/>
      <c r="BYH288" s="1132" t="n"/>
      <c r="BYI288" s="1132" t="n"/>
      <c r="BYJ288" s="1132" t="n"/>
      <c r="BYK288" s="1132" t="n"/>
      <c r="BYL288" s="1132" t="n"/>
      <c r="BYM288" s="1132" t="n"/>
      <c r="BYN288" s="1132" t="n"/>
      <c r="BYO288" s="1132" t="n"/>
      <c r="BYP288" s="1132" t="n"/>
      <c r="BYQ288" s="1132" t="n"/>
      <c r="BYR288" s="1132" t="n"/>
      <c r="BYS288" s="1132" t="n"/>
      <c r="BYT288" s="1132" t="n"/>
      <c r="BYU288" s="1132" t="n"/>
      <c r="BYV288" s="1132" t="n"/>
      <c r="BYW288" s="1132" t="n"/>
      <c r="BYX288" s="1132" t="n"/>
      <c r="BYY288" s="1132" t="n"/>
      <c r="BYZ288" s="1132" t="n"/>
      <c r="BZA288" s="1132" t="n"/>
      <c r="BZB288" s="1132" t="n"/>
      <c r="BZC288" s="1132" t="n"/>
      <c r="BZD288" s="1132" t="n"/>
      <c r="BZE288" s="1132" t="n"/>
      <c r="BZF288" s="1132" t="n"/>
      <c r="BZG288" s="1132" t="n"/>
      <c r="BZH288" s="1132" t="n"/>
      <c r="BZI288" s="1132" t="n"/>
      <c r="BZJ288" s="1132" t="n"/>
      <c r="BZK288" s="1132" t="n"/>
      <c r="BZL288" s="1132" t="n"/>
      <c r="BZM288" s="1132" t="n"/>
      <c r="BZN288" s="1132" t="n"/>
      <c r="BZO288" s="1132" t="n"/>
      <c r="BZP288" s="1132" t="n"/>
      <c r="BZQ288" s="1132" t="n"/>
      <c r="BZR288" s="1132" t="n"/>
      <c r="BZS288" s="1132" t="n"/>
      <c r="BZT288" s="1132" t="n"/>
      <c r="BZU288" s="1132" t="n"/>
      <c r="BZV288" s="1132" t="n"/>
      <c r="BZW288" s="1132" t="n"/>
      <c r="BZX288" s="1132" t="n"/>
      <c r="BZY288" s="1132" t="n"/>
      <c r="BZZ288" s="1132" t="n"/>
      <c r="CAA288" s="1132" t="n"/>
      <c r="CAB288" s="1132" t="n"/>
      <c r="CAC288" s="1132" t="n"/>
      <c r="CAD288" s="1132" t="n"/>
      <c r="CAE288" s="1132" t="n"/>
      <c r="CAF288" s="1132" t="n"/>
      <c r="CAG288" s="1132" t="n"/>
      <c r="CAH288" s="1132" t="n"/>
      <c r="CAI288" s="1132" t="n"/>
      <c r="CAJ288" s="1132" t="n"/>
      <c r="CAK288" s="1132" t="n"/>
      <c r="CAL288" s="1132" t="n"/>
      <c r="CAM288" s="1132" t="n"/>
      <c r="CAN288" s="1132" t="n"/>
      <c r="CAO288" s="1132" t="n"/>
      <c r="CAP288" s="1132" t="n"/>
      <c r="CAQ288" s="1132" t="n"/>
      <c r="CAR288" s="1132" t="n"/>
      <c r="CAS288" s="1132" t="n"/>
      <c r="CAT288" s="1132" t="n"/>
      <c r="CAU288" s="1132" t="n"/>
      <c r="CAV288" s="1132" t="n"/>
      <c r="CAW288" s="1132" t="n"/>
      <c r="CAX288" s="1132" t="n"/>
      <c r="CAY288" s="1132" t="n"/>
      <c r="CAZ288" s="1132" t="n"/>
      <c r="CBA288" s="1132" t="n"/>
      <c r="CBB288" s="1132" t="n"/>
      <c r="CBC288" s="1132" t="n"/>
      <c r="CBD288" s="1132" t="n"/>
      <c r="CBE288" s="1132" t="n"/>
      <c r="CBF288" s="1132" t="n"/>
      <c r="CBG288" s="1132" t="n"/>
      <c r="CBH288" s="1132" t="n"/>
      <c r="CBI288" s="1132" t="n"/>
      <c r="CBJ288" s="1132" t="n"/>
      <c r="CBK288" s="1132" t="n"/>
      <c r="CBL288" s="1132" t="n"/>
      <c r="CBM288" s="1132" t="n"/>
      <c r="CBN288" s="1132" t="n"/>
      <c r="CBO288" s="1132" t="n"/>
      <c r="CBP288" s="1132" t="n"/>
      <c r="CBQ288" s="1132" t="n"/>
      <c r="CBR288" s="1132" t="n"/>
      <c r="CBS288" s="1132" t="n"/>
      <c r="CBT288" s="1132" t="n"/>
      <c r="CBU288" s="1132" t="n"/>
      <c r="CBV288" s="1132" t="n"/>
      <c r="CBW288" s="1132" t="n"/>
      <c r="CBX288" s="1132" t="n"/>
      <c r="CBY288" s="1132" t="n"/>
      <c r="CBZ288" s="1132" t="n"/>
      <c r="CCA288" s="1132" t="n"/>
      <c r="CCB288" s="1132" t="n"/>
      <c r="CCC288" s="1132" t="n"/>
      <c r="CCD288" s="1132" t="n"/>
      <c r="CCE288" s="1132" t="n"/>
      <c r="CCF288" s="1132" t="n"/>
      <c r="CCG288" s="1132" t="n"/>
      <c r="CCH288" s="1132" t="n"/>
      <c r="CCI288" s="1132" t="n"/>
      <c r="CCJ288" s="1132" t="n"/>
      <c r="CCK288" s="1132" t="n"/>
      <c r="CCL288" s="1132" t="n"/>
      <c r="CCM288" s="1132" t="n"/>
      <c r="CCN288" s="1132" t="n"/>
      <c r="CCO288" s="1132" t="n"/>
      <c r="CCP288" s="1132" t="n"/>
      <c r="CCQ288" s="1132" t="n"/>
      <c r="CCR288" s="1132" t="n"/>
      <c r="CCS288" s="1132" t="n"/>
      <c r="CCT288" s="1132" t="n"/>
      <c r="CCU288" s="1132" t="n"/>
      <c r="CCV288" s="1132" t="n"/>
      <c r="CCW288" s="1132" t="n"/>
      <c r="CCX288" s="1132" t="n"/>
      <c r="CCY288" s="1132" t="n"/>
      <c r="CCZ288" s="1132" t="n"/>
      <c r="CDA288" s="1132" t="n"/>
      <c r="CDB288" s="1132" t="n"/>
      <c r="CDC288" s="1132" t="n"/>
      <c r="CDD288" s="1132" t="n"/>
      <c r="CDE288" s="1132" t="n"/>
      <c r="CDF288" s="1132" t="n"/>
      <c r="CDG288" s="1132" t="n"/>
      <c r="CDH288" s="1132" t="n"/>
      <c r="CDI288" s="1132" t="n"/>
      <c r="CDJ288" s="1132" t="n"/>
      <c r="CDK288" s="1132" t="n"/>
      <c r="CDL288" s="1132" t="n"/>
      <c r="CDM288" s="1132" t="n"/>
      <c r="CDN288" s="1132" t="n"/>
      <c r="CDO288" s="1132" t="n"/>
      <c r="CDP288" s="1132" t="n"/>
      <c r="CDQ288" s="1132" t="n"/>
      <c r="CDR288" s="1132" t="n"/>
      <c r="CDS288" s="1132" t="n"/>
      <c r="CDT288" s="1132" t="n"/>
      <c r="CDU288" s="1132" t="n"/>
      <c r="CDV288" s="1132" t="n"/>
      <c r="CDW288" s="1132" t="n"/>
      <c r="CDX288" s="1132" t="n"/>
      <c r="CDY288" s="1132" t="n"/>
      <c r="CDZ288" s="1132" t="n"/>
      <c r="CEA288" s="1132" t="n"/>
      <c r="CEB288" s="1132" t="n"/>
      <c r="CEC288" s="1132" t="n"/>
      <c r="CED288" s="1132" t="n"/>
      <c r="CEE288" s="1132" t="n"/>
      <c r="CEF288" s="1132" t="n"/>
      <c r="CEG288" s="1132" t="n"/>
      <c r="CEH288" s="1132" t="n"/>
      <c r="CEI288" s="1132" t="n"/>
      <c r="CEJ288" s="1132" t="n"/>
      <c r="CEK288" s="1132" t="n"/>
      <c r="CEL288" s="1132" t="n"/>
      <c r="CEM288" s="1132" t="n"/>
      <c r="CEN288" s="1132" t="n"/>
      <c r="CEO288" s="1132" t="n"/>
      <c r="CEP288" s="1132" t="n"/>
      <c r="CEQ288" s="1132" t="n"/>
      <c r="CER288" s="1132" t="n"/>
      <c r="CES288" s="1132" t="n"/>
      <c r="CET288" s="1132" t="n"/>
      <c r="CEU288" s="1132" t="n"/>
      <c r="CEV288" s="1132" t="n"/>
      <c r="CEW288" s="1132" t="n"/>
      <c r="CEX288" s="1132" t="n"/>
      <c r="CEY288" s="1132" t="n"/>
      <c r="CEZ288" s="1132" t="n"/>
      <c r="CFA288" s="1132" t="n"/>
      <c r="CFB288" s="1132" t="n"/>
      <c r="CFC288" s="1132" t="n"/>
      <c r="CFD288" s="1132" t="n"/>
      <c r="CFE288" s="1132" t="n"/>
      <c r="CFF288" s="1132" t="n"/>
      <c r="CFG288" s="1132" t="n"/>
      <c r="CFH288" s="1132" t="n"/>
      <c r="CFI288" s="1132" t="n"/>
      <c r="CFJ288" s="1132" t="n"/>
      <c r="CFK288" s="1132" t="n"/>
      <c r="CFL288" s="1132" t="n"/>
      <c r="CFM288" s="1132" t="n"/>
      <c r="CFN288" s="1132" t="n"/>
      <c r="CFO288" s="1132" t="n"/>
      <c r="CFP288" s="1132" t="n"/>
      <c r="CFQ288" s="1132" t="n"/>
      <c r="CFR288" s="1132" t="n"/>
      <c r="CFS288" s="1132" t="n"/>
      <c r="CFT288" s="1132" t="n"/>
      <c r="CFU288" s="1132" t="n"/>
      <c r="CFV288" s="1132" t="n"/>
      <c r="CFW288" s="1132" t="n"/>
      <c r="CFX288" s="1132" t="n"/>
      <c r="CFY288" s="1132" t="n"/>
      <c r="CFZ288" s="1132" t="n"/>
      <c r="CGA288" s="1132" t="n"/>
      <c r="CGB288" s="1132" t="n"/>
      <c r="CGC288" s="1132" t="n"/>
      <c r="CGD288" s="1132" t="n"/>
      <c r="CGE288" s="1132" t="n"/>
      <c r="CGF288" s="1132" t="n"/>
      <c r="CGG288" s="1132" t="n"/>
      <c r="CGH288" s="1132" t="n"/>
      <c r="CGI288" s="1132" t="n"/>
      <c r="CGJ288" s="1132" t="n"/>
      <c r="CGK288" s="1132" t="n"/>
      <c r="CGL288" s="1132" t="n"/>
      <c r="CGM288" s="1132" t="n"/>
      <c r="CGN288" s="1132" t="n"/>
      <c r="CGO288" s="1132" t="n"/>
      <c r="CGP288" s="1132" t="n"/>
      <c r="CGQ288" s="1132" t="n"/>
      <c r="CGR288" s="1132" t="n"/>
      <c r="CGS288" s="1132" t="n"/>
      <c r="CGT288" s="1132" t="n"/>
      <c r="CGU288" s="1132" t="n"/>
      <c r="CGV288" s="1132" t="n"/>
      <c r="CGW288" s="1132" t="n"/>
      <c r="CGX288" s="1132" t="n"/>
      <c r="CGY288" s="1132" t="n"/>
      <c r="CGZ288" s="1132" t="n"/>
      <c r="CHA288" s="1132" t="n"/>
      <c r="CHB288" s="1132" t="n"/>
      <c r="CHC288" s="1132" t="n"/>
      <c r="CHD288" s="1132" t="n"/>
      <c r="CHE288" s="1132" t="n"/>
      <c r="CHF288" s="1132" t="n"/>
      <c r="CHG288" s="1132" t="n"/>
      <c r="CHH288" s="1132" t="n"/>
      <c r="CHI288" s="1132" t="n"/>
      <c r="CHJ288" s="1132" t="n"/>
      <c r="CHK288" s="1132" t="n"/>
      <c r="CHL288" s="1132" t="n"/>
      <c r="CHM288" s="1132" t="n"/>
      <c r="CHN288" s="1132" t="n"/>
      <c r="CHO288" s="1132" t="n"/>
      <c r="CHP288" s="1132" t="n"/>
      <c r="CHQ288" s="1132" t="n"/>
      <c r="CHR288" s="1132" t="n"/>
      <c r="CHS288" s="1132" t="n"/>
      <c r="CHT288" s="1132" t="n"/>
      <c r="CHU288" s="1132" t="n"/>
      <c r="CHV288" s="1132" t="n"/>
      <c r="CHW288" s="1132" t="n"/>
      <c r="CHX288" s="1132" t="n"/>
      <c r="CHY288" s="1132" t="n"/>
      <c r="CHZ288" s="1132" t="n"/>
      <c r="CIA288" s="1132" t="n"/>
      <c r="CIB288" s="1132" t="n"/>
      <c r="CIC288" s="1132" t="n"/>
      <c r="CID288" s="1132" t="n"/>
      <c r="CIE288" s="1132" t="n"/>
      <c r="CIF288" s="1132" t="n"/>
      <c r="CIG288" s="1132" t="n"/>
      <c r="CIH288" s="1132" t="n"/>
      <c r="CII288" s="1132" t="n"/>
      <c r="CIJ288" s="1132" t="n"/>
      <c r="CIK288" s="1132" t="n"/>
      <c r="CIL288" s="1132" t="n"/>
      <c r="CIM288" s="1132" t="n"/>
      <c r="CIN288" s="1132" t="n"/>
      <c r="CIO288" s="1132" t="n"/>
      <c r="CIP288" s="1132" t="n"/>
      <c r="CIQ288" s="1132" t="n"/>
      <c r="CIR288" s="1132" t="n"/>
      <c r="CIS288" s="1132" t="n"/>
      <c r="CIT288" s="1132" t="n"/>
      <c r="CIU288" s="1132" t="n"/>
      <c r="CIV288" s="1132" t="n"/>
      <c r="CIW288" s="1132" t="n"/>
      <c r="CIX288" s="1132" t="n"/>
      <c r="CIY288" s="1132" t="n"/>
      <c r="CIZ288" s="1132" t="n"/>
      <c r="CJA288" s="1132" t="n"/>
      <c r="CJB288" s="1132" t="n"/>
      <c r="CJC288" s="1132" t="n"/>
      <c r="CJD288" s="1132" t="n"/>
      <c r="CJE288" s="1132" t="n"/>
      <c r="CJF288" s="1132" t="n"/>
      <c r="CJG288" s="1132" t="n"/>
      <c r="CJH288" s="1132" t="n"/>
      <c r="CJI288" s="1132" t="n"/>
      <c r="CJJ288" s="1132" t="n"/>
      <c r="CJK288" s="1132" t="n"/>
      <c r="CJL288" s="1132" t="n"/>
      <c r="CJM288" s="1132" t="n"/>
      <c r="CJN288" s="1132" t="n"/>
      <c r="CJO288" s="1132" t="n"/>
      <c r="CJP288" s="1132" t="n"/>
      <c r="CJQ288" s="1132" t="n"/>
      <c r="CJR288" s="1132" t="n"/>
      <c r="CJS288" s="1132" t="n"/>
      <c r="CJT288" s="1132" t="n"/>
      <c r="CJU288" s="1132" t="n"/>
      <c r="CJV288" s="1132" t="n"/>
      <c r="CJW288" s="1132" t="n"/>
      <c r="CJX288" s="1132" t="n"/>
      <c r="CJY288" s="1132" t="n"/>
      <c r="CJZ288" s="1132" t="n"/>
      <c r="CKA288" s="1132" t="n"/>
      <c r="CKB288" s="1132" t="n"/>
      <c r="CKC288" s="1132" t="n"/>
      <c r="CKD288" s="1132" t="n"/>
      <c r="CKE288" s="1132" t="n"/>
      <c r="CKF288" s="1132" t="n"/>
      <c r="CKG288" s="1132" t="n"/>
      <c r="CKH288" s="1132" t="n"/>
      <c r="CKI288" s="1132" t="n"/>
      <c r="CKJ288" s="1132" t="n"/>
      <c r="CKK288" s="1132" t="n"/>
      <c r="CKL288" s="1132" t="n"/>
      <c r="CKM288" s="1132" t="n"/>
      <c r="CKN288" s="1132" t="n"/>
      <c r="CKO288" s="1132" t="n"/>
      <c r="CKP288" s="1132" t="n"/>
      <c r="CKQ288" s="1132" t="n"/>
      <c r="CKR288" s="1132" t="n"/>
      <c r="CKS288" s="1132" t="n"/>
      <c r="CKT288" s="1132" t="n"/>
      <c r="CKU288" s="1132" t="n"/>
      <c r="CKV288" s="1132" t="n"/>
      <c r="CKW288" s="1132" t="n"/>
      <c r="CKX288" s="1132" t="n"/>
      <c r="CKY288" s="1132" t="n"/>
      <c r="CKZ288" s="1132" t="n"/>
      <c r="CLA288" s="1132" t="n"/>
      <c r="CLB288" s="1132" t="n"/>
      <c r="CLC288" s="1132" t="n"/>
      <c r="CLD288" s="1132" t="n"/>
      <c r="CLE288" s="1132" t="n"/>
      <c r="CLF288" s="1132" t="n"/>
      <c r="CLG288" s="1132" t="n"/>
      <c r="CLH288" s="1132" t="n"/>
      <c r="CLI288" s="1132" t="n"/>
      <c r="CLJ288" s="1132" t="n"/>
      <c r="CLK288" s="1132" t="n"/>
      <c r="CLL288" s="1132" t="n"/>
      <c r="CLM288" s="1132" t="n"/>
      <c r="CLN288" s="1132" t="n"/>
      <c r="CLO288" s="1132" t="n"/>
      <c r="CLP288" s="1132" t="n"/>
      <c r="CLQ288" s="1132" t="n"/>
      <c r="CLR288" s="1132" t="n"/>
      <c r="CLS288" s="1132" t="n"/>
      <c r="CLT288" s="1132" t="n"/>
      <c r="CLU288" s="1132" t="n"/>
      <c r="CLV288" s="1132" t="n"/>
      <c r="CLW288" s="1132" t="n"/>
      <c r="CLX288" s="1132" t="n"/>
      <c r="CLY288" s="1132" t="n"/>
      <c r="CLZ288" s="1132" t="n"/>
      <c r="CMA288" s="1132" t="n"/>
      <c r="CMB288" s="1132" t="n"/>
      <c r="CMC288" s="1132" t="n"/>
      <c r="CMD288" s="1132" t="n"/>
      <c r="CME288" s="1132" t="n"/>
      <c r="CMF288" s="1132" t="n"/>
      <c r="CMG288" s="1132" t="n"/>
      <c r="CMH288" s="1132" t="n"/>
      <c r="CMI288" s="1132" t="n"/>
      <c r="CMJ288" s="1132" t="n"/>
      <c r="CMK288" s="1132" t="n"/>
      <c r="CML288" s="1132" t="n"/>
      <c r="CMM288" s="1132" t="n"/>
      <c r="CMN288" s="1132" t="n"/>
      <c r="CMO288" s="1132" t="n"/>
      <c r="CMP288" s="1132" t="n"/>
      <c r="CMQ288" s="1132" t="n"/>
      <c r="CMR288" s="1132" t="n"/>
      <c r="CMS288" s="1132" t="n"/>
      <c r="CMT288" s="1132" t="n"/>
      <c r="CMU288" s="1132" t="n"/>
      <c r="CMV288" s="1132" t="n"/>
      <c r="CMW288" s="1132" t="n"/>
      <c r="CMX288" s="1132" t="n"/>
      <c r="CMY288" s="1132" t="n"/>
      <c r="CMZ288" s="1132" t="n"/>
      <c r="CNA288" s="1132" t="n"/>
      <c r="CNB288" s="1132" t="n"/>
      <c r="CNC288" s="1132" t="n"/>
      <c r="CND288" s="1132" t="n"/>
      <c r="CNE288" s="1132" t="n"/>
      <c r="CNF288" s="1132" t="n"/>
      <c r="CNG288" s="1132" t="n"/>
      <c r="CNH288" s="1132" t="n"/>
      <c r="CNI288" s="1132" t="n"/>
      <c r="CNJ288" s="1132" t="n"/>
      <c r="CNK288" s="1132" t="n"/>
      <c r="CNL288" s="1132" t="n"/>
      <c r="CNM288" s="1132" t="n"/>
      <c r="CNN288" s="1132" t="n"/>
      <c r="CNO288" s="1132" t="n"/>
      <c r="CNP288" s="1132" t="n"/>
      <c r="CNQ288" s="1132" t="n"/>
      <c r="CNR288" s="1132" t="n"/>
      <c r="CNS288" s="1132" t="n"/>
      <c r="CNT288" s="1132" t="n"/>
      <c r="CNU288" s="1132" t="n"/>
      <c r="CNV288" s="1132" t="n"/>
      <c r="CNW288" s="1132" t="n"/>
      <c r="CNX288" s="1132" t="n"/>
      <c r="CNY288" s="1132" t="n"/>
      <c r="CNZ288" s="1132" t="n"/>
      <c r="COA288" s="1132" t="n"/>
      <c r="COB288" s="1132" t="n"/>
      <c r="COC288" s="1132" t="n"/>
      <c r="COD288" s="1132" t="n"/>
      <c r="COE288" s="1132" t="n"/>
      <c r="COF288" s="1132" t="n"/>
      <c r="COG288" s="1132" t="n"/>
      <c r="COH288" s="1132" t="n"/>
      <c r="COI288" s="1132" t="n"/>
      <c r="COJ288" s="1132" t="n"/>
      <c r="COK288" s="1132" t="n"/>
      <c r="COL288" s="1132" t="n"/>
      <c r="COM288" s="1132" t="n"/>
      <c r="CON288" s="1132" t="n"/>
      <c r="COO288" s="1132" t="n"/>
      <c r="COP288" s="1132" t="n"/>
      <c r="COQ288" s="1132" t="n"/>
      <c r="COR288" s="1132" t="n"/>
      <c r="COS288" s="1132" t="n"/>
      <c r="COT288" s="1132" t="n"/>
      <c r="COU288" s="1132" t="n"/>
      <c r="COV288" s="1132" t="n"/>
      <c r="COW288" s="1132" t="n"/>
      <c r="COX288" s="1132" t="n"/>
      <c r="COY288" s="1132" t="n"/>
      <c r="COZ288" s="1132" t="n"/>
      <c r="CPA288" s="1132" t="n"/>
      <c r="CPB288" s="1132" t="n"/>
      <c r="CPC288" s="1132" t="n"/>
      <c r="CPD288" s="1132" t="n"/>
      <c r="CPE288" s="1132" t="n"/>
      <c r="CPF288" s="1132" t="n"/>
      <c r="CPG288" s="1132" t="n"/>
      <c r="CPH288" s="1132" t="n"/>
      <c r="CPI288" s="1132" t="n"/>
      <c r="CPJ288" s="1132" t="n"/>
      <c r="CPK288" s="1132" t="n"/>
      <c r="CPL288" s="1132" t="n"/>
      <c r="CPM288" s="1132" t="n"/>
      <c r="CPN288" s="1132" t="n"/>
      <c r="CPO288" s="1132" t="n"/>
      <c r="CPP288" s="1132" t="n"/>
      <c r="CPQ288" s="1132" t="n"/>
      <c r="CPR288" s="1132" t="n"/>
      <c r="CPS288" s="1132" t="n"/>
      <c r="CPT288" s="1132" t="n"/>
      <c r="CPU288" s="1132" t="n"/>
      <c r="CPV288" s="1132" t="n"/>
      <c r="CPW288" s="1132" t="n"/>
      <c r="CPX288" s="1132" t="n"/>
      <c r="CPY288" s="1132" t="n"/>
      <c r="CPZ288" s="1132" t="n"/>
      <c r="CQA288" s="1132" t="n"/>
      <c r="CQB288" s="1132" t="n"/>
      <c r="CQC288" s="1132" t="n"/>
      <c r="CQD288" s="1132" t="n"/>
      <c r="CQE288" s="1132" t="n"/>
      <c r="CQF288" s="1132" t="n"/>
      <c r="CQG288" s="1132" t="n"/>
      <c r="CQH288" s="1132" t="n"/>
      <c r="CQI288" s="1132" t="n"/>
      <c r="CQJ288" s="1132" t="n"/>
      <c r="CQK288" s="1132" t="n"/>
      <c r="CQL288" s="1132" t="n"/>
      <c r="CQM288" s="1132" t="n"/>
      <c r="CQN288" s="1132" t="n"/>
      <c r="CQO288" s="1132" t="n"/>
      <c r="CQP288" s="1132" t="n"/>
      <c r="CQQ288" s="1132" t="n"/>
      <c r="CQR288" s="1132" t="n"/>
      <c r="CQS288" s="1132" t="n"/>
      <c r="CQT288" s="1132" t="n"/>
      <c r="CQU288" s="1132" t="n"/>
      <c r="CQV288" s="1132" t="n"/>
      <c r="CQW288" s="1132" t="n"/>
      <c r="CQX288" s="1132" t="n"/>
      <c r="CQY288" s="1132" t="n"/>
      <c r="CQZ288" s="1132" t="n"/>
      <c r="CRA288" s="1132" t="n"/>
      <c r="CRB288" s="1132" t="n"/>
      <c r="CRC288" s="1132" t="n"/>
      <c r="CRD288" s="1132" t="n"/>
      <c r="CRE288" s="1132" t="n"/>
      <c r="CRF288" s="1132" t="n"/>
      <c r="CRG288" s="1132" t="n"/>
      <c r="CRH288" s="1132" t="n"/>
      <c r="CRI288" s="1132" t="n"/>
      <c r="CRJ288" s="1132" t="n"/>
      <c r="CRK288" s="1132" t="n"/>
      <c r="CRL288" s="1132" t="n"/>
      <c r="CRM288" s="1132" t="n"/>
      <c r="CRN288" s="1132" t="n"/>
      <c r="CRO288" s="1132" t="n"/>
      <c r="CRP288" s="1132" t="n"/>
      <c r="CRQ288" s="1132" t="n"/>
      <c r="CRR288" s="1132" t="n"/>
      <c r="CRS288" s="1132" t="n"/>
      <c r="CRT288" s="1132" t="n"/>
      <c r="CRU288" s="1132" t="n"/>
      <c r="CRV288" s="1132" t="n"/>
      <c r="CRW288" s="1132" t="n"/>
      <c r="CRX288" s="1132" t="n"/>
      <c r="CRY288" s="1132" t="n"/>
      <c r="CRZ288" s="1132" t="n"/>
      <c r="CSA288" s="1132" t="n"/>
      <c r="CSB288" s="1132" t="n"/>
      <c r="CSC288" s="1132" t="n"/>
      <c r="CSD288" s="1132" t="n"/>
      <c r="CSE288" s="1132" t="n"/>
      <c r="CSF288" s="1132" t="n"/>
      <c r="CSG288" s="1132" t="n"/>
      <c r="CSH288" s="1132" t="n"/>
      <c r="CSI288" s="1132" t="n"/>
      <c r="CSJ288" s="1132" t="n"/>
      <c r="CSK288" s="1132" t="n"/>
      <c r="CSL288" s="1132" t="n"/>
      <c r="CSM288" s="1132" t="n"/>
      <c r="CSN288" s="1132" t="n"/>
      <c r="CSO288" s="1132" t="n"/>
      <c r="CSP288" s="1132" t="n"/>
      <c r="CSQ288" s="1132" t="n"/>
      <c r="CSR288" s="1132" t="n"/>
      <c r="CSS288" s="1132" t="n"/>
      <c r="CST288" s="1132" t="n"/>
      <c r="CSU288" s="1132" t="n"/>
      <c r="CSV288" s="1132" t="n"/>
      <c r="CSW288" s="1132" t="n"/>
      <c r="CSX288" s="1132" t="n"/>
      <c r="CSY288" s="1132" t="n"/>
      <c r="CSZ288" s="1132" t="n"/>
      <c r="CTA288" s="1132" t="n"/>
      <c r="CTB288" s="1132" t="n"/>
      <c r="CTC288" s="1132" t="n"/>
      <c r="CTD288" s="1132" t="n"/>
      <c r="CTE288" s="1132" t="n"/>
      <c r="CTF288" s="1132" t="n"/>
      <c r="CTG288" s="1132" t="n"/>
      <c r="CTH288" s="1132" t="n"/>
      <c r="CTI288" s="1132" t="n"/>
      <c r="CTJ288" s="1132" t="n"/>
      <c r="CTK288" s="1132" t="n"/>
      <c r="CTL288" s="1132" t="n"/>
      <c r="CTM288" s="1132" t="n"/>
      <c r="CTN288" s="1132" t="n"/>
      <c r="CTO288" s="1132" t="n"/>
      <c r="CTP288" s="1132" t="n"/>
      <c r="CTQ288" s="1132" t="n"/>
      <c r="CTR288" s="1132" t="n"/>
      <c r="CTS288" s="1132" t="n"/>
      <c r="CTT288" s="1132" t="n"/>
      <c r="CTU288" s="1132" t="n"/>
      <c r="CTV288" s="1132" t="n"/>
      <c r="CTW288" s="1132" t="n"/>
      <c r="CTX288" s="1132" t="n"/>
      <c r="CTY288" s="1132" t="n"/>
      <c r="CTZ288" s="1132" t="n"/>
      <c r="CUA288" s="1132" t="n"/>
      <c r="CUB288" s="1132" t="n"/>
      <c r="CUC288" s="1132" t="n"/>
      <c r="CUD288" s="1132" t="n"/>
      <c r="CUE288" s="1132" t="n"/>
      <c r="CUF288" s="1132" t="n"/>
      <c r="CUG288" s="1132" t="n"/>
      <c r="CUH288" s="1132" t="n"/>
      <c r="CUI288" s="1132" t="n"/>
      <c r="CUJ288" s="1132" t="n"/>
      <c r="CUK288" s="1132" t="n"/>
      <c r="CUL288" s="1132" t="n"/>
      <c r="CUM288" s="1132" t="n"/>
      <c r="CUN288" s="1132" t="n"/>
      <c r="CUO288" s="1132" t="n"/>
      <c r="CUP288" s="1132" t="n"/>
      <c r="CUQ288" s="1132" t="n"/>
      <c r="CUR288" s="1132" t="n"/>
      <c r="CUS288" s="1132" t="n"/>
      <c r="CUT288" s="1132" t="n"/>
      <c r="CUU288" s="1132" t="n"/>
      <c r="CUV288" s="1132" t="n"/>
      <c r="CUW288" s="1132" t="n"/>
      <c r="CUX288" s="1132" t="n"/>
      <c r="CUY288" s="1132" t="n"/>
      <c r="CUZ288" s="1132" t="n"/>
      <c r="CVA288" s="1132" t="n"/>
      <c r="CVB288" s="1132" t="n"/>
      <c r="CVC288" s="1132" t="n"/>
      <c r="CVD288" s="1132" t="n"/>
      <c r="CVE288" s="1132" t="n"/>
      <c r="CVF288" s="1132" t="n"/>
      <c r="CVG288" s="1132" t="n"/>
      <c r="CVH288" s="1132" t="n"/>
      <c r="CVI288" s="1132" t="n"/>
      <c r="CVJ288" s="1132" t="n"/>
      <c r="CVK288" s="1132" t="n"/>
      <c r="CVL288" s="1132" t="n"/>
      <c r="CVM288" s="1132" t="n"/>
      <c r="CVN288" s="1132" t="n"/>
      <c r="CVO288" s="1132" t="n"/>
      <c r="CVP288" s="1132" t="n"/>
      <c r="CVQ288" s="1132" t="n"/>
      <c r="CVR288" s="1132" t="n"/>
      <c r="CVS288" s="1132" t="n"/>
      <c r="CVT288" s="1132" t="n"/>
      <c r="CVU288" s="1132" t="n"/>
      <c r="CVV288" s="1132" t="n"/>
      <c r="CVW288" s="1132" t="n"/>
      <c r="CVX288" s="1132" t="n"/>
      <c r="CVY288" s="1132" t="n"/>
      <c r="CVZ288" s="1132" t="n"/>
      <c r="CWA288" s="1132" t="n"/>
      <c r="CWB288" s="1132" t="n"/>
      <c r="CWC288" s="1132" t="n"/>
      <c r="CWD288" s="1132" t="n"/>
      <c r="CWE288" s="1132" t="n"/>
      <c r="CWF288" s="1132" t="n"/>
      <c r="CWG288" s="1132" t="n"/>
      <c r="CWH288" s="1132" t="n"/>
      <c r="CWI288" s="1132" t="n"/>
      <c r="CWJ288" s="1132" t="n"/>
      <c r="CWK288" s="1132" t="n"/>
      <c r="CWL288" s="1132" t="n"/>
      <c r="CWM288" s="1132" t="n"/>
      <c r="CWN288" s="1132" t="n"/>
      <c r="CWO288" s="1132" t="n"/>
      <c r="CWP288" s="1132" t="n"/>
      <c r="CWQ288" s="1132" t="n"/>
      <c r="CWR288" s="1132" t="n"/>
      <c r="CWS288" s="1132" t="n"/>
      <c r="CWT288" s="1132" t="n"/>
      <c r="CWU288" s="1132" t="n"/>
      <c r="CWV288" s="1132" t="n"/>
      <c r="CWW288" s="1132" t="n"/>
      <c r="CWX288" s="1132" t="n"/>
      <c r="CWY288" s="1132" t="n"/>
      <c r="CWZ288" s="1132" t="n"/>
      <c r="CXA288" s="1132" t="n"/>
      <c r="CXB288" s="1132" t="n"/>
      <c r="CXC288" s="1132" t="n"/>
      <c r="CXD288" s="1132" t="n"/>
      <c r="CXE288" s="1132" t="n"/>
      <c r="CXF288" s="1132" t="n"/>
      <c r="CXG288" s="1132" t="n"/>
      <c r="CXH288" s="1132" t="n"/>
      <c r="CXI288" s="1132" t="n"/>
      <c r="CXJ288" s="1132" t="n"/>
      <c r="CXK288" s="1132" t="n"/>
      <c r="CXL288" s="1132" t="n"/>
      <c r="CXM288" s="1132" t="n"/>
      <c r="CXN288" s="1132" t="n"/>
      <c r="CXO288" s="1132" t="n"/>
      <c r="CXP288" s="1132" t="n"/>
      <c r="CXQ288" s="1132" t="n"/>
      <c r="CXR288" s="1132" t="n"/>
      <c r="CXS288" s="1132" t="n"/>
      <c r="CXT288" s="1132" t="n"/>
      <c r="CXU288" s="1132" t="n"/>
      <c r="CXV288" s="1132" t="n"/>
      <c r="CXW288" s="1132" t="n"/>
      <c r="CXX288" s="1132" t="n"/>
      <c r="CXY288" s="1132" t="n"/>
      <c r="CXZ288" s="1132" t="n"/>
      <c r="CYA288" s="1132" t="n"/>
      <c r="CYB288" s="1132" t="n"/>
      <c r="CYC288" s="1132" t="n"/>
      <c r="CYD288" s="1132" t="n"/>
      <c r="CYE288" s="1132" t="n"/>
      <c r="CYF288" s="1132" t="n"/>
      <c r="CYG288" s="1132" t="n"/>
      <c r="CYH288" s="1132" t="n"/>
      <c r="CYI288" s="1132" t="n"/>
      <c r="CYJ288" s="1132" t="n"/>
      <c r="CYK288" s="1132" t="n"/>
      <c r="CYL288" s="1132" t="n"/>
      <c r="CYM288" s="1132" t="n"/>
      <c r="CYN288" s="1132" t="n"/>
      <c r="CYO288" s="1132" t="n"/>
      <c r="CYP288" s="1132" t="n"/>
      <c r="CYQ288" s="1132" t="n"/>
      <c r="CYR288" s="1132" t="n"/>
      <c r="CYS288" s="1132" t="n"/>
      <c r="CYT288" s="1132" t="n"/>
      <c r="CYU288" s="1132" t="n"/>
      <c r="CYV288" s="1132" t="n"/>
      <c r="CYW288" s="1132" t="n"/>
      <c r="CYX288" s="1132" t="n"/>
      <c r="CYY288" s="1132" t="n"/>
      <c r="CYZ288" s="1132" t="n"/>
      <c r="CZA288" s="1132" t="n"/>
      <c r="CZB288" s="1132" t="n"/>
      <c r="CZC288" s="1132" t="n"/>
      <c r="CZD288" s="1132" t="n"/>
      <c r="CZE288" s="1132" t="n"/>
      <c r="CZF288" s="1132" t="n"/>
      <c r="CZG288" s="1132" t="n"/>
      <c r="CZH288" s="1132" t="n"/>
      <c r="CZI288" s="1132" t="n"/>
      <c r="CZJ288" s="1132" t="n"/>
      <c r="CZK288" s="1132" t="n"/>
      <c r="CZL288" s="1132" t="n"/>
      <c r="CZM288" s="1132" t="n"/>
      <c r="CZN288" s="1132" t="n"/>
      <c r="CZO288" s="1132" t="n"/>
      <c r="CZP288" s="1132" t="n"/>
      <c r="CZQ288" s="1132" t="n"/>
      <c r="CZR288" s="1132" t="n"/>
      <c r="CZS288" s="1132" t="n"/>
      <c r="CZT288" s="1132" t="n"/>
      <c r="CZU288" s="1132" t="n"/>
      <c r="CZV288" s="1132" t="n"/>
      <c r="CZW288" s="1132" t="n"/>
      <c r="CZX288" s="1132" t="n"/>
      <c r="CZY288" s="1132" t="n"/>
      <c r="CZZ288" s="1132" t="n"/>
      <c r="DAA288" s="1132" t="n"/>
      <c r="DAB288" s="1132" t="n"/>
      <c r="DAC288" s="1132" t="n"/>
      <c r="DAD288" s="1132" t="n"/>
      <c r="DAE288" s="1132" t="n"/>
      <c r="DAF288" s="1132" t="n"/>
      <c r="DAG288" s="1132" t="n"/>
      <c r="DAH288" s="1132" t="n"/>
      <c r="DAI288" s="1132" t="n"/>
      <c r="DAJ288" s="1132" t="n"/>
      <c r="DAK288" s="1132" t="n"/>
      <c r="DAL288" s="1132" t="n"/>
      <c r="DAM288" s="1132" t="n"/>
      <c r="DAN288" s="1132" t="n"/>
      <c r="DAO288" s="1132" t="n"/>
      <c r="DAP288" s="1132" t="n"/>
      <c r="DAQ288" s="1132" t="n"/>
      <c r="DAR288" s="1132" t="n"/>
      <c r="DAS288" s="1132" t="n"/>
      <c r="DAT288" s="1132" t="n"/>
      <c r="DAU288" s="1132" t="n"/>
      <c r="DAV288" s="1132" t="n"/>
      <c r="DAW288" s="1132" t="n"/>
      <c r="DAX288" s="1132" t="n"/>
      <c r="DAY288" s="1132" t="n"/>
      <c r="DAZ288" s="1132" t="n"/>
      <c r="DBA288" s="1132" t="n"/>
      <c r="DBB288" s="1132" t="n"/>
      <c r="DBC288" s="1132" t="n"/>
      <c r="DBD288" s="1132" t="n"/>
      <c r="DBE288" s="1132" t="n"/>
      <c r="DBF288" s="1132" t="n"/>
      <c r="DBG288" s="1132" t="n"/>
      <c r="DBH288" s="1132" t="n"/>
      <c r="DBI288" s="1132" t="n"/>
      <c r="DBJ288" s="1132" t="n"/>
      <c r="DBK288" s="1132" t="n"/>
      <c r="DBL288" s="1132" t="n"/>
      <c r="DBM288" s="1132" t="n"/>
      <c r="DBN288" s="1132" t="n"/>
      <c r="DBO288" s="1132" t="n"/>
      <c r="DBP288" s="1132" t="n"/>
      <c r="DBQ288" s="1132" t="n"/>
      <c r="DBR288" s="1132" t="n"/>
      <c r="DBS288" s="1132" t="n"/>
      <c r="DBT288" s="1132" t="n"/>
      <c r="DBU288" s="1132" t="n"/>
      <c r="DBV288" s="1132" t="n"/>
      <c r="DBW288" s="1132" t="n"/>
      <c r="DBX288" s="1132" t="n"/>
      <c r="DBY288" s="1132" t="n"/>
      <c r="DBZ288" s="1132" t="n"/>
      <c r="DCA288" s="1132" t="n"/>
      <c r="DCB288" s="1132" t="n"/>
      <c r="DCC288" s="1132" t="n"/>
      <c r="DCD288" s="1132" t="n"/>
      <c r="DCE288" s="1132" t="n"/>
      <c r="DCF288" s="1132" t="n"/>
      <c r="DCG288" s="1132" t="n"/>
      <c r="DCH288" s="1132" t="n"/>
      <c r="DCI288" s="1132" t="n"/>
      <c r="DCJ288" s="1132" t="n"/>
      <c r="DCK288" s="1132" t="n"/>
      <c r="DCL288" s="1132" t="n"/>
      <c r="DCM288" s="1132" t="n"/>
      <c r="DCN288" s="1132" t="n"/>
      <c r="DCO288" s="1132" t="n"/>
      <c r="DCP288" s="1132" t="n"/>
      <c r="DCQ288" s="1132" t="n"/>
      <c r="DCR288" s="1132" t="n"/>
      <c r="DCS288" s="1132" t="n"/>
      <c r="DCT288" s="1132" t="n"/>
      <c r="DCU288" s="1132" t="n"/>
      <c r="DCV288" s="1132" t="n"/>
      <c r="DCW288" s="1132" t="n"/>
      <c r="DCX288" s="1132" t="n"/>
      <c r="DCY288" s="1132" t="n"/>
      <c r="DCZ288" s="1132" t="n"/>
      <c r="DDA288" s="1132" t="n"/>
      <c r="DDB288" s="1132" t="n"/>
      <c r="DDC288" s="1132" t="n"/>
      <c r="DDD288" s="1132" t="n"/>
      <c r="DDE288" s="1132" t="n"/>
      <c r="DDF288" s="1132" t="n"/>
      <c r="DDG288" s="1132" t="n"/>
      <c r="DDH288" s="1132" t="n"/>
      <c r="DDI288" s="1132" t="n"/>
      <c r="DDJ288" s="1132" t="n"/>
      <c r="DDK288" s="1132" t="n"/>
      <c r="DDL288" s="1132" t="n"/>
      <c r="DDM288" s="1132" t="n"/>
      <c r="DDN288" s="1132" t="n"/>
      <c r="DDO288" s="1132" t="n"/>
      <c r="DDP288" s="1132" t="n"/>
      <c r="DDQ288" s="1132" t="n"/>
      <c r="DDR288" s="1132" t="n"/>
      <c r="DDS288" s="1132" t="n"/>
      <c r="DDT288" s="1132" t="n"/>
      <c r="DDU288" s="1132" t="n"/>
      <c r="DDV288" s="1132" t="n"/>
      <c r="DDW288" s="1132" t="n"/>
      <c r="DDX288" s="1132" t="n"/>
      <c r="DDY288" s="1132" t="n"/>
      <c r="DDZ288" s="1132" t="n"/>
      <c r="DEA288" s="1132" t="n"/>
      <c r="DEB288" s="1132" t="n"/>
      <c r="DEC288" s="1132" t="n"/>
      <c r="DED288" s="1132" t="n"/>
      <c r="DEE288" s="1132" t="n"/>
      <c r="DEF288" s="1132" t="n"/>
      <c r="DEG288" s="1132" t="n"/>
      <c r="DEH288" s="1132" t="n"/>
      <c r="DEI288" s="1132" t="n"/>
      <c r="DEJ288" s="1132" t="n"/>
      <c r="DEK288" s="1132" t="n"/>
      <c r="DEL288" s="1132" t="n"/>
      <c r="DEM288" s="1132" t="n"/>
      <c r="DEN288" s="1132" t="n"/>
      <c r="DEO288" s="1132" t="n"/>
      <c r="DEP288" s="1132" t="n"/>
      <c r="DEQ288" s="1132" t="n"/>
      <c r="DER288" s="1132" t="n"/>
      <c r="DES288" s="1132" t="n"/>
      <c r="DET288" s="1132" t="n"/>
      <c r="DEU288" s="1132" t="n"/>
      <c r="DEV288" s="1132" t="n"/>
      <c r="DEW288" s="1132" t="n"/>
      <c r="DEX288" s="1132" t="n"/>
      <c r="DEY288" s="1132" t="n"/>
      <c r="DEZ288" s="1132" t="n"/>
      <c r="DFA288" s="1132" t="n"/>
      <c r="DFB288" s="1132" t="n"/>
      <c r="DFC288" s="1132" t="n"/>
      <c r="DFD288" s="1132" t="n"/>
      <c r="DFE288" s="1132" t="n"/>
      <c r="DFF288" s="1132" t="n"/>
      <c r="DFG288" s="1132" t="n"/>
      <c r="DFH288" s="1132" t="n"/>
      <c r="DFI288" s="1132" t="n"/>
      <c r="DFJ288" s="1132" t="n"/>
      <c r="DFK288" s="1132" t="n"/>
      <c r="DFL288" s="1132" t="n"/>
      <c r="DFM288" s="1132" t="n"/>
      <c r="DFN288" s="1132" t="n"/>
      <c r="DFO288" s="1132" t="n"/>
      <c r="DFP288" s="1132" t="n"/>
      <c r="DFQ288" s="1132" t="n"/>
      <c r="DFR288" s="1132" t="n"/>
      <c r="DFS288" s="1132" t="n"/>
      <c r="DFT288" s="1132" t="n"/>
      <c r="DFU288" s="1132" t="n"/>
      <c r="DFV288" s="1132" t="n"/>
      <c r="DFW288" s="1132" t="n"/>
      <c r="DFX288" s="1132" t="n"/>
      <c r="DFY288" s="1132" t="n"/>
      <c r="DFZ288" s="1132" t="n"/>
      <c r="DGA288" s="1132" t="n"/>
      <c r="DGB288" s="1132" t="n"/>
      <c r="DGC288" s="1132" t="n"/>
      <c r="DGD288" s="1132" t="n"/>
      <c r="DGE288" s="1132" t="n"/>
      <c r="DGF288" s="1132" t="n"/>
      <c r="DGG288" s="1132" t="n"/>
      <c r="DGH288" s="1132" t="n"/>
      <c r="DGI288" s="1132" t="n"/>
      <c r="DGJ288" s="1132" t="n"/>
      <c r="DGK288" s="1132" t="n"/>
      <c r="DGL288" s="1132" t="n"/>
      <c r="DGM288" s="1132" t="n"/>
      <c r="DGN288" s="1132" t="n"/>
      <c r="DGO288" s="1132" t="n"/>
      <c r="DGP288" s="1132" t="n"/>
      <c r="DGQ288" s="1132" t="n"/>
      <c r="DGR288" s="1132" t="n"/>
      <c r="DGS288" s="1132" t="n"/>
      <c r="DGT288" s="1132" t="n"/>
      <c r="DGU288" s="1132" t="n"/>
      <c r="DGV288" s="1132" t="n"/>
      <c r="DGW288" s="1132" t="n"/>
      <c r="DGX288" s="1132" t="n"/>
      <c r="DGY288" s="1132" t="n"/>
      <c r="DGZ288" s="1132" t="n"/>
      <c r="DHA288" s="1132" t="n"/>
      <c r="DHB288" s="1132" t="n"/>
      <c r="DHC288" s="1132" t="n"/>
      <c r="DHD288" s="1132" t="n"/>
      <c r="DHE288" s="1132" t="n"/>
      <c r="DHF288" s="1132" t="n"/>
      <c r="DHG288" s="1132" t="n"/>
      <c r="DHH288" s="1132" t="n"/>
      <c r="DHI288" s="1132" t="n"/>
      <c r="DHJ288" s="1132" t="n"/>
      <c r="DHK288" s="1132" t="n"/>
      <c r="DHL288" s="1132" t="n"/>
      <c r="DHM288" s="1132" t="n"/>
      <c r="DHN288" s="1132" t="n"/>
      <c r="DHO288" s="1132" t="n"/>
      <c r="DHP288" s="1132" t="n"/>
      <c r="DHQ288" s="1132" t="n"/>
      <c r="DHR288" s="1132" t="n"/>
      <c r="DHS288" s="1132" t="n"/>
      <c r="DHT288" s="1132" t="n"/>
      <c r="DHU288" s="1132" t="n"/>
      <c r="DHV288" s="1132" t="n"/>
      <c r="DHW288" s="1132" t="n"/>
      <c r="DHX288" s="1132" t="n"/>
      <c r="DHY288" s="1132" t="n"/>
      <c r="DHZ288" s="1132" t="n"/>
      <c r="DIA288" s="1132" t="n"/>
      <c r="DIB288" s="1132" t="n"/>
      <c r="DIC288" s="1132" t="n"/>
      <c r="DID288" s="1132" t="n"/>
      <c r="DIE288" s="1132" t="n"/>
      <c r="DIF288" s="1132" t="n"/>
      <c r="DIG288" s="1132" t="n"/>
      <c r="DIH288" s="1132" t="n"/>
      <c r="DII288" s="1132" t="n"/>
      <c r="DIJ288" s="1132" t="n"/>
      <c r="DIK288" s="1132" t="n"/>
      <c r="DIL288" s="1132" t="n"/>
      <c r="DIM288" s="1132" t="n"/>
      <c r="DIN288" s="1132" t="n"/>
      <c r="DIO288" s="1132" t="n"/>
      <c r="DIP288" s="1132" t="n"/>
      <c r="DIQ288" s="1132" t="n"/>
      <c r="DIR288" s="1132" t="n"/>
      <c r="DIS288" s="1132" t="n"/>
      <c r="DIT288" s="1132" t="n"/>
      <c r="DIU288" s="1132" t="n"/>
      <c r="DIV288" s="1132" t="n"/>
      <c r="DIW288" s="1132" t="n"/>
      <c r="DIX288" s="1132" t="n"/>
      <c r="DIY288" s="1132" t="n"/>
      <c r="DIZ288" s="1132" t="n"/>
      <c r="DJA288" s="1132" t="n"/>
      <c r="DJB288" s="1132" t="n"/>
      <c r="DJC288" s="1132" t="n"/>
      <c r="DJD288" s="1132" t="n"/>
      <c r="DJE288" s="1132" t="n"/>
      <c r="DJF288" s="1132" t="n"/>
      <c r="DJG288" s="1132" t="n"/>
      <c r="DJH288" s="1132" t="n"/>
      <c r="DJI288" s="1132" t="n"/>
      <c r="DJJ288" s="1132" t="n"/>
      <c r="DJK288" s="1132" t="n"/>
      <c r="DJL288" s="1132" t="n"/>
      <c r="DJM288" s="1132" t="n"/>
      <c r="DJN288" s="1132" t="n"/>
      <c r="DJO288" s="1132" t="n"/>
      <c r="DJP288" s="1132" t="n"/>
      <c r="DJQ288" s="1132" t="n"/>
      <c r="DJR288" s="1132" t="n"/>
      <c r="DJS288" s="1132" t="n"/>
      <c r="DJT288" s="1132" t="n"/>
      <c r="DJU288" s="1132" t="n"/>
      <c r="DJV288" s="1132" t="n"/>
      <c r="DJW288" s="1132" t="n"/>
      <c r="DJX288" s="1132" t="n"/>
      <c r="DJY288" s="1132" t="n"/>
      <c r="DJZ288" s="1132" t="n"/>
      <c r="DKA288" s="1132" t="n"/>
      <c r="DKB288" s="1132" t="n"/>
      <c r="DKC288" s="1132" t="n"/>
      <c r="DKD288" s="1132" t="n"/>
      <c r="DKE288" s="1132" t="n"/>
      <c r="DKF288" s="1132" t="n"/>
      <c r="DKG288" s="1132" t="n"/>
      <c r="DKH288" s="1132" t="n"/>
      <c r="DKI288" s="1132" t="n"/>
      <c r="DKJ288" s="1132" t="n"/>
      <c r="DKK288" s="1132" t="n"/>
      <c r="DKL288" s="1132" t="n"/>
      <c r="DKM288" s="1132" t="n"/>
      <c r="DKN288" s="1132" t="n"/>
      <c r="DKO288" s="1132" t="n"/>
      <c r="DKP288" s="1132" t="n"/>
      <c r="DKQ288" s="1132" t="n"/>
      <c r="DKR288" s="1132" t="n"/>
      <c r="DKS288" s="1132" t="n"/>
      <c r="DKT288" s="1132" t="n"/>
      <c r="DKU288" s="1132" t="n"/>
      <c r="DKV288" s="1132" t="n"/>
      <c r="DKW288" s="1132" t="n"/>
      <c r="DKX288" s="1132" t="n"/>
      <c r="DKY288" s="1132" t="n"/>
      <c r="DKZ288" s="1132" t="n"/>
      <c r="DLA288" s="1132" t="n"/>
      <c r="DLB288" s="1132" t="n"/>
      <c r="DLC288" s="1132" t="n"/>
      <c r="DLD288" s="1132" t="n"/>
      <c r="DLE288" s="1132" t="n"/>
      <c r="DLF288" s="1132" t="n"/>
      <c r="DLG288" s="1132" t="n"/>
      <c r="DLH288" s="1132" t="n"/>
      <c r="DLI288" s="1132" t="n"/>
      <c r="DLJ288" s="1132" t="n"/>
      <c r="DLK288" s="1132" t="n"/>
      <c r="DLL288" s="1132" t="n"/>
      <c r="DLM288" s="1132" t="n"/>
      <c r="DLN288" s="1132" t="n"/>
      <c r="DLO288" s="1132" t="n"/>
      <c r="DLP288" s="1132" t="n"/>
      <c r="DLQ288" s="1132" t="n"/>
      <c r="DLR288" s="1132" t="n"/>
      <c r="DLS288" s="1132" t="n"/>
      <c r="DLT288" s="1132" t="n"/>
      <c r="DLU288" s="1132" t="n"/>
      <c r="DLV288" s="1132" t="n"/>
      <c r="DLW288" s="1132" t="n"/>
      <c r="DLX288" s="1132" t="n"/>
      <c r="DLY288" s="1132" t="n"/>
      <c r="DLZ288" s="1132" t="n"/>
      <c r="DMA288" s="1132" t="n"/>
      <c r="DMB288" s="1132" t="n"/>
      <c r="DMC288" s="1132" t="n"/>
      <c r="DMD288" s="1132" t="n"/>
      <c r="DME288" s="1132" t="n"/>
      <c r="DMF288" s="1132" t="n"/>
      <c r="DMG288" s="1132" t="n"/>
      <c r="DMH288" s="1132" t="n"/>
      <c r="DMI288" s="1132" t="n"/>
      <c r="DMJ288" s="1132" t="n"/>
      <c r="DMK288" s="1132" t="n"/>
      <c r="DML288" s="1132" t="n"/>
      <c r="DMM288" s="1132" t="n"/>
      <c r="DMN288" s="1132" t="n"/>
      <c r="DMO288" s="1132" t="n"/>
      <c r="DMP288" s="1132" t="n"/>
      <c r="DMQ288" s="1132" t="n"/>
      <c r="DMR288" s="1132" t="n"/>
      <c r="DMS288" s="1132" t="n"/>
      <c r="DMT288" s="1132" t="n"/>
      <c r="DMU288" s="1132" t="n"/>
      <c r="DMV288" s="1132" t="n"/>
      <c r="DMW288" s="1132" t="n"/>
      <c r="DMX288" s="1132" t="n"/>
      <c r="DMY288" s="1132" t="n"/>
      <c r="DMZ288" s="1132" t="n"/>
      <c r="DNA288" s="1132" t="n"/>
      <c r="DNB288" s="1132" t="n"/>
      <c r="DNC288" s="1132" t="n"/>
      <c r="DND288" s="1132" t="n"/>
      <c r="DNE288" s="1132" t="n"/>
      <c r="DNF288" s="1132" t="n"/>
      <c r="DNG288" s="1132" t="n"/>
      <c r="DNH288" s="1132" t="n"/>
      <c r="DNI288" s="1132" t="n"/>
      <c r="DNJ288" s="1132" t="n"/>
      <c r="DNK288" s="1132" t="n"/>
      <c r="DNL288" s="1132" t="n"/>
      <c r="DNM288" s="1132" t="n"/>
      <c r="DNN288" s="1132" t="n"/>
      <c r="DNO288" s="1132" t="n"/>
      <c r="DNP288" s="1132" t="n"/>
      <c r="DNQ288" s="1132" t="n"/>
      <c r="DNR288" s="1132" t="n"/>
      <c r="DNS288" s="1132" t="n"/>
      <c r="DNT288" s="1132" t="n"/>
      <c r="DNU288" s="1132" t="n"/>
      <c r="DNV288" s="1132" t="n"/>
      <c r="DNW288" s="1132" t="n"/>
      <c r="DNX288" s="1132" t="n"/>
      <c r="DNY288" s="1132" t="n"/>
      <c r="DNZ288" s="1132" t="n"/>
      <c r="DOA288" s="1132" t="n"/>
      <c r="DOB288" s="1132" t="n"/>
      <c r="DOC288" s="1132" t="n"/>
      <c r="DOD288" s="1132" t="n"/>
      <c r="DOE288" s="1132" t="n"/>
      <c r="DOF288" s="1132" t="n"/>
      <c r="DOG288" s="1132" t="n"/>
      <c r="DOH288" s="1132" t="n"/>
      <c r="DOI288" s="1132" t="n"/>
      <c r="DOJ288" s="1132" t="n"/>
      <c r="DOK288" s="1132" t="n"/>
      <c r="DOL288" s="1132" t="n"/>
      <c r="DOM288" s="1132" t="n"/>
      <c r="DON288" s="1132" t="n"/>
      <c r="DOO288" s="1132" t="n"/>
      <c r="DOP288" s="1132" t="n"/>
      <c r="DOQ288" s="1132" t="n"/>
      <c r="DOR288" s="1132" t="n"/>
      <c r="DOS288" s="1132" t="n"/>
      <c r="DOT288" s="1132" t="n"/>
      <c r="DOU288" s="1132" t="n"/>
      <c r="DOV288" s="1132" t="n"/>
      <c r="DOW288" s="1132" t="n"/>
      <c r="DOX288" s="1132" t="n"/>
      <c r="DOY288" s="1132" t="n"/>
      <c r="DOZ288" s="1132" t="n"/>
      <c r="DPA288" s="1132" t="n"/>
      <c r="DPB288" s="1132" t="n"/>
      <c r="DPC288" s="1132" t="n"/>
      <c r="DPD288" s="1132" t="n"/>
      <c r="DPE288" s="1132" t="n"/>
      <c r="DPF288" s="1132" t="n"/>
      <c r="DPG288" s="1132" t="n"/>
      <c r="DPH288" s="1132" t="n"/>
      <c r="DPI288" s="1132" t="n"/>
      <c r="DPJ288" s="1132" t="n"/>
      <c r="DPK288" s="1132" t="n"/>
      <c r="DPL288" s="1132" t="n"/>
      <c r="DPM288" s="1132" t="n"/>
      <c r="DPN288" s="1132" t="n"/>
      <c r="DPO288" s="1132" t="n"/>
      <c r="DPP288" s="1132" t="n"/>
      <c r="DPQ288" s="1132" t="n"/>
      <c r="DPR288" s="1132" t="n"/>
      <c r="DPS288" s="1132" t="n"/>
      <c r="DPT288" s="1132" t="n"/>
      <c r="DPU288" s="1132" t="n"/>
      <c r="DPV288" s="1132" t="n"/>
      <c r="DPW288" s="1132" t="n"/>
      <c r="DPX288" s="1132" t="n"/>
      <c r="DPY288" s="1132" t="n"/>
      <c r="DPZ288" s="1132" t="n"/>
      <c r="DQA288" s="1132" t="n"/>
      <c r="DQB288" s="1132" t="n"/>
      <c r="DQC288" s="1132" t="n"/>
      <c r="DQD288" s="1132" t="n"/>
      <c r="DQE288" s="1132" t="n"/>
      <c r="DQF288" s="1132" t="n"/>
      <c r="DQG288" s="1132" t="n"/>
      <c r="DQH288" s="1132" t="n"/>
      <c r="DQI288" s="1132" t="n"/>
      <c r="DQJ288" s="1132" t="n"/>
      <c r="DQK288" s="1132" t="n"/>
      <c r="DQL288" s="1132" t="n"/>
      <c r="DQM288" s="1132" t="n"/>
      <c r="DQN288" s="1132" t="n"/>
      <c r="DQO288" s="1132" t="n"/>
      <c r="DQP288" s="1132" t="n"/>
      <c r="DQQ288" s="1132" t="n"/>
      <c r="DQR288" s="1132" t="n"/>
      <c r="DQS288" s="1132" t="n"/>
      <c r="DQT288" s="1132" t="n"/>
      <c r="DQU288" s="1132" t="n"/>
      <c r="DQV288" s="1132" t="n"/>
      <c r="DQW288" s="1132" t="n"/>
      <c r="DQX288" s="1132" t="n"/>
      <c r="DQY288" s="1132" t="n"/>
      <c r="DQZ288" s="1132" t="n"/>
      <c r="DRA288" s="1132" t="n"/>
      <c r="DRB288" s="1132" t="n"/>
      <c r="DRC288" s="1132" t="n"/>
      <c r="DRD288" s="1132" t="n"/>
      <c r="DRE288" s="1132" t="n"/>
      <c r="DRF288" s="1132" t="n"/>
      <c r="DRG288" s="1132" t="n"/>
      <c r="DRH288" s="1132" t="n"/>
      <c r="DRI288" s="1132" t="n"/>
      <c r="DRJ288" s="1132" t="n"/>
      <c r="DRK288" s="1132" t="n"/>
      <c r="DRL288" s="1132" t="n"/>
      <c r="DRM288" s="1132" t="n"/>
      <c r="DRN288" s="1132" t="n"/>
      <c r="DRO288" s="1132" t="n"/>
      <c r="DRP288" s="1132" t="n"/>
      <c r="DRQ288" s="1132" t="n"/>
      <c r="DRR288" s="1132" t="n"/>
      <c r="DRS288" s="1132" t="n"/>
      <c r="DRT288" s="1132" t="n"/>
      <c r="DRU288" s="1132" t="n"/>
      <c r="DRV288" s="1132" t="n"/>
      <c r="DRW288" s="1132" t="n"/>
      <c r="DRX288" s="1132" t="n"/>
      <c r="DRY288" s="1132" t="n"/>
      <c r="DRZ288" s="1132" t="n"/>
      <c r="DSA288" s="1132" t="n"/>
      <c r="DSB288" s="1132" t="n"/>
      <c r="DSC288" s="1132" t="n"/>
      <c r="DSD288" s="1132" t="n"/>
      <c r="DSE288" s="1132" t="n"/>
      <c r="DSF288" s="1132" t="n"/>
      <c r="DSG288" s="1132" t="n"/>
      <c r="DSH288" s="1132" t="n"/>
      <c r="DSI288" s="1132" t="n"/>
      <c r="DSJ288" s="1132" t="n"/>
      <c r="DSK288" s="1132" t="n"/>
      <c r="DSL288" s="1132" t="n"/>
      <c r="DSM288" s="1132" t="n"/>
      <c r="DSN288" s="1132" t="n"/>
      <c r="DSO288" s="1132" t="n"/>
      <c r="DSP288" s="1132" t="n"/>
      <c r="DSQ288" s="1132" t="n"/>
      <c r="DSR288" s="1132" t="n"/>
      <c r="DSS288" s="1132" t="n"/>
      <c r="DST288" s="1132" t="n"/>
      <c r="DSU288" s="1132" t="n"/>
      <c r="DSV288" s="1132" t="n"/>
      <c r="DSW288" s="1132" t="n"/>
      <c r="DSX288" s="1132" t="n"/>
      <c r="DSY288" s="1132" t="n"/>
      <c r="DSZ288" s="1132" t="n"/>
      <c r="DTA288" s="1132" t="n"/>
      <c r="DTB288" s="1132" t="n"/>
      <c r="DTC288" s="1132" t="n"/>
      <c r="DTD288" s="1132" t="n"/>
      <c r="DTE288" s="1132" t="n"/>
      <c r="DTF288" s="1132" t="n"/>
      <c r="DTG288" s="1132" t="n"/>
      <c r="DTH288" s="1132" t="n"/>
      <c r="DTI288" s="1132" t="n"/>
      <c r="DTJ288" s="1132" t="n"/>
      <c r="DTK288" s="1132" t="n"/>
      <c r="DTL288" s="1132" t="n"/>
      <c r="DTM288" s="1132" t="n"/>
      <c r="DTN288" s="1132" t="n"/>
      <c r="DTO288" s="1132" t="n"/>
      <c r="DTP288" s="1132" t="n"/>
      <c r="DTQ288" s="1132" t="n"/>
      <c r="DTR288" s="1132" t="n"/>
      <c r="DTS288" s="1132" t="n"/>
      <c r="DTT288" s="1132" t="n"/>
      <c r="DTU288" s="1132" t="n"/>
      <c r="DTV288" s="1132" t="n"/>
      <c r="DTW288" s="1132" t="n"/>
      <c r="DTX288" s="1132" t="n"/>
      <c r="DTY288" s="1132" t="n"/>
      <c r="DTZ288" s="1132" t="n"/>
      <c r="DUA288" s="1132" t="n"/>
      <c r="DUB288" s="1132" t="n"/>
      <c r="DUC288" s="1132" t="n"/>
      <c r="DUD288" s="1132" t="n"/>
      <c r="DUE288" s="1132" t="n"/>
      <c r="DUF288" s="1132" t="n"/>
      <c r="DUG288" s="1132" t="n"/>
      <c r="DUH288" s="1132" t="n"/>
      <c r="DUI288" s="1132" t="n"/>
      <c r="DUJ288" s="1132" t="n"/>
      <c r="DUK288" s="1132" t="n"/>
      <c r="DUL288" s="1132" t="n"/>
      <c r="DUM288" s="1132" t="n"/>
      <c r="DUN288" s="1132" t="n"/>
      <c r="DUO288" s="1132" t="n"/>
      <c r="DUP288" s="1132" t="n"/>
      <c r="DUQ288" s="1132" t="n"/>
      <c r="DUR288" s="1132" t="n"/>
      <c r="DUS288" s="1132" t="n"/>
      <c r="DUT288" s="1132" t="n"/>
      <c r="DUU288" s="1132" t="n"/>
      <c r="DUV288" s="1132" t="n"/>
      <c r="DUW288" s="1132" t="n"/>
      <c r="DUX288" s="1132" t="n"/>
      <c r="DUY288" s="1132" t="n"/>
      <c r="DUZ288" s="1132" t="n"/>
      <c r="DVA288" s="1132" t="n"/>
      <c r="DVB288" s="1132" t="n"/>
      <c r="DVC288" s="1132" t="n"/>
      <c r="DVD288" s="1132" t="n"/>
      <c r="DVE288" s="1132" t="n"/>
      <c r="DVF288" s="1132" t="n"/>
      <c r="DVG288" s="1132" t="n"/>
      <c r="DVH288" s="1132" t="n"/>
      <c r="DVI288" s="1132" t="n"/>
      <c r="DVJ288" s="1132" t="n"/>
      <c r="DVK288" s="1132" t="n"/>
      <c r="DVL288" s="1132" t="n"/>
      <c r="DVM288" s="1132" t="n"/>
      <c r="DVN288" s="1132" t="n"/>
      <c r="DVO288" s="1132" t="n"/>
      <c r="DVP288" s="1132" t="n"/>
      <c r="DVQ288" s="1132" t="n"/>
      <c r="DVR288" s="1132" t="n"/>
      <c r="DVS288" s="1132" t="n"/>
      <c r="DVT288" s="1132" t="n"/>
      <c r="DVU288" s="1132" t="n"/>
      <c r="DVV288" s="1132" t="n"/>
      <c r="DVW288" s="1132" t="n"/>
      <c r="DVX288" s="1132" t="n"/>
      <c r="DVY288" s="1132" t="n"/>
      <c r="DVZ288" s="1132" t="n"/>
      <c r="DWA288" s="1132" t="n"/>
      <c r="DWB288" s="1132" t="n"/>
      <c r="DWC288" s="1132" t="n"/>
      <c r="DWD288" s="1132" t="n"/>
      <c r="DWE288" s="1132" t="n"/>
      <c r="DWF288" s="1132" t="n"/>
      <c r="DWG288" s="1132" t="n"/>
      <c r="DWH288" s="1132" t="n"/>
      <c r="DWI288" s="1132" t="n"/>
      <c r="DWJ288" s="1132" t="n"/>
      <c r="DWK288" s="1132" t="n"/>
      <c r="DWL288" s="1132" t="n"/>
      <c r="DWM288" s="1132" t="n"/>
      <c r="DWN288" s="1132" t="n"/>
      <c r="DWO288" s="1132" t="n"/>
      <c r="DWP288" s="1132" t="n"/>
      <c r="DWQ288" s="1132" t="n"/>
      <c r="DWR288" s="1132" t="n"/>
      <c r="DWS288" s="1132" t="n"/>
      <c r="DWT288" s="1132" t="n"/>
      <c r="DWU288" s="1132" t="n"/>
      <c r="DWV288" s="1132" t="n"/>
      <c r="DWW288" s="1132" t="n"/>
      <c r="DWX288" s="1132" t="n"/>
      <c r="DWY288" s="1132" t="n"/>
      <c r="DWZ288" s="1132" t="n"/>
      <c r="DXA288" s="1132" t="n"/>
      <c r="DXB288" s="1132" t="n"/>
      <c r="DXC288" s="1132" t="n"/>
      <c r="DXD288" s="1132" t="n"/>
      <c r="DXE288" s="1132" t="n"/>
      <c r="DXF288" s="1132" t="n"/>
      <c r="DXG288" s="1132" t="n"/>
      <c r="DXH288" s="1132" t="n"/>
      <c r="DXI288" s="1132" t="n"/>
      <c r="DXJ288" s="1132" t="n"/>
      <c r="DXK288" s="1132" t="n"/>
      <c r="DXL288" s="1132" t="n"/>
      <c r="DXM288" s="1132" t="n"/>
      <c r="DXN288" s="1132" t="n"/>
      <c r="DXO288" s="1132" t="n"/>
      <c r="DXP288" s="1132" t="n"/>
      <c r="DXQ288" s="1132" t="n"/>
      <c r="DXR288" s="1132" t="n"/>
      <c r="DXS288" s="1132" t="n"/>
      <c r="DXT288" s="1132" t="n"/>
      <c r="DXU288" s="1132" t="n"/>
      <c r="DXV288" s="1132" t="n"/>
      <c r="DXW288" s="1132" t="n"/>
      <c r="DXX288" s="1132" t="n"/>
      <c r="DXY288" s="1132" t="n"/>
      <c r="DXZ288" s="1132" t="n"/>
      <c r="DYA288" s="1132" t="n"/>
      <c r="DYB288" s="1132" t="n"/>
      <c r="DYC288" s="1132" t="n"/>
      <c r="DYD288" s="1132" t="n"/>
      <c r="DYE288" s="1132" t="n"/>
      <c r="DYF288" s="1132" t="n"/>
      <c r="DYG288" s="1132" t="n"/>
      <c r="DYH288" s="1132" t="n"/>
      <c r="DYI288" s="1132" t="n"/>
      <c r="DYJ288" s="1132" t="n"/>
      <c r="DYK288" s="1132" t="n"/>
      <c r="DYL288" s="1132" t="n"/>
      <c r="DYM288" s="1132" t="n"/>
      <c r="DYN288" s="1132" t="n"/>
      <c r="DYO288" s="1132" t="n"/>
      <c r="DYP288" s="1132" t="n"/>
      <c r="DYQ288" s="1132" t="n"/>
      <c r="DYR288" s="1132" t="n"/>
      <c r="DYS288" s="1132" t="n"/>
      <c r="DYT288" s="1132" t="n"/>
      <c r="DYU288" s="1132" t="n"/>
      <c r="DYV288" s="1132" t="n"/>
      <c r="DYW288" s="1132" t="n"/>
      <c r="DYX288" s="1132" t="n"/>
      <c r="DYY288" s="1132" t="n"/>
      <c r="DYZ288" s="1132" t="n"/>
      <c r="DZA288" s="1132" t="n"/>
      <c r="DZB288" s="1132" t="n"/>
      <c r="DZC288" s="1132" t="n"/>
      <c r="DZD288" s="1132" t="n"/>
      <c r="DZE288" s="1132" t="n"/>
      <c r="DZF288" s="1132" t="n"/>
      <c r="DZG288" s="1132" t="n"/>
      <c r="DZH288" s="1132" t="n"/>
      <c r="DZI288" s="1132" t="n"/>
      <c r="DZJ288" s="1132" t="n"/>
      <c r="DZK288" s="1132" t="n"/>
      <c r="DZL288" s="1132" t="n"/>
      <c r="DZM288" s="1132" t="n"/>
      <c r="DZN288" s="1132" t="n"/>
      <c r="DZO288" s="1132" t="n"/>
      <c r="DZP288" s="1132" t="n"/>
      <c r="DZQ288" s="1132" t="n"/>
      <c r="DZR288" s="1132" t="n"/>
      <c r="DZS288" s="1132" t="n"/>
      <c r="DZT288" s="1132" t="n"/>
      <c r="DZU288" s="1132" t="n"/>
      <c r="DZV288" s="1132" t="n"/>
      <c r="DZW288" s="1132" t="n"/>
      <c r="DZX288" s="1132" t="n"/>
      <c r="DZY288" s="1132" t="n"/>
      <c r="DZZ288" s="1132" t="n"/>
      <c r="EAA288" s="1132" t="n"/>
      <c r="EAB288" s="1132" t="n"/>
      <c r="EAC288" s="1132" t="n"/>
      <c r="EAD288" s="1132" t="n"/>
      <c r="EAE288" s="1132" t="n"/>
      <c r="EAF288" s="1132" t="n"/>
      <c r="EAG288" s="1132" t="n"/>
      <c r="EAH288" s="1132" t="n"/>
      <c r="EAI288" s="1132" t="n"/>
      <c r="EAJ288" s="1132" t="n"/>
      <c r="EAK288" s="1132" t="n"/>
      <c r="EAL288" s="1132" t="n"/>
      <c r="EAM288" s="1132" t="n"/>
      <c r="EAN288" s="1132" t="n"/>
      <c r="EAO288" s="1132" t="n"/>
      <c r="EAP288" s="1132" t="n"/>
      <c r="EAQ288" s="1132" t="n"/>
      <c r="EAR288" s="1132" t="n"/>
      <c r="EAS288" s="1132" t="n"/>
      <c r="EAT288" s="1132" t="n"/>
      <c r="EAU288" s="1132" t="n"/>
      <c r="EAV288" s="1132" t="n"/>
      <c r="EAW288" s="1132" t="n"/>
      <c r="EAX288" s="1132" t="n"/>
      <c r="EAY288" s="1132" t="n"/>
      <c r="EAZ288" s="1132" t="n"/>
      <c r="EBA288" s="1132" t="n"/>
      <c r="EBB288" s="1132" t="n"/>
      <c r="EBC288" s="1132" t="n"/>
      <c r="EBD288" s="1132" t="n"/>
      <c r="EBE288" s="1132" t="n"/>
      <c r="EBF288" s="1132" t="n"/>
      <c r="EBG288" s="1132" t="n"/>
      <c r="EBH288" s="1132" t="n"/>
      <c r="EBI288" s="1132" t="n"/>
      <c r="EBJ288" s="1132" t="n"/>
      <c r="EBK288" s="1132" t="n"/>
      <c r="EBL288" s="1132" t="n"/>
      <c r="EBM288" s="1132" t="n"/>
      <c r="EBN288" s="1132" t="n"/>
      <c r="EBO288" s="1132" t="n"/>
      <c r="EBP288" s="1132" t="n"/>
      <c r="EBQ288" s="1132" t="n"/>
      <c r="EBR288" s="1132" t="n"/>
      <c r="EBS288" s="1132" t="n"/>
      <c r="EBT288" s="1132" t="n"/>
      <c r="EBU288" s="1132" t="n"/>
      <c r="EBV288" s="1132" t="n"/>
      <c r="EBW288" s="1132" t="n"/>
      <c r="EBX288" s="1132" t="n"/>
      <c r="EBY288" s="1132" t="n"/>
      <c r="EBZ288" s="1132" t="n"/>
      <c r="ECA288" s="1132" t="n"/>
      <c r="ECB288" s="1132" t="n"/>
      <c r="ECC288" s="1132" t="n"/>
      <c r="ECD288" s="1132" t="n"/>
      <c r="ECE288" s="1132" t="n"/>
      <c r="ECF288" s="1132" t="n"/>
      <c r="ECG288" s="1132" t="n"/>
      <c r="ECH288" s="1132" t="n"/>
      <c r="ECI288" s="1132" t="n"/>
      <c r="ECJ288" s="1132" t="n"/>
      <c r="ECK288" s="1132" t="n"/>
      <c r="ECL288" s="1132" t="n"/>
      <c r="ECM288" s="1132" t="n"/>
      <c r="ECN288" s="1132" t="n"/>
      <c r="ECO288" s="1132" t="n"/>
      <c r="ECP288" s="1132" t="n"/>
      <c r="ECQ288" s="1132" t="n"/>
      <c r="ECR288" s="1132" t="n"/>
      <c r="ECS288" s="1132" t="n"/>
      <c r="ECT288" s="1132" t="n"/>
      <c r="ECU288" s="1132" t="n"/>
      <c r="ECV288" s="1132" t="n"/>
      <c r="ECW288" s="1132" t="n"/>
      <c r="ECX288" s="1132" t="n"/>
      <c r="ECY288" s="1132" t="n"/>
      <c r="ECZ288" s="1132" t="n"/>
      <c r="EDA288" s="1132" t="n"/>
      <c r="EDB288" s="1132" t="n"/>
      <c r="EDC288" s="1132" t="n"/>
      <c r="EDD288" s="1132" t="n"/>
      <c r="EDE288" s="1132" t="n"/>
      <c r="EDF288" s="1132" t="n"/>
      <c r="EDG288" s="1132" t="n"/>
      <c r="EDH288" s="1132" t="n"/>
      <c r="EDI288" s="1132" t="n"/>
      <c r="EDJ288" s="1132" t="n"/>
      <c r="EDK288" s="1132" t="n"/>
      <c r="EDL288" s="1132" t="n"/>
      <c r="EDM288" s="1132" t="n"/>
      <c r="EDN288" s="1132" t="n"/>
      <c r="EDO288" s="1132" t="n"/>
      <c r="EDP288" s="1132" t="n"/>
      <c r="EDQ288" s="1132" t="n"/>
      <c r="EDR288" s="1132" t="n"/>
      <c r="EDS288" s="1132" t="n"/>
      <c r="EDT288" s="1132" t="n"/>
      <c r="EDU288" s="1132" t="n"/>
      <c r="EDV288" s="1132" t="n"/>
      <c r="EDW288" s="1132" t="n"/>
      <c r="EDX288" s="1132" t="n"/>
      <c r="EDY288" s="1132" t="n"/>
      <c r="EDZ288" s="1132" t="n"/>
      <c r="EEA288" s="1132" t="n"/>
      <c r="EEB288" s="1132" t="n"/>
      <c r="EEC288" s="1132" t="n"/>
      <c r="EED288" s="1132" t="n"/>
      <c r="EEE288" s="1132" t="n"/>
      <c r="EEF288" s="1132" t="n"/>
      <c r="EEG288" s="1132" t="n"/>
      <c r="EEH288" s="1132" t="n"/>
      <c r="EEI288" s="1132" t="n"/>
      <c r="EEJ288" s="1132" t="n"/>
      <c r="EEK288" s="1132" t="n"/>
      <c r="EEL288" s="1132" t="n"/>
      <c r="EEM288" s="1132" t="n"/>
      <c r="EEN288" s="1132" t="n"/>
      <c r="EEO288" s="1132" t="n"/>
      <c r="EEP288" s="1132" t="n"/>
      <c r="EEQ288" s="1132" t="n"/>
      <c r="EER288" s="1132" t="n"/>
      <c r="EES288" s="1132" t="n"/>
      <c r="EET288" s="1132" t="n"/>
      <c r="EEU288" s="1132" t="n"/>
      <c r="EEV288" s="1132" t="n"/>
      <c r="EEW288" s="1132" t="n"/>
      <c r="EEX288" s="1132" t="n"/>
      <c r="EEY288" s="1132" t="n"/>
      <c r="EEZ288" s="1132" t="n"/>
      <c r="EFA288" s="1132" t="n"/>
      <c r="EFB288" s="1132" t="n"/>
      <c r="EFC288" s="1132" t="n"/>
      <c r="EFD288" s="1132" t="n"/>
      <c r="EFE288" s="1132" t="n"/>
      <c r="EFF288" s="1132" t="n"/>
      <c r="EFG288" s="1132" t="n"/>
      <c r="EFH288" s="1132" t="n"/>
      <c r="EFI288" s="1132" t="n"/>
      <c r="EFJ288" s="1132" t="n"/>
      <c r="EFK288" s="1132" t="n"/>
      <c r="EFL288" s="1132" t="n"/>
      <c r="EFM288" s="1132" t="n"/>
      <c r="EFN288" s="1132" t="n"/>
      <c r="EFO288" s="1132" t="n"/>
      <c r="EFP288" s="1132" t="n"/>
      <c r="EFQ288" s="1132" t="n"/>
      <c r="EFR288" s="1132" t="n"/>
      <c r="EFS288" s="1132" t="n"/>
      <c r="EFT288" s="1132" t="n"/>
      <c r="EFU288" s="1132" t="n"/>
      <c r="EFV288" s="1132" t="n"/>
      <c r="EFW288" s="1132" t="n"/>
      <c r="EFX288" s="1132" t="n"/>
      <c r="EFY288" s="1132" t="n"/>
      <c r="EFZ288" s="1132" t="n"/>
      <c r="EGA288" s="1132" t="n"/>
      <c r="EGB288" s="1132" t="n"/>
      <c r="EGC288" s="1132" t="n"/>
      <c r="EGD288" s="1132" t="n"/>
      <c r="EGE288" s="1132" t="n"/>
      <c r="EGF288" s="1132" t="n"/>
      <c r="EGG288" s="1132" t="n"/>
      <c r="EGH288" s="1132" t="n"/>
      <c r="EGI288" s="1132" t="n"/>
      <c r="EGJ288" s="1132" t="n"/>
      <c r="EGK288" s="1132" t="n"/>
      <c r="EGL288" s="1132" t="n"/>
      <c r="EGM288" s="1132" t="n"/>
      <c r="EGN288" s="1132" t="n"/>
      <c r="EGO288" s="1132" t="n"/>
      <c r="EGP288" s="1132" t="n"/>
      <c r="EGQ288" s="1132" t="n"/>
      <c r="EGR288" s="1132" t="n"/>
      <c r="EGS288" s="1132" t="n"/>
      <c r="EGT288" s="1132" t="n"/>
      <c r="EGU288" s="1132" t="n"/>
      <c r="EGV288" s="1132" t="n"/>
      <c r="EGW288" s="1132" t="n"/>
      <c r="EGX288" s="1132" t="n"/>
      <c r="EGY288" s="1132" t="n"/>
      <c r="EGZ288" s="1132" t="n"/>
      <c r="EHA288" s="1132" t="n"/>
      <c r="EHB288" s="1132" t="n"/>
      <c r="EHC288" s="1132" t="n"/>
      <c r="EHD288" s="1132" t="n"/>
      <c r="EHE288" s="1132" t="n"/>
      <c r="EHF288" s="1132" t="n"/>
      <c r="EHG288" s="1132" t="n"/>
      <c r="EHH288" s="1132" t="n"/>
      <c r="EHI288" s="1132" t="n"/>
      <c r="EHJ288" s="1132" t="n"/>
      <c r="EHK288" s="1132" t="n"/>
      <c r="EHL288" s="1132" t="n"/>
      <c r="EHM288" s="1132" t="n"/>
      <c r="EHN288" s="1132" t="n"/>
      <c r="EHO288" s="1132" t="n"/>
      <c r="EHP288" s="1132" t="n"/>
      <c r="EHQ288" s="1132" t="n"/>
      <c r="EHR288" s="1132" t="n"/>
      <c r="EHS288" s="1132" t="n"/>
      <c r="EHT288" s="1132" t="n"/>
      <c r="EHU288" s="1132" t="n"/>
      <c r="EHV288" s="1132" t="n"/>
      <c r="EHW288" s="1132" t="n"/>
      <c r="EHX288" s="1132" t="n"/>
      <c r="EHY288" s="1132" t="n"/>
      <c r="EHZ288" s="1132" t="n"/>
      <c r="EIA288" s="1132" t="n"/>
      <c r="EIB288" s="1132" t="n"/>
      <c r="EIC288" s="1132" t="n"/>
      <c r="EID288" s="1132" t="n"/>
      <c r="EIE288" s="1132" t="n"/>
      <c r="EIF288" s="1132" t="n"/>
      <c r="EIG288" s="1132" t="n"/>
      <c r="EIH288" s="1132" t="n"/>
      <c r="EII288" s="1132" t="n"/>
      <c r="EIJ288" s="1132" t="n"/>
      <c r="EIK288" s="1132" t="n"/>
      <c r="EIL288" s="1132" t="n"/>
      <c r="EIM288" s="1132" t="n"/>
      <c r="EIN288" s="1132" t="n"/>
      <c r="EIO288" s="1132" t="n"/>
      <c r="EIP288" s="1132" t="n"/>
      <c r="EIQ288" s="1132" t="n"/>
      <c r="EIR288" s="1132" t="n"/>
      <c r="EIS288" s="1132" t="n"/>
      <c r="EIT288" s="1132" t="n"/>
      <c r="EIU288" s="1132" t="n"/>
      <c r="EIV288" s="1132" t="n"/>
      <c r="EIW288" s="1132" t="n"/>
      <c r="EIX288" s="1132" t="n"/>
      <c r="EIY288" s="1132" t="n"/>
      <c r="EIZ288" s="1132" t="n"/>
      <c r="EJA288" s="1132" t="n"/>
      <c r="EJB288" s="1132" t="n"/>
      <c r="EJC288" s="1132" t="n"/>
      <c r="EJD288" s="1132" t="n"/>
      <c r="EJE288" s="1132" t="n"/>
      <c r="EJF288" s="1132" t="n"/>
      <c r="EJG288" s="1132" t="n"/>
      <c r="EJH288" s="1132" t="n"/>
      <c r="EJI288" s="1132" t="n"/>
      <c r="EJJ288" s="1132" t="n"/>
      <c r="EJK288" s="1132" t="n"/>
      <c r="EJL288" s="1132" t="n"/>
      <c r="EJM288" s="1132" t="n"/>
      <c r="EJN288" s="1132" t="n"/>
      <c r="EJO288" s="1132" t="n"/>
      <c r="EJP288" s="1132" t="n"/>
      <c r="EJQ288" s="1132" t="n"/>
      <c r="EJR288" s="1132" t="n"/>
      <c r="EJS288" s="1132" t="n"/>
      <c r="EJT288" s="1132" t="n"/>
      <c r="EJU288" s="1132" t="n"/>
      <c r="EJV288" s="1132" t="n"/>
      <c r="EJW288" s="1132" t="n"/>
      <c r="EJX288" s="1132" t="n"/>
      <c r="EJY288" s="1132" t="n"/>
      <c r="EJZ288" s="1132" t="n"/>
      <c r="EKA288" s="1132" t="n"/>
      <c r="EKB288" s="1132" t="n"/>
      <c r="EKC288" s="1132" t="n"/>
      <c r="EKD288" s="1132" t="n"/>
      <c r="EKE288" s="1132" t="n"/>
      <c r="EKF288" s="1132" t="n"/>
      <c r="EKG288" s="1132" t="n"/>
      <c r="EKH288" s="1132" t="n"/>
      <c r="EKI288" s="1132" t="n"/>
      <c r="EKJ288" s="1132" t="n"/>
      <c r="EKK288" s="1132" t="n"/>
      <c r="EKL288" s="1132" t="n"/>
      <c r="EKM288" s="1132" t="n"/>
      <c r="EKN288" s="1132" t="n"/>
      <c r="EKO288" s="1132" t="n"/>
      <c r="EKP288" s="1132" t="n"/>
      <c r="EKQ288" s="1132" t="n"/>
      <c r="EKR288" s="1132" t="n"/>
      <c r="EKS288" s="1132" t="n"/>
      <c r="EKT288" s="1132" t="n"/>
      <c r="EKU288" s="1132" t="n"/>
      <c r="EKV288" s="1132" t="n"/>
      <c r="EKW288" s="1132" t="n"/>
      <c r="EKX288" s="1132" t="n"/>
      <c r="EKY288" s="1132" t="n"/>
      <c r="EKZ288" s="1132" t="n"/>
      <c r="ELA288" s="1132" t="n"/>
      <c r="ELB288" s="1132" t="n"/>
      <c r="ELC288" s="1132" t="n"/>
      <c r="ELD288" s="1132" t="n"/>
      <c r="ELE288" s="1132" t="n"/>
      <c r="ELF288" s="1132" t="n"/>
      <c r="ELG288" s="1132" t="n"/>
      <c r="ELH288" s="1132" t="n"/>
      <c r="ELI288" s="1132" t="n"/>
      <c r="ELJ288" s="1132" t="n"/>
      <c r="ELK288" s="1132" t="n"/>
      <c r="ELL288" s="1132" t="n"/>
      <c r="ELM288" s="1132" t="n"/>
      <c r="ELN288" s="1132" t="n"/>
      <c r="ELO288" s="1132" t="n"/>
      <c r="ELP288" s="1132" t="n"/>
      <c r="ELQ288" s="1132" t="n"/>
      <c r="ELR288" s="1132" t="n"/>
      <c r="ELS288" s="1132" t="n"/>
      <c r="ELT288" s="1132" t="n"/>
      <c r="ELU288" s="1132" t="n"/>
      <c r="ELV288" s="1132" t="n"/>
      <c r="ELW288" s="1132" t="n"/>
      <c r="ELX288" s="1132" t="n"/>
      <c r="ELY288" s="1132" t="n"/>
      <c r="ELZ288" s="1132" t="n"/>
      <c r="EMA288" s="1132" t="n"/>
      <c r="EMB288" s="1132" t="n"/>
      <c r="EMC288" s="1132" t="n"/>
      <c r="EMD288" s="1132" t="n"/>
      <c r="EME288" s="1132" t="n"/>
      <c r="EMF288" s="1132" t="n"/>
      <c r="EMG288" s="1132" t="n"/>
      <c r="EMH288" s="1132" t="n"/>
      <c r="EMI288" s="1132" t="n"/>
      <c r="EMJ288" s="1132" t="n"/>
      <c r="EMK288" s="1132" t="n"/>
      <c r="EML288" s="1132" t="n"/>
      <c r="EMM288" s="1132" t="n"/>
      <c r="EMN288" s="1132" t="n"/>
      <c r="EMO288" s="1132" t="n"/>
      <c r="EMP288" s="1132" t="n"/>
      <c r="EMQ288" s="1132" t="n"/>
      <c r="EMR288" s="1132" t="n"/>
      <c r="EMS288" s="1132" t="n"/>
      <c r="EMT288" s="1132" t="n"/>
      <c r="EMU288" s="1132" t="n"/>
      <c r="EMV288" s="1132" t="n"/>
      <c r="EMW288" s="1132" t="n"/>
      <c r="EMX288" s="1132" t="n"/>
      <c r="EMY288" s="1132" t="n"/>
      <c r="EMZ288" s="1132" t="n"/>
      <c r="ENA288" s="1132" t="n"/>
      <c r="ENB288" s="1132" t="n"/>
      <c r="ENC288" s="1132" t="n"/>
      <c r="END288" s="1132" t="n"/>
      <c r="ENE288" s="1132" t="n"/>
      <c r="ENF288" s="1132" t="n"/>
      <c r="ENG288" s="1132" t="n"/>
      <c r="ENH288" s="1132" t="n"/>
      <c r="ENI288" s="1132" t="n"/>
      <c r="ENJ288" s="1132" t="n"/>
      <c r="ENK288" s="1132" t="n"/>
      <c r="ENL288" s="1132" t="n"/>
      <c r="ENM288" s="1132" t="n"/>
      <c r="ENN288" s="1132" t="n"/>
      <c r="ENO288" s="1132" t="n"/>
      <c r="ENP288" s="1132" t="n"/>
      <c r="ENQ288" s="1132" t="n"/>
      <c r="ENR288" s="1132" t="n"/>
      <c r="ENS288" s="1132" t="n"/>
      <c r="ENT288" s="1132" t="n"/>
      <c r="ENU288" s="1132" t="n"/>
      <c r="ENV288" s="1132" t="n"/>
      <c r="ENW288" s="1132" t="n"/>
      <c r="ENX288" s="1132" t="n"/>
      <c r="ENY288" s="1132" t="n"/>
      <c r="ENZ288" s="1132" t="n"/>
      <c r="EOA288" s="1132" t="n"/>
      <c r="EOB288" s="1132" t="n"/>
      <c r="EOC288" s="1132" t="n"/>
      <c r="EOD288" s="1132" t="n"/>
      <c r="EOE288" s="1132" t="n"/>
      <c r="EOF288" s="1132" t="n"/>
      <c r="EOG288" s="1132" t="n"/>
      <c r="EOH288" s="1132" t="n"/>
      <c r="EOI288" s="1132" t="n"/>
      <c r="EOJ288" s="1132" t="n"/>
      <c r="EOK288" s="1132" t="n"/>
      <c r="EOL288" s="1132" t="n"/>
      <c r="EOM288" s="1132" t="n"/>
      <c r="EON288" s="1132" t="n"/>
      <c r="EOO288" s="1132" t="n"/>
      <c r="EOP288" s="1132" t="n"/>
      <c r="EOQ288" s="1132" t="n"/>
      <c r="EOR288" s="1132" t="n"/>
      <c r="EOS288" s="1132" t="n"/>
      <c r="EOT288" s="1132" t="n"/>
      <c r="EOU288" s="1132" t="n"/>
      <c r="EOV288" s="1132" t="n"/>
      <c r="EOW288" s="1132" t="n"/>
      <c r="EOX288" s="1132" t="n"/>
      <c r="EOY288" s="1132" t="n"/>
      <c r="EOZ288" s="1132" t="n"/>
      <c r="EPA288" s="1132" t="n"/>
      <c r="EPB288" s="1132" t="n"/>
      <c r="EPC288" s="1132" t="n"/>
      <c r="EPD288" s="1132" t="n"/>
      <c r="EPE288" s="1132" t="n"/>
      <c r="EPF288" s="1132" t="n"/>
      <c r="EPG288" s="1132" t="n"/>
      <c r="EPH288" s="1132" t="n"/>
      <c r="EPI288" s="1132" t="n"/>
      <c r="EPJ288" s="1132" t="n"/>
      <c r="EPK288" s="1132" t="n"/>
      <c r="EPL288" s="1132" t="n"/>
      <c r="EPM288" s="1132" t="n"/>
      <c r="EPN288" s="1132" t="n"/>
      <c r="EPO288" s="1132" t="n"/>
      <c r="EPP288" s="1132" t="n"/>
      <c r="EPQ288" s="1132" t="n"/>
      <c r="EPR288" s="1132" t="n"/>
      <c r="EPS288" s="1132" t="n"/>
      <c r="EPT288" s="1132" t="n"/>
      <c r="EPU288" s="1132" t="n"/>
      <c r="EPV288" s="1132" t="n"/>
      <c r="EPW288" s="1132" t="n"/>
      <c r="EPX288" s="1132" t="n"/>
      <c r="EPY288" s="1132" t="n"/>
      <c r="EPZ288" s="1132" t="n"/>
      <c r="EQA288" s="1132" t="n"/>
      <c r="EQB288" s="1132" t="n"/>
      <c r="EQC288" s="1132" t="n"/>
      <c r="EQD288" s="1132" t="n"/>
      <c r="EQE288" s="1132" t="n"/>
      <c r="EQF288" s="1132" t="n"/>
      <c r="EQG288" s="1132" t="n"/>
      <c r="EQH288" s="1132" t="n"/>
      <c r="EQI288" s="1132" t="n"/>
      <c r="EQJ288" s="1132" t="n"/>
      <c r="EQK288" s="1132" t="n"/>
      <c r="EQL288" s="1132" t="n"/>
      <c r="EQM288" s="1132" t="n"/>
      <c r="EQN288" s="1132" t="n"/>
      <c r="EQO288" s="1132" t="n"/>
      <c r="EQP288" s="1132" t="n"/>
      <c r="EQQ288" s="1132" t="n"/>
      <c r="EQR288" s="1132" t="n"/>
      <c r="EQS288" s="1132" t="n"/>
      <c r="EQT288" s="1132" t="n"/>
      <c r="EQU288" s="1132" t="n"/>
      <c r="EQV288" s="1132" t="n"/>
      <c r="EQW288" s="1132" t="n"/>
      <c r="EQX288" s="1132" t="n"/>
      <c r="EQY288" s="1132" t="n"/>
      <c r="EQZ288" s="1132" t="n"/>
      <c r="ERA288" s="1132" t="n"/>
      <c r="ERB288" s="1132" t="n"/>
      <c r="ERC288" s="1132" t="n"/>
      <c r="ERD288" s="1132" t="n"/>
      <c r="ERE288" s="1132" t="n"/>
      <c r="ERF288" s="1132" t="n"/>
      <c r="ERG288" s="1132" t="n"/>
      <c r="ERH288" s="1132" t="n"/>
      <c r="ERI288" s="1132" t="n"/>
      <c r="ERJ288" s="1132" t="n"/>
      <c r="ERK288" s="1132" t="n"/>
      <c r="ERL288" s="1132" t="n"/>
      <c r="ERM288" s="1132" t="n"/>
      <c r="ERN288" s="1132" t="n"/>
      <c r="ERO288" s="1132" t="n"/>
      <c r="ERP288" s="1132" t="n"/>
      <c r="ERQ288" s="1132" t="n"/>
      <c r="ERR288" s="1132" t="n"/>
      <c r="ERS288" s="1132" t="n"/>
      <c r="ERT288" s="1132" t="n"/>
      <c r="ERU288" s="1132" t="n"/>
      <c r="ERV288" s="1132" t="n"/>
      <c r="ERW288" s="1132" t="n"/>
      <c r="ERX288" s="1132" t="n"/>
      <c r="ERY288" s="1132" t="n"/>
      <c r="ERZ288" s="1132" t="n"/>
      <c r="ESA288" s="1132" t="n"/>
      <c r="ESB288" s="1132" t="n"/>
      <c r="ESC288" s="1132" t="n"/>
      <c r="ESD288" s="1132" t="n"/>
      <c r="ESE288" s="1132" t="n"/>
      <c r="ESF288" s="1132" t="n"/>
      <c r="ESG288" s="1132" t="n"/>
      <c r="ESH288" s="1132" t="n"/>
      <c r="ESI288" s="1132" t="n"/>
      <c r="ESJ288" s="1132" t="n"/>
      <c r="ESK288" s="1132" t="n"/>
      <c r="ESL288" s="1132" t="n"/>
      <c r="ESM288" s="1132" t="n"/>
      <c r="ESN288" s="1132" t="n"/>
      <c r="ESO288" s="1132" t="n"/>
      <c r="ESP288" s="1132" t="n"/>
      <c r="ESQ288" s="1132" t="n"/>
      <c r="ESR288" s="1132" t="n"/>
      <c r="ESS288" s="1132" t="n"/>
      <c r="EST288" s="1132" t="n"/>
      <c r="ESU288" s="1132" t="n"/>
      <c r="ESV288" s="1132" t="n"/>
      <c r="ESW288" s="1132" t="n"/>
      <c r="ESX288" s="1132" t="n"/>
      <c r="ESY288" s="1132" t="n"/>
      <c r="ESZ288" s="1132" t="n"/>
      <c r="ETA288" s="1132" t="n"/>
      <c r="ETB288" s="1132" t="n"/>
      <c r="ETC288" s="1132" t="n"/>
      <c r="ETD288" s="1132" t="n"/>
      <c r="ETE288" s="1132" t="n"/>
      <c r="ETF288" s="1132" t="n"/>
      <c r="ETG288" s="1132" t="n"/>
      <c r="ETH288" s="1132" t="n"/>
      <c r="ETI288" s="1132" t="n"/>
      <c r="ETJ288" s="1132" t="n"/>
      <c r="ETK288" s="1132" t="n"/>
      <c r="ETL288" s="1132" t="n"/>
      <c r="ETM288" s="1132" t="n"/>
      <c r="ETN288" s="1132" t="n"/>
      <c r="ETO288" s="1132" t="n"/>
      <c r="ETP288" s="1132" t="n"/>
      <c r="ETQ288" s="1132" t="n"/>
      <c r="ETR288" s="1132" t="n"/>
      <c r="ETS288" s="1132" t="n"/>
      <c r="ETT288" s="1132" t="n"/>
      <c r="ETU288" s="1132" t="n"/>
      <c r="ETV288" s="1132" t="n"/>
      <c r="ETW288" s="1132" t="n"/>
      <c r="ETX288" s="1132" t="n"/>
      <c r="ETY288" s="1132" t="n"/>
      <c r="ETZ288" s="1132" t="n"/>
      <c r="EUA288" s="1132" t="n"/>
      <c r="EUB288" s="1132" t="n"/>
      <c r="EUC288" s="1132" t="n"/>
      <c r="EUD288" s="1132" t="n"/>
      <c r="EUE288" s="1132" t="n"/>
      <c r="EUF288" s="1132" t="n"/>
      <c r="EUG288" s="1132" t="n"/>
      <c r="EUH288" s="1132" t="n"/>
      <c r="EUI288" s="1132" t="n"/>
      <c r="EUJ288" s="1132" t="n"/>
      <c r="EUK288" s="1132" t="n"/>
      <c r="EUL288" s="1132" t="n"/>
      <c r="EUM288" s="1132" t="n"/>
      <c r="EUN288" s="1132" t="n"/>
      <c r="EUO288" s="1132" t="n"/>
      <c r="EUP288" s="1132" t="n"/>
      <c r="EUQ288" s="1132" t="n"/>
      <c r="EUR288" s="1132" t="n"/>
      <c r="EUS288" s="1132" t="n"/>
      <c r="EUT288" s="1132" t="n"/>
      <c r="EUU288" s="1132" t="n"/>
      <c r="EUV288" s="1132" t="n"/>
      <c r="EUW288" s="1132" t="n"/>
      <c r="EUX288" s="1132" t="n"/>
      <c r="EUY288" s="1132" t="n"/>
      <c r="EUZ288" s="1132" t="n"/>
      <c r="EVA288" s="1132" t="n"/>
      <c r="EVB288" s="1132" t="n"/>
      <c r="EVC288" s="1132" t="n"/>
      <c r="EVD288" s="1132" t="n"/>
      <c r="EVE288" s="1132" t="n"/>
      <c r="EVF288" s="1132" t="n"/>
      <c r="EVG288" s="1132" t="n"/>
      <c r="EVH288" s="1132" t="n"/>
      <c r="EVI288" s="1132" t="n"/>
      <c r="EVJ288" s="1132" t="n"/>
      <c r="EVK288" s="1132" t="n"/>
      <c r="EVL288" s="1132" t="n"/>
      <c r="EVM288" s="1132" t="n"/>
      <c r="EVN288" s="1132" t="n"/>
      <c r="EVO288" s="1132" t="n"/>
      <c r="EVP288" s="1132" t="n"/>
      <c r="EVQ288" s="1132" t="n"/>
      <c r="EVR288" s="1132" t="n"/>
      <c r="EVS288" s="1132" t="n"/>
      <c r="EVT288" s="1132" t="n"/>
      <c r="EVU288" s="1132" t="n"/>
      <c r="EVV288" s="1132" t="n"/>
      <c r="EVW288" s="1132" t="n"/>
      <c r="EVX288" s="1132" t="n"/>
      <c r="EVY288" s="1132" t="n"/>
      <c r="EVZ288" s="1132" t="n"/>
      <c r="EWA288" s="1132" t="n"/>
      <c r="EWB288" s="1132" t="n"/>
      <c r="EWC288" s="1132" t="n"/>
      <c r="EWD288" s="1132" t="n"/>
      <c r="EWE288" s="1132" t="n"/>
      <c r="EWF288" s="1132" t="n"/>
      <c r="EWG288" s="1132" t="n"/>
      <c r="EWH288" s="1132" t="n"/>
      <c r="EWI288" s="1132" t="n"/>
      <c r="EWJ288" s="1132" t="n"/>
      <c r="EWK288" s="1132" t="n"/>
      <c r="EWL288" s="1132" t="n"/>
      <c r="EWM288" s="1132" t="n"/>
      <c r="EWN288" s="1132" t="n"/>
      <c r="EWO288" s="1132" t="n"/>
      <c r="EWP288" s="1132" t="n"/>
      <c r="EWQ288" s="1132" t="n"/>
      <c r="EWR288" s="1132" t="n"/>
      <c r="EWS288" s="1132" t="n"/>
      <c r="EWT288" s="1132" t="n"/>
      <c r="EWU288" s="1132" t="n"/>
      <c r="EWV288" s="1132" t="n"/>
      <c r="EWW288" s="1132" t="n"/>
      <c r="EWX288" s="1132" t="n"/>
      <c r="EWY288" s="1132" t="n"/>
      <c r="EWZ288" s="1132" t="n"/>
      <c r="EXA288" s="1132" t="n"/>
      <c r="EXB288" s="1132" t="n"/>
      <c r="EXC288" s="1132" t="n"/>
      <c r="EXD288" s="1132" t="n"/>
      <c r="EXE288" s="1132" t="n"/>
      <c r="EXF288" s="1132" t="n"/>
      <c r="EXG288" s="1132" t="n"/>
      <c r="EXH288" s="1132" t="n"/>
      <c r="EXI288" s="1132" t="n"/>
      <c r="EXJ288" s="1132" t="n"/>
      <c r="EXK288" s="1132" t="n"/>
      <c r="EXL288" s="1132" t="n"/>
      <c r="EXM288" s="1132" t="n"/>
      <c r="EXN288" s="1132" t="n"/>
      <c r="EXO288" s="1132" t="n"/>
      <c r="EXP288" s="1132" t="n"/>
      <c r="EXQ288" s="1132" t="n"/>
      <c r="EXR288" s="1132" t="n"/>
      <c r="EXS288" s="1132" t="n"/>
      <c r="EXT288" s="1132" t="n"/>
      <c r="EXU288" s="1132" t="n"/>
      <c r="EXV288" s="1132" t="n"/>
      <c r="EXW288" s="1132" t="n"/>
      <c r="EXX288" s="1132" t="n"/>
      <c r="EXY288" s="1132" t="n"/>
      <c r="EXZ288" s="1132" t="n"/>
      <c r="EYA288" s="1132" t="n"/>
      <c r="EYB288" s="1132" t="n"/>
      <c r="EYC288" s="1132" t="n"/>
      <c r="EYD288" s="1132" t="n"/>
      <c r="EYE288" s="1132" t="n"/>
      <c r="EYF288" s="1132" t="n"/>
      <c r="EYG288" s="1132" t="n"/>
      <c r="EYH288" s="1132" t="n"/>
      <c r="EYI288" s="1132" t="n"/>
      <c r="EYJ288" s="1132" t="n"/>
      <c r="EYK288" s="1132" t="n"/>
      <c r="EYL288" s="1132" t="n"/>
      <c r="EYM288" s="1132" t="n"/>
      <c r="EYN288" s="1132" t="n"/>
      <c r="EYO288" s="1132" t="n"/>
      <c r="EYP288" s="1132" t="n"/>
      <c r="EYQ288" s="1132" t="n"/>
      <c r="EYR288" s="1132" t="n"/>
      <c r="EYS288" s="1132" t="n"/>
      <c r="EYT288" s="1132" t="n"/>
      <c r="EYU288" s="1132" t="n"/>
      <c r="EYV288" s="1132" t="n"/>
      <c r="EYW288" s="1132" t="n"/>
      <c r="EYX288" s="1132" t="n"/>
      <c r="EYY288" s="1132" t="n"/>
      <c r="EYZ288" s="1132" t="n"/>
      <c r="EZA288" s="1132" t="n"/>
      <c r="EZB288" s="1132" t="n"/>
      <c r="EZC288" s="1132" t="n"/>
      <c r="EZD288" s="1132" t="n"/>
      <c r="EZE288" s="1132" t="n"/>
      <c r="EZF288" s="1132" t="n"/>
      <c r="EZG288" s="1132" t="n"/>
      <c r="EZH288" s="1132" t="n"/>
      <c r="EZI288" s="1132" t="n"/>
      <c r="EZJ288" s="1132" t="n"/>
      <c r="EZK288" s="1132" t="n"/>
      <c r="EZL288" s="1132" t="n"/>
      <c r="EZM288" s="1132" t="n"/>
      <c r="EZN288" s="1132" t="n"/>
      <c r="EZO288" s="1132" t="n"/>
      <c r="EZP288" s="1132" t="n"/>
      <c r="EZQ288" s="1132" t="n"/>
      <c r="EZR288" s="1132" t="n"/>
      <c r="EZS288" s="1132" t="n"/>
      <c r="EZT288" s="1132" t="n"/>
      <c r="EZU288" s="1132" t="n"/>
      <c r="EZV288" s="1132" t="n"/>
      <c r="EZW288" s="1132" t="n"/>
      <c r="EZX288" s="1132" t="n"/>
      <c r="EZY288" s="1132" t="n"/>
      <c r="EZZ288" s="1132" t="n"/>
      <c r="FAA288" s="1132" t="n"/>
      <c r="FAB288" s="1132" t="n"/>
      <c r="FAC288" s="1132" t="n"/>
      <c r="FAD288" s="1132" t="n"/>
      <c r="FAE288" s="1132" t="n"/>
      <c r="FAF288" s="1132" t="n"/>
      <c r="FAG288" s="1132" t="n"/>
      <c r="FAH288" s="1132" t="n"/>
      <c r="FAI288" s="1132" t="n"/>
      <c r="FAJ288" s="1132" t="n"/>
      <c r="FAK288" s="1132" t="n"/>
      <c r="FAL288" s="1132" t="n"/>
      <c r="FAM288" s="1132" t="n"/>
      <c r="FAN288" s="1132" t="n"/>
      <c r="FAO288" s="1132" t="n"/>
      <c r="FAP288" s="1132" t="n"/>
      <c r="FAQ288" s="1132" t="n"/>
      <c r="FAR288" s="1132" t="n"/>
      <c r="FAS288" s="1132" t="n"/>
      <c r="FAT288" s="1132" t="n"/>
      <c r="FAU288" s="1132" t="n"/>
      <c r="FAV288" s="1132" t="n"/>
      <c r="FAW288" s="1132" t="n"/>
      <c r="FAX288" s="1132" t="n"/>
      <c r="FAY288" s="1132" t="n"/>
      <c r="FAZ288" s="1132" t="n"/>
      <c r="FBA288" s="1132" t="n"/>
      <c r="FBB288" s="1132" t="n"/>
      <c r="FBC288" s="1132" t="n"/>
      <c r="FBD288" s="1132" t="n"/>
      <c r="FBE288" s="1132" t="n"/>
      <c r="FBF288" s="1132" t="n"/>
      <c r="FBG288" s="1132" t="n"/>
      <c r="FBH288" s="1132" t="n"/>
      <c r="FBI288" s="1132" t="n"/>
      <c r="FBJ288" s="1132" t="n"/>
      <c r="FBK288" s="1132" t="n"/>
      <c r="FBL288" s="1132" t="n"/>
      <c r="FBM288" s="1132" t="n"/>
      <c r="FBN288" s="1132" t="n"/>
      <c r="FBO288" s="1132" t="n"/>
      <c r="FBP288" s="1132" t="n"/>
      <c r="FBQ288" s="1132" t="n"/>
      <c r="FBR288" s="1132" t="n"/>
      <c r="FBS288" s="1132" t="n"/>
      <c r="FBT288" s="1132" t="n"/>
      <c r="FBU288" s="1132" t="n"/>
      <c r="FBV288" s="1132" t="n"/>
      <c r="FBW288" s="1132" t="n"/>
      <c r="FBX288" s="1132" t="n"/>
      <c r="FBY288" s="1132" t="n"/>
      <c r="FBZ288" s="1132" t="n"/>
      <c r="FCA288" s="1132" t="n"/>
      <c r="FCB288" s="1132" t="n"/>
      <c r="FCC288" s="1132" t="n"/>
      <c r="FCD288" s="1132" t="n"/>
      <c r="FCE288" s="1132" t="n"/>
      <c r="FCF288" s="1132" t="n"/>
      <c r="FCG288" s="1132" t="n"/>
      <c r="FCH288" s="1132" t="n"/>
      <c r="FCI288" s="1132" t="n"/>
      <c r="FCJ288" s="1132" t="n"/>
      <c r="FCK288" s="1132" t="n"/>
      <c r="FCL288" s="1132" t="n"/>
      <c r="FCM288" s="1132" t="n"/>
      <c r="FCN288" s="1132" t="n"/>
      <c r="FCO288" s="1132" t="n"/>
      <c r="FCP288" s="1132" t="n"/>
      <c r="FCQ288" s="1132" t="n"/>
      <c r="FCR288" s="1132" t="n"/>
      <c r="FCS288" s="1132" t="n"/>
      <c r="FCT288" s="1132" t="n"/>
      <c r="FCU288" s="1132" t="n"/>
      <c r="FCV288" s="1132" t="n"/>
      <c r="FCW288" s="1132" t="n"/>
      <c r="FCX288" s="1132" t="n"/>
      <c r="FCY288" s="1132" t="n"/>
      <c r="FCZ288" s="1132" t="n"/>
      <c r="FDA288" s="1132" t="n"/>
      <c r="FDB288" s="1132" t="n"/>
      <c r="FDC288" s="1132" t="n"/>
      <c r="FDD288" s="1132" t="n"/>
      <c r="FDE288" s="1132" t="n"/>
      <c r="FDF288" s="1132" t="n"/>
      <c r="FDG288" s="1132" t="n"/>
      <c r="FDH288" s="1132" t="n"/>
      <c r="FDI288" s="1132" t="n"/>
      <c r="FDJ288" s="1132" t="n"/>
      <c r="FDK288" s="1132" t="n"/>
      <c r="FDL288" s="1132" t="n"/>
      <c r="FDM288" s="1132" t="n"/>
      <c r="FDN288" s="1132" t="n"/>
      <c r="FDO288" s="1132" t="n"/>
      <c r="FDP288" s="1132" t="n"/>
      <c r="FDQ288" s="1132" t="n"/>
      <c r="FDR288" s="1132" t="n"/>
      <c r="FDS288" s="1132" t="n"/>
      <c r="FDT288" s="1132" t="n"/>
      <c r="FDU288" s="1132" t="n"/>
      <c r="FDV288" s="1132" t="n"/>
      <c r="FDW288" s="1132" t="n"/>
      <c r="FDX288" s="1132" t="n"/>
      <c r="FDY288" s="1132" t="n"/>
      <c r="FDZ288" s="1132" t="n"/>
      <c r="FEA288" s="1132" t="n"/>
      <c r="FEB288" s="1132" t="n"/>
      <c r="FEC288" s="1132" t="n"/>
      <c r="FED288" s="1132" t="n"/>
      <c r="FEE288" s="1132" t="n"/>
      <c r="FEF288" s="1132" t="n"/>
      <c r="FEG288" s="1132" t="n"/>
      <c r="FEH288" s="1132" t="n"/>
      <c r="FEI288" s="1132" t="n"/>
      <c r="FEJ288" s="1132" t="n"/>
      <c r="FEK288" s="1132" t="n"/>
      <c r="FEL288" s="1132" t="n"/>
      <c r="FEM288" s="1132" t="n"/>
      <c r="FEN288" s="1132" t="n"/>
      <c r="FEO288" s="1132" t="n"/>
      <c r="FEP288" s="1132" t="n"/>
      <c r="FEQ288" s="1132" t="n"/>
      <c r="FER288" s="1132" t="n"/>
      <c r="FES288" s="1132" t="n"/>
      <c r="FET288" s="1132" t="n"/>
      <c r="FEU288" s="1132" t="n"/>
      <c r="FEV288" s="1132" t="n"/>
      <c r="FEW288" s="1132" t="n"/>
      <c r="FEX288" s="1132" t="n"/>
      <c r="FEY288" s="1132" t="n"/>
      <c r="FEZ288" s="1132" t="n"/>
      <c r="FFA288" s="1132" t="n"/>
      <c r="FFB288" s="1132" t="n"/>
      <c r="FFC288" s="1132" t="n"/>
      <c r="FFD288" s="1132" t="n"/>
      <c r="FFE288" s="1132" t="n"/>
      <c r="FFF288" s="1132" t="n"/>
      <c r="FFG288" s="1132" t="n"/>
      <c r="FFH288" s="1132" t="n"/>
      <c r="FFI288" s="1132" t="n"/>
      <c r="FFJ288" s="1132" t="n"/>
      <c r="FFK288" s="1132" t="n"/>
      <c r="FFL288" s="1132" t="n"/>
      <c r="FFM288" s="1132" t="n"/>
      <c r="FFN288" s="1132" t="n"/>
      <c r="FFO288" s="1132" t="n"/>
      <c r="FFP288" s="1132" t="n"/>
      <c r="FFQ288" s="1132" t="n"/>
      <c r="FFR288" s="1132" t="n"/>
      <c r="FFS288" s="1132" t="n"/>
      <c r="FFT288" s="1132" t="n"/>
      <c r="FFU288" s="1132" t="n"/>
      <c r="FFV288" s="1132" t="n"/>
      <c r="FFW288" s="1132" t="n"/>
      <c r="FFX288" s="1132" t="n"/>
      <c r="FFY288" s="1132" t="n"/>
      <c r="FFZ288" s="1132" t="n"/>
      <c r="FGA288" s="1132" t="n"/>
      <c r="FGB288" s="1132" t="n"/>
      <c r="FGC288" s="1132" t="n"/>
      <c r="FGD288" s="1132" t="n"/>
      <c r="FGE288" s="1132" t="n"/>
      <c r="FGF288" s="1132" t="n"/>
      <c r="FGG288" s="1132" t="n"/>
      <c r="FGH288" s="1132" t="n"/>
      <c r="FGI288" s="1132" t="n"/>
      <c r="FGJ288" s="1132" t="n"/>
      <c r="FGK288" s="1132" t="n"/>
      <c r="FGL288" s="1132" t="n"/>
      <c r="FGM288" s="1132" t="n"/>
      <c r="FGN288" s="1132" t="n"/>
      <c r="FGO288" s="1132" t="n"/>
      <c r="FGP288" s="1132" t="n"/>
      <c r="FGQ288" s="1132" t="n"/>
      <c r="FGR288" s="1132" t="n"/>
      <c r="FGS288" s="1132" t="n"/>
      <c r="FGT288" s="1132" t="n"/>
      <c r="FGU288" s="1132" t="n"/>
      <c r="FGV288" s="1132" t="n"/>
      <c r="FGW288" s="1132" t="n"/>
      <c r="FGX288" s="1132" t="n"/>
      <c r="FGY288" s="1132" t="n"/>
      <c r="FGZ288" s="1132" t="n"/>
      <c r="FHA288" s="1132" t="n"/>
      <c r="FHB288" s="1132" t="n"/>
      <c r="FHC288" s="1132" t="n"/>
      <c r="FHD288" s="1132" t="n"/>
      <c r="FHE288" s="1132" t="n"/>
      <c r="FHF288" s="1132" t="n"/>
      <c r="FHG288" s="1132" t="n"/>
      <c r="FHH288" s="1132" t="n"/>
      <c r="FHI288" s="1132" t="n"/>
      <c r="FHJ288" s="1132" t="n"/>
      <c r="FHK288" s="1132" t="n"/>
      <c r="FHL288" s="1132" t="n"/>
      <c r="FHM288" s="1132" t="n"/>
      <c r="FHN288" s="1132" t="n"/>
      <c r="FHO288" s="1132" t="n"/>
      <c r="FHP288" s="1132" t="n"/>
      <c r="FHQ288" s="1132" t="n"/>
      <c r="FHR288" s="1132" t="n"/>
      <c r="FHS288" s="1132" t="n"/>
      <c r="FHT288" s="1132" t="n"/>
      <c r="FHU288" s="1132" t="n"/>
      <c r="FHV288" s="1132" t="n"/>
      <c r="FHW288" s="1132" t="n"/>
      <c r="FHX288" s="1132" t="n"/>
      <c r="FHY288" s="1132" t="n"/>
      <c r="FHZ288" s="1132" t="n"/>
      <c r="FIA288" s="1132" t="n"/>
      <c r="FIB288" s="1132" t="n"/>
      <c r="FIC288" s="1132" t="n"/>
      <c r="FID288" s="1132" t="n"/>
      <c r="FIE288" s="1132" t="n"/>
      <c r="FIF288" s="1132" t="n"/>
      <c r="FIG288" s="1132" t="n"/>
      <c r="FIH288" s="1132" t="n"/>
      <c r="FII288" s="1132" t="n"/>
      <c r="FIJ288" s="1132" t="n"/>
      <c r="FIK288" s="1132" t="n"/>
      <c r="FIL288" s="1132" t="n"/>
      <c r="FIM288" s="1132" t="n"/>
      <c r="FIN288" s="1132" t="n"/>
      <c r="FIO288" s="1132" t="n"/>
      <c r="FIP288" s="1132" t="n"/>
      <c r="FIQ288" s="1132" t="n"/>
      <c r="FIR288" s="1132" t="n"/>
      <c r="FIS288" s="1132" t="n"/>
      <c r="FIT288" s="1132" t="n"/>
      <c r="FIU288" s="1132" t="n"/>
      <c r="FIV288" s="1132" t="n"/>
      <c r="FIW288" s="1132" t="n"/>
      <c r="FIX288" s="1132" t="n"/>
      <c r="FIY288" s="1132" t="n"/>
      <c r="FIZ288" s="1132" t="n"/>
      <c r="FJA288" s="1132" t="n"/>
      <c r="FJB288" s="1132" t="n"/>
      <c r="FJC288" s="1132" t="n"/>
      <c r="FJD288" s="1132" t="n"/>
      <c r="FJE288" s="1132" t="n"/>
      <c r="FJF288" s="1132" t="n"/>
      <c r="FJG288" s="1132" t="n"/>
      <c r="FJH288" s="1132" t="n"/>
      <c r="FJI288" s="1132" t="n"/>
      <c r="FJJ288" s="1132" t="n"/>
      <c r="FJK288" s="1132" t="n"/>
      <c r="FJL288" s="1132" t="n"/>
      <c r="FJM288" s="1132" t="n"/>
      <c r="FJN288" s="1132" t="n"/>
      <c r="FJO288" s="1132" t="n"/>
      <c r="FJP288" s="1132" t="n"/>
      <c r="FJQ288" s="1132" t="n"/>
      <c r="FJR288" s="1132" t="n"/>
      <c r="FJS288" s="1132" t="n"/>
      <c r="FJT288" s="1132" t="n"/>
      <c r="FJU288" s="1132" t="n"/>
      <c r="FJV288" s="1132" t="n"/>
      <c r="FJW288" s="1132" t="n"/>
      <c r="FJX288" s="1132" t="n"/>
      <c r="FJY288" s="1132" t="n"/>
      <c r="FJZ288" s="1132" t="n"/>
      <c r="FKA288" s="1132" t="n"/>
      <c r="FKB288" s="1132" t="n"/>
      <c r="FKC288" s="1132" t="n"/>
      <c r="FKD288" s="1132" t="n"/>
      <c r="FKE288" s="1132" t="n"/>
      <c r="FKF288" s="1132" t="n"/>
      <c r="FKG288" s="1132" t="n"/>
      <c r="FKH288" s="1132" t="n"/>
      <c r="FKI288" s="1132" t="n"/>
      <c r="FKJ288" s="1132" t="n"/>
      <c r="FKK288" s="1132" t="n"/>
      <c r="FKL288" s="1132" t="n"/>
      <c r="FKM288" s="1132" t="n"/>
      <c r="FKN288" s="1132" t="n"/>
      <c r="FKO288" s="1132" t="n"/>
      <c r="FKP288" s="1132" t="n"/>
      <c r="FKQ288" s="1132" t="n"/>
      <c r="FKR288" s="1132" t="n"/>
      <c r="FKS288" s="1132" t="n"/>
      <c r="FKT288" s="1132" t="n"/>
      <c r="FKU288" s="1132" t="n"/>
      <c r="FKV288" s="1132" t="n"/>
      <c r="FKW288" s="1132" t="n"/>
      <c r="FKX288" s="1132" t="n"/>
      <c r="FKY288" s="1132" t="n"/>
      <c r="FKZ288" s="1132" t="n"/>
      <c r="FLA288" s="1132" t="n"/>
      <c r="FLB288" s="1132" t="n"/>
      <c r="FLC288" s="1132" t="n"/>
      <c r="FLD288" s="1132" t="n"/>
      <c r="FLE288" s="1132" t="n"/>
      <c r="FLF288" s="1132" t="n"/>
      <c r="FLG288" s="1132" t="n"/>
      <c r="FLH288" s="1132" t="n"/>
      <c r="FLI288" s="1132" t="n"/>
      <c r="FLJ288" s="1132" t="n"/>
      <c r="FLK288" s="1132" t="n"/>
      <c r="FLL288" s="1132" t="n"/>
      <c r="FLM288" s="1132" t="n"/>
      <c r="FLN288" s="1132" t="n"/>
      <c r="FLO288" s="1132" t="n"/>
      <c r="FLP288" s="1132" t="n"/>
      <c r="FLQ288" s="1132" t="n"/>
      <c r="FLR288" s="1132" t="n"/>
      <c r="FLS288" s="1132" t="n"/>
      <c r="FLT288" s="1132" t="n"/>
      <c r="FLU288" s="1132" t="n"/>
      <c r="FLV288" s="1132" t="n"/>
      <c r="FLW288" s="1132" t="n"/>
      <c r="FLX288" s="1132" t="n"/>
      <c r="FLY288" s="1132" t="n"/>
      <c r="FLZ288" s="1132" t="n"/>
      <c r="FMA288" s="1132" t="n"/>
      <c r="FMB288" s="1132" t="n"/>
      <c r="FMC288" s="1132" t="n"/>
      <c r="FMD288" s="1132" t="n"/>
      <c r="FME288" s="1132" t="n"/>
      <c r="FMF288" s="1132" t="n"/>
      <c r="FMG288" s="1132" t="n"/>
      <c r="FMH288" s="1132" t="n"/>
      <c r="FMI288" s="1132" t="n"/>
      <c r="FMJ288" s="1132" t="n"/>
      <c r="FMK288" s="1132" t="n"/>
      <c r="FML288" s="1132" t="n"/>
      <c r="FMM288" s="1132" t="n"/>
      <c r="FMN288" s="1132" t="n"/>
      <c r="FMO288" s="1132" t="n"/>
      <c r="FMP288" s="1132" t="n"/>
      <c r="FMQ288" s="1132" t="n"/>
      <c r="FMR288" s="1132" t="n"/>
      <c r="FMS288" s="1132" t="n"/>
      <c r="FMT288" s="1132" t="n"/>
      <c r="FMU288" s="1132" t="n"/>
      <c r="FMV288" s="1132" t="n"/>
      <c r="FMW288" s="1132" t="n"/>
      <c r="FMX288" s="1132" t="n"/>
      <c r="FMY288" s="1132" t="n"/>
      <c r="FMZ288" s="1132" t="n"/>
      <c r="FNA288" s="1132" t="n"/>
      <c r="FNB288" s="1132" t="n"/>
      <c r="FNC288" s="1132" t="n"/>
      <c r="FND288" s="1132" t="n"/>
      <c r="FNE288" s="1132" t="n"/>
      <c r="FNF288" s="1132" t="n"/>
      <c r="FNG288" s="1132" t="n"/>
      <c r="FNH288" s="1132" t="n"/>
      <c r="FNI288" s="1132" t="n"/>
      <c r="FNJ288" s="1132" t="n"/>
      <c r="FNK288" s="1132" t="n"/>
      <c r="FNL288" s="1132" t="n"/>
      <c r="FNM288" s="1132" t="n"/>
      <c r="FNN288" s="1132" t="n"/>
      <c r="FNO288" s="1132" t="n"/>
      <c r="FNP288" s="1132" t="n"/>
      <c r="FNQ288" s="1132" t="n"/>
      <c r="FNR288" s="1132" t="n"/>
      <c r="FNS288" s="1132" t="n"/>
      <c r="FNT288" s="1132" t="n"/>
      <c r="FNU288" s="1132" t="n"/>
      <c r="FNV288" s="1132" t="n"/>
      <c r="FNW288" s="1132" t="n"/>
      <c r="FNX288" s="1132" t="n"/>
      <c r="FNY288" s="1132" t="n"/>
      <c r="FNZ288" s="1132" t="n"/>
      <c r="FOA288" s="1132" t="n"/>
      <c r="FOB288" s="1132" t="n"/>
      <c r="FOC288" s="1132" t="n"/>
      <c r="FOD288" s="1132" t="n"/>
      <c r="FOE288" s="1132" t="n"/>
      <c r="FOF288" s="1132" t="n"/>
      <c r="FOG288" s="1132" t="n"/>
      <c r="FOH288" s="1132" t="n"/>
      <c r="FOI288" s="1132" t="n"/>
      <c r="FOJ288" s="1132" t="n"/>
      <c r="FOK288" s="1132" t="n"/>
      <c r="FOL288" s="1132" t="n"/>
      <c r="FOM288" s="1132" t="n"/>
      <c r="FON288" s="1132" t="n"/>
      <c r="FOO288" s="1132" t="n"/>
      <c r="FOP288" s="1132" t="n"/>
      <c r="FOQ288" s="1132" t="n"/>
      <c r="FOR288" s="1132" t="n"/>
      <c r="FOS288" s="1132" t="n"/>
      <c r="FOT288" s="1132" t="n"/>
      <c r="FOU288" s="1132" t="n"/>
      <c r="FOV288" s="1132" t="n"/>
      <c r="FOW288" s="1132" t="n"/>
      <c r="FOX288" s="1132" t="n"/>
      <c r="FOY288" s="1132" t="n"/>
      <c r="FOZ288" s="1132" t="n"/>
      <c r="FPA288" s="1132" t="n"/>
      <c r="FPB288" s="1132" t="n"/>
      <c r="FPC288" s="1132" t="n"/>
      <c r="FPD288" s="1132" t="n"/>
      <c r="FPE288" s="1132" t="n"/>
      <c r="FPF288" s="1132" t="n"/>
      <c r="FPG288" s="1132" t="n"/>
      <c r="FPH288" s="1132" t="n"/>
      <c r="FPI288" s="1132" t="n"/>
      <c r="FPJ288" s="1132" t="n"/>
      <c r="FPK288" s="1132" t="n"/>
      <c r="FPL288" s="1132" t="n"/>
      <c r="FPM288" s="1132" t="n"/>
      <c r="FPN288" s="1132" t="n"/>
      <c r="FPO288" s="1132" t="n"/>
      <c r="FPP288" s="1132" t="n"/>
      <c r="FPQ288" s="1132" t="n"/>
      <c r="FPR288" s="1132" t="n"/>
      <c r="FPS288" s="1132" t="n"/>
      <c r="FPT288" s="1132" t="n"/>
      <c r="FPU288" s="1132" t="n"/>
      <c r="FPV288" s="1132" t="n"/>
      <c r="FPW288" s="1132" t="n"/>
      <c r="FPX288" s="1132" t="n"/>
      <c r="FPY288" s="1132" t="n"/>
      <c r="FPZ288" s="1132" t="n"/>
      <c r="FQA288" s="1132" t="n"/>
      <c r="FQB288" s="1132" t="n"/>
      <c r="FQC288" s="1132" t="n"/>
      <c r="FQD288" s="1132" t="n"/>
      <c r="FQE288" s="1132" t="n"/>
      <c r="FQF288" s="1132" t="n"/>
      <c r="FQG288" s="1132" t="n"/>
      <c r="FQH288" s="1132" t="n"/>
      <c r="FQI288" s="1132" t="n"/>
      <c r="FQJ288" s="1132" t="n"/>
      <c r="FQK288" s="1132" t="n"/>
      <c r="FQL288" s="1132" t="n"/>
      <c r="FQM288" s="1132" t="n"/>
      <c r="FQN288" s="1132" t="n"/>
      <c r="FQO288" s="1132" t="n"/>
      <c r="FQP288" s="1132" t="n"/>
      <c r="FQQ288" s="1132" t="n"/>
      <c r="FQR288" s="1132" t="n"/>
      <c r="FQS288" s="1132" t="n"/>
      <c r="FQT288" s="1132" t="n"/>
      <c r="FQU288" s="1132" t="n"/>
      <c r="FQV288" s="1132" t="n"/>
      <c r="FQW288" s="1132" t="n"/>
      <c r="FQX288" s="1132" t="n"/>
      <c r="FQY288" s="1132" t="n"/>
      <c r="FQZ288" s="1132" t="n"/>
      <c r="FRA288" s="1132" t="n"/>
      <c r="FRB288" s="1132" t="n"/>
      <c r="FRC288" s="1132" t="n"/>
      <c r="FRD288" s="1132" t="n"/>
      <c r="FRE288" s="1132" t="n"/>
      <c r="FRF288" s="1132" t="n"/>
      <c r="FRG288" s="1132" t="n"/>
      <c r="FRH288" s="1132" t="n"/>
      <c r="FRI288" s="1132" t="n"/>
      <c r="FRJ288" s="1132" t="n"/>
      <c r="FRK288" s="1132" t="n"/>
      <c r="FRL288" s="1132" t="n"/>
      <c r="FRM288" s="1132" t="n"/>
      <c r="FRN288" s="1132" t="n"/>
      <c r="FRO288" s="1132" t="n"/>
      <c r="FRP288" s="1132" t="n"/>
      <c r="FRQ288" s="1132" t="n"/>
      <c r="FRR288" s="1132" t="n"/>
      <c r="FRS288" s="1132" t="n"/>
      <c r="FRT288" s="1132" t="n"/>
      <c r="FRU288" s="1132" t="n"/>
      <c r="FRV288" s="1132" t="n"/>
      <c r="FRW288" s="1132" t="n"/>
      <c r="FRX288" s="1132" t="n"/>
      <c r="FRY288" s="1132" t="n"/>
      <c r="FRZ288" s="1132" t="n"/>
      <c r="FSA288" s="1132" t="n"/>
      <c r="FSB288" s="1132" t="n"/>
      <c r="FSC288" s="1132" t="n"/>
      <c r="FSD288" s="1132" t="n"/>
      <c r="FSE288" s="1132" t="n"/>
      <c r="FSF288" s="1132" t="n"/>
      <c r="FSG288" s="1132" t="n"/>
      <c r="FSH288" s="1132" t="n"/>
      <c r="FSI288" s="1132" t="n"/>
      <c r="FSJ288" s="1132" t="n"/>
      <c r="FSK288" s="1132" t="n"/>
      <c r="FSL288" s="1132" t="n"/>
      <c r="FSM288" s="1132" t="n"/>
      <c r="FSN288" s="1132" t="n"/>
      <c r="FSO288" s="1132" t="n"/>
      <c r="FSP288" s="1132" t="n"/>
      <c r="FSQ288" s="1132" t="n"/>
      <c r="FSR288" s="1132" t="n"/>
      <c r="FSS288" s="1132" t="n"/>
      <c r="FST288" s="1132" t="n"/>
      <c r="FSU288" s="1132" t="n"/>
      <c r="FSV288" s="1132" t="n"/>
      <c r="FSW288" s="1132" t="n"/>
      <c r="FSX288" s="1132" t="n"/>
      <c r="FSY288" s="1132" t="n"/>
      <c r="FSZ288" s="1132" t="n"/>
      <c r="FTA288" s="1132" t="n"/>
      <c r="FTB288" s="1132" t="n"/>
      <c r="FTC288" s="1132" t="n"/>
      <c r="FTD288" s="1132" t="n"/>
      <c r="FTE288" s="1132" t="n"/>
      <c r="FTF288" s="1132" t="n"/>
      <c r="FTG288" s="1132" t="n"/>
      <c r="FTH288" s="1132" t="n"/>
      <c r="FTI288" s="1132" t="n"/>
      <c r="FTJ288" s="1132" t="n"/>
      <c r="FTK288" s="1132" t="n"/>
      <c r="FTL288" s="1132" t="n"/>
      <c r="FTM288" s="1132" t="n"/>
      <c r="FTN288" s="1132" t="n"/>
      <c r="FTO288" s="1132" t="n"/>
      <c r="FTP288" s="1132" t="n"/>
      <c r="FTQ288" s="1132" t="n"/>
      <c r="FTR288" s="1132" t="n"/>
      <c r="FTS288" s="1132" t="n"/>
      <c r="FTT288" s="1132" t="n"/>
      <c r="FTU288" s="1132" t="n"/>
      <c r="FTV288" s="1132" t="n"/>
      <c r="FTW288" s="1132" t="n"/>
      <c r="FTX288" s="1132" t="n"/>
      <c r="FTY288" s="1132" t="n"/>
      <c r="FTZ288" s="1132" t="n"/>
      <c r="FUA288" s="1132" t="n"/>
      <c r="FUB288" s="1132" t="n"/>
      <c r="FUC288" s="1132" t="n"/>
      <c r="FUD288" s="1132" t="n"/>
      <c r="FUE288" s="1132" t="n"/>
      <c r="FUF288" s="1132" t="n"/>
      <c r="FUG288" s="1132" t="n"/>
      <c r="FUH288" s="1132" t="n"/>
      <c r="FUI288" s="1132" t="n"/>
      <c r="FUJ288" s="1132" t="n"/>
      <c r="FUK288" s="1132" t="n"/>
      <c r="FUL288" s="1132" t="n"/>
      <c r="FUM288" s="1132" t="n"/>
      <c r="FUN288" s="1132" t="n"/>
      <c r="FUO288" s="1132" t="n"/>
      <c r="FUP288" s="1132" t="n"/>
      <c r="FUQ288" s="1132" t="n"/>
      <c r="FUR288" s="1132" t="n"/>
      <c r="FUS288" s="1132" t="n"/>
      <c r="FUT288" s="1132" t="n"/>
      <c r="FUU288" s="1132" t="n"/>
      <c r="FUV288" s="1132" t="n"/>
      <c r="FUW288" s="1132" t="n"/>
      <c r="FUX288" s="1132" t="n"/>
      <c r="FUY288" s="1132" t="n"/>
      <c r="FUZ288" s="1132" t="n"/>
      <c r="FVA288" s="1132" t="n"/>
      <c r="FVB288" s="1132" t="n"/>
      <c r="FVC288" s="1132" t="n"/>
      <c r="FVD288" s="1132" t="n"/>
      <c r="FVE288" s="1132" t="n"/>
      <c r="FVF288" s="1132" t="n"/>
      <c r="FVG288" s="1132" t="n"/>
      <c r="FVH288" s="1132" t="n"/>
      <c r="FVI288" s="1132" t="n"/>
      <c r="FVJ288" s="1132" t="n"/>
      <c r="FVK288" s="1132" t="n"/>
      <c r="FVL288" s="1132" t="n"/>
      <c r="FVM288" s="1132" t="n"/>
      <c r="FVN288" s="1132" t="n"/>
      <c r="FVO288" s="1132" t="n"/>
      <c r="FVP288" s="1132" t="n"/>
      <c r="FVQ288" s="1132" t="n"/>
      <c r="FVR288" s="1132" t="n"/>
      <c r="FVS288" s="1132" t="n"/>
      <c r="FVT288" s="1132" t="n"/>
      <c r="FVU288" s="1132" t="n"/>
      <c r="FVV288" s="1132" t="n"/>
      <c r="FVW288" s="1132" t="n"/>
      <c r="FVX288" s="1132" t="n"/>
      <c r="FVY288" s="1132" t="n"/>
      <c r="FVZ288" s="1132" t="n"/>
      <c r="FWA288" s="1132" t="n"/>
      <c r="FWB288" s="1132" t="n"/>
      <c r="FWC288" s="1132" t="n"/>
      <c r="FWD288" s="1132" t="n"/>
      <c r="FWE288" s="1132" t="n"/>
      <c r="FWF288" s="1132" t="n"/>
      <c r="FWG288" s="1132" t="n"/>
      <c r="FWH288" s="1132" t="n"/>
      <c r="FWI288" s="1132" t="n"/>
      <c r="FWJ288" s="1132" t="n"/>
      <c r="FWK288" s="1132" t="n"/>
      <c r="FWL288" s="1132" t="n"/>
      <c r="FWM288" s="1132" t="n"/>
      <c r="FWN288" s="1132" t="n"/>
      <c r="FWO288" s="1132" t="n"/>
      <c r="FWP288" s="1132" t="n"/>
      <c r="FWQ288" s="1132" t="n"/>
      <c r="FWR288" s="1132" t="n"/>
      <c r="FWS288" s="1132" t="n"/>
      <c r="FWT288" s="1132" t="n"/>
      <c r="FWU288" s="1132" t="n"/>
      <c r="FWV288" s="1132" t="n"/>
      <c r="FWW288" s="1132" t="n"/>
      <c r="FWX288" s="1132" t="n"/>
      <c r="FWY288" s="1132" t="n"/>
      <c r="FWZ288" s="1132" t="n"/>
      <c r="FXA288" s="1132" t="n"/>
      <c r="FXB288" s="1132" t="n"/>
      <c r="FXC288" s="1132" t="n"/>
      <c r="FXD288" s="1132" t="n"/>
      <c r="FXE288" s="1132" t="n"/>
      <c r="FXF288" s="1132" t="n"/>
      <c r="FXG288" s="1132" t="n"/>
      <c r="FXH288" s="1132" t="n"/>
      <c r="FXI288" s="1132" t="n"/>
      <c r="FXJ288" s="1132" t="n"/>
      <c r="FXK288" s="1132" t="n"/>
      <c r="FXL288" s="1132" t="n"/>
      <c r="FXM288" s="1132" t="n"/>
      <c r="FXN288" s="1132" t="n"/>
      <c r="FXO288" s="1132" t="n"/>
      <c r="FXP288" s="1132" t="n"/>
      <c r="FXQ288" s="1132" t="n"/>
      <c r="FXR288" s="1132" t="n"/>
      <c r="FXS288" s="1132" t="n"/>
      <c r="FXT288" s="1132" t="n"/>
      <c r="FXU288" s="1132" t="n"/>
      <c r="FXV288" s="1132" t="n"/>
      <c r="FXW288" s="1132" t="n"/>
      <c r="FXX288" s="1132" t="n"/>
      <c r="FXY288" s="1132" t="n"/>
      <c r="FXZ288" s="1132" t="n"/>
      <c r="FYA288" s="1132" t="n"/>
      <c r="FYB288" s="1132" t="n"/>
      <c r="FYC288" s="1132" t="n"/>
      <c r="FYD288" s="1132" t="n"/>
      <c r="FYE288" s="1132" t="n"/>
      <c r="FYF288" s="1132" t="n"/>
      <c r="FYG288" s="1132" t="n"/>
      <c r="FYH288" s="1132" t="n"/>
      <c r="FYI288" s="1132" t="n"/>
      <c r="FYJ288" s="1132" t="n"/>
      <c r="FYK288" s="1132" t="n"/>
      <c r="FYL288" s="1132" t="n"/>
      <c r="FYM288" s="1132" t="n"/>
      <c r="FYN288" s="1132" t="n"/>
      <c r="FYO288" s="1132" t="n"/>
      <c r="FYP288" s="1132" t="n"/>
      <c r="FYQ288" s="1132" t="n"/>
      <c r="FYR288" s="1132" t="n"/>
      <c r="FYS288" s="1132" t="n"/>
      <c r="FYT288" s="1132" t="n"/>
      <c r="FYU288" s="1132" t="n"/>
      <c r="FYV288" s="1132" t="n"/>
      <c r="FYW288" s="1132" t="n"/>
      <c r="FYX288" s="1132" t="n"/>
      <c r="FYY288" s="1132" t="n"/>
      <c r="FYZ288" s="1132" t="n"/>
      <c r="FZA288" s="1132" t="n"/>
      <c r="FZB288" s="1132" t="n"/>
      <c r="FZC288" s="1132" t="n"/>
      <c r="FZD288" s="1132" t="n"/>
      <c r="FZE288" s="1132" t="n"/>
      <c r="FZF288" s="1132" t="n"/>
      <c r="FZG288" s="1132" t="n"/>
      <c r="FZH288" s="1132" t="n"/>
      <c r="FZI288" s="1132" t="n"/>
      <c r="FZJ288" s="1132" t="n"/>
      <c r="FZK288" s="1132" t="n"/>
      <c r="FZL288" s="1132" t="n"/>
      <c r="FZM288" s="1132" t="n"/>
      <c r="FZN288" s="1132" t="n"/>
      <c r="FZO288" s="1132" t="n"/>
      <c r="FZP288" s="1132" t="n"/>
      <c r="FZQ288" s="1132" t="n"/>
      <c r="FZR288" s="1132" t="n"/>
      <c r="FZS288" s="1132" t="n"/>
      <c r="FZT288" s="1132" t="n"/>
      <c r="FZU288" s="1132" t="n"/>
      <c r="FZV288" s="1132" t="n"/>
      <c r="FZW288" s="1132" t="n"/>
      <c r="FZX288" s="1132" t="n"/>
      <c r="FZY288" s="1132" t="n"/>
      <c r="FZZ288" s="1132" t="n"/>
      <c r="GAA288" s="1132" t="n"/>
      <c r="GAB288" s="1132" t="n"/>
      <c r="GAC288" s="1132" t="n"/>
      <c r="GAD288" s="1132" t="n"/>
      <c r="GAE288" s="1132" t="n"/>
      <c r="GAF288" s="1132" t="n"/>
      <c r="GAG288" s="1132" t="n"/>
      <c r="GAH288" s="1132" t="n"/>
      <c r="GAI288" s="1132" t="n"/>
      <c r="GAJ288" s="1132" t="n"/>
      <c r="GAK288" s="1132" t="n"/>
      <c r="GAL288" s="1132" t="n"/>
      <c r="GAM288" s="1132" t="n"/>
      <c r="GAN288" s="1132" t="n"/>
      <c r="GAO288" s="1132" t="n"/>
      <c r="GAP288" s="1132" t="n"/>
      <c r="GAQ288" s="1132" t="n"/>
      <c r="GAR288" s="1132" t="n"/>
      <c r="GAS288" s="1132" t="n"/>
      <c r="GAT288" s="1132" t="n"/>
      <c r="GAU288" s="1132" t="n"/>
      <c r="GAV288" s="1132" t="n"/>
      <c r="GAW288" s="1132" t="n"/>
      <c r="GAX288" s="1132" t="n"/>
      <c r="GAY288" s="1132" t="n"/>
      <c r="GAZ288" s="1132" t="n"/>
      <c r="GBA288" s="1132" t="n"/>
      <c r="GBB288" s="1132" t="n"/>
      <c r="GBC288" s="1132" t="n"/>
      <c r="GBD288" s="1132" t="n"/>
      <c r="GBE288" s="1132" t="n"/>
      <c r="GBF288" s="1132" t="n"/>
      <c r="GBG288" s="1132" t="n"/>
      <c r="GBH288" s="1132" t="n"/>
      <c r="GBI288" s="1132" t="n"/>
      <c r="GBJ288" s="1132" t="n"/>
      <c r="GBK288" s="1132" t="n"/>
      <c r="GBL288" s="1132" t="n"/>
      <c r="GBM288" s="1132" t="n"/>
      <c r="GBN288" s="1132" t="n"/>
      <c r="GBO288" s="1132" t="n"/>
      <c r="GBP288" s="1132" t="n"/>
      <c r="GBQ288" s="1132" t="n"/>
      <c r="GBR288" s="1132" t="n"/>
      <c r="GBS288" s="1132" t="n"/>
      <c r="GBT288" s="1132" t="n"/>
      <c r="GBU288" s="1132" t="n"/>
      <c r="GBV288" s="1132" t="n"/>
      <c r="GBW288" s="1132" t="n"/>
      <c r="GBX288" s="1132" t="n"/>
      <c r="GBY288" s="1132" t="n"/>
      <c r="GBZ288" s="1132" t="n"/>
      <c r="GCA288" s="1132" t="n"/>
      <c r="GCB288" s="1132" t="n"/>
      <c r="GCC288" s="1132" t="n"/>
      <c r="GCD288" s="1132" t="n"/>
      <c r="GCE288" s="1132" t="n"/>
      <c r="GCF288" s="1132" t="n"/>
      <c r="GCG288" s="1132" t="n"/>
      <c r="GCH288" s="1132" t="n"/>
      <c r="GCI288" s="1132" t="n"/>
      <c r="GCJ288" s="1132" t="n"/>
      <c r="GCK288" s="1132" t="n"/>
      <c r="GCL288" s="1132" t="n"/>
      <c r="GCM288" s="1132" t="n"/>
      <c r="GCN288" s="1132" t="n"/>
      <c r="GCO288" s="1132" t="n"/>
      <c r="GCP288" s="1132" t="n"/>
      <c r="GCQ288" s="1132" t="n"/>
      <c r="GCR288" s="1132" t="n"/>
      <c r="GCS288" s="1132" t="n"/>
      <c r="GCT288" s="1132" t="n"/>
      <c r="GCU288" s="1132" t="n"/>
      <c r="GCV288" s="1132" t="n"/>
      <c r="GCW288" s="1132" t="n"/>
      <c r="GCX288" s="1132" t="n"/>
      <c r="GCY288" s="1132" t="n"/>
      <c r="GCZ288" s="1132" t="n"/>
      <c r="GDA288" s="1132" t="n"/>
      <c r="GDB288" s="1132" t="n"/>
      <c r="GDC288" s="1132" t="n"/>
      <c r="GDD288" s="1132" t="n"/>
      <c r="GDE288" s="1132" t="n"/>
      <c r="GDF288" s="1132" t="n"/>
      <c r="GDG288" s="1132" t="n"/>
      <c r="GDH288" s="1132" t="n"/>
      <c r="GDI288" s="1132" t="n"/>
      <c r="GDJ288" s="1132" t="n"/>
      <c r="GDK288" s="1132" t="n"/>
      <c r="GDL288" s="1132" t="n"/>
      <c r="GDM288" s="1132" t="n"/>
      <c r="GDN288" s="1132" t="n"/>
      <c r="GDO288" s="1132" t="n"/>
      <c r="GDP288" s="1132" t="n"/>
      <c r="GDQ288" s="1132" t="n"/>
      <c r="GDR288" s="1132" t="n"/>
      <c r="GDS288" s="1132" t="n"/>
      <c r="GDT288" s="1132" t="n"/>
      <c r="GDU288" s="1132" t="n"/>
      <c r="GDV288" s="1132" t="n"/>
      <c r="GDW288" s="1132" t="n"/>
      <c r="GDX288" s="1132" t="n"/>
      <c r="GDY288" s="1132" t="n"/>
      <c r="GDZ288" s="1132" t="n"/>
      <c r="GEA288" s="1132" t="n"/>
      <c r="GEB288" s="1132" t="n"/>
      <c r="GEC288" s="1132" t="n"/>
      <c r="GED288" s="1132" t="n"/>
      <c r="GEE288" s="1132" t="n"/>
      <c r="GEF288" s="1132" t="n"/>
      <c r="GEG288" s="1132" t="n"/>
      <c r="GEH288" s="1132" t="n"/>
      <c r="GEI288" s="1132" t="n"/>
      <c r="GEJ288" s="1132" t="n"/>
      <c r="GEK288" s="1132" t="n"/>
      <c r="GEL288" s="1132" t="n"/>
      <c r="GEM288" s="1132" t="n"/>
      <c r="GEN288" s="1132" t="n"/>
      <c r="GEO288" s="1132" t="n"/>
      <c r="GEP288" s="1132" t="n"/>
      <c r="GEQ288" s="1132" t="n"/>
      <c r="GER288" s="1132" t="n"/>
      <c r="GES288" s="1132" t="n"/>
      <c r="GET288" s="1132" t="n"/>
      <c r="GEU288" s="1132" t="n"/>
      <c r="GEV288" s="1132" t="n"/>
      <c r="GEW288" s="1132" t="n"/>
      <c r="GEX288" s="1132" t="n"/>
      <c r="GEY288" s="1132" t="n"/>
      <c r="GEZ288" s="1132" t="n"/>
      <c r="GFA288" s="1132" t="n"/>
      <c r="GFB288" s="1132" t="n"/>
      <c r="GFC288" s="1132" t="n"/>
      <c r="GFD288" s="1132" t="n"/>
      <c r="GFE288" s="1132" t="n"/>
      <c r="GFF288" s="1132" t="n"/>
      <c r="GFG288" s="1132" t="n"/>
      <c r="GFH288" s="1132" t="n"/>
      <c r="GFI288" s="1132" t="n"/>
      <c r="GFJ288" s="1132" t="n"/>
      <c r="GFK288" s="1132" t="n"/>
      <c r="GFL288" s="1132" t="n"/>
      <c r="GFM288" s="1132" t="n"/>
      <c r="GFN288" s="1132" t="n"/>
      <c r="GFO288" s="1132" t="n"/>
      <c r="GFP288" s="1132" t="n"/>
      <c r="GFQ288" s="1132" t="n"/>
      <c r="GFR288" s="1132" t="n"/>
      <c r="GFS288" s="1132" t="n"/>
      <c r="GFT288" s="1132" t="n"/>
      <c r="GFU288" s="1132" t="n"/>
      <c r="GFV288" s="1132" t="n"/>
      <c r="GFW288" s="1132" t="n"/>
      <c r="GFX288" s="1132" t="n"/>
      <c r="GFY288" s="1132" t="n"/>
      <c r="GFZ288" s="1132" t="n"/>
      <c r="GGA288" s="1132" t="n"/>
      <c r="GGB288" s="1132" t="n"/>
      <c r="GGC288" s="1132" t="n"/>
      <c r="GGD288" s="1132" t="n"/>
      <c r="GGE288" s="1132" t="n"/>
      <c r="GGF288" s="1132" t="n"/>
      <c r="GGG288" s="1132" t="n"/>
      <c r="GGH288" s="1132" t="n"/>
      <c r="GGI288" s="1132" t="n"/>
      <c r="GGJ288" s="1132" t="n"/>
      <c r="GGK288" s="1132" t="n"/>
      <c r="GGL288" s="1132" t="n"/>
      <c r="GGM288" s="1132" t="n"/>
      <c r="GGN288" s="1132" t="n"/>
      <c r="GGO288" s="1132" t="n"/>
      <c r="GGP288" s="1132" t="n"/>
      <c r="GGQ288" s="1132" t="n"/>
      <c r="GGR288" s="1132" t="n"/>
      <c r="GGS288" s="1132" t="n"/>
      <c r="GGT288" s="1132" t="n"/>
      <c r="GGU288" s="1132" t="n"/>
      <c r="GGV288" s="1132" t="n"/>
      <c r="GGW288" s="1132" t="n"/>
      <c r="GGX288" s="1132" t="n"/>
      <c r="GGY288" s="1132" t="n"/>
      <c r="GGZ288" s="1132" t="n"/>
      <c r="GHA288" s="1132" t="n"/>
      <c r="GHB288" s="1132" t="n"/>
      <c r="GHC288" s="1132" t="n"/>
      <c r="GHD288" s="1132" t="n"/>
      <c r="GHE288" s="1132" t="n"/>
      <c r="GHF288" s="1132" t="n"/>
      <c r="GHG288" s="1132" t="n"/>
      <c r="GHH288" s="1132" t="n"/>
      <c r="GHI288" s="1132" t="n"/>
      <c r="GHJ288" s="1132" t="n"/>
      <c r="GHK288" s="1132" t="n"/>
      <c r="GHL288" s="1132" t="n"/>
      <c r="GHM288" s="1132" t="n"/>
      <c r="GHN288" s="1132" t="n"/>
      <c r="GHO288" s="1132" t="n"/>
      <c r="GHP288" s="1132" t="n"/>
      <c r="GHQ288" s="1132" t="n"/>
      <c r="GHR288" s="1132" t="n"/>
      <c r="GHS288" s="1132" t="n"/>
      <c r="GHT288" s="1132" t="n"/>
      <c r="GHU288" s="1132" t="n"/>
      <c r="GHV288" s="1132" t="n"/>
      <c r="GHW288" s="1132" t="n"/>
      <c r="GHX288" s="1132" t="n"/>
      <c r="GHY288" s="1132" t="n"/>
      <c r="GHZ288" s="1132" t="n"/>
      <c r="GIA288" s="1132" t="n"/>
      <c r="GIB288" s="1132" t="n"/>
      <c r="GIC288" s="1132" t="n"/>
      <c r="GID288" s="1132" t="n"/>
      <c r="GIE288" s="1132" t="n"/>
      <c r="GIF288" s="1132" t="n"/>
      <c r="GIG288" s="1132" t="n"/>
      <c r="GIH288" s="1132" t="n"/>
      <c r="GII288" s="1132" t="n"/>
      <c r="GIJ288" s="1132" t="n"/>
      <c r="GIK288" s="1132" t="n"/>
      <c r="GIL288" s="1132" t="n"/>
      <c r="GIM288" s="1132" t="n"/>
      <c r="GIN288" s="1132" t="n"/>
      <c r="GIO288" s="1132" t="n"/>
      <c r="GIP288" s="1132" t="n"/>
      <c r="GIQ288" s="1132" t="n"/>
      <c r="GIR288" s="1132" t="n"/>
      <c r="GIS288" s="1132" t="n"/>
      <c r="GIT288" s="1132" t="n"/>
      <c r="GIU288" s="1132" t="n"/>
      <c r="GIV288" s="1132" t="n"/>
      <c r="GIW288" s="1132" t="n"/>
      <c r="GIX288" s="1132" t="n"/>
      <c r="GIY288" s="1132" t="n"/>
      <c r="GIZ288" s="1132" t="n"/>
      <c r="GJA288" s="1132" t="n"/>
      <c r="GJB288" s="1132" t="n"/>
      <c r="GJC288" s="1132" t="n"/>
      <c r="GJD288" s="1132" t="n"/>
      <c r="GJE288" s="1132" t="n"/>
      <c r="GJF288" s="1132" t="n"/>
      <c r="GJG288" s="1132" t="n"/>
      <c r="GJH288" s="1132" t="n"/>
      <c r="GJI288" s="1132" t="n"/>
      <c r="GJJ288" s="1132" t="n"/>
      <c r="GJK288" s="1132" t="n"/>
      <c r="GJL288" s="1132" t="n"/>
      <c r="GJM288" s="1132" t="n"/>
      <c r="GJN288" s="1132" t="n"/>
      <c r="GJO288" s="1132" t="n"/>
      <c r="GJP288" s="1132" t="n"/>
      <c r="GJQ288" s="1132" t="n"/>
      <c r="GJR288" s="1132" t="n"/>
      <c r="GJS288" s="1132" t="n"/>
      <c r="GJT288" s="1132" t="n"/>
      <c r="GJU288" s="1132" t="n"/>
      <c r="GJV288" s="1132" t="n"/>
      <c r="GJW288" s="1132" t="n"/>
      <c r="GJX288" s="1132" t="n"/>
      <c r="GJY288" s="1132" t="n"/>
      <c r="GJZ288" s="1132" t="n"/>
      <c r="GKA288" s="1132" t="n"/>
      <c r="GKB288" s="1132" t="n"/>
      <c r="GKC288" s="1132" t="n"/>
      <c r="GKD288" s="1132" t="n"/>
      <c r="GKE288" s="1132" t="n"/>
      <c r="GKF288" s="1132" t="n"/>
      <c r="GKG288" s="1132" t="n"/>
      <c r="GKH288" s="1132" t="n"/>
      <c r="GKI288" s="1132" t="n"/>
      <c r="GKJ288" s="1132" t="n"/>
      <c r="GKK288" s="1132" t="n"/>
      <c r="GKL288" s="1132" t="n"/>
      <c r="GKM288" s="1132" t="n"/>
      <c r="GKN288" s="1132" t="n"/>
      <c r="GKO288" s="1132" t="n"/>
      <c r="GKP288" s="1132" t="n"/>
      <c r="GKQ288" s="1132" t="n"/>
      <c r="GKR288" s="1132" t="n"/>
      <c r="GKS288" s="1132" t="n"/>
      <c r="GKT288" s="1132" t="n"/>
      <c r="GKU288" s="1132" t="n"/>
      <c r="GKV288" s="1132" t="n"/>
      <c r="GKW288" s="1132" t="n"/>
      <c r="GKX288" s="1132" t="n"/>
      <c r="GKY288" s="1132" t="n"/>
      <c r="GKZ288" s="1132" t="n"/>
      <c r="GLA288" s="1132" t="n"/>
      <c r="GLB288" s="1132" t="n"/>
      <c r="GLC288" s="1132" t="n"/>
      <c r="GLD288" s="1132" t="n"/>
      <c r="GLE288" s="1132" t="n"/>
      <c r="GLF288" s="1132" t="n"/>
      <c r="GLG288" s="1132" t="n"/>
      <c r="GLH288" s="1132" t="n"/>
      <c r="GLI288" s="1132" t="n"/>
      <c r="GLJ288" s="1132" t="n"/>
      <c r="GLK288" s="1132" t="n"/>
      <c r="GLL288" s="1132" t="n"/>
      <c r="GLM288" s="1132" t="n"/>
      <c r="GLN288" s="1132" t="n"/>
      <c r="GLO288" s="1132" t="n"/>
      <c r="GLP288" s="1132" t="n"/>
      <c r="GLQ288" s="1132" t="n"/>
      <c r="GLR288" s="1132" t="n"/>
      <c r="GLS288" s="1132" t="n"/>
      <c r="GLT288" s="1132" t="n"/>
      <c r="GLU288" s="1132" t="n"/>
      <c r="GLV288" s="1132" t="n"/>
      <c r="GLW288" s="1132" t="n"/>
      <c r="GLX288" s="1132" t="n"/>
      <c r="GLY288" s="1132" t="n"/>
      <c r="GLZ288" s="1132" t="n"/>
      <c r="GMA288" s="1132" t="n"/>
      <c r="GMB288" s="1132" t="n"/>
      <c r="GMC288" s="1132" t="n"/>
      <c r="GMD288" s="1132" t="n"/>
      <c r="GME288" s="1132" t="n"/>
      <c r="GMF288" s="1132" t="n"/>
      <c r="GMG288" s="1132" t="n"/>
      <c r="GMH288" s="1132" t="n"/>
      <c r="GMI288" s="1132" t="n"/>
      <c r="GMJ288" s="1132" t="n"/>
      <c r="GMK288" s="1132" t="n"/>
      <c r="GML288" s="1132" t="n"/>
      <c r="GMM288" s="1132" t="n"/>
      <c r="GMN288" s="1132" t="n"/>
      <c r="GMO288" s="1132" t="n"/>
      <c r="GMP288" s="1132" t="n"/>
      <c r="GMQ288" s="1132" t="n"/>
      <c r="GMR288" s="1132" t="n"/>
      <c r="GMS288" s="1132" t="n"/>
      <c r="GMT288" s="1132" t="n"/>
      <c r="GMU288" s="1132" t="n"/>
      <c r="GMV288" s="1132" t="n"/>
      <c r="GMW288" s="1132" t="n"/>
      <c r="GMX288" s="1132" t="n"/>
      <c r="GMY288" s="1132" t="n"/>
      <c r="GMZ288" s="1132" t="n"/>
      <c r="GNA288" s="1132" t="n"/>
      <c r="GNB288" s="1132" t="n"/>
      <c r="GNC288" s="1132" t="n"/>
      <c r="GND288" s="1132" t="n"/>
      <c r="GNE288" s="1132" t="n"/>
      <c r="GNF288" s="1132" t="n"/>
      <c r="GNG288" s="1132" t="n"/>
      <c r="GNH288" s="1132" t="n"/>
      <c r="GNI288" s="1132" t="n"/>
      <c r="GNJ288" s="1132" t="n"/>
      <c r="GNK288" s="1132" t="n"/>
      <c r="GNL288" s="1132" t="n"/>
      <c r="GNM288" s="1132" t="n"/>
      <c r="GNN288" s="1132" t="n"/>
      <c r="GNO288" s="1132" t="n"/>
      <c r="GNP288" s="1132" t="n"/>
      <c r="GNQ288" s="1132" t="n"/>
      <c r="GNR288" s="1132" t="n"/>
      <c r="GNS288" s="1132" t="n"/>
      <c r="GNT288" s="1132" t="n"/>
      <c r="GNU288" s="1132" t="n"/>
      <c r="GNV288" s="1132" t="n"/>
      <c r="GNW288" s="1132" t="n"/>
      <c r="GNX288" s="1132" t="n"/>
      <c r="GNY288" s="1132" t="n"/>
      <c r="GNZ288" s="1132" t="n"/>
      <c r="GOA288" s="1132" t="n"/>
      <c r="GOB288" s="1132" t="n"/>
      <c r="GOC288" s="1132" t="n"/>
      <c r="GOD288" s="1132" t="n"/>
      <c r="GOE288" s="1132" t="n"/>
      <c r="GOF288" s="1132" t="n"/>
      <c r="GOG288" s="1132" t="n"/>
      <c r="GOH288" s="1132" t="n"/>
      <c r="GOI288" s="1132" t="n"/>
      <c r="GOJ288" s="1132" t="n"/>
      <c r="GOK288" s="1132" t="n"/>
      <c r="GOL288" s="1132" t="n"/>
      <c r="GOM288" s="1132" t="n"/>
      <c r="GON288" s="1132" t="n"/>
      <c r="GOO288" s="1132" t="n"/>
      <c r="GOP288" s="1132" t="n"/>
      <c r="GOQ288" s="1132" t="n"/>
      <c r="GOR288" s="1132" t="n"/>
      <c r="GOS288" s="1132" t="n"/>
      <c r="GOT288" s="1132" t="n"/>
      <c r="GOU288" s="1132" t="n"/>
      <c r="GOV288" s="1132" t="n"/>
      <c r="GOW288" s="1132" t="n"/>
      <c r="GOX288" s="1132" t="n"/>
      <c r="GOY288" s="1132" t="n"/>
      <c r="GOZ288" s="1132" t="n"/>
      <c r="GPA288" s="1132" t="n"/>
      <c r="GPB288" s="1132" t="n"/>
      <c r="GPC288" s="1132" t="n"/>
      <c r="GPD288" s="1132" t="n"/>
      <c r="GPE288" s="1132" t="n"/>
      <c r="GPF288" s="1132" t="n"/>
      <c r="GPG288" s="1132" t="n"/>
      <c r="GPH288" s="1132" t="n"/>
      <c r="GPI288" s="1132" t="n"/>
      <c r="GPJ288" s="1132" t="n"/>
      <c r="GPK288" s="1132" t="n"/>
      <c r="GPL288" s="1132" t="n"/>
      <c r="GPM288" s="1132" t="n"/>
      <c r="GPN288" s="1132" t="n"/>
      <c r="GPO288" s="1132" t="n"/>
      <c r="GPP288" s="1132" t="n"/>
      <c r="GPQ288" s="1132" t="n"/>
      <c r="GPR288" s="1132" t="n"/>
      <c r="GPS288" s="1132" t="n"/>
      <c r="GPT288" s="1132" t="n"/>
      <c r="GPU288" s="1132" t="n"/>
      <c r="GPV288" s="1132" t="n"/>
      <c r="GPW288" s="1132" t="n"/>
      <c r="GPX288" s="1132" t="n"/>
      <c r="GPY288" s="1132" t="n"/>
      <c r="GPZ288" s="1132" t="n"/>
      <c r="GQA288" s="1132" t="n"/>
      <c r="GQB288" s="1132" t="n"/>
      <c r="GQC288" s="1132" t="n"/>
      <c r="GQD288" s="1132" t="n"/>
      <c r="GQE288" s="1132" t="n"/>
      <c r="GQF288" s="1132" t="n"/>
      <c r="GQG288" s="1132" t="n"/>
      <c r="GQH288" s="1132" t="n"/>
      <c r="GQI288" s="1132" t="n"/>
      <c r="GQJ288" s="1132" t="n"/>
      <c r="GQK288" s="1132" t="n"/>
      <c r="GQL288" s="1132" t="n"/>
      <c r="GQM288" s="1132" t="n"/>
      <c r="GQN288" s="1132" t="n"/>
      <c r="GQO288" s="1132" t="n"/>
      <c r="GQP288" s="1132" t="n"/>
      <c r="GQQ288" s="1132" t="n"/>
      <c r="GQR288" s="1132" t="n"/>
      <c r="GQS288" s="1132" t="n"/>
      <c r="GQT288" s="1132" t="n"/>
      <c r="GQU288" s="1132" t="n"/>
      <c r="GQV288" s="1132" t="n"/>
      <c r="GQW288" s="1132" t="n"/>
      <c r="GQX288" s="1132" t="n"/>
      <c r="GQY288" s="1132" t="n"/>
      <c r="GQZ288" s="1132" t="n"/>
      <c r="GRA288" s="1132" t="n"/>
      <c r="GRB288" s="1132" t="n"/>
      <c r="GRC288" s="1132" t="n"/>
      <c r="GRD288" s="1132" t="n"/>
      <c r="GRE288" s="1132" t="n"/>
      <c r="GRF288" s="1132" t="n"/>
      <c r="GRG288" s="1132" t="n"/>
      <c r="GRH288" s="1132" t="n"/>
      <c r="GRI288" s="1132" t="n"/>
      <c r="GRJ288" s="1132" t="n"/>
      <c r="GRK288" s="1132" t="n"/>
      <c r="GRL288" s="1132" t="n"/>
      <c r="GRM288" s="1132" t="n"/>
      <c r="GRN288" s="1132" t="n"/>
      <c r="GRO288" s="1132" t="n"/>
      <c r="GRP288" s="1132" t="n"/>
      <c r="GRQ288" s="1132" t="n"/>
      <c r="GRR288" s="1132" t="n"/>
      <c r="GRS288" s="1132" t="n"/>
      <c r="GRT288" s="1132" t="n"/>
      <c r="GRU288" s="1132" t="n"/>
      <c r="GRV288" s="1132" t="n"/>
      <c r="GRW288" s="1132" t="n"/>
      <c r="GRX288" s="1132" t="n"/>
      <c r="GRY288" s="1132" t="n"/>
      <c r="GRZ288" s="1132" t="n"/>
      <c r="GSA288" s="1132" t="n"/>
      <c r="GSB288" s="1132" t="n"/>
      <c r="GSC288" s="1132" t="n"/>
      <c r="GSD288" s="1132" t="n"/>
      <c r="GSE288" s="1132" t="n"/>
      <c r="GSF288" s="1132" t="n"/>
      <c r="GSG288" s="1132" t="n"/>
      <c r="GSH288" s="1132" t="n"/>
      <c r="GSI288" s="1132" t="n"/>
      <c r="GSJ288" s="1132" t="n"/>
      <c r="GSK288" s="1132" t="n"/>
      <c r="GSL288" s="1132" t="n"/>
      <c r="GSM288" s="1132" t="n"/>
      <c r="GSN288" s="1132" t="n"/>
      <c r="GSO288" s="1132" t="n"/>
      <c r="GSP288" s="1132" t="n"/>
      <c r="GSQ288" s="1132" t="n"/>
      <c r="GSR288" s="1132" t="n"/>
      <c r="GSS288" s="1132" t="n"/>
      <c r="GST288" s="1132" t="n"/>
      <c r="GSU288" s="1132" t="n"/>
      <c r="GSV288" s="1132" t="n"/>
      <c r="GSW288" s="1132" t="n"/>
      <c r="GSX288" s="1132" t="n"/>
      <c r="GSY288" s="1132" t="n"/>
      <c r="GSZ288" s="1132" t="n"/>
      <c r="GTA288" s="1132" t="n"/>
      <c r="GTB288" s="1132" t="n"/>
      <c r="GTC288" s="1132" t="n"/>
      <c r="GTD288" s="1132" t="n"/>
      <c r="GTE288" s="1132" t="n"/>
      <c r="GTF288" s="1132" t="n"/>
      <c r="GTG288" s="1132" t="n"/>
      <c r="GTH288" s="1132" t="n"/>
      <c r="GTI288" s="1132" t="n"/>
      <c r="GTJ288" s="1132" t="n"/>
      <c r="GTK288" s="1132" t="n"/>
      <c r="GTL288" s="1132" t="n"/>
      <c r="GTM288" s="1132" t="n"/>
      <c r="GTN288" s="1132" t="n"/>
      <c r="GTO288" s="1132" t="n"/>
      <c r="GTP288" s="1132" t="n"/>
      <c r="GTQ288" s="1132" t="n"/>
      <c r="GTR288" s="1132" t="n"/>
      <c r="GTS288" s="1132" t="n"/>
      <c r="GTT288" s="1132" t="n"/>
      <c r="GTU288" s="1132" t="n"/>
      <c r="GTV288" s="1132" t="n"/>
      <c r="GTW288" s="1132" t="n"/>
      <c r="GTX288" s="1132" t="n"/>
      <c r="GTY288" s="1132" t="n"/>
      <c r="GTZ288" s="1132" t="n"/>
      <c r="GUA288" s="1132" t="n"/>
      <c r="GUB288" s="1132" t="n"/>
      <c r="GUC288" s="1132" t="n"/>
      <c r="GUD288" s="1132" t="n"/>
      <c r="GUE288" s="1132" t="n"/>
      <c r="GUF288" s="1132" t="n"/>
      <c r="GUG288" s="1132" t="n"/>
      <c r="GUH288" s="1132" t="n"/>
      <c r="GUI288" s="1132" t="n"/>
      <c r="GUJ288" s="1132" t="n"/>
      <c r="GUK288" s="1132" t="n"/>
      <c r="GUL288" s="1132" t="n"/>
      <c r="GUM288" s="1132" t="n"/>
      <c r="GUN288" s="1132" t="n"/>
      <c r="GUO288" s="1132" t="n"/>
      <c r="GUP288" s="1132" t="n"/>
      <c r="GUQ288" s="1132" t="n"/>
      <c r="GUR288" s="1132" t="n"/>
      <c r="GUS288" s="1132" t="n"/>
      <c r="GUT288" s="1132" t="n"/>
      <c r="GUU288" s="1132" t="n"/>
      <c r="GUV288" s="1132" t="n"/>
      <c r="GUW288" s="1132" t="n"/>
      <c r="GUX288" s="1132" t="n"/>
      <c r="GUY288" s="1132" t="n"/>
      <c r="GUZ288" s="1132" t="n"/>
      <c r="GVA288" s="1132" t="n"/>
      <c r="GVB288" s="1132" t="n"/>
      <c r="GVC288" s="1132" t="n"/>
      <c r="GVD288" s="1132" t="n"/>
      <c r="GVE288" s="1132" t="n"/>
      <c r="GVF288" s="1132" t="n"/>
      <c r="GVG288" s="1132" t="n"/>
      <c r="GVH288" s="1132" t="n"/>
      <c r="GVI288" s="1132" t="n"/>
      <c r="GVJ288" s="1132" t="n"/>
      <c r="GVK288" s="1132" t="n"/>
      <c r="GVL288" s="1132" t="n"/>
      <c r="GVM288" s="1132" t="n"/>
      <c r="GVN288" s="1132" t="n"/>
      <c r="GVO288" s="1132" t="n"/>
      <c r="GVP288" s="1132" t="n"/>
      <c r="GVQ288" s="1132" t="n"/>
      <c r="GVR288" s="1132" t="n"/>
      <c r="GVS288" s="1132" t="n"/>
      <c r="GVT288" s="1132" t="n"/>
      <c r="GVU288" s="1132" t="n"/>
      <c r="GVV288" s="1132" t="n"/>
      <c r="GVW288" s="1132" t="n"/>
      <c r="GVX288" s="1132" t="n"/>
      <c r="GVY288" s="1132" t="n"/>
      <c r="GVZ288" s="1132" t="n"/>
      <c r="GWA288" s="1132" t="n"/>
      <c r="GWB288" s="1132" t="n"/>
      <c r="GWC288" s="1132" t="n"/>
      <c r="GWD288" s="1132" t="n"/>
      <c r="GWE288" s="1132" t="n"/>
      <c r="GWF288" s="1132" t="n"/>
      <c r="GWG288" s="1132" t="n"/>
      <c r="GWH288" s="1132" t="n"/>
      <c r="GWI288" s="1132" t="n"/>
      <c r="GWJ288" s="1132" t="n"/>
      <c r="GWK288" s="1132" t="n"/>
      <c r="GWL288" s="1132" t="n"/>
      <c r="GWM288" s="1132" t="n"/>
      <c r="GWN288" s="1132" t="n"/>
      <c r="GWO288" s="1132" t="n"/>
      <c r="GWP288" s="1132" t="n"/>
      <c r="GWQ288" s="1132" t="n"/>
      <c r="GWR288" s="1132" t="n"/>
      <c r="GWS288" s="1132" t="n"/>
      <c r="GWT288" s="1132" t="n"/>
      <c r="GWU288" s="1132" t="n"/>
      <c r="GWV288" s="1132" t="n"/>
      <c r="GWW288" s="1132" t="n"/>
      <c r="GWX288" s="1132" t="n"/>
      <c r="GWY288" s="1132" t="n"/>
      <c r="GWZ288" s="1132" t="n"/>
      <c r="GXA288" s="1132" t="n"/>
      <c r="GXB288" s="1132" t="n"/>
      <c r="GXC288" s="1132" t="n"/>
      <c r="GXD288" s="1132" t="n"/>
      <c r="GXE288" s="1132" t="n"/>
      <c r="GXF288" s="1132" t="n"/>
      <c r="GXG288" s="1132" t="n"/>
      <c r="GXH288" s="1132" t="n"/>
      <c r="GXI288" s="1132" t="n"/>
      <c r="GXJ288" s="1132" t="n"/>
      <c r="GXK288" s="1132" t="n"/>
      <c r="GXL288" s="1132" t="n"/>
      <c r="GXM288" s="1132" t="n"/>
      <c r="GXN288" s="1132" t="n"/>
      <c r="GXO288" s="1132" t="n"/>
      <c r="GXP288" s="1132" t="n"/>
      <c r="GXQ288" s="1132" t="n"/>
      <c r="GXR288" s="1132" t="n"/>
      <c r="GXS288" s="1132" t="n"/>
      <c r="GXT288" s="1132" t="n"/>
      <c r="GXU288" s="1132" t="n"/>
      <c r="GXV288" s="1132" t="n"/>
      <c r="GXW288" s="1132" t="n"/>
      <c r="GXX288" s="1132" t="n"/>
      <c r="GXY288" s="1132" t="n"/>
      <c r="GXZ288" s="1132" t="n"/>
      <c r="GYA288" s="1132" t="n"/>
      <c r="GYB288" s="1132" t="n"/>
      <c r="GYC288" s="1132" t="n"/>
      <c r="GYD288" s="1132" t="n"/>
      <c r="GYE288" s="1132" t="n"/>
      <c r="GYF288" s="1132" t="n"/>
      <c r="GYG288" s="1132" t="n"/>
      <c r="GYH288" s="1132" t="n"/>
      <c r="GYI288" s="1132" t="n"/>
      <c r="GYJ288" s="1132" t="n"/>
      <c r="GYK288" s="1132" t="n"/>
      <c r="GYL288" s="1132" t="n"/>
      <c r="GYM288" s="1132" t="n"/>
      <c r="GYN288" s="1132" t="n"/>
      <c r="GYO288" s="1132" t="n"/>
      <c r="GYP288" s="1132" t="n"/>
      <c r="GYQ288" s="1132" t="n"/>
      <c r="GYR288" s="1132" t="n"/>
      <c r="GYS288" s="1132" t="n"/>
      <c r="GYT288" s="1132" t="n"/>
      <c r="GYU288" s="1132" t="n"/>
      <c r="GYV288" s="1132" t="n"/>
      <c r="GYW288" s="1132" t="n"/>
      <c r="GYX288" s="1132" t="n"/>
      <c r="GYY288" s="1132" t="n"/>
      <c r="GYZ288" s="1132" t="n"/>
      <c r="GZA288" s="1132" t="n"/>
      <c r="GZB288" s="1132" t="n"/>
      <c r="GZC288" s="1132" t="n"/>
      <c r="GZD288" s="1132" t="n"/>
      <c r="GZE288" s="1132" t="n"/>
      <c r="GZF288" s="1132" t="n"/>
      <c r="GZG288" s="1132" t="n"/>
      <c r="GZH288" s="1132" t="n"/>
      <c r="GZI288" s="1132" t="n"/>
      <c r="GZJ288" s="1132" t="n"/>
      <c r="GZK288" s="1132" t="n"/>
      <c r="GZL288" s="1132" t="n"/>
      <c r="GZM288" s="1132" t="n"/>
      <c r="GZN288" s="1132" t="n"/>
      <c r="GZO288" s="1132" t="n"/>
      <c r="GZP288" s="1132" t="n"/>
      <c r="GZQ288" s="1132" t="n"/>
      <c r="GZR288" s="1132" t="n"/>
      <c r="GZS288" s="1132" t="n"/>
      <c r="GZT288" s="1132" t="n"/>
      <c r="GZU288" s="1132" t="n"/>
      <c r="GZV288" s="1132" t="n"/>
      <c r="GZW288" s="1132" t="n"/>
      <c r="GZX288" s="1132" t="n"/>
      <c r="GZY288" s="1132" t="n"/>
      <c r="GZZ288" s="1132" t="n"/>
      <c r="HAA288" s="1132" t="n"/>
      <c r="HAB288" s="1132" t="n"/>
      <c r="HAC288" s="1132" t="n"/>
      <c r="HAD288" s="1132" t="n"/>
      <c r="HAE288" s="1132" t="n"/>
      <c r="HAF288" s="1132" t="n"/>
      <c r="HAG288" s="1132" t="n"/>
      <c r="HAH288" s="1132" t="n"/>
      <c r="HAI288" s="1132" t="n"/>
      <c r="HAJ288" s="1132" t="n"/>
      <c r="HAK288" s="1132" t="n"/>
      <c r="HAL288" s="1132" t="n"/>
      <c r="HAM288" s="1132" t="n"/>
      <c r="HAN288" s="1132" t="n"/>
      <c r="HAO288" s="1132" t="n"/>
      <c r="HAP288" s="1132" t="n"/>
      <c r="HAQ288" s="1132" t="n"/>
      <c r="HAR288" s="1132" t="n"/>
      <c r="HAS288" s="1132" t="n"/>
      <c r="HAT288" s="1132" t="n"/>
      <c r="HAU288" s="1132" t="n"/>
      <c r="HAV288" s="1132" t="n"/>
      <c r="HAW288" s="1132" t="n"/>
      <c r="HAX288" s="1132" t="n"/>
      <c r="HAY288" s="1132" t="n"/>
      <c r="HAZ288" s="1132" t="n"/>
      <c r="HBA288" s="1132" t="n"/>
      <c r="HBB288" s="1132" t="n"/>
      <c r="HBC288" s="1132" t="n"/>
      <c r="HBD288" s="1132" t="n"/>
      <c r="HBE288" s="1132" t="n"/>
      <c r="HBF288" s="1132" t="n"/>
      <c r="HBG288" s="1132" t="n"/>
      <c r="HBH288" s="1132" t="n"/>
      <c r="HBI288" s="1132" t="n"/>
      <c r="HBJ288" s="1132" t="n"/>
      <c r="HBK288" s="1132" t="n"/>
      <c r="HBL288" s="1132" t="n"/>
      <c r="HBM288" s="1132" t="n"/>
      <c r="HBN288" s="1132" t="n"/>
      <c r="HBO288" s="1132" t="n"/>
      <c r="HBP288" s="1132" t="n"/>
      <c r="HBQ288" s="1132" t="n"/>
      <c r="HBR288" s="1132" t="n"/>
      <c r="HBS288" s="1132" t="n"/>
      <c r="HBT288" s="1132" t="n"/>
      <c r="HBU288" s="1132" t="n"/>
      <c r="HBV288" s="1132" t="n"/>
      <c r="HBW288" s="1132" t="n"/>
      <c r="HBX288" s="1132" t="n"/>
      <c r="HBY288" s="1132" t="n"/>
      <c r="HBZ288" s="1132" t="n"/>
      <c r="HCA288" s="1132" t="n"/>
      <c r="HCB288" s="1132" t="n"/>
      <c r="HCC288" s="1132" t="n"/>
      <c r="HCD288" s="1132" t="n"/>
      <c r="HCE288" s="1132" t="n"/>
      <c r="HCF288" s="1132" t="n"/>
      <c r="HCG288" s="1132" t="n"/>
      <c r="HCH288" s="1132" t="n"/>
      <c r="HCI288" s="1132" t="n"/>
      <c r="HCJ288" s="1132" t="n"/>
      <c r="HCK288" s="1132" t="n"/>
      <c r="HCL288" s="1132" t="n"/>
      <c r="HCM288" s="1132" t="n"/>
      <c r="HCN288" s="1132" t="n"/>
      <c r="HCO288" s="1132" t="n"/>
      <c r="HCP288" s="1132" t="n"/>
      <c r="HCQ288" s="1132" t="n"/>
      <c r="HCR288" s="1132" t="n"/>
      <c r="HCS288" s="1132" t="n"/>
      <c r="HCT288" s="1132" t="n"/>
      <c r="HCU288" s="1132" t="n"/>
      <c r="HCV288" s="1132" t="n"/>
      <c r="HCW288" s="1132" t="n"/>
      <c r="HCX288" s="1132" t="n"/>
      <c r="HCY288" s="1132" t="n"/>
      <c r="HCZ288" s="1132" t="n"/>
      <c r="HDA288" s="1132" t="n"/>
      <c r="HDB288" s="1132" t="n"/>
      <c r="HDC288" s="1132" t="n"/>
      <c r="HDD288" s="1132" t="n"/>
      <c r="HDE288" s="1132" t="n"/>
      <c r="HDF288" s="1132" t="n"/>
      <c r="HDG288" s="1132" t="n"/>
      <c r="HDH288" s="1132" t="n"/>
      <c r="HDI288" s="1132" t="n"/>
      <c r="HDJ288" s="1132" t="n"/>
      <c r="HDK288" s="1132" t="n"/>
      <c r="HDL288" s="1132" t="n"/>
      <c r="HDM288" s="1132" t="n"/>
      <c r="HDN288" s="1132" t="n"/>
      <c r="HDO288" s="1132" t="n"/>
      <c r="HDP288" s="1132" t="n"/>
      <c r="HDQ288" s="1132" t="n"/>
      <c r="HDR288" s="1132" t="n"/>
      <c r="HDS288" s="1132" t="n"/>
      <c r="HDT288" s="1132" t="n"/>
      <c r="HDU288" s="1132" t="n"/>
      <c r="HDV288" s="1132" t="n"/>
      <c r="HDW288" s="1132" t="n"/>
      <c r="HDX288" s="1132" t="n"/>
      <c r="HDY288" s="1132" t="n"/>
      <c r="HDZ288" s="1132" t="n"/>
      <c r="HEA288" s="1132" t="n"/>
      <c r="HEB288" s="1132" t="n"/>
      <c r="HEC288" s="1132" t="n"/>
      <c r="HED288" s="1132" t="n"/>
      <c r="HEE288" s="1132" t="n"/>
      <c r="HEF288" s="1132" t="n"/>
      <c r="HEG288" s="1132" t="n"/>
      <c r="HEH288" s="1132" t="n"/>
      <c r="HEI288" s="1132" t="n"/>
      <c r="HEJ288" s="1132" t="n"/>
      <c r="HEK288" s="1132" t="n"/>
      <c r="HEL288" s="1132" t="n"/>
      <c r="HEM288" s="1132" t="n"/>
      <c r="HEN288" s="1132" t="n"/>
      <c r="HEO288" s="1132" t="n"/>
      <c r="HEP288" s="1132" t="n"/>
      <c r="HEQ288" s="1132" t="n"/>
      <c r="HER288" s="1132" t="n"/>
      <c r="HES288" s="1132" t="n"/>
      <c r="HET288" s="1132" t="n"/>
      <c r="HEU288" s="1132" t="n"/>
      <c r="HEV288" s="1132" t="n"/>
      <c r="HEW288" s="1132" t="n"/>
      <c r="HEX288" s="1132" t="n"/>
      <c r="HEY288" s="1132" t="n"/>
      <c r="HEZ288" s="1132" t="n"/>
      <c r="HFA288" s="1132" t="n"/>
      <c r="HFB288" s="1132" t="n"/>
      <c r="HFC288" s="1132" t="n"/>
      <c r="HFD288" s="1132" t="n"/>
      <c r="HFE288" s="1132" t="n"/>
      <c r="HFF288" s="1132" t="n"/>
      <c r="HFG288" s="1132" t="n"/>
      <c r="HFH288" s="1132" t="n"/>
      <c r="HFI288" s="1132" t="n"/>
      <c r="HFJ288" s="1132" t="n"/>
      <c r="HFK288" s="1132" t="n"/>
      <c r="HFL288" s="1132" t="n"/>
      <c r="HFM288" s="1132" t="n"/>
      <c r="HFN288" s="1132" t="n"/>
      <c r="HFO288" s="1132" t="n"/>
      <c r="HFP288" s="1132" t="n"/>
      <c r="HFQ288" s="1132" t="n"/>
      <c r="HFR288" s="1132" t="n"/>
      <c r="HFS288" s="1132" t="n"/>
      <c r="HFT288" s="1132" t="n"/>
      <c r="HFU288" s="1132" t="n"/>
      <c r="HFV288" s="1132" t="n"/>
      <c r="HFW288" s="1132" t="n"/>
      <c r="HFX288" s="1132" t="n"/>
      <c r="HFY288" s="1132" t="n"/>
      <c r="HFZ288" s="1132" t="n"/>
      <c r="HGA288" s="1132" t="n"/>
      <c r="HGB288" s="1132" t="n"/>
      <c r="HGC288" s="1132" t="n"/>
      <c r="HGD288" s="1132" t="n"/>
      <c r="HGE288" s="1132" t="n"/>
      <c r="HGF288" s="1132" t="n"/>
      <c r="HGG288" s="1132" t="n"/>
      <c r="HGH288" s="1132" t="n"/>
      <c r="HGI288" s="1132" t="n"/>
      <c r="HGJ288" s="1132" t="n"/>
      <c r="HGK288" s="1132" t="n"/>
      <c r="HGL288" s="1132" t="n"/>
      <c r="HGM288" s="1132" t="n"/>
      <c r="HGN288" s="1132" t="n"/>
      <c r="HGO288" s="1132" t="n"/>
      <c r="HGP288" s="1132" t="n"/>
      <c r="HGQ288" s="1132" t="n"/>
      <c r="HGR288" s="1132" t="n"/>
      <c r="HGS288" s="1132" t="n"/>
      <c r="HGT288" s="1132" t="n"/>
      <c r="HGU288" s="1132" t="n"/>
      <c r="HGV288" s="1132" t="n"/>
      <c r="HGW288" s="1132" t="n"/>
      <c r="HGX288" s="1132" t="n"/>
      <c r="HGY288" s="1132" t="n"/>
      <c r="HGZ288" s="1132" t="n"/>
      <c r="HHA288" s="1132" t="n"/>
      <c r="HHB288" s="1132" t="n"/>
      <c r="HHC288" s="1132" t="n"/>
      <c r="HHD288" s="1132" t="n"/>
      <c r="HHE288" s="1132" t="n"/>
      <c r="HHF288" s="1132" t="n"/>
      <c r="HHG288" s="1132" t="n"/>
      <c r="HHH288" s="1132" t="n"/>
      <c r="HHI288" s="1132" t="n"/>
      <c r="HHJ288" s="1132" t="n"/>
      <c r="HHK288" s="1132" t="n"/>
      <c r="HHL288" s="1132" t="n"/>
      <c r="HHM288" s="1132" t="n"/>
      <c r="HHN288" s="1132" t="n"/>
      <c r="HHO288" s="1132" t="n"/>
      <c r="HHP288" s="1132" t="n"/>
      <c r="HHQ288" s="1132" t="n"/>
      <c r="HHR288" s="1132" t="n"/>
      <c r="HHS288" s="1132" t="n"/>
      <c r="HHT288" s="1132" t="n"/>
      <c r="HHU288" s="1132" t="n"/>
      <c r="HHV288" s="1132" t="n"/>
      <c r="HHW288" s="1132" t="n"/>
      <c r="HHX288" s="1132" t="n"/>
      <c r="HHY288" s="1132" t="n"/>
      <c r="HHZ288" s="1132" t="n"/>
      <c r="HIA288" s="1132" t="n"/>
      <c r="HIB288" s="1132" t="n"/>
      <c r="HIC288" s="1132" t="n"/>
      <c r="HID288" s="1132" t="n"/>
      <c r="HIE288" s="1132" t="n"/>
      <c r="HIF288" s="1132" t="n"/>
      <c r="HIG288" s="1132" t="n"/>
      <c r="HIH288" s="1132" t="n"/>
      <c r="HII288" s="1132" t="n"/>
      <c r="HIJ288" s="1132" t="n"/>
      <c r="HIK288" s="1132" t="n"/>
      <c r="HIL288" s="1132" t="n"/>
      <c r="HIM288" s="1132" t="n"/>
      <c r="HIN288" s="1132" t="n"/>
      <c r="HIO288" s="1132" t="n"/>
      <c r="HIP288" s="1132" t="n"/>
      <c r="HIQ288" s="1132" t="n"/>
      <c r="HIR288" s="1132" t="n"/>
      <c r="HIS288" s="1132" t="n"/>
      <c r="HIT288" s="1132" t="n"/>
      <c r="HIU288" s="1132" t="n"/>
      <c r="HIV288" s="1132" t="n"/>
      <c r="HIW288" s="1132" t="n"/>
      <c r="HIX288" s="1132" t="n"/>
      <c r="HIY288" s="1132" t="n"/>
      <c r="HIZ288" s="1132" t="n"/>
      <c r="HJA288" s="1132" t="n"/>
      <c r="HJB288" s="1132" t="n"/>
      <c r="HJC288" s="1132" t="n"/>
      <c r="HJD288" s="1132" t="n"/>
      <c r="HJE288" s="1132" t="n"/>
      <c r="HJF288" s="1132" t="n"/>
      <c r="HJG288" s="1132" t="n"/>
      <c r="HJH288" s="1132" t="n"/>
      <c r="HJI288" s="1132" t="n"/>
      <c r="HJJ288" s="1132" t="n"/>
      <c r="HJK288" s="1132" t="n"/>
      <c r="HJL288" s="1132" t="n"/>
      <c r="HJM288" s="1132" t="n"/>
      <c r="HJN288" s="1132" t="n"/>
      <c r="HJO288" s="1132" t="n"/>
      <c r="HJP288" s="1132" t="n"/>
      <c r="HJQ288" s="1132" t="n"/>
      <c r="HJR288" s="1132" t="n"/>
      <c r="HJS288" s="1132" t="n"/>
      <c r="HJT288" s="1132" t="n"/>
      <c r="HJU288" s="1132" t="n"/>
      <c r="HJV288" s="1132" t="n"/>
      <c r="HJW288" s="1132" t="n"/>
      <c r="HJX288" s="1132" t="n"/>
      <c r="HJY288" s="1132" t="n"/>
      <c r="HJZ288" s="1132" t="n"/>
      <c r="HKA288" s="1132" t="n"/>
      <c r="HKB288" s="1132" t="n"/>
      <c r="HKC288" s="1132" t="n"/>
      <c r="HKD288" s="1132" t="n"/>
      <c r="HKE288" s="1132" t="n"/>
      <c r="HKF288" s="1132" t="n"/>
      <c r="HKG288" s="1132" t="n"/>
      <c r="HKH288" s="1132" t="n"/>
      <c r="HKI288" s="1132" t="n"/>
      <c r="HKJ288" s="1132" t="n"/>
      <c r="HKK288" s="1132" t="n"/>
      <c r="HKL288" s="1132" t="n"/>
      <c r="HKM288" s="1132" t="n"/>
      <c r="HKN288" s="1132" t="n"/>
      <c r="HKO288" s="1132" t="n"/>
      <c r="HKP288" s="1132" t="n"/>
      <c r="HKQ288" s="1132" t="n"/>
      <c r="HKR288" s="1132" t="n"/>
      <c r="HKS288" s="1132" t="n"/>
      <c r="HKT288" s="1132" t="n"/>
      <c r="HKU288" s="1132" t="n"/>
      <c r="HKV288" s="1132" t="n"/>
      <c r="HKW288" s="1132" t="n"/>
      <c r="HKX288" s="1132" t="n"/>
      <c r="HKY288" s="1132" t="n"/>
      <c r="HKZ288" s="1132" t="n"/>
      <c r="HLA288" s="1132" t="n"/>
      <c r="HLB288" s="1132" t="n"/>
      <c r="HLC288" s="1132" t="n"/>
      <c r="HLD288" s="1132" t="n"/>
      <c r="HLE288" s="1132" t="n"/>
      <c r="HLF288" s="1132" t="n"/>
      <c r="HLG288" s="1132" t="n"/>
      <c r="HLH288" s="1132" t="n"/>
      <c r="HLI288" s="1132" t="n"/>
      <c r="HLJ288" s="1132" t="n"/>
      <c r="HLK288" s="1132" t="n"/>
      <c r="HLL288" s="1132" t="n"/>
      <c r="HLM288" s="1132" t="n"/>
      <c r="HLN288" s="1132" t="n"/>
      <c r="HLO288" s="1132" t="n"/>
      <c r="HLP288" s="1132" t="n"/>
      <c r="HLQ288" s="1132" t="n"/>
      <c r="HLR288" s="1132" t="n"/>
      <c r="HLS288" s="1132" t="n"/>
      <c r="HLT288" s="1132" t="n"/>
      <c r="HLU288" s="1132" t="n"/>
      <c r="HLV288" s="1132" t="n"/>
      <c r="HLW288" s="1132" t="n"/>
      <c r="HLX288" s="1132" t="n"/>
      <c r="HLY288" s="1132" t="n"/>
      <c r="HLZ288" s="1132" t="n"/>
      <c r="HMA288" s="1132" t="n"/>
      <c r="HMB288" s="1132" t="n"/>
      <c r="HMC288" s="1132" t="n"/>
      <c r="HMD288" s="1132" t="n"/>
      <c r="HME288" s="1132" t="n"/>
      <c r="HMF288" s="1132" t="n"/>
      <c r="HMG288" s="1132" t="n"/>
      <c r="HMH288" s="1132" t="n"/>
      <c r="HMI288" s="1132" t="n"/>
      <c r="HMJ288" s="1132" t="n"/>
      <c r="HMK288" s="1132" t="n"/>
      <c r="HML288" s="1132" t="n"/>
      <c r="HMM288" s="1132" t="n"/>
      <c r="HMN288" s="1132" t="n"/>
      <c r="HMO288" s="1132" t="n"/>
      <c r="HMP288" s="1132" t="n"/>
      <c r="HMQ288" s="1132" t="n"/>
      <c r="HMR288" s="1132" t="n"/>
      <c r="HMS288" s="1132" t="n"/>
      <c r="HMT288" s="1132" t="n"/>
      <c r="HMU288" s="1132" t="n"/>
      <c r="HMV288" s="1132" t="n"/>
      <c r="HMW288" s="1132" t="n"/>
      <c r="HMX288" s="1132" t="n"/>
      <c r="HMY288" s="1132" t="n"/>
      <c r="HMZ288" s="1132" t="n"/>
      <c r="HNA288" s="1132" t="n"/>
      <c r="HNB288" s="1132" t="n"/>
      <c r="HNC288" s="1132" t="n"/>
      <c r="HND288" s="1132" t="n"/>
      <c r="HNE288" s="1132" t="n"/>
      <c r="HNF288" s="1132" t="n"/>
      <c r="HNG288" s="1132" t="n"/>
      <c r="HNH288" s="1132" t="n"/>
      <c r="HNI288" s="1132" t="n"/>
      <c r="HNJ288" s="1132" t="n"/>
      <c r="HNK288" s="1132" t="n"/>
      <c r="HNL288" s="1132" t="n"/>
      <c r="HNM288" s="1132" t="n"/>
      <c r="HNN288" s="1132" t="n"/>
      <c r="HNO288" s="1132" t="n"/>
      <c r="HNP288" s="1132" t="n"/>
      <c r="HNQ288" s="1132" t="n"/>
      <c r="HNR288" s="1132" t="n"/>
      <c r="HNS288" s="1132" t="n"/>
      <c r="HNT288" s="1132" t="n"/>
      <c r="HNU288" s="1132" t="n"/>
      <c r="HNV288" s="1132" t="n"/>
      <c r="HNW288" s="1132" t="n"/>
      <c r="HNX288" s="1132" t="n"/>
      <c r="HNY288" s="1132" t="n"/>
      <c r="HNZ288" s="1132" t="n"/>
      <c r="HOA288" s="1132" t="n"/>
      <c r="HOB288" s="1132" t="n"/>
      <c r="HOC288" s="1132" t="n"/>
      <c r="HOD288" s="1132" t="n"/>
      <c r="HOE288" s="1132" t="n"/>
      <c r="HOF288" s="1132" t="n"/>
      <c r="HOG288" s="1132" t="n"/>
      <c r="HOH288" s="1132" t="n"/>
      <c r="HOI288" s="1132" t="n"/>
      <c r="HOJ288" s="1132" t="n"/>
      <c r="HOK288" s="1132" t="n"/>
      <c r="HOL288" s="1132" t="n"/>
      <c r="HOM288" s="1132" t="n"/>
      <c r="HON288" s="1132" t="n"/>
      <c r="HOO288" s="1132" t="n"/>
      <c r="HOP288" s="1132" t="n"/>
      <c r="HOQ288" s="1132" t="n"/>
      <c r="HOR288" s="1132" t="n"/>
      <c r="HOS288" s="1132" t="n"/>
      <c r="HOT288" s="1132" t="n"/>
      <c r="HOU288" s="1132" t="n"/>
      <c r="HOV288" s="1132" t="n"/>
      <c r="HOW288" s="1132" t="n"/>
      <c r="HOX288" s="1132" t="n"/>
      <c r="HOY288" s="1132" t="n"/>
      <c r="HOZ288" s="1132" t="n"/>
      <c r="HPA288" s="1132" t="n"/>
      <c r="HPB288" s="1132" t="n"/>
      <c r="HPC288" s="1132" t="n"/>
      <c r="HPD288" s="1132" t="n"/>
      <c r="HPE288" s="1132" t="n"/>
      <c r="HPF288" s="1132" t="n"/>
      <c r="HPG288" s="1132" t="n"/>
      <c r="HPH288" s="1132" t="n"/>
      <c r="HPI288" s="1132" t="n"/>
      <c r="HPJ288" s="1132" t="n"/>
      <c r="HPK288" s="1132" t="n"/>
      <c r="HPL288" s="1132" t="n"/>
      <c r="HPM288" s="1132" t="n"/>
      <c r="HPN288" s="1132" t="n"/>
      <c r="HPO288" s="1132" t="n"/>
      <c r="HPP288" s="1132" t="n"/>
      <c r="HPQ288" s="1132" t="n"/>
      <c r="HPR288" s="1132" t="n"/>
      <c r="HPS288" s="1132" t="n"/>
      <c r="HPT288" s="1132" t="n"/>
      <c r="HPU288" s="1132" t="n"/>
      <c r="HPV288" s="1132" t="n"/>
      <c r="HPW288" s="1132" t="n"/>
      <c r="HPX288" s="1132" t="n"/>
      <c r="HPY288" s="1132" t="n"/>
      <c r="HPZ288" s="1132" t="n"/>
      <c r="HQA288" s="1132" t="n"/>
      <c r="HQB288" s="1132" t="n"/>
      <c r="HQC288" s="1132" t="n"/>
      <c r="HQD288" s="1132" t="n"/>
      <c r="HQE288" s="1132" t="n"/>
      <c r="HQF288" s="1132" t="n"/>
      <c r="HQG288" s="1132" t="n"/>
      <c r="HQH288" s="1132" t="n"/>
      <c r="HQI288" s="1132" t="n"/>
      <c r="HQJ288" s="1132" t="n"/>
      <c r="HQK288" s="1132" t="n"/>
      <c r="HQL288" s="1132" t="n"/>
      <c r="HQM288" s="1132" t="n"/>
      <c r="HQN288" s="1132" t="n"/>
      <c r="HQO288" s="1132" t="n"/>
      <c r="HQP288" s="1132" t="n"/>
      <c r="HQQ288" s="1132" t="n"/>
      <c r="HQR288" s="1132" t="n"/>
      <c r="HQS288" s="1132" t="n"/>
      <c r="HQT288" s="1132" t="n"/>
      <c r="HQU288" s="1132" t="n"/>
      <c r="HQV288" s="1132" t="n"/>
      <c r="HQW288" s="1132" t="n"/>
      <c r="HQX288" s="1132" t="n"/>
      <c r="HQY288" s="1132" t="n"/>
      <c r="HQZ288" s="1132" t="n"/>
      <c r="HRA288" s="1132" t="n"/>
      <c r="HRB288" s="1132" t="n"/>
      <c r="HRC288" s="1132" t="n"/>
      <c r="HRD288" s="1132" t="n"/>
      <c r="HRE288" s="1132" t="n"/>
      <c r="HRF288" s="1132" t="n"/>
      <c r="HRG288" s="1132" t="n"/>
      <c r="HRH288" s="1132" t="n"/>
      <c r="HRI288" s="1132" t="n"/>
      <c r="HRJ288" s="1132" t="n"/>
      <c r="HRK288" s="1132" t="n"/>
      <c r="HRL288" s="1132" t="n"/>
      <c r="HRM288" s="1132" t="n"/>
      <c r="HRN288" s="1132" t="n"/>
      <c r="HRO288" s="1132" t="n"/>
      <c r="HRP288" s="1132" t="n"/>
      <c r="HRQ288" s="1132" t="n"/>
      <c r="HRR288" s="1132" t="n"/>
      <c r="HRS288" s="1132" t="n"/>
      <c r="HRT288" s="1132" t="n"/>
      <c r="HRU288" s="1132" t="n"/>
      <c r="HRV288" s="1132" t="n"/>
      <c r="HRW288" s="1132" t="n"/>
      <c r="HRX288" s="1132" t="n"/>
      <c r="HRY288" s="1132" t="n"/>
      <c r="HRZ288" s="1132" t="n"/>
      <c r="HSA288" s="1132" t="n"/>
      <c r="HSB288" s="1132" t="n"/>
      <c r="HSC288" s="1132" t="n"/>
      <c r="HSD288" s="1132" t="n"/>
      <c r="HSE288" s="1132" t="n"/>
      <c r="HSF288" s="1132" t="n"/>
      <c r="HSG288" s="1132" t="n"/>
      <c r="HSH288" s="1132" t="n"/>
      <c r="HSI288" s="1132" t="n"/>
      <c r="HSJ288" s="1132" t="n"/>
      <c r="HSK288" s="1132" t="n"/>
      <c r="HSL288" s="1132" t="n"/>
      <c r="HSM288" s="1132" t="n"/>
      <c r="HSN288" s="1132" t="n"/>
      <c r="HSO288" s="1132" t="n"/>
      <c r="HSP288" s="1132" t="n"/>
      <c r="HSQ288" s="1132" t="n"/>
      <c r="HSR288" s="1132" t="n"/>
      <c r="HSS288" s="1132" t="n"/>
      <c r="HST288" s="1132" t="n"/>
      <c r="HSU288" s="1132" t="n"/>
      <c r="HSV288" s="1132" t="n"/>
      <c r="HSW288" s="1132" t="n"/>
      <c r="HSX288" s="1132" t="n"/>
      <c r="HSY288" s="1132" t="n"/>
      <c r="HSZ288" s="1132" t="n"/>
      <c r="HTA288" s="1132" t="n"/>
      <c r="HTB288" s="1132" t="n"/>
      <c r="HTC288" s="1132" t="n"/>
      <c r="HTD288" s="1132" t="n"/>
      <c r="HTE288" s="1132" t="n"/>
      <c r="HTF288" s="1132" t="n"/>
      <c r="HTG288" s="1132" t="n"/>
      <c r="HTH288" s="1132" t="n"/>
      <c r="HTI288" s="1132" t="n"/>
      <c r="HTJ288" s="1132" t="n"/>
      <c r="HTK288" s="1132" t="n"/>
      <c r="HTL288" s="1132" t="n"/>
      <c r="HTM288" s="1132" t="n"/>
      <c r="HTN288" s="1132" t="n"/>
      <c r="HTO288" s="1132" t="n"/>
      <c r="HTP288" s="1132" t="n"/>
      <c r="HTQ288" s="1132" t="n"/>
      <c r="HTR288" s="1132" t="n"/>
      <c r="HTS288" s="1132" t="n"/>
      <c r="HTT288" s="1132" t="n"/>
      <c r="HTU288" s="1132" t="n"/>
      <c r="HTV288" s="1132" t="n"/>
      <c r="HTW288" s="1132" t="n"/>
      <c r="HTX288" s="1132" t="n"/>
      <c r="HTY288" s="1132" t="n"/>
      <c r="HTZ288" s="1132" t="n"/>
      <c r="HUA288" s="1132" t="n"/>
      <c r="HUB288" s="1132" t="n"/>
      <c r="HUC288" s="1132" t="n"/>
      <c r="HUD288" s="1132" t="n"/>
      <c r="HUE288" s="1132" t="n"/>
      <c r="HUF288" s="1132" t="n"/>
      <c r="HUG288" s="1132" t="n"/>
      <c r="HUH288" s="1132" t="n"/>
      <c r="HUI288" s="1132" t="n"/>
      <c r="HUJ288" s="1132" t="n"/>
      <c r="HUK288" s="1132" t="n"/>
      <c r="HUL288" s="1132" t="n"/>
      <c r="HUM288" s="1132" t="n"/>
      <c r="HUN288" s="1132" t="n"/>
      <c r="HUO288" s="1132" t="n"/>
      <c r="HUP288" s="1132" t="n"/>
      <c r="HUQ288" s="1132" t="n"/>
      <c r="HUR288" s="1132" t="n"/>
      <c r="HUS288" s="1132" t="n"/>
      <c r="HUT288" s="1132" t="n"/>
      <c r="HUU288" s="1132" t="n"/>
      <c r="HUV288" s="1132" t="n"/>
      <c r="HUW288" s="1132" t="n"/>
      <c r="HUX288" s="1132" t="n"/>
      <c r="HUY288" s="1132" t="n"/>
      <c r="HUZ288" s="1132" t="n"/>
      <c r="HVA288" s="1132" t="n"/>
      <c r="HVB288" s="1132" t="n"/>
      <c r="HVC288" s="1132" t="n"/>
      <c r="HVD288" s="1132" t="n"/>
      <c r="HVE288" s="1132" t="n"/>
      <c r="HVF288" s="1132" t="n"/>
      <c r="HVG288" s="1132" t="n"/>
      <c r="HVH288" s="1132" t="n"/>
      <c r="HVI288" s="1132" t="n"/>
      <c r="HVJ288" s="1132" t="n"/>
      <c r="HVK288" s="1132" t="n"/>
      <c r="HVL288" s="1132" t="n"/>
      <c r="HVM288" s="1132" t="n"/>
      <c r="HVN288" s="1132" t="n"/>
      <c r="HVO288" s="1132" t="n"/>
      <c r="HVP288" s="1132" t="n"/>
      <c r="HVQ288" s="1132" t="n"/>
      <c r="HVR288" s="1132" t="n"/>
      <c r="HVS288" s="1132" t="n"/>
      <c r="HVT288" s="1132" t="n"/>
      <c r="HVU288" s="1132" t="n"/>
      <c r="HVV288" s="1132" t="n"/>
      <c r="HVW288" s="1132" t="n"/>
      <c r="HVX288" s="1132" t="n"/>
      <c r="HVY288" s="1132" t="n"/>
      <c r="HVZ288" s="1132" t="n"/>
      <c r="HWA288" s="1132" t="n"/>
      <c r="HWB288" s="1132" t="n"/>
      <c r="HWC288" s="1132" t="n"/>
      <c r="HWD288" s="1132" t="n"/>
      <c r="HWE288" s="1132" t="n"/>
      <c r="HWF288" s="1132" t="n"/>
      <c r="HWG288" s="1132" t="n"/>
      <c r="HWH288" s="1132" t="n"/>
      <c r="HWI288" s="1132" t="n"/>
      <c r="HWJ288" s="1132" t="n"/>
      <c r="HWK288" s="1132" t="n"/>
      <c r="HWL288" s="1132" t="n"/>
      <c r="HWM288" s="1132" t="n"/>
      <c r="HWN288" s="1132" t="n"/>
      <c r="HWO288" s="1132" t="n"/>
      <c r="HWP288" s="1132" t="n"/>
      <c r="HWQ288" s="1132" t="n"/>
      <c r="HWR288" s="1132" t="n"/>
      <c r="HWS288" s="1132" t="n"/>
      <c r="HWT288" s="1132" t="n"/>
      <c r="HWU288" s="1132" t="n"/>
      <c r="HWV288" s="1132" t="n"/>
      <c r="HWW288" s="1132" t="n"/>
      <c r="HWX288" s="1132" t="n"/>
      <c r="HWY288" s="1132" t="n"/>
      <c r="HWZ288" s="1132" t="n"/>
      <c r="HXA288" s="1132" t="n"/>
      <c r="HXB288" s="1132" t="n"/>
      <c r="HXC288" s="1132" t="n"/>
      <c r="HXD288" s="1132" t="n"/>
      <c r="HXE288" s="1132" t="n"/>
      <c r="HXF288" s="1132" t="n"/>
      <c r="HXG288" s="1132" t="n"/>
      <c r="HXH288" s="1132" t="n"/>
      <c r="HXI288" s="1132" t="n"/>
      <c r="HXJ288" s="1132" t="n"/>
      <c r="HXK288" s="1132" t="n"/>
      <c r="HXL288" s="1132" t="n"/>
      <c r="HXM288" s="1132" t="n"/>
      <c r="HXN288" s="1132" t="n"/>
      <c r="HXO288" s="1132" t="n"/>
      <c r="HXP288" s="1132" t="n"/>
      <c r="HXQ288" s="1132" t="n"/>
      <c r="HXR288" s="1132" t="n"/>
      <c r="HXS288" s="1132" t="n"/>
      <c r="HXT288" s="1132" t="n"/>
      <c r="HXU288" s="1132" t="n"/>
      <c r="HXV288" s="1132" t="n"/>
      <c r="HXW288" s="1132" t="n"/>
      <c r="HXX288" s="1132" t="n"/>
      <c r="HXY288" s="1132" t="n"/>
      <c r="HXZ288" s="1132" t="n"/>
      <c r="HYA288" s="1132" t="n"/>
      <c r="HYB288" s="1132" t="n"/>
      <c r="HYC288" s="1132" t="n"/>
      <c r="HYD288" s="1132" t="n"/>
      <c r="HYE288" s="1132" t="n"/>
      <c r="HYF288" s="1132" t="n"/>
      <c r="HYG288" s="1132" t="n"/>
      <c r="HYH288" s="1132" t="n"/>
      <c r="HYI288" s="1132" t="n"/>
      <c r="HYJ288" s="1132" t="n"/>
      <c r="HYK288" s="1132" t="n"/>
      <c r="HYL288" s="1132" t="n"/>
      <c r="HYM288" s="1132" t="n"/>
      <c r="HYN288" s="1132" t="n"/>
      <c r="HYO288" s="1132" t="n"/>
      <c r="HYP288" s="1132" t="n"/>
      <c r="HYQ288" s="1132" t="n"/>
      <c r="HYR288" s="1132" t="n"/>
      <c r="HYS288" s="1132" t="n"/>
      <c r="HYT288" s="1132" t="n"/>
      <c r="HYU288" s="1132" t="n"/>
      <c r="HYV288" s="1132" t="n"/>
      <c r="HYW288" s="1132" t="n"/>
      <c r="HYX288" s="1132" t="n"/>
      <c r="HYY288" s="1132" t="n"/>
      <c r="HYZ288" s="1132" t="n"/>
      <c r="HZA288" s="1132" t="n"/>
      <c r="HZB288" s="1132" t="n"/>
      <c r="HZC288" s="1132" t="n"/>
      <c r="HZD288" s="1132" t="n"/>
      <c r="HZE288" s="1132" t="n"/>
      <c r="HZF288" s="1132" t="n"/>
      <c r="HZG288" s="1132" t="n"/>
      <c r="HZH288" s="1132" t="n"/>
      <c r="HZI288" s="1132" t="n"/>
      <c r="HZJ288" s="1132" t="n"/>
      <c r="HZK288" s="1132" t="n"/>
      <c r="HZL288" s="1132" t="n"/>
      <c r="HZM288" s="1132" t="n"/>
      <c r="HZN288" s="1132" t="n"/>
      <c r="HZO288" s="1132" t="n"/>
      <c r="HZP288" s="1132" t="n"/>
      <c r="HZQ288" s="1132" t="n"/>
      <c r="HZR288" s="1132" t="n"/>
      <c r="HZS288" s="1132" t="n"/>
      <c r="HZT288" s="1132" t="n"/>
      <c r="HZU288" s="1132" t="n"/>
      <c r="HZV288" s="1132" t="n"/>
      <c r="HZW288" s="1132" t="n"/>
      <c r="HZX288" s="1132" t="n"/>
      <c r="HZY288" s="1132" t="n"/>
      <c r="HZZ288" s="1132" t="n"/>
      <c r="IAA288" s="1132" t="n"/>
      <c r="IAB288" s="1132" t="n"/>
      <c r="IAC288" s="1132" t="n"/>
      <c r="IAD288" s="1132" t="n"/>
      <c r="IAE288" s="1132" t="n"/>
      <c r="IAF288" s="1132" t="n"/>
      <c r="IAG288" s="1132" t="n"/>
      <c r="IAH288" s="1132" t="n"/>
      <c r="IAI288" s="1132" t="n"/>
      <c r="IAJ288" s="1132" t="n"/>
      <c r="IAK288" s="1132" t="n"/>
      <c r="IAL288" s="1132" t="n"/>
      <c r="IAM288" s="1132" t="n"/>
      <c r="IAN288" s="1132" t="n"/>
      <c r="IAO288" s="1132" t="n"/>
      <c r="IAP288" s="1132" t="n"/>
      <c r="IAQ288" s="1132" t="n"/>
      <c r="IAR288" s="1132" t="n"/>
      <c r="IAS288" s="1132" t="n"/>
      <c r="IAT288" s="1132" t="n"/>
      <c r="IAU288" s="1132" t="n"/>
      <c r="IAV288" s="1132" t="n"/>
      <c r="IAW288" s="1132" t="n"/>
      <c r="IAX288" s="1132" t="n"/>
      <c r="IAY288" s="1132" t="n"/>
      <c r="IAZ288" s="1132" t="n"/>
      <c r="IBA288" s="1132" t="n"/>
      <c r="IBB288" s="1132" t="n"/>
      <c r="IBC288" s="1132" t="n"/>
      <c r="IBD288" s="1132" t="n"/>
      <c r="IBE288" s="1132" t="n"/>
      <c r="IBF288" s="1132" t="n"/>
      <c r="IBG288" s="1132" t="n"/>
      <c r="IBH288" s="1132" t="n"/>
      <c r="IBI288" s="1132" t="n"/>
      <c r="IBJ288" s="1132" t="n"/>
      <c r="IBK288" s="1132" t="n"/>
      <c r="IBL288" s="1132" t="n"/>
      <c r="IBM288" s="1132" t="n"/>
      <c r="IBN288" s="1132" t="n"/>
      <c r="IBO288" s="1132" t="n"/>
      <c r="IBP288" s="1132" t="n"/>
      <c r="IBQ288" s="1132" t="n"/>
      <c r="IBR288" s="1132" t="n"/>
      <c r="IBS288" s="1132" t="n"/>
      <c r="IBT288" s="1132" t="n"/>
      <c r="IBU288" s="1132" t="n"/>
      <c r="IBV288" s="1132" t="n"/>
      <c r="IBW288" s="1132" t="n"/>
      <c r="IBX288" s="1132" t="n"/>
      <c r="IBY288" s="1132" t="n"/>
      <c r="IBZ288" s="1132" t="n"/>
      <c r="ICA288" s="1132" t="n"/>
      <c r="ICB288" s="1132" t="n"/>
      <c r="ICC288" s="1132" t="n"/>
      <c r="ICD288" s="1132" t="n"/>
      <c r="ICE288" s="1132" t="n"/>
      <c r="ICF288" s="1132" t="n"/>
      <c r="ICG288" s="1132" t="n"/>
      <c r="ICH288" s="1132" t="n"/>
      <c r="ICI288" s="1132" t="n"/>
      <c r="ICJ288" s="1132" t="n"/>
      <c r="ICK288" s="1132" t="n"/>
      <c r="ICL288" s="1132" t="n"/>
      <c r="ICM288" s="1132" t="n"/>
      <c r="ICN288" s="1132" t="n"/>
      <c r="ICO288" s="1132" t="n"/>
      <c r="ICP288" s="1132" t="n"/>
      <c r="ICQ288" s="1132" t="n"/>
      <c r="ICR288" s="1132" t="n"/>
      <c r="ICS288" s="1132" t="n"/>
      <c r="ICT288" s="1132" t="n"/>
      <c r="ICU288" s="1132" t="n"/>
      <c r="ICV288" s="1132" t="n"/>
      <c r="ICW288" s="1132" t="n"/>
      <c r="ICX288" s="1132" t="n"/>
      <c r="ICY288" s="1132" t="n"/>
      <c r="ICZ288" s="1132" t="n"/>
      <c r="IDA288" s="1132" t="n"/>
      <c r="IDB288" s="1132" t="n"/>
      <c r="IDC288" s="1132" t="n"/>
      <c r="IDD288" s="1132" t="n"/>
      <c r="IDE288" s="1132" t="n"/>
      <c r="IDF288" s="1132" t="n"/>
      <c r="IDG288" s="1132" t="n"/>
      <c r="IDH288" s="1132" t="n"/>
      <c r="IDI288" s="1132" t="n"/>
      <c r="IDJ288" s="1132" t="n"/>
      <c r="IDK288" s="1132" t="n"/>
      <c r="IDL288" s="1132" t="n"/>
      <c r="IDM288" s="1132" t="n"/>
      <c r="IDN288" s="1132" t="n"/>
      <c r="IDO288" s="1132" t="n"/>
      <c r="IDP288" s="1132" t="n"/>
      <c r="IDQ288" s="1132" t="n"/>
      <c r="IDR288" s="1132" t="n"/>
      <c r="IDS288" s="1132" t="n"/>
      <c r="IDT288" s="1132" t="n"/>
      <c r="IDU288" s="1132" t="n"/>
      <c r="IDV288" s="1132" t="n"/>
      <c r="IDW288" s="1132" t="n"/>
      <c r="IDX288" s="1132" t="n"/>
      <c r="IDY288" s="1132" t="n"/>
      <c r="IDZ288" s="1132" t="n"/>
      <c r="IEA288" s="1132" t="n"/>
      <c r="IEB288" s="1132" t="n"/>
      <c r="IEC288" s="1132" t="n"/>
      <c r="IED288" s="1132" t="n"/>
      <c r="IEE288" s="1132" t="n"/>
      <c r="IEF288" s="1132" t="n"/>
      <c r="IEG288" s="1132" t="n"/>
      <c r="IEH288" s="1132" t="n"/>
      <c r="IEI288" s="1132" t="n"/>
      <c r="IEJ288" s="1132" t="n"/>
      <c r="IEK288" s="1132" t="n"/>
      <c r="IEL288" s="1132" t="n"/>
      <c r="IEM288" s="1132" t="n"/>
      <c r="IEN288" s="1132" t="n"/>
      <c r="IEO288" s="1132" t="n"/>
      <c r="IEP288" s="1132" t="n"/>
      <c r="IEQ288" s="1132" t="n"/>
      <c r="IER288" s="1132" t="n"/>
      <c r="IES288" s="1132" t="n"/>
      <c r="IET288" s="1132" t="n"/>
      <c r="IEU288" s="1132" t="n"/>
      <c r="IEV288" s="1132" t="n"/>
      <c r="IEW288" s="1132" t="n"/>
      <c r="IEX288" s="1132" t="n"/>
      <c r="IEY288" s="1132" t="n"/>
      <c r="IEZ288" s="1132" t="n"/>
      <c r="IFA288" s="1132" t="n"/>
      <c r="IFB288" s="1132" t="n"/>
      <c r="IFC288" s="1132" t="n"/>
      <c r="IFD288" s="1132" t="n"/>
      <c r="IFE288" s="1132" t="n"/>
      <c r="IFF288" s="1132" t="n"/>
      <c r="IFG288" s="1132" t="n"/>
      <c r="IFH288" s="1132" t="n"/>
      <c r="IFI288" s="1132" t="n"/>
      <c r="IFJ288" s="1132" t="n"/>
      <c r="IFK288" s="1132" t="n"/>
      <c r="IFL288" s="1132" t="n"/>
      <c r="IFM288" s="1132" t="n"/>
      <c r="IFN288" s="1132" t="n"/>
      <c r="IFO288" s="1132" t="n"/>
      <c r="IFP288" s="1132" t="n"/>
      <c r="IFQ288" s="1132" t="n"/>
      <c r="IFR288" s="1132" t="n"/>
      <c r="IFS288" s="1132" t="n"/>
      <c r="IFT288" s="1132" t="n"/>
      <c r="IFU288" s="1132" t="n"/>
      <c r="IFV288" s="1132" t="n"/>
      <c r="IFW288" s="1132" t="n"/>
      <c r="IFX288" s="1132" t="n"/>
      <c r="IFY288" s="1132" t="n"/>
      <c r="IFZ288" s="1132" t="n"/>
      <c r="IGA288" s="1132" t="n"/>
      <c r="IGB288" s="1132" t="n"/>
      <c r="IGC288" s="1132" t="n"/>
      <c r="IGD288" s="1132" t="n"/>
      <c r="IGE288" s="1132" t="n"/>
      <c r="IGF288" s="1132" t="n"/>
      <c r="IGG288" s="1132" t="n"/>
      <c r="IGH288" s="1132" t="n"/>
      <c r="IGI288" s="1132" t="n"/>
      <c r="IGJ288" s="1132" t="n"/>
      <c r="IGK288" s="1132" t="n"/>
      <c r="IGL288" s="1132" t="n"/>
      <c r="IGM288" s="1132" t="n"/>
      <c r="IGN288" s="1132" t="n"/>
      <c r="IGO288" s="1132" t="n"/>
      <c r="IGP288" s="1132" t="n"/>
      <c r="IGQ288" s="1132" t="n"/>
      <c r="IGR288" s="1132" t="n"/>
      <c r="IGS288" s="1132" t="n"/>
      <c r="IGT288" s="1132" t="n"/>
      <c r="IGU288" s="1132" t="n"/>
      <c r="IGV288" s="1132" t="n"/>
      <c r="IGW288" s="1132" t="n"/>
      <c r="IGX288" s="1132" t="n"/>
      <c r="IGY288" s="1132" t="n"/>
      <c r="IGZ288" s="1132" t="n"/>
      <c r="IHA288" s="1132" t="n"/>
      <c r="IHB288" s="1132" t="n"/>
      <c r="IHC288" s="1132" t="n"/>
      <c r="IHD288" s="1132" t="n"/>
      <c r="IHE288" s="1132" t="n"/>
      <c r="IHF288" s="1132" t="n"/>
      <c r="IHG288" s="1132" t="n"/>
      <c r="IHH288" s="1132" t="n"/>
      <c r="IHI288" s="1132" t="n"/>
      <c r="IHJ288" s="1132" t="n"/>
      <c r="IHK288" s="1132" t="n"/>
      <c r="IHL288" s="1132" t="n"/>
      <c r="IHM288" s="1132" t="n"/>
      <c r="IHN288" s="1132" t="n"/>
      <c r="IHO288" s="1132" t="n"/>
      <c r="IHP288" s="1132" t="n"/>
      <c r="IHQ288" s="1132" t="n"/>
      <c r="IHR288" s="1132" t="n"/>
      <c r="IHS288" s="1132" t="n"/>
      <c r="IHT288" s="1132" t="n"/>
      <c r="IHU288" s="1132" t="n"/>
      <c r="IHV288" s="1132" t="n"/>
      <c r="IHW288" s="1132" t="n"/>
      <c r="IHX288" s="1132" t="n"/>
      <c r="IHY288" s="1132" t="n"/>
      <c r="IHZ288" s="1132" t="n"/>
      <c r="IIA288" s="1132" t="n"/>
      <c r="IIB288" s="1132" t="n"/>
      <c r="IIC288" s="1132" t="n"/>
      <c r="IID288" s="1132" t="n"/>
      <c r="IIE288" s="1132" t="n"/>
      <c r="IIF288" s="1132" t="n"/>
      <c r="IIG288" s="1132" t="n"/>
      <c r="IIH288" s="1132" t="n"/>
      <c r="III288" s="1132" t="n"/>
      <c r="IIJ288" s="1132" t="n"/>
      <c r="IIK288" s="1132" t="n"/>
      <c r="IIL288" s="1132" t="n"/>
      <c r="IIM288" s="1132" t="n"/>
      <c r="IIN288" s="1132" t="n"/>
      <c r="IIO288" s="1132" t="n"/>
      <c r="IIP288" s="1132" t="n"/>
      <c r="IIQ288" s="1132" t="n"/>
      <c r="IIR288" s="1132" t="n"/>
      <c r="IIS288" s="1132" t="n"/>
      <c r="IIT288" s="1132" t="n"/>
      <c r="IIU288" s="1132" t="n"/>
      <c r="IIV288" s="1132" t="n"/>
      <c r="IIW288" s="1132" t="n"/>
      <c r="IIX288" s="1132" t="n"/>
      <c r="IIY288" s="1132" t="n"/>
      <c r="IIZ288" s="1132" t="n"/>
      <c r="IJA288" s="1132" t="n"/>
      <c r="IJB288" s="1132" t="n"/>
      <c r="IJC288" s="1132" t="n"/>
      <c r="IJD288" s="1132" t="n"/>
      <c r="IJE288" s="1132" t="n"/>
      <c r="IJF288" s="1132" t="n"/>
      <c r="IJG288" s="1132" t="n"/>
      <c r="IJH288" s="1132" t="n"/>
      <c r="IJI288" s="1132" t="n"/>
      <c r="IJJ288" s="1132" t="n"/>
      <c r="IJK288" s="1132" t="n"/>
      <c r="IJL288" s="1132" t="n"/>
      <c r="IJM288" s="1132" t="n"/>
      <c r="IJN288" s="1132" t="n"/>
      <c r="IJO288" s="1132" t="n"/>
      <c r="IJP288" s="1132" t="n"/>
      <c r="IJQ288" s="1132" t="n"/>
      <c r="IJR288" s="1132" t="n"/>
      <c r="IJS288" s="1132" t="n"/>
      <c r="IJT288" s="1132" t="n"/>
      <c r="IJU288" s="1132" t="n"/>
      <c r="IJV288" s="1132" t="n"/>
      <c r="IJW288" s="1132" t="n"/>
      <c r="IJX288" s="1132" t="n"/>
      <c r="IJY288" s="1132" t="n"/>
      <c r="IJZ288" s="1132" t="n"/>
      <c r="IKA288" s="1132" t="n"/>
      <c r="IKB288" s="1132" t="n"/>
      <c r="IKC288" s="1132" t="n"/>
      <c r="IKD288" s="1132" t="n"/>
      <c r="IKE288" s="1132" t="n"/>
      <c r="IKF288" s="1132" t="n"/>
      <c r="IKG288" s="1132" t="n"/>
      <c r="IKH288" s="1132" t="n"/>
      <c r="IKI288" s="1132" t="n"/>
      <c r="IKJ288" s="1132" t="n"/>
      <c r="IKK288" s="1132" t="n"/>
      <c r="IKL288" s="1132" t="n"/>
      <c r="IKM288" s="1132" t="n"/>
      <c r="IKN288" s="1132" t="n"/>
      <c r="IKO288" s="1132" t="n"/>
      <c r="IKP288" s="1132" t="n"/>
      <c r="IKQ288" s="1132" t="n"/>
      <c r="IKR288" s="1132" t="n"/>
      <c r="IKS288" s="1132" t="n"/>
      <c r="IKT288" s="1132" t="n"/>
      <c r="IKU288" s="1132" t="n"/>
      <c r="IKV288" s="1132" t="n"/>
      <c r="IKW288" s="1132" t="n"/>
      <c r="IKX288" s="1132" t="n"/>
      <c r="IKY288" s="1132" t="n"/>
      <c r="IKZ288" s="1132" t="n"/>
      <c r="ILA288" s="1132" t="n"/>
      <c r="ILB288" s="1132" t="n"/>
      <c r="ILC288" s="1132" t="n"/>
      <c r="ILD288" s="1132" t="n"/>
      <c r="ILE288" s="1132" t="n"/>
      <c r="ILF288" s="1132" t="n"/>
      <c r="ILG288" s="1132" t="n"/>
      <c r="ILH288" s="1132" t="n"/>
      <c r="ILI288" s="1132" t="n"/>
      <c r="ILJ288" s="1132" t="n"/>
      <c r="ILK288" s="1132" t="n"/>
      <c r="ILL288" s="1132" t="n"/>
      <c r="ILM288" s="1132" t="n"/>
      <c r="ILN288" s="1132" t="n"/>
      <c r="ILO288" s="1132" t="n"/>
      <c r="ILP288" s="1132" t="n"/>
      <c r="ILQ288" s="1132" t="n"/>
      <c r="ILR288" s="1132" t="n"/>
      <c r="ILS288" s="1132" t="n"/>
      <c r="ILT288" s="1132" t="n"/>
      <c r="ILU288" s="1132" t="n"/>
      <c r="ILV288" s="1132" t="n"/>
      <c r="ILW288" s="1132" t="n"/>
      <c r="ILX288" s="1132" t="n"/>
      <c r="ILY288" s="1132" t="n"/>
      <c r="ILZ288" s="1132" t="n"/>
      <c r="IMA288" s="1132" t="n"/>
      <c r="IMB288" s="1132" t="n"/>
      <c r="IMC288" s="1132" t="n"/>
      <c r="IMD288" s="1132" t="n"/>
      <c r="IME288" s="1132" t="n"/>
      <c r="IMF288" s="1132" t="n"/>
      <c r="IMG288" s="1132" t="n"/>
      <c r="IMH288" s="1132" t="n"/>
      <c r="IMI288" s="1132" t="n"/>
      <c r="IMJ288" s="1132" t="n"/>
      <c r="IMK288" s="1132" t="n"/>
      <c r="IML288" s="1132" t="n"/>
      <c r="IMM288" s="1132" t="n"/>
      <c r="IMN288" s="1132" t="n"/>
      <c r="IMO288" s="1132" t="n"/>
      <c r="IMP288" s="1132" t="n"/>
      <c r="IMQ288" s="1132" t="n"/>
      <c r="IMR288" s="1132" t="n"/>
      <c r="IMS288" s="1132" t="n"/>
      <c r="IMT288" s="1132" t="n"/>
      <c r="IMU288" s="1132" t="n"/>
      <c r="IMV288" s="1132" t="n"/>
      <c r="IMW288" s="1132" t="n"/>
      <c r="IMX288" s="1132" t="n"/>
      <c r="IMY288" s="1132" t="n"/>
      <c r="IMZ288" s="1132" t="n"/>
      <c r="INA288" s="1132" t="n"/>
      <c r="INB288" s="1132" t="n"/>
      <c r="INC288" s="1132" t="n"/>
      <c r="IND288" s="1132" t="n"/>
      <c r="INE288" s="1132" t="n"/>
      <c r="INF288" s="1132" t="n"/>
      <c r="ING288" s="1132" t="n"/>
      <c r="INH288" s="1132" t="n"/>
      <c r="INI288" s="1132" t="n"/>
      <c r="INJ288" s="1132" t="n"/>
      <c r="INK288" s="1132" t="n"/>
      <c r="INL288" s="1132" t="n"/>
      <c r="INM288" s="1132" t="n"/>
      <c r="INN288" s="1132" t="n"/>
      <c r="INO288" s="1132" t="n"/>
      <c r="INP288" s="1132" t="n"/>
      <c r="INQ288" s="1132" t="n"/>
      <c r="INR288" s="1132" t="n"/>
      <c r="INS288" s="1132" t="n"/>
      <c r="INT288" s="1132" t="n"/>
      <c r="INU288" s="1132" t="n"/>
      <c r="INV288" s="1132" t="n"/>
      <c r="INW288" s="1132" t="n"/>
      <c r="INX288" s="1132" t="n"/>
      <c r="INY288" s="1132" t="n"/>
      <c r="INZ288" s="1132" t="n"/>
      <c r="IOA288" s="1132" t="n"/>
      <c r="IOB288" s="1132" t="n"/>
      <c r="IOC288" s="1132" t="n"/>
      <c r="IOD288" s="1132" t="n"/>
      <c r="IOE288" s="1132" t="n"/>
      <c r="IOF288" s="1132" t="n"/>
      <c r="IOG288" s="1132" t="n"/>
      <c r="IOH288" s="1132" t="n"/>
      <c r="IOI288" s="1132" t="n"/>
      <c r="IOJ288" s="1132" t="n"/>
      <c r="IOK288" s="1132" t="n"/>
      <c r="IOL288" s="1132" t="n"/>
      <c r="IOM288" s="1132" t="n"/>
      <c r="ION288" s="1132" t="n"/>
      <c r="IOO288" s="1132" t="n"/>
      <c r="IOP288" s="1132" t="n"/>
      <c r="IOQ288" s="1132" t="n"/>
      <c r="IOR288" s="1132" t="n"/>
      <c r="IOS288" s="1132" t="n"/>
      <c r="IOT288" s="1132" t="n"/>
      <c r="IOU288" s="1132" t="n"/>
      <c r="IOV288" s="1132" t="n"/>
      <c r="IOW288" s="1132" t="n"/>
      <c r="IOX288" s="1132" t="n"/>
      <c r="IOY288" s="1132" t="n"/>
      <c r="IOZ288" s="1132" t="n"/>
      <c r="IPA288" s="1132" t="n"/>
      <c r="IPB288" s="1132" t="n"/>
      <c r="IPC288" s="1132" t="n"/>
      <c r="IPD288" s="1132" t="n"/>
      <c r="IPE288" s="1132" t="n"/>
      <c r="IPF288" s="1132" t="n"/>
      <c r="IPG288" s="1132" t="n"/>
      <c r="IPH288" s="1132" t="n"/>
      <c r="IPI288" s="1132" t="n"/>
      <c r="IPJ288" s="1132" t="n"/>
      <c r="IPK288" s="1132" t="n"/>
      <c r="IPL288" s="1132" t="n"/>
      <c r="IPM288" s="1132" t="n"/>
      <c r="IPN288" s="1132" t="n"/>
      <c r="IPO288" s="1132" t="n"/>
      <c r="IPP288" s="1132" t="n"/>
      <c r="IPQ288" s="1132" t="n"/>
      <c r="IPR288" s="1132" t="n"/>
      <c r="IPS288" s="1132" t="n"/>
      <c r="IPT288" s="1132" t="n"/>
      <c r="IPU288" s="1132" t="n"/>
      <c r="IPV288" s="1132" t="n"/>
      <c r="IPW288" s="1132" t="n"/>
      <c r="IPX288" s="1132" t="n"/>
      <c r="IPY288" s="1132" t="n"/>
      <c r="IPZ288" s="1132" t="n"/>
      <c r="IQA288" s="1132" t="n"/>
      <c r="IQB288" s="1132" t="n"/>
      <c r="IQC288" s="1132" t="n"/>
      <c r="IQD288" s="1132" t="n"/>
      <c r="IQE288" s="1132" t="n"/>
      <c r="IQF288" s="1132" t="n"/>
      <c r="IQG288" s="1132" t="n"/>
      <c r="IQH288" s="1132" t="n"/>
      <c r="IQI288" s="1132" t="n"/>
      <c r="IQJ288" s="1132" t="n"/>
      <c r="IQK288" s="1132" t="n"/>
      <c r="IQL288" s="1132" t="n"/>
      <c r="IQM288" s="1132" t="n"/>
      <c r="IQN288" s="1132" t="n"/>
      <c r="IQO288" s="1132" t="n"/>
      <c r="IQP288" s="1132" t="n"/>
      <c r="IQQ288" s="1132" t="n"/>
      <c r="IQR288" s="1132" t="n"/>
      <c r="IQS288" s="1132" t="n"/>
      <c r="IQT288" s="1132" t="n"/>
      <c r="IQU288" s="1132" t="n"/>
      <c r="IQV288" s="1132" t="n"/>
      <c r="IQW288" s="1132" t="n"/>
      <c r="IQX288" s="1132" t="n"/>
      <c r="IQY288" s="1132" t="n"/>
      <c r="IQZ288" s="1132" t="n"/>
      <c r="IRA288" s="1132" t="n"/>
      <c r="IRB288" s="1132" t="n"/>
      <c r="IRC288" s="1132" t="n"/>
      <c r="IRD288" s="1132" t="n"/>
      <c r="IRE288" s="1132" t="n"/>
      <c r="IRF288" s="1132" t="n"/>
      <c r="IRG288" s="1132" t="n"/>
      <c r="IRH288" s="1132" t="n"/>
      <c r="IRI288" s="1132" t="n"/>
      <c r="IRJ288" s="1132" t="n"/>
      <c r="IRK288" s="1132" t="n"/>
      <c r="IRL288" s="1132" t="n"/>
      <c r="IRM288" s="1132" t="n"/>
      <c r="IRN288" s="1132" t="n"/>
      <c r="IRO288" s="1132" t="n"/>
      <c r="IRP288" s="1132" t="n"/>
      <c r="IRQ288" s="1132" t="n"/>
      <c r="IRR288" s="1132" t="n"/>
      <c r="IRS288" s="1132" t="n"/>
      <c r="IRT288" s="1132" t="n"/>
      <c r="IRU288" s="1132" t="n"/>
      <c r="IRV288" s="1132" t="n"/>
      <c r="IRW288" s="1132" t="n"/>
      <c r="IRX288" s="1132" t="n"/>
      <c r="IRY288" s="1132" t="n"/>
      <c r="IRZ288" s="1132" t="n"/>
      <c r="ISA288" s="1132" t="n"/>
      <c r="ISB288" s="1132" t="n"/>
      <c r="ISC288" s="1132" t="n"/>
      <c r="ISD288" s="1132" t="n"/>
      <c r="ISE288" s="1132" t="n"/>
      <c r="ISF288" s="1132" t="n"/>
      <c r="ISG288" s="1132" t="n"/>
      <c r="ISH288" s="1132" t="n"/>
      <c r="ISI288" s="1132" t="n"/>
      <c r="ISJ288" s="1132" t="n"/>
      <c r="ISK288" s="1132" t="n"/>
      <c r="ISL288" s="1132" t="n"/>
      <c r="ISM288" s="1132" t="n"/>
      <c r="ISN288" s="1132" t="n"/>
      <c r="ISO288" s="1132" t="n"/>
      <c r="ISP288" s="1132" t="n"/>
      <c r="ISQ288" s="1132" t="n"/>
      <c r="ISR288" s="1132" t="n"/>
      <c r="ISS288" s="1132" t="n"/>
      <c r="IST288" s="1132" t="n"/>
      <c r="ISU288" s="1132" t="n"/>
      <c r="ISV288" s="1132" t="n"/>
      <c r="ISW288" s="1132" t="n"/>
      <c r="ISX288" s="1132" t="n"/>
      <c r="ISY288" s="1132" t="n"/>
      <c r="ISZ288" s="1132" t="n"/>
      <c r="ITA288" s="1132" t="n"/>
      <c r="ITB288" s="1132" t="n"/>
      <c r="ITC288" s="1132" t="n"/>
      <c r="ITD288" s="1132" t="n"/>
      <c r="ITE288" s="1132" t="n"/>
      <c r="ITF288" s="1132" t="n"/>
      <c r="ITG288" s="1132" t="n"/>
      <c r="ITH288" s="1132" t="n"/>
      <c r="ITI288" s="1132" t="n"/>
      <c r="ITJ288" s="1132" t="n"/>
      <c r="ITK288" s="1132" t="n"/>
      <c r="ITL288" s="1132" t="n"/>
      <c r="ITM288" s="1132" t="n"/>
      <c r="ITN288" s="1132" t="n"/>
      <c r="ITO288" s="1132" t="n"/>
      <c r="ITP288" s="1132" t="n"/>
      <c r="ITQ288" s="1132" t="n"/>
      <c r="ITR288" s="1132" t="n"/>
      <c r="ITS288" s="1132" t="n"/>
      <c r="ITT288" s="1132" t="n"/>
      <c r="ITU288" s="1132" t="n"/>
      <c r="ITV288" s="1132" t="n"/>
      <c r="ITW288" s="1132" t="n"/>
      <c r="ITX288" s="1132" t="n"/>
      <c r="ITY288" s="1132" t="n"/>
      <c r="ITZ288" s="1132" t="n"/>
      <c r="IUA288" s="1132" t="n"/>
      <c r="IUB288" s="1132" t="n"/>
      <c r="IUC288" s="1132" t="n"/>
      <c r="IUD288" s="1132" t="n"/>
      <c r="IUE288" s="1132" t="n"/>
      <c r="IUF288" s="1132" t="n"/>
      <c r="IUG288" s="1132" t="n"/>
      <c r="IUH288" s="1132" t="n"/>
      <c r="IUI288" s="1132" t="n"/>
      <c r="IUJ288" s="1132" t="n"/>
      <c r="IUK288" s="1132" t="n"/>
      <c r="IUL288" s="1132" t="n"/>
      <c r="IUM288" s="1132" t="n"/>
      <c r="IUN288" s="1132" t="n"/>
      <c r="IUO288" s="1132" t="n"/>
      <c r="IUP288" s="1132" t="n"/>
      <c r="IUQ288" s="1132" t="n"/>
      <c r="IUR288" s="1132" t="n"/>
      <c r="IUS288" s="1132" t="n"/>
      <c r="IUT288" s="1132" t="n"/>
      <c r="IUU288" s="1132" t="n"/>
      <c r="IUV288" s="1132" t="n"/>
      <c r="IUW288" s="1132" t="n"/>
      <c r="IUX288" s="1132" t="n"/>
      <c r="IUY288" s="1132" t="n"/>
      <c r="IUZ288" s="1132" t="n"/>
      <c r="IVA288" s="1132" t="n"/>
      <c r="IVB288" s="1132" t="n"/>
      <c r="IVC288" s="1132" t="n"/>
      <c r="IVD288" s="1132" t="n"/>
      <c r="IVE288" s="1132" t="n"/>
      <c r="IVF288" s="1132" t="n"/>
      <c r="IVG288" s="1132" t="n"/>
      <c r="IVH288" s="1132" t="n"/>
      <c r="IVI288" s="1132" t="n"/>
      <c r="IVJ288" s="1132" t="n"/>
      <c r="IVK288" s="1132" t="n"/>
      <c r="IVL288" s="1132" t="n"/>
      <c r="IVM288" s="1132" t="n"/>
      <c r="IVN288" s="1132" t="n"/>
      <c r="IVO288" s="1132" t="n"/>
      <c r="IVP288" s="1132" t="n"/>
      <c r="IVQ288" s="1132" t="n"/>
      <c r="IVR288" s="1132" t="n"/>
      <c r="IVS288" s="1132" t="n"/>
      <c r="IVT288" s="1132" t="n"/>
      <c r="IVU288" s="1132" t="n"/>
      <c r="IVV288" s="1132" t="n"/>
      <c r="IVW288" s="1132" t="n"/>
      <c r="IVX288" s="1132" t="n"/>
      <c r="IVY288" s="1132" t="n"/>
      <c r="IVZ288" s="1132" t="n"/>
      <c r="IWA288" s="1132" t="n"/>
      <c r="IWB288" s="1132" t="n"/>
      <c r="IWC288" s="1132" t="n"/>
      <c r="IWD288" s="1132" t="n"/>
      <c r="IWE288" s="1132" t="n"/>
      <c r="IWF288" s="1132" t="n"/>
      <c r="IWG288" s="1132" t="n"/>
      <c r="IWH288" s="1132" t="n"/>
      <c r="IWI288" s="1132" t="n"/>
      <c r="IWJ288" s="1132" t="n"/>
      <c r="IWK288" s="1132" t="n"/>
      <c r="IWL288" s="1132" t="n"/>
      <c r="IWM288" s="1132" t="n"/>
      <c r="IWN288" s="1132" t="n"/>
      <c r="IWO288" s="1132" t="n"/>
      <c r="IWP288" s="1132" t="n"/>
      <c r="IWQ288" s="1132" t="n"/>
      <c r="IWR288" s="1132" t="n"/>
      <c r="IWS288" s="1132" t="n"/>
      <c r="IWT288" s="1132" t="n"/>
      <c r="IWU288" s="1132" t="n"/>
      <c r="IWV288" s="1132" t="n"/>
      <c r="IWW288" s="1132" t="n"/>
      <c r="IWX288" s="1132" t="n"/>
      <c r="IWY288" s="1132" t="n"/>
      <c r="IWZ288" s="1132" t="n"/>
      <c r="IXA288" s="1132" t="n"/>
      <c r="IXB288" s="1132" t="n"/>
      <c r="IXC288" s="1132" t="n"/>
      <c r="IXD288" s="1132" t="n"/>
      <c r="IXE288" s="1132" t="n"/>
      <c r="IXF288" s="1132" t="n"/>
      <c r="IXG288" s="1132" t="n"/>
      <c r="IXH288" s="1132" t="n"/>
      <c r="IXI288" s="1132" t="n"/>
      <c r="IXJ288" s="1132" t="n"/>
      <c r="IXK288" s="1132" t="n"/>
      <c r="IXL288" s="1132" t="n"/>
      <c r="IXM288" s="1132" t="n"/>
      <c r="IXN288" s="1132" t="n"/>
      <c r="IXO288" s="1132" t="n"/>
      <c r="IXP288" s="1132" t="n"/>
      <c r="IXQ288" s="1132" t="n"/>
      <c r="IXR288" s="1132" t="n"/>
      <c r="IXS288" s="1132" t="n"/>
      <c r="IXT288" s="1132" t="n"/>
      <c r="IXU288" s="1132" t="n"/>
      <c r="IXV288" s="1132" t="n"/>
      <c r="IXW288" s="1132" t="n"/>
      <c r="IXX288" s="1132" t="n"/>
      <c r="IXY288" s="1132" t="n"/>
      <c r="IXZ288" s="1132" t="n"/>
      <c r="IYA288" s="1132" t="n"/>
      <c r="IYB288" s="1132" t="n"/>
      <c r="IYC288" s="1132" t="n"/>
      <c r="IYD288" s="1132" t="n"/>
      <c r="IYE288" s="1132" t="n"/>
      <c r="IYF288" s="1132" t="n"/>
      <c r="IYG288" s="1132" t="n"/>
      <c r="IYH288" s="1132" t="n"/>
      <c r="IYI288" s="1132" t="n"/>
      <c r="IYJ288" s="1132" t="n"/>
      <c r="IYK288" s="1132" t="n"/>
      <c r="IYL288" s="1132" t="n"/>
      <c r="IYM288" s="1132" t="n"/>
      <c r="IYN288" s="1132" t="n"/>
      <c r="IYO288" s="1132" t="n"/>
      <c r="IYP288" s="1132" t="n"/>
      <c r="IYQ288" s="1132" t="n"/>
      <c r="IYR288" s="1132" t="n"/>
      <c r="IYS288" s="1132" t="n"/>
      <c r="IYT288" s="1132" t="n"/>
      <c r="IYU288" s="1132" t="n"/>
      <c r="IYV288" s="1132" t="n"/>
      <c r="IYW288" s="1132" t="n"/>
      <c r="IYX288" s="1132" t="n"/>
      <c r="IYY288" s="1132" t="n"/>
      <c r="IYZ288" s="1132" t="n"/>
      <c r="IZA288" s="1132" t="n"/>
      <c r="IZB288" s="1132" t="n"/>
      <c r="IZC288" s="1132" t="n"/>
      <c r="IZD288" s="1132" t="n"/>
      <c r="IZE288" s="1132" t="n"/>
      <c r="IZF288" s="1132" t="n"/>
      <c r="IZG288" s="1132" t="n"/>
      <c r="IZH288" s="1132" t="n"/>
      <c r="IZI288" s="1132" t="n"/>
      <c r="IZJ288" s="1132" t="n"/>
      <c r="IZK288" s="1132" t="n"/>
      <c r="IZL288" s="1132" t="n"/>
      <c r="IZM288" s="1132" t="n"/>
      <c r="IZN288" s="1132" t="n"/>
      <c r="IZO288" s="1132" t="n"/>
      <c r="IZP288" s="1132" t="n"/>
      <c r="IZQ288" s="1132" t="n"/>
      <c r="IZR288" s="1132" t="n"/>
      <c r="IZS288" s="1132" t="n"/>
      <c r="IZT288" s="1132" t="n"/>
      <c r="IZU288" s="1132" t="n"/>
      <c r="IZV288" s="1132" t="n"/>
      <c r="IZW288" s="1132" t="n"/>
      <c r="IZX288" s="1132" t="n"/>
      <c r="IZY288" s="1132" t="n"/>
      <c r="IZZ288" s="1132" t="n"/>
      <c r="JAA288" s="1132" t="n"/>
      <c r="JAB288" s="1132" t="n"/>
      <c r="JAC288" s="1132" t="n"/>
      <c r="JAD288" s="1132" t="n"/>
      <c r="JAE288" s="1132" t="n"/>
      <c r="JAF288" s="1132" t="n"/>
      <c r="JAG288" s="1132" t="n"/>
      <c r="JAH288" s="1132" t="n"/>
      <c r="JAI288" s="1132" t="n"/>
      <c r="JAJ288" s="1132" t="n"/>
      <c r="JAK288" s="1132" t="n"/>
      <c r="JAL288" s="1132" t="n"/>
      <c r="JAM288" s="1132" t="n"/>
      <c r="JAN288" s="1132" t="n"/>
      <c r="JAO288" s="1132" t="n"/>
      <c r="JAP288" s="1132" t="n"/>
      <c r="JAQ288" s="1132" t="n"/>
      <c r="JAR288" s="1132" t="n"/>
      <c r="JAS288" s="1132" t="n"/>
      <c r="JAT288" s="1132" t="n"/>
      <c r="JAU288" s="1132" t="n"/>
      <c r="JAV288" s="1132" t="n"/>
      <c r="JAW288" s="1132" t="n"/>
      <c r="JAX288" s="1132" t="n"/>
      <c r="JAY288" s="1132" t="n"/>
      <c r="JAZ288" s="1132" t="n"/>
      <c r="JBA288" s="1132" t="n"/>
      <c r="JBB288" s="1132" t="n"/>
      <c r="JBC288" s="1132" t="n"/>
      <c r="JBD288" s="1132" t="n"/>
      <c r="JBE288" s="1132" t="n"/>
      <c r="JBF288" s="1132" t="n"/>
      <c r="JBG288" s="1132" t="n"/>
      <c r="JBH288" s="1132" t="n"/>
      <c r="JBI288" s="1132" t="n"/>
      <c r="JBJ288" s="1132" t="n"/>
      <c r="JBK288" s="1132" t="n"/>
      <c r="JBL288" s="1132" t="n"/>
      <c r="JBM288" s="1132" t="n"/>
      <c r="JBN288" s="1132" t="n"/>
      <c r="JBO288" s="1132" t="n"/>
      <c r="JBP288" s="1132" t="n"/>
      <c r="JBQ288" s="1132" t="n"/>
      <c r="JBR288" s="1132" t="n"/>
      <c r="JBS288" s="1132" t="n"/>
      <c r="JBT288" s="1132" t="n"/>
      <c r="JBU288" s="1132" t="n"/>
      <c r="JBV288" s="1132" t="n"/>
      <c r="JBW288" s="1132" t="n"/>
      <c r="JBX288" s="1132" t="n"/>
      <c r="JBY288" s="1132" t="n"/>
      <c r="JBZ288" s="1132" t="n"/>
      <c r="JCA288" s="1132" t="n"/>
      <c r="JCB288" s="1132" t="n"/>
      <c r="JCC288" s="1132" t="n"/>
      <c r="JCD288" s="1132" t="n"/>
      <c r="JCE288" s="1132" t="n"/>
      <c r="JCF288" s="1132" t="n"/>
      <c r="JCG288" s="1132" t="n"/>
      <c r="JCH288" s="1132" t="n"/>
      <c r="JCI288" s="1132" t="n"/>
      <c r="JCJ288" s="1132" t="n"/>
      <c r="JCK288" s="1132" t="n"/>
      <c r="JCL288" s="1132" t="n"/>
      <c r="JCM288" s="1132" t="n"/>
      <c r="JCN288" s="1132" t="n"/>
      <c r="JCO288" s="1132" t="n"/>
      <c r="JCP288" s="1132" t="n"/>
      <c r="JCQ288" s="1132" t="n"/>
      <c r="JCR288" s="1132" t="n"/>
      <c r="JCS288" s="1132" t="n"/>
      <c r="JCT288" s="1132" t="n"/>
      <c r="JCU288" s="1132" t="n"/>
      <c r="JCV288" s="1132" t="n"/>
      <c r="JCW288" s="1132" t="n"/>
      <c r="JCX288" s="1132" t="n"/>
      <c r="JCY288" s="1132" t="n"/>
      <c r="JCZ288" s="1132" t="n"/>
      <c r="JDA288" s="1132" t="n"/>
      <c r="JDB288" s="1132" t="n"/>
      <c r="JDC288" s="1132" t="n"/>
      <c r="JDD288" s="1132" t="n"/>
      <c r="JDE288" s="1132" t="n"/>
      <c r="JDF288" s="1132" t="n"/>
      <c r="JDG288" s="1132" t="n"/>
      <c r="JDH288" s="1132" t="n"/>
      <c r="JDI288" s="1132" t="n"/>
      <c r="JDJ288" s="1132" t="n"/>
      <c r="JDK288" s="1132" t="n"/>
      <c r="JDL288" s="1132" t="n"/>
      <c r="JDM288" s="1132" t="n"/>
      <c r="JDN288" s="1132" t="n"/>
      <c r="JDO288" s="1132" t="n"/>
      <c r="JDP288" s="1132" t="n"/>
      <c r="JDQ288" s="1132" t="n"/>
      <c r="JDR288" s="1132" t="n"/>
      <c r="JDS288" s="1132" t="n"/>
      <c r="JDT288" s="1132" t="n"/>
      <c r="JDU288" s="1132" t="n"/>
      <c r="JDV288" s="1132" t="n"/>
      <c r="JDW288" s="1132" t="n"/>
      <c r="JDX288" s="1132" t="n"/>
      <c r="JDY288" s="1132" t="n"/>
      <c r="JDZ288" s="1132" t="n"/>
      <c r="JEA288" s="1132" t="n"/>
      <c r="JEB288" s="1132" t="n"/>
      <c r="JEC288" s="1132" t="n"/>
      <c r="JED288" s="1132" t="n"/>
      <c r="JEE288" s="1132" t="n"/>
      <c r="JEF288" s="1132" t="n"/>
      <c r="JEG288" s="1132" t="n"/>
      <c r="JEH288" s="1132" t="n"/>
      <c r="JEI288" s="1132" t="n"/>
      <c r="JEJ288" s="1132" t="n"/>
      <c r="JEK288" s="1132" t="n"/>
      <c r="JEL288" s="1132" t="n"/>
      <c r="JEM288" s="1132" t="n"/>
      <c r="JEN288" s="1132" t="n"/>
      <c r="JEO288" s="1132" t="n"/>
      <c r="JEP288" s="1132" t="n"/>
      <c r="JEQ288" s="1132" t="n"/>
      <c r="JER288" s="1132" t="n"/>
      <c r="JES288" s="1132" t="n"/>
      <c r="JET288" s="1132" t="n"/>
      <c r="JEU288" s="1132" t="n"/>
      <c r="JEV288" s="1132" t="n"/>
      <c r="JEW288" s="1132" t="n"/>
      <c r="JEX288" s="1132" t="n"/>
      <c r="JEY288" s="1132" t="n"/>
      <c r="JEZ288" s="1132" t="n"/>
      <c r="JFA288" s="1132" t="n"/>
      <c r="JFB288" s="1132" t="n"/>
      <c r="JFC288" s="1132" t="n"/>
      <c r="JFD288" s="1132" t="n"/>
      <c r="JFE288" s="1132" t="n"/>
      <c r="JFF288" s="1132" t="n"/>
      <c r="JFG288" s="1132" t="n"/>
      <c r="JFH288" s="1132" t="n"/>
      <c r="JFI288" s="1132" t="n"/>
      <c r="JFJ288" s="1132" t="n"/>
      <c r="JFK288" s="1132" t="n"/>
      <c r="JFL288" s="1132" t="n"/>
      <c r="JFM288" s="1132" t="n"/>
      <c r="JFN288" s="1132" t="n"/>
      <c r="JFO288" s="1132" t="n"/>
      <c r="JFP288" s="1132" t="n"/>
      <c r="JFQ288" s="1132" t="n"/>
      <c r="JFR288" s="1132" t="n"/>
      <c r="JFS288" s="1132" t="n"/>
      <c r="JFT288" s="1132" t="n"/>
      <c r="JFU288" s="1132" t="n"/>
      <c r="JFV288" s="1132" t="n"/>
      <c r="JFW288" s="1132" t="n"/>
      <c r="JFX288" s="1132" t="n"/>
      <c r="JFY288" s="1132" t="n"/>
      <c r="JFZ288" s="1132" t="n"/>
      <c r="JGA288" s="1132" t="n"/>
      <c r="JGB288" s="1132" t="n"/>
      <c r="JGC288" s="1132" t="n"/>
      <c r="JGD288" s="1132" t="n"/>
      <c r="JGE288" s="1132" t="n"/>
      <c r="JGF288" s="1132" t="n"/>
      <c r="JGG288" s="1132" t="n"/>
      <c r="JGH288" s="1132" t="n"/>
      <c r="JGI288" s="1132" t="n"/>
      <c r="JGJ288" s="1132" t="n"/>
      <c r="JGK288" s="1132" t="n"/>
      <c r="JGL288" s="1132" t="n"/>
      <c r="JGM288" s="1132" t="n"/>
      <c r="JGN288" s="1132" t="n"/>
      <c r="JGO288" s="1132" t="n"/>
      <c r="JGP288" s="1132" t="n"/>
      <c r="JGQ288" s="1132" t="n"/>
      <c r="JGR288" s="1132" t="n"/>
      <c r="JGS288" s="1132" t="n"/>
      <c r="JGT288" s="1132" t="n"/>
      <c r="JGU288" s="1132" t="n"/>
      <c r="JGV288" s="1132" t="n"/>
      <c r="JGW288" s="1132" t="n"/>
      <c r="JGX288" s="1132" t="n"/>
      <c r="JGY288" s="1132" t="n"/>
      <c r="JGZ288" s="1132" t="n"/>
      <c r="JHA288" s="1132" t="n"/>
      <c r="JHB288" s="1132" t="n"/>
      <c r="JHC288" s="1132" t="n"/>
      <c r="JHD288" s="1132" t="n"/>
      <c r="JHE288" s="1132" t="n"/>
      <c r="JHF288" s="1132" t="n"/>
      <c r="JHG288" s="1132" t="n"/>
      <c r="JHH288" s="1132" t="n"/>
      <c r="JHI288" s="1132" t="n"/>
      <c r="JHJ288" s="1132" t="n"/>
      <c r="JHK288" s="1132" t="n"/>
      <c r="JHL288" s="1132" t="n"/>
      <c r="JHM288" s="1132" t="n"/>
      <c r="JHN288" s="1132" t="n"/>
      <c r="JHO288" s="1132" t="n"/>
      <c r="JHP288" s="1132" t="n"/>
      <c r="JHQ288" s="1132" t="n"/>
      <c r="JHR288" s="1132" t="n"/>
      <c r="JHS288" s="1132" t="n"/>
      <c r="JHT288" s="1132" t="n"/>
      <c r="JHU288" s="1132" t="n"/>
      <c r="JHV288" s="1132" t="n"/>
      <c r="JHW288" s="1132" t="n"/>
      <c r="JHX288" s="1132" t="n"/>
      <c r="JHY288" s="1132" t="n"/>
      <c r="JHZ288" s="1132" t="n"/>
      <c r="JIA288" s="1132" t="n"/>
      <c r="JIB288" s="1132" t="n"/>
      <c r="JIC288" s="1132" t="n"/>
      <c r="JID288" s="1132" t="n"/>
      <c r="JIE288" s="1132" t="n"/>
      <c r="JIF288" s="1132" t="n"/>
      <c r="JIG288" s="1132" t="n"/>
      <c r="JIH288" s="1132" t="n"/>
      <c r="JII288" s="1132" t="n"/>
      <c r="JIJ288" s="1132" t="n"/>
      <c r="JIK288" s="1132" t="n"/>
      <c r="JIL288" s="1132" t="n"/>
      <c r="JIM288" s="1132" t="n"/>
      <c r="JIN288" s="1132" t="n"/>
      <c r="JIO288" s="1132" t="n"/>
      <c r="JIP288" s="1132" t="n"/>
      <c r="JIQ288" s="1132" t="n"/>
      <c r="JIR288" s="1132" t="n"/>
      <c r="JIS288" s="1132" t="n"/>
      <c r="JIT288" s="1132" t="n"/>
      <c r="JIU288" s="1132" t="n"/>
      <c r="JIV288" s="1132" t="n"/>
      <c r="JIW288" s="1132" t="n"/>
      <c r="JIX288" s="1132" t="n"/>
      <c r="JIY288" s="1132" t="n"/>
      <c r="JIZ288" s="1132" t="n"/>
      <c r="JJA288" s="1132" t="n"/>
      <c r="JJB288" s="1132" t="n"/>
      <c r="JJC288" s="1132" t="n"/>
      <c r="JJD288" s="1132" t="n"/>
      <c r="JJE288" s="1132" t="n"/>
      <c r="JJF288" s="1132" t="n"/>
      <c r="JJG288" s="1132" t="n"/>
      <c r="JJH288" s="1132" t="n"/>
      <c r="JJI288" s="1132" t="n"/>
      <c r="JJJ288" s="1132" t="n"/>
      <c r="JJK288" s="1132" t="n"/>
      <c r="JJL288" s="1132" t="n"/>
      <c r="JJM288" s="1132" t="n"/>
      <c r="JJN288" s="1132" t="n"/>
      <c r="JJO288" s="1132" t="n"/>
      <c r="JJP288" s="1132" t="n"/>
      <c r="JJQ288" s="1132" t="n"/>
      <c r="JJR288" s="1132" t="n"/>
      <c r="JJS288" s="1132" t="n"/>
      <c r="JJT288" s="1132" t="n"/>
      <c r="JJU288" s="1132" t="n"/>
      <c r="JJV288" s="1132" t="n"/>
      <c r="JJW288" s="1132" t="n"/>
      <c r="JJX288" s="1132" t="n"/>
      <c r="JJY288" s="1132" t="n"/>
      <c r="JJZ288" s="1132" t="n"/>
      <c r="JKA288" s="1132" t="n"/>
      <c r="JKB288" s="1132" t="n"/>
      <c r="JKC288" s="1132" t="n"/>
      <c r="JKD288" s="1132" t="n"/>
      <c r="JKE288" s="1132" t="n"/>
      <c r="JKF288" s="1132" t="n"/>
      <c r="JKG288" s="1132" t="n"/>
      <c r="JKH288" s="1132" t="n"/>
      <c r="JKI288" s="1132" t="n"/>
      <c r="JKJ288" s="1132" t="n"/>
      <c r="JKK288" s="1132" t="n"/>
      <c r="JKL288" s="1132" t="n"/>
      <c r="JKM288" s="1132" t="n"/>
      <c r="JKN288" s="1132" t="n"/>
      <c r="JKO288" s="1132" t="n"/>
      <c r="JKP288" s="1132" t="n"/>
      <c r="JKQ288" s="1132" t="n"/>
      <c r="JKR288" s="1132" t="n"/>
      <c r="JKS288" s="1132" t="n"/>
      <c r="JKT288" s="1132" t="n"/>
      <c r="JKU288" s="1132" t="n"/>
      <c r="JKV288" s="1132" t="n"/>
      <c r="JKW288" s="1132" t="n"/>
      <c r="JKX288" s="1132" t="n"/>
      <c r="JKY288" s="1132" t="n"/>
      <c r="JKZ288" s="1132" t="n"/>
      <c r="JLA288" s="1132" t="n"/>
      <c r="JLB288" s="1132" t="n"/>
      <c r="JLC288" s="1132" t="n"/>
      <c r="JLD288" s="1132" t="n"/>
      <c r="JLE288" s="1132" t="n"/>
      <c r="JLF288" s="1132" t="n"/>
      <c r="JLG288" s="1132" t="n"/>
      <c r="JLH288" s="1132" t="n"/>
      <c r="JLI288" s="1132" t="n"/>
      <c r="JLJ288" s="1132" t="n"/>
      <c r="JLK288" s="1132" t="n"/>
      <c r="JLL288" s="1132" t="n"/>
      <c r="JLM288" s="1132" t="n"/>
      <c r="JLN288" s="1132" t="n"/>
      <c r="JLO288" s="1132" t="n"/>
      <c r="JLP288" s="1132" t="n"/>
      <c r="JLQ288" s="1132" t="n"/>
      <c r="JLR288" s="1132" t="n"/>
      <c r="JLS288" s="1132" t="n"/>
      <c r="JLT288" s="1132" t="n"/>
      <c r="JLU288" s="1132" t="n"/>
      <c r="JLV288" s="1132" t="n"/>
      <c r="JLW288" s="1132" t="n"/>
      <c r="JLX288" s="1132" t="n"/>
      <c r="JLY288" s="1132" t="n"/>
      <c r="JLZ288" s="1132" t="n"/>
      <c r="JMA288" s="1132" t="n"/>
      <c r="JMB288" s="1132" t="n"/>
      <c r="JMC288" s="1132" t="n"/>
      <c r="JMD288" s="1132" t="n"/>
      <c r="JME288" s="1132" t="n"/>
      <c r="JMF288" s="1132" t="n"/>
      <c r="JMG288" s="1132" t="n"/>
      <c r="JMH288" s="1132" t="n"/>
      <c r="JMI288" s="1132" t="n"/>
      <c r="JMJ288" s="1132" t="n"/>
      <c r="JMK288" s="1132" t="n"/>
      <c r="JML288" s="1132" t="n"/>
      <c r="JMM288" s="1132" t="n"/>
      <c r="JMN288" s="1132" t="n"/>
      <c r="JMO288" s="1132" t="n"/>
      <c r="JMP288" s="1132" t="n"/>
      <c r="JMQ288" s="1132" t="n"/>
      <c r="JMR288" s="1132" t="n"/>
      <c r="JMS288" s="1132" t="n"/>
      <c r="JMT288" s="1132" t="n"/>
      <c r="JMU288" s="1132" t="n"/>
      <c r="JMV288" s="1132" t="n"/>
      <c r="JMW288" s="1132" t="n"/>
      <c r="JMX288" s="1132" t="n"/>
      <c r="JMY288" s="1132" t="n"/>
      <c r="JMZ288" s="1132" t="n"/>
      <c r="JNA288" s="1132" t="n"/>
      <c r="JNB288" s="1132" t="n"/>
      <c r="JNC288" s="1132" t="n"/>
      <c r="JND288" s="1132" t="n"/>
      <c r="JNE288" s="1132" t="n"/>
      <c r="JNF288" s="1132" t="n"/>
      <c r="JNG288" s="1132" t="n"/>
      <c r="JNH288" s="1132" t="n"/>
      <c r="JNI288" s="1132" t="n"/>
      <c r="JNJ288" s="1132" t="n"/>
      <c r="JNK288" s="1132" t="n"/>
      <c r="JNL288" s="1132" t="n"/>
      <c r="JNM288" s="1132" t="n"/>
      <c r="JNN288" s="1132" t="n"/>
      <c r="JNO288" s="1132" t="n"/>
      <c r="JNP288" s="1132" t="n"/>
      <c r="JNQ288" s="1132" t="n"/>
      <c r="JNR288" s="1132" t="n"/>
      <c r="JNS288" s="1132" t="n"/>
      <c r="JNT288" s="1132" t="n"/>
      <c r="JNU288" s="1132" t="n"/>
      <c r="JNV288" s="1132" t="n"/>
      <c r="JNW288" s="1132" t="n"/>
      <c r="JNX288" s="1132" t="n"/>
      <c r="JNY288" s="1132" t="n"/>
      <c r="JNZ288" s="1132" t="n"/>
      <c r="JOA288" s="1132" t="n"/>
      <c r="JOB288" s="1132" t="n"/>
      <c r="JOC288" s="1132" t="n"/>
      <c r="JOD288" s="1132" t="n"/>
      <c r="JOE288" s="1132" t="n"/>
      <c r="JOF288" s="1132" t="n"/>
      <c r="JOG288" s="1132" t="n"/>
      <c r="JOH288" s="1132" t="n"/>
      <c r="JOI288" s="1132" t="n"/>
      <c r="JOJ288" s="1132" t="n"/>
      <c r="JOK288" s="1132" t="n"/>
      <c r="JOL288" s="1132" t="n"/>
      <c r="JOM288" s="1132" t="n"/>
      <c r="JON288" s="1132" t="n"/>
      <c r="JOO288" s="1132" t="n"/>
      <c r="JOP288" s="1132" t="n"/>
      <c r="JOQ288" s="1132" t="n"/>
      <c r="JOR288" s="1132" t="n"/>
      <c r="JOS288" s="1132" t="n"/>
      <c r="JOT288" s="1132" t="n"/>
      <c r="JOU288" s="1132" t="n"/>
      <c r="JOV288" s="1132" t="n"/>
      <c r="JOW288" s="1132" t="n"/>
      <c r="JOX288" s="1132" t="n"/>
      <c r="JOY288" s="1132" t="n"/>
      <c r="JOZ288" s="1132" t="n"/>
      <c r="JPA288" s="1132" t="n"/>
      <c r="JPB288" s="1132" t="n"/>
      <c r="JPC288" s="1132" t="n"/>
      <c r="JPD288" s="1132" t="n"/>
      <c r="JPE288" s="1132" t="n"/>
      <c r="JPF288" s="1132" t="n"/>
      <c r="JPG288" s="1132" t="n"/>
      <c r="JPH288" s="1132" t="n"/>
      <c r="JPI288" s="1132" t="n"/>
      <c r="JPJ288" s="1132" t="n"/>
      <c r="JPK288" s="1132" t="n"/>
      <c r="JPL288" s="1132" t="n"/>
      <c r="JPM288" s="1132" t="n"/>
      <c r="JPN288" s="1132" t="n"/>
      <c r="JPO288" s="1132" t="n"/>
      <c r="JPP288" s="1132" t="n"/>
      <c r="JPQ288" s="1132" t="n"/>
      <c r="JPR288" s="1132" t="n"/>
      <c r="JPS288" s="1132" t="n"/>
      <c r="JPT288" s="1132" t="n"/>
      <c r="JPU288" s="1132" t="n"/>
      <c r="JPV288" s="1132" t="n"/>
      <c r="JPW288" s="1132" t="n"/>
      <c r="JPX288" s="1132" t="n"/>
      <c r="JPY288" s="1132" t="n"/>
      <c r="JPZ288" s="1132" t="n"/>
      <c r="JQA288" s="1132" t="n"/>
      <c r="JQB288" s="1132" t="n"/>
      <c r="JQC288" s="1132" t="n"/>
      <c r="JQD288" s="1132" t="n"/>
      <c r="JQE288" s="1132" t="n"/>
      <c r="JQF288" s="1132" t="n"/>
      <c r="JQG288" s="1132" t="n"/>
      <c r="JQH288" s="1132" t="n"/>
      <c r="JQI288" s="1132" t="n"/>
      <c r="JQJ288" s="1132" t="n"/>
      <c r="JQK288" s="1132" t="n"/>
      <c r="JQL288" s="1132" t="n"/>
      <c r="JQM288" s="1132" t="n"/>
      <c r="JQN288" s="1132" t="n"/>
      <c r="JQO288" s="1132" t="n"/>
      <c r="JQP288" s="1132" t="n"/>
      <c r="JQQ288" s="1132" t="n"/>
      <c r="JQR288" s="1132" t="n"/>
      <c r="JQS288" s="1132" t="n"/>
      <c r="JQT288" s="1132" t="n"/>
      <c r="JQU288" s="1132" t="n"/>
      <c r="JQV288" s="1132" t="n"/>
      <c r="JQW288" s="1132" t="n"/>
      <c r="JQX288" s="1132" t="n"/>
      <c r="JQY288" s="1132" t="n"/>
      <c r="JQZ288" s="1132" t="n"/>
      <c r="JRA288" s="1132" t="n"/>
      <c r="JRB288" s="1132" t="n"/>
      <c r="JRC288" s="1132" t="n"/>
      <c r="JRD288" s="1132" t="n"/>
      <c r="JRE288" s="1132" t="n"/>
      <c r="JRF288" s="1132" t="n"/>
      <c r="JRG288" s="1132" t="n"/>
      <c r="JRH288" s="1132" t="n"/>
      <c r="JRI288" s="1132" t="n"/>
      <c r="JRJ288" s="1132" t="n"/>
      <c r="JRK288" s="1132" t="n"/>
      <c r="JRL288" s="1132" t="n"/>
      <c r="JRM288" s="1132" t="n"/>
      <c r="JRN288" s="1132" t="n"/>
      <c r="JRO288" s="1132" t="n"/>
      <c r="JRP288" s="1132" t="n"/>
      <c r="JRQ288" s="1132" t="n"/>
      <c r="JRR288" s="1132" t="n"/>
      <c r="JRS288" s="1132" t="n"/>
      <c r="JRT288" s="1132" t="n"/>
      <c r="JRU288" s="1132" t="n"/>
      <c r="JRV288" s="1132" t="n"/>
      <c r="JRW288" s="1132" t="n"/>
      <c r="JRX288" s="1132" t="n"/>
      <c r="JRY288" s="1132" t="n"/>
      <c r="JRZ288" s="1132" t="n"/>
      <c r="JSA288" s="1132" t="n"/>
      <c r="JSB288" s="1132" t="n"/>
      <c r="JSC288" s="1132" t="n"/>
      <c r="JSD288" s="1132" t="n"/>
      <c r="JSE288" s="1132" t="n"/>
      <c r="JSF288" s="1132" t="n"/>
      <c r="JSG288" s="1132" t="n"/>
      <c r="JSH288" s="1132" t="n"/>
      <c r="JSI288" s="1132" t="n"/>
      <c r="JSJ288" s="1132" t="n"/>
      <c r="JSK288" s="1132" t="n"/>
      <c r="JSL288" s="1132" t="n"/>
      <c r="JSM288" s="1132" t="n"/>
      <c r="JSN288" s="1132" t="n"/>
      <c r="JSO288" s="1132" t="n"/>
      <c r="JSP288" s="1132" t="n"/>
      <c r="JSQ288" s="1132" t="n"/>
      <c r="JSR288" s="1132" t="n"/>
      <c r="JSS288" s="1132" t="n"/>
      <c r="JST288" s="1132" t="n"/>
      <c r="JSU288" s="1132" t="n"/>
      <c r="JSV288" s="1132" t="n"/>
      <c r="JSW288" s="1132" t="n"/>
      <c r="JSX288" s="1132" t="n"/>
      <c r="JSY288" s="1132" t="n"/>
      <c r="JSZ288" s="1132" t="n"/>
      <c r="JTA288" s="1132" t="n"/>
      <c r="JTB288" s="1132" t="n"/>
      <c r="JTC288" s="1132" t="n"/>
      <c r="JTD288" s="1132" t="n"/>
      <c r="JTE288" s="1132" t="n"/>
      <c r="JTF288" s="1132" t="n"/>
      <c r="JTG288" s="1132" t="n"/>
      <c r="JTH288" s="1132" t="n"/>
      <c r="JTI288" s="1132" t="n"/>
      <c r="JTJ288" s="1132" t="n"/>
      <c r="JTK288" s="1132" t="n"/>
      <c r="JTL288" s="1132" t="n"/>
      <c r="JTM288" s="1132" t="n"/>
      <c r="JTN288" s="1132" t="n"/>
      <c r="JTO288" s="1132" t="n"/>
      <c r="JTP288" s="1132" t="n"/>
      <c r="JTQ288" s="1132" t="n"/>
      <c r="JTR288" s="1132" t="n"/>
      <c r="JTS288" s="1132" t="n"/>
      <c r="JTT288" s="1132" t="n"/>
      <c r="JTU288" s="1132" t="n"/>
      <c r="JTV288" s="1132" t="n"/>
      <c r="JTW288" s="1132" t="n"/>
      <c r="JTX288" s="1132" t="n"/>
      <c r="JTY288" s="1132" t="n"/>
      <c r="JTZ288" s="1132" t="n"/>
      <c r="JUA288" s="1132" t="n"/>
      <c r="JUB288" s="1132" t="n"/>
      <c r="JUC288" s="1132" t="n"/>
      <c r="JUD288" s="1132" t="n"/>
      <c r="JUE288" s="1132" t="n"/>
      <c r="JUF288" s="1132" t="n"/>
      <c r="JUG288" s="1132" t="n"/>
      <c r="JUH288" s="1132" t="n"/>
      <c r="JUI288" s="1132" t="n"/>
      <c r="JUJ288" s="1132" t="n"/>
      <c r="JUK288" s="1132" t="n"/>
      <c r="JUL288" s="1132" t="n"/>
      <c r="JUM288" s="1132" t="n"/>
      <c r="JUN288" s="1132" t="n"/>
      <c r="JUO288" s="1132" t="n"/>
      <c r="JUP288" s="1132" t="n"/>
      <c r="JUQ288" s="1132" t="n"/>
      <c r="JUR288" s="1132" t="n"/>
      <c r="JUS288" s="1132" t="n"/>
      <c r="JUT288" s="1132" t="n"/>
      <c r="JUU288" s="1132" t="n"/>
      <c r="JUV288" s="1132" t="n"/>
      <c r="JUW288" s="1132" t="n"/>
      <c r="JUX288" s="1132" t="n"/>
      <c r="JUY288" s="1132" t="n"/>
      <c r="JUZ288" s="1132" t="n"/>
      <c r="JVA288" s="1132" t="n"/>
      <c r="JVB288" s="1132" t="n"/>
      <c r="JVC288" s="1132" t="n"/>
      <c r="JVD288" s="1132" t="n"/>
      <c r="JVE288" s="1132" t="n"/>
      <c r="JVF288" s="1132" t="n"/>
      <c r="JVG288" s="1132" t="n"/>
      <c r="JVH288" s="1132" t="n"/>
      <c r="JVI288" s="1132" t="n"/>
      <c r="JVJ288" s="1132" t="n"/>
      <c r="JVK288" s="1132" t="n"/>
      <c r="JVL288" s="1132" t="n"/>
      <c r="JVM288" s="1132" t="n"/>
      <c r="JVN288" s="1132" t="n"/>
      <c r="JVO288" s="1132" t="n"/>
      <c r="JVP288" s="1132" t="n"/>
      <c r="JVQ288" s="1132" t="n"/>
      <c r="JVR288" s="1132" t="n"/>
      <c r="JVS288" s="1132" t="n"/>
      <c r="JVT288" s="1132" t="n"/>
      <c r="JVU288" s="1132" t="n"/>
      <c r="JVV288" s="1132" t="n"/>
      <c r="JVW288" s="1132" t="n"/>
      <c r="JVX288" s="1132" t="n"/>
      <c r="JVY288" s="1132" t="n"/>
      <c r="JVZ288" s="1132" t="n"/>
      <c r="JWA288" s="1132" t="n"/>
      <c r="JWB288" s="1132" t="n"/>
      <c r="JWC288" s="1132" t="n"/>
      <c r="JWD288" s="1132" t="n"/>
      <c r="JWE288" s="1132" t="n"/>
      <c r="JWF288" s="1132" t="n"/>
      <c r="JWG288" s="1132" t="n"/>
      <c r="JWH288" s="1132" t="n"/>
      <c r="JWI288" s="1132" t="n"/>
      <c r="JWJ288" s="1132" t="n"/>
      <c r="JWK288" s="1132" t="n"/>
      <c r="JWL288" s="1132" t="n"/>
      <c r="JWM288" s="1132" t="n"/>
      <c r="JWN288" s="1132" t="n"/>
      <c r="JWO288" s="1132" t="n"/>
      <c r="JWP288" s="1132" t="n"/>
      <c r="JWQ288" s="1132" t="n"/>
      <c r="JWR288" s="1132" t="n"/>
      <c r="JWS288" s="1132" t="n"/>
      <c r="JWT288" s="1132" t="n"/>
      <c r="JWU288" s="1132" t="n"/>
      <c r="JWV288" s="1132" t="n"/>
      <c r="JWW288" s="1132" t="n"/>
      <c r="JWX288" s="1132" t="n"/>
      <c r="JWY288" s="1132" t="n"/>
      <c r="JWZ288" s="1132" t="n"/>
      <c r="JXA288" s="1132" t="n"/>
      <c r="JXB288" s="1132" t="n"/>
      <c r="JXC288" s="1132" t="n"/>
      <c r="JXD288" s="1132" t="n"/>
      <c r="JXE288" s="1132" t="n"/>
      <c r="JXF288" s="1132" t="n"/>
      <c r="JXG288" s="1132" t="n"/>
      <c r="JXH288" s="1132" t="n"/>
      <c r="JXI288" s="1132" t="n"/>
      <c r="JXJ288" s="1132" t="n"/>
      <c r="JXK288" s="1132" t="n"/>
      <c r="JXL288" s="1132" t="n"/>
      <c r="JXM288" s="1132" t="n"/>
      <c r="JXN288" s="1132" t="n"/>
      <c r="JXO288" s="1132" t="n"/>
      <c r="JXP288" s="1132" t="n"/>
      <c r="JXQ288" s="1132" t="n"/>
      <c r="JXR288" s="1132" t="n"/>
      <c r="JXS288" s="1132" t="n"/>
      <c r="JXT288" s="1132" t="n"/>
      <c r="JXU288" s="1132" t="n"/>
      <c r="JXV288" s="1132" t="n"/>
      <c r="JXW288" s="1132" t="n"/>
      <c r="JXX288" s="1132" t="n"/>
      <c r="JXY288" s="1132" t="n"/>
      <c r="JXZ288" s="1132" t="n"/>
      <c r="JYA288" s="1132" t="n"/>
      <c r="JYB288" s="1132" t="n"/>
      <c r="JYC288" s="1132" t="n"/>
      <c r="JYD288" s="1132" t="n"/>
      <c r="JYE288" s="1132" t="n"/>
      <c r="JYF288" s="1132" t="n"/>
      <c r="JYG288" s="1132" t="n"/>
      <c r="JYH288" s="1132" t="n"/>
      <c r="JYI288" s="1132" t="n"/>
      <c r="JYJ288" s="1132" t="n"/>
      <c r="JYK288" s="1132" t="n"/>
      <c r="JYL288" s="1132" t="n"/>
      <c r="JYM288" s="1132" t="n"/>
      <c r="JYN288" s="1132" t="n"/>
      <c r="JYO288" s="1132" t="n"/>
      <c r="JYP288" s="1132" t="n"/>
      <c r="JYQ288" s="1132" t="n"/>
      <c r="JYR288" s="1132" t="n"/>
      <c r="JYS288" s="1132" t="n"/>
      <c r="JYT288" s="1132" t="n"/>
      <c r="JYU288" s="1132" t="n"/>
      <c r="JYV288" s="1132" t="n"/>
      <c r="JYW288" s="1132" t="n"/>
      <c r="JYX288" s="1132" t="n"/>
      <c r="JYY288" s="1132" t="n"/>
      <c r="JYZ288" s="1132" t="n"/>
      <c r="JZA288" s="1132" t="n"/>
      <c r="JZB288" s="1132" t="n"/>
      <c r="JZC288" s="1132" t="n"/>
      <c r="JZD288" s="1132" t="n"/>
      <c r="JZE288" s="1132" t="n"/>
      <c r="JZF288" s="1132" t="n"/>
      <c r="JZG288" s="1132" t="n"/>
      <c r="JZH288" s="1132" t="n"/>
      <c r="JZI288" s="1132" t="n"/>
      <c r="JZJ288" s="1132" t="n"/>
      <c r="JZK288" s="1132" t="n"/>
      <c r="JZL288" s="1132" t="n"/>
      <c r="JZM288" s="1132" t="n"/>
      <c r="JZN288" s="1132" t="n"/>
      <c r="JZO288" s="1132" t="n"/>
      <c r="JZP288" s="1132" t="n"/>
      <c r="JZQ288" s="1132" t="n"/>
      <c r="JZR288" s="1132" t="n"/>
      <c r="JZS288" s="1132" t="n"/>
      <c r="JZT288" s="1132" t="n"/>
      <c r="JZU288" s="1132" t="n"/>
      <c r="JZV288" s="1132" t="n"/>
      <c r="JZW288" s="1132" t="n"/>
      <c r="JZX288" s="1132" t="n"/>
      <c r="JZY288" s="1132" t="n"/>
      <c r="JZZ288" s="1132" t="n"/>
      <c r="KAA288" s="1132" t="n"/>
      <c r="KAB288" s="1132" t="n"/>
      <c r="KAC288" s="1132" t="n"/>
      <c r="KAD288" s="1132" t="n"/>
      <c r="KAE288" s="1132" t="n"/>
      <c r="KAF288" s="1132" t="n"/>
      <c r="KAG288" s="1132" t="n"/>
      <c r="KAH288" s="1132" t="n"/>
      <c r="KAI288" s="1132" t="n"/>
      <c r="KAJ288" s="1132" t="n"/>
      <c r="KAK288" s="1132" t="n"/>
      <c r="KAL288" s="1132" t="n"/>
      <c r="KAM288" s="1132" t="n"/>
      <c r="KAN288" s="1132" t="n"/>
      <c r="KAO288" s="1132" t="n"/>
      <c r="KAP288" s="1132" t="n"/>
      <c r="KAQ288" s="1132" t="n"/>
      <c r="KAR288" s="1132" t="n"/>
      <c r="KAS288" s="1132" t="n"/>
      <c r="KAT288" s="1132" t="n"/>
      <c r="KAU288" s="1132" t="n"/>
      <c r="KAV288" s="1132" t="n"/>
      <c r="KAW288" s="1132" t="n"/>
      <c r="KAX288" s="1132" t="n"/>
      <c r="KAY288" s="1132" t="n"/>
      <c r="KAZ288" s="1132" t="n"/>
      <c r="KBA288" s="1132" t="n"/>
      <c r="KBB288" s="1132" t="n"/>
      <c r="KBC288" s="1132" t="n"/>
      <c r="KBD288" s="1132" t="n"/>
      <c r="KBE288" s="1132" t="n"/>
      <c r="KBF288" s="1132" t="n"/>
      <c r="KBG288" s="1132" t="n"/>
      <c r="KBH288" s="1132" t="n"/>
      <c r="KBI288" s="1132" t="n"/>
      <c r="KBJ288" s="1132" t="n"/>
      <c r="KBK288" s="1132" t="n"/>
      <c r="KBL288" s="1132" t="n"/>
      <c r="KBM288" s="1132" t="n"/>
      <c r="KBN288" s="1132" t="n"/>
      <c r="KBO288" s="1132" t="n"/>
      <c r="KBP288" s="1132" t="n"/>
      <c r="KBQ288" s="1132" t="n"/>
      <c r="KBR288" s="1132" t="n"/>
      <c r="KBS288" s="1132" t="n"/>
      <c r="KBT288" s="1132" t="n"/>
      <c r="KBU288" s="1132" t="n"/>
      <c r="KBV288" s="1132" t="n"/>
      <c r="KBW288" s="1132" t="n"/>
      <c r="KBX288" s="1132" t="n"/>
      <c r="KBY288" s="1132" t="n"/>
      <c r="KBZ288" s="1132" t="n"/>
      <c r="KCA288" s="1132" t="n"/>
      <c r="KCB288" s="1132" t="n"/>
      <c r="KCC288" s="1132" t="n"/>
      <c r="KCD288" s="1132" t="n"/>
      <c r="KCE288" s="1132" t="n"/>
      <c r="KCF288" s="1132" t="n"/>
      <c r="KCG288" s="1132" t="n"/>
      <c r="KCH288" s="1132" t="n"/>
      <c r="KCI288" s="1132" t="n"/>
      <c r="KCJ288" s="1132" t="n"/>
      <c r="KCK288" s="1132" t="n"/>
      <c r="KCL288" s="1132" t="n"/>
      <c r="KCM288" s="1132" t="n"/>
      <c r="KCN288" s="1132" t="n"/>
      <c r="KCO288" s="1132" t="n"/>
      <c r="KCP288" s="1132" t="n"/>
      <c r="KCQ288" s="1132" t="n"/>
      <c r="KCR288" s="1132" t="n"/>
      <c r="KCS288" s="1132" t="n"/>
      <c r="KCT288" s="1132" t="n"/>
      <c r="KCU288" s="1132" t="n"/>
      <c r="KCV288" s="1132" t="n"/>
      <c r="KCW288" s="1132" t="n"/>
      <c r="KCX288" s="1132" t="n"/>
      <c r="KCY288" s="1132" t="n"/>
      <c r="KCZ288" s="1132" t="n"/>
      <c r="KDA288" s="1132" t="n"/>
      <c r="KDB288" s="1132" t="n"/>
      <c r="KDC288" s="1132" t="n"/>
      <c r="KDD288" s="1132" t="n"/>
      <c r="KDE288" s="1132" t="n"/>
      <c r="KDF288" s="1132" t="n"/>
      <c r="KDG288" s="1132" t="n"/>
      <c r="KDH288" s="1132" t="n"/>
      <c r="KDI288" s="1132" t="n"/>
      <c r="KDJ288" s="1132" t="n"/>
      <c r="KDK288" s="1132" t="n"/>
      <c r="KDL288" s="1132" t="n"/>
      <c r="KDM288" s="1132" t="n"/>
      <c r="KDN288" s="1132" t="n"/>
      <c r="KDO288" s="1132" t="n"/>
      <c r="KDP288" s="1132" t="n"/>
      <c r="KDQ288" s="1132" t="n"/>
      <c r="KDR288" s="1132" t="n"/>
      <c r="KDS288" s="1132" t="n"/>
      <c r="KDT288" s="1132" t="n"/>
      <c r="KDU288" s="1132" t="n"/>
      <c r="KDV288" s="1132" t="n"/>
      <c r="KDW288" s="1132" t="n"/>
      <c r="KDX288" s="1132" t="n"/>
      <c r="KDY288" s="1132" t="n"/>
      <c r="KDZ288" s="1132" t="n"/>
      <c r="KEA288" s="1132" t="n"/>
      <c r="KEB288" s="1132" t="n"/>
      <c r="KEC288" s="1132" t="n"/>
      <c r="KED288" s="1132" t="n"/>
      <c r="KEE288" s="1132" t="n"/>
      <c r="KEF288" s="1132" t="n"/>
      <c r="KEG288" s="1132" t="n"/>
      <c r="KEH288" s="1132" t="n"/>
      <c r="KEI288" s="1132" t="n"/>
      <c r="KEJ288" s="1132" t="n"/>
      <c r="KEK288" s="1132" t="n"/>
      <c r="KEL288" s="1132" t="n"/>
      <c r="KEM288" s="1132" t="n"/>
      <c r="KEN288" s="1132" t="n"/>
      <c r="KEO288" s="1132" t="n"/>
      <c r="KEP288" s="1132" t="n"/>
      <c r="KEQ288" s="1132" t="n"/>
      <c r="KER288" s="1132" t="n"/>
      <c r="KES288" s="1132" t="n"/>
      <c r="KET288" s="1132" t="n"/>
      <c r="KEU288" s="1132" t="n"/>
      <c r="KEV288" s="1132" t="n"/>
      <c r="KEW288" s="1132" t="n"/>
      <c r="KEX288" s="1132" t="n"/>
      <c r="KEY288" s="1132" t="n"/>
      <c r="KEZ288" s="1132" t="n"/>
      <c r="KFA288" s="1132" t="n"/>
      <c r="KFB288" s="1132" t="n"/>
      <c r="KFC288" s="1132" t="n"/>
      <c r="KFD288" s="1132" t="n"/>
      <c r="KFE288" s="1132" t="n"/>
      <c r="KFF288" s="1132" t="n"/>
      <c r="KFG288" s="1132" t="n"/>
      <c r="KFH288" s="1132" t="n"/>
      <c r="KFI288" s="1132" t="n"/>
      <c r="KFJ288" s="1132" t="n"/>
      <c r="KFK288" s="1132" t="n"/>
      <c r="KFL288" s="1132" t="n"/>
      <c r="KFM288" s="1132" t="n"/>
      <c r="KFN288" s="1132" t="n"/>
      <c r="KFO288" s="1132" t="n"/>
      <c r="KFP288" s="1132" t="n"/>
      <c r="KFQ288" s="1132" t="n"/>
      <c r="KFR288" s="1132" t="n"/>
      <c r="KFS288" s="1132" t="n"/>
      <c r="KFT288" s="1132" t="n"/>
      <c r="KFU288" s="1132" t="n"/>
      <c r="KFV288" s="1132" t="n"/>
      <c r="KFW288" s="1132" t="n"/>
      <c r="KFX288" s="1132" t="n"/>
      <c r="KFY288" s="1132" t="n"/>
      <c r="KFZ288" s="1132" t="n"/>
      <c r="KGA288" s="1132" t="n"/>
      <c r="KGB288" s="1132" t="n"/>
      <c r="KGC288" s="1132" t="n"/>
      <c r="KGD288" s="1132" t="n"/>
      <c r="KGE288" s="1132" t="n"/>
      <c r="KGF288" s="1132" t="n"/>
      <c r="KGG288" s="1132" t="n"/>
      <c r="KGH288" s="1132" t="n"/>
      <c r="KGI288" s="1132" t="n"/>
      <c r="KGJ288" s="1132" t="n"/>
      <c r="KGK288" s="1132" t="n"/>
      <c r="KGL288" s="1132" t="n"/>
      <c r="KGM288" s="1132" t="n"/>
      <c r="KGN288" s="1132" t="n"/>
      <c r="KGO288" s="1132" t="n"/>
      <c r="KGP288" s="1132" t="n"/>
      <c r="KGQ288" s="1132" t="n"/>
      <c r="KGR288" s="1132" t="n"/>
      <c r="KGS288" s="1132" t="n"/>
      <c r="KGT288" s="1132" t="n"/>
      <c r="KGU288" s="1132" t="n"/>
      <c r="KGV288" s="1132" t="n"/>
      <c r="KGW288" s="1132" t="n"/>
      <c r="KGX288" s="1132" t="n"/>
      <c r="KGY288" s="1132" t="n"/>
      <c r="KGZ288" s="1132" t="n"/>
      <c r="KHA288" s="1132" t="n"/>
      <c r="KHB288" s="1132" t="n"/>
      <c r="KHC288" s="1132" t="n"/>
      <c r="KHD288" s="1132" t="n"/>
      <c r="KHE288" s="1132" t="n"/>
      <c r="KHF288" s="1132" t="n"/>
      <c r="KHG288" s="1132" t="n"/>
      <c r="KHH288" s="1132" t="n"/>
      <c r="KHI288" s="1132" t="n"/>
      <c r="KHJ288" s="1132" t="n"/>
      <c r="KHK288" s="1132" t="n"/>
      <c r="KHL288" s="1132" t="n"/>
      <c r="KHM288" s="1132" t="n"/>
      <c r="KHN288" s="1132" t="n"/>
      <c r="KHO288" s="1132" t="n"/>
      <c r="KHP288" s="1132" t="n"/>
      <c r="KHQ288" s="1132" t="n"/>
      <c r="KHR288" s="1132" t="n"/>
      <c r="KHS288" s="1132" t="n"/>
      <c r="KHT288" s="1132" t="n"/>
      <c r="KHU288" s="1132" t="n"/>
      <c r="KHV288" s="1132" t="n"/>
      <c r="KHW288" s="1132" t="n"/>
      <c r="KHX288" s="1132" t="n"/>
      <c r="KHY288" s="1132" t="n"/>
      <c r="KHZ288" s="1132" t="n"/>
      <c r="KIA288" s="1132" t="n"/>
      <c r="KIB288" s="1132" t="n"/>
      <c r="KIC288" s="1132" t="n"/>
      <c r="KID288" s="1132" t="n"/>
      <c r="KIE288" s="1132" t="n"/>
      <c r="KIF288" s="1132" t="n"/>
      <c r="KIG288" s="1132" t="n"/>
      <c r="KIH288" s="1132" t="n"/>
      <c r="KII288" s="1132" t="n"/>
      <c r="KIJ288" s="1132" t="n"/>
      <c r="KIK288" s="1132" t="n"/>
      <c r="KIL288" s="1132" t="n"/>
      <c r="KIM288" s="1132" t="n"/>
      <c r="KIN288" s="1132" t="n"/>
      <c r="KIO288" s="1132" t="n"/>
      <c r="KIP288" s="1132" t="n"/>
      <c r="KIQ288" s="1132" t="n"/>
      <c r="KIR288" s="1132" t="n"/>
      <c r="KIS288" s="1132" t="n"/>
      <c r="KIT288" s="1132" t="n"/>
      <c r="KIU288" s="1132" t="n"/>
      <c r="KIV288" s="1132" t="n"/>
      <c r="KIW288" s="1132" t="n"/>
      <c r="KIX288" s="1132" t="n"/>
      <c r="KIY288" s="1132" t="n"/>
      <c r="KIZ288" s="1132" t="n"/>
      <c r="KJA288" s="1132" t="n"/>
      <c r="KJB288" s="1132" t="n"/>
      <c r="KJC288" s="1132" t="n"/>
      <c r="KJD288" s="1132" t="n"/>
      <c r="KJE288" s="1132" t="n"/>
      <c r="KJF288" s="1132" t="n"/>
      <c r="KJG288" s="1132" t="n"/>
      <c r="KJH288" s="1132" t="n"/>
      <c r="KJI288" s="1132" t="n"/>
      <c r="KJJ288" s="1132" t="n"/>
      <c r="KJK288" s="1132" t="n"/>
      <c r="KJL288" s="1132" t="n"/>
      <c r="KJM288" s="1132" t="n"/>
      <c r="KJN288" s="1132" t="n"/>
      <c r="KJO288" s="1132" t="n"/>
      <c r="KJP288" s="1132" t="n"/>
      <c r="KJQ288" s="1132" t="n"/>
      <c r="KJR288" s="1132" t="n"/>
      <c r="KJS288" s="1132" t="n"/>
      <c r="KJT288" s="1132" t="n"/>
      <c r="KJU288" s="1132" t="n"/>
      <c r="KJV288" s="1132" t="n"/>
      <c r="KJW288" s="1132" t="n"/>
      <c r="KJX288" s="1132" t="n"/>
      <c r="KJY288" s="1132" t="n"/>
      <c r="KJZ288" s="1132" t="n"/>
      <c r="KKA288" s="1132" t="n"/>
      <c r="KKB288" s="1132" t="n"/>
      <c r="KKC288" s="1132" t="n"/>
      <c r="KKD288" s="1132" t="n"/>
      <c r="KKE288" s="1132" t="n"/>
      <c r="KKF288" s="1132" t="n"/>
      <c r="KKG288" s="1132" t="n"/>
      <c r="KKH288" s="1132" t="n"/>
      <c r="KKI288" s="1132" t="n"/>
      <c r="KKJ288" s="1132" t="n"/>
      <c r="KKK288" s="1132" t="n"/>
      <c r="KKL288" s="1132" t="n"/>
      <c r="KKM288" s="1132" t="n"/>
      <c r="KKN288" s="1132" t="n"/>
      <c r="KKO288" s="1132" t="n"/>
      <c r="KKP288" s="1132" t="n"/>
      <c r="KKQ288" s="1132" t="n"/>
      <c r="KKR288" s="1132" t="n"/>
      <c r="KKS288" s="1132" t="n"/>
      <c r="KKT288" s="1132" t="n"/>
      <c r="KKU288" s="1132" t="n"/>
      <c r="KKV288" s="1132" t="n"/>
      <c r="KKW288" s="1132" t="n"/>
      <c r="KKX288" s="1132" t="n"/>
      <c r="KKY288" s="1132" t="n"/>
      <c r="KKZ288" s="1132" t="n"/>
      <c r="KLA288" s="1132" t="n"/>
      <c r="KLB288" s="1132" t="n"/>
      <c r="KLC288" s="1132" t="n"/>
      <c r="KLD288" s="1132" t="n"/>
      <c r="KLE288" s="1132" t="n"/>
      <c r="KLF288" s="1132" t="n"/>
      <c r="KLG288" s="1132" t="n"/>
      <c r="KLH288" s="1132" t="n"/>
      <c r="KLI288" s="1132" t="n"/>
      <c r="KLJ288" s="1132" t="n"/>
      <c r="KLK288" s="1132" t="n"/>
      <c r="KLL288" s="1132" t="n"/>
      <c r="KLM288" s="1132" t="n"/>
      <c r="KLN288" s="1132" t="n"/>
      <c r="KLO288" s="1132" t="n"/>
      <c r="KLP288" s="1132" t="n"/>
      <c r="KLQ288" s="1132" t="n"/>
      <c r="KLR288" s="1132" t="n"/>
      <c r="KLS288" s="1132" t="n"/>
      <c r="KLT288" s="1132" t="n"/>
      <c r="KLU288" s="1132" t="n"/>
      <c r="KLV288" s="1132" t="n"/>
      <c r="KLW288" s="1132" t="n"/>
      <c r="KLX288" s="1132" t="n"/>
      <c r="KLY288" s="1132" t="n"/>
      <c r="KLZ288" s="1132" t="n"/>
      <c r="KMA288" s="1132" t="n"/>
      <c r="KMB288" s="1132" t="n"/>
      <c r="KMC288" s="1132" t="n"/>
      <c r="KMD288" s="1132" t="n"/>
      <c r="KME288" s="1132" t="n"/>
      <c r="KMF288" s="1132" t="n"/>
      <c r="KMG288" s="1132" t="n"/>
      <c r="KMH288" s="1132" t="n"/>
      <c r="KMI288" s="1132" t="n"/>
      <c r="KMJ288" s="1132" t="n"/>
      <c r="KMK288" s="1132" t="n"/>
      <c r="KML288" s="1132" t="n"/>
      <c r="KMM288" s="1132" t="n"/>
      <c r="KMN288" s="1132" t="n"/>
      <c r="KMO288" s="1132" t="n"/>
      <c r="KMP288" s="1132" t="n"/>
      <c r="KMQ288" s="1132" t="n"/>
      <c r="KMR288" s="1132" t="n"/>
      <c r="KMS288" s="1132" t="n"/>
      <c r="KMT288" s="1132" t="n"/>
      <c r="KMU288" s="1132" t="n"/>
      <c r="KMV288" s="1132" t="n"/>
      <c r="KMW288" s="1132" t="n"/>
      <c r="KMX288" s="1132" t="n"/>
      <c r="KMY288" s="1132" t="n"/>
      <c r="KMZ288" s="1132" t="n"/>
      <c r="KNA288" s="1132" t="n"/>
      <c r="KNB288" s="1132" t="n"/>
      <c r="KNC288" s="1132" t="n"/>
      <c r="KND288" s="1132" t="n"/>
      <c r="KNE288" s="1132" t="n"/>
      <c r="KNF288" s="1132" t="n"/>
      <c r="KNG288" s="1132" t="n"/>
      <c r="KNH288" s="1132" t="n"/>
      <c r="KNI288" s="1132" t="n"/>
      <c r="KNJ288" s="1132" t="n"/>
      <c r="KNK288" s="1132" t="n"/>
      <c r="KNL288" s="1132" t="n"/>
      <c r="KNM288" s="1132" t="n"/>
      <c r="KNN288" s="1132" t="n"/>
      <c r="KNO288" s="1132" t="n"/>
      <c r="KNP288" s="1132" t="n"/>
      <c r="KNQ288" s="1132" t="n"/>
      <c r="KNR288" s="1132" t="n"/>
      <c r="KNS288" s="1132" t="n"/>
      <c r="KNT288" s="1132" t="n"/>
      <c r="KNU288" s="1132" t="n"/>
      <c r="KNV288" s="1132" t="n"/>
      <c r="KNW288" s="1132" t="n"/>
      <c r="KNX288" s="1132" t="n"/>
      <c r="KNY288" s="1132" t="n"/>
      <c r="KNZ288" s="1132" t="n"/>
      <c r="KOA288" s="1132" t="n"/>
      <c r="KOB288" s="1132" t="n"/>
      <c r="KOC288" s="1132" t="n"/>
      <c r="KOD288" s="1132" t="n"/>
      <c r="KOE288" s="1132" t="n"/>
      <c r="KOF288" s="1132" t="n"/>
      <c r="KOG288" s="1132" t="n"/>
      <c r="KOH288" s="1132" t="n"/>
      <c r="KOI288" s="1132" t="n"/>
      <c r="KOJ288" s="1132" t="n"/>
      <c r="KOK288" s="1132" t="n"/>
      <c r="KOL288" s="1132" t="n"/>
      <c r="KOM288" s="1132" t="n"/>
      <c r="KON288" s="1132" t="n"/>
      <c r="KOO288" s="1132" t="n"/>
      <c r="KOP288" s="1132" t="n"/>
      <c r="KOQ288" s="1132" t="n"/>
      <c r="KOR288" s="1132" t="n"/>
      <c r="KOS288" s="1132" t="n"/>
      <c r="KOT288" s="1132" t="n"/>
      <c r="KOU288" s="1132" t="n"/>
      <c r="KOV288" s="1132" t="n"/>
      <c r="KOW288" s="1132" t="n"/>
      <c r="KOX288" s="1132" t="n"/>
      <c r="KOY288" s="1132" t="n"/>
      <c r="KOZ288" s="1132" t="n"/>
      <c r="KPA288" s="1132" t="n"/>
      <c r="KPB288" s="1132" t="n"/>
      <c r="KPC288" s="1132" t="n"/>
      <c r="KPD288" s="1132" t="n"/>
      <c r="KPE288" s="1132" t="n"/>
      <c r="KPF288" s="1132" t="n"/>
      <c r="KPG288" s="1132" t="n"/>
      <c r="KPH288" s="1132" t="n"/>
      <c r="KPI288" s="1132" t="n"/>
      <c r="KPJ288" s="1132" t="n"/>
      <c r="KPK288" s="1132" t="n"/>
      <c r="KPL288" s="1132" t="n"/>
      <c r="KPM288" s="1132" t="n"/>
      <c r="KPN288" s="1132" t="n"/>
      <c r="KPO288" s="1132" t="n"/>
      <c r="KPP288" s="1132" t="n"/>
      <c r="KPQ288" s="1132" t="n"/>
      <c r="KPR288" s="1132" t="n"/>
      <c r="KPS288" s="1132" t="n"/>
      <c r="KPT288" s="1132" t="n"/>
      <c r="KPU288" s="1132" t="n"/>
      <c r="KPV288" s="1132" t="n"/>
      <c r="KPW288" s="1132" t="n"/>
      <c r="KPX288" s="1132" t="n"/>
      <c r="KPY288" s="1132" t="n"/>
      <c r="KPZ288" s="1132" t="n"/>
      <c r="KQA288" s="1132" t="n"/>
      <c r="KQB288" s="1132" t="n"/>
      <c r="KQC288" s="1132" t="n"/>
      <c r="KQD288" s="1132" t="n"/>
      <c r="KQE288" s="1132" t="n"/>
      <c r="KQF288" s="1132" t="n"/>
      <c r="KQG288" s="1132" t="n"/>
      <c r="KQH288" s="1132" t="n"/>
      <c r="KQI288" s="1132" t="n"/>
      <c r="KQJ288" s="1132" t="n"/>
      <c r="KQK288" s="1132" t="n"/>
      <c r="KQL288" s="1132" t="n"/>
      <c r="KQM288" s="1132" t="n"/>
      <c r="KQN288" s="1132" t="n"/>
      <c r="KQO288" s="1132" t="n"/>
      <c r="KQP288" s="1132" t="n"/>
      <c r="KQQ288" s="1132" t="n"/>
      <c r="KQR288" s="1132" t="n"/>
      <c r="KQS288" s="1132" t="n"/>
      <c r="KQT288" s="1132" t="n"/>
      <c r="KQU288" s="1132" t="n"/>
      <c r="KQV288" s="1132" t="n"/>
      <c r="KQW288" s="1132" t="n"/>
      <c r="KQX288" s="1132" t="n"/>
      <c r="KQY288" s="1132" t="n"/>
      <c r="KQZ288" s="1132" t="n"/>
      <c r="KRA288" s="1132" t="n"/>
      <c r="KRB288" s="1132" t="n"/>
      <c r="KRC288" s="1132" t="n"/>
      <c r="KRD288" s="1132" t="n"/>
      <c r="KRE288" s="1132" t="n"/>
      <c r="KRF288" s="1132" t="n"/>
      <c r="KRG288" s="1132" t="n"/>
      <c r="KRH288" s="1132" t="n"/>
      <c r="KRI288" s="1132" t="n"/>
      <c r="KRJ288" s="1132" t="n"/>
      <c r="KRK288" s="1132" t="n"/>
      <c r="KRL288" s="1132" t="n"/>
      <c r="KRM288" s="1132" t="n"/>
      <c r="KRN288" s="1132" t="n"/>
      <c r="KRO288" s="1132" t="n"/>
      <c r="KRP288" s="1132" t="n"/>
      <c r="KRQ288" s="1132" t="n"/>
      <c r="KRR288" s="1132" t="n"/>
      <c r="KRS288" s="1132" t="n"/>
      <c r="KRT288" s="1132" t="n"/>
      <c r="KRU288" s="1132" t="n"/>
      <c r="KRV288" s="1132" t="n"/>
      <c r="KRW288" s="1132" t="n"/>
      <c r="KRX288" s="1132" t="n"/>
      <c r="KRY288" s="1132" t="n"/>
      <c r="KRZ288" s="1132" t="n"/>
      <c r="KSA288" s="1132" t="n"/>
      <c r="KSB288" s="1132" t="n"/>
      <c r="KSC288" s="1132" t="n"/>
      <c r="KSD288" s="1132" t="n"/>
      <c r="KSE288" s="1132" t="n"/>
      <c r="KSF288" s="1132" t="n"/>
      <c r="KSG288" s="1132" t="n"/>
      <c r="KSH288" s="1132" t="n"/>
      <c r="KSI288" s="1132" t="n"/>
      <c r="KSJ288" s="1132" t="n"/>
      <c r="KSK288" s="1132" t="n"/>
      <c r="KSL288" s="1132" t="n"/>
      <c r="KSM288" s="1132" t="n"/>
      <c r="KSN288" s="1132" t="n"/>
      <c r="KSO288" s="1132" t="n"/>
      <c r="KSP288" s="1132" t="n"/>
      <c r="KSQ288" s="1132" t="n"/>
      <c r="KSR288" s="1132" t="n"/>
      <c r="KSS288" s="1132" t="n"/>
      <c r="KST288" s="1132" t="n"/>
      <c r="KSU288" s="1132" t="n"/>
      <c r="KSV288" s="1132" t="n"/>
      <c r="KSW288" s="1132" t="n"/>
      <c r="KSX288" s="1132" t="n"/>
      <c r="KSY288" s="1132" t="n"/>
      <c r="KSZ288" s="1132" t="n"/>
      <c r="KTA288" s="1132" t="n"/>
      <c r="KTB288" s="1132" t="n"/>
      <c r="KTC288" s="1132" t="n"/>
      <c r="KTD288" s="1132" t="n"/>
      <c r="KTE288" s="1132" t="n"/>
      <c r="KTF288" s="1132" t="n"/>
      <c r="KTG288" s="1132" t="n"/>
      <c r="KTH288" s="1132" t="n"/>
      <c r="KTI288" s="1132" t="n"/>
      <c r="KTJ288" s="1132" t="n"/>
      <c r="KTK288" s="1132" t="n"/>
      <c r="KTL288" s="1132" t="n"/>
      <c r="KTM288" s="1132" t="n"/>
      <c r="KTN288" s="1132" t="n"/>
      <c r="KTO288" s="1132" t="n"/>
      <c r="KTP288" s="1132" t="n"/>
      <c r="KTQ288" s="1132" t="n"/>
      <c r="KTR288" s="1132" t="n"/>
      <c r="KTS288" s="1132" t="n"/>
      <c r="KTT288" s="1132" t="n"/>
      <c r="KTU288" s="1132" t="n"/>
      <c r="KTV288" s="1132" t="n"/>
      <c r="KTW288" s="1132" t="n"/>
      <c r="KTX288" s="1132" t="n"/>
      <c r="KTY288" s="1132" t="n"/>
      <c r="KTZ288" s="1132" t="n"/>
      <c r="KUA288" s="1132" t="n"/>
      <c r="KUB288" s="1132" t="n"/>
      <c r="KUC288" s="1132" t="n"/>
      <c r="KUD288" s="1132" t="n"/>
      <c r="KUE288" s="1132" t="n"/>
      <c r="KUF288" s="1132" t="n"/>
      <c r="KUG288" s="1132" t="n"/>
      <c r="KUH288" s="1132" t="n"/>
      <c r="KUI288" s="1132" t="n"/>
      <c r="KUJ288" s="1132" t="n"/>
      <c r="KUK288" s="1132" t="n"/>
      <c r="KUL288" s="1132" t="n"/>
      <c r="KUM288" s="1132" t="n"/>
      <c r="KUN288" s="1132" t="n"/>
      <c r="KUO288" s="1132" t="n"/>
      <c r="KUP288" s="1132" t="n"/>
      <c r="KUQ288" s="1132" t="n"/>
      <c r="KUR288" s="1132" t="n"/>
      <c r="KUS288" s="1132" t="n"/>
      <c r="KUT288" s="1132" t="n"/>
      <c r="KUU288" s="1132" t="n"/>
      <c r="KUV288" s="1132" t="n"/>
      <c r="KUW288" s="1132" t="n"/>
      <c r="KUX288" s="1132" t="n"/>
      <c r="KUY288" s="1132" t="n"/>
      <c r="KUZ288" s="1132" t="n"/>
      <c r="KVA288" s="1132" t="n"/>
      <c r="KVB288" s="1132" t="n"/>
      <c r="KVC288" s="1132" t="n"/>
      <c r="KVD288" s="1132" t="n"/>
      <c r="KVE288" s="1132" t="n"/>
      <c r="KVF288" s="1132" t="n"/>
      <c r="KVG288" s="1132" t="n"/>
      <c r="KVH288" s="1132" t="n"/>
      <c r="KVI288" s="1132" t="n"/>
      <c r="KVJ288" s="1132" t="n"/>
      <c r="KVK288" s="1132" t="n"/>
      <c r="KVL288" s="1132" t="n"/>
      <c r="KVM288" s="1132" t="n"/>
      <c r="KVN288" s="1132" t="n"/>
      <c r="KVO288" s="1132" t="n"/>
      <c r="KVP288" s="1132" t="n"/>
      <c r="KVQ288" s="1132" t="n"/>
      <c r="KVR288" s="1132" t="n"/>
      <c r="KVS288" s="1132" t="n"/>
      <c r="KVT288" s="1132" t="n"/>
      <c r="KVU288" s="1132" t="n"/>
      <c r="KVV288" s="1132" t="n"/>
      <c r="KVW288" s="1132" t="n"/>
      <c r="KVX288" s="1132" t="n"/>
      <c r="KVY288" s="1132" t="n"/>
      <c r="KVZ288" s="1132" t="n"/>
      <c r="KWA288" s="1132" t="n"/>
      <c r="KWB288" s="1132" t="n"/>
      <c r="KWC288" s="1132" t="n"/>
      <c r="KWD288" s="1132" t="n"/>
      <c r="KWE288" s="1132" t="n"/>
      <c r="KWF288" s="1132" t="n"/>
      <c r="KWG288" s="1132" t="n"/>
      <c r="KWH288" s="1132" t="n"/>
      <c r="KWI288" s="1132" t="n"/>
      <c r="KWJ288" s="1132" t="n"/>
      <c r="KWK288" s="1132" t="n"/>
      <c r="KWL288" s="1132" t="n"/>
      <c r="KWM288" s="1132" t="n"/>
      <c r="KWN288" s="1132" t="n"/>
      <c r="KWO288" s="1132" t="n"/>
      <c r="KWP288" s="1132" t="n"/>
      <c r="KWQ288" s="1132" t="n"/>
      <c r="KWR288" s="1132" t="n"/>
      <c r="KWS288" s="1132" t="n"/>
      <c r="KWT288" s="1132" t="n"/>
      <c r="KWU288" s="1132" t="n"/>
      <c r="KWV288" s="1132" t="n"/>
      <c r="KWW288" s="1132" t="n"/>
      <c r="KWX288" s="1132" t="n"/>
      <c r="KWY288" s="1132" t="n"/>
      <c r="KWZ288" s="1132" t="n"/>
      <c r="KXA288" s="1132" t="n"/>
      <c r="KXB288" s="1132" t="n"/>
      <c r="KXC288" s="1132" t="n"/>
      <c r="KXD288" s="1132" t="n"/>
      <c r="KXE288" s="1132" t="n"/>
      <c r="KXF288" s="1132" t="n"/>
      <c r="KXG288" s="1132" t="n"/>
      <c r="KXH288" s="1132" t="n"/>
      <c r="KXI288" s="1132" t="n"/>
      <c r="KXJ288" s="1132" t="n"/>
      <c r="KXK288" s="1132" t="n"/>
      <c r="KXL288" s="1132" t="n"/>
      <c r="KXM288" s="1132" t="n"/>
      <c r="KXN288" s="1132" t="n"/>
      <c r="KXO288" s="1132" t="n"/>
      <c r="KXP288" s="1132" t="n"/>
      <c r="KXQ288" s="1132" t="n"/>
      <c r="KXR288" s="1132" t="n"/>
      <c r="KXS288" s="1132" t="n"/>
      <c r="KXT288" s="1132" t="n"/>
      <c r="KXU288" s="1132" t="n"/>
      <c r="KXV288" s="1132" t="n"/>
      <c r="KXW288" s="1132" t="n"/>
      <c r="KXX288" s="1132" t="n"/>
      <c r="KXY288" s="1132" t="n"/>
      <c r="KXZ288" s="1132" t="n"/>
      <c r="KYA288" s="1132" t="n"/>
      <c r="KYB288" s="1132" t="n"/>
      <c r="KYC288" s="1132" t="n"/>
      <c r="KYD288" s="1132" t="n"/>
      <c r="KYE288" s="1132" t="n"/>
      <c r="KYF288" s="1132" t="n"/>
      <c r="KYG288" s="1132" t="n"/>
      <c r="KYH288" s="1132" t="n"/>
      <c r="KYI288" s="1132" t="n"/>
      <c r="KYJ288" s="1132" t="n"/>
      <c r="KYK288" s="1132" t="n"/>
      <c r="KYL288" s="1132" t="n"/>
      <c r="KYM288" s="1132" t="n"/>
      <c r="KYN288" s="1132" t="n"/>
      <c r="KYO288" s="1132" t="n"/>
      <c r="KYP288" s="1132" t="n"/>
      <c r="KYQ288" s="1132" t="n"/>
      <c r="KYR288" s="1132" t="n"/>
      <c r="KYS288" s="1132" t="n"/>
      <c r="KYT288" s="1132" t="n"/>
      <c r="KYU288" s="1132" t="n"/>
      <c r="KYV288" s="1132" t="n"/>
      <c r="KYW288" s="1132" t="n"/>
      <c r="KYX288" s="1132" t="n"/>
      <c r="KYY288" s="1132" t="n"/>
      <c r="KYZ288" s="1132" t="n"/>
      <c r="KZA288" s="1132" t="n"/>
      <c r="KZB288" s="1132" t="n"/>
      <c r="KZC288" s="1132" t="n"/>
      <c r="KZD288" s="1132" t="n"/>
      <c r="KZE288" s="1132" t="n"/>
      <c r="KZF288" s="1132" t="n"/>
      <c r="KZG288" s="1132" t="n"/>
      <c r="KZH288" s="1132" t="n"/>
      <c r="KZI288" s="1132" t="n"/>
      <c r="KZJ288" s="1132" t="n"/>
      <c r="KZK288" s="1132" t="n"/>
      <c r="KZL288" s="1132" t="n"/>
      <c r="KZM288" s="1132" t="n"/>
      <c r="KZN288" s="1132" t="n"/>
      <c r="KZO288" s="1132" t="n"/>
      <c r="KZP288" s="1132" t="n"/>
      <c r="KZQ288" s="1132" t="n"/>
      <c r="KZR288" s="1132" t="n"/>
      <c r="KZS288" s="1132" t="n"/>
      <c r="KZT288" s="1132" t="n"/>
      <c r="KZU288" s="1132" t="n"/>
      <c r="KZV288" s="1132" t="n"/>
      <c r="KZW288" s="1132" t="n"/>
      <c r="KZX288" s="1132" t="n"/>
      <c r="KZY288" s="1132" t="n"/>
      <c r="KZZ288" s="1132" t="n"/>
      <c r="LAA288" s="1132" t="n"/>
      <c r="LAB288" s="1132" t="n"/>
      <c r="LAC288" s="1132" t="n"/>
      <c r="LAD288" s="1132" t="n"/>
      <c r="LAE288" s="1132" t="n"/>
      <c r="LAF288" s="1132" t="n"/>
      <c r="LAG288" s="1132" t="n"/>
      <c r="LAH288" s="1132" t="n"/>
      <c r="LAI288" s="1132" t="n"/>
      <c r="LAJ288" s="1132" t="n"/>
      <c r="LAK288" s="1132" t="n"/>
      <c r="LAL288" s="1132" t="n"/>
      <c r="LAM288" s="1132" t="n"/>
      <c r="LAN288" s="1132" t="n"/>
      <c r="LAO288" s="1132" t="n"/>
      <c r="LAP288" s="1132" t="n"/>
      <c r="LAQ288" s="1132" t="n"/>
      <c r="LAR288" s="1132" t="n"/>
      <c r="LAS288" s="1132" t="n"/>
      <c r="LAT288" s="1132" t="n"/>
      <c r="LAU288" s="1132" t="n"/>
      <c r="LAV288" s="1132" t="n"/>
      <c r="LAW288" s="1132" t="n"/>
      <c r="LAX288" s="1132" t="n"/>
      <c r="LAY288" s="1132" t="n"/>
      <c r="LAZ288" s="1132" t="n"/>
      <c r="LBA288" s="1132" t="n"/>
      <c r="LBB288" s="1132" t="n"/>
      <c r="LBC288" s="1132" t="n"/>
      <c r="LBD288" s="1132" t="n"/>
      <c r="LBE288" s="1132" t="n"/>
      <c r="LBF288" s="1132" t="n"/>
      <c r="LBG288" s="1132" t="n"/>
      <c r="LBH288" s="1132" t="n"/>
      <c r="LBI288" s="1132" t="n"/>
      <c r="LBJ288" s="1132" t="n"/>
      <c r="LBK288" s="1132" t="n"/>
      <c r="LBL288" s="1132" t="n"/>
      <c r="LBM288" s="1132" t="n"/>
      <c r="LBN288" s="1132" t="n"/>
      <c r="LBO288" s="1132" t="n"/>
      <c r="LBP288" s="1132" t="n"/>
      <c r="LBQ288" s="1132" t="n"/>
      <c r="LBR288" s="1132" t="n"/>
      <c r="LBS288" s="1132" t="n"/>
      <c r="LBT288" s="1132" t="n"/>
      <c r="LBU288" s="1132" t="n"/>
      <c r="LBV288" s="1132" t="n"/>
      <c r="LBW288" s="1132" t="n"/>
      <c r="LBX288" s="1132" t="n"/>
      <c r="LBY288" s="1132" t="n"/>
      <c r="LBZ288" s="1132" t="n"/>
      <c r="LCA288" s="1132" t="n"/>
      <c r="LCB288" s="1132" t="n"/>
      <c r="LCC288" s="1132" t="n"/>
      <c r="LCD288" s="1132" t="n"/>
      <c r="LCE288" s="1132" t="n"/>
      <c r="LCF288" s="1132" t="n"/>
      <c r="LCG288" s="1132" t="n"/>
      <c r="LCH288" s="1132" t="n"/>
      <c r="LCI288" s="1132" t="n"/>
      <c r="LCJ288" s="1132" t="n"/>
      <c r="LCK288" s="1132" t="n"/>
      <c r="LCL288" s="1132" t="n"/>
      <c r="LCM288" s="1132" t="n"/>
      <c r="LCN288" s="1132" t="n"/>
      <c r="LCO288" s="1132" t="n"/>
      <c r="LCP288" s="1132" t="n"/>
      <c r="LCQ288" s="1132" t="n"/>
      <c r="LCR288" s="1132" t="n"/>
      <c r="LCS288" s="1132" t="n"/>
      <c r="LCT288" s="1132" t="n"/>
      <c r="LCU288" s="1132" t="n"/>
      <c r="LCV288" s="1132" t="n"/>
      <c r="LCW288" s="1132" t="n"/>
      <c r="LCX288" s="1132" t="n"/>
      <c r="LCY288" s="1132" t="n"/>
      <c r="LCZ288" s="1132" t="n"/>
      <c r="LDA288" s="1132" t="n"/>
      <c r="LDB288" s="1132" t="n"/>
      <c r="LDC288" s="1132" t="n"/>
      <c r="LDD288" s="1132" t="n"/>
      <c r="LDE288" s="1132" t="n"/>
      <c r="LDF288" s="1132" t="n"/>
      <c r="LDG288" s="1132" t="n"/>
      <c r="LDH288" s="1132" t="n"/>
      <c r="LDI288" s="1132" t="n"/>
      <c r="LDJ288" s="1132" t="n"/>
      <c r="LDK288" s="1132" t="n"/>
      <c r="LDL288" s="1132" t="n"/>
      <c r="LDM288" s="1132" t="n"/>
      <c r="LDN288" s="1132" t="n"/>
      <c r="LDO288" s="1132" t="n"/>
      <c r="LDP288" s="1132" t="n"/>
      <c r="LDQ288" s="1132" t="n"/>
      <c r="LDR288" s="1132" t="n"/>
      <c r="LDS288" s="1132" t="n"/>
      <c r="LDT288" s="1132" t="n"/>
      <c r="LDU288" s="1132" t="n"/>
      <c r="LDV288" s="1132" t="n"/>
      <c r="LDW288" s="1132" t="n"/>
      <c r="LDX288" s="1132" t="n"/>
      <c r="LDY288" s="1132" t="n"/>
      <c r="LDZ288" s="1132" t="n"/>
      <c r="LEA288" s="1132" t="n"/>
      <c r="LEB288" s="1132" t="n"/>
      <c r="LEC288" s="1132" t="n"/>
      <c r="LED288" s="1132" t="n"/>
      <c r="LEE288" s="1132" t="n"/>
      <c r="LEF288" s="1132" t="n"/>
      <c r="LEG288" s="1132" t="n"/>
      <c r="LEH288" s="1132" t="n"/>
      <c r="LEI288" s="1132" t="n"/>
      <c r="LEJ288" s="1132" t="n"/>
      <c r="LEK288" s="1132" t="n"/>
      <c r="LEL288" s="1132" t="n"/>
      <c r="LEM288" s="1132" t="n"/>
      <c r="LEN288" s="1132" t="n"/>
      <c r="LEO288" s="1132" t="n"/>
      <c r="LEP288" s="1132" t="n"/>
      <c r="LEQ288" s="1132" t="n"/>
      <c r="LER288" s="1132" t="n"/>
      <c r="LES288" s="1132" t="n"/>
      <c r="LET288" s="1132" t="n"/>
      <c r="LEU288" s="1132" t="n"/>
      <c r="LEV288" s="1132" t="n"/>
      <c r="LEW288" s="1132" t="n"/>
      <c r="LEX288" s="1132" t="n"/>
      <c r="LEY288" s="1132" t="n"/>
      <c r="LEZ288" s="1132" t="n"/>
      <c r="LFA288" s="1132" t="n"/>
      <c r="LFB288" s="1132" t="n"/>
      <c r="LFC288" s="1132" t="n"/>
      <c r="LFD288" s="1132" t="n"/>
      <c r="LFE288" s="1132" t="n"/>
      <c r="LFF288" s="1132" t="n"/>
      <c r="LFG288" s="1132" t="n"/>
      <c r="LFH288" s="1132" t="n"/>
      <c r="LFI288" s="1132" t="n"/>
      <c r="LFJ288" s="1132" t="n"/>
      <c r="LFK288" s="1132" t="n"/>
      <c r="LFL288" s="1132" t="n"/>
      <c r="LFM288" s="1132" t="n"/>
      <c r="LFN288" s="1132" t="n"/>
      <c r="LFO288" s="1132" t="n"/>
      <c r="LFP288" s="1132" t="n"/>
      <c r="LFQ288" s="1132" t="n"/>
      <c r="LFR288" s="1132" t="n"/>
      <c r="LFS288" s="1132" t="n"/>
      <c r="LFT288" s="1132" t="n"/>
      <c r="LFU288" s="1132" t="n"/>
      <c r="LFV288" s="1132" t="n"/>
      <c r="LFW288" s="1132" t="n"/>
      <c r="LFX288" s="1132" t="n"/>
      <c r="LFY288" s="1132" t="n"/>
      <c r="LFZ288" s="1132" t="n"/>
      <c r="LGA288" s="1132" t="n"/>
      <c r="LGB288" s="1132" t="n"/>
      <c r="LGC288" s="1132" t="n"/>
      <c r="LGD288" s="1132" t="n"/>
      <c r="LGE288" s="1132" t="n"/>
      <c r="LGF288" s="1132" t="n"/>
      <c r="LGG288" s="1132" t="n"/>
      <c r="LGH288" s="1132" t="n"/>
      <c r="LGI288" s="1132" t="n"/>
      <c r="LGJ288" s="1132" t="n"/>
      <c r="LGK288" s="1132" t="n"/>
      <c r="LGL288" s="1132" t="n"/>
      <c r="LGM288" s="1132" t="n"/>
      <c r="LGN288" s="1132" t="n"/>
      <c r="LGO288" s="1132" t="n"/>
      <c r="LGP288" s="1132" t="n"/>
      <c r="LGQ288" s="1132" t="n"/>
      <c r="LGR288" s="1132" t="n"/>
      <c r="LGS288" s="1132" t="n"/>
      <c r="LGT288" s="1132" t="n"/>
      <c r="LGU288" s="1132" t="n"/>
      <c r="LGV288" s="1132" t="n"/>
      <c r="LGW288" s="1132" t="n"/>
      <c r="LGX288" s="1132" t="n"/>
      <c r="LGY288" s="1132" t="n"/>
      <c r="LGZ288" s="1132" t="n"/>
      <c r="LHA288" s="1132" t="n"/>
      <c r="LHB288" s="1132" t="n"/>
      <c r="LHC288" s="1132" t="n"/>
      <c r="LHD288" s="1132" t="n"/>
      <c r="LHE288" s="1132" t="n"/>
      <c r="LHF288" s="1132" t="n"/>
      <c r="LHG288" s="1132" t="n"/>
      <c r="LHH288" s="1132" t="n"/>
      <c r="LHI288" s="1132" t="n"/>
      <c r="LHJ288" s="1132" t="n"/>
      <c r="LHK288" s="1132" t="n"/>
      <c r="LHL288" s="1132" t="n"/>
      <c r="LHM288" s="1132" t="n"/>
      <c r="LHN288" s="1132" t="n"/>
      <c r="LHO288" s="1132" t="n"/>
      <c r="LHP288" s="1132" t="n"/>
      <c r="LHQ288" s="1132" t="n"/>
      <c r="LHR288" s="1132" t="n"/>
      <c r="LHS288" s="1132" t="n"/>
      <c r="LHT288" s="1132" t="n"/>
      <c r="LHU288" s="1132" t="n"/>
      <c r="LHV288" s="1132" t="n"/>
      <c r="LHW288" s="1132" t="n"/>
      <c r="LHX288" s="1132" t="n"/>
      <c r="LHY288" s="1132" t="n"/>
      <c r="LHZ288" s="1132" t="n"/>
      <c r="LIA288" s="1132" t="n"/>
      <c r="LIB288" s="1132" t="n"/>
      <c r="LIC288" s="1132" t="n"/>
      <c r="LID288" s="1132" t="n"/>
      <c r="LIE288" s="1132" t="n"/>
      <c r="LIF288" s="1132" t="n"/>
      <c r="LIG288" s="1132" t="n"/>
      <c r="LIH288" s="1132" t="n"/>
      <c r="LII288" s="1132" t="n"/>
      <c r="LIJ288" s="1132" t="n"/>
      <c r="LIK288" s="1132" t="n"/>
      <c r="LIL288" s="1132" t="n"/>
      <c r="LIM288" s="1132" t="n"/>
      <c r="LIN288" s="1132" t="n"/>
      <c r="LIO288" s="1132" t="n"/>
      <c r="LIP288" s="1132" t="n"/>
      <c r="LIQ288" s="1132" t="n"/>
      <c r="LIR288" s="1132" t="n"/>
      <c r="LIS288" s="1132" t="n"/>
      <c r="LIT288" s="1132" t="n"/>
      <c r="LIU288" s="1132" t="n"/>
      <c r="LIV288" s="1132" t="n"/>
      <c r="LIW288" s="1132" t="n"/>
      <c r="LIX288" s="1132" t="n"/>
      <c r="LIY288" s="1132" t="n"/>
      <c r="LIZ288" s="1132" t="n"/>
      <c r="LJA288" s="1132" t="n"/>
      <c r="LJB288" s="1132" t="n"/>
      <c r="LJC288" s="1132" t="n"/>
      <c r="LJD288" s="1132" t="n"/>
      <c r="LJE288" s="1132" t="n"/>
      <c r="LJF288" s="1132" t="n"/>
      <c r="LJG288" s="1132" t="n"/>
      <c r="LJH288" s="1132" t="n"/>
      <c r="LJI288" s="1132" t="n"/>
      <c r="LJJ288" s="1132" t="n"/>
      <c r="LJK288" s="1132" t="n"/>
      <c r="LJL288" s="1132" t="n"/>
      <c r="LJM288" s="1132" t="n"/>
      <c r="LJN288" s="1132" t="n"/>
      <c r="LJO288" s="1132" t="n"/>
      <c r="LJP288" s="1132" t="n"/>
      <c r="LJQ288" s="1132" t="n"/>
      <c r="LJR288" s="1132" t="n"/>
      <c r="LJS288" s="1132" t="n"/>
      <c r="LJT288" s="1132" t="n"/>
      <c r="LJU288" s="1132" t="n"/>
      <c r="LJV288" s="1132" t="n"/>
      <c r="LJW288" s="1132" t="n"/>
      <c r="LJX288" s="1132" t="n"/>
      <c r="LJY288" s="1132" t="n"/>
      <c r="LJZ288" s="1132" t="n"/>
      <c r="LKA288" s="1132" t="n"/>
      <c r="LKB288" s="1132" t="n"/>
      <c r="LKC288" s="1132" t="n"/>
      <c r="LKD288" s="1132" t="n"/>
      <c r="LKE288" s="1132" t="n"/>
      <c r="LKF288" s="1132" t="n"/>
      <c r="LKG288" s="1132" t="n"/>
      <c r="LKH288" s="1132" t="n"/>
      <c r="LKI288" s="1132" t="n"/>
      <c r="LKJ288" s="1132" t="n"/>
      <c r="LKK288" s="1132" t="n"/>
      <c r="LKL288" s="1132" t="n"/>
      <c r="LKM288" s="1132" t="n"/>
      <c r="LKN288" s="1132" t="n"/>
      <c r="LKO288" s="1132" t="n"/>
      <c r="LKP288" s="1132" t="n"/>
      <c r="LKQ288" s="1132" t="n"/>
      <c r="LKR288" s="1132" t="n"/>
      <c r="LKS288" s="1132" t="n"/>
      <c r="LKT288" s="1132" t="n"/>
      <c r="LKU288" s="1132" t="n"/>
      <c r="LKV288" s="1132" t="n"/>
      <c r="LKW288" s="1132" t="n"/>
      <c r="LKX288" s="1132" t="n"/>
      <c r="LKY288" s="1132" t="n"/>
      <c r="LKZ288" s="1132" t="n"/>
      <c r="LLA288" s="1132" t="n"/>
      <c r="LLB288" s="1132" t="n"/>
      <c r="LLC288" s="1132" t="n"/>
      <c r="LLD288" s="1132" t="n"/>
      <c r="LLE288" s="1132" t="n"/>
      <c r="LLF288" s="1132" t="n"/>
      <c r="LLG288" s="1132" t="n"/>
      <c r="LLH288" s="1132" t="n"/>
      <c r="LLI288" s="1132" t="n"/>
      <c r="LLJ288" s="1132" t="n"/>
      <c r="LLK288" s="1132" t="n"/>
      <c r="LLL288" s="1132" t="n"/>
      <c r="LLM288" s="1132" t="n"/>
      <c r="LLN288" s="1132" t="n"/>
      <c r="LLO288" s="1132" t="n"/>
      <c r="LLP288" s="1132" t="n"/>
      <c r="LLQ288" s="1132" t="n"/>
      <c r="LLR288" s="1132" t="n"/>
      <c r="LLS288" s="1132" t="n"/>
      <c r="LLT288" s="1132" t="n"/>
      <c r="LLU288" s="1132" t="n"/>
      <c r="LLV288" s="1132" t="n"/>
      <c r="LLW288" s="1132" t="n"/>
      <c r="LLX288" s="1132" t="n"/>
      <c r="LLY288" s="1132" t="n"/>
      <c r="LLZ288" s="1132" t="n"/>
      <c r="LMA288" s="1132" t="n"/>
      <c r="LMB288" s="1132" t="n"/>
      <c r="LMC288" s="1132" t="n"/>
      <c r="LMD288" s="1132" t="n"/>
      <c r="LME288" s="1132" t="n"/>
      <c r="LMF288" s="1132" t="n"/>
      <c r="LMG288" s="1132" t="n"/>
      <c r="LMH288" s="1132" t="n"/>
      <c r="LMI288" s="1132" t="n"/>
      <c r="LMJ288" s="1132" t="n"/>
      <c r="LMK288" s="1132" t="n"/>
      <c r="LML288" s="1132" t="n"/>
      <c r="LMM288" s="1132" t="n"/>
      <c r="LMN288" s="1132" t="n"/>
      <c r="LMO288" s="1132" t="n"/>
      <c r="LMP288" s="1132" t="n"/>
      <c r="LMQ288" s="1132" t="n"/>
      <c r="LMR288" s="1132" t="n"/>
      <c r="LMS288" s="1132" t="n"/>
      <c r="LMT288" s="1132" t="n"/>
      <c r="LMU288" s="1132" t="n"/>
      <c r="LMV288" s="1132" t="n"/>
      <c r="LMW288" s="1132" t="n"/>
      <c r="LMX288" s="1132" t="n"/>
      <c r="LMY288" s="1132" t="n"/>
      <c r="LMZ288" s="1132" t="n"/>
      <c r="LNA288" s="1132" t="n"/>
      <c r="LNB288" s="1132" t="n"/>
      <c r="LNC288" s="1132" t="n"/>
      <c r="LND288" s="1132" t="n"/>
      <c r="LNE288" s="1132" t="n"/>
      <c r="LNF288" s="1132" t="n"/>
      <c r="LNG288" s="1132" t="n"/>
      <c r="LNH288" s="1132" t="n"/>
      <c r="LNI288" s="1132" t="n"/>
      <c r="LNJ288" s="1132" t="n"/>
      <c r="LNK288" s="1132" t="n"/>
      <c r="LNL288" s="1132" t="n"/>
      <c r="LNM288" s="1132" t="n"/>
      <c r="LNN288" s="1132" t="n"/>
      <c r="LNO288" s="1132" t="n"/>
      <c r="LNP288" s="1132" t="n"/>
      <c r="LNQ288" s="1132" t="n"/>
      <c r="LNR288" s="1132" t="n"/>
      <c r="LNS288" s="1132" t="n"/>
      <c r="LNT288" s="1132" t="n"/>
      <c r="LNU288" s="1132" t="n"/>
      <c r="LNV288" s="1132" t="n"/>
      <c r="LNW288" s="1132" t="n"/>
      <c r="LNX288" s="1132" t="n"/>
      <c r="LNY288" s="1132" t="n"/>
      <c r="LNZ288" s="1132" t="n"/>
      <c r="LOA288" s="1132" t="n"/>
      <c r="LOB288" s="1132" t="n"/>
      <c r="LOC288" s="1132" t="n"/>
      <c r="LOD288" s="1132" t="n"/>
      <c r="LOE288" s="1132" t="n"/>
      <c r="LOF288" s="1132" t="n"/>
      <c r="LOG288" s="1132" t="n"/>
      <c r="LOH288" s="1132" t="n"/>
      <c r="LOI288" s="1132" t="n"/>
      <c r="LOJ288" s="1132" t="n"/>
      <c r="LOK288" s="1132" t="n"/>
      <c r="LOL288" s="1132" t="n"/>
      <c r="LOM288" s="1132" t="n"/>
      <c r="LON288" s="1132" t="n"/>
      <c r="LOO288" s="1132" t="n"/>
      <c r="LOP288" s="1132" t="n"/>
      <c r="LOQ288" s="1132" t="n"/>
      <c r="LOR288" s="1132" t="n"/>
      <c r="LOS288" s="1132" t="n"/>
      <c r="LOT288" s="1132" t="n"/>
      <c r="LOU288" s="1132" t="n"/>
      <c r="LOV288" s="1132" t="n"/>
      <c r="LOW288" s="1132" t="n"/>
      <c r="LOX288" s="1132" t="n"/>
      <c r="LOY288" s="1132" t="n"/>
      <c r="LOZ288" s="1132" t="n"/>
      <c r="LPA288" s="1132" t="n"/>
      <c r="LPB288" s="1132" t="n"/>
      <c r="LPC288" s="1132" t="n"/>
      <c r="LPD288" s="1132" t="n"/>
      <c r="LPE288" s="1132" t="n"/>
      <c r="LPF288" s="1132" t="n"/>
      <c r="LPG288" s="1132" t="n"/>
      <c r="LPH288" s="1132" t="n"/>
      <c r="LPI288" s="1132" t="n"/>
      <c r="LPJ288" s="1132" t="n"/>
      <c r="LPK288" s="1132" t="n"/>
      <c r="LPL288" s="1132" t="n"/>
      <c r="LPM288" s="1132" t="n"/>
      <c r="LPN288" s="1132" t="n"/>
      <c r="LPO288" s="1132" t="n"/>
      <c r="LPP288" s="1132" t="n"/>
      <c r="LPQ288" s="1132" t="n"/>
      <c r="LPR288" s="1132" t="n"/>
      <c r="LPS288" s="1132" t="n"/>
      <c r="LPT288" s="1132" t="n"/>
      <c r="LPU288" s="1132" t="n"/>
      <c r="LPV288" s="1132" t="n"/>
      <c r="LPW288" s="1132" t="n"/>
      <c r="LPX288" s="1132" t="n"/>
      <c r="LPY288" s="1132" t="n"/>
      <c r="LPZ288" s="1132" t="n"/>
      <c r="LQA288" s="1132" t="n"/>
      <c r="LQB288" s="1132" t="n"/>
      <c r="LQC288" s="1132" t="n"/>
      <c r="LQD288" s="1132" t="n"/>
      <c r="LQE288" s="1132" t="n"/>
      <c r="LQF288" s="1132" t="n"/>
      <c r="LQG288" s="1132" t="n"/>
      <c r="LQH288" s="1132" t="n"/>
      <c r="LQI288" s="1132" t="n"/>
      <c r="LQJ288" s="1132" t="n"/>
      <c r="LQK288" s="1132" t="n"/>
      <c r="LQL288" s="1132" t="n"/>
      <c r="LQM288" s="1132" t="n"/>
      <c r="LQN288" s="1132" t="n"/>
      <c r="LQO288" s="1132" t="n"/>
      <c r="LQP288" s="1132" t="n"/>
      <c r="LQQ288" s="1132" t="n"/>
      <c r="LQR288" s="1132" t="n"/>
      <c r="LQS288" s="1132" t="n"/>
      <c r="LQT288" s="1132" t="n"/>
      <c r="LQU288" s="1132" t="n"/>
      <c r="LQV288" s="1132" t="n"/>
      <c r="LQW288" s="1132" t="n"/>
      <c r="LQX288" s="1132" t="n"/>
      <c r="LQY288" s="1132" t="n"/>
      <c r="LQZ288" s="1132" t="n"/>
      <c r="LRA288" s="1132" t="n"/>
      <c r="LRB288" s="1132" t="n"/>
      <c r="LRC288" s="1132" t="n"/>
      <c r="LRD288" s="1132" t="n"/>
      <c r="LRE288" s="1132" t="n"/>
      <c r="LRF288" s="1132" t="n"/>
      <c r="LRG288" s="1132" t="n"/>
      <c r="LRH288" s="1132" t="n"/>
      <c r="LRI288" s="1132" t="n"/>
      <c r="LRJ288" s="1132" t="n"/>
      <c r="LRK288" s="1132" t="n"/>
      <c r="LRL288" s="1132" t="n"/>
      <c r="LRM288" s="1132" t="n"/>
      <c r="LRN288" s="1132" t="n"/>
      <c r="LRO288" s="1132" t="n"/>
      <c r="LRP288" s="1132" t="n"/>
      <c r="LRQ288" s="1132" t="n"/>
      <c r="LRR288" s="1132" t="n"/>
      <c r="LRS288" s="1132" t="n"/>
      <c r="LRT288" s="1132" t="n"/>
      <c r="LRU288" s="1132" t="n"/>
      <c r="LRV288" s="1132" t="n"/>
      <c r="LRW288" s="1132" t="n"/>
      <c r="LRX288" s="1132" t="n"/>
      <c r="LRY288" s="1132" t="n"/>
      <c r="LRZ288" s="1132" t="n"/>
      <c r="LSA288" s="1132" t="n"/>
      <c r="LSB288" s="1132" t="n"/>
      <c r="LSC288" s="1132" t="n"/>
      <c r="LSD288" s="1132" t="n"/>
      <c r="LSE288" s="1132" t="n"/>
      <c r="LSF288" s="1132" t="n"/>
      <c r="LSG288" s="1132" t="n"/>
      <c r="LSH288" s="1132" t="n"/>
      <c r="LSI288" s="1132" t="n"/>
      <c r="LSJ288" s="1132" t="n"/>
      <c r="LSK288" s="1132" t="n"/>
      <c r="LSL288" s="1132" t="n"/>
      <c r="LSM288" s="1132" t="n"/>
      <c r="LSN288" s="1132" t="n"/>
      <c r="LSO288" s="1132" t="n"/>
      <c r="LSP288" s="1132" t="n"/>
      <c r="LSQ288" s="1132" t="n"/>
      <c r="LSR288" s="1132" t="n"/>
      <c r="LSS288" s="1132" t="n"/>
      <c r="LST288" s="1132" t="n"/>
      <c r="LSU288" s="1132" t="n"/>
      <c r="LSV288" s="1132" t="n"/>
      <c r="LSW288" s="1132" t="n"/>
      <c r="LSX288" s="1132" t="n"/>
      <c r="LSY288" s="1132" t="n"/>
      <c r="LSZ288" s="1132" t="n"/>
      <c r="LTA288" s="1132" t="n"/>
      <c r="LTB288" s="1132" t="n"/>
      <c r="LTC288" s="1132" t="n"/>
      <c r="LTD288" s="1132" t="n"/>
      <c r="LTE288" s="1132" t="n"/>
      <c r="LTF288" s="1132" t="n"/>
      <c r="LTG288" s="1132" t="n"/>
      <c r="LTH288" s="1132" t="n"/>
      <c r="LTI288" s="1132" t="n"/>
      <c r="LTJ288" s="1132" t="n"/>
      <c r="LTK288" s="1132" t="n"/>
      <c r="LTL288" s="1132" t="n"/>
      <c r="LTM288" s="1132" t="n"/>
      <c r="LTN288" s="1132" t="n"/>
      <c r="LTO288" s="1132" t="n"/>
      <c r="LTP288" s="1132" t="n"/>
      <c r="LTQ288" s="1132" t="n"/>
      <c r="LTR288" s="1132" t="n"/>
      <c r="LTS288" s="1132" t="n"/>
      <c r="LTT288" s="1132" t="n"/>
      <c r="LTU288" s="1132" t="n"/>
      <c r="LTV288" s="1132" t="n"/>
      <c r="LTW288" s="1132" t="n"/>
      <c r="LTX288" s="1132" t="n"/>
      <c r="LTY288" s="1132" t="n"/>
      <c r="LTZ288" s="1132" t="n"/>
      <c r="LUA288" s="1132" t="n"/>
      <c r="LUB288" s="1132" t="n"/>
      <c r="LUC288" s="1132" t="n"/>
      <c r="LUD288" s="1132" t="n"/>
      <c r="LUE288" s="1132" t="n"/>
      <c r="LUF288" s="1132" t="n"/>
      <c r="LUG288" s="1132" t="n"/>
      <c r="LUH288" s="1132" t="n"/>
      <c r="LUI288" s="1132" t="n"/>
      <c r="LUJ288" s="1132" t="n"/>
      <c r="LUK288" s="1132" t="n"/>
      <c r="LUL288" s="1132" t="n"/>
      <c r="LUM288" s="1132" t="n"/>
      <c r="LUN288" s="1132" t="n"/>
      <c r="LUO288" s="1132" t="n"/>
      <c r="LUP288" s="1132" t="n"/>
      <c r="LUQ288" s="1132" t="n"/>
      <c r="LUR288" s="1132" t="n"/>
      <c r="LUS288" s="1132" t="n"/>
      <c r="LUT288" s="1132" t="n"/>
      <c r="LUU288" s="1132" t="n"/>
      <c r="LUV288" s="1132" t="n"/>
      <c r="LUW288" s="1132" t="n"/>
      <c r="LUX288" s="1132" t="n"/>
      <c r="LUY288" s="1132" t="n"/>
      <c r="LUZ288" s="1132" t="n"/>
      <c r="LVA288" s="1132" t="n"/>
      <c r="LVB288" s="1132" t="n"/>
      <c r="LVC288" s="1132" t="n"/>
      <c r="LVD288" s="1132" t="n"/>
      <c r="LVE288" s="1132" t="n"/>
      <c r="LVF288" s="1132" t="n"/>
      <c r="LVG288" s="1132" t="n"/>
      <c r="LVH288" s="1132" t="n"/>
      <c r="LVI288" s="1132" t="n"/>
      <c r="LVJ288" s="1132" t="n"/>
      <c r="LVK288" s="1132" t="n"/>
      <c r="LVL288" s="1132" t="n"/>
      <c r="LVM288" s="1132" t="n"/>
      <c r="LVN288" s="1132" t="n"/>
      <c r="LVO288" s="1132" t="n"/>
      <c r="LVP288" s="1132" t="n"/>
      <c r="LVQ288" s="1132" t="n"/>
      <c r="LVR288" s="1132" t="n"/>
      <c r="LVS288" s="1132" t="n"/>
      <c r="LVT288" s="1132" t="n"/>
      <c r="LVU288" s="1132" t="n"/>
      <c r="LVV288" s="1132" t="n"/>
      <c r="LVW288" s="1132" t="n"/>
      <c r="LVX288" s="1132" t="n"/>
      <c r="LVY288" s="1132" t="n"/>
      <c r="LVZ288" s="1132" t="n"/>
      <c r="LWA288" s="1132" t="n"/>
      <c r="LWB288" s="1132" t="n"/>
      <c r="LWC288" s="1132" t="n"/>
      <c r="LWD288" s="1132" t="n"/>
      <c r="LWE288" s="1132" t="n"/>
      <c r="LWF288" s="1132" t="n"/>
      <c r="LWG288" s="1132" t="n"/>
      <c r="LWH288" s="1132" t="n"/>
      <c r="LWI288" s="1132" t="n"/>
      <c r="LWJ288" s="1132" t="n"/>
      <c r="LWK288" s="1132" t="n"/>
      <c r="LWL288" s="1132" t="n"/>
      <c r="LWM288" s="1132" t="n"/>
      <c r="LWN288" s="1132" t="n"/>
      <c r="LWO288" s="1132" t="n"/>
      <c r="LWP288" s="1132" t="n"/>
      <c r="LWQ288" s="1132" t="n"/>
      <c r="LWR288" s="1132" t="n"/>
      <c r="LWS288" s="1132" t="n"/>
      <c r="LWT288" s="1132" t="n"/>
      <c r="LWU288" s="1132" t="n"/>
      <c r="LWV288" s="1132" t="n"/>
      <c r="LWW288" s="1132" t="n"/>
      <c r="LWX288" s="1132" t="n"/>
      <c r="LWY288" s="1132" t="n"/>
      <c r="LWZ288" s="1132" t="n"/>
      <c r="LXA288" s="1132" t="n"/>
      <c r="LXB288" s="1132" t="n"/>
      <c r="LXC288" s="1132" t="n"/>
      <c r="LXD288" s="1132" t="n"/>
      <c r="LXE288" s="1132" t="n"/>
      <c r="LXF288" s="1132" t="n"/>
      <c r="LXG288" s="1132" t="n"/>
      <c r="LXH288" s="1132" t="n"/>
      <c r="LXI288" s="1132" t="n"/>
      <c r="LXJ288" s="1132" t="n"/>
      <c r="LXK288" s="1132" t="n"/>
      <c r="LXL288" s="1132" t="n"/>
      <c r="LXM288" s="1132" t="n"/>
      <c r="LXN288" s="1132" t="n"/>
      <c r="LXO288" s="1132" t="n"/>
      <c r="LXP288" s="1132" t="n"/>
      <c r="LXQ288" s="1132" t="n"/>
      <c r="LXR288" s="1132" t="n"/>
      <c r="LXS288" s="1132" t="n"/>
      <c r="LXT288" s="1132" t="n"/>
      <c r="LXU288" s="1132" t="n"/>
      <c r="LXV288" s="1132" t="n"/>
      <c r="LXW288" s="1132" t="n"/>
      <c r="LXX288" s="1132" t="n"/>
      <c r="LXY288" s="1132" t="n"/>
      <c r="LXZ288" s="1132" t="n"/>
      <c r="LYA288" s="1132" t="n"/>
      <c r="LYB288" s="1132" t="n"/>
      <c r="LYC288" s="1132" t="n"/>
      <c r="LYD288" s="1132" t="n"/>
      <c r="LYE288" s="1132" t="n"/>
      <c r="LYF288" s="1132" t="n"/>
      <c r="LYG288" s="1132" t="n"/>
      <c r="LYH288" s="1132" t="n"/>
      <c r="LYI288" s="1132" t="n"/>
      <c r="LYJ288" s="1132" t="n"/>
      <c r="LYK288" s="1132" t="n"/>
      <c r="LYL288" s="1132" t="n"/>
      <c r="LYM288" s="1132" t="n"/>
      <c r="LYN288" s="1132" t="n"/>
      <c r="LYO288" s="1132" t="n"/>
      <c r="LYP288" s="1132" t="n"/>
      <c r="LYQ288" s="1132" t="n"/>
      <c r="LYR288" s="1132" t="n"/>
      <c r="LYS288" s="1132" t="n"/>
      <c r="LYT288" s="1132" t="n"/>
      <c r="LYU288" s="1132" t="n"/>
      <c r="LYV288" s="1132" t="n"/>
      <c r="LYW288" s="1132" t="n"/>
      <c r="LYX288" s="1132" t="n"/>
      <c r="LYY288" s="1132" t="n"/>
      <c r="LYZ288" s="1132" t="n"/>
      <c r="LZA288" s="1132" t="n"/>
      <c r="LZB288" s="1132" t="n"/>
      <c r="LZC288" s="1132" t="n"/>
      <c r="LZD288" s="1132" t="n"/>
      <c r="LZE288" s="1132" t="n"/>
      <c r="LZF288" s="1132" t="n"/>
      <c r="LZG288" s="1132" t="n"/>
      <c r="LZH288" s="1132" t="n"/>
      <c r="LZI288" s="1132" t="n"/>
      <c r="LZJ288" s="1132" t="n"/>
      <c r="LZK288" s="1132" t="n"/>
      <c r="LZL288" s="1132" t="n"/>
      <c r="LZM288" s="1132" t="n"/>
      <c r="LZN288" s="1132" t="n"/>
      <c r="LZO288" s="1132" t="n"/>
      <c r="LZP288" s="1132" t="n"/>
      <c r="LZQ288" s="1132" t="n"/>
      <c r="LZR288" s="1132" t="n"/>
      <c r="LZS288" s="1132" t="n"/>
      <c r="LZT288" s="1132" t="n"/>
      <c r="LZU288" s="1132" t="n"/>
      <c r="LZV288" s="1132" t="n"/>
      <c r="LZW288" s="1132" t="n"/>
      <c r="LZX288" s="1132" t="n"/>
      <c r="LZY288" s="1132" t="n"/>
      <c r="LZZ288" s="1132" t="n"/>
      <c r="MAA288" s="1132" t="n"/>
      <c r="MAB288" s="1132" t="n"/>
      <c r="MAC288" s="1132" t="n"/>
      <c r="MAD288" s="1132" t="n"/>
      <c r="MAE288" s="1132" t="n"/>
      <c r="MAF288" s="1132" t="n"/>
      <c r="MAG288" s="1132" t="n"/>
      <c r="MAH288" s="1132" t="n"/>
      <c r="MAI288" s="1132" t="n"/>
      <c r="MAJ288" s="1132" t="n"/>
      <c r="MAK288" s="1132" t="n"/>
      <c r="MAL288" s="1132" t="n"/>
      <c r="MAM288" s="1132" t="n"/>
      <c r="MAN288" s="1132" t="n"/>
      <c r="MAO288" s="1132" t="n"/>
      <c r="MAP288" s="1132" t="n"/>
      <c r="MAQ288" s="1132" t="n"/>
      <c r="MAR288" s="1132" t="n"/>
      <c r="MAS288" s="1132" t="n"/>
      <c r="MAT288" s="1132" t="n"/>
      <c r="MAU288" s="1132" t="n"/>
      <c r="MAV288" s="1132" t="n"/>
      <c r="MAW288" s="1132" t="n"/>
      <c r="MAX288" s="1132" t="n"/>
      <c r="MAY288" s="1132" t="n"/>
      <c r="MAZ288" s="1132" t="n"/>
      <c r="MBA288" s="1132" t="n"/>
      <c r="MBB288" s="1132" t="n"/>
      <c r="MBC288" s="1132" t="n"/>
      <c r="MBD288" s="1132" t="n"/>
      <c r="MBE288" s="1132" t="n"/>
      <c r="MBF288" s="1132" t="n"/>
      <c r="MBG288" s="1132" t="n"/>
      <c r="MBH288" s="1132" t="n"/>
      <c r="MBI288" s="1132" t="n"/>
      <c r="MBJ288" s="1132" t="n"/>
      <c r="MBK288" s="1132" t="n"/>
      <c r="MBL288" s="1132" t="n"/>
      <c r="MBM288" s="1132" t="n"/>
      <c r="MBN288" s="1132" t="n"/>
      <c r="MBO288" s="1132" t="n"/>
      <c r="MBP288" s="1132" t="n"/>
      <c r="MBQ288" s="1132" t="n"/>
      <c r="MBR288" s="1132" t="n"/>
      <c r="MBS288" s="1132" t="n"/>
      <c r="MBT288" s="1132" t="n"/>
      <c r="MBU288" s="1132" t="n"/>
      <c r="MBV288" s="1132" t="n"/>
      <c r="MBW288" s="1132" t="n"/>
      <c r="MBX288" s="1132" t="n"/>
      <c r="MBY288" s="1132" t="n"/>
      <c r="MBZ288" s="1132" t="n"/>
      <c r="MCA288" s="1132" t="n"/>
      <c r="MCB288" s="1132" t="n"/>
      <c r="MCC288" s="1132" t="n"/>
      <c r="MCD288" s="1132" t="n"/>
      <c r="MCE288" s="1132" t="n"/>
      <c r="MCF288" s="1132" t="n"/>
      <c r="MCG288" s="1132" t="n"/>
      <c r="MCH288" s="1132" t="n"/>
      <c r="MCI288" s="1132" t="n"/>
      <c r="MCJ288" s="1132" t="n"/>
      <c r="MCK288" s="1132" t="n"/>
      <c r="MCL288" s="1132" t="n"/>
      <c r="MCM288" s="1132" t="n"/>
      <c r="MCN288" s="1132" t="n"/>
      <c r="MCO288" s="1132" t="n"/>
      <c r="MCP288" s="1132" t="n"/>
      <c r="MCQ288" s="1132" t="n"/>
      <c r="MCR288" s="1132" t="n"/>
      <c r="MCS288" s="1132" t="n"/>
      <c r="MCT288" s="1132" t="n"/>
      <c r="MCU288" s="1132" t="n"/>
      <c r="MCV288" s="1132" t="n"/>
      <c r="MCW288" s="1132" t="n"/>
      <c r="MCX288" s="1132" t="n"/>
      <c r="MCY288" s="1132" t="n"/>
      <c r="MCZ288" s="1132" t="n"/>
      <c r="MDA288" s="1132" t="n"/>
      <c r="MDB288" s="1132" t="n"/>
      <c r="MDC288" s="1132" t="n"/>
      <c r="MDD288" s="1132" t="n"/>
      <c r="MDE288" s="1132" t="n"/>
      <c r="MDF288" s="1132" t="n"/>
      <c r="MDG288" s="1132" t="n"/>
      <c r="MDH288" s="1132" t="n"/>
      <c r="MDI288" s="1132" t="n"/>
      <c r="MDJ288" s="1132" t="n"/>
      <c r="MDK288" s="1132" t="n"/>
      <c r="MDL288" s="1132" t="n"/>
      <c r="MDM288" s="1132" t="n"/>
      <c r="MDN288" s="1132" t="n"/>
      <c r="MDO288" s="1132" t="n"/>
      <c r="MDP288" s="1132" t="n"/>
      <c r="MDQ288" s="1132" t="n"/>
      <c r="MDR288" s="1132" t="n"/>
      <c r="MDS288" s="1132" t="n"/>
      <c r="MDT288" s="1132" t="n"/>
      <c r="MDU288" s="1132" t="n"/>
      <c r="MDV288" s="1132" t="n"/>
      <c r="MDW288" s="1132" t="n"/>
      <c r="MDX288" s="1132" t="n"/>
      <c r="MDY288" s="1132" t="n"/>
      <c r="MDZ288" s="1132" t="n"/>
      <c r="MEA288" s="1132" t="n"/>
      <c r="MEB288" s="1132" t="n"/>
      <c r="MEC288" s="1132" t="n"/>
      <c r="MED288" s="1132" t="n"/>
      <c r="MEE288" s="1132" t="n"/>
      <c r="MEF288" s="1132" t="n"/>
      <c r="MEG288" s="1132" t="n"/>
      <c r="MEH288" s="1132" t="n"/>
      <c r="MEI288" s="1132" t="n"/>
      <c r="MEJ288" s="1132" t="n"/>
      <c r="MEK288" s="1132" t="n"/>
      <c r="MEL288" s="1132" t="n"/>
      <c r="MEM288" s="1132" t="n"/>
      <c r="MEN288" s="1132" t="n"/>
      <c r="MEO288" s="1132" t="n"/>
      <c r="MEP288" s="1132" t="n"/>
      <c r="MEQ288" s="1132" t="n"/>
      <c r="MER288" s="1132" t="n"/>
      <c r="MES288" s="1132" t="n"/>
      <c r="MET288" s="1132" t="n"/>
      <c r="MEU288" s="1132" t="n"/>
      <c r="MEV288" s="1132" t="n"/>
      <c r="MEW288" s="1132" t="n"/>
      <c r="MEX288" s="1132" t="n"/>
      <c r="MEY288" s="1132" t="n"/>
      <c r="MEZ288" s="1132" t="n"/>
      <c r="MFA288" s="1132" t="n"/>
      <c r="MFB288" s="1132" t="n"/>
      <c r="MFC288" s="1132" t="n"/>
      <c r="MFD288" s="1132" t="n"/>
      <c r="MFE288" s="1132" t="n"/>
      <c r="MFF288" s="1132" t="n"/>
      <c r="MFG288" s="1132" t="n"/>
      <c r="MFH288" s="1132" t="n"/>
      <c r="MFI288" s="1132" t="n"/>
      <c r="MFJ288" s="1132" t="n"/>
      <c r="MFK288" s="1132" t="n"/>
      <c r="MFL288" s="1132" t="n"/>
      <c r="MFM288" s="1132" t="n"/>
      <c r="MFN288" s="1132" t="n"/>
      <c r="MFO288" s="1132" t="n"/>
      <c r="MFP288" s="1132" t="n"/>
      <c r="MFQ288" s="1132" t="n"/>
      <c r="MFR288" s="1132" t="n"/>
      <c r="MFS288" s="1132" t="n"/>
      <c r="MFT288" s="1132" t="n"/>
      <c r="MFU288" s="1132" t="n"/>
      <c r="MFV288" s="1132" t="n"/>
      <c r="MFW288" s="1132" t="n"/>
      <c r="MFX288" s="1132" t="n"/>
      <c r="MFY288" s="1132" t="n"/>
      <c r="MFZ288" s="1132" t="n"/>
      <c r="MGA288" s="1132" t="n"/>
      <c r="MGB288" s="1132" t="n"/>
      <c r="MGC288" s="1132" t="n"/>
      <c r="MGD288" s="1132" t="n"/>
      <c r="MGE288" s="1132" t="n"/>
      <c r="MGF288" s="1132" t="n"/>
      <c r="MGG288" s="1132" t="n"/>
      <c r="MGH288" s="1132" t="n"/>
      <c r="MGI288" s="1132" t="n"/>
      <c r="MGJ288" s="1132" t="n"/>
      <c r="MGK288" s="1132" t="n"/>
      <c r="MGL288" s="1132" t="n"/>
      <c r="MGM288" s="1132" t="n"/>
      <c r="MGN288" s="1132" t="n"/>
      <c r="MGO288" s="1132" t="n"/>
      <c r="MGP288" s="1132" t="n"/>
      <c r="MGQ288" s="1132" t="n"/>
      <c r="MGR288" s="1132" t="n"/>
      <c r="MGS288" s="1132" t="n"/>
      <c r="MGT288" s="1132" t="n"/>
      <c r="MGU288" s="1132" t="n"/>
      <c r="MGV288" s="1132" t="n"/>
      <c r="MGW288" s="1132" t="n"/>
      <c r="MGX288" s="1132" t="n"/>
      <c r="MGY288" s="1132" t="n"/>
      <c r="MGZ288" s="1132" t="n"/>
      <c r="MHA288" s="1132" t="n"/>
      <c r="MHB288" s="1132" t="n"/>
      <c r="MHC288" s="1132" t="n"/>
      <c r="MHD288" s="1132" t="n"/>
      <c r="MHE288" s="1132" t="n"/>
      <c r="MHF288" s="1132" t="n"/>
      <c r="MHG288" s="1132" t="n"/>
      <c r="MHH288" s="1132" t="n"/>
      <c r="MHI288" s="1132" t="n"/>
      <c r="MHJ288" s="1132" t="n"/>
      <c r="MHK288" s="1132" t="n"/>
      <c r="MHL288" s="1132" t="n"/>
      <c r="MHM288" s="1132" t="n"/>
      <c r="MHN288" s="1132" t="n"/>
      <c r="MHO288" s="1132" t="n"/>
      <c r="MHP288" s="1132" t="n"/>
      <c r="MHQ288" s="1132" t="n"/>
      <c r="MHR288" s="1132" t="n"/>
      <c r="MHS288" s="1132" t="n"/>
      <c r="MHT288" s="1132" t="n"/>
      <c r="MHU288" s="1132" t="n"/>
      <c r="MHV288" s="1132" t="n"/>
      <c r="MHW288" s="1132" t="n"/>
      <c r="MHX288" s="1132" t="n"/>
      <c r="MHY288" s="1132" t="n"/>
      <c r="MHZ288" s="1132" t="n"/>
      <c r="MIA288" s="1132" t="n"/>
      <c r="MIB288" s="1132" t="n"/>
      <c r="MIC288" s="1132" t="n"/>
      <c r="MID288" s="1132" t="n"/>
      <c r="MIE288" s="1132" t="n"/>
      <c r="MIF288" s="1132" t="n"/>
      <c r="MIG288" s="1132" t="n"/>
      <c r="MIH288" s="1132" t="n"/>
      <c r="MII288" s="1132" t="n"/>
      <c r="MIJ288" s="1132" t="n"/>
      <c r="MIK288" s="1132" t="n"/>
      <c r="MIL288" s="1132" t="n"/>
      <c r="MIM288" s="1132" t="n"/>
      <c r="MIN288" s="1132" t="n"/>
      <c r="MIO288" s="1132" t="n"/>
      <c r="MIP288" s="1132" t="n"/>
      <c r="MIQ288" s="1132" t="n"/>
      <c r="MIR288" s="1132" t="n"/>
      <c r="MIS288" s="1132" t="n"/>
      <c r="MIT288" s="1132" t="n"/>
      <c r="MIU288" s="1132" t="n"/>
      <c r="MIV288" s="1132" t="n"/>
      <c r="MIW288" s="1132" t="n"/>
      <c r="MIX288" s="1132" t="n"/>
      <c r="MIY288" s="1132" t="n"/>
      <c r="MIZ288" s="1132" t="n"/>
      <c r="MJA288" s="1132" t="n"/>
      <c r="MJB288" s="1132" t="n"/>
      <c r="MJC288" s="1132" t="n"/>
      <c r="MJD288" s="1132" t="n"/>
      <c r="MJE288" s="1132" t="n"/>
      <c r="MJF288" s="1132" t="n"/>
      <c r="MJG288" s="1132" t="n"/>
      <c r="MJH288" s="1132" t="n"/>
      <c r="MJI288" s="1132" t="n"/>
      <c r="MJJ288" s="1132" t="n"/>
      <c r="MJK288" s="1132" t="n"/>
      <c r="MJL288" s="1132" t="n"/>
      <c r="MJM288" s="1132" t="n"/>
      <c r="MJN288" s="1132" t="n"/>
      <c r="MJO288" s="1132" t="n"/>
      <c r="MJP288" s="1132" t="n"/>
      <c r="MJQ288" s="1132" t="n"/>
      <c r="MJR288" s="1132" t="n"/>
      <c r="MJS288" s="1132" t="n"/>
      <c r="MJT288" s="1132" t="n"/>
      <c r="MJU288" s="1132" t="n"/>
      <c r="MJV288" s="1132" t="n"/>
      <c r="MJW288" s="1132" t="n"/>
      <c r="MJX288" s="1132" t="n"/>
      <c r="MJY288" s="1132" t="n"/>
      <c r="MJZ288" s="1132" t="n"/>
      <c r="MKA288" s="1132" t="n"/>
      <c r="MKB288" s="1132" t="n"/>
      <c r="MKC288" s="1132" t="n"/>
      <c r="MKD288" s="1132" t="n"/>
      <c r="MKE288" s="1132" t="n"/>
      <c r="MKF288" s="1132" t="n"/>
      <c r="MKG288" s="1132" t="n"/>
      <c r="MKH288" s="1132" t="n"/>
      <c r="MKI288" s="1132" t="n"/>
      <c r="MKJ288" s="1132" t="n"/>
      <c r="MKK288" s="1132" t="n"/>
      <c r="MKL288" s="1132" t="n"/>
      <c r="MKM288" s="1132" t="n"/>
      <c r="MKN288" s="1132" t="n"/>
      <c r="MKO288" s="1132" t="n"/>
      <c r="MKP288" s="1132" t="n"/>
      <c r="MKQ288" s="1132" t="n"/>
      <c r="MKR288" s="1132" t="n"/>
      <c r="MKS288" s="1132" t="n"/>
      <c r="MKT288" s="1132" t="n"/>
      <c r="MKU288" s="1132" t="n"/>
      <c r="MKV288" s="1132" t="n"/>
      <c r="MKW288" s="1132" t="n"/>
      <c r="MKX288" s="1132" t="n"/>
      <c r="MKY288" s="1132" t="n"/>
      <c r="MKZ288" s="1132" t="n"/>
      <c r="MLA288" s="1132" t="n"/>
      <c r="MLB288" s="1132" t="n"/>
      <c r="MLC288" s="1132" t="n"/>
      <c r="MLD288" s="1132" t="n"/>
      <c r="MLE288" s="1132" t="n"/>
      <c r="MLF288" s="1132" t="n"/>
      <c r="MLG288" s="1132" t="n"/>
      <c r="MLH288" s="1132" t="n"/>
      <c r="MLI288" s="1132" t="n"/>
      <c r="MLJ288" s="1132" t="n"/>
      <c r="MLK288" s="1132" t="n"/>
      <c r="MLL288" s="1132" t="n"/>
      <c r="MLM288" s="1132" t="n"/>
      <c r="MLN288" s="1132" t="n"/>
      <c r="MLO288" s="1132" t="n"/>
      <c r="MLP288" s="1132" t="n"/>
      <c r="MLQ288" s="1132" t="n"/>
      <c r="MLR288" s="1132" t="n"/>
      <c r="MLS288" s="1132" t="n"/>
      <c r="MLT288" s="1132" t="n"/>
      <c r="MLU288" s="1132" t="n"/>
      <c r="MLV288" s="1132" t="n"/>
      <c r="MLW288" s="1132" t="n"/>
      <c r="MLX288" s="1132" t="n"/>
      <c r="MLY288" s="1132" t="n"/>
      <c r="MLZ288" s="1132" t="n"/>
      <c r="MMA288" s="1132" t="n"/>
      <c r="MMB288" s="1132" t="n"/>
      <c r="MMC288" s="1132" t="n"/>
      <c r="MMD288" s="1132" t="n"/>
      <c r="MME288" s="1132" t="n"/>
      <c r="MMF288" s="1132" t="n"/>
      <c r="MMG288" s="1132" t="n"/>
      <c r="MMH288" s="1132" t="n"/>
      <c r="MMI288" s="1132" t="n"/>
      <c r="MMJ288" s="1132" t="n"/>
      <c r="MMK288" s="1132" t="n"/>
      <c r="MML288" s="1132" t="n"/>
      <c r="MMM288" s="1132" t="n"/>
      <c r="MMN288" s="1132" t="n"/>
      <c r="MMO288" s="1132" t="n"/>
      <c r="MMP288" s="1132" t="n"/>
      <c r="MMQ288" s="1132" t="n"/>
      <c r="MMR288" s="1132" t="n"/>
      <c r="MMS288" s="1132" t="n"/>
      <c r="MMT288" s="1132" t="n"/>
      <c r="MMU288" s="1132" t="n"/>
      <c r="MMV288" s="1132" t="n"/>
      <c r="MMW288" s="1132" t="n"/>
      <c r="MMX288" s="1132" t="n"/>
      <c r="MMY288" s="1132" t="n"/>
      <c r="MMZ288" s="1132" t="n"/>
      <c r="MNA288" s="1132" t="n"/>
      <c r="MNB288" s="1132" t="n"/>
      <c r="MNC288" s="1132" t="n"/>
      <c r="MND288" s="1132" t="n"/>
      <c r="MNE288" s="1132" t="n"/>
      <c r="MNF288" s="1132" t="n"/>
      <c r="MNG288" s="1132" t="n"/>
      <c r="MNH288" s="1132" t="n"/>
      <c r="MNI288" s="1132" t="n"/>
      <c r="MNJ288" s="1132" t="n"/>
      <c r="MNK288" s="1132" t="n"/>
      <c r="MNL288" s="1132" t="n"/>
      <c r="MNM288" s="1132" t="n"/>
      <c r="MNN288" s="1132" t="n"/>
      <c r="MNO288" s="1132" t="n"/>
      <c r="MNP288" s="1132" t="n"/>
      <c r="MNQ288" s="1132" t="n"/>
      <c r="MNR288" s="1132" t="n"/>
      <c r="MNS288" s="1132" t="n"/>
      <c r="MNT288" s="1132" t="n"/>
      <c r="MNU288" s="1132" t="n"/>
      <c r="MNV288" s="1132" t="n"/>
      <c r="MNW288" s="1132" t="n"/>
      <c r="MNX288" s="1132" t="n"/>
      <c r="MNY288" s="1132" t="n"/>
      <c r="MNZ288" s="1132" t="n"/>
      <c r="MOA288" s="1132" t="n"/>
      <c r="MOB288" s="1132" t="n"/>
      <c r="MOC288" s="1132" t="n"/>
      <c r="MOD288" s="1132" t="n"/>
      <c r="MOE288" s="1132" t="n"/>
      <c r="MOF288" s="1132" t="n"/>
      <c r="MOG288" s="1132" t="n"/>
      <c r="MOH288" s="1132" t="n"/>
      <c r="MOI288" s="1132" t="n"/>
      <c r="MOJ288" s="1132" t="n"/>
      <c r="MOK288" s="1132" t="n"/>
      <c r="MOL288" s="1132" t="n"/>
      <c r="MOM288" s="1132" t="n"/>
      <c r="MON288" s="1132" t="n"/>
      <c r="MOO288" s="1132" t="n"/>
      <c r="MOP288" s="1132" t="n"/>
      <c r="MOQ288" s="1132" t="n"/>
      <c r="MOR288" s="1132" t="n"/>
      <c r="MOS288" s="1132" t="n"/>
      <c r="MOT288" s="1132" t="n"/>
      <c r="MOU288" s="1132" t="n"/>
      <c r="MOV288" s="1132" t="n"/>
      <c r="MOW288" s="1132" t="n"/>
      <c r="MOX288" s="1132" t="n"/>
      <c r="MOY288" s="1132" t="n"/>
      <c r="MOZ288" s="1132" t="n"/>
      <c r="MPA288" s="1132" t="n"/>
      <c r="MPB288" s="1132" t="n"/>
      <c r="MPC288" s="1132" t="n"/>
      <c r="MPD288" s="1132" t="n"/>
      <c r="MPE288" s="1132" t="n"/>
      <c r="MPF288" s="1132" t="n"/>
      <c r="MPG288" s="1132" t="n"/>
      <c r="MPH288" s="1132" t="n"/>
      <c r="MPI288" s="1132" t="n"/>
      <c r="MPJ288" s="1132" t="n"/>
      <c r="MPK288" s="1132" t="n"/>
      <c r="MPL288" s="1132" t="n"/>
      <c r="MPM288" s="1132" t="n"/>
      <c r="MPN288" s="1132" t="n"/>
      <c r="MPO288" s="1132" t="n"/>
      <c r="MPP288" s="1132" t="n"/>
      <c r="MPQ288" s="1132" t="n"/>
      <c r="MPR288" s="1132" t="n"/>
      <c r="MPS288" s="1132" t="n"/>
      <c r="MPT288" s="1132" t="n"/>
      <c r="MPU288" s="1132" t="n"/>
      <c r="MPV288" s="1132" t="n"/>
      <c r="MPW288" s="1132" t="n"/>
      <c r="MPX288" s="1132" t="n"/>
      <c r="MPY288" s="1132" t="n"/>
      <c r="MPZ288" s="1132" t="n"/>
      <c r="MQA288" s="1132" t="n"/>
      <c r="MQB288" s="1132" t="n"/>
      <c r="MQC288" s="1132" t="n"/>
      <c r="MQD288" s="1132" t="n"/>
      <c r="MQE288" s="1132" t="n"/>
      <c r="MQF288" s="1132" t="n"/>
      <c r="MQG288" s="1132" t="n"/>
      <c r="MQH288" s="1132" t="n"/>
      <c r="MQI288" s="1132" t="n"/>
      <c r="MQJ288" s="1132" t="n"/>
      <c r="MQK288" s="1132" t="n"/>
      <c r="MQL288" s="1132" t="n"/>
      <c r="MQM288" s="1132" t="n"/>
      <c r="MQN288" s="1132" t="n"/>
      <c r="MQO288" s="1132" t="n"/>
      <c r="MQP288" s="1132" t="n"/>
      <c r="MQQ288" s="1132" t="n"/>
      <c r="MQR288" s="1132" t="n"/>
      <c r="MQS288" s="1132" t="n"/>
      <c r="MQT288" s="1132" t="n"/>
      <c r="MQU288" s="1132" t="n"/>
      <c r="MQV288" s="1132" t="n"/>
      <c r="MQW288" s="1132" t="n"/>
      <c r="MQX288" s="1132" t="n"/>
      <c r="MQY288" s="1132" t="n"/>
      <c r="MQZ288" s="1132" t="n"/>
      <c r="MRA288" s="1132" t="n"/>
      <c r="MRB288" s="1132" t="n"/>
      <c r="MRC288" s="1132" t="n"/>
      <c r="MRD288" s="1132" t="n"/>
      <c r="MRE288" s="1132" t="n"/>
      <c r="MRF288" s="1132" t="n"/>
      <c r="MRG288" s="1132" t="n"/>
      <c r="MRH288" s="1132" t="n"/>
      <c r="MRI288" s="1132" t="n"/>
      <c r="MRJ288" s="1132" t="n"/>
      <c r="MRK288" s="1132" t="n"/>
      <c r="MRL288" s="1132" t="n"/>
      <c r="MRM288" s="1132" t="n"/>
      <c r="MRN288" s="1132" t="n"/>
      <c r="MRO288" s="1132" t="n"/>
      <c r="MRP288" s="1132" t="n"/>
      <c r="MRQ288" s="1132" t="n"/>
      <c r="MRR288" s="1132" t="n"/>
      <c r="MRS288" s="1132" t="n"/>
      <c r="MRT288" s="1132" t="n"/>
      <c r="MRU288" s="1132" t="n"/>
      <c r="MRV288" s="1132" t="n"/>
      <c r="MRW288" s="1132" t="n"/>
      <c r="MRX288" s="1132" t="n"/>
      <c r="MRY288" s="1132" t="n"/>
      <c r="MRZ288" s="1132" t="n"/>
      <c r="MSA288" s="1132" t="n"/>
      <c r="MSB288" s="1132" t="n"/>
      <c r="MSC288" s="1132" t="n"/>
      <c r="MSD288" s="1132" t="n"/>
      <c r="MSE288" s="1132" t="n"/>
      <c r="MSF288" s="1132" t="n"/>
      <c r="MSG288" s="1132" t="n"/>
      <c r="MSH288" s="1132" t="n"/>
      <c r="MSI288" s="1132" t="n"/>
      <c r="MSJ288" s="1132" t="n"/>
      <c r="MSK288" s="1132" t="n"/>
      <c r="MSL288" s="1132" t="n"/>
      <c r="MSM288" s="1132" t="n"/>
      <c r="MSN288" s="1132" t="n"/>
      <c r="MSO288" s="1132" t="n"/>
      <c r="MSP288" s="1132" t="n"/>
      <c r="MSQ288" s="1132" t="n"/>
      <c r="MSR288" s="1132" t="n"/>
      <c r="MSS288" s="1132" t="n"/>
      <c r="MST288" s="1132" t="n"/>
      <c r="MSU288" s="1132" t="n"/>
      <c r="MSV288" s="1132" t="n"/>
      <c r="MSW288" s="1132" t="n"/>
      <c r="MSX288" s="1132" t="n"/>
      <c r="MSY288" s="1132" t="n"/>
      <c r="MSZ288" s="1132" t="n"/>
      <c r="MTA288" s="1132" t="n"/>
      <c r="MTB288" s="1132" t="n"/>
      <c r="MTC288" s="1132" t="n"/>
      <c r="MTD288" s="1132" t="n"/>
      <c r="MTE288" s="1132" t="n"/>
      <c r="MTF288" s="1132" t="n"/>
      <c r="MTG288" s="1132" t="n"/>
      <c r="MTH288" s="1132" t="n"/>
      <c r="MTI288" s="1132" t="n"/>
      <c r="MTJ288" s="1132" t="n"/>
      <c r="MTK288" s="1132" t="n"/>
      <c r="MTL288" s="1132" t="n"/>
      <c r="MTM288" s="1132" t="n"/>
      <c r="MTN288" s="1132" t="n"/>
      <c r="MTO288" s="1132" t="n"/>
      <c r="MTP288" s="1132" t="n"/>
      <c r="MTQ288" s="1132" t="n"/>
      <c r="MTR288" s="1132" t="n"/>
      <c r="MTS288" s="1132" t="n"/>
      <c r="MTT288" s="1132" t="n"/>
      <c r="MTU288" s="1132" t="n"/>
      <c r="MTV288" s="1132" t="n"/>
      <c r="MTW288" s="1132" t="n"/>
      <c r="MTX288" s="1132" t="n"/>
      <c r="MTY288" s="1132" t="n"/>
      <c r="MTZ288" s="1132" t="n"/>
      <c r="MUA288" s="1132" t="n"/>
      <c r="MUB288" s="1132" t="n"/>
      <c r="MUC288" s="1132" t="n"/>
      <c r="MUD288" s="1132" t="n"/>
      <c r="MUE288" s="1132" t="n"/>
      <c r="MUF288" s="1132" t="n"/>
      <c r="MUG288" s="1132" t="n"/>
      <c r="MUH288" s="1132" t="n"/>
      <c r="MUI288" s="1132" t="n"/>
      <c r="MUJ288" s="1132" t="n"/>
      <c r="MUK288" s="1132" t="n"/>
      <c r="MUL288" s="1132" t="n"/>
      <c r="MUM288" s="1132" t="n"/>
      <c r="MUN288" s="1132" t="n"/>
      <c r="MUO288" s="1132" t="n"/>
      <c r="MUP288" s="1132" t="n"/>
      <c r="MUQ288" s="1132" t="n"/>
      <c r="MUR288" s="1132" t="n"/>
      <c r="MUS288" s="1132" t="n"/>
      <c r="MUT288" s="1132" t="n"/>
      <c r="MUU288" s="1132" t="n"/>
      <c r="MUV288" s="1132" t="n"/>
      <c r="MUW288" s="1132" t="n"/>
      <c r="MUX288" s="1132" t="n"/>
      <c r="MUY288" s="1132" t="n"/>
      <c r="MUZ288" s="1132" t="n"/>
      <c r="MVA288" s="1132" t="n"/>
      <c r="MVB288" s="1132" t="n"/>
      <c r="MVC288" s="1132" t="n"/>
      <c r="MVD288" s="1132" t="n"/>
      <c r="MVE288" s="1132" t="n"/>
      <c r="MVF288" s="1132" t="n"/>
      <c r="MVG288" s="1132" t="n"/>
      <c r="MVH288" s="1132" t="n"/>
      <c r="MVI288" s="1132" t="n"/>
      <c r="MVJ288" s="1132" t="n"/>
      <c r="MVK288" s="1132" t="n"/>
      <c r="MVL288" s="1132" t="n"/>
      <c r="MVM288" s="1132" t="n"/>
      <c r="MVN288" s="1132" t="n"/>
      <c r="MVO288" s="1132" t="n"/>
      <c r="MVP288" s="1132" t="n"/>
      <c r="MVQ288" s="1132" t="n"/>
      <c r="MVR288" s="1132" t="n"/>
      <c r="MVS288" s="1132" t="n"/>
      <c r="MVT288" s="1132" t="n"/>
      <c r="MVU288" s="1132" t="n"/>
      <c r="MVV288" s="1132" t="n"/>
      <c r="MVW288" s="1132" t="n"/>
      <c r="MVX288" s="1132" t="n"/>
      <c r="MVY288" s="1132" t="n"/>
      <c r="MVZ288" s="1132" t="n"/>
      <c r="MWA288" s="1132" t="n"/>
      <c r="MWB288" s="1132" t="n"/>
      <c r="MWC288" s="1132" t="n"/>
      <c r="MWD288" s="1132" t="n"/>
      <c r="MWE288" s="1132" t="n"/>
      <c r="MWF288" s="1132" t="n"/>
      <c r="MWG288" s="1132" t="n"/>
      <c r="MWH288" s="1132" t="n"/>
      <c r="MWI288" s="1132" t="n"/>
      <c r="MWJ288" s="1132" t="n"/>
      <c r="MWK288" s="1132" t="n"/>
      <c r="MWL288" s="1132" t="n"/>
      <c r="MWM288" s="1132" t="n"/>
      <c r="MWN288" s="1132" t="n"/>
      <c r="MWO288" s="1132" t="n"/>
      <c r="MWP288" s="1132" t="n"/>
      <c r="MWQ288" s="1132" t="n"/>
      <c r="MWR288" s="1132" t="n"/>
      <c r="MWS288" s="1132" t="n"/>
      <c r="MWT288" s="1132" t="n"/>
      <c r="MWU288" s="1132" t="n"/>
      <c r="MWV288" s="1132" t="n"/>
      <c r="MWW288" s="1132" t="n"/>
      <c r="MWX288" s="1132" t="n"/>
      <c r="MWY288" s="1132" t="n"/>
      <c r="MWZ288" s="1132" t="n"/>
      <c r="MXA288" s="1132" t="n"/>
      <c r="MXB288" s="1132" t="n"/>
      <c r="MXC288" s="1132" t="n"/>
      <c r="MXD288" s="1132" t="n"/>
      <c r="MXE288" s="1132" t="n"/>
      <c r="MXF288" s="1132" t="n"/>
      <c r="MXG288" s="1132" t="n"/>
      <c r="MXH288" s="1132" t="n"/>
      <c r="MXI288" s="1132" t="n"/>
      <c r="MXJ288" s="1132" t="n"/>
      <c r="MXK288" s="1132" t="n"/>
      <c r="MXL288" s="1132" t="n"/>
      <c r="MXM288" s="1132" t="n"/>
      <c r="MXN288" s="1132" t="n"/>
      <c r="MXO288" s="1132" t="n"/>
      <c r="MXP288" s="1132" t="n"/>
      <c r="MXQ288" s="1132" t="n"/>
      <c r="MXR288" s="1132" t="n"/>
      <c r="MXS288" s="1132" t="n"/>
      <c r="MXT288" s="1132" t="n"/>
      <c r="MXU288" s="1132" t="n"/>
      <c r="MXV288" s="1132" t="n"/>
      <c r="MXW288" s="1132" t="n"/>
      <c r="MXX288" s="1132" t="n"/>
      <c r="MXY288" s="1132" t="n"/>
      <c r="MXZ288" s="1132" t="n"/>
      <c r="MYA288" s="1132" t="n"/>
      <c r="MYB288" s="1132" t="n"/>
      <c r="MYC288" s="1132" t="n"/>
      <c r="MYD288" s="1132" t="n"/>
      <c r="MYE288" s="1132" t="n"/>
      <c r="MYF288" s="1132" t="n"/>
      <c r="MYG288" s="1132" t="n"/>
      <c r="MYH288" s="1132" t="n"/>
      <c r="MYI288" s="1132" t="n"/>
      <c r="MYJ288" s="1132" t="n"/>
      <c r="MYK288" s="1132" t="n"/>
      <c r="MYL288" s="1132" t="n"/>
      <c r="MYM288" s="1132" t="n"/>
      <c r="MYN288" s="1132" t="n"/>
      <c r="MYO288" s="1132" t="n"/>
      <c r="MYP288" s="1132" t="n"/>
      <c r="MYQ288" s="1132" t="n"/>
      <c r="MYR288" s="1132" t="n"/>
      <c r="MYS288" s="1132" t="n"/>
      <c r="MYT288" s="1132" t="n"/>
      <c r="MYU288" s="1132" t="n"/>
      <c r="MYV288" s="1132" t="n"/>
      <c r="MYW288" s="1132" t="n"/>
      <c r="MYX288" s="1132" t="n"/>
      <c r="MYY288" s="1132" t="n"/>
      <c r="MYZ288" s="1132" t="n"/>
      <c r="MZA288" s="1132" t="n"/>
      <c r="MZB288" s="1132" t="n"/>
      <c r="MZC288" s="1132" t="n"/>
      <c r="MZD288" s="1132" t="n"/>
      <c r="MZE288" s="1132" t="n"/>
      <c r="MZF288" s="1132" t="n"/>
      <c r="MZG288" s="1132" t="n"/>
      <c r="MZH288" s="1132" t="n"/>
      <c r="MZI288" s="1132" t="n"/>
      <c r="MZJ288" s="1132" t="n"/>
      <c r="MZK288" s="1132" t="n"/>
      <c r="MZL288" s="1132" t="n"/>
      <c r="MZM288" s="1132" t="n"/>
      <c r="MZN288" s="1132" t="n"/>
      <c r="MZO288" s="1132" t="n"/>
      <c r="MZP288" s="1132" t="n"/>
      <c r="MZQ288" s="1132" t="n"/>
      <c r="MZR288" s="1132" t="n"/>
      <c r="MZS288" s="1132" t="n"/>
      <c r="MZT288" s="1132" t="n"/>
      <c r="MZU288" s="1132" t="n"/>
      <c r="MZV288" s="1132" t="n"/>
      <c r="MZW288" s="1132" t="n"/>
      <c r="MZX288" s="1132" t="n"/>
      <c r="MZY288" s="1132" t="n"/>
      <c r="MZZ288" s="1132" t="n"/>
      <c r="NAA288" s="1132" t="n"/>
      <c r="NAB288" s="1132" t="n"/>
      <c r="NAC288" s="1132" t="n"/>
      <c r="NAD288" s="1132" t="n"/>
      <c r="NAE288" s="1132" t="n"/>
      <c r="NAF288" s="1132" t="n"/>
      <c r="NAG288" s="1132" t="n"/>
      <c r="NAH288" s="1132" t="n"/>
      <c r="NAI288" s="1132" t="n"/>
      <c r="NAJ288" s="1132" t="n"/>
      <c r="NAK288" s="1132" t="n"/>
      <c r="NAL288" s="1132" t="n"/>
      <c r="NAM288" s="1132" t="n"/>
      <c r="NAN288" s="1132" t="n"/>
      <c r="NAO288" s="1132" t="n"/>
      <c r="NAP288" s="1132" t="n"/>
      <c r="NAQ288" s="1132" t="n"/>
      <c r="NAR288" s="1132" t="n"/>
      <c r="NAS288" s="1132" t="n"/>
      <c r="NAT288" s="1132" t="n"/>
      <c r="NAU288" s="1132" t="n"/>
      <c r="NAV288" s="1132" t="n"/>
      <c r="NAW288" s="1132" t="n"/>
      <c r="NAX288" s="1132" t="n"/>
      <c r="NAY288" s="1132" t="n"/>
      <c r="NAZ288" s="1132" t="n"/>
      <c r="NBA288" s="1132" t="n"/>
      <c r="NBB288" s="1132" t="n"/>
      <c r="NBC288" s="1132" t="n"/>
      <c r="NBD288" s="1132" t="n"/>
      <c r="NBE288" s="1132" t="n"/>
      <c r="NBF288" s="1132" t="n"/>
      <c r="NBG288" s="1132" t="n"/>
      <c r="NBH288" s="1132" t="n"/>
      <c r="NBI288" s="1132" t="n"/>
      <c r="NBJ288" s="1132" t="n"/>
      <c r="NBK288" s="1132" t="n"/>
      <c r="NBL288" s="1132" t="n"/>
      <c r="NBM288" s="1132" t="n"/>
      <c r="NBN288" s="1132" t="n"/>
      <c r="NBO288" s="1132" t="n"/>
      <c r="NBP288" s="1132" t="n"/>
      <c r="NBQ288" s="1132" t="n"/>
      <c r="NBR288" s="1132" t="n"/>
      <c r="NBS288" s="1132" t="n"/>
      <c r="NBT288" s="1132" t="n"/>
      <c r="NBU288" s="1132" t="n"/>
      <c r="NBV288" s="1132" t="n"/>
      <c r="NBW288" s="1132" t="n"/>
      <c r="NBX288" s="1132" t="n"/>
      <c r="NBY288" s="1132" t="n"/>
      <c r="NBZ288" s="1132" t="n"/>
      <c r="NCA288" s="1132" t="n"/>
      <c r="NCB288" s="1132" t="n"/>
      <c r="NCC288" s="1132" t="n"/>
      <c r="NCD288" s="1132" t="n"/>
      <c r="NCE288" s="1132" t="n"/>
      <c r="NCF288" s="1132" t="n"/>
      <c r="NCG288" s="1132" t="n"/>
      <c r="NCH288" s="1132" t="n"/>
      <c r="NCI288" s="1132" t="n"/>
      <c r="NCJ288" s="1132" t="n"/>
      <c r="NCK288" s="1132" t="n"/>
      <c r="NCL288" s="1132" t="n"/>
      <c r="NCM288" s="1132" t="n"/>
      <c r="NCN288" s="1132" t="n"/>
      <c r="NCO288" s="1132" t="n"/>
      <c r="NCP288" s="1132" t="n"/>
      <c r="NCQ288" s="1132" t="n"/>
      <c r="NCR288" s="1132" t="n"/>
      <c r="NCS288" s="1132" t="n"/>
      <c r="NCT288" s="1132" t="n"/>
      <c r="NCU288" s="1132" t="n"/>
      <c r="NCV288" s="1132" t="n"/>
      <c r="NCW288" s="1132" t="n"/>
      <c r="NCX288" s="1132" t="n"/>
      <c r="NCY288" s="1132" t="n"/>
      <c r="NCZ288" s="1132" t="n"/>
      <c r="NDA288" s="1132" t="n"/>
      <c r="NDB288" s="1132" t="n"/>
      <c r="NDC288" s="1132" t="n"/>
      <c r="NDD288" s="1132" t="n"/>
      <c r="NDE288" s="1132" t="n"/>
      <c r="NDF288" s="1132" t="n"/>
      <c r="NDG288" s="1132" t="n"/>
      <c r="NDH288" s="1132" t="n"/>
      <c r="NDI288" s="1132" t="n"/>
      <c r="NDJ288" s="1132" t="n"/>
      <c r="NDK288" s="1132" t="n"/>
      <c r="NDL288" s="1132" t="n"/>
      <c r="NDM288" s="1132" t="n"/>
      <c r="NDN288" s="1132" t="n"/>
      <c r="NDO288" s="1132" t="n"/>
      <c r="NDP288" s="1132" t="n"/>
      <c r="NDQ288" s="1132" t="n"/>
      <c r="NDR288" s="1132" t="n"/>
      <c r="NDS288" s="1132" t="n"/>
      <c r="NDT288" s="1132" t="n"/>
      <c r="NDU288" s="1132" t="n"/>
      <c r="NDV288" s="1132" t="n"/>
      <c r="NDW288" s="1132" t="n"/>
      <c r="NDX288" s="1132" t="n"/>
      <c r="NDY288" s="1132" t="n"/>
      <c r="NDZ288" s="1132" t="n"/>
      <c r="NEA288" s="1132" t="n"/>
      <c r="NEB288" s="1132" t="n"/>
      <c r="NEC288" s="1132" t="n"/>
      <c r="NED288" s="1132" t="n"/>
      <c r="NEE288" s="1132" t="n"/>
      <c r="NEF288" s="1132" t="n"/>
      <c r="NEG288" s="1132" t="n"/>
      <c r="NEH288" s="1132" t="n"/>
      <c r="NEI288" s="1132" t="n"/>
      <c r="NEJ288" s="1132" t="n"/>
      <c r="NEK288" s="1132" t="n"/>
      <c r="NEL288" s="1132" t="n"/>
      <c r="NEM288" s="1132" t="n"/>
      <c r="NEN288" s="1132" t="n"/>
      <c r="NEO288" s="1132" t="n"/>
      <c r="NEP288" s="1132" t="n"/>
      <c r="NEQ288" s="1132" t="n"/>
      <c r="NER288" s="1132" t="n"/>
      <c r="NES288" s="1132" t="n"/>
      <c r="NET288" s="1132" t="n"/>
      <c r="NEU288" s="1132" t="n"/>
      <c r="NEV288" s="1132" t="n"/>
      <c r="NEW288" s="1132" t="n"/>
      <c r="NEX288" s="1132" t="n"/>
      <c r="NEY288" s="1132" t="n"/>
      <c r="NEZ288" s="1132" t="n"/>
      <c r="NFA288" s="1132" t="n"/>
      <c r="NFB288" s="1132" t="n"/>
      <c r="NFC288" s="1132" t="n"/>
      <c r="NFD288" s="1132" t="n"/>
      <c r="NFE288" s="1132" t="n"/>
      <c r="NFF288" s="1132" t="n"/>
      <c r="NFG288" s="1132" t="n"/>
      <c r="NFH288" s="1132" t="n"/>
      <c r="NFI288" s="1132" t="n"/>
      <c r="NFJ288" s="1132" t="n"/>
      <c r="NFK288" s="1132" t="n"/>
      <c r="NFL288" s="1132" t="n"/>
      <c r="NFM288" s="1132" t="n"/>
      <c r="NFN288" s="1132" t="n"/>
      <c r="NFO288" s="1132" t="n"/>
      <c r="NFP288" s="1132" t="n"/>
      <c r="NFQ288" s="1132" t="n"/>
      <c r="NFR288" s="1132" t="n"/>
      <c r="NFS288" s="1132" t="n"/>
      <c r="NFT288" s="1132" t="n"/>
      <c r="NFU288" s="1132" t="n"/>
      <c r="NFV288" s="1132" t="n"/>
      <c r="NFW288" s="1132" t="n"/>
      <c r="NFX288" s="1132" t="n"/>
      <c r="NFY288" s="1132" t="n"/>
      <c r="NFZ288" s="1132" t="n"/>
      <c r="NGA288" s="1132" t="n"/>
      <c r="NGB288" s="1132" t="n"/>
      <c r="NGC288" s="1132" t="n"/>
      <c r="NGD288" s="1132" t="n"/>
      <c r="NGE288" s="1132" t="n"/>
      <c r="NGF288" s="1132" t="n"/>
      <c r="NGG288" s="1132" t="n"/>
      <c r="NGH288" s="1132" t="n"/>
      <c r="NGI288" s="1132" t="n"/>
      <c r="NGJ288" s="1132" t="n"/>
      <c r="NGK288" s="1132" t="n"/>
      <c r="NGL288" s="1132" t="n"/>
      <c r="NGM288" s="1132" t="n"/>
      <c r="NGN288" s="1132" t="n"/>
      <c r="NGO288" s="1132" t="n"/>
      <c r="NGP288" s="1132" t="n"/>
      <c r="NGQ288" s="1132" t="n"/>
      <c r="NGR288" s="1132" t="n"/>
      <c r="NGS288" s="1132" t="n"/>
      <c r="NGT288" s="1132" t="n"/>
      <c r="NGU288" s="1132" t="n"/>
      <c r="NGV288" s="1132" t="n"/>
      <c r="NGW288" s="1132" t="n"/>
      <c r="NGX288" s="1132" t="n"/>
      <c r="NGY288" s="1132" t="n"/>
      <c r="NGZ288" s="1132" t="n"/>
      <c r="NHA288" s="1132" t="n"/>
      <c r="NHB288" s="1132" t="n"/>
      <c r="NHC288" s="1132" t="n"/>
      <c r="NHD288" s="1132" t="n"/>
      <c r="NHE288" s="1132" t="n"/>
      <c r="NHF288" s="1132" t="n"/>
      <c r="NHG288" s="1132" t="n"/>
      <c r="NHH288" s="1132" t="n"/>
      <c r="NHI288" s="1132" t="n"/>
      <c r="NHJ288" s="1132" t="n"/>
      <c r="NHK288" s="1132" t="n"/>
      <c r="NHL288" s="1132" t="n"/>
      <c r="NHM288" s="1132" t="n"/>
      <c r="NHN288" s="1132" t="n"/>
      <c r="NHO288" s="1132" t="n"/>
      <c r="NHP288" s="1132" t="n"/>
      <c r="NHQ288" s="1132" t="n"/>
      <c r="NHR288" s="1132" t="n"/>
      <c r="NHS288" s="1132" t="n"/>
      <c r="NHT288" s="1132" t="n"/>
      <c r="NHU288" s="1132" t="n"/>
      <c r="NHV288" s="1132" t="n"/>
      <c r="NHW288" s="1132" t="n"/>
      <c r="NHX288" s="1132" t="n"/>
      <c r="NHY288" s="1132" t="n"/>
      <c r="NHZ288" s="1132" t="n"/>
      <c r="NIA288" s="1132" t="n"/>
      <c r="NIB288" s="1132" t="n"/>
      <c r="NIC288" s="1132" t="n"/>
      <c r="NID288" s="1132" t="n"/>
      <c r="NIE288" s="1132" t="n"/>
      <c r="NIF288" s="1132" t="n"/>
      <c r="NIG288" s="1132" t="n"/>
      <c r="NIH288" s="1132" t="n"/>
      <c r="NII288" s="1132" t="n"/>
      <c r="NIJ288" s="1132" t="n"/>
      <c r="NIK288" s="1132" t="n"/>
      <c r="NIL288" s="1132" t="n"/>
      <c r="NIM288" s="1132" t="n"/>
      <c r="NIN288" s="1132" t="n"/>
      <c r="NIO288" s="1132" t="n"/>
      <c r="NIP288" s="1132" t="n"/>
      <c r="NIQ288" s="1132" t="n"/>
      <c r="NIR288" s="1132" t="n"/>
      <c r="NIS288" s="1132" t="n"/>
      <c r="NIT288" s="1132" t="n"/>
      <c r="NIU288" s="1132" t="n"/>
      <c r="NIV288" s="1132" t="n"/>
      <c r="NIW288" s="1132" t="n"/>
      <c r="NIX288" s="1132" t="n"/>
      <c r="NIY288" s="1132" t="n"/>
      <c r="NIZ288" s="1132" t="n"/>
      <c r="NJA288" s="1132" t="n"/>
      <c r="NJB288" s="1132" t="n"/>
      <c r="NJC288" s="1132" t="n"/>
      <c r="NJD288" s="1132" t="n"/>
      <c r="NJE288" s="1132" t="n"/>
      <c r="NJF288" s="1132" t="n"/>
      <c r="NJG288" s="1132" t="n"/>
      <c r="NJH288" s="1132" t="n"/>
      <c r="NJI288" s="1132" t="n"/>
      <c r="NJJ288" s="1132" t="n"/>
      <c r="NJK288" s="1132" t="n"/>
      <c r="NJL288" s="1132" t="n"/>
      <c r="NJM288" s="1132" t="n"/>
      <c r="NJN288" s="1132" t="n"/>
      <c r="NJO288" s="1132" t="n"/>
      <c r="NJP288" s="1132" t="n"/>
      <c r="NJQ288" s="1132" t="n"/>
      <c r="NJR288" s="1132" t="n"/>
      <c r="NJS288" s="1132" t="n"/>
      <c r="NJT288" s="1132" t="n"/>
      <c r="NJU288" s="1132" t="n"/>
      <c r="NJV288" s="1132" t="n"/>
      <c r="NJW288" s="1132" t="n"/>
      <c r="NJX288" s="1132" t="n"/>
      <c r="NJY288" s="1132" t="n"/>
      <c r="NJZ288" s="1132" t="n"/>
      <c r="NKA288" s="1132" t="n"/>
      <c r="NKB288" s="1132" t="n"/>
      <c r="NKC288" s="1132" t="n"/>
      <c r="NKD288" s="1132" t="n"/>
      <c r="NKE288" s="1132" t="n"/>
      <c r="NKF288" s="1132" t="n"/>
      <c r="NKG288" s="1132" t="n"/>
      <c r="NKH288" s="1132" t="n"/>
      <c r="NKI288" s="1132" t="n"/>
      <c r="NKJ288" s="1132" t="n"/>
      <c r="NKK288" s="1132" t="n"/>
      <c r="NKL288" s="1132" t="n"/>
      <c r="NKM288" s="1132" t="n"/>
      <c r="NKN288" s="1132" t="n"/>
      <c r="NKO288" s="1132" t="n"/>
      <c r="NKP288" s="1132" t="n"/>
      <c r="NKQ288" s="1132" t="n"/>
      <c r="NKR288" s="1132" t="n"/>
      <c r="NKS288" s="1132" t="n"/>
      <c r="NKT288" s="1132" t="n"/>
      <c r="NKU288" s="1132" t="n"/>
      <c r="NKV288" s="1132" t="n"/>
      <c r="NKW288" s="1132" t="n"/>
      <c r="NKX288" s="1132" t="n"/>
      <c r="NKY288" s="1132" t="n"/>
      <c r="NKZ288" s="1132" t="n"/>
      <c r="NLA288" s="1132" t="n"/>
      <c r="NLB288" s="1132" t="n"/>
      <c r="NLC288" s="1132" t="n"/>
      <c r="NLD288" s="1132" t="n"/>
      <c r="NLE288" s="1132" t="n"/>
      <c r="NLF288" s="1132" t="n"/>
      <c r="NLG288" s="1132" t="n"/>
      <c r="NLH288" s="1132" t="n"/>
      <c r="NLI288" s="1132" t="n"/>
      <c r="NLJ288" s="1132" t="n"/>
      <c r="NLK288" s="1132" t="n"/>
      <c r="NLL288" s="1132" t="n"/>
      <c r="NLM288" s="1132" t="n"/>
      <c r="NLN288" s="1132" t="n"/>
      <c r="NLO288" s="1132" t="n"/>
      <c r="NLP288" s="1132" t="n"/>
      <c r="NLQ288" s="1132" t="n"/>
      <c r="NLR288" s="1132" t="n"/>
      <c r="NLS288" s="1132" t="n"/>
      <c r="NLT288" s="1132" t="n"/>
      <c r="NLU288" s="1132" t="n"/>
      <c r="NLV288" s="1132" t="n"/>
      <c r="NLW288" s="1132" t="n"/>
      <c r="NLX288" s="1132" t="n"/>
      <c r="NLY288" s="1132" t="n"/>
      <c r="NLZ288" s="1132" t="n"/>
      <c r="NMA288" s="1132" t="n"/>
      <c r="NMB288" s="1132" t="n"/>
      <c r="NMC288" s="1132" t="n"/>
      <c r="NMD288" s="1132" t="n"/>
      <c r="NME288" s="1132" t="n"/>
      <c r="NMF288" s="1132" t="n"/>
      <c r="NMG288" s="1132" t="n"/>
      <c r="NMH288" s="1132" t="n"/>
      <c r="NMI288" s="1132" t="n"/>
      <c r="NMJ288" s="1132" t="n"/>
      <c r="NMK288" s="1132" t="n"/>
      <c r="NML288" s="1132" t="n"/>
      <c r="NMM288" s="1132" t="n"/>
      <c r="NMN288" s="1132" t="n"/>
      <c r="NMO288" s="1132" t="n"/>
      <c r="NMP288" s="1132" t="n"/>
      <c r="NMQ288" s="1132" t="n"/>
      <c r="NMR288" s="1132" t="n"/>
      <c r="NMS288" s="1132" t="n"/>
      <c r="NMT288" s="1132" t="n"/>
      <c r="NMU288" s="1132" t="n"/>
      <c r="NMV288" s="1132" t="n"/>
      <c r="NMW288" s="1132" t="n"/>
      <c r="NMX288" s="1132" t="n"/>
      <c r="NMY288" s="1132" t="n"/>
      <c r="NMZ288" s="1132" t="n"/>
      <c r="NNA288" s="1132" t="n"/>
      <c r="NNB288" s="1132" t="n"/>
      <c r="NNC288" s="1132" t="n"/>
      <c r="NND288" s="1132" t="n"/>
      <c r="NNE288" s="1132" t="n"/>
      <c r="NNF288" s="1132" t="n"/>
      <c r="NNG288" s="1132" t="n"/>
      <c r="NNH288" s="1132" t="n"/>
      <c r="NNI288" s="1132" t="n"/>
      <c r="NNJ288" s="1132" t="n"/>
      <c r="NNK288" s="1132" t="n"/>
      <c r="NNL288" s="1132" t="n"/>
      <c r="NNM288" s="1132" t="n"/>
      <c r="NNN288" s="1132" t="n"/>
      <c r="NNO288" s="1132" t="n"/>
      <c r="NNP288" s="1132" t="n"/>
      <c r="NNQ288" s="1132" t="n"/>
      <c r="NNR288" s="1132" t="n"/>
      <c r="NNS288" s="1132" t="n"/>
      <c r="NNT288" s="1132" t="n"/>
      <c r="NNU288" s="1132" t="n"/>
      <c r="NNV288" s="1132" t="n"/>
      <c r="NNW288" s="1132" t="n"/>
      <c r="NNX288" s="1132" t="n"/>
      <c r="NNY288" s="1132" t="n"/>
      <c r="NNZ288" s="1132" t="n"/>
      <c r="NOA288" s="1132" t="n"/>
      <c r="NOB288" s="1132" t="n"/>
      <c r="NOC288" s="1132" t="n"/>
      <c r="NOD288" s="1132" t="n"/>
      <c r="NOE288" s="1132" t="n"/>
      <c r="NOF288" s="1132" t="n"/>
      <c r="NOG288" s="1132" t="n"/>
      <c r="NOH288" s="1132" t="n"/>
      <c r="NOI288" s="1132" t="n"/>
      <c r="NOJ288" s="1132" t="n"/>
      <c r="NOK288" s="1132" t="n"/>
      <c r="NOL288" s="1132" t="n"/>
      <c r="NOM288" s="1132" t="n"/>
      <c r="NON288" s="1132" t="n"/>
      <c r="NOO288" s="1132" t="n"/>
      <c r="NOP288" s="1132" t="n"/>
      <c r="NOQ288" s="1132" t="n"/>
      <c r="NOR288" s="1132" t="n"/>
      <c r="NOS288" s="1132" t="n"/>
      <c r="NOT288" s="1132" t="n"/>
      <c r="NOU288" s="1132" t="n"/>
      <c r="NOV288" s="1132" t="n"/>
      <c r="NOW288" s="1132" t="n"/>
      <c r="NOX288" s="1132" t="n"/>
      <c r="NOY288" s="1132" t="n"/>
      <c r="NOZ288" s="1132" t="n"/>
      <c r="NPA288" s="1132" t="n"/>
      <c r="NPB288" s="1132" t="n"/>
      <c r="NPC288" s="1132" t="n"/>
      <c r="NPD288" s="1132" t="n"/>
      <c r="NPE288" s="1132" t="n"/>
      <c r="NPF288" s="1132" t="n"/>
      <c r="NPG288" s="1132" t="n"/>
      <c r="NPH288" s="1132" t="n"/>
      <c r="NPI288" s="1132" t="n"/>
      <c r="NPJ288" s="1132" t="n"/>
      <c r="NPK288" s="1132" t="n"/>
      <c r="NPL288" s="1132" t="n"/>
      <c r="NPM288" s="1132" t="n"/>
      <c r="NPN288" s="1132" t="n"/>
      <c r="NPO288" s="1132" t="n"/>
      <c r="NPP288" s="1132" t="n"/>
      <c r="NPQ288" s="1132" t="n"/>
      <c r="NPR288" s="1132" t="n"/>
      <c r="NPS288" s="1132" t="n"/>
      <c r="NPT288" s="1132" t="n"/>
      <c r="NPU288" s="1132" t="n"/>
      <c r="NPV288" s="1132" t="n"/>
      <c r="NPW288" s="1132" t="n"/>
      <c r="NPX288" s="1132" t="n"/>
      <c r="NPY288" s="1132" t="n"/>
      <c r="NPZ288" s="1132" t="n"/>
      <c r="NQA288" s="1132" t="n"/>
      <c r="NQB288" s="1132" t="n"/>
      <c r="NQC288" s="1132" t="n"/>
      <c r="NQD288" s="1132" t="n"/>
      <c r="NQE288" s="1132" t="n"/>
      <c r="NQF288" s="1132" t="n"/>
      <c r="NQG288" s="1132" t="n"/>
      <c r="NQH288" s="1132" t="n"/>
      <c r="NQI288" s="1132" t="n"/>
      <c r="NQJ288" s="1132" t="n"/>
      <c r="NQK288" s="1132" t="n"/>
      <c r="NQL288" s="1132" t="n"/>
      <c r="NQM288" s="1132" t="n"/>
      <c r="NQN288" s="1132" t="n"/>
      <c r="NQO288" s="1132" t="n"/>
      <c r="NQP288" s="1132" t="n"/>
      <c r="NQQ288" s="1132" t="n"/>
      <c r="NQR288" s="1132" t="n"/>
      <c r="NQS288" s="1132" t="n"/>
      <c r="NQT288" s="1132" t="n"/>
      <c r="NQU288" s="1132" t="n"/>
      <c r="NQV288" s="1132" t="n"/>
      <c r="NQW288" s="1132" t="n"/>
      <c r="NQX288" s="1132" t="n"/>
      <c r="NQY288" s="1132" t="n"/>
      <c r="NQZ288" s="1132" t="n"/>
      <c r="NRA288" s="1132" t="n"/>
      <c r="NRB288" s="1132" t="n"/>
      <c r="NRC288" s="1132" t="n"/>
      <c r="NRD288" s="1132" t="n"/>
      <c r="NRE288" s="1132" t="n"/>
      <c r="NRF288" s="1132" t="n"/>
      <c r="NRG288" s="1132" t="n"/>
      <c r="NRH288" s="1132" t="n"/>
      <c r="NRI288" s="1132" t="n"/>
      <c r="NRJ288" s="1132" t="n"/>
      <c r="NRK288" s="1132" t="n"/>
      <c r="NRL288" s="1132" t="n"/>
      <c r="NRM288" s="1132" t="n"/>
      <c r="NRN288" s="1132" t="n"/>
      <c r="NRO288" s="1132" t="n"/>
      <c r="NRP288" s="1132" t="n"/>
      <c r="NRQ288" s="1132" t="n"/>
      <c r="NRR288" s="1132" t="n"/>
      <c r="NRS288" s="1132" t="n"/>
      <c r="NRT288" s="1132" t="n"/>
      <c r="NRU288" s="1132" t="n"/>
      <c r="NRV288" s="1132" t="n"/>
      <c r="NRW288" s="1132" t="n"/>
      <c r="NRX288" s="1132" t="n"/>
      <c r="NRY288" s="1132" t="n"/>
      <c r="NRZ288" s="1132" t="n"/>
      <c r="NSA288" s="1132" t="n"/>
      <c r="NSB288" s="1132" t="n"/>
      <c r="NSC288" s="1132" t="n"/>
      <c r="NSD288" s="1132" t="n"/>
      <c r="NSE288" s="1132" t="n"/>
      <c r="NSF288" s="1132" t="n"/>
      <c r="NSG288" s="1132" t="n"/>
      <c r="NSH288" s="1132" t="n"/>
      <c r="NSI288" s="1132" t="n"/>
      <c r="NSJ288" s="1132" t="n"/>
      <c r="NSK288" s="1132" t="n"/>
      <c r="NSL288" s="1132" t="n"/>
      <c r="NSM288" s="1132" t="n"/>
      <c r="NSN288" s="1132" t="n"/>
      <c r="NSO288" s="1132" t="n"/>
      <c r="NSP288" s="1132" t="n"/>
      <c r="NSQ288" s="1132" t="n"/>
      <c r="NSR288" s="1132" t="n"/>
      <c r="NSS288" s="1132" t="n"/>
      <c r="NST288" s="1132" t="n"/>
      <c r="NSU288" s="1132" t="n"/>
      <c r="NSV288" s="1132" t="n"/>
      <c r="NSW288" s="1132" t="n"/>
      <c r="NSX288" s="1132" t="n"/>
      <c r="NSY288" s="1132" t="n"/>
      <c r="NSZ288" s="1132" t="n"/>
      <c r="NTA288" s="1132" t="n"/>
      <c r="NTB288" s="1132" t="n"/>
      <c r="NTC288" s="1132" t="n"/>
      <c r="NTD288" s="1132" t="n"/>
      <c r="NTE288" s="1132" t="n"/>
      <c r="NTF288" s="1132" t="n"/>
      <c r="NTG288" s="1132" t="n"/>
      <c r="NTH288" s="1132" t="n"/>
      <c r="NTI288" s="1132" t="n"/>
      <c r="NTJ288" s="1132" t="n"/>
      <c r="NTK288" s="1132" t="n"/>
      <c r="NTL288" s="1132" t="n"/>
      <c r="NTM288" s="1132" t="n"/>
      <c r="NTN288" s="1132" t="n"/>
      <c r="NTO288" s="1132" t="n"/>
      <c r="NTP288" s="1132" t="n"/>
      <c r="NTQ288" s="1132" t="n"/>
      <c r="NTR288" s="1132" t="n"/>
      <c r="NTS288" s="1132" t="n"/>
      <c r="NTT288" s="1132" t="n"/>
      <c r="NTU288" s="1132" t="n"/>
      <c r="NTV288" s="1132" t="n"/>
      <c r="NTW288" s="1132" t="n"/>
      <c r="NTX288" s="1132" t="n"/>
      <c r="NTY288" s="1132" t="n"/>
      <c r="NTZ288" s="1132" t="n"/>
      <c r="NUA288" s="1132" t="n"/>
      <c r="NUB288" s="1132" t="n"/>
      <c r="NUC288" s="1132" t="n"/>
      <c r="NUD288" s="1132" t="n"/>
      <c r="NUE288" s="1132" t="n"/>
      <c r="NUF288" s="1132" t="n"/>
      <c r="NUG288" s="1132" t="n"/>
      <c r="NUH288" s="1132" t="n"/>
      <c r="NUI288" s="1132" t="n"/>
      <c r="NUJ288" s="1132" t="n"/>
      <c r="NUK288" s="1132" t="n"/>
      <c r="NUL288" s="1132" t="n"/>
      <c r="NUM288" s="1132" t="n"/>
      <c r="NUN288" s="1132" t="n"/>
      <c r="NUO288" s="1132" t="n"/>
      <c r="NUP288" s="1132" t="n"/>
      <c r="NUQ288" s="1132" t="n"/>
      <c r="NUR288" s="1132" t="n"/>
      <c r="NUS288" s="1132" t="n"/>
      <c r="NUT288" s="1132" t="n"/>
      <c r="NUU288" s="1132" t="n"/>
      <c r="NUV288" s="1132" t="n"/>
      <c r="NUW288" s="1132" t="n"/>
      <c r="NUX288" s="1132" t="n"/>
      <c r="NUY288" s="1132" t="n"/>
      <c r="NUZ288" s="1132" t="n"/>
      <c r="NVA288" s="1132" t="n"/>
      <c r="NVB288" s="1132" t="n"/>
      <c r="NVC288" s="1132" t="n"/>
      <c r="NVD288" s="1132" t="n"/>
      <c r="NVE288" s="1132" t="n"/>
      <c r="NVF288" s="1132" t="n"/>
      <c r="NVG288" s="1132" t="n"/>
      <c r="NVH288" s="1132" t="n"/>
      <c r="NVI288" s="1132" t="n"/>
      <c r="NVJ288" s="1132" t="n"/>
      <c r="NVK288" s="1132" t="n"/>
      <c r="NVL288" s="1132" t="n"/>
      <c r="NVM288" s="1132" t="n"/>
      <c r="NVN288" s="1132" t="n"/>
      <c r="NVO288" s="1132" t="n"/>
      <c r="NVP288" s="1132" t="n"/>
      <c r="NVQ288" s="1132" t="n"/>
      <c r="NVR288" s="1132" t="n"/>
      <c r="NVS288" s="1132" t="n"/>
      <c r="NVT288" s="1132" t="n"/>
      <c r="NVU288" s="1132" t="n"/>
      <c r="NVV288" s="1132" t="n"/>
      <c r="NVW288" s="1132" t="n"/>
      <c r="NVX288" s="1132" t="n"/>
      <c r="NVY288" s="1132" t="n"/>
      <c r="NVZ288" s="1132" t="n"/>
      <c r="NWA288" s="1132" t="n"/>
      <c r="NWB288" s="1132" t="n"/>
      <c r="NWC288" s="1132" t="n"/>
      <c r="NWD288" s="1132" t="n"/>
      <c r="NWE288" s="1132" t="n"/>
      <c r="NWF288" s="1132" t="n"/>
      <c r="NWG288" s="1132" t="n"/>
      <c r="NWH288" s="1132" t="n"/>
      <c r="NWI288" s="1132" t="n"/>
      <c r="NWJ288" s="1132" t="n"/>
      <c r="NWK288" s="1132" t="n"/>
      <c r="NWL288" s="1132" t="n"/>
      <c r="NWM288" s="1132" t="n"/>
      <c r="NWN288" s="1132" t="n"/>
      <c r="NWO288" s="1132" t="n"/>
      <c r="NWP288" s="1132" t="n"/>
      <c r="NWQ288" s="1132" t="n"/>
      <c r="NWR288" s="1132" t="n"/>
      <c r="NWS288" s="1132" t="n"/>
      <c r="NWT288" s="1132" t="n"/>
      <c r="NWU288" s="1132" t="n"/>
      <c r="NWV288" s="1132" t="n"/>
      <c r="NWW288" s="1132" t="n"/>
      <c r="NWX288" s="1132" t="n"/>
      <c r="NWY288" s="1132" t="n"/>
      <c r="NWZ288" s="1132" t="n"/>
      <c r="NXA288" s="1132" t="n"/>
      <c r="NXB288" s="1132" t="n"/>
      <c r="NXC288" s="1132" t="n"/>
      <c r="NXD288" s="1132" t="n"/>
      <c r="NXE288" s="1132" t="n"/>
      <c r="NXF288" s="1132" t="n"/>
      <c r="NXG288" s="1132" t="n"/>
      <c r="NXH288" s="1132" t="n"/>
      <c r="NXI288" s="1132" t="n"/>
      <c r="NXJ288" s="1132" t="n"/>
      <c r="NXK288" s="1132" t="n"/>
      <c r="NXL288" s="1132" t="n"/>
      <c r="NXM288" s="1132" t="n"/>
      <c r="NXN288" s="1132" t="n"/>
      <c r="NXO288" s="1132" t="n"/>
      <c r="NXP288" s="1132" t="n"/>
      <c r="NXQ288" s="1132" t="n"/>
      <c r="NXR288" s="1132" t="n"/>
      <c r="NXS288" s="1132" t="n"/>
      <c r="NXT288" s="1132" t="n"/>
      <c r="NXU288" s="1132" t="n"/>
      <c r="NXV288" s="1132" t="n"/>
      <c r="NXW288" s="1132" t="n"/>
      <c r="NXX288" s="1132" t="n"/>
      <c r="NXY288" s="1132" t="n"/>
      <c r="NXZ288" s="1132" t="n"/>
      <c r="NYA288" s="1132" t="n"/>
      <c r="NYB288" s="1132" t="n"/>
      <c r="NYC288" s="1132" t="n"/>
      <c r="NYD288" s="1132" t="n"/>
      <c r="NYE288" s="1132" t="n"/>
      <c r="NYF288" s="1132" t="n"/>
      <c r="NYG288" s="1132" t="n"/>
      <c r="NYH288" s="1132" t="n"/>
      <c r="NYI288" s="1132" t="n"/>
      <c r="NYJ288" s="1132" t="n"/>
      <c r="NYK288" s="1132" t="n"/>
      <c r="NYL288" s="1132" t="n"/>
      <c r="NYM288" s="1132" t="n"/>
      <c r="NYN288" s="1132" t="n"/>
      <c r="NYO288" s="1132" t="n"/>
      <c r="NYP288" s="1132" t="n"/>
      <c r="NYQ288" s="1132" t="n"/>
      <c r="NYR288" s="1132" t="n"/>
      <c r="NYS288" s="1132" t="n"/>
      <c r="NYT288" s="1132" t="n"/>
      <c r="NYU288" s="1132" t="n"/>
      <c r="NYV288" s="1132" t="n"/>
      <c r="NYW288" s="1132" t="n"/>
      <c r="NYX288" s="1132" t="n"/>
      <c r="NYY288" s="1132" t="n"/>
      <c r="NYZ288" s="1132" t="n"/>
      <c r="NZA288" s="1132" t="n"/>
      <c r="NZB288" s="1132" t="n"/>
      <c r="NZC288" s="1132" t="n"/>
      <c r="NZD288" s="1132" t="n"/>
      <c r="NZE288" s="1132" t="n"/>
      <c r="NZF288" s="1132" t="n"/>
      <c r="NZG288" s="1132" t="n"/>
      <c r="NZH288" s="1132" t="n"/>
      <c r="NZI288" s="1132" t="n"/>
      <c r="NZJ288" s="1132" t="n"/>
      <c r="NZK288" s="1132" t="n"/>
      <c r="NZL288" s="1132" t="n"/>
      <c r="NZM288" s="1132" t="n"/>
      <c r="NZN288" s="1132" t="n"/>
      <c r="NZO288" s="1132" t="n"/>
      <c r="NZP288" s="1132" t="n"/>
      <c r="NZQ288" s="1132" t="n"/>
      <c r="NZR288" s="1132" t="n"/>
      <c r="NZS288" s="1132" t="n"/>
      <c r="NZT288" s="1132" t="n"/>
      <c r="NZU288" s="1132" t="n"/>
      <c r="NZV288" s="1132" t="n"/>
      <c r="NZW288" s="1132" t="n"/>
      <c r="NZX288" s="1132" t="n"/>
      <c r="NZY288" s="1132" t="n"/>
      <c r="NZZ288" s="1132" t="n"/>
      <c r="OAA288" s="1132" t="n"/>
      <c r="OAB288" s="1132" t="n"/>
      <c r="OAC288" s="1132" t="n"/>
      <c r="OAD288" s="1132" t="n"/>
      <c r="OAE288" s="1132" t="n"/>
      <c r="OAF288" s="1132" t="n"/>
      <c r="OAG288" s="1132" t="n"/>
      <c r="OAH288" s="1132" t="n"/>
      <c r="OAI288" s="1132" t="n"/>
      <c r="OAJ288" s="1132" t="n"/>
      <c r="OAK288" s="1132" t="n"/>
      <c r="OAL288" s="1132" t="n"/>
      <c r="OAM288" s="1132" t="n"/>
      <c r="OAN288" s="1132" t="n"/>
      <c r="OAO288" s="1132" t="n"/>
      <c r="OAP288" s="1132" t="n"/>
      <c r="OAQ288" s="1132" t="n"/>
      <c r="OAR288" s="1132" t="n"/>
      <c r="OAS288" s="1132" t="n"/>
      <c r="OAT288" s="1132" t="n"/>
      <c r="OAU288" s="1132" t="n"/>
      <c r="OAV288" s="1132" t="n"/>
      <c r="OAW288" s="1132" t="n"/>
      <c r="OAX288" s="1132" t="n"/>
      <c r="OAY288" s="1132" t="n"/>
      <c r="OAZ288" s="1132" t="n"/>
      <c r="OBA288" s="1132" t="n"/>
      <c r="OBB288" s="1132" t="n"/>
      <c r="OBC288" s="1132" t="n"/>
      <c r="OBD288" s="1132" t="n"/>
      <c r="OBE288" s="1132" t="n"/>
      <c r="OBF288" s="1132" t="n"/>
      <c r="OBG288" s="1132" t="n"/>
      <c r="OBH288" s="1132" t="n"/>
      <c r="OBI288" s="1132" t="n"/>
      <c r="OBJ288" s="1132" t="n"/>
      <c r="OBK288" s="1132" t="n"/>
      <c r="OBL288" s="1132" t="n"/>
      <c r="OBM288" s="1132" t="n"/>
      <c r="OBN288" s="1132" t="n"/>
      <c r="OBO288" s="1132" t="n"/>
      <c r="OBP288" s="1132" t="n"/>
      <c r="OBQ288" s="1132" t="n"/>
      <c r="OBR288" s="1132" t="n"/>
      <c r="OBS288" s="1132" t="n"/>
      <c r="OBT288" s="1132" t="n"/>
      <c r="OBU288" s="1132" t="n"/>
      <c r="OBV288" s="1132" t="n"/>
      <c r="OBW288" s="1132" t="n"/>
      <c r="OBX288" s="1132" t="n"/>
      <c r="OBY288" s="1132" t="n"/>
      <c r="OBZ288" s="1132" t="n"/>
      <c r="OCA288" s="1132" t="n"/>
      <c r="OCB288" s="1132" t="n"/>
      <c r="OCC288" s="1132" t="n"/>
      <c r="OCD288" s="1132" t="n"/>
      <c r="OCE288" s="1132" t="n"/>
      <c r="OCF288" s="1132" t="n"/>
      <c r="OCG288" s="1132" t="n"/>
      <c r="OCH288" s="1132" t="n"/>
      <c r="OCI288" s="1132" t="n"/>
      <c r="OCJ288" s="1132" t="n"/>
      <c r="OCK288" s="1132" t="n"/>
      <c r="OCL288" s="1132" t="n"/>
      <c r="OCM288" s="1132" t="n"/>
      <c r="OCN288" s="1132" t="n"/>
      <c r="OCO288" s="1132" t="n"/>
      <c r="OCP288" s="1132" t="n"/>
      <c r="OCQ288" s="1132" t="n"/>
      <c r="OCR288" s="1132" t="n"/>
      <c r="OCS288" s="1132" t="n"/>
      <c r="OCT288" s="1132" t="n"/>
      <c r="OCU288" s="1132" t="n"/>
      <c r="OCV288" s="1132" t="n"/>
      <c r="OCW288" s="1132" t="n"/>
      <c r="OCX288" s="1132" t="n"/>
      <c r="OCY288" s="1132" t="n"/>
      <c r="OCZ288" s="1132" t="n"/>
      <c r="ODA288" s="1132" t="n"/>
      <c r="ODB288" s="1132" t="n"/>
      <c r="ODC288" s="1132" t="n"/>
      <c r="ODD288" s="1132" t="n"/>
      <c r="ODE288" s="1132" t="n"/>
      <c r="ODF288" s="1132" t="n"/>
      <c r="ODG288" s="1132" t="n"/>
      <c r="ODH288" s="1132" t="n"/>
      <c r="ODI288" s="1132" t="n"/>
      <c r="ODJ288" s="1132" t="n"/>
      <c r="ODK288" s="1132" t="n"/>
      <c r="ODL288" s="1132" t="n"/>
      <c r="ODM288" s="1132" t="n"/>
      <c r="ODN288" s="1132" t="n"/>
      <c r="ODO288" s="1132" t="n"/>
      <c r="ODP288" s="1132" t="n"/>
      <c r="ODQ288" s="1132" t="n"/>
      <c r="ODR288" s="1132" t="n"/>
      <c r="ODS288" s="1132" t="n"/>
      <c r="ODT288" s="1132" t="n"/>
      <c r="ODU288" s="1132" t="n"/>
      <c r="ODV288" s="1132" t="n"/>
      <c r="ODW288" s="1132" t="n"/>
      <c r="ODX288" s="1132" t="n"/>
      <c r="ODY288" s="1132" t="n"/>
      <c r="ODZ288" s="1132" t="n"/>
      <c r="OEA288" s="1132" t="n"/>
      <c r="OEB288" s="1132" t="n"/>
      <c r="OEC288" s="1132" t="n"/>
      <c r="OED288" s="1132" t="n"/>
      <c r="OEE288" s="1132" t="n"/>
      <c r="OEF288" s="1132" t="n"/>
      <c r="OEG288" s="1132" t="n"/>
      <c r="OEH288" s="1132" t="n"/>
      <c r="OEI288" s="1132" t="n"/>
      <c r="OEJ288" s="1132" t="n"/>
      <c r="OEK288" s="1132" t="n"/>
      <c r="OEL288" s="1132" t="n"/>
      <c r="OEM288" s="1132" t="n"/>
      <c r="OEN288" s="1132" t="n"/>
      <c r="OEO288" s="1132" t="n"/>
      <c r="OEP288" s="1132" t="n"/>
      <c r="OEQ288" s="1132" t="n"/>
      <c r="OER288" s="1132" t="n"/>
      <c r="OES288" s="1132" t="n"/>
      <c r="OET288" s="1132" t="n"/>
      <c r="OEU288" s="1132" t="n"/>
      <c r="OEV288" s="1132" t="n"/>
      <c r="OEW288" s="1132" t="n"/>
      <c r="OEX288" s="1132" t="n"/>
      <c r="OEY288" s="1132" t="n"/>
      <c r="OEZ288" s="1132" t="n"/>
      <c r="OFA288" s="1132" t="n"/>
      <c r="OFB288" s="1132" t="n"/>
      <c r="OFC288" s="1132" t="n"/>
      <c r="OFD288" s="1132" t="n"/>
      <c r="OFE288" s="1132" t="n"/>
      <c r="OFF288" s="1132" t="n"/>
      <c r="OFG288" s="1132" t="n"/>
      <c r="OFH288" s="1132" t="n"/>
      <c r="OFI288" s="1132" t="n"/>
      <c r="OFJ288" s="1132" t="n"/>
      <c r="OFK288" s="1132" t="n"/>
      <c r="OFL288" s="1132" t="n"/>
      <c r="OFM288" s="1132" t="n"/>
      <c r="OFN288" s="1132" t="n"/>
      <c r="OFO288" s="1132" t="n"/>
      <c r="OFP288" s="1132" t="n"/>
      <c r="OFQ288" s="1132" t="n"/>
      <c r="OFR288" s="1132" t="n"/>
      <c r="OFS288" s="1132" t="n"/>
      <c r="OFT288" s="1132" t="n"/>
      <c r="OFU288" s="1132" t="n"/>
      <c r="OFV288" s="1132" t="n"/>
      <c r="OFW288" s="1132" t="n"/>
      <c r="OFX288" s="1132" t="n"/>
      <c r="OFY288" s="1132" t="n"/>
      <c r="OFZ288" s="1132" t="n"/>
      <c r="OGA288" s="1132" t="n"/>
      <c r="OGB288" s="1132" t="n"/>
      <c r="OGC288" s="1132" t="n"/>
      <c r="OGD288" s="1132" t="n"/>
      <c r="OGE288" s="1132" t="n"/>
      <c r="OGF288" s="1132" t="n"/>
      <c r="OGG288" s="1132" t="n"/>
      <c r="OGH288" s="1132" t="n"/>
      <c r="OGI288" s="1132" t="n"/>
      <c r="OGJ288" s="1132" t="n"/>
      <c r="OGK288" s="1132" t="n"/>
      <c r="OGL288" s="1132" t="n"/>
      <c r="OGM288" s="1132" t="n"/>
      <c r="OGN288" s="1132" t="n"/>
      <c r="OGO288" s="1132" t="n"/>
      <c r="OGP288" s="1132" t="n"/>
      <c r="OGQ288" s="1132" t="n"/>
      <c r="OGR288" s="1132" t="n"/>
      <c r="OGS288" s="1132" t="n"/>
      <c r="OGT288" s="1132" t="n"/>
      <c r="OGU288" s="1132" t="n"/>
      <c r="OGV288" s="1132" t="n"/>
      <c r="OGW288" s="1132" t="n"/>
      <c r="OGX288" s="1132" t="n"/>
      <c r="OGY288" s="1132" t="n"/>
      <c r="OGZ288" s="1132" t="n"/>
      <c r="OHA288" s="1132" t="n"/>
      <c r="OHB288" s="1132" t="n"/>
      <c r="OHC288" s="1132" t="n"/>
      <c r="OHD288" s="1132" t="n"/>
      <c r="OHE288" s="1132" t="n"/>
      <c r="OHF288" s="1132" t="n"/>
      <c r="OHG288" s="1132" t="n"/>
      <c r="OHH288" s="1132" t="n"/>
      <c r="OHI288" s="1132" t="n"/>
      <c r="OHJ288" s="1132" t="n"/>
      <c r="OHK288" s="1132" t="n"/>
      <c r="OHL288" s="1132" t="n"/>
      <c r="OHM288" s="1132" t="n"/>
      <c r="OHN288" s="1132" t="n"/>
      <c r="OHO288" s="1132" t="n"/>
      <c r="OHP288" s="1132" t="n"/>
      <c r="OHQ288" s="1132" t="n"/>
      <c r="OHR288" s="1132" t="n"/>
      <c r="OHS288" s="1132" t="n"/>
      <c r="OHT288" s="1132" t="n"/>
      <c r="OHU288" s="1132" t="n"/>
      <c r="OHV288" s="1132" t="n"/>
      <c r="OHW288" s="1132" t="n"/>
      <c r="OHX288" s="1132" t="n"/>
      <c r="OHY288" s="1132" t="n"/>
      <c r="OHZ288" s="1132" t="n"/>
      <c r="OIA288" s="1132" t="n"/>
      <c r="OIB288" s="1132" t="n"/>
      <c r="OIC288" s="1132" t="n"/>
      <c r="OID288" s="1132" t="n"/>
      <c r="OIE288" s="1132" t="n"/>
      <c r="OIF288" s="1132" t="n"/>
      <c r="OIG288" s="1132" t="n"/>
      <c r="OIH288" s="1132" t="n"/>
      <c r="OII288" s="1132" t="n"/>
      <c r="OIJ288" s="1132" t="n"/>
      <c r="OIK288" s="1132" t="n"/>
      <c r="OIL288" s="1132" t="n"/>
      <c r="OIM288" s="1132" t="n"/>
      <c r="OIN288" s="1132" t="n"/>
      <c r="OIO288" s="1132" t="n"/>
      <c r="OIP288" s="1132" t="n"/>
      <c r="OIQ288" s="1132" t="n"/>
      <c r="OIR288" s="1132" t="n"/>
      <c r="OIS288" s="1132" t="n"/>
      <c r="OIT288" s="1132" t="n"/>
      <c r="OIU288" s="1132" t="n"/>
      <c r="OIV288" s="1132" t="n"/>
      <c r="OIW288" s="1132" t="n"/>
      <c r="OIX288" s="1132" t="n"/>
      <c r="OIY288" s="1132" t="n"/>
      <c r="OIZ288" s="1132" t="n"/>
      <c r="OJA288" s="1132" t="n"/>
      <c r="OJB288" s="1132" t="n"/>
      <c r="OJC288" s="1132" t="n"/>
      <c r="OJD288" s="1132" t="n"/>
      <c r="OJE288" s="1132" t="n"/>
      <c r="OJF288" s="1132" t="n"/>
      <c r="OJG288" s="1132" t="n"/>
      <c r="OJH288" s="1132" t="n"/>
      <c r="OJI288" s="1132" t="n"/>
      <c r="OJJ288" s="1132" t="n"/>
      <c r="OJK288" s="1132" t="n"/>
      <c r="OJL288" s="1132" t="n"/>
      <c r="OJM288" s="1132" t="n"/>
      <c r="OJN288" s="1132" t="n"/>
      <c r="OJO288" s="1132" t="n"/>
      <c r="OJP288" s="1132" t="n"/>
      <c r="OJQ288" s="1132" t="n"/>
      <c r="OJR288" s="1132" t="n"/>
      <c r="OJS288" s="1132" t="n"/>
      <c r="OJT288" s="1132" t="n"/>
      <c r="OJU288" s="1132" t="n"/>
      <c r="OJV288" s="1132" t="n"/>
      <c r="OJW288" s="1132" t="n"/>
      <c r="OJX288" s="1132" t="n"/>
      <c r="OJY288" s="1132" t="n"/>
      <c r="OJZ288" s="1132" t="n"/>
      <c r="OKA288" s="1132" t="n"/>
      <c r="OKB288" s="1132" t="n"/>
      <c r="OKC288" s="1132" t="n"/>
      <c r="OKD288" s="1132" t="n"/>
      <c r="OKE288" s="1132" t="n"/>
      <c r="OKF288" s="1132" t="n"/>
      <c r="OKG288" s="1132" t="n"/>
      <c r="OKH288" s="1132" t="n"/>
      <c r="OKI288" s="1132" t="n"/>
      <c r="OKJ288" s="1132" t="n"/>
      <c r="OKK288" s="1132" t="n"/>
      <c r="OKL288" s="1132" t="n"/>
      <c r="OKM288" s="1132" t="n"/>
      <c r="OKN288" s="1132" t="n"/>
      <c r="OKO288" s="1132" t="n"/>
      <c r="OKP288" s="1132" t="n"/>
      <c r="OKQ288" s="1132" t="n"/>
      <c r="OKR288" s="1132" t="n"/>
      <c r="OKS288" s="1132" t="n"/>
      <c r="OKT288" s="1132" t="n"/>
      <c r="OKU288" s="1132" t="n"/>
      <c r="OKV288" s="1132" t="n"/>
      <c r="OKW288" s="1132" t="n"/>
      <c r="OKX288" s="1132" t="n"/>
      <c r="OKY288" s="1132" t="n"/>
      <c r="OKZ288" s="1132" t="n"/>
      <c r="OLA288" s="1132" t="n"/>
      <c r="OLB288" s="1132" t="n"/>
      <c r="OLC288" s="1132" t="n"/>
      <c r="OLD288" s="1132" t="n"/>
      <c r="OLE288" s="1132" t="n"/>
      <c r="OLF288" s="1132" t="n"/>
      <c r="OLG288" s="1132" t="n"/>
      <c r="OLH288" s="1132" t="n"/>
      <c r="OLI288" s="1132" t="n"/>
      <c r="OLJ288" s="1132" t="n"/>
      <c r="OLK288" s="1132" t="n"/>
      <c r="OLL288" s="1132" t="n"/>
      <c r="OLM288" s="1132" t="n"/>
      <c r="OLN288" s="1132" t="n"/>
      <c r="OLO288" s="1132" t="n"/>
      <c r="OLP288" s="1132" t="n"/>
      <c r="OLQ288" s="1132" t="n"/>
      <c r="OLR288" s="1132" t="n"/>
      <c r="OLS288" s="1132" t="n"/>
      <c r="OLT288" s="1132" t="n"/>
      <c r="OLU288" s="1132" t="n"/>
      <c r="OLV288" s="1132" t="n"/>
      <c r="OLW288" s="1132" t="n"/>
      <c r="OLX288" s="1132" t="n"/>
      <c r="OLY288" s="1132" t="n"/>
      <c r="OLZ288" s="1132" t="n"/>
      <c r="OMA288" s="1132" t="n"/>
      <c r="OMB288" s="1132" t="n"/>
      <c r="OMC288" s="1132" t="n"/>
      <c r="OMD288" s="1132" t="n"/>
      <c r="OME288" s="1132" t="n"/>
      <c r="OMF288" s="1132" t="n"/>
      <c r="OMG288" s="1132" t="n"/>
      <c r="OMH288" s="1132" t="n"/>
      <c r="OMI288" s="1132" t="n"/>
      <c r="OMJ288" s="1132" t="n"/>
      <c r="OMK288" s="1132" t="n"/>
      <c r="OML288" s="1132" t="n"/>
      <c r="OMM288" s="1132" t="n"/>
      <c r="OMN288" s="1132" t="n"/>
      <c r="OMO288" s="1132" t="n"/>
      <c r="OMP288" s="1132" t="n"/>
      <c r="OMQ288" s="1132" t="n"/>
      <c r="OMR288" s="1132" t="n"/>
      <c r="OMS288" s="1132" t="n"/>
      <c r="OMT288" s="1132" t="n"/>
      <c r="OMU288" s="1132" t="n"/>
      <c r="OMV288" s="1132" t="n"/>
      <c r="OMW288" s="1132" t="n"/>
      <c r="OMX288" s="1132" t="n"/>
      <c r="OMY288" s="1132" t="n"/>
      <c r="OMZ288" s="1132" t="n"/>
      <c r="ONA288" s="1132" t="n"/>
      <c r="ONB288" s="1132" t="n"/>
      <c r="ONC288" s="1132" t="n"/>
      <c r="OND288" s="1132" t="n"/>
      <c r="ONE288" s="1132" t="n"/>
      <c r="ONF288" s="1132" t="n"/>
      <c r="ONG288" s="1132" t="n"/>
      <c r="ONH288" s="1132" t="n"/>
      <c r="ONI288" s="1132" t="n"/>
      <c r="ONJ288" s="1132" t="n"/>
      <c r="ONK288" s="1132" t="n"/>
      <c r="ONL288" s="1132" t="n"/>
      <c r="ONM288" s="1132" t="n"/>
      <c r="ONN288" s="1132" t="n"/>
      <c r="ONO288" s="1132" t="n"/>
      <c r="ONP288" s="1132" t="n"/>
      <c r="ONQ288" s="1132" t="n"/>
      <c r="ONR288" s="1132" t="n"/>
      <c r="ONS288" s="1132" t="n"/>
      <c r="ONT288" s="1132" t="n"/>
      <c r="ONU288" s="1132" t="n"/>
      <c r="ONV288" s="1132" t="n"/>
      <c r="ONW288" s="1132" t="n"/>
      <c r="ONX288" s="1132" t="n"/>
      <c r="ONY288" s="1132" t="n"/>
      <c r="ONZ288" s="1132" t="n"/>
      <c r="OOA288" s="1132" t="n"/>
      <c r="OOB288" s="1132" t="n"/>
      <c r="OOC288" s="1132" t="n"/>
      <c r="OOD288" s="1132" t="n"/>
      <c r="OOE288" s="1132" t="n"/>
      <c r="OOF288" s="1132" t="n"/>
      <c r="OOG288" s="1132" t="n"/>
      <c r="OOH288" s="1132" t="n"/>
      <c r="OOI288" s="1132" t="n"/>
      <c r="OOJ288" s="1132" t="n"/>
      <c r="OOK288" s="1132" t="n"/>
      <c r="OOL288" s="1132" t="n"/>
      <c r="OOM288" s="1132" t="n"/>
      <c r="OON288" s="1132" t="n"/>
      <c r="OOO288" s="1132" t="n"/>
      <c r="OOP288" s="1132" t="n"/>
      <c r="OOQ288" s="1132" t="n"/>
      <c r="OOR288" s="1132" t="n"/>
      <c r="OOS288" s="1132" t="n"/>
      <c r="OOT288" s="1132" t="n"/>
      <c r="OOU288" s="1132" t="n"/>
      <c r="OOV288" s="1132" t="n"/>
      <c r="OOW288" s="1132" t="n"/>
      <c r="OOX288" s="1132" t="n"/>
      <c r="OOY288" s="1132" t="n"/>
      <c r="OOZ288" s="1132" t="n"/>
      <c r="OPA288" s="1132" t="n"/>
      <c r="OPB288" s="1132" t="n"/>
      <c r="OPC288" s="1132" t="n"/>
      <c r="OPD288" s="1132" t="n"/>
      <c r="OPE288" s="1132" t="n"/>
      <c r="OPF288" s="1132" t="n"/>
      <c r="OPG288" s="1132" t="n"/>
      <c r="OPH288" s="1132" t="n"/>
      <c r="OPI288" s="1132" t="n"/>
      <c r="OPJ288" s="1132" t="n"/>
      <c r="OPK288" s="1132" t="n"/>
      <c r="OPL288" s="1132" t="n"/>
      <c r="OPM288" s="1132" t="n"/>
      <c r="OPN288" s="1132" t="n"/>
      <c r="OPO288" s="1132" t="n"/>
      <c r="OPP288" s="1132" t="n"/>
      <c r="OPQ288" s="1132" t="n"/>
      <c r="OPR288" s="1132" t="n"/>
      <c r="OPS288" s="1132" t="n"/>
      <c r="OPT288" s="1132" t="n"/>
      <c r="OPU288" s="1132" t="n"/>
      <c r="OPV288" s="1132" t="n"/>
      <c r="OPW288" s="1132" t="n"/>
      <c r="OPX288" s="1132" t="n"/>
      <c r="OPY288" s="1132" t="n"/>
      <c r="OPZ288" s="1132" t="n"/>
      <c r="OQA288" s="1132" t="n"/>
      <c r="OQB288" s="1132" t="n"/>
      <c r="OQC288" s="1132" t="n"/>
      <c r="OQD288" s="1132" t="n"/>
      <c r="OQE288" s="1132" t="n"/>
      <c r="OQF288" s="1132" t="n"/>
      <c r="OQG288" s="1132" t="n"/>
      <c r="OQH288" s="1132" t="n"/>
      <c r="OQI288" s="1132" t="n"/>
      <c r="OQJ288" s="1132" t="n"/>
      <c r="OQK288" s="1132" t="n"/>
      <c r="OQL288" s="1132" t="n"/>
      <c r="OQM288" s="1132" t="n"/>
      <c r="OQN288" s="1132" t="n"/>
      <c r="OQO288" s="1132" t="n"/>
      <c r="OQP288" s="1132" t="n"/>
      <c r="OQQ288" s="1132" t="n"/>
      <c r="OQR288" s="1132" t="n"/>
      <c r="OQS288" s="1132" t="n"/>
      <c r="OQT288" s="1132" t="n"/>
      <c r="OQU288" s="1132" t="n"/>
      <c r="OQV288" s="1132" t="n"/>
      <c r="OQW288" s="1132" t="n"/>
      <c r="OQX288" s="1132" t="n"/>
      <c r="OQY288" s="1132" t="n"/>
      <c r="OQZ288" s="1132" t="n"/>
      <c r="ORA288" s="1132" t="n"/>
      <c r="ORB288" s="1132" t="n"/>
      <c r="ORC288" s="1132" t="n"/>
      <c r="ORD288" s="1132" t="n"/>
      <c r="ORE288" s="1132" t="n"/>
      <c r="ORF288" s="1132" t="n"/>
      <c r="ORG288" s="1132" t="n"/>
      <c r="ORH288" s="1132" t="n"/>
      <c r="ORI288" s="1132" t="n"/>
      <c r="ORJ288" s="1132" t="n"/>
      <c r="ORK288" s="1132" t="n"/>
      <c r="ORL288" s="1132" t="n"/>
      <c r="ORM288" s="1132" t="n"/>
      <c r="ORN288" s="1132" t="n"/>
      <c r="ORO288" s="1132" t="n"/>
      <c r="ORP288" s="1132" t="n"/>
      <c r="ORQ288" s="1132" t="n"/>
      <c r="ORR288" s="1132" t="n"/>
      <c r="ORS288" s="1132" t="n"/>
      <c r="ORT288" s="1132" t="n"/>
      <c r="ORU288" s="1132" t="n"/>
      <c r="ORV288" s="1132" t="n"/>
      <c r="ORW288" s="1132" t="n"/>
      <c r="ORX288" s="1132" t="n"/>
      <c r="ORY288" s="1132" t="n"/>
      <c r="ORZ288" s="1132" t="n"/>
      <c r="OSA288" s="1132" t="n"/>
      <c r="OSB288" s="1132" t="n"/>
      <c r="OSC288" s="1132" t="n"/>
      <c r="OSD288" s="1132" t="n"/>
      <c r="OSE288" s="1132" t="n"/>
      <c r="OSF288" s="1132" t="n"/>
      <c r="OSG288" s="1132" t="n"/>
      <c r="OSH288" s="1132" t="n"/>
      <c r="OSI288" s="1132" t="n"/>
      <c r="OSJ288" s="1132" t="n"/>
      <c r="OSK288" s="1132" t="n"/>
      <c r="OSL288" s="1132" t="n"/>
      <c r="OSM288" s="1132" t="n"/>
      <c r="OSN288" s="1132" t="n"/>
      <c r="OSO288" s="1132" t="n"/>
      <c r="OSP288" s="1132" t="n"/>
      <c r="OSQ288" s="1132" t="n"/>
      <c r="OSR288" s="1132" t="n"/>
      <c r="OSS288" s="1132" t="n"/>
      <c r="OST288" s="1132" t="n"/>
      <c r="OSU288" s="1132" t="n"/>
      <c r="OSV288" s="1132" t="n"/>
      <c r="OSW288" s="1132" t="n"/>
      <c r="OSX288" s="1132" t="n"/>
      <c r="OSY288" s="1132" t="n"/>
      <c r="OSZ288" s="1132" t="n"/>
      <c r="OTA288" s="1132" t="n"/>
      <c r="OTB288" s="1132" t="n"/>
      <c r="OTC288" s="1132" t="n"/>
      <c r="OTD288" s="1132" t="n"/>
      <c r="OTE288" s="1132" t="n"/>
      <c r="OTF288" s="1132" t="n"/>
      <c r="OTG288" s="1132" t="n"/>
      <c r="OTH288" s="1132" t="n"/>
      <c r="OTI288" s="1132" t="n"/>
      <c r="OTJ288" s="1132" t="n"/>
      <c r="OTK288" s="1132" t="n"/>
      <c r="OTL288" s="1132" t="n"/>
      <c r="OTM288" s="1132" t="n"/>
      <c r="OTN288" s="1132" t="n"/>
      <c r="OTO288" s="1132" t="n"/>
      <c r="OTP288" s="1132" t="n"/>
      <c r="OTQ288" s="1132" t="n"/>
      <c r="OTR288" s="1132" t="n"/>
      <c r="OTS288" s="1132" t="n"/>
      <c r="OTT288" s="1132" t="n"/>
      <c r="OTU288" s="1132" t="n"/>
      <c r="OTV288" s="1132" t="n"/>
      <c r="OTW288" s="1132" t="n"/>
      <c r="OTX288" s="1132" t="n"/>
      <c r="OTY288" s="1132" t="n"/>
      <c r="OTZ288" s="1132" t="n"/>
      <c r="OUA288" s="1132" t="n"/>
      <c r="OUB288" s="1132" t="n"/>
      <c r="OUC288" s="1132" t="n"/>
      <c r="OUD288" s="1132" t="n"/>
      <c r="OUE288" s="1132" t="n"/>
      <c r="OUF288" s="1132" t="n"/>
      <c r="OUG288" s="1132" t="n"/>
      <c r="OUH288" s="1132" t="n"/>
      <c r="OUI288" s="1132" t="n"/>
      <c r="OUJ288" s="1132" t="n"/>
      <c r="OUK288" s="1132" t="n"/>
      <c r="OUL288" s="1132" t="n"/>
      <c r="OUM288" s="1132" t="n"/>
      <c r="OUN288" s="1132" t="n"/>
      <c r="OUO288" s="1132" t="n"/>
      <c r="OUP288" s="1132" t="n"/>
      <c r="OUQ288" s="1132" t="n"/>
      <c r="OUR288" s="1132" t="n"/>
      <c r="OUS288" s="1132" t="n"/>
      <c r="OUT288" s="1132" t="n"/>
      <c r="OUU288" s="1132" t="n"/>
      <c r="OUV288" s="1132" t="n"/>
      <c r="OUW288" s="1132" t="n"/>
      <c r="OUX288" s="1132" t="n"/>
      <c r="OUY288" s="1132" t="n"/>
      <c r="OUZ288" s="1132" t="n"/>
      <c r="OVA288" s="1132" t="n"/>
      <c r="OVB288" s="1132" t="n"/>
      <c r="OVC288" s="1132" t="n"/>
      <c r="OVD288" s="1132" t="n"/>
      <c r="OVE288" s="1132" t="n"/>
      <c r="OVF288" s="1132" t="n"/>
      <c r="OVG288" s="1132" t="n"/>
      <c r="OVH288" s="1132" t="n"/>
      <c r="OVI288" s="1132" t="n"/>
      <c r="OVJ288" s="1132" t="n"/>
      <c r="OVK288" s="1132" t="n"/>
      <c r="OVL288" s="1132" t="n"/>
      <c r="OVM288" s="1132" t="n"/>
      <c r="OVN288" s="1132" t="n"/>
      <c r="OVO288" s="1132" t="n"/>
      <c r="OVP288" s="1132" t="n"/>
      <c r="OVQ288" s="1132" t="n"/>
      <c r="OVR288" s="1132" t="n"/>
      <c r="OVS288" s="1132" t="n"/>
      <c r="OVT288" s="1132" t="n"/>
      <c r="OVU288" s="1132" t="n"/>
      <c r="OVV288" s="1132" t="n"/>
      <c r="OVW288" s="1132" t="n"/>
      <c r="OVX288" s="1132" t="n"/>
      <c r="OVY288" s="1132" t="n"/>
      <c r="OVZ288" s="1132" t="n"/>
      <c r="OWA288" s="1132" t="n"/>
      <c r="OWB288" s="1132" t="n"/>
      <c r="OWC288" s="1132" t="n"/>
      <c r="OWD288" s="1132" t="n"/>
      <c r="OWE288" s="1132" t="n"/>
      <c r="OWF288" s="1132" t="n"/>
      <c r="OWG288" s="1132" t="n"/>
      <c r="OWH288" s="1132" t="n"/>
      <c r="OWI288" s="1132" t="n"/>
      <c r="OWJ288" s="1132" t="n"/>
      <c r="OWK288" s="1132" t="n"/>
      <c r="OWL288" s="1132" t="n"/>
      <c r="OWM288" s="1132" t="n"/>
      <c r="OWN288" s="1132" t="n"/>
      <c r="OWO288" s="1132" t="n"/>
      <c r="OWP288" s="1132" t="n"/>
      <c r="OWQ288" s="1132" t="n"/>
      <c r="OWR288" s="1132" t="n"/>
      <c r="OWS288" s="1132" t="n"/>
      <c r="OWT288" s="1132" t="n"/>
      <c r="OWU288" s="1132" t="n"/>
      <c r="OWV288" s="1132" t="n"/>
      <c r="OWW288" s="1132" t="n"/>
      <c r="OWX288" s="1132" t="n"/>
      <c r="OWY288" s="1132" t="n"/>
      <c r="OWZ288" s="1132" t="n"/>
      <c r="OXA288" s="1132" t="n"/>
      <c r="OXB288" s="1132" t="n"/>
      <c r="OXC288" s="1132" t="n"/>
      <c r="OXD288" s="1132" t="n"/>
      <c r="OXE288" s="1132" t="n"/>
      <c r="OXF288" s="1132" t="n"/>
      <c r="OXG288" s="1132" t="n"/>
      <c r="OXH288" s="1132" t="n"/>
      <c r="OXI288" s="1132" t="n"/>
      <c r="OXJ288" s="1132" t="n"/>
      <c r="OXK288" s="1132" t="n"/>
      <c r="OXL288" s="1132" t="n"/>
      <c r="OXM288" s="1132" t="n"/>
      <c r="OXN288" s="1132" t="n"/>
      <c r="OXO288" s="1132" t="n"/>
      <c r="OXP288" s="1132" t="n"/>
      <c r="OXQ288" s="1132" t="n"/>
      <c r="OXR288" s="1132" t="n"/>
      <c r="OXS288" s="1132" t="n"/>
      <c r="OXT288" s="1132" t="n"/>
      <c r="OXU288" s="1132" t="n"/>
      <c r="OXV288" s="1132" t="n"/>
      <c r="OXW288" s="1132" t="n"/>
      <c r="OXX288" s="1132" t="n"/>
      <c r="OXY288" s="1132" t="n"/>
      <c r="OXZ288" s="1132" t="n"/>
      <c r="OYA288" s="1132" t="n"/>
      <c r="OYB288" s="1132" t="n"/>
      <c r="OYC288" s="1132" t="n"/>
      <c r="OYD288" s="1132" t="n"/>
      <c r="OYE288" s="1132" t="n"/>
      <c r="OYF288" s="1132" t="n"/>
      <c r="OYG288" s="1132" t="n"/>
      <c r="OYH288" s="1132" t="n"/>
      <c r="OYI288" s="1132" t="n"/>
      <c r="OYJ288" s="1132" t="n"/>
      <c r="OYK288" s="1132" t="n"/>
      <c r="OYL288" s="1132" t="n"/>
      <c r="OYM288" s="1132" t="n"/>
      <c r="OYN288" s="1132" t="n"/>
      <c r="OYO288" s="1132" t="n"/>
      <c r="OYP288" s="1132" t="n"/>
      <c r="OYQ288" s="1132" t="n"/>
      <c r="OYR288" s="1132" t="n"/>
      <c r="OYS288" s="1132" t="n"/>
      <c r="OYT288" s="1132" t="n"/>
      <c r="OYU288" s="1132" t="n"/>
      <c r="OYV288" s="1132" t="n"/>
      <c r="OYW288" s="1132" t="n"/>
      <c r="OYX288" s="1132" t="n"/>
      <c r="OYY288" s="1132" t="n"/>
      <c r="OYZ288" s="1132" t="n"/>
      <c r="OZA288" s="1132" t="n"/>
      <c r="OZB288" s="1132" t="n"/>
      <c r="OZC288" s="1132" t="n"/>
      <c r="OZD288" s="1132" t="n"/>
      <c r="OZE288" s="1132" t="n"/>
      <c r="OZF288" s="1132" t="n"/>
      <c r="OZG288" s="1132" t="n"/>
      <c r="OZH288" s="1132" t="n"/>
      <c r="OZI288" s="1132" t="n"/>
      <c r="OZJ288" s="1132" t="n"/>
      <c r="OZK288" s="1132" t="n"/>
      <c r="OZL288" s="1132" t="n"/>
      <c r="OZM288" s="1132" t="n"/>
      <c r="OZN288" s="1132" t="n"/>
      <c r="OZO288" s="1132" t="n"/>
      <c r="OZP288" s="1132" t="n"/>
      <c r="OZQ288" s="1132" t="n"/>
      <c r="OZR288" s="1132" t="n"/>
      <c r="OZS288" s="1132" t="n"/>
      <c r="OZT288" s="1132" t="n"/>
      <c r="OZU288" s="1132" t="n"/>
      <c r="OZV288" s="1132" t="n"/>
      <c r="OZW288" s="1132" t="n"/>
      <c r="OZX288" s="1132" t="n"/>
      <c r="OZY288" s="1132" t="n"/>
      <c r="OZZ288" s="1132" t="n"/>
      <c r="PAA288" s="1132" t="n"/>
      <c r="PAB288" s="1132" t="n"/>
      <c r="PAC288" s="1132" t="n"/>
      <c r="PAD288" s="1132" t="n"/>
      <c r="PAE288" s="1132" t="n"/>
      <c r="PAF288" s="1132" t="n"/>
      <c r="PAG288" s="1132" t="n"/>
      <c r="PAH288" s="1132" t="n"/>
      <c r="PAI288" s="1132" t="n"/>
      <c r="PAJ288" s="1132" t="n"/>
      <c r="PAK288" s="1132" t="n"/>
      <c r="PAL288" s="1132" t="n"/>
      <c r="PAM288" s="1132" t="n"/>
      <c r="PAN288" s="1132" t="n"/>
      <c r="PAO288" s="1132" t="n"/>
      <c r="PAP288" s="1132" t="n"/>
      <c r="PAQ288" s="1132" t="n"/>
      <c r="PAR288" s="1132" t="n"/>
      <c r="PAS288" s="1132" t="n"/>
      <c r="PAT288" s="1132" t="n"/>
      <c r="PAU288" s="1132" t="n"/>
      <c r="PAV288" s="1132" t="n"/>
      <c r="PAW288" s="1132" t="n"/>
      <c r="PAX288" s="1132" t="n"/>
      <c r="PAY288" s="1132" t="n"/>
      <c r="PAZ288" s="1132" t="n"/>
      <c r="PBA288" s="1132" t="n"/>
      <c r="PBB288" s="1132" t="n"/>
      <c r="PBC288" s="1132" t="n"/>
      <c r="PBD288" s="1132" t="n"/>
      <c r="PBE288" s="1132" t="n"/>
      <c r="PBF288" s="1132" t="n"/>
      <c r="PBG288" s="1132" t="n"/>
      <c r="PBH288" s="1132" t="n"/>
      <c r="PBI288" s="1132" t="n"/>
      <c r="PBJ288" s="1132" t="n"/>
      <c r="PBK288" s="1132" t="n"/>
      <c r="PBL288" s="1132" t="n"/>
      <c r="PBM288" s="1132" t="n"/>
      <c r="PBN288" s="1132" t="n"/>
      <c r="PBO288" s="1132" t="n"/>
      <c r="PBP288" s="1132" t="n"/>
      <c r="PBQ288" s="1132" t="n"/>
      <c r="PBR288" s="1132" t="n"/>
      <c r="PBS288" s="1132" t="n"/>
      <c r="PBT288" s="1132" t="n"/>
      <c r="PBU288" s="1132" t="n"/>
      <c r="PBV288" s="1132" t="n"/>
      <c r="PBW288" s="1132" t="n"/>
      <c r="PBX288" s="1132" t="n"/>
      <c r="PBY288" s="1132" t="n"/>
      <c r="PBZ288" s="1132" t="n"/>
      <c r="PCA288" s="1132" t="n"/>
      <c r="PCB288" s="1132" t="n"/>
      <c r="PCC288" s="1132" t="n"/>
      <c r="PCD288" s="1132" t="n"/>
      <c r="PCE288" s="1132" t="n"/>
      <c r="PCF288" s="1132" t="n"/>
      <c r="PCG288" s="1132" t="n"/>
      <c r="PCH288" s="1132" t="n"/>
      <c r="PCI288" s="1132" t="n"/>
      <c r="PCJ288" s="1132" t="n"/>
      <c r="PCK288" s="1132" t="n"/>
      <c r="PCL288" s="1132" t="n"/>
      <c r="PCM288" s="1132" t="n"/>
      <c r="PCN288" s="1132" t="n"/>
      <c r="PCO288" s="1132" t="n"/>
      <c r="PCP288" s="1132" t="n"/>
      <c r="PCQ288" s="1132" t="n"/>
      <c r="PCR288" s="1132" t="n"/>
      <c r="PCS288" s="1132" t="n"/>
      <c r="PCT288" s="1132" t="n"/>
      <c r="PCU288" s="1132" t="n"/>
      <c r="PCV288" s="1132" t="n"/>
      <c r="PCW288" s="1132" t="n"/>
      <c r="PCX288" s="1132" t="n"/>
      <c r="PCY288" s="1132" t="n"/>
      <c r="PCZ288" s="1132" t="n"/>
      <c r="PDA288" s="1132" t="n"/>
      <c r="PDB288" s="1132" t="n"/>
      <c r="PDC288" s="1132" t="n"/>
      <c r="PDD288" s="1132" t="n"/>
      <c r="PDE288" s="1132" t="n"/>
      <c r="PDF288" s="1132" t="n"/>
      <c r="PDG288" s="1132" t="n"/>
      <c r="PDH288" s="1132" t="n"/>
      <c r="PDI288" s="1132" t="n"/>
      <c r="PDJ288" s="1132" t="n"/>
      <c r="PDK288" s="1132" t="n"/>
      <c r="PDL288" s="1132" t="n"/>
      <c r="PDM288" s="1132" t="n"/>
      <c r="PDN288" s="1132" t="n"/>
      <c r="PDO288" s="1132" t="n"/>
      <c r="PDP288" s="1132" t="n"/>
      <c r="PDQ288" s="1132" t="n"/>
      <c r="PDR288" s="1132" t="n"/>
      <c r="PDS288" s="1132" t="n"/>
      <c r="PDT288" s="1132" t="n"/>
      <c r="PDU288" s="1132" t="n"/>
      <c r="PDV288" s="1132" t="n"/>
      <c r="PDW288" s="1132" t="n"/>
      <c r="PDX288" s="1132" t="n"/>
      <c r="PDY288" s="1132" t="n"/>
      <c r="PDZ288" s="1132" t="n"/>
      <c r="PEA288" s="1132" t="n"/>
      <c r="PEB288" s="1132" t="n"/>
      <c r="PEC288" s="1132" t="n"/>
      <c r="PED288" s="1132" t="n"/>
      <c r="PEE288" s="1132" t="n"/>
      <c r="PEF288" s="1132" t="n"/>
      <c r="PEG288" s="1132" t="n"/>
      <c r="PEH288" s="1132" t="n"/>
      <c r="PEI288" s="1132" t="n"/>
      <c r="PEJ288" s="1132" t="n"/>
      <c r="PEK288" s="1132" t="n"/>
      <c r="PEL288" s="1132" t="n"/>
      <c r="PEM288" s="1132" t="n"/>
      <c r="PEN288" s="1132" t="n"/>
      <c r="PEO288" s="1132" t="n"/>
      <c r="PEP288" s="1132" t="n"/>
      <c r="PEQ288" s="1132" t="n"/>
      <c r="PER288" s="1132" t="n"/>
      <c r="PES288" s="1132" t="n"/>
      <c r="PET288" s="1132" t="n"/>
      <c r="PEU288" s="1132" t="n"/>
      <c r="PEV288" s="1132" t="n"/>
      <c r="PEW288" s="1132" t="n"/>
      <c r="PEX288" s="1132" t="n"/>
      <c r="PEY288" s="1132" t="n"/>
      <c r="PEZ288" s="1132" t="n"/>
      <c r="PFA288" s="1132" t="n"/>
      <c r="PFB288" s="1132" t="n"/>
      <c r="PFC288" s="1132" t="n"/>
      <c r="PFD288" s="1132" t="n"/>
      <c r="PFE288" s="1132" t="n"/>
      <c r="PFF288" s="1132" t="n"/>
      <c r="PFG288" s="1132" t="n"/>
      <c r="PFH288" s="1132" t="n"/>
      <c r="PFI288" s="1132" t="n"/>
      <c r="PFJ288" s="1132" t="n"/>
      <c r="PFK288" s="1132" t="n"/>
      <c r="PFL288" s="1132" t="n"/>
      <c r="PFM288" s="1132" t="n"/>
      <c r="PFN288" s="1132" t="n"/>
      <c r="PFO288" s="1132" t="n"/>
      <c r="PFP288" s="1132" t="n"/>
      <c r="PFQ288" s="1132" t="n"/>
      <c r="PFR288" s="1132" t="n"/>
      <c r="PFS288" s="1132" t="n"/>
      <c r="PFT288" s="1132" t="n"/>
      <c r="PFU288" s="1132" t="n"/>
      <c r="PFV288" s="1132" t="n"/>
      <c r="PFW288" s="1132" t="n"/>
      <c r="PFX288" s="1132" t="n"/>
      <c r="PFY288" s="1132" t="n"/>
      <c r="PFZ288" s="1132" t="n"/>
      <c r="PGA288" s="1132" t="n"/>
      <c r="PGB288" s="1132" t="n"/>
      <c r="PGC288" s="1132" t="n"/>
      <c r="PGD288" s="1132" t="n"/>
      <c r="PGE288" s="1132" t="n"/>
      <c r="PGF288" s="1132" t="n"/>
      <c r="PGG288" s="1132" t="n"/>
      <c r="PGH288" s="1132" t="n"/>
      <c r="PGI288" s="1132" t="n"/>
      <c r="PGJ288" s="1132" t="n"/>
      <c r="PGK288" s="1132" t="n"/>
      <c r="PGL288" s="1132" t="n"/>
      <c r="PGM288" s="1132" t="n"/>
      <c r="PGN288" s="1132" t="n"/>
      <c r="PGO288" s="1132" t="n"/>
      <c r="PGP288" s="1132" t="n"/>
      <c r="PGQ288" s="1132" t="n"/>
      <c r="PGR288" s="1132" t="n"/>
      <c r="PGS288" s="1132" t="n"/>
      <c r="PGT288" s="1132" t="n"/>
      <c r="PGU288" s="1132" t="n"/>
      <c r="PGV288" s="1132" t="n"/>
      <c r="PGW288" s="1132" t="n"/>
      <c r="PGX288" s="1132" t="n"/>
      <c r="PGY288" s="1132" t="n"/>
      <c r="PGZ288" s="1132" t="n"/>
      <c r="PHA288" s="1132" t="n"/>
      <c r="PHB288" s="1132" t="n"/>
      <c r="PHC288" s="1132" t="n"/>
      <c r="PHD288" s="1132" t="n"/>
      <c r="PHE288" s="1132" t="n"/>
      <c r="PHF288" s="1132" t="n"/>
      <c r="PHG288" s="1132" t="n"/>
      <c r="PHH288" s="1132" t="n"/>
      <c r="PHI288" s="1132" t="n"/>
      <c r="PHJ288" s="1132" t="n"/>
      <c r="PHK288" s="1132" t="n"/>
      <c r="PHL288" s="1132" t="n"/>
      <c r="PHM288" s="1132" t="n"/>
      <c r="PHN288" s="1132" t="n"/>
      <c r="PHO288" s="1132" t="n"/>
      <c r="PHP288" s="1132" t="n"/>
      <c r="PHQ288" s="1132" t="n"/>
      <c r="PHR288" s="1132" t="n"/>
      <c r="PHS288" s="1132" t="n"/>
      <c r="PHT288" s="1132" t="n"/>
      <c r="PHU288" s="1132" t="n"/>
      <c r="PHV288" s="1132" t="n"/>
      <c r="PHW288" s="1132" t="n"/>
      <c r="PHX288" s="1132" t="n"/>
      <c r="PHY288" s="1132" t="n"/>
      <c r="PHZ288" s="1132" t="n"/>
      <c r="PIA288" s="1132" t="n"/>
      <c r="PIB288" s="1132" t="n"/>
      <c r="PIC288" s="1132" t="n"/>
      <c r="PID288" s="1132" t="n"/>
      <c r="PIE288" s="1132" t="n"/>
      <c r="PIF288" s="1132" t="n"/>
      <c r="PIG288" s="1132" t="n"/>
      <c r="PIH288" s="1132" t="n"/>
      <c r="PII288" s="1132" t="n"/>
      <c r="PIJ288" s="1132" t="n"/>
      <c r="PIK288" s="1132" t="n"/>
      <c r="PIL288" s="1132" t="n"/>
      <c r="PIM288" s="1132" t="n"/>
      <c r="PIN288" s="1132" t="n"/>
      <c r="PIO288" s="1132" t="n"/>
      <c r="PIP288" s="1132" t="n"/>
      <c r="PIQ288" s="1132" t="n"/>
      <c r="PIR288" s="1132" t="n"/>
      <c r="PIS288" s="1132" t="n"/>
      <c r="PIT288" s="1132" t="n"/>
      <c r="PIU288" s="1132" t="n"/>
      <c r="PIV288" s="1132" t="n"/>
      <c r="PIW288" s="1132" t="n"/>
      <c r="PIX288" s="1132" t="n"/>
      <c r="PIY288" s="1132" t="n"/>
      <c r="PIZ288" s="1132" t="n"/>
      <c r="PJA288" s="1132" t="n"/>
      <c r="PJB288" s="1132" t="n"/>
      <c r="PJC288" s="1132" t="n"/>
      <c r="PJD288" s="1132" t="n"/>
      <c r="PJE288" s="1132" t="n"/>
      <c r="PJF288" s="1132" t="n"/>
      <c r="PJG288" s="1132" t="n"/>
      <c r="PJH288" s="1132" t="n"/>
      <c r="PJI288" s="1132" t="n"/>
      <c r="PJJ288" s="1132" t="n"/>
      <c r="PJK288" s="1132" t="n"/>
      <c r="PJL288" s="1132" t="n"/>
      <c r="PJM288" s="1132" t="n"/>
      <c r="PJN288" s="1132" t="n"/>
      <c r="PJO288" s="1132" t="n"/>
      <c r="PJP288" s="1132" t="n"/>
      <c r="PJQ288" s="1132" t="n"/>
      <c r="PJR288" s="1132" t="n"/>
      <c r="PJS288" s="1132" t="n"/>
      <c r="PJT288" s="1132" t="n"/>
      <c r="PJU288" s="1132" t="n"/>
      <c r="PJV288" s="1132" t="n"/>
      <c r="PJW288" s="1132" t="n"/>
      <c r="PJX288" s="1132" t="n"/>
      <c r="PJY288" s="1132" t="n"/>
      <c r="PJZ288" s="1132" t="n"/>
      <c r="PKA288" s="1132" t="n"/>
      <c r="PKB288" s="1132" t="n"/>
      <c r="PKC288" s="1132" t="n"/>
      <c r="PKD288" s="1132" t="n"/>
      <c r="PKE288" s="1132" t="n"/>
      <c r="PKF288" s="1132" t="n"/>
      <c r="PKG288" s="1132" t="n"/>
      <c r="PKH288" s="1132" t="n"/>
      <c r="PKI288" s="1132" t="n"/>
      <c r="PKJ288" s="1132" t="n"/>
      <c r="PKK288" s="1132" t="n"/>
      <c r="PKL288" s="1132" t="n"/>
      <c r="PKM288" s="1132" t="n"/>
      <c r="PKN288" s="1132" t="n"/>
      <c r="PKO288" s="1132" t="n"/>
      <c r="PKP288" s="1132" t="n"/>
      <c r="PKQ288" s="1132" t="n"/>
      <c r="PKR288" s="1132" t="n"/>
      <c r="PKS288" s="1132" t="n"/>
      <c r="PKT288" s="1132" t="n"/>
      <c r="PKU288" s="1132" t="n"/>
      <c r="PKV288" s="1132" t="n"/>
      <c r="PKW288" s="1132" t="n"/>
      <c r="PKX288" s="1132" t="n"/>
      <c r="PKY288" s="1132" t="n"/>
      <c r="PKZ288" s="1132" t="n"/>
      <c r="PLA288" s="1132" t="n"/>
      <c r="PLB288" s="1132" t="n"/>
      <c r="PLC288" s="1132" t="n"/>
      <c r="PLD288" s="1132" t="n"/>
      <c r="PLE288" s="1132" t="n"/>
      <c r="PLF288" s="1132" t="n"/>
      <c r="PLG288" s="1132" t="n"/>
      <c r="PLH288" s="1132" t="n"/>
      <c r="PLI288" s="1132" t="n"/>
      <c r="PLJ288" s="1132" t="n"/>
      <c r="PLK288" s="1132" t="n"/>
      <c r="PLL288" s="1132" t="n"/>
      <c r="PLM288" s="1132" t="n"/>
      <c r="PLN288" s="1132" t="n"/>
      <c r="PLO288" s="1132" t="n"/>
      <c r="PLP288" s="1132" t="n"/>
      <c r="PLQ288" s="1132" t="n"/>
      <c r="PLR288" s="1132" t="n"/>
      <c r="PLS288" s="1132" t="n"/>
      <c r="PLT288" s="1132" t="n"/>
      <c r="PLU288" s="1132" t="n"/>
      <c r="PLV288" s="1132" t="n"/>
      <c r="PLW288" s="1132" t="n"/>
      <c r="PLX288" s="1132" t="n"/>
      <c r="PLY288" s="1132" t="n"/>
      <c r="PLZ288" s="1132" t="n"/>
      <c r="PMA288" s="1132" t="n"/>
      <c r="PMB288" s="1132" t="n"/>
      <c r="PMC288" s="1132" t="n"/>
      <c r="PMD288" s="1132" t="n"/>
      <c r="PME288" s="1132" t="n"/>
      <c r="PMF288" s="1132" t="n"/>
      <c r="PMG288" s="1132" t="n"/>
      <c r="PMH288" s="1132" t="n"/>
      <c r="PMI288" s="1132" t="n"/>
      <c r="PMJ288" s="1132" t="n"/>
      <c r="PMK288" s="1132" t="n"/>
      <c r="PML288" s="1132" t="n"/>
      <c r="PMM288" s="1132" t="n"/>
      <c r="PMN288" s="1132" t="n"/>
      <c r="PMO288" s="1132" t="n"/>
      <c r="PMP288" s="1132" t="n"/>
      <c r="PMQ288" s="1132" t="n"/>
      <c r="PMR288" s="1132" t="n"/>
      <c r="PMS288" s="1132" t="n"/>
      <c r="PMT288" s="1132" t="n"/>
      <c r="PMU288" s="1132" t="n"/>
      <c r="PMV288" s="1132" t="n"/>
      <c r="PMW288" s="1132" t="n"/>
      <c r="PMX288" s="1132" t="n"/>
      <c r="PMY288" s="1132" t="n"/>
      <c r="PMZ288" s="1132" t="n"/>
      <c r="PNA288" s="1132" t="n"/>
      <c r="PNB288" s="1132" t="n"/>
      <c r="PNC288" s="1132" t="n"/>
      <c r="PND288" s="1132" t="n"/>
      <c r="PNE288" s="1132" t="n"/>
      <c r="PNF288" s="1132" t="n"/>
      <c r="PNG288" s="1132" t="n"/>
      <c r="PNH288" s="1132" t="n"/>
      <c r="PNI288" s="1132" t="n"/>
      <c r="PNJ288" s="1132" t="n"/>
      <c r="PNK288" s="1132" t="n"/>
      <c r="PNL288" s="1132" t="n"/>
      <c r="PNM288" s="1132" t="n"/>
      <c r="PNN288" s="1132" t="n"/>
      <c r="PNO288" s="1132" t="n"/>
      <c r="PNP288" s="1132" t="n"/>
      <c r="PNQ288" s="1132" t="n"/>
      <c r="PNR288" s="1132" t="n"/>
      <c r="PNS288" s="1132" t="n"/>
      <c r="PNT288" s="1132" t="n"/>
      <c r="PNU288" s="1132" t="n"/>
      <c r="PNV288" s="1132" t="n"/>
      <c r="PNW288" s="1132" t="n"/>
      <c r="PNX288" s="1132" t="n"/>
      <c r="PNY288" s="1132" t="n"/>
      <c r="PNZ288" s="1132" t="n"/>
      <c r="POA288" s="1132" t="n"/>
      <c r="POB288" s="1132" t="n"/>
      <c r="POC288" s="1132" t="n"/>
      <c r="POD288" s="1132" t="n"/>
      <c r="POE288" s="1132" t="n"/>
      <c r="POF288" s="1132" t="n"/>
      <c r="POG288" s="1132" t="n"/>
      <c r="POH288" s="1132" t="n"/>
      <c r="POI288" s="1132" t="n"/>
      <c r="POJ288" s="1132" t="n"/>
      <c r="POK288" s="1132" t="n"/>
      <c r="POL288" s="1132" t="n"/>
      <c r="POM288" s="1132" t="n"/>
      <c r="PON288" s="1132" t="n"/>
      <c r="POO288" s="1132" t="n"/>
      <c r="POP288" s="1132" t="n"/>
      <c r="POQ288" s="1132" t="n"/>
      <c r="POR288" s="1132" t="n"/>
      <c r="POS288" s="1132" t="n"/>
      <c r="POT288" s="1132" t="n"/>
      <c r="POU288" s="1132" t="n"/>
      <c r="POV288" s="1132" t="n"/>
      <c r="POW288" s="1132" t="n"/>
      <c r="POX288" s="1132" t="n"/>
      <c r="POY288" s="1132" t="n"/>
      <c r="POZ288" s="1132" t="n"/>
      <c r="PPA288" s="1132" t="n"/>
      <c r="PPB288" s="1132" t="n"/>
      <c r="PPC288" s="1132" t="n"/>
      <c r="PPD288" s="1132" t="n"/>
      <c r="PPE288" s="1132" t="n"/>
      <c r="PPF288" s="1132" t="n"/>
      <c r="PPG288" s="1132" t="n"/>
      <c r="PPH288" s="1132" t="n"/>
      <c r="PPI288" s="1132" t="n"/>
      <c r="PPJ288" s="1132" t="n"/>
      <c r="PPK288" s="1132" t="n"/>
      <c r="PPL288" s="1132" t="n"/>
      <c r="PPM288" s="1132" t="n"/>
      <c r="PPN288" s="1132" t="n"/>
      <c r="PPO288" s="1132" t="n"/>
      <c r="PPP288" s="1132" t="n"/>
      <c r="PPQ288" s="1132" t="n"/>
      <c r="PPR288" s="1132" t="n"/>
      <c r="PPS288" s="1132" t="n"/>
      <c r="PPT288" s="1132" t="n"/>
      <c r="PPU288" s="1132" t="n"/>
      <c r="PPV288" s="1132" t="n"/>
      <c r="PPW288" s="1132" t="n"/>
      <c r="PPX288" s="1132" t="n"/>
      <c r="PPY288" s="1132" t="n"/>
      <c r="PPZ288" s="1132" t="n"/>
      <c r="PQA288" s="1132" t="n"/>
      <c r="PQB288" s="1132" t="n"/>
      <c r="PQC288" s="1132" t="n"/>
      <c r="PQD288" s="1132" t="n"/>
      <c r="PQE288" s="1132" t="n"/>
      <c r="PQF288" s="1132" t="n"/>
      <c r="PQG288" s="1132" t="n"/>
      <c r="PQH288" s="1132" t="n"/>
      <c r="PQI288" s="1132" t="n"/>
      <c r="PQJ288" s="1132" t="n"/>
      <c r="PQK288" s="1132" t="n"/>
      <c r="PQL288" s="1132" t="n"/>
      <c r="PQM288" s="1132" t="n"/>
      <c r="PQN288" s="1132" t="n"/>
      <c r="PQO288" s="1132" t="n"/>
      <c r="PQP288" s="1132" t="n"/>
      <c r="PQQ288" s="1132" t="n"/>
      <c r="PQR288" s="1132" t="n"/>
      <c r="PQS288" s="1132" t="n"/>
      <c r="PQT288" s="1132" t="n"/>
      <c r="PQU288" s="1132" t="n"/>
      <c r="PQV288" s="1132" t="n"/>
      <c r="PQW288" s="1132" t="n"/>
      <c r="PQX288" s="1132" t="n"/>
      <c r="PQY288" s="1132" t="n"/>
      <c r="PQZ288" s="1132" t="n"/>
      <c r="PRA288" s="1132" t="n"/>
      <c r="PRB288" s="1132" t="n"/>
      <c r="PRC288" s="1132" t="n"/>
      <c r="PRD288" s="1132" t="n"/>
      <c r="PRE288" s="1132" t="n"/>
      <c r="PRF288" s="1132" t="n"/>
      <c r="PRG288" s="1132" t="n"/>
      <c r="PRH288" s="1132" t="n"/>
      <c r="PRI288" s="1132" t="n"/>
      <c r="PRJ288" s="1132" t="n"/>
      <c r="PRK288" s="1132" t="n"/>
      <c r="PRL288" s="1132" t="n"/>
      <c r="PRM288" s="1132" t="n"/>
      <c r="PRN288" s="1132" t="n"/>
      <c r="PRO288" s="1132" t="n"/>
      <c r="PRP288" s="1132" t="n"/>
      <c r="PRQ288" s="1132" t="n"/>
      <c r="PRR288" s="1132" t="n"/>
      <c r="PRS288" s="1132" t="n"/>
      <c r="PRT288" s="1132" t="n"/>
      <c r="PRU288" s="1132" t="n"/>
      <c r="PRV288" s="1132" t="n"/>
      <c r="PRW288" s="1132" t="n"/>
      <c r="PRX288" s="1132" t="n"/>
      <c r="PRY288" s="1132" t="n"/>
      <c r="PRZ288" s="1132" t="n"/>
      <c r="PSA288" s="1132" t="n"/>
      <c r="PSB288" s="1132" t="n"/>
      <c r="PSC288" s="1132" t="n"/>
      <c r="PSD288" s="1132" t="n"/>
      <c r="PSE288" s="1132" t="n"/>
      <c r="PSF288" s="1132" t="n"/>
      <c r="PSG288" s="1132" t="n"/>
      <c r="PSH288" s="1132" t="n"/>
      <c r="PSI288" s="1132" t="n"/>
      <c r="PSJ288" s="1132" t="n"/>
      <c r="PSK288" s="1132" t="n"/>
      <c r="PSL288" s="1132" t="n"/>
      <c r="PSM288" s="1132" t="n"/>
      <c r="PSN288" s="1132" t="n"/>
      <c r="PSO288" s="1132" t="n"/>
      <c r="PSP288" s="1132" t="n"/>
      <c r="PSQ288" s="1132" t="n"/>
      <c r="PSR288" s="1132" t="n"/>
      <c r="PSS288" s="1132" t="n"/>
      <c r="PST288" s="1132" t="n"/>
      <c r="PSU288" s="1132" t="n"/>
      <c r="PSV288" s="1132" t="n"/>
      <c r="PSW288" s="1132" t="n"/>
      <c r="PSX288" s="1132" t="n"/>
      <c r="PSY288" s="1132" t="n"/>
      <c r="PSZ288" s="1132" t="n"/>
      <c r="PTA288" s="1132" t="n"/>
      <c r="PTB288" s="1132" t="n"/>
      <c r="PTC288" s="1132" t="n"/>
      <c r="PTD288" s="1132" t="n"/>
      <c r="PTE288" s="1132" t="n"/>
      <c r="PTF288" s="1132" t="n"/>
      <c r="PTG288" s="1132" t="n"/>
      <c r="PTH288" s="1132" t="n"/>
      <c r="PTI288" s="1132" t="n"/>
      <c r="PTJ288" s="1132" t="n"/>
      <c r="PTK288" s="1132" t="n"/>
      <c r="PTL288" s="1132" t="n"/>
      <c r="PTM288" s="1132" t="n"/>
      <c r="PTN288" s="1132" t="n"/>
      <c r="PTO288" s="1132" t="n"/>
      <c r="PTP288" s="1132" t="n"/>
      <c r="PTQ288" s="1132" t="n"/>
      <c r="PTR288" s="1132" t="n"/>
      <c r="PTS288" s="1132" t="n"/>
      <c r="PTT288" s="1132" t="n"/>
      <c r="PTU288" s="1132" t="n"/>
      <c r="PTV288" s="1132" t="n"/>
      <c r="PTW288" s="1132" t="n"/>
      <c r="PTX288" s="1132" t="n"/>
      <c r="PTY288" s="1132" t="n"/>
      <c r="PTZ288" s="1132" t="n"/>
      <c r="PUA288" s="1132" t="n"/>
      <c r="PUB288" s="1132" t="n"/>
      <c r="PUC288" s="1132" t="n"/>
      <c r="PUD288" s="1132" t="n"/>
      <c r="PUE288" s="1132" t="n"/>
      <c r="PUF288" s="1132" t="n"/>
      <c r="PUG288" s="1132" t="n"/>
      <c r="PUH288" s="1132" t="n"/>
      <c r="PUI288" s="1132" t="n"/>
      <c r="PUJ288" s="1132" t="n"/>
      <c r="PUK288" s="1132" t="n"/>
      <c r="PUL288" s="1132" t="n"/>
      <c r="PUM288" s="1132" t="n"/>
      <c r="PUN288" s="1132" t="n"/>
      <c r="PUO288" s="1132" t="n"/>
      <c r="PUP288" s="1132" t="n"/>
      <c r="PUQ288" s="1132" t="n"/>
      <c r="PUR288" s="1132" t="n"/>
      <c r="PUS288" s="1132" t="n"/>
      <c r="PUT288" s="1132" t="n"/>
      <c r="PUU288" s="1132" t="n"/>
      <c r="PUV288" s="1132" t="n"/>
      <c r="PUW288" s="1132" t="n"/>
      <c r="PUX288" s="1132" t="n"/>
      <c r="PUY288" s="1132" t="n"/>
      <c r="PUZ288" s="1132" t="n"/>
      <c r="PVA288" s="1132" t="n"/>
      <c r="PVB288" s="1132" t="n"/>
      <c r="PVC288" s="1132" t="n"/>
      <c r="PVD288" s="1132" t="n"/>
      <c r="PVE288" s="1132" t="n"/>
      <c r="PVF288" s="1132" t="n"/>
      <c r="PVG288" s="1132" t="n"/>
      <c r="PVH288" s="1132" t="n"/>
      <c r="PVI288" s="1132" t="n"/>
      <c r="PVJ288" s="1132" t="n"/>
      <c r="PVK288" s="1132" t="n"/>
      <c r="PVL288" s="1132" t="n"/>
      <c r="PVM288" s="1132" t="n"/>
      <c r="PVN288" s="1132" t="n"/>
      <c r="PVO288" s="1132" t="n"/>
      <c r="PVP288" s="1132" t="n"/>
      <c r="PVQ288" s="1132" t="n"/>
      <c r="PVR288" s="1132" t="n"/>
      <c r="PVS288" s="1132" t="n"/>
      <c r="PVT288" s="1132" t="n"/>
      <c r="PVU288" s="1132" t="n"/>
      <c r="PVV288" s="1132" t="n"/>
      <c r="PVW288" s="1132" t="n"/>
      <c r="PVX288" s="1132" t="n"/>
      <c r="PVY288" s="1132" t="n"/>
      <c r="PVZ288" s="1132" t="n"/>
      <c r="PWA288" s="1132" t="n"/>
      <c r="PWB288" s="1132" t="n"/>
      <c r="PWC288" s="1132" t="n"/>
      <c r="PWD288" s="1132" t="n"/>
      <c r="PWE288" s="1132" t="n"/>
      <c r="PWF288" s="1132" t="n"/>
      <c r="PWG288" s="1132" t="n"/>
      <c r="PWH288" s="1132" t="n"/>
      <c r="PWI288" s="1132" t="n"/>
      <c r="PWJ288" s="1132" t="n"/>
      <c r="PWK288" s="1132" t="n"/>
      <c r="PWL288" s="1132" t="n"/>
      <c r="PWM288" s="1132" t="n"/>
      <c r="PWN288" s="1132" t="n"/>
      <c r="PWO288" s="1132" t="n"/>
      <c r="PWP288" s="1132" t="n"/>
      <c r="PWQ288" s="1132" t="n"/>
      <c r="PWR288" s="1132" t="n"/>
      <c r="PWS288" s="1132" t="n"/>
      <c r="PWT288" s="1132" t="n"/>
      <c r="PWU288" s="1132" t="n"/>
      <c r="PWV288" s="1132" t="n"/>
      <c r="PWW288" s="1132" t="n"/>
      <c r="PWX288" s="1132" t="n"/>
      <c r="PWY288" s="1132" t="n"/>
      <c r="PWZ288" s="1132" t="n"/>
      <c r="PXA288" s="1132" t="n"/>
      <c r="PXB288" s="1132" t="n"/>
      <c r="PXC288" s="1132" t="n"/>
      <c r="PXD288" s="1132" t="n"/>
      <c r="PXE288" s="1132" t="n"/>
      <c r="PXF288" s="1132" t="n"/>
      <c r="PXG288" s="1132" t="n"/>
      <c r="PXH288" s="1132" t="n"/>
      <c r="PXI288" s="1132" t="n"/>
      <c r="PXJ288" s="1132" t="n"/>
      <c r="PXK288" s="1132" t="n"/>
      <c r="PXL288" s="1132" t="n"/>
      <c r="PXM288" s="1132" t="n"/>
      <c r="PXN288" s="1132" t="n"/>
      <c r="PXO288" s="1132" t="n"/>
      <c r="PXP288" s="1132" t="n"/>
      <c r="PXQ288" s="1132" t="n"/>
      <c r="PXR288" s="1132" t="n"/>
      <c r="PXS288" s="1132" t="n"/>
      <c r="PXT288" s="1132" t="n"/>
      <c r="PXU288" s="1132" t="n"/>
      <c r="PXV288" s="1132" t="n"/>
      <c r="PXW288" s="1132" t="n"/>
      <c r="PXX288" s="1132" t="n"/>
      <c r="PXY288" s="1132" t="n"/>
      <c r="PXZ288" s="1132" t="n"/>
      <c r="PYA288" s="1132" t="n"/>
      <c r="PYB288" s="1132" t="n"/>
      <c r="PYC288" s="1132" t="n"/>
      <c r="PYD288" s="1132" t="n"/>
      <c r="PYE288" s="1132" t="n"/>
      <c r="PYF288" s="1132" t="n"/>
      <c r="PYG288" s="1132" t="n"/>
      <c r="PYH288" s="1132" t="n"/>
      <c r="PYI288" s="1132" t="n"/>
      <c r="PYJ288" s="1132" t="n"/>
      <c r="PYK288" s="1132" t="n"/>
      <c r="PYL288" s="1132" t="n"/>
      <c r="PYM288" s="1132" t="n"/>
      <c r="PYN288" s="1132" t="n"/>
      <c r="PYO288" s="1132" t="n"/>
      <c r="PYP288" s="1132" t="n"/>
      <c r="PYQ288" s="1132" t="n"/>
      <c r="PYR288" s="1132" t="n"/>
      <c r="PYS288" s="1132" t="n"/>
      <c r="PYT288" s="1132" t="n"/>
      <c r="PYU288" s="1132" t="n"/>
      <c r="PYV288" s="1132" t="n"/>
      <c r="PYW288" s="1132" t="n"/>
      <c r="PYX288" s="1132" t="n"/>
      <c r="PYY288" s="1132" t="n"/>
      <c r="PYZ288" s="1132" t="n"/>
      <c r="PZA288" s="1132" t="n"/>
      <c r="PZB288" s="1132" t="n"/>
      <c r="PZC288" s="1132" t="n"/>
      <c r="PZD288" s="1132" t="n"/>
      <c r="PZE288" s="1132" t="n"/>
      <c r="PZF288" s="1132" t="n"/>
      <c r="PZG288" s="1132" t="n"/>
      <c r="PZH288" s="1132" t="n"/>
      <c r="PZI288" s="1132" t="n"/>
      <c r="PZJ288" s="1132" t="n"/>
      <c r="PZK288" s="1132" t="n"/>
      <c r="PZL288" s="1132" t="n"/>
      <c r="PZM288" s="1132" t="n"/>
      <c r="PZN288" s="1132" t="n"/>
      <c r="PZO288" s="1132" t="n"/>
      <c r="PZP288" s="1132" t="n"/>
      <c r="PZQ288" s="1132" t="n"/>
      <c r="PZR288" s="1132" t="n"/>
      <c r="PZS288" s="1132" t="n"/>
      <c r="PZT288" s="1132" t="n"/>
      <c r="PZU288" s="1132" t="n"/>
      <c r="PZV288" s="1132" t="n"/>
      <c r="PZW288" s="1132" t="n"/>
      <c r="PZX288" s="1132" t="n"/>
      <c r="PZY288" s="1132" t="n"/>
      <c r="PZZ288" s="1132" t="n"/>
      <c r="QAA288" s="1132" t="n"/>
      <c r="QAB288" s="1132" t="n"/>
      <c r="QAC288" s="1132" t="n"/>
      <c r="QAD288" s="1132" t="n"/>
      <c r="QAE288" s="1132" t="n"/>
      <c r="QAF288" s="1132" t="n"/>
      <c r="QAG288" s="1132" t="n"/>
      <c r="QAH288" s="1132" t="n"/>
      <c r="QAI288" s="1132" t="n"/>
      <c r="QAJ288" s="1132" t="n"/>
      <c r="QAK288" s="1132" t="n"/>
      <c r="QAL288" s="1132" t="n"/>
      <c r="QAM288" s="1132" t="n"/>
      <c r="QAN288" s="1132" t="n"/>
      <c r="QAO288" s="1132" t="n"/>
      <c r="QAP288" s="1132" t="n"/>
      <c r="QAQ288" s="1132" t="n"/>
      <c r="QAR288" s="1132" t="n"/>
      <c r="QAS288" s="1132" t="n"/>
      <c r="QAT288" s="1132" t="n"/>
      <c r="QAU288" s="1132" t="n"/>
      <c r="QAV288" s="1132" t="n"/>
      <c r="QAW288" s="1132" t="n"/>
      <c r="QAX288" s="1132" t="n"/>
      <c r="QAY288" s="1132" t="n"/>
      <c r="QAZ288" s="1132" t="n"/>
      <c r="QBA288" s="1132" t="n"/>
      <c r="QBB288" s="1132" t="n"/>
      <c r="QBC288" s="1132" t="n"/>
      <c r="QBD288" s="1132" t="n"/>
      <c r="QBE288" s="1132" t="n"/>
      <c r="QBF288" s="1132" t="n"/>
      <c r="QBG288" s="1132" t="n"/>
      <c r="QBH288" s="1132" t="n"/>
      <c r="QBI288" s="1132" t="n"/>
      <c r="QBJ288" s="1132" t="n"/>
      <c r="QBK288" s="1132" t="n"/>
      <c r="QBL288" s="1132" t="n"/>
      <c r="QBM288" s="1132" t="n"/>
      <c r="QBN288" s="1132" t="n"/>
      <c r="QBO288" s="1132" t="n"/>
      <c r="QBP288" s="1132" t="n"/>
      <c r="QBQ288" s="1132" t="n"/>
      <c r="QBR288" s="1132" t="n"/>
      <c r="QBS288" s="1132" t="n"/>
      <c r="QBT288" s="1132" t="n"/>
      <c r="QBU288" s="1132" t="n"/>
      <c r="QBV288" s="1132" t="n"/>
      <c r="QBW288" s="1132" t="n"/>
      <c r="QBX288" s="1132" t="n"/>
      <c r="QBY288" s="1132" t="n"/>
      <c r="QBZ288" s="1132" t="n"/>
      <c r="QCA288" s="1132" t="n"/>
      <c r="QCB288" s="1132" t="n"/>
      <c r="QCC288" s="1132" t="n"/>
      <c r="QCD288" s="1132" t="n"/>
      <c r="QCE288" s="1132" t="n"/>
      <c r="QCF288" s="1132" t="n"/>
      <c r="QCG288" s="1132" t="n"/>
      <c r="QCH288" s="1132" t="n"/>
      <c r="QCI288" s="1132" t="n"/>
      <c r="QCJ288" s="1132" t="n"/>
      <c r="QCK288" s="1132" t="n"/>
      <c r="QCL288" s="1132" t="n"/>
      <c r="QCM288" s="1132" t="n"/>
      <c r="QCN288" s="1132" t="n"/>
      <c r="QCO288" s="1132" t="n"/>
      <c r="QCP288" s="1132" t="n"/>
      <c r="QCQ288" s="1132" t="n"/>
      <c r="QCR288" s="1132" t="n"/>
      <c r="QCS288" s="1132" t="n"/>
      <c r="QCT288" s="1132" t="n"/>
      <c r="QCU288" s="1132" t="n"/>
      <c r="QCV288" s="1132" t="n"/>
      <c r="QCW288" s="1132" t="n"/>
      <c r="QCX288" s="1132" t="n"/>
      <c r="QCY288" s="1132" t="n"/>
      <c r="QCZ288" s="1132" t="n"/>
      <c r="QDA288" s="1132" t="n"/>
      <c r="QDB288" s="1132" t="n"/>
      <c r="QDC288" s="1132" t="n"/>
      <c r="QDD288" s="1132" t="n"/>
      <c r="QDE288" s="1132" t="n"/>
      <c r="QDF288" s="1132" t="n"/>
      <c r="QDG288" s="1132" t="n"/>
      <c r="QDH288" s="1132" t="n"/>
      <c r="QDI288" s="1132" t="n"/>
      <c r="QDJ288" s="1132" t="n"/>
      <c r="QDK288" s="1132" t="n"/>
      <c r="QDL288" s="1132" t="n"/>
      <c r="QDM288" s="1132" t="n"/>
      <c r="QDN288" s="1132" t="n"/>
      <c r="QDO288" s="1132" t="n"/>
      <c r="QDP288" s="1132" t="n"/>
      <c r="QDQ288" s="1132" t="n"/>
      <c r="QDR288" s="1132" t="n"/>
      <c r="QDS288" s="1132" t="n"/>
      <c r="QDT288" s="1132" t="n"/>
      <c r="QDU288" s="1132" t="n"/>
      <c r="QDV288" s="1132" t="n"/>
      <c r="QDW288" s="1132" t="n"/>
      <c r="QDX288" s="1132" t="n"/>
      <c r="QDY288" s="1132" t="n"/>
      <c r="QDZ288" s="1132" t="n"/>
      <c r="QEA288" s="1132" t="n"/>
      <c r="QEB288" s="1132" t="n"/>
      <c r="QEC288" s="1132" t="n"/>
      <c r="QED288" s="1132" t="n"/>
      <c r="QEE288" s="1132" t="n"/>
      <c r="QEF288" s="1132" t="n"/>
      <c r="QEG288" s="1132" t="n"/>
      <c r="QEH288" s="1132" t="n"/>
      <c r="QEI288" s="1132" t="n"/>
      <c r="QEJ288" s="1132" t="n"/>
      <c r="QEK288" s="1132" t="n"/>
      <c r="QEL288" s="1132" t="n"/>
      <c r="QEM288" s="1132" t="n"/>
      <c r="QEN288" s="1132" t="n"/>
      <c r="QEO288" s="1132" t="n"/>
      <c r="QEP288" s="1132" t="n"/>
      <c r="QEQ288" s="1132" t="n"/>
      <c r="QER288" s="1132" t="n"/>
      <c r="QES288" s="1132" t="n"/>
      <c r="QET288" s="1132" t="n"/>
      <c r="QEU288" s="1132" t="n"/>
      <c r="QEV288" s="1132" t="n"/>
      <c r="QEW288" s="1132" t="n"/>
      <c r="QEX288" s="1132" t="n"/>
      <c r="QEY288" s="1132" t="n"/>
      <c r="QEZ288" s="1132" t="n"/>
      <c r="QFA288" s="1132" t="n"/>
      <c r="QFB288" s="1132" t="n"/>
      <c r="QFC288" s="1132" t="n"/>
      <c r="QFD288" s="1132" t="n"/>
      <c r="QFE288" s="1132" t="n"/>
      <c r="QFF288" s="1132" t="n"/>
      <c r="QFG288" s="1132" t="n"/>
      <c r="QFH288" s="1132" t="n"/>
      <c r="QFI288" s="1132" t="n"/>
      <c r="QFJ288" s="1132" t="n"/>
      <c r="QFK288" s="1132" t="n"/>
      <c r="QFL288" s="1132" t="n"/>
      <c r="QFM288" s="1132" t="n"/>
      <c r="QFN288" s="1132" t="n"/>
      <c r="QFO288" s="1132" t="n"/>
      <c r="QFP288" s="1132" t="n"/>
      <c r="QFQ288" s="1132" t="n"/>
      <c r="QFR288" s="1132" t="n"/>
      <c r="QFS288" s="1132" t="n"/>
      <c r="QFT288" s="1132" t="n"/>
      <c r="QFU288" s="1132" t="n"/>
      <c r="QFV288" s="1132" t="n"/>
      <c r="QFW288" s="1132" t="n"/>
      <c r="QFX288" s="1132" t="n"/>
      <c r="QFY288" s="1132" t="n"/>
      <c r="QFZ288" s="1132" t="n"/>
      <c r="QGA288" s="1132" t="n"/>
      <c r="QGB288" s="1132" t="n"/>
      <c r="QGC288" s="1132" t="n"/>
      <c r="QGD288" s="1132" t="n"/>
      <c r="QGE288" s="1132" t="n"/>
      <c r="QGF288" s="1132" t="n"/>
      <c r="QGG288" s="1132" t="n"/>
      <c r="QGH288" s="1132" t="n"/>
      <c r="QGI288" s="1132" t="n"/>
      <c r="QGJ288" s="1132" t="n"/>
      <c r="QGK288" s="1132" t="n"/>
      <c r="QGL288" s="1132" t="n"/>
      <c r="QGM288" s="1132" t="n"/>
      <c r="QGN288" s="1132" t="n"/>
      <c r="QGO288" s="1132" t="n"/>
      <c r="QGP288" s="1132" t="n"/>
      <c r="QGQ288" s="1132" t="n"/>
      <c r="QGR288" s="1132" t="n"/>
      <c r="QGS288" s="1132" t="n"/>
      <c r="QGT288" s="1132" t="n"/>
      <c r="QGU288" s="1132" t="n"/>
      <c r="QGV288" s="1132" t="n"/>
      <c r="QGW288" s="1132" t="n"/>
      <c r="QGX288" s="1132" t="n"/>
      <c r="QGY288" s="1132" t="n"/>
      <c r="QGZ288" s="1132" t="n"/>
      <c r="QHA288" s="1132" t="n"/>
      <c r="QHB288" s="1132" t="n"/>
      <c r="QHC288" s="1132" t="n"/>
      <c r="QHD288" s="1132" t="n"/>
      <c r="QHE288" s="1132" t="n"/>
      <c r="QHF288" s="1132" t="n"/>
      <c r="QHG288" s="1132" t="n"/>
      <c r="QHH288" s="1132" t="n"/>
      <c r="QHI288" s="1132" t="n"/>
      <c r="QHJ288" s="1132" t="n"/>
      <c r="QHK288" s="1132" t="n"/>
      <c r="QHL288" s="1132" t="n"/>
      <c r="QHM288" s="1132" t="n"/>
      <c r="QHN288" s="1132" t="n"/>
      <c r="QHO288" s="1132" t="n"/>
      <c r="QHP288" s="1132" t="n"/>
      <c r="QHQ288" s="1132" t="n"/>
      <c r="QHR288" s="1132" t="n"/>
      <c r="QHS288" s="1132" t="n"/>
      <c r="QHT288" s="1132" t="n"/>
      <c r="QHU288" s="1132" t="n"/>
      <c r="QHV288" s="1132" t="n"/>
      <c r="QHW288" s="1132" t="n"/>
      <c r="QHX288" s="1132" t="n"/>
      <c r="QHY288" s="1132" t="n"/>
      <c r="QHZ288" s="1132" t="n"/>
      <c r="QIA288" s="1132" t="n"/>
      <c r="QIB288" s="1132" t="n"/>
      <c r="QIC288" s="1132" t="n"/>
      <c r="QID288" s="1132" t="n"/>
      <c r="QIE288" s="1132" t="n"/>
      <c r="QIF288" s="1132" t="n"/>
      <c r="QIG288" s="1132" t="n"/>
      <c r="QIH288" s="1132" t="n"/>
      <c r="QII288" s="1132" t="n"/>
      <c r="QIJ288" s="1132" t="n"/>
      <c r="QIK288" s="1132" t="n"/>
      <c r="QIL288" s="1132" t="n"/>
      <c r="QIM288" s="1132" t="n"/>
      <c r="QIN288" s="1132" t="n"/>
      <c r="QIO288" s="1132" t="n"/>
      <c r="QIP288" s="1132" t="n"/>
      <c r="QIQ288" s="1132" t="n"/>
      <c r="QIR288" s="1132" t="n"/>
      <c r="QIS288" s="1132" t="n"/>
      <c r="QIT288" s="1132" t="n"/>
      <c r="QIU288" s="1132" t="n"/>
      <c r="QIV288" s="1132" t="n"/>
      <c r="QIW288" s="1132" t="n"/>
      <c r="QIX288" s="1132" t="n"/>
      <c r="QIY288" s="1132" t="n"/>
      <c r="QIZ288" s="1132" t="n"/>
      <c r="QJA288" s="1132" t="n"/>
      <c r="QJB288" s="1132" t="n"/>
      <c r="QJC288" s="1132" t="n"/>
      <c r="QJD288" s="1132" t="n"/>
      <c r="QJE288" s="1132" t="n"/>
      <c r="QJF288" s="1132" t="n"/>
      <c r="QJG288" s="1132" t="n"/>
      <c r="QJH288" s="1132" t="n"/>
      <c r="QJI288" s="1132" t="n"/>
      <c r="QJJ288" s="1132" t="n"/>
      <c r="QJK288" s="1132" t="n"/>
      <c r="QJL288" s="1132" t="n"/>
      <c r="QJM288" s="1132" t="n"/>
      <c r="QJN288" s="1132" t="n"/>
      <c r="QJO288" s="1132" t="n"/>
      <c r="QJP288" s="1132" t="n"/>
      <c r="QJQ288" s="1132" t="n"/>
      <c r="QJR288" s="1132" t="n"/>
      <c r="QJS288" s="1132" t="n"/>
      <c r="QJT288" s="1132" t="n"/>
      <c r="QJU288" s="1132" t="n"/>
      <c r="QJV288" s="1132" t="n"/>
      <c r="QJW288" s="1132" t="n"/>
      <c r="QJX288" s="1132" t="n"/>
      <c r="QJY288" s="1132" t="n"/>
      <c r="QJZ288" s="1132" t="n"/>
      <c r="QKA288" s="1132" t="n"/>
      <c r="QKB288" s="1132" t="n"/>
      <c r="QKC288" s="1132" t="n"/>
      <c r="QKD288" s="1132" t="n"/>
      <c r="QKE288" s="1132" t="n"/>
      <c r="QKF288" s="1132" t="n"/>
      <c r="QKG288" s="1132" t="n"/>
      <c r="QKH288" s="1132" t="n"/>
      <c r="QKI288" s="1132" t="n"/>
      <c r="QKJ288" s="1132" t="n"/>
      <c r="QKK288" s="1132" t="n"/>
      <c r="QKL288" s="1132" t="n"/>
      <c r="QKM288" s="1132" t="n"/>
      <c r="QKN288" s="1132" t="n"/>
      <c r="QKO288" s="1132" t="n"/>
      <c r="QKP288" s="1132" t="n"/>
      <c r="QKQ288" s="1132" t="n"/>
      <c r="QKR288" s="1132" t="n"/>
      <c r="QKS288" s="1132" t="n"/>
      <c r="QKT288" s="1132" t="n"/>
      <c r="QKU288" s="1132" t="n"/>
      <c r="QKV288" s="1132" t="n"/>
      <c r="QKW288" s="1132" t="n"/>
      <c r="QKX288" s="1132" t="n"/>
      <c r="QKY288" s="1132" t="n"/>
      <c r="QKZ288" s="1132" t="n"/>
      <c r="QLA288" s="1132" t="n"/>
      <c r="QLB288" s="1132" t="n"/>
      <c r="QLC288" s="1132" t="n"/>
      <c r="QLD288" s="1132" t="n"/>
      <c r="QLE288" s="1132" t="n"/>
      <c r="QLF288" s="1132" t="n"/>
      <c r="QLG288" s="1132" t="n"/>
      <c r="QLH288" s="1132" t="n"/>
      <c r="QLI288" s="1132" t="n"/>
      <c r="QLJ288" s="1132" t="n"/>
      <c r="QLK288" s="1132" t="n"/>
      <c r="QLL288" s="1132" t="n"/>
      <c r="QLM288" s="1132" t="n"/>
      <c r="QLN288" s="1132" t="n"/>
      <c r="QLO288" s="1132" t="n"/>
      <c r="QLP288" s="1132" t="n"/>
      <c r="QLQ288" s="1132" t="n"/>
      <c r="QLR288" s="1132" t="n"/>
      <c r="QLS288" s="1132" t="n"/>
      <c r="QLT288" s="1132" t="n"/>
      <c r="QLU288" s="1132" t="n"/>
      <c r="QLV288" s="1132" t="n"/>
      <c r="QLW288" s="1132" t="n"/>
      <c r="QLX288" s="1132" t="n"/>
      <c r="QLY288" s="1132" t="n"/>
      <c r="QLZ288" s="1132" t="n"/>
      <c r="QMA288" s="1132" t="n"/>
      <c r="QMB288" s="1132" t="n"/>
      <c r="QMC288" s="1132" t="n"/>
      <c r="QMD288" s="1132" t="n"/>
      <c r="QME288" s="1132" t="n"/>
      <c r="QMF288" s="1132" t="n"/>
      <c r="QMG288" s="1132" t="n"/>
      <c r="QMH288" s="1132" t="n"/>
      <c r="QMI288" s="1132" t="n"/>
      <c r="QMJ288" s="1132" t="n"/>
      <c r="QMK288" s="1132" t="n"/>
      <c r="QML288" s="1132" t="n"/>
      <c r="QMM288" s="1132" t="n"/>
      <c r="QMN288" s="1132" t="n"/>
      <c r="QMO288" s="1132" t="n"/>
      <c r="QMP288" s="1132" t="n"/>
      <c r="QMQ288" s="1132" t="n"/>
      <c r="QMR288" s="1132" t="n"/>
      <c r="QMS288" s="1132" t="n"/>
      <c r="QMT288" s="1132" t="n"/>
      <c r="QMU288" s="1132" t="n"/>
      <c r="QMV288" s="1132" t="n"/>
      <c r="QMW288" s="1132" t="n"/>
      <c r="QMX288" s="1132" t="n"/>
      <c r="QMY288" s="1132" t="n"/>
      <c r="QMZ288" s="1132" t="n"/>
      <c r="QNA288" s="1132" t="n"/>
      <c r="QNB288" s="1132" t="n"/>
      <c r="QNC288" s="1132" t="n"/>
      <c r="QND288" s="1132" t="n"/>
      <c r="QNE288" s="1132" t="n"/>
      <c r="QNF288" s="1132" t="n"/>
      <c r="QNG288" s="1132" t="n"/>
      <c r="QNH288" s="1132" t="n"/>
      <c r="QNI288" s="1132" t="n"/>
      <c r="QNJ288" s="1132" t="n"/>
      <c r="QNK288" s="1132" t="n"/>
      <c r="QNL288" s="1132" t="n"/>
      <c r="QNM288" s="1132" t="n"/>
      <c r="QNN288" s="1132" t="n"/>
      <c r="QNO288" s="1132" t="n"/>
      <c r="QNP288" s="1132" t="n"/>
      <c r="QNQ288" s="1132" t="n"/>
      <c r="QNR288" s="1132" t="n"/>
      <c r="QNS288" s="1132" t="n"/>
      <c r="QNT288" s="1132" t="n"/>
      <c r="QNU288" s="1132" t="n"/>
      <c r="QNV288" s="1132" t="n"/>
      <c r="QNW288" s="1132" t="n"/>
      <c r="QNX288" s="1132" t="n"/>
      <c r="QNY288" s="1132" t="n"/>
      <c r="QNZ288" s="1132" t="n"/>
      <c r="QOA288" s="1132" t="n"/>
      <c r="QOB288" s="1132" t="n"/>
      <c r="QOC288" s="1132" t="n"/>
      <c r="QOD288" s="1132" t="n"/>
      <c r="QOE288" s="1132" t="n"/>
      <c r="QOF288" s="1132" t="n"/>
      <c r="QOG288" s="1132" t="n"/>
      <c r="QOH288" s="1132" t="n"/>
      <c r="QOI288" s="1132" t="n"/>
      <c r="QOJ288" s="1132" t="n"/>
      <c r="QOK288" s="1132" t="n"/>
      <c r="QOL288" s="1132" t="n"/>
      <c r="QOM288" s="1132" t="n"/>
      <c r="QON288" s="1132" t="n"/>
      <c r="QOO288" s="1132" t="n"/>
      <c r="QOP288" s="1132" t="n"/>
      <c r="QOQ288" s="1132" t="n"/>
      <c r="QOR288" s="1132" t="n"/>
      <c r="QOS288" s="1132" t="n"/>
      <c r="QOT288" s="1132" t="n"/>
      <c r="QOU288" s="1132" t="n"/>
      <c r="QOV288" s="1132" t="n"/>
      <c r="QOW288" s="1132" t="n"/>
      <c r="QOX288" s="1132" t="n"/>
      <c r="QOY288" s="1132" t="n"/>
      <c r="QOZ288" s="1132" t="n"/>
      <c r="QPA288" s="1132" t="n"/>
      <c r="QPB288" s="1132" t="n"/>
      <c r="QPC288" s="1132" t="n"/>
      <c r="QPD288" s="1132" t="n"/>
      <c r="QPE288" s="1132" t="n"/>
      <c r="QPF288" s="1132" t="n"/>
      <c r="QPG288" s="1132" t="n"/>
      <c r="QPH288" s="1132" t="n"/>
      <c r="QPI288" s="1132" t="n"/>
      <c r="QPJ288" s="1132" t="n"/>
      <c r="QPK288" s="1132" t="n"/>
      <c r="QPL288" s="1132" t="n"/>
      <c r="QPM288" s="1132" t="n"/>
      <c r="QPN288" s="1132" t="n"/>
      <c r="QPO288" s="1132" t="n"/>
      <c r="QPP288" s="1132" t="n"/>
      <c r="QPQ288" s="1132" t="n"/>
      <c r="QPR288" s="1132" t="n"/>
      <c r="QPS288" s="1132" t="n"/>
      <c r="QPT288" s="1132" t="n"/>
      <c r="QPU288" s="1132" t="n"/>
      <c r="QPV288" s="1132" t="n"/>
      <c r="QPW288" s="1132" t="n"/>
      <c r="QPX288" s="1132" t="n"/>
      <c r="QPY288" s="1132" t="n"/>
      <c r="QPZ288" s="1132" t="n"/>
      <c r="QQA288" s="1132" t="n"/>
      <c r="QQB288" s="1132" t="n"/>
      <c r="QQC288" s="1132" t="n"/>
      <c r="QQD288" s="1132" t="n"/>
      <c r="QQE288" s="1132" t="n"/>
      <c r="QQF288" s="1132" t="n"/>
      <c r="QQG288" s="1132" t="n"/>
      <c r="QQH288" s="1132" t="n"/>
      <c r="QQI288" s="1132" t="n"/>
      <c r="QQJ288" s="1132" t="n"/>
      <c r="QQK288" s="1132" t="n"/>
      <c r="QQL288" s="1132" t="n"/>
      <c r="QQM288" s="1132" t="n"/>
      <c r="QQN288" s="1132" t="n"/>
      <c r="QQO288" s="1132" t="n"/>
      <c r="QQP288" s="1132" t="n"/>
      <c r="QQQ288" s="1132" t="n"/>
      <c r="QQR288" s="1132" t="n"/>
      <c r="QQS288" s="1132" t="n"/>
      <c r="QQT288" s="1132" t="n"/>
      <c r="QQU288" s="1132" t="n"/>
      <c r="QQV288" s="1132" t="n"/>
      <c r="QQW288" s="1132" t="n"/>
      <c r="QQX288" s="1132" t="n"/>
      <c r="QQY288" s="1132" t="n"/>
      <c r="QQZ288" s="1132" t="n"/>
      <c r="QRA288" s="1132" t="n"/>
      <c r="QRB288" s="1132" t="n"/>
      <c r="QRC288" s="1132" t="n"/>
      <c r="QRD288" s="1132" t="n"/>
      <c r="QRE288" s="1132" t="n"/>
      <c r="QRF288" s="1132" t="n"/>
      <c r="QRG288" s="1132" t="n"/>
      <c r="QRH288" s="1132" t="n"/>
      <c r="QRI288" s="1132" t="n"/>
      <c r="QRJ288" s="1132" t="n"/>
      <c r="QRK288" s="1132" t="n"/>
      <c r="QRL288" s="1132" t="n"/>
      <c r="QRM288" s="1132" t="n"/>
      <c r="QRN288" s="1132" t="n"/>
      <c r="QRO288" s="1132" t="n"/>
      <c r="QRP288" s="1132" t="n"/>
      <c r="QRQ288" s="1132" t="n"/>
      <c r="QRR288" s="1132" t="n"/>
      <c r="QRS288" s="1132" t="n"/>
      <c r="QRT288" s="1132" t="n"/>
      <c r="QRU288" s="1132" t="n"/>
      <c r="QRV288" s="1132" t="n"/>
      <c r="QRW288" s="1132" t="n"/>
      <c r="QRX288" s="1132" t="n"/>
      <c r="QRY288" s="1132" t="n"/>
      <c r="QRZ288" s="1132" t="n"/>
      <c r="QSA288" s="1132" t="n"/>
      <c r="QSB288" s="1132" t="n"/>
      <c r="QSC288" s="1132" t="n"/>
      <c r="QSD288" s="1132" t="n"/>
      <c r="QSE288" s="1132" t="n"/>
      <c r="QSF288" s="1132" t="n"/>
      <c r="QSG288" s="1132" t="n"/>
      <c r="QSH288" s="1132" t="n"/>
      <c r="QSI288" s="1132" t="n"/>
      <c r="QSJ288" s="1132" t="n"/>
      <c r="QSK288" s="1132" t="n"/>
      <c r="QSL288" s="1132" t="n"/>
      <c r="QSM288" s="1132" t="n"/>
      <c r="QSN288" s="1132" t="n"/>
      <c r="QSO288" s="1132" t="n"/>
      <c r="QSP288" s="1132" t="n"/>
      <c r="QSQ288" s="1132" t="n"/>
      <c r="QSR288" s="1132" t="n"/>
      <c r="QSS288" s="1132" t="n"/>
      <c r="QST288" s="1132" t="n"/>
      <c r="QSU288" s="1132" t="n"/>
      <c r="QSV288" s="1132" t="n"/>
      <c r="QSW288" s="1132" t="n"/>
      <c r="QSX288" s="1132" t="n"/>
      <c r="QSY288" s="1132" t="n"/>
      <c r="QSZ288" s="1132" t="n"/>
      <c r="QTA288" s="1132" t="n"/>
      <c r="QTB288" s="1132" t="n"/>
      <c r="QTC288" s="1132" t="n"/>
      <c r="QTD288" s="1132" t="n"/>
      <c r="QTE288" s="1132" t="n"/>
      <c r="QTF288" s="1132" t="n"/>
      <c r="QTG288" s="1132" t="n"/>
      <c r="QTH288" s="1132" t="n"/>
      <c r="QTI288" s="1132" t="n"/>
      <c r="QTJ288" s="1132" t="n"/>
      <c r="QTK288" s="1132" t="n"/>
      <c r="QTL288" s="1132" t="n"/>
      <c r="QTM288" s="1132" t="n"/>
      <c r="QTN288" s="1132" t="n"/>
      <c r="QTO288" s="1132" t="n"/>
      <c r="QTP288" s="1132" t="n"/>
      <c r="QTQ288" s="1132" t="n"/>
      <c r="QTR288" s="1132" t="n"/>
      <c r="QTS288" s="1132" t="n"/>
      <c r="QTT288" s="1132" t="n"/>
      <c r="QTU288" s="1132" t="n"/>
      <c r="QTV288" s="1132" t="n"/>
      <c r="QTW288" s="1132" t="n"/>
      <c r="QTX288" s="1132" t="n"/>
      <c r="QTY288" s="1132" t="n"/>
      <c r="QTZ288" s="1132" t="n"/>
      <c r="QUA288" s="1132" t="n"/>
      <c r="QUB288" s="1132" t="n"/>
      <c r="QUC288" s="1132" t="n"/>
      <c r="QUD288" s="1132" t="n"/>
      <c r="QUE288" s="1132" t="n"/>
      <c r="QUF288" s="1132" t="n"/>
      <c r="QUG288" s="1132" t="n"/>
      <c r="QUH288" s="1132" t="n"/>
      <c r="QUI288" s="1132" t="n"/>
      <c r="QUJ288" s="1132" t="n"/>
      <c r="QUK288" s="1132" t="n"/>
      <c r="QUL288" s="1132" t="n"/>
      <c r="QUM288" s="1132" t="n"/>
      <c r="QUN288" s="1132" t="n"/>
      <c r="QUO288" s="1132" t="n"/>
      <c r="QUP288" s="1132" t="n"/>
      <c r="QUQ288" s="1132" t="n"/>
      <c r="QUR288" s="1132" t="n"/>
      <c r="QUS288" s="1132" t="n"/>
      <c r="QUT288" s="1132" t="n"/>
      <c r="QUU288" s="1132" t="n"/>
      <c r="QUV288" s="1132" t="n"/>
      <c r="QUW288" s="1132" t="n"/>
      <c r="QUX288" s="1132" t="n"/>
      <c r="QUY288" s="1132" t="n"/>
      <c r="QUZ288" s="1132" t="n"/>
      <c r="QVA288" s="1132" t="n"/>
      <c r="QVB288" s="1132" t="n"/>
      <c r="QVC288" s="1132" t="n"/>
      <c r="QVD288" s="1132" t="n"/>
      <c r="QVE288" s="1132" t="n"/>
      <c r="QVF288" s="1132" t="n"/>
      <c r="QVG288" s="1132" t="n"/>
      <c r="QVH288" s="1132" t="n"/>
      <c r="QVI288" s="1132" t="n"/>
      <c r="QVJ288" s="1132" t="n"/>
      <c r="QVK288" s="1132" t="n"/>
      <c r="QVL288" s="1132" t="n"/>
      <c r="QVM288" s="1132" t="n"/>
      <c r="QVN288" s="1132" t="n"/>
      <c r="QVO288" s="1132" t="n"/>
      <c r="QVP288" s="1132" t="n"/>
      <c r="QVQ288" s="1132" t="n"/>
      <c r="QVR288" s="1132" t="n"/>
      <c r="QVS288" s="1132" t="n"/>
      <c r="QVT288" s="1132" t="n"/>
      <c r="QVU288" s="1132" t="n"/>
      <c r="QVV288" s="1132" t="n"/>
      <c r="QVW288" s="1132" t="n"/>
      <c r="QVX288" s="1132" t="n"/>
      <c r="QVY288" s="1132" t="n"/>
      <c r="QVZ288" s="1132" t="n"/>
      <c r="QWA288" s="1132" t="n"/>
      <c r="QWB288" s="1132" t="n"/>
      <c r="QWC288" s="1132" t="n"/>
      <c r="QWD288" s="1132" t="n"/>
      <c r="QWE288" s="1132" t="n"/>
      <c r="QWF288" s="1132" t="n"/>
      <c r="QWG288" s="1132" t="n"/>
      <c r="QWH288" s="1132" t="n"/>
      <c r="QWI288" s="1132" t="n"/>
      <c r="QWJ288" s="1132" t="n"/>
      <c r="QWK288" s="1132" t="n"/>
      <c r="QWL288" s="1132" t="n"/>
      <c r="QWM288" s="1132" t="n"/>
      <c r="QWN288" s="1132" t="n"/>
      <c r="QWO288" s="1132" t="n"/>
      <c r="QWP288" s="1132" t="n"/>
      <c r="QWQ288" s="1132" t="n"/>
      <c r="QWR288" s="1132" t="n"/>
      <c r="QWS288" s="1132" t="n"/>
      <c r="QWT288" s="1132" t="n"/>
      <c r="QWU288" s="1132" t="n"/>
      <c r="QWV288" s="1132" t="n"/>
      <c r="QWW288" s="1132" t="n"/>
      <c r="QWX288" s="1132" t="n"/>
      <c r="QWY288" s="1132" t="n"/>
      <c r="QWZ288" s="1132" t="n"/>
      <c r="QXA288" s="1132" t="n"/>
      <c r="QXB288" s="1132" t="n"/>
      <c r="QXC288" s="1132" t="n"/>
      <c r="QXD288" s="1132" t="n"/>
      <c r="QXE288" s="1132" t="n"/>
      <c r="QXF288" s="1132" t="n"/>
      <c r="QXG288" s="1132" t="n"/>
      <c r="QXH288" s="1132" t="n"/>
      <c r="QXI288" s="1132" t="n"/>
      <c r="QXJ288" s="1132" t="n"/>
      <c r="QXK288" s="1132" t="n"/>
      <c r="QXL288" s="1132" t="n"/>
      <c r="QXM288" s="1132" t="n"/>
      <c r="QXN288" s="1132" t="n"/>
      <c r="QXO288" s="1132" t="n"/>
      <c r="QXP288" s="1132" t="n"/>
      <c r="QXQ288" s="1132" t="n"/>
      <c r="QXR288" s="1132" t="n"/>
      <c r="QXS288" s="1132" t="n"/>
      <c r="QXT288" s="1132" t="n"/>
      <c r="QXU288" s="1132" t="n"/>
      <c r="QXV288" s="1132" t="n"/>
      <c r="QXW288" s="1132" t="n"/>
      <c r="QXX288" s="1132" t="n"/>
      <c r="QXY288" s="1132" t="n"/>
      <c r="QXZ288" s="1132" t="n"/>
      <c r="QYA288" s="1132" t="n"/>
      <c r="QYB288" s="1132" t="n"/>
      <c r="QYC288" s="1132" t="n"/>
      <c r="QYD288" s="1132" t="n"/>
      <c r="QYE288" s="1132" t="n"/>
      <c r="QYF288" s="1132" t="n"/>
      <c r="QYG288" s="1132" t="n"/>
      <c r="QYH288" s="1132" t="n"/>
      <c r="QYI288" s="1132" t="n"/>
      <c r="QYJ288" s="1132" t="n"/>
      <c r="QYK288" s="1132" t="n"/>
      <c r="QYL288" s="1132" t="n"/>
      <c r="QYM288" s="1132" t="n"/>
      <c r="QYN288" s="1132" t="n"/>
      <c r="QYO288" s="1132" t="n"/>
      <c r="QYP288" s="1132" t="n"/>
      <c r="QYQ288" s="1132" t="n"/>
      <c r="QYR288" s="1132" t="n"/>
      <c r="QYS288" s="1132" t="n"/>
      <c r="QYT288" s="1132" t="n"/>
      <c r="QYU288" s="1132" t="n"/>
      <c r="QYV288" s="1132" t="n"/>
      <c r="QYW288" s="1132" t="n"/>
      <c r="QYX288" s="1132" t="n"/>
      <c r="QYY288" s="1132" t="n"/>
      <c r="QYZ288" s="1132" t="n"/>
      <c r="QZA288" s="1132" t="n"/>
      <c r="QZB288" s="1132" t="n"/>
      <c r="QZC288" s="1132" t="n"/>
      <c r="QZD288" s="1132" t="n"/>
      <c r="QZE288" s="1132" t="n"/>
      <c r="QZF288" s="1132" t="n"/>
      <c r="QZG288" s="1132" t="n"/>
      <c r="QZH288" s="1132" t="n"/>
      <c r="QZI288" s="1132" t="n"/>
      <c r="QZJ288" s="1132" t="n"/>
      <c r="QZK288" s="1132" t="n"/>
      <c r="QZL288" s="1132" t="n"/>
      <c r="QZM288" s="1132" t="n"/>
      <c r="QZN288" s="1132" t="n"/>
      <c r="QZO288" s="1132" t="n"/>
      <c r="QZP288" s="1132" t="n"/>
      <c r="QZQ288" s="1132" t="n"/>
      <c r="QZR288" s="1132" t="n"/>
      <c r="QZS288" s="1132" t="n"/>
      <c r="QZT288" s="1132" t="n"/>
      <c r="QZU288" s="1132" t="n"/>
      <c r="QZV288" s="1132" t="n"/>
      <c r="QZW288" s="1132" t="n"/>
      <c r="QZX288" s="1132" t="n"/>
      <c r="QZY288" s="1132" t="n"/>
      <c r="QZZ288" s="1132" t="n"/>
      <c r="RAA288" s="1132" t="n"/>
      <c r="RAB288" s="1132" t="n"/>
      <c r="RAC288" s="1132" t="n"/>
      <c r="RAD288" s="1132" t="n"/>
      <c r="RAE288" s="1132" t="n"/>
      <c r="RAF288" s="1132" t="n"/>
      <c r="RAG288" s="1132" t="n"/>
      <c r="RAH288" s="1132" t="n"/>
      <c r="RAI288" s="1132" t="n"/>
      <c r="RAJ288" s="1132" t="n"/>
      <c r="RAK288" s="1132" t="n"/>
      <c r="RAL288" s="1132" t="n"/>
      <c r="RAM288" s="1132" t="n"/>
      <c r="RAN288" s="1132" t="n"/>
      <c r="RAO288" s="1132" t="n"/>
      <c r="RAP288" s="1132" t="n"/>
      <c r="RAQ288" s="1132" t="n"/>
      <c r="RAR288" s="1132" t="n"/>
      <c r="RAS288" s="1132" t="n"/>
      <c r="RAT288" s="1132" t="n"/>
      <c r="RAU288" s="1132" t="n"/>
      <c r="RAV288" s="1132" t="n"/>
      <c r="RAW288" s="1132" t="n"/>
      <c r="RAX288" s="1132" t="n"/>
      <c r="RAY288" s="1132" t="n"/>
      <c r="RAZ288" s="1132" t="n"/>
      <c r="RBA288" s="1132" t="n"/>
      <c r="RBB288" s="1132" t="n"/>
      <c r="RBC288" s="1132" t="n"/>
      <c r="RBD288" s="1132" t="n"/>
      <c r="RBE288" s="1132" t="n"/>
      <c r="RBF288" s="1132" t="n"/>
      <c r="RBG288" s="1132" t="n"/>
      <c r="RBH288" s="1132" t="n"/>
      <c r="RBI288" s="1132" t="n"/>
      <c r="RBJ288" s="1132" t="n"/>
      <c r="RBK288" s="1132" t="n"/>
      <c r="RBL288" s="1132" t="n"/>
      <c r="RBM288" s="1132" t="n"/>
      <c r="RBN288" s="1132" t="n"/>
      <c r="RBO288" s="1132" t="n"/>
      <c r="RBP288" s="1132" t="n"/>
      <c r="RBQ288" s="1132" t="n"/>
      <c r="RBR288" s="1132" t="n"/>
      <c r="RBS288" s="1132" t="n"/>
      <c r="RBT288" s="1132" t="n"/>
      <c r="RBU288" s="1132" t="n"/>
      <c r="RBV288" s="1132" t="n"/>
      <c r="RBW288" s="1132" t="n"/>
      <c r="RBX288" s="1132" t="n"/>
      <c r="RBY288" s="1132" t="n"/>
      <c r="RBZ288" s="1132" t="n"/>
      <c r="RCA288" s="1132" t="n"/>
      <c r="RCB288" s="1132" t="n"/>
      <c r="RCC288" s="1132" t="n"/>
      <c r="RCD288" s="1132" t="n"/>
      <c r="RCE288" s="1132" t="n"/>
      <c r="RCF288" s="1132" t="n"/>
      <c r="RCG288" s="1132" t="n"/>
      <c r="RCH288" s="1132" t="n"/>
      <c r="RCI288" s="1132" t="n"/>
      <c r="RCJ288" s="1132" t="n"/>
      <c r="RCK288" s="1132" t="n"/>
      <c r="RCL288" s="1132" t="n"/>
      <c r="RCM288" s="1132" t="n"/>
      <c r="RCN288" s="1132" t="n"/>
      <c r="RCO288" s="1132" t="n"/>
      <c r="RCP288" s="1132" t="n"/>
      <c r="RCQ288" s="1132" t="n"/>
      <c r="RCR288" s="1132" t="n"/>
      <c r="RCS288" s="1132" t="n"/>
      <c r="RCT288" s="1132" t="n"/>
      <c r="RCU288" s="1132" t="n"/>
      <c r="RCV288" s="1132" t="n"/>
      <c r="RCW288" s="1132" t="n"/>
      <c r="RCX288" s="1132" t="n"/>
      <c r="RCY288" s="1132" t="n"/>
      <c r="RCZ288" s="1132" t="n"/>
      <c r="RDA288" s="1132" t="n"/>
      <c r="RDB288" s="1132" t="n"/>
      <c r="RDC288" s="1132" t="n"/>
      <c r="RDD288" s="1132" t="n"/>
      <c r="RDE288" s="1132" t="n"/>
      <c r="RDF288" s="1132" t="n"/>
      <c r="RDG288" s="1132" t="n"/>
      <c r="RDH288" s="1132" t="n"/>
      <c r="RDI288" s="1132" t="n"/>
      <c r="RDJ288" s="1132" t="n"/>
      <c r="RDK288" s="1132" t="n"/>
      <c r="RDL288" s="1132" t="n"/>
      <c r="RDM288" s="1132" t="n"/>
      <c r="RDN288" s="1132" t="n"/>
      <c r="RDO288" s="1132" t="n"/>
      <c r="RDP288" s="1132" t="n"/>
      <c r="RDQ288" s="1132" t="n"/>
      <c r="RDR288" s="1132" t="n"/>
      <c r="RDS288" s="1132" t="n"/>
      <c r="RDT288" s="1132" t="n"/>
      <c r="RDU288" s="1132" t="n"/>
      <c r="RDV288" s="1132" t="n"/>
      <c r="RDW288" s="1132" t="n"/>
      <c r="RDX288" s="1132" t="n"/>
      <c r="RDY288" s="1132" t="n"/>
      <c r="RDZ288" s="1132" t="n"/>
      <c r="REA288" s="1132" t="n"/>
      <c r="REB288" s="1132" t="n"/>
      <c r="REC288" s="1132" t="n"/>
      <c r="RED288" s="1132" t="n"/>
      <c r="REE288" s="1132" t="n"/>
      <c r="REF288" s="1132" t="n"/>
      <c r="REG288" s="1132" t="n"/>
      <c r="REH288" s="1132" t="n"/>
      <c r="REI288" s="1132" t="n"/>
      <c r="REJ288" s="1132" t="n"/>
      <c r="REK288" s="1132" t="n"/>
      <c r="REL288" s="1132" t="n"/>
      <c r="REM288" s="1132" t="n"/>
      <c r="REN288" s="1132" t="n"/>
      <c r="REO288" s="1132" t="n"/>
      <c r="REP288" s="1132" t="n"/>
      <c r="REQ288" s="1132" t="n"/>
      <c r="RER288" s="1132" t="n"/>
      <c r="RES288" s="1132" t="n"/>
      <c r="RET288" s="1132" t="n"/>
      <c r="REU288" s="1132" t="n"/>
      <c r="REV288" s="1132" t="n"/>
      <c r="REW288" s="1132" t="n"/>
      <c r="REX288" s="1132" t="n"/>
      <c r="REY288" s="1132" t="n"/>
      <c r="REZ288" s="1132" t="n"/>
      <c r="RFA288" s="1132" t="n"/>
      <c r="RFB288" s="1132" t="n"/>
      <c r="RFC288" s="1132" t="n"/>
      <c r="RFD288" s="1132" t="n"/>
      <c r="RFE288" s="1132" t="n"/>
      <c r="RFF288" s="1132" t="n"/>
      <c r="RFG288" s="1132" t="n"/>
      <c r="RFH288" s="1132" t="n"/>
      <c r="RFI288" s="1132" t="n"/>
      <c r="RFJ288" s="1132" t="n"/>
      <c r="RFK288" s="1132" t="n"/>
      <c r="RFL288" s="1132" t="n"/>
      <c r="RFM288" s="1132" t="n"/>
      <c r="RFN288" s="1132" t="n"/>
      <c r="RFO288" s="1132" t="n"/>
      <c r="RFP288" s="1132" t="n"/>
      <c r="RFQ288" s="1132" t="n"/>
      <c r="RFR288" s="1132" t="n"/>
      <c r="RFS288" s="1132" t="n"/>
      <c r="RFT288" s="1132" t="n"/>
      <c r="RFU288" s="1132" t="n"/>
      <c r="RFV288" s="1132" t="n"/>
      <c r="RFW288" s="1132" t="n"/>
      <c r="RFX288" s="1132" t="n"/>
      <c r="RFY288" s="1132" t="n"/>
      <c r="RFZ288" s="1132" t="n"/>
      <c r="RGA288" s="1132" t="n"/>
      <c r="RGB288" s="1132" t="n"/>
      <c r="RGC288" s="1132" t="n"/>
      <c r="RGD288" s="1132" t="n"/>
      <c r="RGE288" s="1132" t="n"/>
      <c r="RGF288" s="1132" t="n"/>
      <c r="RGG288" s="1132" t="n"/>
      <c r="RGH288" s="1132" t="n"/>
      <c r="RGI288" s="1132" t="n"/>
      <c r="RGJ288" s="1132" t="n"/>
      <c r="RGK288" s="1132" t="n"/>
      <c r="RGL288" s="1132" t="n"/>
      <c r="RGM288" s="1132" t="n"/>
      <c r="RGN288" s="1132" t="n"/>
      <c r="RGO288" s="1132" t="n"/>
      <c r="RGP288" s="1132" t="n"/>
      <c r="RGQ288" s="1132" t="n"/>
      <c r="RGR288" s="1132" t="n"/>
      <c r="RGS288" s="1132" t="n"/>
      <c r="RGT288" s="1132" t="n"/>
      <c r="RGU288" s="1132" t="n"/>
      <c r="RGV288" s="1132" t="n"/>
      <c r="RGW288" s="1132" t="n"/>
      <c r="RGX288" s="1132" t="n"/>
      <c r="RGY288" s="1132" t="n"/>
      <c r="RGZ288" s="1132" t="n"/>
      <c r="RHA288" s="1132" t="n"/>
      <c r="RHB288" s="1132" t="n"/>
      <c r="RHC288" s="1132" t="n"/>
      <c r="RHD288" s="1132" t="n"/>
      <c r="RHE288" s="1132" t="n"/>
      <c r="RHF288" s="1132" t="n"/>
      <c r="RHG288" s="1132" t="n"/>
      <c r="RHH288" s="1132" t="n"/>
      <c r="RHI288" s="1132" t="n"/>
      <c r="RHJ288" s="1132" t="n"/>
      <c r="RHK288" s="1132" t="n"/>
      <c r="RHL288" s="1132" t="n"/>
      <c r="RHM288" s="1132" t="n"/>
      <c r="RHN288" s="1132" t="n"/>
      <c r="RHO288" s="1132" t="n"/>
      <c r="RHP288" s="1132" t="n"/>
      <c r="RHQ288" s="1132" t="n"/>
      <c r="RHR288" s="1132" t="n"/>
      <c r="RHS288" s="1132" t="n"/>
      <c r="RHT288" s="1132" t="n"/>
      <c r="RHU288" s="1132" t="n"/>
      <c r="RHV288" s="1132" t="n"/>
      <c r="RHW288" s="1132" t="n"/>
      <c r="RHX288" s="1132" t="n"/>
      <c r="RHY288" s="1132" t="n"/>
      <c r="RHZ288" s="1132" t="n"/>
      <c r="RIA288" s="1132" t="n"/>
      <c r="RIB288" s="1132" t="n"/>
      <c r="RIC288" s="1132" t="n"/>
      <c r="RID288" s="1132" t="n"/>
      <c r="RIE288" s="1132" t="n"/>
      <c r="RIF288" s="1132" t="n"/>
      <c r="RIG288" s="1132" t="n"/>
      <c r="RIH288" s="1132" t="n"/>
      <c r="RII288" s="1132" t="n"/>
      <c r="RIJ288" s="1132" t="n"/>
      <c r="RIK288" s="1132" t="n"/>
      <c r="RIL288" s="1132" t="n"/>
      <c r="RIM288" s="1132" t="n"/>
      <c r="RIN288" s="1132" t="n"/>
      <c r="RIO288" s="1132" t="n"/>
      <c r="RIP288" s="1132" t="n"/>
      <c r="RIQ288" s="1132" t="n"/>
      <c r="RIR288" s="1132" t="n"/>
      <c r="RIS288" s="1132" t="n"/>
      <c r="RIT288" s="1132" t="n"/>
      <c r="RIU288" s="1132" t="n"/>
      <c r="RIV288" s="1132" t="n"/>
      <c r="RIW288" s="1132" t="n"/>
      <c r="RIX288" s="1132" t="n"/>
      <c r="RIY288" s="1132" t="n"/>
      <c r="RIZ288" s="1132" t="n"/>
      <c r="RJA288" s="1132" t="n"/>
      <c r="RJB288" s="1132" t="n"/>
      <c r="RJC288" s="1132" t="n"/>
      <c r="RJD288" s="1132" t="n"/>
      <c r="RJE288" s="1132" t="n"/>
      <c r="RJF288" s="1132" t="n"/>
      <c r="RJG288" s="1132" t="n"/>
      <c r="RJH288" s="1132" t="n"/>
      <c r="RJI288" s="1132" t="n"/>
      <c r="RJJ288" s="1132" t="n"/>
      <c r="RJK288" s="1132" t="n"/>
      <c r="RJL288" s="1132" t="n"/>
      <c r="RJM288" s="1132" t="n"/>
      <c r="RJN288" s="1132" t="n"/>
      <c r="RJO288" s="1132" t="n"/>
      <c r="RJP288" s="1132" t="n"/>
      <c r="RJQ288" s="1132" t="n"/>
      <c r="RJR288" s="1132" t="n"/>
      <c r="RJS288" s="1132" t="n"/>
      <c r="RJT288" s="1132" t="n"/>
      <c r="RJU288" s="1132" t="n"/>
      <c r="RJV288" s="1132" t="n"/>
      <c r="RJW288" s="1132" t="n"/>
      <c r="RJX288" s="1132" t="n"/>
      <c r="RJY288" s="1132" t="n"/>
      <c r="RJZ288" s="1132" t="n"/>
      <c r="RKA288" s="1132" t="n"/>
      <c r="RKB288" s="1132" t="n"/>
      <c r="RKC288" s="1132" t="n"/>
      <c r="RKD288" s="1132" t="n"/>
      <c r="RKE288" s="1132" t="n"/>
      <c r="RKF288" s="1132" t="n"/>
      <c r="RKG288" s="1132" t="n"/>
      <c r="RKH288" s="1132" t="n"/>
      <c r="RKI288" s="1132" t="n"/>
      <c r="RKJ288" s="1132" t="n"/>
      <c r="RKK288" s="1132" t="n"/>
      <c r="RKL288" s="1132" t="n"/>
      <c r="RKM288" s="1132" t="n"/>
      <c r="RKN288" s="1132" t="n"/>
      <c r="RKO288" s="1132" t="n"/>
      <c r="RKP288" s="1132" t="n"/>
      <c r="RKQ288" s="1132" t="n"/>
      <c r="RKR288" s="1132" t="n"/>
      <c r="RKS288" s="1132" t="n"/>
      <c r="RKT288" s="1132" t="n"/>
      <c r="RKU288" s="1132" t="n"/>
      <c r="RKV288" s="1132" t="n"/>
      <c r="RKW288" s="1132" t="n"/>
      <c r="RKX288" s="1132" t="n"/>
      <c r="RKY288" s="1132" t="n"/>
      <c r="RKZ288" s="1132" t="n"/>
      <c r="RLA288" s="1132" t="n"/>
      <c r="RLB288" s="1132" t="n"/>
      <c r="RLC288" s="1132" t="n"/>
      <c r="RLD288" s="1132" t="n"/>
      <c r="RLE288" s="1132" t="n"/>
      <c r="RLF288" s="1132" t="n"/>
      <c r="RLG288" s="1132" t="n"/>
      <c r="RLH288" s="1132" t="n"/>
      <c r="RLI288" s="1132" t="n"/>
      <c r="RLJ288" s="1132" t="n"/>
      <c r="RLK288" s="1132" t="n"/>
      <c r="RLL288" s="1132" t="n"/>
      <c r="RLM288" s="1132" t="n"/>
      <c r="RLN288" s="1132" t="n"/>
      <c r="RLO288" s="1132" t="n"/>
      <c r="RLP288" s="1132" t="n"/>
      <c r="RLQ288" s="1132" t="n"/>
      <c r="RLR288" s="1132" t="n"/>
      <c r="RLS288" s="1132" t="n"/>
      <c r="RLT288" s="1132" t="n"/>
      <c r="RLU288" s="1132" t="n"/>
      <c r="RLV288" s="1132" t="n"/>
      <c r="RLW288" s="1132" t="n"/>
      <c r="RLX288" s="1132" t="n"/>
      <c r="RLY288" s="1132" t="n"/>
      <c r="RLZ288" s="1132" t="n"/>
      <c r="RMA288" s="1132" t="n"/>
      <c r="RMB288" s="1132" t="n"/>
      <c r="RMC288" s="1132" t="n"/>
      <c r="RMD288" s="1132" t="n"/>
      <c r="RME288" s="1132" t="n"/>
      <c r="RMF288" s="1132" t="n"/>
      <c r="RMG288" s="1132" t="n"/>
      <c r="RMH288" s="1132" t="n"/>
      <c r="RMI288" s="1132" t="n"/>
      <c r="RMJ288" s="1132" t="n"/>
      <c r="RMK288" s="1132" t="n"/>
      <c r="RML288" s="1132" t="n"/>
      <c r="RMM288" s="1132" t="n"/>
      <c r="RMN288" s="1132" t="n"/>
      <c r="RMO288" s="1132" t="n"/>
      <c r="RMP288" s="1132" t="n"/>
      <c r="RMQ288" s="1132" t="n"/>
      <c r="RMR288" s="1132" t="n"/>
      <c r="RMS288" s="1132" t="n"/>
      <c r="RMT288" s="1132" t="n"/>
      <c r="RMU288" s="1132" t="n"/>
      <c r="RMV288" s="1132" t="n"/>
      <c r="RMW288" s="1132" t="n"/>
      <c r="RMX288" s="1132" t="n"/>
      <c r="RMY288" s="1132" t="n"/>
      <c r="RMZ288" s="1132" t="n"/>
      <c r="RNA288" s="1132" t="n"/>
      <c r="RNB288" s="1132" t="n"/>
      <c r="RNC288" s="1132" t="n"/>
      <c r="RND288" s="1132" t="n"/>
      <c r="RNE288" s="1132" t="n"/>
      <c r="RNF288" s="1132" t="n"/>
      <c r="RNG288" s="1132" t="n"/>
      <c r="RNH288" s="1132" t="n"/>
      <c r="RNI288" s="1132" t="n"/>
      <c r="RNJ288" s="1132" t="n"/>
      <c r="RNK288" s="1132" t="n"/>
      <c r="RNL288" s="1132" t="n"/>
      <c r="RNM288" s="1132" t="n"/>
      <c r="RNN288" s="1132" t="n"/>
      <c r="RNO288" s="1132" t="n"/>
      <c r="RNP288" s="1132" t="n"/>
      <c r="RNQ288" s="1132" t="n"/>
      <c r="RNR288" s="1132" t="n"/>
      <c r="RNS288" s="1132" t="n"/>
      <c r="RNT288" s="1132" t="n"/>
      <c r="RNU288" s="1132" t="n"/>
      <c r="RNV288" s="1132" t="n"/>
      <c r="RNW288" s="1132" t="n"/>
      <c r="RNX288" s="1132" t="n"/>
      <c r="RNY288" s="1132" t="n"/>
      <c r="RNZ288" s="1132" t="n"/>
      <c r="ROA288" s="1132" t="n"/>
      <c r="ROB288" s="1132" t="n"/>
      <c r="ROC288" s="1132" t="n"/>
      <c r="ROD288" s="1132" t="n"/>
      <c r="ROE288" s="1132" t="n"/>
      <c r="ROF288" s="1132" t="n"/>
      <c r="ROG288" s="1132" t="n"/>
      <c r="ROH288" s="1132" t="n"/>
      <c r="ROI288" s="1132" t="n"/>
      <c r="ROJ288" s="1132" t="n"/>
      <c r="ROK288" s="1132" t="n"/>
      <c r="ROL288" s="1132" t="n"/>
      <c r="ROM288" s="1132" t="n"/>
      <c r="RON288" s="1132" t="n"/>
      <c r="ROO288" s="1132" t="n"/>
      <c r="ROP288" s="1132" t="n"/>
      <c r="ROQ288" s="1132" t="n"/>
      <c r="ROR288" s="1132" t="n"/>
      <c r="ROS288" s="1132" t="n"/>
      <c r="ROT288" s="1132" t="n"/>
      <c r="ROU288" s="1132" t="n"/>
      <c r="ROV288" s="1132" t="n"/>
      <c r="ROW288" s="1132" t="n"/>
      <c r="ROX288" s="1132" t="n"/>
      <c r="ROY288" s="1132" t="n"/>
      <c r="ROZ288" s="1132" t="n"/>
      <c r="RPA288" s="1132" t="n"/>
      <c r="RPB288" s="1132" t="n"/>
      <c r="RPC288" s="1132" t="n"/>
      <c r="RPD288" s="1132" t="n"/>
      <c r="RPE288" s="1132" t="n"/>
      <c r="RPF288" s="1132" t="n"/>
      <c r="RPG288" s="1132" t="n"/>
      <c r="RPH288" s="1132" t="n"/>
      <c r="RPI288" s="1132" t="n"/>
      <c r="RPJ288" s="1132" t="n"/>
      <c r="RPK288" s="1132" t="n"/>
      <c r="RPL288" s="1132" t="n"/>
      <c r="RPM288" s="1132" t="n"/>
      <c r="RPN288" s="1132" t="n"/>
      <c r="RPO288" s="1132" t="n"/>
      <c r="RPP288" s="1132" t="n"/>
      <c r="RPQ288" s="1132" t="n"/>
      <c r="RPR288" s="1132" t="n"/>
      <c r="RPS288" s="1132" t="n"/>
      <c r="RPT288" s="1132" t="n"/>
      <c r="RPU288" s="1132" t="n"/>
      <c r="RPV288" s="1132" t="n"/>
      <c r="RPW288" s="1132" t="n"/>
      <c r="RPX288" s="1132" t="n"/>
      <c r="RPY288" s="1132" t="n"/>
      <c r="RPZ288" s="1132" t="n"/>
      <c r="RQA288" s="1132" t="n"/>
      <c r="RQB288" s="1132" t="n"/>
      <c r="RQC288" s="1132" t="n"/>
      <c r="RQD288" s="1132" t="n"/>
      <c r="RQE288" s="1132" t="n"/>
      <c r="RQF288" s="1132" t="n"/>
      <c r="RQG288" s="1132" t="n"/>
      <c r="RQH288" s="1132" t="n"/>
      <c r="RQI288" s="1132" t="n"/>
      <c r="RQJ288" s="1132" t="n"/>
      <c r="RQK288" s="1132" t="n"/>
      <c r="RQL288" s="1132" t="n"/>
      <c r="RQM288" s="1132" t="n"/>
      <c r="RQN288" s="1132" t="n"/>
      <c r="RQO288" s="1132" t="n"/>
      <c r="RQP288" s="1132" t="n"/>
      <c r="RQQ288" s="1132" t="n"/>
      <c r="RQR288" s="1132" t="n"/>
      <c r="RQS288" s="1132" t="n"/>
      <c r="RQT288" s="1132" t="n"/>
      <c r="RQU288" s="1132" t="n"/>
      <c r="RQV288" s="1132" t="n"/>
      <c r="RQW288" s="1132" t="n"/>
      <c r="RQX288" s="1132" t="n"/>
      <c r="RQY288" s="1132" t="n"/>
      <c r="RQZ288" s="1132" t="n"/>
      <c r="RRA288" s="1132" t="n"/>
      <c r="RRB288" s="1132" t="n"/>
      <c r="RRC288" s="1132" t="n"/>
      <c r="RRD288" s="1132" t="n"/>
      <c r="RRE288" s="1132" t="n"/>
      <c r="RRF288" s="1132" t="n"/>
      <c r="RRG288" s="1132" t="n"/>
      <c r="RRH288" s="1132" t="n"/>
      <c r="RRI288" s="1132" t="n"/>
      <c r="RRJ288" s="1132" t="n"/>
      <c r="RRK288" s="1132" t="n"/>
      <c r="RRL288" s="1132" t="n"/>
      <c r="RRM288" s="1132" t="n"/>
      <c r="RRN288" s="1132" t="n"/>
      <c r="RRO288" s="1132" t="n"/>
      <c r="RRP288" s="1132" t="n"/>
      <c r="RRQ288" s="1132" t="n"/>
      <c r="RRR288" s="1132" t="n"/>
      <c r="RRS288" s="1132" t="n"/>
      <c r="RRT288" s="1132" t="n"/>
      <c r="RRU288" s="1132" t="n"/>
      <c r="RRV288" s="1132" t="n"/>
      <c r="RRW288" s="1132" t="n"/>
      <c r="RRX288" s="1132" t="n"/>
      <c r="RRY288" s="1132" t="n"/>
      <c r="RRZ288" s="1132" t="n"/>
      <c r="RSA288" s="1132" t="n"/>
      <c r="RSB288" s="1132" t="n"/>
      <c r="RSC288" s="1132" t="n"/>
      <c r="RSD288" s="1132" t="n"/>
      <c r="RSE288" s="1132" t="n"/>
      <c r="RSF288" s="1132" t="n"/>
      <c r="RSG288" s="1132" t="n"/>
      <c r="RSH288" s="1132" t="n"/>
      <c r="RSI288" s="1132" t="n"/>
      <c r="RSJ288" s="1132" t="n"/>
      <c r="RSK288" s="1132" t="n"/>
      <c r="RSL288" s="1132" t="n"/>
      <c r="RSM288" s="1132" t="n"/>
      <c r="RSN288" s="1132" t="n"/>
      <c r="RSO288" s="1132" t="n"/>
      <c r="RSP288" s="1132" t="n"/>
      <c r="RSQ288" s="1132" t="n"/>
      <c r="RSR288" s="1132" t="n"/>
      <c r="RSS288" s="1132" t="n"/>
      <c r="RST288" s="1132" t="n"/>
      <c r="RSU288" s="1132" t="n"/>
      <c r="RSV288" s="1132" t="n"/>
      <c r="RSW288" s="1132" t="n"/>
      <c r="RSX288" s="1132" t="n"/>
      <c r="RSY288" s="1132" t="n"/>
      <c r="RSZ288" s="1132" t="n"/>
      <c r="RTA288" s="1132" t="n"/>
      <c r="RTB288" s="1132" t="n"/>
      <c r="RTC288" s="1132" t="n"/>
      <c r="RTD288" s="1132" t="n"/>
      <c r="RTE288" s="1132" t="n"/>
      <c r="RTF288" s="1132" t="n"/>
      <c r="RTG288" s="1132" t="n"/>
      <c r="RTH288" s="1132" t="n"/>
      <c r="RTI288" s="1132" t="n"/>
      <c r="RTJ288" s="1132" t="n"/>
      <c r="RTK288" s="1132" t="n"/>
      <c r="RTL288" s="1132" t="n"/>
      <c r="RTM288" s="1132" t="n"/>
      <c r="RTN288" s="1132" t="n"/>
      <c r="RTO288" s="1132" t="n"/>
      <c r="RTP288" s="1132" t="n"/>
      <c r="RTQ288" s="1132" t="n"/>
      <c r="RTR288" s="1132" t="n"/>
      <c r="RTS288" s="1132" t="n"/>
      <c r="RTT288" s="1132" t="n"/>
      <c r="RTU288" s="1132" t="n"/>
      <c r="RTV288" s="1132" t="n"/>
      <c r="RTW288" s="1132" t="n"/>
      <c r="RTX288" s="1132" t="n"/>
      <c r="RTY288" s="1132" t="n"/>
      <c r="RTZ288" s="1132" t="n"/>
      <c r="RUA288" s="1132" t="n"/>
      <c r="RUB288" s="1132" t="n"/>
      <c r="RUC288" s="1132" t="n"/>
      <c r="RUD288" s="1132" t="n"/>
      <c r="RUE288" s="1132" t="n"/>
      <c r="RUF288" s="1132" t="n"/>
      <c r="RUG288" s="1132" t="n"/>
      <c r="RUH288" s="1132" t="n"/>
      <c r="RUI288" s="1132" t="n"/>
      <c r="RUJ288" s="1132" t="n"/>
      <c r="RUK288" s="1132" t="n"/>
      <c r="RUL288" s="1132" t="n"/>
      <c r="RUM288" s="1132" t="n"/>
      <c r="RUN288" s="1132" t="n"/>
      <c r="RUO288" s="1132" t="n"/>
      <c r="RUP288" s="1132" t="n"/>
      <c r="RUQ288" s="1132" t="n"/>
      <c r="RUR288" s="1132" t="n"/>
      <c r="RUS288" s="1132" t="n"/>
      <c r="RUT288" s="1132" t="n"/>
      <c r="RUU288" s="1132" t="n"/>
      <c r="RUV288" s="1132" t="n"/>
      <c r="RUW288" s="1132" t="n"/>
      <c r="RUX288" s="1132" t="n"/>
      <c r="RUY288" s="1132" t="n"/>
      <c r="RUZ288" s="1132" t="n"/>
      <c r="RVA288" s="1132" t="n"/>
      <c r="RVB288" s="1132" t="n"/>
      <c r="RVC288" s="1132" t="n"/>
      <c r="RVD288" s="1132" t="n"/>
      <c r="RVE288" s="1132" t="n"/>
      <c r="RVF288" s="1132" t="n"/>
      <c r="RVG288" s="1132" t="n"/>
      <c r="RVH288" s="1132" t="n"/>
      <c r="RVI288" s="1132" t="n"/>
      <c r="RVJ288" s="1132" t="n"/>
      <c r="RVK288" s="1132" t="n"/>
      <c r="RVL288" s="1132" t="n"/>
      <c r="RVM288" s="1132" t="n"/>
      <c r="RVN288" s="1132" t="n"/>
      <c r="RVO288" s="1132" t="n"/>
      <c r="RVP288" s="1132" t="n"/>
      <c r="RVQ288" s="1132" t="n"/>
      <c r="RVR288" s="1132" t="n"/>
      <c r="RVS288" s="1132" t="n"/>
      <c r="RVT288" s="1132" t="n"/>
      <c r="RVU288" s="1132" t="n"/>
      <c r="RVV288" s="1132" t="n"/>
      <c r="RVW288" s="1132" t="n"/>
      <c r="RVX288" s="1132" t="n"/>
      <c r="RVY288" s="1132" t="n"/>
      <c r="RVZ288" s="1132" t="n"/>
      <c r="RWA288" s="1132" t="n"/>
      <c r="RWB288" s="1132" t="n"/>
      <c r="RWC288" s="1132" t="n"/>
      <c r="RWD288" s="1132" t="n"/>
      <c r="RWE288" s="1132" t="n"/>
      <c r="RWF288" s="1132" t="n"/>
      <c r="RWG288" s="1132" t="n"/>
      <c r="RWH288" s="1132" t="n"/>
      <c r="RWI288" s="1132" t="n"/>
      <c r="RWJ288" s="1132" t="n"/>
      <c r="RWK288" s="1132" t="n"/>
      <c r="RWL288" s="1132" t="n"/>
      <c r="RWM288" s="1132" t="n"/>
      <c r="RWN288" s="1132" t="n"/>
      <c r="RWO288" s="1132" t="n"/>
      <c r="RWP288" s="1132" t="n"/>
      <c r="RWQ288" s="1132" t="n"/>
      <c r="RWR288" s="1132" t="n"/>
      <c r="RWS288" s="1132" t="n"/>
      <c r="RWT288" s="1132" t="n"/>
      <c r="RWU288" s="1132" t="n"/>
      <c r="RWV288" s="1132" t="n"/>
      <c r="RWW288" s="1132" t="n"/>
      <c r="RWX288" s="1132" t="n"/>
      <c r="RWY288" s="1132" t="n"/>
      <c r="RWZ288" s="1132" t="n"/>
      <c r="RXA288" s="1132" t="n"/>
      <c r="RXB288" s="1132" t="n"/>
      <c r="RXC288" s="1132" t="n"/>
      <c r="RXD288" s="1132" t="n"/>
      <c r="RXE288" s="1132" t="n"/>
      <c r="RXF288" s="1132" t="n"/>
      <c r="RXG288" s="1132" t="n"/>
      <c r="RXH288" s="1132" t="n"/>
      <c r="RXI288" s="1132" t="n"/>
      <c r="RXJ288" s="1132" t="n"/>
      <c r="RXK288" s="1132" t="n"/>
      <c r="RXL288" s="1132" t="n"/>
      <c r="RXM288" s="1132" t="n"/>
      <c r="RXN288" s="1132" t="n"/>
      <c r="RXO288" s="1132" t="n"/>
      <c r="RXP288" s="1132" t="n"/>
      <c r="RXQ288" s="1132" t="n"/>
      <c r="RXR288" s="1132" t="n"/>
      <c r="RXS288" s="1132" t="n"/>
      <c r="RXT288" s="1132" t="n"/>
      <c r="RXU288" s="1132" t="n"/>
      <c r="RXV288" s="1132" t="n"/>
      <c r="RXW288" s="1132" t="n"/>
      <c r="RXX288" s="1132" t="n"/>
      <c r="RXY288" s="1132" t="n"/>
      <c r="RXZ288" s="1132" t="n"/>
      <c r="RYA288" s="1132" t="n"/>
      <c r="RYB288" s="1132" t="n"/>
      <c r="RYC288" s="1132" t="n"/>
      <c r="RYD288" s="1132" t="n"/>
      <c r="RYE288" s="1132" t="n"/>
      <c r="RYF288" s="1132" t="n"/>
      <c r="RYG288" s="1132" t="n"/>
      <c r="RYH288" s="1132" t="n"/>
      <c r="RYI288" s="1132" t="n"/>
      <c r="RYJ288" s="1132" t="n"/>
      <c r="RYK288" s="1132" t="n"/>
      <c r="RYL288" s="1132" t="n"/>
      <c r="RYM288" s="1132" t="n"/>
      <c r="RYN288" s="1132" t="n"/>
      <c r="RYO288" s="1132" t="n"/>
      <c r="RYP288" s="1132" t="n"/>
      <c r="RYQ288" s="1132" t="n"/>
      <c r="RYR288" s="1132" t="n"/>
      <c r="RYS288" s="1132" t="n"/>
      <c r="RYT288" s="1132" t="n"/>
      <c r="RYU288" s="1132" t="n"/>
      <c r="RYV288" s="1132" t="n"/>
      <c r="RYW288" s="1132" t="n"/>
      <c r="RYX288" s="1132" t="n"/>
      <c r="RYY288" s="1132" t="n"/>
      <c r="RYZ288" s="1132" t="n"/>
      <c r="RZA288" s="1132" t="n"/>
      <c r="RZB288" s="1132" t="n"/>
      <c r="RZC288" s="1132" t="n"/>
      <c r="RZD288" s="1132" t="n"/>
      <c r="RZE288" s="1132" t="n"/>
      <c r="RZF288" s="1132" t="n"/>
      <c r="RZG288" s="1132" t="n"/>
      <c r="RZH288" s="1132" t="n"/>
      <c r="RZI288" s="1132" t="n"/>
      <c r="RZJ288" s="1132" t="n"/>
      <c r="RZK288" s="1132" t="n"/>
      <c r="RZL288" s="1132" t="n"/>
      <c r="RZM288" s="1132" t="n"/>
      <c r="RZN288" s="1132" t="n"/>
      <c r="RZO288" s="1132" t="n"/>
      <c r="RZP288" s="1132" t="n"/>
      <c r="RZQ288" s="1132" t="n"/>
      <c r="RZR288" s="1132" t="n"/>
      <c r="RZS288" s="1132" t="n"/>
      <c r="RZT288" s="1132" t="n"/>
      <c r="RZU288" s="1132" t="n"/>
      <c r="RZV288" s="1132" t="n"/>
      <c r="RZW288" s="1132" t="n"/>
      <c r="RZX288" s="1132" t="n"/>
      <c r="RZY288" s="1132" t="n"/>
      <c r="RZZ288" s="1132" t="n"/>
      <c r="SAA288" s="1132" t="n"/>
      <c r="SAB288" s="1132" t="n"/>
      <c r="SAC288" s="1132" t="n"/>
      <c r="SAD288" s="1132" t="n"/>
      <c r="SAE288" s="1132" t="n"/>
      <c r="SAF288" s="1132" t="n"/>
      <c r="SAG288" s="1132" t="n"/>
      <c r="SAH288" s="1132" t="n"/>
      <c r="SAI288" s="1132" t="n"/>
      <c r="SAJ288" s="1132" t="n"/>
      <c r="SAK288" s="1132" t="n"/>
      <c r="SAL288" s="1132" t="n"/>
      <c r="SAM288" s="1132" t="n"/>
      <c r="SAN288" s="1132" t="n"/>
      <c r="SAO288" s="1132" t="n"/>
      <c r="SAP288" s="1132" t="n"/>
      <c r="SAQ288" s="1132" t="n"/>
      <c r="SAR288" s="1132" t="n"/>
      <c r="SAS288" s="1132" t="n"/>
      <c r="SAT288" s="1132" t="n"/>
      <c r="SAU288" s="1132" t="n"/>
      <c r="SAV288" s="1132" t="n"/>
      <c r="SAW288" s="1132" t="n"/>
      <c r="SAX288" s="1132" t="n"/>
      <c r="SAY288" s="1132" t="n"/>
      <c r="SAZ288" s="1132" t="n"/>
      <c r="SBA288" s="1132" t="n"/>
      <c r="SBB288" s="1132" t="n"/>
      <c r="SBC288" s="1132" t="n"/>
      <c r="SBD288" s="1132" t="n"/>
      <c r="SBE288" s="1132" t="n"/>
      <c r="SBF288" s="1132" t="n"/>
      <c r="SBG288" s="1132" t="n"/>
      <c r="SBH288" s="1132" t="n"/>
      <c r="SBI288" s="1132" t="n"/>
      <c r="SBJ288" s="1132" t="n"/>
      <c r="SBK288" s="1132" t="n"/>
      <c r="SBL288" s="1132" t="n"/>
      <c r="SBM288" s="1132" t="n"/>
      <c r="SBN288" s="1132" t="n"/>
      <c r="SBO288" s="1132" t="n"/>
      <c r="SBP288" s="1132" t="n"/>
      <c r="SBQ288" s="1132" t="n"/>
      <c r="SBR288" s="1132" t="n"/>
      <c r="SBS288" s="1132" t="n"/>
      <c r="SBT288" s="1132" t="n"/>
      <c r="SBU288" s="1132" t="n"/>
      <c r="SBV288" s="1132" t="n"/>
      <c r="SBW288" s="1132" t="n"/>
      <c r="SBX288" s="1132" t="n"/>
      <c r="SBY288" s="1132" t="n"/>
      <c r="SBZ288" s="1132" t="n"/>
      <c r="SCA288" s="1132" t="n"/>
      <c r="SCB288" s="1132" t="n"/>
      <c r="SCC288" s="1132" t="n"/>
      <c r="SCD288" s="1132" t="n"/>
      <c r="SCE288" s="1132" t="n"/>
      <c r="SCF288" s="1132" t="n"/>
      <c r="SCG288" s="1132" t="n"/>
      <c r="SCH288" s="1132" t="n"/>
      <c r="SCI288" s="1132" t="n"/>
      <c r="SCJ288" s="1132" t="n"/>
      <c r="SCK288" s="1132" t="n"/>
      <c r="SCL288" s="1132" t="n"/>
      <c r="SCM288" s="1132" t="n"/>
      <c r="SCN288" s="1132" t="n"/>
      <c r="SCO288" s="1132" t="n"/>
      <c r="SCP288" s="1132" t="n"/>
      <c r="SCQ288" s="1132" t="n"/>
      <c r="SCR288" s="1132" t="n"/>
      <c r="SCS288" s="1132" t="n"/>
      <c r="SCT288" s="1132" t="n"/>
      <c r="SCU288" s="1132" t="n"/>
      <c r="SCV288" s="1132" t="n"/>
      <c r="SCW288" s="1132" t="n"/>
      <c r="SCX288" s="1132" t="n"/>
      <c r="SCY288" s="1132" t="n"/>
      <c r="SCZ288" s="1132" t="n"/>
      <c r="SDA288" s="1132" t="n"/>
      <c r="SDB288" s="1132" t="n"/>
      <c r="SDC288" s="1132" t="n"/>
      <c r="SDD288" s="1132" t="n"/>
      <c r="SDE288" s="1132" t="n"/>
      <c r="SDF288" s="1132" t="n"/>
      <c r="SDG288" s="1132" t="n"/>
      <c r="SDH288" s="1132" t="n"/>
      <c r="SDI288" s="1132" t="n"/>
      <c r="SDJ288" s="1132" t="n"/>
      <c r="SDK288" s="1132" t="n"/>
      <c r="SDL288" s="1132" t="n"/>
      <c r="SDM288" s="1132" t="n"/>
      <c r="SDN288" s="1132" t="n"/>
      <c r="SDO288" s="1132" t="n"/>
      <c r="SDP288" s="1132" t="n"/>
      <c r="SDQ288" s="1132" t="n"/>
      <c r="SDR288" s="1132" t="n"/>
      <c r="SDS288" s="1132" t="n"/>
      <c r="SDT288" s="1132" t="n"/>
      <c r="SDU288" s="1132" t="n"/>
      <c r="SDV288" s="1132" t="n"/>
      <c r="SDW288" s="1132" t="n"/>
      <c r="SDX288" s="1132" t="n"/>
      <c r="SDY288" s="1132" t="n"/>
      <c r="SDZ288" s="1132" t="n"/>
      <c r="SEA288" s="1132" t="n"/>
      <c r="SEB288" s="1132" t="n"/>
      <c r="SEC288" s="1132" t="n"/>
      <c r="SED288" s="1132" t="n"/>
      <c r="SEE288" s="1132" t="n"/>
      <c r="SEF288" s="1132" t="n"/>
      <c r="SEG288" s="1132" t="n"/>
      <c r="SEH288" s="1132" t="n"/>
      <c r="SEI288" s="1132" t="n"/>
      <c r="SEJ288" s="1132" t="n"/>
      <c r="SEK288" s="1132" t="n"/>
      <c r="SEL288" s="1132" t="n"/>
      <c r="SEM288" s="1132" t="n"/>
      <c r="SEN288" s="1132" t="n"/>
      <c r="SEO288" s="1132" t="n"/>
      <c r="SEP288" s="1132" t="n"/>
      <c r="SEQ288" s="1132" t="n"/>
      <c r="SER288" s="1132" t="n"/>
      <c r="SES288" s="1132" t="n"/>
      <c r="SET288" s="1132" t="n"/>
      <c r="SEU288" s="1132" t="n"/>
      <c r="SEV288" s="1132" t="n"/>
      <c r="SEW288" s="1132" t="n"/>
      <c r="SEX288" s="1132" t="n"/>
      <c r="SEY288" s="1132" t="n"/>
      <c r="SEZ288" s="1132" t="n"/>
      <c r="SFA288" s="1132" t="n"/>
      <c r="SFB288" s="1132" t="n"/>
      <c r="SFC288" s="1132" t="n"/>
      <c r="SFD288" s="1132" t="n"/>
      <c r="SFE288" s="1132" t="n"/>
      <c r="SFF288" s="1132" t="n"/>
      <c r="SFG288" s="1132" t="n"/>
      <c r="SFH288" s="1132" t="n"/>
      <c r="SFI288" s="1132" t="n"/>
      <c r="SFJ288" s="1132" t="n"/>
      <c r="SFK288" s="1132" t="n"/>
      <c r="SFL288" s="1132" t="n"/>
      <c r="SFM288" s="1132" t="n"/>
      <c r="SFN288" s="1132" t="n"/>
      <c r="SFO288" s="1132" t="n"/>
      <c r="SFP288" s="1132" t="n"/>
      <c r="SFQ288" s="1132" t="n"/>
      <c r="SFR288" s="1132" t="n"/>
      <c r="SFS288" s="1132" t="n"/>
      <c r="SFT288" s="1132" t="n"/>
      <c r="SFU288" s="1132" t="n"/>
      <c r="SFV288" s="1132" t="n"/>
      <c r="SFW288" s="1132" t="n"/>
      <c r="SFX288" s="1132" t="n"/>
      <c r="SFY288" s="1132" t="n"/>
      <c r="SFZ288" s="1132" t="n"/>
      <c r="SGA288" s="1132" t="n"/>
      <c r="SGB288" s="1132" t="n"/>
      <c r="SGC288" s="1132" t="n"/>
      <c r="SGD288" s="1132" t="n"/>
      <c r="SGE288" s="1132" t="n"/>
      <c r="SGF288" s="1132" t="n"/>
      <c r="SGG288" s="1132" t="n"/>
      <c r="SGH288" s="1132" t="n"/>
      <c r="SGI288" s="1132" t="n"/>
      <c r="SGJ288" s="1132" t="n"/>
      <c r="SGK288" s="1132" t="n"/>
      <c r="SGL288" s="1132" t="n"/>
      <c r="SGM288" s="1132" t="n"/>
      <c r="SGN288" s="1132" t="n"/>
      <c r="SGO288" s="1132" t="n"/>
      <c r="SGP288" s="1132" t="n"/>
      <c r="SGQ288" s="1132" t="n"/>
      <c r="SGR288" s="1132" t="n"/>
      <c r="SGS288" s="1132" t="n"/>
      <c r="SGT288" s="1132" t="n"/>
      <c r="SGU288" s="1132" t="n"/>
      <c r="SGV288" s="1132" t="n"/>
      <c r="SGW288" s="1132" t="n"/>
      <c r="SGX288" s="1132" t="n"/>
      <c r="SGY288" s="1132" t="n"/>
      <c r="SGZ288" s="1132" t="n"/>
      <c r="SHA288" s="1132" t="n"/>
      <c r="SHB288" s="1132" t="n"/>
      <c r="SHC288" s="1132" t="n"/>
      <c r="SHD288" s="1132" t="n"/>
      <c r="SHE288" s="1132" t="n"/>
      <c r="SHF288" s="1132" t="n"/>
      <c r="SHG288" s="1132" t="n"/>
      <c r="SHH288" s="1132" t="n"/>
      <c r="SHI288" s="1132" t="n"/>
      <c r="SHJ288" s="1132" t="n"/>
      <c r="SHK288" s="1132" t="n"/>
      <c r="SHL288" s="1132" t="n"/>
      <c r="SHM288" s="1132" t="n"/>
      <c r="SHN288" s="1132" t="n"/>
      <c r="SHO288" s="1132" t="n"/>
      <c r="SHP288" s="1132" t="n"/>
      <c r="SHQ288" s="1132" t="n"/>
      <c r="SHR288" s="1132" t="n"/>
      <c r="SHS288" s="1132" t="n"/>
      <c r="SHT288" s="1132" t="n"/>
      <c r="SHU288" s="1132" t="n"/>
      <c r="SHV288" s="1132" t="n"/>
      <c r="SHW288" s="1132" t="n"/>
      <c r="SHX288" s="1132" t="n"/>
      <c r="SHY288" s="1132" t="n"/>
      <c r="SHZ288" s="1132" t="n"/>
      <c r="SIA288" s="1132" t="n"/>
      <c r="SIB288" s="1132" t="n"/>
      <c r="SIC288" s="1132" t="n"/>
      <c r="SID288" s="1132" t="n"/>
      <c r="SIE288" s="1132" t="n"/>
      <c r="SIF288" s="1132" t="n"/>
      <c r="SIG288" s="1132" t="n"/>
      <c r="SIH288" s="1132" t="n"/>
      <c r="SII288" s="1132" t="n"/>
      <c r="SIJ288" s="1132" t="n"/>
      <c r="SIK288" s="1132" t="n"/>
      <c r="SIL288" s="1132" t="n"/>
      <c r="SIM288" s="1132" t="n"/>
      <c r="SIN288" s="1132" t="n"/>
      <c r="SIO288" s="1132" t="n"/>
      <c r="SIP288" s="1132" t="n"/>
      <c r="SIQ288" s="1132" t="n"/>
      <c r="SIR288" s="1132" t="n"/>
      <c r="SIS288" s="1132" t="n"/>
      <c r="SIT288" s="1132" t="n"/>
      <c r="SIU288" s="1132" t="n"/>
      <c r="SIV288" s="1132" t="n"/>
      <c r="SIW288" s="1132" t="n"/>
      <c r="SIX288" s="1132" t="n"/>
      <c r="SIY288" s="1132" t="n"/>
      <c r="SIZ288" s="1132" t="n"/>
      <c r="SJA288" s="1132" t="n"/>
      <c r="SJB288" s="1132" t="n"/>
      <c r="SJC288" s="1132" t="n"/>
      <c r="SJD288" s="1132" t="n"/>
      <c r="SJE288" s="1132" t="n"/>
      <c r="SJF288" s="1132" t="n"/>
      <c r="SJG288" s="1132" t="n"/>
      <c r="SJH288" s="1132" t="n"/>
      <c r="SJI288" s="1132" t="n"/>
      <c r="SJJ288" s="1132" t="n"/>
      <c r="SJK288" s="1132" t="n"/>
      <c r="SJL288" s="1132" t="n"/>
      <c r="SJM288" s="1132" t="n"/>
      <c r="SJN288" s="1132" t="n"/>
      <c r="SJO288" s="1132" t="n"/>
      <c r="SJP288" s="1132" t="n"/>
      <c r="SJQ288" s="1132" t="n"/>
      <c r="SJR288" s="1132" t="n"/>
      <c r="SJS288" s="1132" t="n"/>
      <c r="SJT288" s="1132" t="n"/>
      <c r="SJU288" s="1132" t="n"/>
      <c r="SJV288" s="1132" t="n"/>
      <c r="SJW288" s="1132" t="n"/>
      <c r="SJX288" s="1132" t="n"/>
      <c r="SJY288" s="1132" t="n"/>
      <c r="SJZ288" s="1132" t="n"/>
      <c r="SKA288" s="1132" t="n"/>
      <c r="SKB288" s="1132" t="n"/>
      <c r="SKC288" s="1132" t="n"/>
      <c r="SKD288" s="1132" t="n"/>
      <c r="SKE288" s="1132" t="n"/>
      <c r="SKF288" s="1132" t="n"/>
      <c r="SKG288" s="1132" t="n"/>
      <c r="SKH288" s="1132" t="n"/>
      <c r="SKI288" s="1132" t="n"/>
      <c r="SKJ288" s="1132" t="n"/>
      <c r="SKK288" s="1132" t="n"/>
      <c r="SKL288" s="1132" t="n"/>
      <c r="SKM288" s="1132" t="n"/>
      <c r="SKN288" s="1132" t="n"/>
      <c r="SKO288" s="1132" t="n"/>
      <c r="SKP288" s="1132" t="n"/>
      <c r="SKQ288" s="1132" t="n"/>
      <c r="SKR288" s="1132" t="n"/>
      <c r="SKS288" s="1132" t="n"/>
      <c r="SKT288" s="1132" t="n"/>
      <c r="SKU288" s="1132" t="n"/>
      <c r="SKV288" s="1132" t="n"/>
      <c r="SKW288" s="1132" t="n"/>
      <c r="SKX288" s="1132" t="n"/>
      <c r="SKY288" s="1132" t="n"/>
      <c r="SKZ288" s="1132" t="n"/>
      <c r="SLA288" s="1132" t="n"/>
      <c r="SLB288" s="1132" t="n"/>
      <c r="SLC288" s="1132" t="n"/>
      <c r="SLD288" s="1132" t="n"/>
      <c r="SLE288" s="1132" t="n"/>
      <c r="SLF288" s="1132" t="n"/>
      <c r="SLG288" s="1132" t="n"/>
      <c r="SLH288" s="1132" t="n"/>
      <c r="SLI288" s="1132" t="n"/>
      <c r="SLJ288" s="1132" t="n"/>
      <c r="SLK288" s="1132" t="n"/>
      <c r="SLL288" s="1132" t="n"/>
      <c r="SLM288" s="1132" t="n"/>
      <c r="SLN288" s="1132" t="n"/>
      <c r="SLO288" s="1132" t="n"/>
      <c r="SLP288" s="1132" t="n"/>
      <c r="SLQ288" s="1132" t="n"/>
      <c r="SLR288" s="1132" t="n"/>
      <c r="SLS288" s="1132" t="n"/>
      <c r="SLT288" s="1132" t="n"/>
      <c r="SLU288" s="1132" t="n"/>
      <c r="SLV288" s="1132" t="n"/>
      <c r="SLW288" s="1132" t="n"/>
      <c r="SLX288" s="1132" t="n"/>
      <c r="SLY288" s="1132" t="n"/>
      <c r="SLZ288" s="1132" t="n"/>
      <c r="SMA288" s="1132" t="n"/>
      <c r="SMB288" s="1132" t="n"/>
      <c r="SMC288" s="1132" t="n"/>
      <c r="SMD288" s="1132" t="n"/>
      <c r="SME288" s="1132" t="n"/>
      <c r="SMF288" s="1132" t="n"/>
      <c r="SMG288" s="1132" t="n"/>
      <c r="SMH288" s="1132" t="n"/>
      <c r="SMI288" s="1132" t="n"/>
      <c r="SMJ288" s="1132" t="n"/>
      <c r="SMK288" s="1132" t="n"/>
      <c r="SML288" s="1132" t="n"/>
      <c r="SMM288" s="1132" t="n"/>
      <c r="SMN288" s="1132" t="n"/>
      <c r="SMO288" s="1132" t="n"/>
      <c r="SMP288" s="1132" t="n"/>
      <c r="SMQ288" s="1132" t="n"/>
      <c r="SMR288" s="1132" t="n"/>
      <c r="SMS288" s="1132" t="n"/>
      <c r="SMT288" s="1132" t="n"/>
      <c r="SMU288" s="1132" t="n"/>
      <c r="SMV288" s="1132" t="n"/>
      <c r="SMW288" s="1132" t="n"/>
      <c r="SMX288" s="1132" t="n"/>
      <c r="SMY288" s="1132" t="n"/>
      <c r="SMZ288" s="1132" t="n"/>
      <c r="SNA288" s="1132" t="n"/>
      <c r="SNB288" s="1132" t="n"/>
      <c r="SNC288" s="1132" t="n"/>
      <c r="SND288" s="1132" t="n"/>
      <c r="SNE288" s="1132" t="n"/>
      <c r="SNF288" s="1132" t="n"/>
      <c r="SNG288" s="1132" t="n"/>
      <c r="SNH288" s="1132" t="n"/>
      <c r="SNI288" s="1132" t="n"/>
      <c r="SNJ288" s="1132" t="n"/>
      <c r="SNK288" s="1132" t="n"/>
      <c r="SNL288" s="1132" t="n"/>
      <c r="SNM288" s="1132" t="n"/>
      <c r="SNN288" s="1132" t="n"/>
      <c r="SNO288" s="1132" t="n"/>
      <c r="SNP288" s="1132" t="n"/>
      <c r="SNQ288" s="1132" t="n"/>
      <c r="SNR288" s="1132" t="n"/>
      <c r="SNS288" s="1132" t="n"/>
      <c r="SNT288" s="1132" t="n"/>
      <c r="SNU288" s="1132" t="n"/>
      <c r="SNV288" s="1132" t="n"/>
      <c r="SNW288" s="1132" t="n"/>
      <c r="SNX288" s="1132" t="n"/>
      <c r="SNY288" s="1132" t="n"/>
      <c r="SNZ288" s="1132" t="n"/>
      <c r="SOA288" s="1132" t="n"/>
      <c r="SOB288" s="1132" t="n"/>
      <c r="SOC288" s="1132" t="n"/>
      <c r="SOD288" s="1132" t="n"/>
      <c r="SOE288" s="1132" t="n"/>
      <c r="SOF288" s="1132" t="n"/>
      <c r="SOG288" s="1132" t="n"/>
      <c r="SOH288" s="1132" t="n"/>
      <c r="SOI288" s="1132" t="n"/>
      <c r="SOJ288" s="1132" t="n"/>
      <c r="SOK288" s="1132" t="n"/>
      <c r="SOL288" s="1132" t="n"/>
      <c r="SOM288" s="1132" t="n"/>
      <c r="SON288" s="1132" t="n"/>
      <c r="SOO288" s="1132" t="n"/>
      <c r="SOP288" s="1132" t="n"/>
      <c r="SOQ288" s="1132" t="n"/>
      <c r="SOR288" s="1132" t="n"/>
      <c r="SOS288" s="1132" t="n"/>
      <c r="SOT288" s="1132" t="n"/>
      <c r="SOU288" s="1132" t="n"/>
      <c r="SOV288" s="1132" t="n"/>
      <c r="SOW288" s="1132" t="n"/>
      <c r="SOX288" s="1132" t="n"/>
      <c r="SOY288" s="1132" t="n"/>
      <c r="SOZ288" s="1132" t="n"/>
      <c r="SPA288" s="1132" t="n"/>
      <c r="SPB288" s="1132" t="n"/>
      <c r="SPC288" s="1132" t="n"/>
      <c r="SPD288" s="1132" t="n"/>
      <c r="SPE288" s="1132" t="n"/>
      <c r="SPF288" s="1132" t="n"/>
      <c r="SPG288" s="1132" t="n"/>
      <c r="SPH288" s="1132" t="n"/>
      <c r="SPI288" s="1132" t="n"/>
      <c r="SPJ288" s="1132" t="n"/>
      <c r="SPK288" s="1132" t="n"/>
      <c r="SPL288" s="1132" t="n"/>
      <c r="SPM288" s="1132" t="n"/>
      <c r="SPN288" s="1132" t="n"/>
      <c r="SPO288" s="1132" t="n"/>
      <c r="SPP288" s="1132" t="n"/>
      <c r="SPQ288" s="1132" t="n"/>
      <c r="SPR288" s="1132" t="n"/>
      <c r="SPS288" s="1132" t="n"/>
      <c r="SPT288" s="1132" t="n"/>
      <c r="SPU288" s="1132" t="n"/>
      <c r="SPV288" s="1132" t="n"/>
      <c r="SPW288" s="1132" t="n"/>
      <c r="SPX288" s="1132" t="n"/>
      <c r="SPY288" s="1132" t="n"/>
      <c r="SPZ288" s="1132" t="n"/>
      <c r="SQA288" s="1132" t="n"/>
      <c r="SQB288" s="1132" t="n"/>
      <c r="SQC288" s="1132" t="n"/>
      <c r="SQD288" s="1132" t="n"/>
      <c r="SQE288" s="1132" t="n"/>
      <c r="SQF288" s="1132" t="n"/>
      <c r="SQG288" s="1132" t="n"/>
      <c r="SQH288" s="1132" t="n"/>
      <c r="SQI288" s="1132" t="n"/>
      <c r="SQJ288" s="1132" t="n"/>
      <c r="SQK288" s="1132" t="n"/>
      <c r="SQL288" s="1132" t="n"/>
      <c r="SQM288" s="1132" t="n"/>
      <c r="SQN288" s="1132" t="n"/>
      <c r="SQO288" s="1132" t="n"/>
      <c r="SQP288" s="1132" t="n"/>
      <c r="SQQ288" s="1132" t="n"/>
      <c r="SQR288" s="1132" t="n"/>
      <c r="SQS288" s="1132" t="n"/>
      <c r="SQT288" s="1132" t="n"/>
      <c r="SQU288" s="1132" t="n"/>
      <c r="SQV288" s="1132" t="n"/>
      <c r="SQW288" s="1132" t="n"/>
      <c r="SQX288" s="1132" t="n"/>
      <c r="SQY288" s="1132" t="n"/>
      <c r="SQZ288" s="1132" t="n"/>
      <c r="SRA288" s="1132" t="n"/>
      <c r="SRB288" s="1132" t="n"/>
      <c r="SRC288" s="1132" t="n"/>
      <c r="SRD288" s="1132" t="n"/>
      <c r="SRE288" s="1132" t="n"/>
      <c r="SRF288" s="1132" t="n"/>
      <c r="SRG288" s="1132" t="n"/>
      <c r="SRH288" s="1132" t="n"/>
      <c r="SRI288" s="1132" t="n"/>
      <c r="SRJ288" s="1132" t="n"/>
      <c r="SRK288" s="1132" t="n"/>
      <c r="SRL288" s="1132" t="n"/>
      <c r="SRM288" s="1132" t="n"/>
      <c r="SRN288" s="1132" t="n"/>
      <c r="SRO288" s="1132" t="n"/>
      <c r="SRP288" s="1132" t="n"/>
      <c r="SRQ288" s="1132" t="n"/>
      <c r="SRR288" s="1132" t="n"/>
      <c r="SRS288" s="1132" t="n"/>
      <c r="SRT288" s="1132" t="n"/>
      <c r="SRU288" s="1132" t="n"/>
      <c r="SRV288" s="1132" t="n"/>
      <c r="SRW288" s="1132" t="n"/>
      <c r="SRX288" s="1132" t="n"/>
      <c r="SRY288" s="1132" t="n"/>
      <c r="SRZ288" s="1132" t="n"/>
      <c r="SSA288" s="1132" t="n"/>
      <c r="SSB288" s="1132" t="n"/>
      <c r="SSC288" s="1132" t="n"/>
      <c r="SSD288" s="1132" t="n"/>
      <c r="SSE288" s="1132" t="n"/>
      <c r="SSF288" s="1132" t="n"/>
      <c r="SSG288" s="1132" t="n"/>
      <c r="SSH288" s="1132" t="n"/>
      <c r="SSI288" s="1132" t="n"/>
      <c r="SSJ288" s="1132" t="n"/>
      <c r="SSK288" s="1132" t="n"/>
      <c r="SSL288" s="1132" t="n"/>
      <c r="SSM288" s="1132" t="n"/>
      <c r="SSN288" s="1132" t="n"/>
      <c r="SSO288" s="1132" t="n"/>
      <c r="SSP288" s="1132" t="n"/>
      <c r="SSQ288" s="1132" t="n"/>
      <c r="SSR288" s="1132" t="n"/>
      <c r="SSS288" s="1132" t="n"/>
      <c r="SST288" s="1132" t="n"/>
      <c r="SSU288" s="1132" t="n"/>
      <c r="SSV288" s="1132" t="n"/>
      <c r="SSW288" s="1132" t="n"/>
      <c r="SSX288" s="1132" t="n"/>
      <c r="SSY288" s="1132" t="n"/>
      <c r="SSZ288" s="1132" t="n"/>
      <c r="STA288" s="1132" t="n"/>
      <c r="STB288" s="1132" t="n"/>
      <c r="STC288" s="1132" t="n"/>
      <c r="STD288" s="1132" t="n"/>
      <c r="STE288" s="1132" t="n"/>
      <c r="STF288" s="1132" t="n"/>
      <c r="STG288" s="1132" t="n"/>
      <c r="STH288" s="1132" t="n"/>
      <c r="STI288" s="1132" t="n"/>
      <c r="STJ288" s="1132" t="n"/>
      <c r="STK288" s="1132" t="n"/>
      <c r="STL288" s="1132" t="n"/>
      <c r="STM288" s="1132" t="n"/>
      <c r="STN288" s="1132" t="n"/>
      <c r="STO288" s="1132" t="n"/>
      <c r="STP288" s="1132" t="n"/>
      <c r="STQ288" s="1132" t="n"/>
      <c r="STR288" s="1132" t="n"/>
      <c r="STS288" s="1132" t="n"/>
      <c r="STT288" s="1132" t="n"/>
      <c r="STU288" s="1132" t="n"/>
      <c r="STV288" s="1132" t="n"/>
      <c r="STW288" s="1132" t="n"/>
      <c r="STX288" s="1132" t="n"/>
      <c r="STY288" s="1132" t="n"/>
      <c r="STZ288" s="1132" t="n"/>
      <c r="SUA288" s="1132" t="n"/>
      <c r="SUB288" s="1132" t="n"/>
      <c r="SUC288" s="1132" t="n"/>
      <c r="SUD288" s="1132" t="n"/>
      <c r="SUE288" s="1132" t="n"/>
      <c r="SUF288" s="1132" t="n"/>
      <c r="SUG288" s="1132" t="n"/>
      <c r="SUH288" s="1132" t="n"/>
      <c r="SUI288" s="1132" t="n"/>
      <c r="SUJ288" s="1132" t="n"/>
      <c r="SUK288" s="1132" t="n"/>
      <c r="SUL288" s="1132" t="n"/>
      <c r="SUM288" s="1132" t="n"/>
      <c r="SUN288" s="1132" t="n"/>
      <c r="SUO288" s="1132" t="n"/>
      <c r="SUP288" s="1132" t="n"/>
      <c r="SUQ288" s="1132" t="n"/>
      <c r="SUR288" s="1132" t="n"/>
      <c r="SUS288" s="1132" t="n"/>
      <c r="SUT288" s="1132" t="n"/>
      <c r="SUU288" s="1132" t="n"/>
      <c r="SUV288" s="1132" t="n"/>
      <c r="SUW288" s="1132" t="n"/>
      <c r="SUX288" s="1132" t="n"/>
      <c r="SUY288" s="1132" t="n"/>
      <c r="SUZ288" s="1132" t="n"/>
      <c r="SVA288" s="1132" t="n"/>
      <c r="SVB288" s="1132" t="n"/>
      <c r="SVC288" s="1132" t="n"/>
      <c r="SVD288" s="1132" t="n"/>
      <c r="SVE288" s="1132" t="n"/>
      <c r="SVF288" s="1132" t="n"/>
      <c r="SVG288" s="1132" t="n"/>
      <c r="SVH288" s="1132" t="n"/>
      <c r="SVI288" s="1132" t="n"/>
      <c r="SVJ288" s="1132" t="n"/>
      <c r="SVK288" s="1132" t="n"/>
      <c r="SVL288" s="1132" t="n"/>
      <c r="SVM288" s="1132" t="n"/>
      <c r="SVN288" s="1132" t="n"/>
      <c r="SVO288" s="1132" t="n"/>
      <c r="SVP288" s="1132" t="n"/>
      <c r="SVQ288" s="1132" t="n"/>
      <c r="SVR288" s="1132" t="n"/>
      <c r="SVS288" s="1132" t="n"/>
      <c r="SVT288" s="1132" t="n"/>
      <c r="SVU288" s="1132" t="n"/>
      <c r="SVV288" s="1132" t="n"/>
      <c r="SVW288" s="1132" t="n"/>
      <c r="SVX288" s="1132" t="n"/>
      <c r="SVY288" s="1132" t="n"/>
      <c r="SVZ288" s="1132" t="n"/>
      <c r="SWA288" s="1132" t="n"/>
      <c r="SWB288" s="1132" t="n"/>
      <c r="SWC288" s="1132" t="n"/>
      <c r="SWD288" s="1132" t="n"/>
      <c r="SWE288" s="1132" t="n"/>
      <c r="SWF288" s="1132" t="n"/>
      <c r="SWG288" s="1132" t="n"/>
      <c r="SWH288" s="1132" t="n"/>
      <c r="SWI288" s="1132" t="n"/>
      <c r="SWJ288" s="1132" t="n"/>
      <c r="SWK288" s="1132" t="n"/>
      <c r="SWL288" s="1132" t="n"/>
      <c r="SWM288" s="1132" t="n"/>
      <c r="SWN288" s="1132" t="n"/>
      <c r="SWO288" s="1132" t="n"/>
      <c r="SWP288" s="1132" t="n"/>
      <c r="SWQ288" s="1132" t="n"/>
      <c r="SWR288" s="1132" t="n"/>
      <c r="SWS288" s="1132" t="n"/>
      <c r="SWT288" s="1132" t="n"/>
      <c r="SWU288" s="1132" t="n"/>
      <c r="SWV288" s="1132" t="n"/>
      <c r="SWW288" s="1132" t="n"/>
      <c r="SWX288" s="1132" t="n"/>
      <c r="SWY288" s="1132" t="n"/>
      <c r="SWZ288" s="1132" t="n"/>
      <c r="SXA288" s="1132" t="n"/>
      <c r="SXB288" s="1132" t="n"/>
      <c r="SXC288" s="1132" t="n"/>
      <c r="SXD288" s="1132" t="n"/>
      <c r="SXE288" s="1132" t="n"/>
      <c r="SXF288" s="1132" t="n"/>
      <c r="SXG288" s="1132" t="n"/>
      <c r="SXH288" s="1132" t="n"/>
      <c r="SXI288" s="1132" t="n"/>
      <c r="SXJ288" s="1132" t="n"/>
      <c r="SXK288" s="1132" t="n"/>
      <c r="SXL288" s="1132" t="n"/>
      <c r="SXM288" s="1132" t="n"/>
      <c r="SXN288" s="1132" t="n"/>
      <c r="SXO288" s="1132" t="n"/>
      <c r="SXP288" s="1132" t="n"/>
      <c r="SXQ288" s="1132" t="n"/>
      <c r="SXR288" s="1132" t="n"/>
      <c r="SXS288" s="1132" t="n"/>
      <c r="SXT288" s="1132" t="n"/>
      <c r="SXU288" s="1132" t="n"/>
      <c r="SXV288" s="1132" t="n"/>
      <c r="SXW288" s="1132" t="n"/>
      <c r="SXX288" s="1132" t="n"/>
      <c r="SXY288" s="1132" t="n"/>
      <c r="SXZ288" s="1132" t="n"/>
      <c r="SYA288" s="1132" t="n"/>
      <c r="SYB288" s="1132" t="n"/>
      <c r="SYC288" s="1132" t="n"/>
      <c r="SYD288" s="1132" t="n"/>
      <c r="SYE288" s="1132" t="n"/>
      <c r="SYF288" s="1132" t="n"/>
      <c r="SYG288" s="1132" t="n"/>
      <c r="SYH288" s="1132" t="n"/>
      <c r="SYI288" s="1132" t="n"/>
      <c r="SYJ288" s="1132" t="n"/>
      <c r="SYK288" s="1132" t="n"/>
      <c r="SYL288" s="1132" t="n"/>
      <c r="SYM288" s="1132" t="n"/>
      <c r="SYN288" s="1132" t="n"/>
      <c r="SYO288" s="1132" t="n"/>
      <c r="SYP288" s="1132" t="n"/>
      <c r="SYQ288" s="1132" t="n"/>
      <c r="SYR288" s="1132" t="n"/>
      <c r="SYS288" s="1132" t="n"/>
      <c r="SYT288" s="1132" t="n"/>
      <c r="SYU288" s="1132" t="n"/>
      <c r="SYV288" s="1132" t="n"/>
      <c r="SYW288" s="1132" t="n"/>
      <c r="SYX288" s="1132" t="n"/>
      <c r="SYY288" s="1132" t="n"/>
      <c r="SYZ288" s="1132" t="n"/>
      <c r="SZA288" s="1132" t="n"/>
      <c r="SZB288" s="1132" t="n"/>
      <c r="SZC288" s="1132" t="n"/>
      <c r="SZD288" s="1132" t="n"/>
      <c r="SZE288" s="1132" t="n"/>
      <c r="SZF288" s="1132" t="n"/>
      <c r="SZG288" s="1132" t="n"/>
      <c r="SZH288" s="1132" t="n"/>
      <c r="SZI288" s="1132" t="n"/>
      <c r="SZJ288" s="1132" t="n"/>
      <c r="SZK288" s="1132" t="n"/>
      <c r="SZL288" s="1132" t="n"/>
      <c r="SZM288" s="1132" t="n"/>
      <c r="SZN288" s="1132" t="n"/>
      <c r="SZO288" s="1132" t="n"/>
      <c r="SZP288" s="1132" t="n"/>
      <c r="SZQ288" s="1132" t="n"/>
      <c r="SZR288" s="1132" t="n"/>
      <c r="SZS288" s="1132" t="n"/>
      <c r="SZT288" s="1132" t="n"/>
      <c r="SZU288" s="1132" t="n"/>
      <c r="SZV288" s="1132" t="n"/>
      <c r="SZW288" s="1132" t="n"/>
      <c r="SZX288" s="1132" t="n"/>
      <c r="SZY288" s="1132" t="n"/>
      <c r="SZZ288" s="1132" t="n"/>
      <c r="TAA288" s="1132" t="n"/>
      <c r="TAB288" s="1132" t="n"/>
      <c r="TAC288" s="1132" t="n"/>
      <c r="TAD288" s="1132" t="n"/>
      <c r="TAE288" s="1132" t="n"/>
      <c r="TAF288" s="1132" t="n"/>
      <c r="TAG288" s="1132" t="n"/>
      <c r="TAH288" s="1132" t="n"/>
      <c r="TAI288" s="1132" t="n"/>
      <c r="TAJ288" s="1132" t="n"/>
      <c r="TAK288" s="1132" t="n"/>
      <c r="TAL288" s="1132" t="n"/>
      <c r="TAM288" s="1132" t="n"/>
      <c r="TAN288" s="1132" t="n"/>
      <c r="TAO288" s="1132" t="n"/>
      <c r="TAP288" s="1132" t="n"/>
      <c r="TAQ288" s="1132" t="n"/>
      <c r="TAR288" s="1132" t="n"/>
      <c r="TAS288" s="1132" t="n"/>
      <c r="TAT288" s="1132" t="n"/>
      <c r="TAU288" s="1132" t="n"/>
      <c r="TAV288" s="1132" t="n"/>
      <c r="TAW288" s="1132" t="n"/>
      <c r="TAX288" s="1132" t="n"/>
      <c r="TAY288" s="1132" t="n"/>
      <c r="TAZ288" s="1132" t="n"/>
      <c r="TBA288" s="1132" t="n"/>
      <c r="TBB288" s="1132" t="n"/>
      <c r="TBC288" s="1132" t="n"/>
      <c r="TBD288" s="1132" t="n"/>
      <c r="TBE288" s="1132" t="n"/>
      <c r="TBF288" s="1132" t="n"/>
      <c r="TBG288" s="1132" t="n"/>
      <c r="TBH288" s="1132" t="n"/>
      <c r="TBI288" s="1132" t="n"/>
      <c r="TBJ288" s="1132" t="n"/>
      <c r="TBK288" s="1132" t="n"/>
      <c r="TBL288" s="1132" t="n"/>
      <c r="TBM288" s="1132" t="n"/>
      <c r="TBN288" s="1132" t="n"/>
      <c r="TBO288" s="1132" t="n"/>
      <c r="TBP288" s="1132" t="n"/>
      <c r="TBQ288" s="1132" t="n"/>
      <c r="TBR288" s="1132" t="n"/>
      <c r="TBS288" s="1132" t="n"/>
      <c r="TBT288" s="1132" t="n"/>
      <c r="TBU288" s="1132" t="n"/>
      <c r="TBV288" s="1132" t="n"/>
      <c r="TBW288" s="1132" t="n"/>
      <c r="TBX288" s="1132" t="n"/>
      <c r="TBY288" s="1132" t="n"/>
      <c r="TBZ288" s="1132" t="n"/>
      <c r="TCA288" s="1132" t="n"/>
      <c r="TCB288" s="1132" t="n"/>
      <c r="TCC288" s="1132" t="n"/>
      <c r="TCD288" s="1132" t="n"/>
      <c r="TCE288" s="1132" t="n"/>
      <c r="TCF288" s="1132" t="n"/>
      <c r="TCG288" s="1132" t="n"/>
      <c r="TCH288" s="1132" t="n"/>
      <c r="TCI288" s="1132" t="n"/>
      <c r="TCJ288" s="1132" t="n"/>
      <c r="TCK288" s="1132" t="n"/>
      <c r="TCL288" s="1132" t="n"/>
      <c r="TCM288" s="1132" t="n"/>
      <c r="TCN288" s="1132" t="n"/>
      <c r="TCO288" s="1132" t="n"/>
      <c r="TCP288" s="1132" t="n"/>
      <c r="TCQ288" s="1132" t="n"/>
      <c r="TCR288" s="1132" t="n"/>
      <c r="TCS288" s="1132" t="n"/>
      <c r="TCT288" s="1132" t="n"/>
      <c r="TCU288" s="1132" t="n"/>
      <c r="TCV288" s="1132" t="n"/>
      <c r="TCW288" s="1132" t="n"/>
      <c r="TCX288" s="1132" t="n"/>
      <c r="TCY288" s="1132" t="n"/>
      <c r="TCZ288" s="1132" t="n"/>
      <c r="TDA288" s="1132" t="n"/>
      <c r="TDB288" s="1132" t="n"/>
      <c r="TDC288" s="1132" t="n"/>
      <c r="TDD288" s="1132" t="n"/>
      <c r="TDE288" s="1132" t="n"/>
      <c r="TDF288" s="1132" t="n"/>
      <c r="TDG288" s="1132" t="n"/>
      <c r="TDH288" s="1132" t="n"/>
      <c r="TDI288" s="1132" t="n"/>
      <c r="TDJ288" s="1132" t="n"/>
      <c r="TDK288" s="1132" t="n"/>
      <c r="TDL288" s="1132" t="n"/>
      <c r="TDM288" s="1132" t="n"/>
      <c r="TDN288" s="1132" t="n"/>
      <c r="TDO288" s="1132" t="n"/>
      <c r="TDP288" s="1132" t="n"/>
      <c r="TDQ288" s="1132" t="n"/>
      <c r="TDR288" s="1132" t="n"/>
      <c r="TDS288" s="1132" t="n"/>
      <c r="TDT288" s="1132" t="n"/>
      <c r="TDU288" s="1132" t="n"/>
      <c r="TDV288" s="1132" t="n"/>
      <c r="TDW288" s="1132" t="n"/>
      <c r="TDX288" s="1132" t="n"/>
      <c r="TDY288" s="1132" t="n"/>
      <c r="TDZ288" s="1132" t="n"/>
      <c r="TEA288" s="1132" t="n"/>
      <c r="TEB288" s="1132" t="n"/>
      <c r="TEC288" s="1132" t="n"/>
      <c r="TED288" s="1132" t="n"/>
      <c r="TEE288" s="1132" t="n"/>
      <c r="TEF288" s="1132" t="n"/>
      <c r="TEG288" s="1132" t="n"/>
      <c r="TEH288" s="1132" t="n"/>
      <c r="TEI288" s="1132" t="n"/>
      <c r="TEJ288" s="1132" t="n"/>
      <c r="TEK288" s="1132" t="n"/>
      <c r="TEL288" s="1132" t="n"/>
      <c r="TEM288" s="1132" t="n"/>
      <c r="TEN288" s="1132" t="n"/>
      <c r="TEO288" s="1132" t="n"/>
      <c r="TEP288" s="1132" t="n"/>
      <c r="TEQ288" s="1132" t="n"/>
      <c r="TER288" s="1132" t="n"/>
      <c r="TES288" s="1132" t="n"/>
      <c r="TET288" s="1132" t="n"/>
      <c r="TEU288" s="1132" t="n"/>
      <c r="TEV288" s="1132" t="n"/>
      <c r="TEW288" s="1132" t="n"/>
      <c r="TEX288" s="1132" t="n"/>
      <c r="TEY288" s="1132" t="n"/>
      <c r="TEZ288" s="1132" t="n"/>
      <c r="TFA288" s="1132" t="n"/>
      <c r="TFB288" s="1132" t="n"/>
      <c r="TFC288" s="1132" t="n"/>
      <c r="TFD288" s="1132" t="n"/>
      <c r="TFE288" s="1132" t="n"/>
      <c r="TFF288" s="1132" t="n"/>
      <c r="TFG288" s="1132" t="n"/>
      <c r="TFH288" s="1132" t="n"/>
      <c r="TFI288" s="1132" t="n"/>
      <c r="TFJ288" s="1132" t="n"/>
      <c r="TFK288" s="1132" t="n"/>
      <c r="TFL288" s="1132" t="n"/>
      <c r="TFM288" s="1132" t="n"/>
      <c r="TFN288" s="1132" t="n"/>
      <c r="TFO288" s="1132" t="n"/>
      <c r="TFP288" s="1132" t="n"/>
      <c r="TFQ288" s="1132" t="n"/>
      <c r="TFR288" s="1132" t="n"/>
      <c r="TFS288" s="1132" t="n"/>
      <c r="TFT288" s="1132" t="n"/>
      <c r="TFU288" s="1132" t="n"/>
      <c r="TFV288" s="1132" t="n"/>
      <c r="TFW288" s="1132" t="n"/>
      <c r="TFX288" s="1132" t="n"/>
      <c r="TFY288" s="1132" t="n"/>
      <c r="TFZ288" s="1132" t="n"/>
      <c r="TGA288" s="1132" t="n"/>
      <c r="TGB288" s="1132" t="n"/>
      <c r="TGC288" s="1132" t="n"/>
      <c r="TGD288" s="1132" t="n"/>
      <c r="TGE288" s="1132" t="n"/>
      <c r="TGF288" s="1132" t="n"/>
      <c r="TGG288" s="1132" t="n"/>
      <c r="TGH288" s="1132" t="n"/>
      <c r="TGI288" s="1132" t="n"/>
      <c r="TGJ288" s="1132" t="n"/>
      <c r="TGK288" s="1132" t="n"/>
      <c r="TGL288" s="1132" t="n"/>
      <c r="TGM288" s="1132" t="n"/>
      <c r="TGN288" s="1132" t="n"/>
      <c r="TGO288" s="1132" t="n"/>
      <c r="TGP288" s="1132" t="n"/>
      <c r="TGQ288" s="1132" t="n"/>
      <c r="TGR288" s="1132" t="n"/>
      <c r="TGS288" s="1132" t="n"/>
      <c r="TGT288" s="1132" t="n"/>
      <c r="TGU288" s="1132" t="n"/>
      <c r="TGV288" s="1132" t="n"/>
      <c r="TGW288" s="1132" t="n"/>
      <c r="TGX288" s="1132" t="n"/>
      <c r="TGY288" s="1132" t="n"/>
      <c r="TGZ288" s="1132" t="n"/>
      <c r="THA288" s="1132" t="n"/>
      <c r="THB288" s="1132" t="n"/>
      <c r="THC288" s="1132" t="n"/>
      <c r="THD288" s="1132" t="n"/>
      <c r="THE288" s="1132" t="n"/>
      <c r="THF288" s="1132" t="n"/>
      <c r="THG288" s="1132" t="n"/>
      <c r="THH288" s="1132" t="n"/>
      <c r="THI288" s="1132" t="n"/>
      <c r="THJ288" s="1132" t="n"/>
      <c r="THK288" s="1132" t="n"/>
      <c r="THL288" s="1132" t="n"/>
      <c r="THM288" s="1132" t="n"/>
      <c r="THN288" s="1132" t="n"/>
      <c r="THO288" s="1132" t="n"/>
      <c r="THP288" s="1132" t="n"/>
      <c r="THQ288" s="1132" t="n"/>
      <c r="THR288" s="1132" t="n"/>
      <c r="THS288" s="1132" t="n"/>
      <c r="THT288" s="1132" t="n"/>
      <c r="THU288" s="1132" t="n"/>
      <c r="THV288" s="1132" t="n"/>
      <c r="THW288" s="1132" t="n"/>
      <c r="THX288" s="1132" t="n"/>
      <c r="THY288" s="1132" t="n"/>
      <c r="THZ288" s="1132" t="n"/>
      <c r="TIA288" s="1132" t="n"/>
      <c r="TIB288" s="1132" t="n"/>
      <c r="TIC288" s="1132" t="n"/>
      <c r="TID288" s="1132" t="n"/>
      <c r="TIE288" s="1132" t="n"/>
      <c r="TIF288" s="1132" t="n"/>
      <c r="TIG288" s="1132" t="n"/>
      <c r="TIH288" s="1132" t="n"/>
      <c r="TII288" s="1132" t="n"/>
      <c r="TIJ288" s="1132" t="n"/>
      <c r="TIK288" s="1132" t="n"/>
      <c r="TIL288" s="1132" t="n"/>
      <c r="TIM288" s="1132" t="n"/>
      <c r="TIN288" s="1132" t="n"/>
      <c r="TIO288" s="1132" t="n"/>
      <c r="TIP288" s="1132" t="n"/>
      <c r="TIQ288" s="1132" t="n"/>
      <c r="TIR288" s="1132" t="n"/>
      <c r="TIS288" s="1132" t="n"/>
      <c r="TIT288" s="1132" t="n"/>
      <c r="TIU288" s="1132" t="n"/>
      <c r="TIV288" s="1132" t="n"/>
      <c r="TIW288" s="1132" t="n"/>
      <c r="TIX288" s="1132" t="n"/>
      <c r="TIY288" s="1132" t="n"/>
      <c r="TIZ288" s="1132" t="n"/>
      <c r="TJA288" s="1132" t="n"/>
      <c r="TJB288" s="1132" t="n"/>
      <c r="TJC288" s="1132" t="n"/>
      <c r="TJD288" s="1132" t="n"/>
      <c r="TJE288" s="1132" t="n"/>
      <c r="TJF288" s="1132" t="n"/>
      <c r="TJG288" s="1132" t="n"/>
      <c r="TJH288" s="1132" t="n"/>
      <c r="TJI288" s="1132" t="n"/>
      <c r="TJJ288" s="1132" t="n"/>
      <c r="TJK288" s="1132" t="n"/>
      <c r="TJL288" s="1132" t="n"/>
      <c r="TJM288" s="1132" t="n"/>
      <c r="TJN288" s="1132" t="n"/>
      <c r="TJO288" s="1132" t="n"/>
      <c r="TJP288" s="1132" t="n"/>
      <c r="TJQ288" s="1132" t="n"/>
      <c r="TJR288" s="1132" t="n"/>
      <c r="TJS288" s="1132" t="n"/>
      <c r="TJT288" s="1132" t="n"/>
      <c r="TJU288" s="1132" t="n"/>
      <c r="TJV288" s="1132" t="n"/>
      <c r="TJW288" s="1132" t="n"/>
      <c r="TJX288" s="1132" t="n"/>
      <c r="TJY288" s="1132" t="n"/>
      <c r="TJZ288" s="1132" t="n"/>
      <c r="TKA288" s="1132" t="n"/>
      <c r="TKB288" s="1132" t="n"/>
      <c r="TKC288" s="1132" t="n"/>
      <c r="TKD288" s="1132" t="n"/>
      <c r="TKE288" s="1132" t="n"/>
      <c r="TKF288" s="1132" t="n"/>
      <c r="TKG288" s="1132" t="n"/>
      <c r="TKH288" s="1132" t="n"/>
      <c r="TKI288" s="1132" t="n"/>
      <c r="TKJ288" s="1132" t="n"/>
      <c r="TKK288" s="1132" t="n"/>
      <c r="TKL288" s="1132" t="n"/>
      <c r="TKM288" s="1132" t="n"/>
      <c r="TKN288" s="1132" t="n"/>
      <c r="TKO288" s="1132" t="n"/>
      <c r="TKP288" s="1132" t="n"/>
      <c r="TKQ288" s="1132" t="n"/>
      <c r="TKR288" s="1132" t="n"/>
      <c r="TKS288" s="1132" t="n"/>
      <c r="TKT288" s="1132" t="n"/>
      <c r="TKU288" s="1132" t="n"/>
      <c r="TKV288" s="1132" t="n"/>
      <c r="TKW288" s="1132" t="n"/>
      <c r="TKX288" s="1132" t="n"/>
      <c r="TKY288" s="1132" t="n"/>
      <c r="TKZ288" s="1132" t="n"/>
      <c r="TLA288" s="1132" t="n"/>
      <c r="TLB288" s="1132" t="n"/>
      <c r="TLC288" s="1132" t="n"/>
      <c r="TLD288" s="1132" t="n"/>
      <c r="TLE288" s="1132" t="n"/>
      <c r="TLF288" s="1132" t="n"/>
      <c r="TLG288" s="1132" t="n"/>
      <c r="TLH288" s="1132" t="n"/>
      <c r="TLI288" s="1132" t="n"/>
      <c r="TLJ288" s="1132" t="n"/>
      <c r="TLK288" s="1132" t="n"/>
      <c r="TLL288" s="1132" t="n"/>
      <c r="TLM288" s="1132" t="n"/>
      <c r="TLN288" s="1132" t="n"/>
      <c r="TLO288" s="1132" t="n"/>
      <c r="TLP288" s="1132" t="n"/>
      <c r="TLQ288" s="1132" t="n"/>
      <c r="TLR288" s="1132" t="n"/>
      <c r="TLS288" s="1132" t="n"/>
      <c r="TLT288" s="1132" t="n"/>
      <c r="TLU288" s="1132" t="n"/>
      <c r="TLV288" s="1132" t="n"/>
      <c r="TLW288" s="1132" t="n"/>
      <c r="TLX288" s="1132" t="n"/>
      <c r="TLY288" s="1132" t="n"/>
      <c r="TLZ288" s="1132" t="n"/>
      <c r="TMA288" s="1132" t="n"/>
      <c r="TMB288" s="1132" t="n"/>
      <c r="TMC288" s="1132" t="n"/>
      <c r="TMD288" s="1132" t="n"/>
      <c r="TME288" s="1132" t="n"/>
      <c r="TMF288" s="1132" t="n"/>
      <c r="TMG288" s="1132" t="n"/>
      <c r="TMH288" s="1132" t="n"/>
      <c r="TMI288" s="1132" t="n"/>
      <c r="TMJ288" s="1132" t="n"/>
      <c r="TMK288" s="1132" t="n"/>
      <c r="TML288" s="1132" t="n"/>
      <c r="TMM288" s="1132" t="n"/>
      <c r="TMN288" s="1132" t="n"/>
      <c r="TMO288" s="1132" t="n"/>
      <c r="TMP288" s="1132" t="n"/>
      <c r="TMQ288" s="1132" t="n"/>
      <c r="TMR288" s="1132" t="n"/>
      <c r="TMS288" s="1132" t="n"/>
      <c r="TMT288" s="1132" t="n"/>
      <c r="TMU288" s="1132" t="n"/>
      <c r="TMV288" s="1132" t="n"/>
      <c r="TMW288" s="1132" t="n"/>
      <c r="TMX288" s="1132" t="n"/>
      <c r="TMY288" s="1132" t="n"/>
      <c r="TMZ288" s="1132" t="n"/>
      <c r="TNA288" s="1132" t="n"/>
      <c r="TNB288" s="1132" t="n"/>
      <c r="TNC288" s="1132" t="n"/>
      <c r="TND288" s="1132" t="n"/>
      <c r="TNE288" s="1132" t="n"/>
      <c r="TNF288" s="1132" t="n"/>
      <c r="TNG288" s="1132" t="n"/>
      <c r="TNH288" s="1132" t="n"/>
      <c r="TNI288" s="1132" t="n"/>
      <c r="TNJ288" s="1132" t="n"/>
      <c r="TNK288" s="1132" t="n"/>
      <c r="TNL288" s="1132" t="n"/>
      <c r="TNM288" s="1132" t="n"/>
      <c r="TNN288" s="1132" t="n"/>
      <c r="TNO288" s="1132" t="n"/>
      <c r="TNP288" s="1132" t="n"/>
      <c r="TNQ288" s="1132" t="n"/>
      <c r="TNR288" s="1132" t="n"/>
      <c r="TNS288" s="1132" t="n"/>
      <c r="TNT288" s="1132" t="n"/>
      <c r="TNU288" s="1132" t="n"/>
      <c r="TNV288" s="1132" t="n"/>
      <c r="TNW288" s="1132" t="n"/>
      <c r="TNX288" s="1132" t="n"/>
      <c r="TNY288" s="1132" t="n"/>
      <c r="TNZ288" s="1132" t="n"/>
      <c r="TOA288" s="1132" t="n"/>
      <c r="TOB288" s="1132" t="n"/>
      <c r="TOC288" s="1132" t="n"/>
      <c r="TOD288" s="1132" t="n"/>
      <c r="TOE288" s="1132" t="n"/>
      <c r="TOF288" s="1132" t="n"/>
      <c r="TOG288" s="1132" t="n"/>
      <c r="TOH288" s="1132" t="n"/>
      <c r="TOI288" s="1132" t="n"/>
      <c r="TOJ288" s="1132" t="n"/>
      <c r="TOK288" s="1132" t="n"/>
      <c r="TOL288" s="1132" t="n"/>
      <c r="TOM288" s="1132" t="n"/>
      <c r="TON288" s="1132" t="n"/>
      <c r="TOO288" s="1132" t="n"/>
      <c r="TOP288" s="1132" t="n"/>
      <c r="TOQ288" s="1132" t="n"/>
      <c r="TOR288" s="1132" t="n"/>
      <c r="TOS288" s="1132" t="n"/>
      <c r="TOT288" s="1132" t="n"/>
      <c r="TOU288" s="1132" t="n"/>
      <c r="TOV288" s="1132" t="n"/>
      <c r="TOW288" s="1132" t="n"/>
      <c r="TOX288" s="1132" t="n"/>
      <c r="TOY288" s="1132" t="n"/>
      <c r="TOZ288" s="1132" t="n"/>
      <c r="TPA288" s="1132" t="n"/>
      <c r="TPB288" s="1132" t="n"/>
      <c r="TPC288" s="1132" t="n"/>
      <c r="TPD288" s="1132" t="n"/>
      <c r="TPE288" s="1132" t="n"/>
      <c r="TPF288" s="1132" t="n"/>
      <c r="TPG288" s="1132" t="n"/>
      <c r="TPH288" s="1132" t="n"/>
      <c r="TPI288" s="1132" t="n"/>
      <c r="TPJ288" s="1132" t="n"/>
      <c r="TPK288" s="1132" t="n"/>
      <c r="TPL288" s="1132" t="n"/>
      <c r="TPM288" s="1132" t="n"/>
      <c r="TPN288" s="1132" t="n"/>
      <c r="TPO288" s="1132" t="n"/>
      <c r="TPP288" s="1132" t="n"/>
      <c r="TPQ288" s="1132" t="n"/>
      <c r="TPR288" s="1132" t="n"/>
      <c r="TPS288" s="1132" t="n"/>
      <c r="TPT288" s="1132" t="n"/>
      <c r="TPU288" s="1132" t="n"/>
      <c r="TPV288" s="1132" t="n"/>
      <c r="TPW288" s="1132" t="n"/>
      <c r="TPX288" s="1132" t="n"/>
      <c r="TPY288" s="1132" t="n"/>
      <c r="TPZ288" s="1132" t="n"/>
      <c r="TQA288" s="1132" t="n"/>
      <c r="TQB288" s="1132" t="n"/>
      <c r="TQC288" s="1132" t="n"/>
      <c r="TQD288" s="1132" t="n"/>
      <c r="TQE288" s="1132" t="n"/>
      <c r="TQF288" s="1132" t="n"/>
      <c r="TQG288" s="1132" t="n"/>
      <c r="TQH288" s="1132" t="n"/>
      <c r="TQI288" s="1132" t="n"/>
      <c r="TQJ288" s="1132" t="n"/>
      <c r="TQK288" s="1132" t="n"/>
      <c r="TQL288" s="1132" t="n"/>
      <c r="TQM288" s="1132" t="n"/>
      <c r="TQN288" s="1132" t="n"/>
      <c r="TQO288" s="1132" t="n"/>
      <c r="TQP288" s="1132" t="n"/>
      <c r="TQQ288" s="1132" t="n"/>
      <c r="TQR288" s="1132" t="n"/>
      <c r="TQS288" s="1132" t="n"/>
      <c r="TQT288" s="1132" t="n"/>
      <c r="TQU288" s="1132" t="n"/>
      <c r="TQV288" s="1132" t="n"/>
      <c r="TQW288" s="1132" t="n"/>
      <c r="TQX288" s="1132" t="n"/>
      <c r="TQY288" s="1132" t="n"/>
      <c r="TQZ288" s="1132" t="n"/>
      <c r="TRA288" s="1132" t="n"/>
      <c r="TRB288" s="1132" t="n"/>
      <c r="TRC288" s="1132" t="n"/>
      <c r="TRD288" s="1132" t="n"/>
      <c r="TRE288" s="1132" t="n"/>
      <c r="TRF288" s="1132" t="n"/>
      <c r="TRG288" s="1132" t="n"/>
      <c r="TRH288" s="1132" t="n"/>
      <c r="TRI288" s="1132" t="n"/>
      <c r="TRJ288" s="1132" t="n"/>
      <c r="TRK288" s="1132" t="n"/>
      <c r="TRL288" s="1132" t="n"/>
      <c r="TRM288" s="1132" t="n"/>
      <c r="TRN288" s="1132" t="n"/>
      <c r="TRO288" s="1132" t="n"/>
      <c r="TRP288" s="1132" t="n"/>
      <c r="TRQ288" s="1132" t="n"/>
      <c r="TRR288" s="1132" t="n"/>
      <c r="TRS288" s="1132" t="n"/>
      <c r="TRT288" s="1132" t="n"/>
      <c r="TRU288" s="1132" t="n"/>
      <c r="TRV288" s="1132" t="n"/>
      <c r="TRW288" s="1132" t="n"/>
      <c r="TRX288" s="1132" t="n"/>
      <c r="TRY288" s="1132" t="n"/>
      <c r="TRZ288" s="1132" t="n"/>
      <c r="TSA288" s="1132" t="n"/>
      <c r="TSB288" s="1132" t="n"/>
      <c r="TSC288" s="1132" t="n"/>
      <c r="TSD288" s="1132" t="n"/>
      <c r="TSE288" s="1132" t="n"/>
      <c r="TSF288" s="1132" t="n"/>
      <c r="TSG288" s="1132" t="n"/>
      <c r="TSH288" s="1132" t="n"/>
      <c r="TSI288" s="1132" t="n"/>
      <c r="TSJ288" s="1132" t="n"/>
      <c r="TSK288" s="1132" t="n"/>
      <c r="TSL288" s="1132" t="n"/>
      <c r="TSM288" s="1132" t="n"/>
      <c r="TSN288" s="1132" t="n"/>
      <c r="TSO288" s="1132" t="n"/>
      <c r="TSP288" s="1132" t="n"/>
      <c r="TSQ288" s="1132" t="n"/>
      <c r="TSR288" s="1132" t="n"/>
      <c r="TSS288" s="1132" t="n"/>
      <c r="TST288" s="1132" t="n"/>
      <c r="TSU288" s="1132" t="n"/>
      <c r="TSV288" s="1132" t="n"/>
      <c r="TSW288" s="1132" t="n"/>
      <c r="TSX288" s="1132" t="n"/>
      <c r="TSY288" s="1132" t="n"/>
      <c r="TSZ288" s="1132" t="n"/>
      <c r="TTA288" s="1132" t="n"/>
      <c r="TTB288" s="1132" t="n"/>
      <c r="TTC288" s="1132" t="n"/>
      <c r="TTD288" s="1132" t="n"/>
      <c r="TTE288" s="1132" t="n"/>
      <c r="TTF288" s="1132" t="n"/>
      <c r="TTG288" s="1132" t="n"/>
      <c r="TTH288" s="1132" t="n"/>
      <c r="TTI288" s="1132" t="n"/>
      <c r="TTJ288" s="1132" t="n"/>
      <c r="TTK288" s="1132" t="n"/>
      <c r="TTL288" s="1132" t="n"/>
      <c r="TTM288" s="1132" t="n"/>
      <c r="TTN288" s="1132" t="n"/>
      <c r="TTO288" s="1132" t="n"/>
      <c r="TTP288" s="1132" t="n"/>
      <c r="TTQ288" s="1132" t="n"/>
      <c r="TTR288" s="1132" t="n"/>
      <c r="TTS288" s="1132" t="n"/>
      <c r="TTT288" s="1132" t="n"/>
      <c r="TTU288" s="1132" t="n"/>
      <c r="TTV288" s="1132" t="n"/>
      <c r="TTW288" s="1132" t="n"/>
      <c r="TTX288" s="1132" t="n"/>
      <c r="TTY288" s="1132" t="n"/>
      <c r="TTZ288" s="1132" t="n"/>
      <c r="TUA288" s="1132" t="n"/>
      <c r="TUB288" s="1132" t="n"/>
      <c r="TUC288" s="1132" t="n"/>
      <c r="TUD288" s="1132" t="n"/>
      <c r="TUE288" s="1132" t="n"/>
      <c r="TUF288" s="1132" t="n"/>
      <c r="TUG288" s="1132" t="n"/>
      <c r="TUH288" s="1132" t="n"/>
      <c r="TUI288" s="1132" t="n"/>
      <c r="TUJ288" s="1132" t="n"/>
      <c r="TUK288" s="1132" t="n"/>
      <c r="TUL288" s="1132" t="n"/>
      <c r="TUM288" s="1132" t="n"/>
      <c r="TUN288" s="1132" t="n"/>
      <c r="TUO288" s="1132" t="n"/>
      <c r="TUP288" s="1132" t="n"/>
      <c r="TUQ288" s="1132" t="n"/>
      <c r="TUR288" s="1132" t="n"/>
      <c r="TUS288" s="1132" t="n"/>
      <c r="TUT288" s="1132" t="n"/>
      <c r="TUU288" s="1132" t="n"/>
      <c r="TUV288" s="1132" t="n"/>
      <c r="TUW288" s="1132" t="n"/>
      <c r="TUX288" s="1132" t="n"/>
      <c r="TUY288" s="1132" t="n"/>
      <c r="TUZ288" s="1132" t="n"/>
      <c r="TVA288" s="1132" t="n"/>
      <c r="TVB288" s="1132" t="n"/>
      <c r="TVC288" s="1132" t="n"/>
      <c r="TVD288" s="1132" t="n"/>
      <c r="TVE288" s="1132" t="n"/>
      <c r="TVF288" s="1132" t="n"/>
      <c r="TVG288" s="1132" t="n"/>
      <c r="TVH288" s="1132" t="n"/>
      <c r="TVI288" s="1132" t="n"/>
      <c r="TVJ288" s="1132" t="n"/>
      <c r="TVK288" s="1132" t="n"/>
      <c r="TVL288" s="1132" t="n"/>
      <c r="TVM288" s="1132" t="n"/>
      <c r="TVN288" s="1132" t="n"/>
      <c r="TVO288" s="1132" t="n"/>
      <c r="TVP288" s="1132" t="n"/>
      <c r="TVQ288" s="1132" t="n"/>
      <c r="TVR288" s="1132" t="n"/>
      <c r="TVS288" s="1132" t="n"/>
      <c r="TVT288" s="1132" t="n"/>
      <c r="TVU288" s="1132" t="n"/>
      <c r="TVV288" s="1132" t="n"/>
      <c r="TVW288" s="1132" t="n"/>
      <c r="TVX288" s="1132" t="n"/>
      <c r="TVY288" s="1132" t="n"/>
      <c r="TVZ288" s="1132" t="n"/>
      <c r="TWA288" s="1132" t="n"/>
      <c r="TWB288" s="1132" t="n"/>
      <c r="TWC288" s="1132" t="n"/>
      <c r="TWD288" s="1132" t="n"/>
      <c r="TWE288" s="1132" t="n"/>
      <c r="TWF288" s="1132" t="n"/>
      <c r="TWG288" s="1132" t="n"/>
      <c r="TWH288" s="1132" t="n"/>
      <c r="TWI288" s="1132" t="n"/>
      <c r="TWJ288" s="1132" t="n"/>
      <c r="TWK288" s="1132" t="n"/>
      <c r="TWL288" s="1132" t="n"/>
      <c r="TWM288" s="1132" t="n"/>
      <c r="TWN288" s="1132" t="n"/>
      <c r="TWO288" s="1132" t="n"/>
      <c r="TWP288" s="1132" t="n"/>
      <c r="TWQ288" s="1132" t="n"/>
      <c r="TWR288" s="1132" t="n"/>
      <c r="TWS288" s="1132" t="n"/>
      <c r="TWT288" s="1132" t="n"/>
      <c r="TWU288" s="1132" t="n"/>
      <c r="TWV288" s="1132" t="n"/>
      <c r="TWW288" s="1132" t="n"/>
      <c r="TWX288" s="1132" t="n"/>
      <c r="TWY288" s="1132" t="n"/>
      <c r="TWZ288" s="1132" t="n"/>
      <c r="TXA288" s="1132" t="n"/>
      <c r="TXB288" s="1132" t="n"/>
      <c r="TXC288" s="1132" t="n"/>
      <c r="TXD288" s="1132" t="n"/>
      <c r="TXE288" s="1132" t="n"/>
      <c r="TXF288" s="1132" t="n"/>
      <c r="TXG288" s="1132" t="n"/>
      <c r="TXH288" s="1132" t="n"/>
      <c r="TXI288" s="1132" t="n"/>
      <c r="TXJ288" s="1132" t="n"/>
      <c r="TXK288" s="1132" t="n"/>
      <c r="TXL288" s="1132" t="n"/>
      <c r="TXM288" s="1132" t="n"/>
      <c r="TXN288" s="1132" t="n"/>
      <c r="TXO288" s="1132" t="n"/>
      <c r="TXP288" s="1132" t="n"/>
      <c r="TXQ288" s="1132" t="n"/>
      <c r="TXR288" s="1132" t="n"/>
      <c r="TXS288" s="1132" t="n"/>
      <c r="TXT288" s="1132" t="n"/>
      <c r="TXU288" s="1132" t="n"/>
      <c r="TXV288" s="1132" t="n"/>
      <c r="TXW288" s="1132" t="n"/>
      <c r="TXX288" s="1132" t="n"/>
      <c r="TXY288" s="1132" t="n"/>
      <c r="TXZ288" s="1132" t="n"/>
      <c r="TYA288" s="1132" t="n"/>
      <c r="TYB288" s="1132" t="n"/>
      <c r="TYC288" s="1132" t="n"/>
      <c r="TYD288" s="1132" t="n"/>
      <c r="TYE288" s="1132" t="n"/>
      <c r="TYF288" s="1132" t="n"/>
      <c r="TYG288" s="1132" t="n"/>
      <c r="TYH288" s="1132" t="n"/>
      <c r="TYI288" s="1132" t="n"/>
      <c r="TYJ288" s="1132" t="n"/>
      <c r="TYK288" s="1132" t="n"/>
      <c r="TYL288" s="1132" t="n"/>
      <c r="TYM288" s="1132" t="n"/>
      <c r="TYN288" s="1132" t="n"/>
      <c r="TYO288" s="1132" t="n"/>
      <c r="TYP288" s="1132" t="n"/>
      <c r="TYQ288" s="1132" t="n"/>
      <c r="TYR288" s="1132" t="n"/>
      <c r="TYS288" s="1132" t="n"/>
      <c r="TYT288" s="1132" t="n"/>
      <c r="TYU288" s="1132" t="n"/>
      <c r="TYV288" s="1132" t="n"/>
      <c r="TYW288" s="1132" t="n"/>
      <c r="TYX288" s="1132" t="n"/>
      <c r="TYY288" s="1132" t="n"/>
      <c r="TYZ288" s="1132" t="n"/>
      <c r="TZA288" s="1132" t="n"/>
      <c r="TZB288" s="1132" t="n"/>
      <c r="TZC288" s="1132" t="n"/>
      <c r="TZD288" s="1132" t="n"/>
      <c r="TZE288" s="1132" t="n"/>
      <c r="TZF288" s="1132" t="n"/>
      <c r="TZG288" s="1132" t="n"/>
      <c r="TZH288" s="1132" t="n"/>
      <c r="TZI288" s="1132" t="n"/>
      <c r="TZJ288" s="1132" t="n"/>
      <c r="TZK288" s="1132" t="n"/>
      <c r="TZL288" s="1132" t="n"/>
      <c r="TZM288" s="1132" t="n"/>
      <c r="TZN288" s="1132" t="n"/>
      <c r="TZO288" s="1132" t="n"/>
      <c r="TZP288" s="1132" t="n"/>
      <c r="TZQ288" s="1132" t="n"/>
      <c r="TZR288" s="1132" t="n"/>
      <c r="TZS288" s="1132" t="n"/>
      <c r="TZT288" s="1132" t="n"/>
      <c r="TZU288" s="1132" t="n"/>
      <c r="TZV288" s="1132" t="n"/>
      <c r="TZW288" s="1132" t="n"/>
      <c r="TZX288" s="1132" t="n"/>
      <c r="TZY288" s="1132" t="n"/>
      <c r="TZZ288" s="1132" t="n"/>
      <c r="UAA288" s="1132" t="n"/>
      <c r="UAB288" s="1132" t="n"/>
      <c r="UAC288" s="1132" t="n"/>
      <c r="UAD288" s="1132" t="n"/>
      <c r="UAE288" s="1132" t="n"/>
      <c r="UAF288" s="1132" t="n"/>
      <c r="UAG288" s="1132" t="n"/>
      <c r="UAH288" s="1132" t="n"/>
      <c r="UAI288" s="1132" t="n"/>
      <c r="UAJ288" s="1132" t="n"/>
      <c r="UAK288" s="1132" t="n"/>
      <c r="UAL288" s="1132" t="n"/>
      <c r="UAM288" s="1132" t="n"/>
      <c r="UAN288" s="1132" t="n"/>
      <c r="UAO288" s="1132" t="n"/>
      <c r="UAP288" s="1132" t="n"/>
      <c r="UAQ288" s="1132" t="n"/>
      <c r="UAR288" s="1132" t="n"/>
      <c r="UAS288" s="1132" t="n"/>
      <c r="UAT288" s="1132" t="n"/>
      <c r="UAU288" s="1132" t="n"/>
      <c r="UAV288" s="1132" t="n"/>
      <c r="UAW288" s="1132" t="n"/>
      <c r="UAX288" s="1132" t="n"/>
      <c r="UAY288" s="1132" t="n"/>
      <c r="UAZ288" s="1132" t="n"/>
      <c r="UBA288" s="1132" t="n"/>
      <c r="UBB288" s="1132" t="n"/>
      <c r="UBC288" s="1132" t="n"/>
      <c r="UBD288" s="1132" t="n"/>
      <c r="UBE288" s="1132" t="n"/>
      <c r="UBF288" s="1132" t="n"/>
      <c r="UBG288" s="1132" t="n"/>
      <c r="UBH288" s="1132" t="n"/>
      <c r="UBI288" s="1132" t="n"/>
      <c r="UBJ288" s="1132" t="n"/>
      <c r="UBK288" s="1132" t="n"/>
      <c r="UBL288" s="1132" t="n"/>
      <c r="UBM288" s="1132" t="n"/>
      <c r="UBN288" s="1132" t="n"/>
      <c r="UBO288" s="1132" t="n"/>
      <c r="UBP288" s="1132" t="n"/>
      <c r="UBQ288" s="1132" t="n"/>
      <c r="UBR288" s="1132" t="n"/>
      <c r="UBS288" s="1132" t="n"/>
      <c r="UBT288" s="1132" t="n"/>
      <c r="UBU288" s="1132" t="n"/>
      <c r="UBV288" s="1132" t="n"/>
      <c r="UBW288" s="1132" t="n"/>
      <c r="UBX288" s="1132" t="n"/>
      <c r="UBY288" s="1132" t="n"/>
      <c r="UBZ288" s="1132" t="n"/>
      <c r="UCA288" s="1132" t="n"/>
      <c r="UCB288" s="1132" t="n"/>
      <c r="UCC288" s="1132" t="n"/>
      <c r="UCD288" s="1132" t="n"/>
      <c r="UCE288" s="1132" t="n"/>
      <c r="UCF288" s="1132" t="n"/>
      <c r="UCG288" s="1132" t="n"/>
      <c r="UCH288" s="1132" t="n"/>
      <c r="UCI288" s="1132" t="n"/>
      <c r="UCJ288" s="1132" t="n"/>
      <c r="UCK288" s="1132" t="n"/>
      <c r="UCL288" s="1132" t="n"/>
      <c r="UCM288" s="1132" t="n"/>
      <c r="UCN288" s="1132" t="n"/>
      <c r="UCO288" s="1132" t="n"/>
      <c r="UCP288" s="1132" t="n"/>
      <c r="UCQ288" s="1132" t="n"/>
      <c r="UCR288" s="1132" t="n"/>
      <c r="UCS288" s="1132" t="n"/>
      <c r="UCT288" s="1132" t="n"/>
      <c r="UCU288" s="1132" t="n"/>
      <c r="UCV288" s="1132" t="n"/>
      <c r="UCW288" s="1132" t="n"/>
      <c r="UCX288" s="1132" t="n"/>
      <c r="UCY288" s="1132" t="n"/>
      <c r="UCZ288" s="1132" t="n"/>
      <c r="UDA288" s="1132" t="n"/>
      <c r="UDB288" s="1132" t="n"/>
      <c r="UDC288" s="1132" t="n"/>
      <c r="UDD288" s="1132" t="n"/>
      <c r="UDE288" s="1132" t="n"/>
      <c r="UDF288" s="1132" t="n"/>
      <c r="UDG288" s="1132" t="n"/>
      <c r="UDH288" s="1132" t="n"/>
      <c r="UDI288" s="1132" t="n"/>
      <c r="UDJ288" s="1132" t="n"/>
      <c r="UDK288" s="1132" t="n"/>
      <c r="UDL288" s="1132" t="n"/>
      <c r="UDM288" s="1132" t="n"/>
      <c r="UDN288" s="1132" t="n"/>
      <c r="UDO288" s="1132" t="n"/>
      <c r="UDP288" s="1132" t="n"/>
      <c r="UDQ288" s="1132" t="n"/>
      <c r="UDR288" s="1132" t="n"/>
      <c r="UDS288" s="1132" t="n"/>
      <c r="UDT288" s="1132" t="n"/>
      <c r="UDU288" s="1132" t="n"/>
      <c r="UDV288" s="1132" t="n"/>
      <c r="UDW288" s="1132" t="n"/>
      <c r="UDX288" s="1132" t="n"/>
      <c r="UDY288" s="1132" t="n"/>
      <c r="UDZ288" s="1132" t="n"/>
      <c r="UEA288" s="1132" t="n"/>
      <c r="UEB288" s="1132" t="n"/>
      <c r="UEC288" s="1132" t="n"/>
      <c r="UED288" s="1132" t="n"/>
      <c r="UEE288" s="1132" t="n"/>
      <c r="UEF288" s="1132" t="n"/>
      <c r="UEG288" s="1132" t="n"/>
      <c r="UEH288" s="1132" t="n"/>
      <c r="UEI288" s="1132" t="n"/>
      <c r="UEJ288" s="1132" t="n"/>
      <c r="UEK288" s="1132" t="n"/>
      <c r="UEL288" s="1132" t="n"/>
      <c r="UEM288" s="1132" t="n"/>
      <c r="UEN288" s="1132" t="n"/>
      <c r="UEO288" s="1132" t="n"/>
      <c r="UEP288" s="1132" t="n"/>
      <c r="UEQ288" s="1132" t="n"/>
      <c r="UER288" s="1132" t="n"/>
      <c r="UES288" s="1132" t="n"/>
      <c r="UET288" s="1132" t="n"/>
      <c r="UEU288" s="1132" t="n"/>
      <c r="UEV288" s="1132" t="n"/>
      <c r="UEW288" s="1132" t="n"/>
      <c r="UEX288" s="1132" t="n"/>
      <c r="UEY288" s="1132" t="n"/>
      <c r="UEZ288" s="1132" t="n"/>
      <c r="UFA288" s="1132" t="n"/>
      <c r="UFB288" s="1132" t="n"/>
      <c r="UFC288" s="1132" t="n"/>
      <c r="UFD288" s="1132" t="n"/>
      <c r="UFE288" s="1132" t="n"/>
      <c r="UFF288" s="1132" t="n"/>
      <c r="UFG288" s="1132" t="n"/>
      <c r="UFH288" s="1132" t="n"/>
      <c r="UFI288" s="1132" t="n"/>
      <c r="UFJ288" s="1132" t="n"/>
      <c r="UFK288" s="1132" t="n"/>
      <c r="UFL288" s="1132" t="n"/>
      <c r="UFM288" s="1132" t="n"/>
      <c r="UFN288" s="1132" t="n"/>
      <c r="UFO288" s="1132" t="n"/>
      <c r="UFP288" s="1132" t="n"/>
      <c r="UFQ288" s="1132" t="n"/>
      <c r="UFR288" s="1132" t="n"/>
      <c r="UFS288" s="1132" t="n"/>
      <c r="UFT288" s="1132" t="n"/>
      <c r="UFU288" s="1132" t="n"/>
      <c r="UFV288" s="1132" t="n"/>
      <c r="UFW288" s="1132" t="n"/>
      <c r="UFX288" s="1132" t="n"/>
      <c r="UFY288" s="1132" t="n"/>
      <c r="UFZ288" s="1132" t="n"/>
      <c r="UGA288" s="1132" t="n"/>
      <c r="UGB288" s="1132" t="n"/>
      <c r="UGC288" s="1132" t="n"/>
      <c r="UGD288" s="1132" t="n"/>
      <c r="UGE288" s="1132" t="n"/>
      <c r="UGF288" s="1132" t="n"/>
      <c r="UGG288" s="1132" t="n"/>
      <c r="UGH288" s="1132" t="n"/>
      <c r="UGI288" s="1132" t="n"/>
      <c r="UGJ288" s="1132" t="n"/>
      <c r="UGK288" s="1132" t="n"/>
      <c r="UGL288" s="1132" t="n"/>
      <c r="UGM288" s="1132" t="n"/>
      <c r="UGN288" s="1132" t="n"/>
      <c r="UGO288" s="1132" t="n"/>
      <c r="UGP288" s="1132" t="n"/>
      <c r="UGQ288" s="1132" t="n"/>
      <c r="UGR288" s="1132" t="n"/>
      <c r="UGS288" s="1132" t="n"/>
      <c r="UGT288" s="1132" t="n"/>
      <c r="UGU288" s="1132" t="n"/>
      <c r="UGV288" s="1132" t="n"/>
      <c r="UGW288" s="1132" t="n"/>
      <c r="UGX288" s="1132" t="n"/>
      <c r="UGY288" s="1132" t="n"/>
      <c r="UGZ288" s="1132" t="n"/>
      <c r="UHA288" s="1132" t="n"/>
      <c r="UHB288" s="1132" t="n"/>
      <c r="UHC288" s="1132" t="n"/>
      <c r="UHD288" s="1132" t="n"/>
      <c r="UHE288" s="1132" t="n"/>
      <c r="UHF288" s="1132" t="n"/>
      <c r="UHG288" s="1132" t="n"/>
      <c r="UHH288" s="1132" t="n"/>
      <c r="UHI288" s="1132" t="n"/>
      <c r="UHJ288" s="1132" t="n"/>
      <c r="UHK288" s="1132" t="n"/>
      <c r="UHL288" s="1132" t="n"/>
      <c r="UHM288" s="1132" t="n"/>
      <c r="UHN288" s="1132" t="n"/>
      <c r="UHO288" s="1132" t="n"/>
      <c r="UHP288" s="1132" t="n"/>
      <c r="UHQ288" s="1132" t="n"/>
      <c r="UHR288" s="1132" t="n"/>
      <c r="UHS288" s="1132" t="n"/>
      <c r="UHT288" s="1132" t="n"/>
      <c r="UHU288" s="1132" t="n"/>
      <c r="UHV288" s="1132" t="n"/>
      <c r="UHW288" s="1132" t="n"/>
      <c r="UHX288" s="1132" t="n"/>
      <c r="UHY288" s="1132" t="n"/>
      <c r="UHZ288" s="1132" t="n"/>
      <c r="UIA288" s="1132" t="n"/>
      <c r="UIB288" s="1132" t="n"/>
      <c r="UIC288" s="1132" t="n"/>
      <c r="UID288" s="1132" t="n"/>
      <c r="UIE288" s="1132" t="n"/>
      <c r="UIF288" s="1132" t="n"/>
      <c r="UIG288" s="1132" t="n"/>
      <c r="UIH288" s="1132" t="n"/>
      <c r="UII288" s="1132" t="n"/>
      <c r="UIJ288" s="1132" t="n"/>
      <c r="UIK288" s="1132" t="n"/>
      <c r="UIL288" s="1132" t="n"/>
      <c r="UIM288" s="1132" t="n"/>
      <c r="UIN288" s="1132" t="n"/>
      <c r="UIO288" s="1132" t="n"/>
      <c r="UIP288" s="1132" t="n"/>
      <c r="UIQ288" s="1132" t="n"/>
      <c r="UIR288" s="1132" t="n"/>
      <c r="UIS288" s="1132" t="n"/>
      <c r="UIT288" s="1132" t="n"/>
      <c r="UIU288" s="1132" t="n"/>
      <c r="UIV288" s="1132" t="n"/>
      <c r="UIW288" s="1132" t="n"/>
      <c r="UIX288" s="1132" t="n"/>
      <c r="UIY288" s="1132" t="n"/>
      <c r="UIZ288" s="1132" t="n"/>
      <c r="UJA288" s="1132" t="n"/>
      <c r="UJB288" s="1132" t="n"/>
      <c r="UJC288" s="1132" t="n"/>
      <c r="UJD288" s="1132" t="n"/>
      <c r="UJE288" s="1132" t="n"/>
      <c r="UJF288" s="1132" t="n"/>
      <c r="UJG288" s="1132" t="n"/>
      <c r="UJH288" s="1132" t="n"/>
      <c r="UJI288" s="1132" t="n"/>
      <c r="UJJ288" s="1132" t="n"/>
      <c r="UJK288" s="1132" t="n"/>
      <c r="UJL288" s="1132" t="n"/>
      <c r="UJM288" s="1132" t="n"/>
      <c r="UJN288" s="1132" t="n"/>
      <c r="UJO288" s="1132" t="n"/>
      <c r="UJP288" s="1132" t="n"/>
      <c r="UJQ288" s="1132" t="n"/>
      <c r="UJR288" s="1132" t="n"/>
      <c r="UJS288" s="1132" t="n"/>
      <c r="UJT288" s="1132" t="n"/>
      <c r="UJU288" s="1132" t="n"/>
      <c r="UJV288" s="1132" t="n"/>
      <c r="UJW288" s="1132" t="n"/>
      <c r="UJX288" s="1132" t="n"/>
      <c r="UJY288" s="1132" t="n"/>
      <c r="UJZ288" s="1132" t="n"/>
      <c r="UKA288" s="1132" t="n"/>
      <c r="UKB288" s="1132" t="n"/>
      <c r="UKC288" s="1132" t="n"/>
      <c r="UKD288" s="1132" t="n"/>
      <c r="UKE288" s="1132" t="n"/>
      <c r="UKF288" s="1132" t="n"/>
      <c r="UKG288" s="1132" t="n"/>
      <c r="UKH288" s="1132" t="n"/>
      <c r="UKI288" s="1132" t="n"/>
      <c r="UKJ288" s="1132" t="n"/>
      <c r="UKK288" s="1132" t="n"/>
      <c r="UKL288" s="1132" t="n"/>
      <c r="UKM288" s="1132" t="n"/>
      <c r="UKN288" s="1132" t="n"/>
      <c r="UKO288" s="1132" t="n"/>
      <c r="UKP288" s="1132" t="n"/>
      <c r="UKQ288" s="1132" t="n"/>
      <c r="UKR288" s="1132" t="n"/>
      <c r="UKS288" s="1132" t="n"/>
      <c r="UKT288" s="1132" t="n"/>
      <c r="UKU288" s="1132" t="n"/>
      <c r="UKV288" s="1132" t="n"/>
      <c r="UKW288" s="1132" t="n"/>
      <c r="UKX288" s="1132" t="n"/>
      <c r="UKY288" s="1132" t="n"/>
      <c r="UKZ288" s="1132" t="n"/>
      <c r="ULA288" s="1132" t="n"/>
      <c r="ULB288" s="1132" t="n"/>
      <c r="ULC288" s="1132" t="n"/>
      <c r="ULD288" s="1132" t="n"/>
      <c r="ULE288" s="1132" t="n"/>
      <c r="ULF288" s="1132" t="n"/>
      <c r="ULG288" s="1132" t="n"/>
      <c r="ULH288" s="1132" t="n"/>
      <c r="ULI288" s="1132" t="n"/>
      <c r="ULJ288" s="1132" t="n"/>
      <c r="ULK288" s="1132" t="n"/>
      <c r="ULL288" s="1132" t="n"/>
      <c r="ULM288" s="1132" t="n"/>
      <c r="ULN288" s="1132" t="n"/>
      <c r="ULO288" s="1132" t="n"/>
      <c r="ULP288" s="1132" t="n"/>
      <c r="ULQ288" s="1132" t="n"/>
      <c r="ULR288" s="1132" t="n"/>
      <c r="ULS288" s="1132" t="n"/>
      <c r="ULT288" s="1132" t="n"/>
      <c r="ULU288" s="1132" t="n"/>
      <c r="ULV288" s="1132" t="n"/>
      <c r="ULW288" s="1132" t="n"/>
      <c r="ULX288" s="1132" t="n"/>
      <c r="ULY288" s="1132" t="n"/>
      <c r="ULZ288" s="1132" t="n"/>
      <c r="UMA288" s="1132" t="n"/>
      <c r="UMB288" s="1132" t="n"/>
      <c r="UMC288" s="1132" t="n"/>
      <c r="UMD288" s="1132" t="n"/>
      <c r="UME288" s="1132" t="n"/>
      <c r="UMF288" s="1132" t="n"/>
      <c r="UMG288" s="1132" t="n"/>
      <c r="UMH288" s="1132" t="n"/>
      <c r="UMI288" s="1132" t="n"/>
      <c r="UMJ288" s="1132" t="n"/>
      <c r="UMK288" s="1132" t="n"/>
      <c r="UML288" s="1132" t="n"/>
      <c r="UMM288" s="1132" t="n"/>
      <c r="UMN288" s="1132" t="n"/>
      <c r="UMO288" s="1132" t="n"/>
      <c r="UMP288" s="1132" t="n"/>
      <c r="UMQ288" s="1132" t="n"/>
      <c r="UMR288" s="1132" t="n"/>
      <c r="UMS288" s="1132" t="n"/>
      <c r="UMT288" s="1132" t="n"/>
      <c r="UMU288" s="1132" t="n"/>
      <c r="UMV288" s="1132" t="n"/>
      <c r="UMW288" s="1132" t="n"/>
      <c r="UMX288" s="1132" t="n"/>
      <c r="UMY288" s="1132" t="n"/>
      <c r="UMZ288" s="1132" t="n"/>
      <c r="UNA288" s="1132" t="n"/>
      <c r="UNB288" s="1132" t="n"/>
      <c r="UNC288" s="1132" t="n"/>
      <c r="UND288" s="1132" t="n"/>
      <c r="UNE288" s="1132" t="n"/>
      <c r="UNF288" s="1132" t="n"/>
      <c r="UNG288" s="1132" t="n"/>
      <c r="UNH288" s="1132" t="n"/>
      <c r="UNI288" s="1132" t="n"/>
      <c r="UNJ288" s="1132" t="n"/>
      <c r="UNK288" s="1132" t="n"/>
      <c r="UNL288" s="1132" t="n"/>
      <c r="UNM288" s="1132" t="n"/>
      <c r="UNN288" s="1132" t="n"/>
      <c r="UNO288" s="1132" t="n"/>
      <c r="UNP288" s="1132" t="n"/>
      <c r="UNQ288" s="1132" t="n"/>
      <c r="UNR288" s="1132" t="n"/>
      <c r="UNS288" s="1132" t="n"/>
      <c r="UNT288" s="1132" t="n"/>
      <c r="UNU288" s="1132" t="n"/>
      <c r="UNV288" s="1132" t="n"/>
      <c r="UNW288" s="1132" t="n"/>
      <c r="UNX288" s="1132" t="n"/>
      <c r="UNY288" s="1132" t="n"/>
      <c r="UNZ288" s="1132" t="n"/>
      <c r="UOA288" s="1132" t="n"/>
      <c r="UOB288" s="1132" t="n"/>
      <c r="UOC288" s="1132" t="n"/>
      <c r="UOD288" s="1132" t="n"/>
      <c r="UOE288" s="1132" t="n"/>
      <c r="UOF288" s="1132" t="n"/>
      <c r="UOG288" s="1132" t="n"/>
      <c r="UOH288" s="1132" t="n"/>
      <c r="UOI288" s="1132" t="n"/>
      <c r="UOJ288" s="1132" t="n"/>
      <c r="UOK288" s="1132" t="n"/>
      <c r="UOL288" s="1132" t="n"/>
      <c r="UOM288" s="1132" t="n"/>
      <c r="UON288" s="1132" t="n"/>
      <c r="UOO288" s="1132" t="n"/>
      <c r="UOP288" s="1132" t="n"/>
      <c r="UOQ288" s="1132" t="n"/>
      <c r="UOR288" s="1132" t="n"/>
      <c r="UOS288" s="1132" t="n"/>
      <c r="UOT288" s="1132" t="n"/>
      <c r="UOU288" s="1132" t="n"/>
      <c r="UOV288" s="1132" t="n"/>
      <c r="UOW288" s="1132" t="n"/>
      <c r="UOX288" s="1132" t="n"/>
      <c r="UOY288" s="1132" t="n"/>
      <c r="UOZ288" s="1132" t="n"/>
      <c r="UPA288" s="1132" t="n"/>
      <c r="UPB288" s="1132" t="n"/>
      <c r="UPC288" s="1132" t="n"/>
      <c r="UPD288" s="1132" t="n"/>
      <c r="UPE288" s="1132" t="n"/>
      <c r="UPF288" s="1132" t="n"/>
      <c r="UPG288" s="1132" t="n"/>
      <c r="UPH288" s="1132" t="n"/>
      <c r="UPI288" s="1132" t="n"/>
      <c r="UPJ288" s="1132" t="n"/>
      <c r="UPK288" s="1132" t="n"/>
      <c r="UPL288" s="1132" t="n"/>
      <c r="UPM288" s="1132" t="n"/>
      <c r="UPN288" s="1132" t="n"/>
      <c r="UPO288" s="1132" t="n"/>
      <c r="UPP288" s="1132" t="n"/>
      <c r="UPQ288" s="1132" t="n"/>
      <c r="UPR288" s="1132" t="n"/>
      <c r="UPS288" s="1132" t="n"/>
      <c r="UPT288" s="1132" t="n"/>
      <c r="UPU288" s="1132" t="n"/>
      <c r="UPV288" s="1132" t="n"/>
      <c r="UPW288" s="1132" t="n"/>
      <c r="UPX288" s="1132" t="n"/>
      <c r="UPY288" s="1132" t="n"/>
      <c r="UPZ288" s="1132" t="n"/>
      <c r="UQA288" s="1132" t="n"/>
      <c r="UQB288" s="1132" t="n"/>
      <c r="UQC288" s="1132" t="n"/>
      <c r="UQD288" s="1132" t="n"/>
      <c r="UQE288" s="1132" t="n"/>
      <c r="UQF288" s="1132" t="n"/>
      <c r="UQG288" s="1132" t="n"/>
      <c r="UQH288" s="1132" t="n"/>
      <c r="UQI288" s="1132" t="n"/>
      <c r="UQJ288" s="1132" t="n"/>
      <c r="UQK288" s="1132" t="n"/>
      <c r="UQL288" s="1132" t="n"/>
      <c r="UQM288" s="1132" t="n"/>
      <c r="UQN288" s="1132" t="n"/>
      <c r="UQO288" s="1132" t="n"/>
      <c r="UQP288" s="1132" t="n"/>
      <c r="UQQ288" s="1132" t="n"/>
      <c r="UQR288" s="1132" t="n"/>
      <c r="UQS288" s="1132" t="n"/>
      <c r="UQT288" s="1132" t="n"/>
      <c r="UQU288" s="1132" t="n"/>
      <c r="UQV288" s="1132" t="n"/>
      <c r="UQW288" s="1132" t="n"/>
      <c r="UQX288" s="1132" t="n"/>
      <c r="UQY288" s="1132" t="n"/>
      <c r="UQZ288" s="1132" t="n"/>
      <c r="URA288" s="1132" t="n"/>
      <c r="URB288" s="1132" t="n"/>
      <c r="URC288" s="1132" t="n"/>
      <c r="URD288" s="1132" t="n"/>
      <c r="URE288" s="1132" t="n"/>
      <c r="URF288" s="1132" t="n"/>
      <c r="URG288" s="1132" t="n"/>
      <c r="URH288" s="1132" t="n"/>
      <c r="URI288" s="1132" t="n"/>
      <c r="URJ288" s="1132" t="n"/>
      <c r="URK288" s="1132" t="n"/>
      <c r="URL288" s="1132" t="n"/>
      <c r="URM288" s="1132" t="n"/>
      <c r="URN288" s="1132" t="n"/>
      <c r="URO288" s="1132" t="n"/>
      <c r="URP288" s="1132" t="n"/>
      <c r="URQ288" s="1132" t="n"/>
      <c r="URR288" s="1132" t="n"/>
      <c r="URS288" s="1132" t="n"/>
      <c r="URT288" s="1132" t="n"/>
      <c r="URU288" s="1132" t="n"/>
      <c r="URV288" s="1132" t="n"/>
      <c r="URW288" s="1132" t="n"/>
      <c r="URX288" s="1132" t="n"/>
      <c r="URY288" s="1132" t="n"/>
      <c r="URZ288" s="1132" t="n"/>
      <c r="USA288" s="1132" t="n"/>
      <c r="USB288" s="1132" t="n"/>
      <c r="USC288" s="1132" t="n"/>
      <c r="USD288" s="1132" t="n"/>
      <c r="USE288" s="1132" t="n"/>
      <c r="USF288" s="1132" t="n"/>
      <c r="USG288" s="1132" t="n"/>
      <c r="USH288" s="1132" t="n"/>
      <c r="USI288" s="1132" t="n"/>
      <c r="USJ288" s="1132" t="n"/>
      <c r="USK288" s="1132" t="n"/>
      <c r="USL288" s="1132" t="n"/>
      <c r="USM288" s="1132" t="n"/>
      <c r="USN288" s="1132" t="n"/>
      <c r="USO288" s="1132" t="n"/>
      <c r="USP288" s="1132" t="n"/>
      <c r="USQ288" s="1132" t="n"/>
      <c r="USR288" s="1132" t="n"/>
      <c r="USS288" s="1132" t="n"/>
      <c r="UST288" s="1132" t="n"/>
      <c r="USU288" s="1132" t="n"/>
      <c r="USV288" s="1132" t="n"/>
      <c r="USW288" s="1132" t="n"/>
      <c r="USX288" s="1132" t="n"/>
      <c r="USY288" s="1132" t="n"/>
      <c r="USZ288" s="1132" t="n"/>
      <c r="UTA288" s="1132" t="n"/>
      <c r="UTB288" s="1132" t="n"/>
      <c r="UTC288" s="1132" t="n"/>
      <c r="UTD288" s="1132" t="n"/>
      <c r="UTE288" s="1132" t="n"/>
      <c r="UTF288" s="1132" t="n"/>
      <c r="UTG288" s="1132" t="n"/>
      <c r="UTH288" s="1132" t="n"/>
      <c r="UTI288" s="1132" t="n"/>
      <c r="UTJ288" s="1132" t="n"/>
      <c r="UTK288" s="1132" t="n"/>
      <c r="UTL288" s="1132" t="n"/>
      <c r="UTM288" s="1132" t="n"/>
      <c r="UTN288" s="1132" t="n"/>
      <c r="UTO288" s="1132" t="n"/>
      <c r="UTP288" s="1132" t="n"/>
      <c r="UTQ288" s="1132" t="n"/>
      <c r="UTR288" s="1132" t="n"/>
      <c r="UTS288" s="1132" t="n"/>
      <c r="UTT288" s="1132" t="n"/>
      <c r="UTU288" s="1132" t="n"/>
      <c r="UTV288" s="1132" t="n"/>
      <c r="UTW288" s="1132" t="n"/>
      <c r="UTX288" s="1132" t="n"/>
      <c r="UTY288" s="1132" t="n"/>
      <c r="UTZ288" s="1132" t="n"/>
      <c r="UUA288" s="1132" t="n"/>
      <c r="UUB288" s="1132" t="n"/>
      <c r="UUC288" s="1132" t="n"/>
      <c r="UUD288" s="1132" t="n"/>
      <c r="UUE288" s="1132" t="n"/>
      <c r="UUF288" s="1132" t="n"/>
      <c r="UUG288" s="1132" t="n"/>
      <c r="UUH288" s="1132" t="n"/>
      <c r="UUI288" s="1132" t="n"/>
      <c r="UUJ288" s="1132" t="n"/>
      <c r="UUK288" s="1132" t="n"/>
      <c r="UUL288" s="1132" t="n"/>
      <c r="UUM288" s="1132" t="n"/>
      <c r="UUN288" s="1132" t="n"/>
      <c r="UUO288" s="1132" t="n"/>
      <c r="UUP288" s="1132" t="n"/>
      <c r="UUQ288" s="1132" t="n"/>
      <c r="UUR288" s="1132" t="n"/>
      <c r="UUS288" s="1132" t="n"/>
      <c r="UUT288" s="1132" t="n"/>
      <c r="UUU288" s="1132" t="n"/>
      <c r="UUV288" s="1132" t="n"/>
      <c r="UUW288" s="1132" t="n"/>
      <c r="UUX288" s="1132" t="n"/>
      <c r="UUY288" s="1132" t="n"/>
      <c r="UUZ288" s="1132" t="n"/>
      <c r="UVA288" s="1132" t="n"/>
      <c r="UVB288" s="1132" t="n"/>
      <c r="UVC288" s="1132" t="n"/>
      <c r="UVD288" s="1132" t="n"/>
      <c r="UVE288" s="1132" t="n"/>
      <c r="UVF288" s="1132" t="n"/>
      <c r="UVG288" s="1132" t="n"/>
      <c r="UVH288" s="1132" t="n"/>
      <c r="UVI288" s="1132" t="n"/>
      <c r="UVJ288" s="1132" t="n"/>
      <c r="UVK288" s="1132" t="n"/>
      <c r="UVL288" s="1132" t="n"/>
      <c r="UVM288" s="1132" t="n"/>
      <c r="UVN288" s="1132" t="n"/>
      <c r="UVO288" s="1132" t="n"/>
      <c r="UVP288" s="1132" t="n"/>
      <c r="UVQ288" s="1132" t="n"/>
      <c r="UVR288" s="1132" t="n"/>
      <c r="UVS288" s="1132" t="n"/>
      <c r="UVT288" s="1132" t="n"/>
      <c r="UVU288" s="1132" t="n"/>
      <c r="UVV288" s="1132" t="n"/>
      <c r="UVW288" s="1132" t="n"/>
      <c r="UVX288" s="1132" t="n"/>
      <c r="UVY288" s="1132" t="n"/>
      <c r="UVZ288" s="1132" t="n"/>
      <c r="UWA288" s="1132" t="n"/>
      <c r="UWB288" s="1132" t="n"/>
      <c r="UWC288" s="1132" t="n"/>
      <c r="UWD288" s="1132" t="n"/>
      <c r="UWE288" s="1132" t="n"/>
      <c r="UWF288" s="1132" t="n"/>
      <c r="UWG288" s="1132" t="n"/>
      <c r="UWH288" s="1132" t="n"/>
      <c r="UWI288" s="1132" t="n"/>
      <c r="UWJ288" s="1132" t="n"/>
      <c r="UWK288" s="1132" t="n"/>
      <c r="UWL288" s="1132" t="n"/>
      <c r="UWM288" s="1132" t="n"/>
      <c r="UWN288" s="1132" t="n"/>
      <c r="UWO288" s="1132" t="n"/>
      <c r="UWP288" s="1132" t="n"/>
      <c r="UWQ288" s="1132" t="n"/>
      <c r="UWR288" s="1132" t="n"/>
      <c r="UWS288" s="1132" t="n"/>
      <c r="UWT288" s="1132" t="n"/>
      <c r="UWU288" s="1132" t="n"/>
      <c r="UWV288" s="1132" t="n"/>
      <c r="UWW288" s="1132" t="n"/>
      <c r="UWX288" s="1132" t="n"/>
      <c r="UWY288" s="1132" t="n"/>
      <c r="UWZ288" s="1132" t="n"/>
      <c r="UXA288" s="1132" t="n"/>
      <c r="UXB288" s="1132" t="n"/>
      <c r="UXC288" s="1132" t="n"/>
      <c r="UXD288" s="1132" t="n"/>
      <c r="UXE288" s="1132" t="n"/>
      <c r="UXF288" s="1132" t="n"/>
      <c r="UXG288" s="1132" t="n"/>
      <c r="UXH288" s="1132" t="n"/>
      <c r="UXI288" s="1132" t="n"/>
      <c r="UXJ288" s="1132" t="n"/>
      <c r="UXK288" s="1132" t="n"/>
      <c r="UXL288" s="1132" t="n"/>
      <c r="UXM288" s="1132" t="n"/>
      <c r="UXN288" s="1132" t="n"/>
      <c r="UXO288" s="1132" t="n"/>
      <c r="UXP288" s="1132" t="n"/>
      <c r="UXQ288" s="1132" t="n"/>
      <c r="UXR288" s="1132" t="n"/>
      <c r="UXS288" s="1132" t="n"/>
      <c r="UXT288" s="1132" t="n"/>
      <c r="UXU288" s="1132" t="n"/>
      <c r="UXV288" s="1132" t="n"/>
      <c r="UXW288" s="1132" t="n"/>
      <c r="UXX288" s="1132" t="n"/>
      <c r="UXY288" s="1132" t="n"/>
      <c r="UXZ288" s="1132" t="n"/>
      <c r="UYA288" s="1132" t="n"/>
      <c r="UYB288" s="1132" t="n"/>
      <c r="UYC288" s="1132" t="n"/>
      <c r="UYD288" s="1132" t="n"/>
      <c r="UYE288" s="1132" t="n"/>
      <c r="UYF288" s="1132" t="n"/>
      <c r="UYG288" s="1132" t="n"/>
      <c r="UYH288" s="1132" t="n"/>
      <c r="UYI288" s="1132" t="n"/>
      <c r="UYJ288" s="1132" t="n"/>
      <c r="UYK288" s="1132" t="n"/>
      <c r="UYL288" s="1132" t="n"/>
      <c r="UYM288" s="1132" t="n"/>
      <c r="UYN288" s="1132" t="n"/>
      <c r="UYO288" s="1132" t="n"/>
      <c r="UYP288" s="1132" t="n"/>
      <c r="UYQ288" s="1132" t="n"/>
      <c r="UYR288" s="1132" t="n"/>
      <c r="UYS288" s="1132" t="n"/>
      <c r="UYT288" s="1132" t="n"/>
      <c r="UYU288" s="1132" t="n"/>
      <c r="UYV288" s="1132" t="n"/>
      <c r="UYW288" s="1132" t="n"/>
      <c r="UYX288" s="1132" t="n"/>
      <c r="UYY288" s="1132" t="n"/>
      <c r="UYZ288" s="1132" t="n"/>
      <c r="UZA288" s="1132" t="n"/>
      <c r="UZB288" s="1132" t="n"/>
      <c r="UZC288" s="1132" t="n"/>
      <c r="UZD288" s="1132" t="n"/>
      <c r="UZE288" s="1132" t="n"/>
      <c r="UZF288" s="1132" t="n"/>
      <c r="UZG288" s="1132" t="n"/>
      <c r="UZH288" s="1132" t="n"/>
      <c r="UZI288" s="1132" t="n"/>
      <c r="UZJ288" s="1132" t="n"/>
      <c r="UZK288" s="1132" t="n"/>
      <c r="UZL288" s="1132" t="n"/>
      <c r="UZM288" s="1132" t="n"/>
      <c r="UZN288" s="1132" t="n"/>
      <c r="UZO288" s="1132" t="n"/>
      <c r="UZP288" s="1132" t="n"/>
      <c r="UZQ288" s="1132" t="n"/>
      <c r="UZR288" s="1132" t="n"/>
      <c r="UZS288" s="1132" t="n"/>
      <c r="UZT288" s="1132" t="n"/>
      <c r="UZU288" s="1132" t="n"/>
      <c r="UZV288" s="1132" t="n"/>
      <c r="UZW288" s="1132" t="n"/>
      <c r="UZX288" s="1132" t="n"/>
      <c r="UZY288" s="1132" t="n"/>
      <c r="UZZ288" s="1132" t="n"/>
      <c r="VAA288" s="1132" t="n"/>
      <c r="VAB288" s="1132" t="n"/>
      <c r="VAC288" s="1132" t="n"/>
      <c r="VAD288" s="1132" t="n"/>
      <c r="VAE288" s="1132" t="n"/>
      <c r="VAF288" s="1132" t="n"/>
      <c r="VAG288" s="1132" t="n"/>
      <c r="VAH288" s="1132" t="n"/>
      <c r="VAI288" s="1132" t="n"/>
      <c r="VAJ288" s="1132" t="n"/>
      <c r="VAK288" s="1132" t="n"/>
      <c r="VAL288" s="1132" t="n"/>
      <c r="VAM288" s="1132" t="n"/>
      <c r="VAN288" s="1132" t="n"/>
      <c r="VAO288" s="1132" t="n"/>
      <c r="VAP288" s="1132" t="n"/>
      <c r="VAQ288" s="1132" t="n"/>
      <c r="VAR288" s="1132" t="n"/>
      <c r="VAS288" s="1132" t="n"/>
      <c r="VAT288" s="1132" t="n"/>
      <c r="VAU288" s="1132" t="n"/>
      <c r="VAV288" s="1132" t="n"/>
      <c r="VAW288" s="1132" t="n"/>
      <c r="VAX288" s="1132" t="n"/>
      <c r="VAY288" s="1132" t="n"/>
      <c r="VAZ288" s="1132" t="n"/>
      <c r="VBA288" s="1132" t="n"/>
      <c r="VBB288" s="1132" t="n"/>
      <c r="VBC288" s="1132" t="n"/>
      <c r="VBD288" s="1132" t="n"/>
      <c r="VBE288" s="1132" t="n"/>
      <c r="VBF288" s="1132" t="n"/>
      <c r="VBG288" s="1132" t="n"/>
      <c r="VBH288" s="1132" t="n"/>
      <c r="VBI288" s="1132" t="n"/>
      <c r="VBJ288" s="1132" t="n"/>
      <c r="VBK288" s="1132" t="n"/>
      <c r="VBL288" s="1132" t="n"/>
      <c r="VBM288" s="1132" t="n"/>
      <c r="VBN288" s="1132" t="n"/>
      <c r="VBO288" s="1132" t="n"/>
      <c r="VBP288" s="1132" t="n"/>
      <c r="VBQ288" s="1132" t="n"/>
      <c r="VBR288" s="1132" t="n"/>
      <c r="VBS288" s="1132" t="n"/>
      <c r="VBT288" s="1132" t="n"/>
      <c r="VBU288" s="1132" t="n"/>
      <c r="VBV288" s="1132" t="n"/>
      <c r="VBW288" s="1132" t="n"/>
      <c r="VBX288" s="1132" t="n"/>
      <c r="VBY288" s="1132" t="n"/>
      <c r="VBZ288" s="1132" t="n"/>
      <c r="VCA288" s="1132" t="n"/>
      <c r="VCB288" s="1132" t="n"/>
      <c r="VCC288" s="1132" t="n"/>
      <c r="VCD288" s="1132" t="n"/>
      <c r="VCE288" s="1132" t="n"/>
      <c r="VCF288" s="1132" t="n"/>
      <c r="VCG288" s="1132" t="n"/>
      <c r="VCH288" s="1132" t="n"/>
      <c r="VCI288" s="1132" t="n"/>
      <c r="VCJ288" s="1132" t="n"/>
      <c r="VCK288" s="1132" t="n"/>
      <c r="VCL288" s="1132" t="n"/>
      <c r="VCM288" s="1132" t="n"/>
      <c r="VCN288" s="1132" t="n"/>
      <c r="VCO288" s="1132" t="n"/>
      <c r="VCP288" s="1132" t="n"/>
      <c r="VCQ288" s="1132" t="n"/>
      <c r="VCR288" s="1132" t="n"/>
      <c r="VCS288" s="1132" t="n"/>
      <c r="VCT288" s="1132" t="n"/>
      <c r="VCU288" s="1132" t="n"/>
      <c r="VCV288" s="1132" t="n"/>
      <c r="VCW288" s="1132" t="n"/>
      <c r="VCX288" s="1132" t="n"/>
      <c r="VCY288" s="1132" t="n"/>
      <c r="VCZ288" s="1132" t="n"/>
      <c r="VDA288" s="1132" t="n"/>
      <c r="VDB288" s="1132" t="n"/>
      <c r="VDC288" s="1132" t="n"/>
      <c r="VDD288" s="1132" t="n"/>
      <c r="VDE288" s="1132" t="n"/>
      <c r="VDF288" s="1132" t="n"/>
      <c r="VDG288" s="1132" t="n"/>
      <c r="VDH288" s="1132" t="n"/>
      <c r="VDI288" s="1132" t="n"/>
      <c r="VDJ288" s="1132" t="n"/>
      <c r="VDK288" s="1132" t="n"/>
      <c r="VDL288" s="1132" t="n"/>
      <c r="VDM288" s="1132" t="n"/>
      <c r="VDN288" s="1132" t="n"/>
      <c r="VDO288" s="1132" t="n"/>
      <c r="VDP288" s="1132" t="n"/>
      <c r="VDQ288" s="1132" t="n"/>
      <c r="VDR288" s="1132" t="n"/>
      <c r="VDS288" s="1132" t="n"/>
      <c r="VDT288" s="1132" t="n"/>
      <c r="VDU288" s="1132" t="n"/>
      <c r="VDV288" s="1132" t="n"/>
      <c r="VDW288" s="1132" t="n"/>
      <c r="VDX288" s="1132" t="n"/>
      <c r="VDY288" s="1132" t="n"/>
      <c r="VDZ288" s="1132" t="n"/>
      <c r="VEA288" s="1132" t="n"/>
      <c r="VEB288" s="1132" t="n"/>
      <c r="VEC288" s="1132" t="n"/>
      <c r="VED288" s="1132" t="n"/>
      <c r="VEE288" s="1132" t="n"/>
      <c r="VEF288" s="1132" t="n"/>
      <c r="VEG288" s="1132" t="n"/>
      <c r="VEH288" s="1132" t="n"/>
      <c r="VEI288" s="1132" t="n"/>
      <c r="VEJ288" s="1132" t="n"/>
      <c r="VEK288" s="1132" t="n"/>
      <c r="VEL288" s="1132" t="n"/>
      <c r="VEM288" s="1132" t="n"/>
      <c r="VEN288" s="1132" t="n"/>
      <c r="VEO288" s="1132" t="n"/>
      <c r="VEP288" s="1132" t="n"/>
      <c r="VEQ288" s="1132" t="n"/>
      <c r="VER288" s="1132" t="n"/>
      <c r="VES288" s="1132" t="n"/>
      <c r="VET288" s="1132" t="n"/>
      <c r="VEU288" s="1132" t="n"/>
      <c r="VEV288" s="1132" t="n"/>
      <c r="VEW288" s="1132" t="n"/>
      <c r="VEX288" s="1132" t="n"/>
      <c r="VEY288" s="1132" t="n"/>
      <c r="VEZ288" s="1132" t="n"/>
      <c r="VFA288" s="1132" t="n"/>
      <c r="VFB288" s="1132" t="n"/>
      <c r="VFC288" s="1132" t="n"/>
      <c r="VFD288" s="1132" t="n"/>
      <c r="VFE288" s="1132" t="n"/>
      <c r="VFF288" s="1132" t="n"/>
      <c r="VFG288" s="1132" t="n"/>
      <c r="VFH288" s="1132" t="n"/>
      <c r="VFI288" s="1132" t="n"/>
      <c r="VFJ288" s="1132" t="n"/>
      <c r="VFK288" s="1132" t="n"/>
      <c r="VFL288" s="1132" t="n"/>
      <c r="VFM288" s="1132" t="n"/>
      <c r="VFN288" s="1132" t="n"/>
      <c r="VFO288" s="1132" t="n"/>
      <c r="VFP288" s="1132" t="n"/>
      <c r="VFQ288" s="1132" t="n"/>
      <c r="VFR288" s="1132" t="n"/>
      <c r="VFS288" s="1132" t="n"/>
      <c r="VFT288" s="1132" t="n"/>
      <c r="VFU288" s="1132" t="n"/>
      <c r="VFV288" s="1132" t="n"/>
      <c r="VFW288" s="1132" t="n"/>
      <c r="VFX288" s="1132" t="n"/>
      <c r="VFY288" s="1132" t="n"/>
      <c r="VFZ288" s="1132" t="n"/>
      <c r="VGA288" s="1132" t="n"/>
      <c r="VGB288" s="1132" t="n"/>
      <c r="VGC288" s="1132" t="n"/>
      <c r="VGD288" s="1132" t="n"/>
      <c r="VGE288" s="1132" t="n"/>
      <c r="VGF288" s="1132" t="n"/>
      <c r="VGG288" s="1132" t="n"/>
      <c r="VGH288" s="1132" t="n"/>
      <c r="VGI288" s="1132" t="n"/>
      <c r="VGJ288" s="1132" t="n"/>
      <c r="VGK288" s="1132" t="n"/>
      <c r="VGL288" s="1132" t="n"/>
      <c r="VGM288" s="1132" t="n"/>
      <c r="VGN288" s="1132" t="n"/>
      <c r="VGO288" s="1132" t="n"/>
      <c r="VGP288" s="1132" t="n"/>
      <c r="VGQ288" s="1132" t="n"/>
      <c r="VGR288" s="1132" t="n"/>
      <c r="VGS288" s="1132" t="n"/>
      <c r="VGT288" s="1132" t="n"/>
      <c r="VGU288" s="1132" t="n"/>
      <c r="VGV288" s="1132" t="n"/>
      <c r="VGW288" s="1132" t="n"/>
      <c r="VGX288" s="1132" t="n"/>
      <c r="VGY288" s="1132" t="n"/>
      <c r="VGZ288" s="1132" t="n"/>
      <c r="VHA288" s="1132" t="n"/>
      <c r="VHB288" s="1132" t="n"/>
      <c r="VHC288" s="1132" t="n"/>
      <c r="VHD288" s="1132" t="n"/>
      <c r="VHE288" s="1132" t="n"/>
      <c r="VHF288" s="1132" t="n"/>
      <c r="VHG288" s="1132" t="n"/>
      <c r="VHH288" s="1132" t="n"/>
      <c r="VHI288" s="1132" t="n"/>
      <c r="VHJ288" s="1132" t="n"/>
      <c r="VHK288" s="1132" t="n"/>
      <c r="VHL288" s="1132" t="n"/>
      <c r="VHM288" s="1132" t="n"/>
      <c r="VHN288" s="1132" t="n"/>
      <c r="VHO288" s="1132" t="n"/>
      <c r="VHP288" s="1132" t="n"/>
      <c r="VHQ288" s="1132" t="n"/>
      <c r="VHR288" s="1132" t="n"/>
      <c r="VHS288" s="1132" t="n"/>
      <c r="VHT288" s="1132" t="n"/>
      <c r="VHU288" s="1132" t="n"/>
      <c r="VHV288" s="1132" t="n"/>
      <c r="VHW288" s="1132" t="n"/>
      <c r="VHX288" s="1132" t="n"/>
      <c r="VHY288" s="1132" t="n"/>
      <c r="VHZ288" s="1132" t="n"/>
      <c r="VIA288" s="1132" t="n"/>
      <c r="VIB288" s="1132" t="n"/>
      <c r="VIC288" s="1132" t="n"/>
      <c r="VID288" s="1132" t="n"/>
      <c r="VIE288" s="1132" t="n"/>
      <c r="VIF288" s="1132" t="n"/>
      <c r="VIG288" s="1132" t="n"/>
      <c r="VIH288" s="1132" t="n"/>
      <c r="VII288" s="1132" t="n"/>
      <c r="VIJ288" s="1132" t="n"/>
      <c r="VIK288" s="1132" t="n"/>
      <c r="VIL288" s="1132" t="n"/>
      <c r="VIM288" s="1132" t="n"/>
      <c r="VIN288" s="1132" t="n"/>
      <c r="VIO288" s="1132" t="n"/>
      <c r="VIP288" s="1132" t="n"/>
      <c r="VIQ288" s="1132" t="n"/>
      <c r="VIR288" s="1132" t="n"/>
      <c r="VIS288" s="1132" t="n"/>
      <c r="VIT288" s="1132" t="n"/>
      <c r="VIU288" s="1132" t="n"/>
      <c r="VIV288" s="1132" t="n"/>
      <c r="VIW288" s="1132" t="n"/>
      <c r="VIX288" s="1132" t="n"/>
      <c r="VIY288" s="1132" t="n"/>
      <c r="VIZ288" s="1132" t="n"/>
      <c r="VJA288" s="1132" t="n"/>
      <c r="VJB288" s="1132" t="n"/>
      <c r="VJC288" s="1132" t="n"/>
      <c r="VJD288" s="1132" t="n"/>
      <c r="VJE288" s="1132" t="n"/>
      <c r="VJF288" s="1132" t="n"/>
      <c r="VJG288" s="1132" t="n"/>
      <c r="VJH288" s="1132" t="n"/>
      <c r="VJI288" s="1132" t="n"/>
      <c r="VJJ288" s="1132" t="n"/>
      <c r="VJK288" s="1132" t="n"/>
      <c r="VJL288" s="1132" t="n"/>
      <c r="VJM288" s="1132" t="n"/>
      <c r="VJN288" s="1132" t="n"/>
      <c r="VJO288" s="1132" t="n"/>
      <c r="VJP288" s="1132" t="n"/>
      <c r="VJQ288" s="1132" t="n"/>
      <c r="VJR288" s="1132" t="n"/>
      <c r="VJS288" s="1132" t="n"/>
      <c r="VJT288" s="1132" t="n"/>
      <c r="VJU288" s="1132" t="n"/>
      <c r="VJV288" s="1132" t="n"/>
      <c r="VJW288" s="1132" t="n"/>
      <c r="VJX288" s="1132" t="n"/>
      <c r="VJY288" s="1132" t="n"/>
      <c r="VJZ288" s="1132" t="n"/>
      <c r="VKA288" s="1132" t="n"/>
      <c r="VKB288" s="1132" t="n"/>
      <c r="VKC288" s="1132" t="n"/>
      <c r="VKD288" s="1132" t="n"/>
      <c r="VKE288" s="1132" t="n"/>
      <c r="VKF288" s="1132" t="n"/>
      <c r="VKG288" s="1132" t="n"/>
      <c r="VKH288" s="1132" t="n"/>
      <c r="VKI288" s="1132" t="n"/>
      <c r="VKJ288" s="1132" t="n"/>
      <c r="VKK288" s="1132" t="n"/>
      <c r="VKL288" s="1132" t="n"/>
      <c r="VKM288" s="1132" t="n"/>
      <c r="VKN288" s="1132" t="n"/>
      <c r="VKO288" s="1132" t="n"/>
      <c r="VKP288" s="1132" t="n"/>
      <c r="VKQ288" s="1132" t="n"/>
      <c r="VKR288" s="1132" t="n"/>
      <c r="VKS288" s="1132" t="n"/>
      <c r="VKT288" s="1132" t="n"/>
      <c r="VKU288" s="1132" t="n"/>
      <c r="VKV288" s="1132" t="n"/>
      <c r="VKW288" s="1132" t="n"/>
      <c r="VKX288" s="1132" t="n"/>
      <c r="VKY288" s="1132" t="n"/>
      <c r="VKZ288" s="1132" t="n"/>
      <c r="VLA288" s="1132" t="n"/>
      <c r="VLB288" s="1132" t="n"/>
      <c r="VLC288" s="1132" t="n"/>
      <c r="VLD288" s="1132" t="n"/>
      <c r="VLE288" s="1132" t="n"/>
      <c r="VLF288" s="1132" t="n"/>
      <c r="VLG288" s="1132" t="n"/>
      <c r="VLH288" s="1132" t="n"/>
      <c r="VLI288" s="1132" t="n"/>
      <c r="VLJ288" s="1132" t="n"/>
      <c r="VLK288" s="1132" t="n"/>
      <c r="VLL288" s="1132" t="n"/>
      <c r="VLM288" s="1132" t="n"/>
      <c r="VLN288" s="1132" t="n"/>
      <c r="VLO288" s="1132" t="n"/>
      <c r="VLP288" s="1132" t="n"/>
      <c r="VLQ288" s="1132" t="n"/>
      <c r="VLR288" s="1132" t="n"/>
      <c r="VLS288" s="1132" t="n"/>
      <c r="VLT288" s="1132" t="n"/>
      <c r="VLU288" s="1132" t="n"/>
      <c r="VLV288" s="1132" t="n"/>
      <c r="VLW288" s="1132" t="n"/>
      <c r="VLX288" s="1132" t="n"/>
      <c r="VLY288" s="1132" t="n"/>
      <c r="VLZ288" s="1132" t="n"/>
      <c r="VMA288" s="1132" t="n"/>
      <c r="VMB288" s="1132" t="n"/>
      <c r="VMC288" s="1132" t="n"/>
      <c r="VMD288" s="1132" t="n"/>
      <c r="VME288" s="1132" t="n"/>
      <c r="VMF288" s="1132" t="n"/>
      <c r="VMG288" s="1132" t="n"/>
      <c r="VMH288" s="1132" t="n"/>
      <c r="VMI288" s="1132" t="n"/>
      <c r="VMJ288" s="1132" t="n"/>
      <c r="VMK288" s="1132" t="n"/>
      <c r="VML288" s="1132" t="n"/>
      <c r="VMM288" s="1132" t="n"/>
      <c r="VMN288" s="1132" t="n"/>
      <c r="VMO288" s="1132" t="n"/>
      <c r="VMP288" s="1132" t="n"/>
      <c r="VMQ288" s="1132" t="n"/>
      <c r="VMR288" s="1132" t="n"/>
      <c r="VMS288" s="1132" t="n"/>
      <c r="VMT288" s="1132" t="n"/>
      <c r="VMU288" s="1132" t="n"/>
      <c r="VMV288" s="1132" t="n"/>
      <c r="VMW288" s="1132" t="n"/>
      <c r="VMX288" s="1132" t="n"/>
      <c r="VMY288" s="1132" t="n"/>
      <c r="VMZ288" s="1132" t="n"/>
      <c r="VNA288" s="1132" t="n"/>
      <c r="VNB288" s="1132" t="n"/>
      <c r="VNC288" s="1132" t="n"/>
      <c r="VND288" s="1132" t="n"/>
      <c r="VNE288" s="1132" t="n"/>
      <c r="VNF288" s="1132" t="n"/>
      <c r="VNG288" s="1132" t="n"/>
      <c r="VNH288" s="1132" t="n"/>
      <c r="VNI288" s="1132" t="n"/>
      <c r="VNJ288" s="1132" t="n"/>
      <c r="VNK288" s="1132" t="n"/>
      <c r="VNL288" s="1132" t="n"/>
      <c r="VNM288" s="1132" t="n"/>
      <c r="VNN288" s="1132" t="n"/>
      <c r="VNO288" s="1132" t="n"/>
      <c r="VNP288" s="1132" t="n"/>
      <c r="VNQ288" s="1132" t="n"/>
      <c r="VNR288" s="1132" t="n"/>
      <c r="VNS288" s="1132" t="n"/>
      <c r="VNT288" s="1132" t="n"/>
      <c r="VNU288" s="1132" t="n"/>
      <c r="VNV288" s="1132" t="n"/>
      <c r="VNW288" s="1132" t="n"/>
      <c r="VNX288" s="1132" t="n"/>
      <c r="VNY288" s="1132" t="n"/>
      <c r="VNZ288" s="1132" t="n"/>
      <c r="VOA288" s="1132" t="n"/>
      <c r="VOB288" s="1132" t="n"/>
      <c r="VOC288" s="1132" t="n"/>
      <c r="VOD288" s="1132" t="n"/>
      <c r="VOE288" s="1132" t="n"/>
      <c r="VOF288" s="1132" t="n"/>
      <c r="VOG288" s="1132" t="n"/>
      <c r="VOH288" s="1132" t="n"/>
      <c r="VOI288" s="1132" t="n"/>
      <c r="VOJ288" s="1132" t="n"/>
      <c r="VOK288" s="1132" t="n"/>
      <c r="VOL288" s="1132" t="n"/>
      <c r="VOM288" s="1132" t="n"/>
      <c r="VON288" s="1132" t="n"/>
      <c r="VOO288" s="1132" t="n"/>
      <c r="VOP288" s="1132" t="n"/>
      <c r="VOQ288" s="1132" t="n"/>
      <c r="VOR288" s="1132" t="n"/>
      <c r="VOS288" s="1132" t="n"/>
      <c r="VOT288" s="1132" t="n"/>
      <c r="VOU288" s="1132" t="n"/>
      <c r="VOV288" s="1132" t="n"/>
      <c r="VOW288" s="1132" t="n"/>
      <c r="VOX288" s="1132" t="n"/>
      <c r="VOY288" s="1132" t="n"/>
      <c r="VOZ288" s="1132" t="n"/>
      <c r="VPA288" s="1132" t="n"/>
      <c r="VPB288" s="1132" t="n"/>
      <c r="VPC288" s="1132" t="n"/>
      <c r="VPD288" s="1132" t="n"/>
      <c r="VPE288" s="1132" t="n"/>
      <c r="VPF288" s="1132" t="n"/>
      <c r="VPG288" s="1132" t="n"/>
      <c r="VPH288" s="1132" t="n"/>
      <c r="VPI288" s="1132" t="n"/>
      <c r="VPJ288" s="1132" t="n"/>
      <c r="VPK288" s="1132" t="n"/>
      <c r="VPL288" s="1132" t="n"/>
      <c r="VPM288" s="1132" t="n"/>
      <c r="VPN288" s="1132" t="n"/>
      <c r="VPO288" s="1132" t="n"/>
      <c r="VPP288" s="1132" t="n"/>
      <c r="VPQ288" s="1132" t="n"/>
      <c r="VPR288" s="1132" t="n"/>
      <c r="VPS288" s="1132" t="n"/>
      <c r="VPT288" s="1132" t="n"/>
      <c r="VPU288" s="1132" t="n"/>
      <c r="VPV288" s="1132" t="n"/>
      <c r="VPW288" s="1132" t="n"/>
      <c r="VPX288" s="1132" t="n"/>
      <c r="VPY288" s="1132" t="n"/>
      <c r="VPZ288" s="1132" t="n"/>
      <c r="VQA288" s="1132" t="n"/>
      <c r="VQB288" s="1132" t="n"/>
      <c r="VQC288" s="1132" t="n"/>
      <c r="VQD288" s="1132" t="n"/>
      <c r="VQE288" s="1132" t="n"/>
      <c r="VQF288" s="1132" t="n"/>
      <c r="VQG288" s="1132" t="n"/>
      <c r="VQH288" s="1132" t="n"/>
      <c r="VQI288" s="1132" t="n"/>
      <c r="VQJ288" s="1132" t="n"/>
      <c r="VQK288" s="1132" t="n"/>
      <c r="VQL288" s="1132" t="n"/>
      <c r="VQM288" s="1132" t="n"/>
      <c r="VQN288" s="1132" t="n"/>
      <c r="VQO288" s="1132" t="n"/>
      <c r="VQP288" s="1132" t="n"/>
      <c r="VQQ288" s="1132" t="n"/>
      <c r="VQR288" s="1132" t="n"/>
      <c r="VQS288" s="1132" t="n"/>
      <c r="VQT288" s="1132" t="n"/>
      <c r="VQU288" s="1132" t="n"/>
      <c r="VQV288" s="1132" t="n"/>
      <c r="VQW288" s="1132" t="n"/>
      <c r="VQX288" s="1132" t="n"/>
      <c r="VQY288" s="1132" t="n"/>
      <c r="VQZ288" s="1132" t="n"/>
      <c r="VRA288" s="1132" t="n"/>
      <c r="VRB288" s="1132" t="n"/>
      <c r="VRC288" s="1132" t="n"/>
      <c r="VRD288" s="1132" t="n"/>
      <c r="VRE288" s="1132" t="n"/>
      <c r="VRF288" s="1132" t="n"/>
      <c r="VRG288" s="1132" t="n"/>
      <c r="VRH288" s="1132" t="n"/>
      <c r="VRI288" s="1132" t="n"/>
      <c r="VRJ288" s="1132" t="n"/>
      <c r="VRK288" s="1132" t="n"/>
      <c r="VRL288" s="1132" t="n"/>
      <c r="VRM288" s="1132" t="n"/>
      <c r="VRN288" s="1132" t="n"/>
      <c r="VRO288" s="1132" t="n"/>
      <c r="VRP288" s="1132" t="n"/>
      <c r="VRQ288" s="1132" t="n"/>
      <c r="VRR288" s="1132" t="n"/>
      <c r="VRS288" s="1132" t="n"/>
      <c r="VRT288" s="1132" t="n"/>
      <c r="VRU288" s="1132" t="n"/>
      <c r="VRV288" s="1132" t="n"/>
      <c r="VRW288" s="1132" t="n"/>
      <c r="VRX288" s="1132" t="n"/>
      <c r="VRY288" s="1132" t="n"/>
      <c r="VRZ288" s="1132" t="n"/>
      <c r="VSA288" s="1132" t="n"/>
      <c r="VSB288" s="1132" t="n"/>
      <c r="VSC288" s="1132" t="n"/>
      <c r="VSD288" s="1132" t="n"/>
      <c r="VSE288" s="1132" t="n"/>
      <c r="VSF288" s="1132" t="n"/>
      <c r="VSG288" s="1132" t="n"/>
      <c r="VSH288" s="1132" t="n"/>
      <c r="VSI288" s="1132" t="n"/>
      <c r="VSJ288" s="1132" t="n"/>
      <c r="VSK288" s="1132" t="n"/>
      <c r="VSL288" s="1132" t="n"/>
      <c r="VSM288" s="1132" t="n"/>
      <c r="VSN288" s="1132" t="n"/>
      <c r="VSO288" s="1132" t="n"/>
      <c r="VSP288" s="1132" t="n"/>
      <c r="VSQ288" s="1132" t="n"/>
      <c r="VSR288" s="1132" t="n"/>
      <c r="VSS288" s="1132" t="n"/>
      <c r="VST288" s="1132" t="n"/>
      <c r="VSU288" s="1132" t="n"/>
      <c r="VSV288" s="1132" t="n"/>
      <c r="VSW288" s="1132" t="n"/>
      <c r="VSX288" s="1132" t="n"/>
      <c r="VSY288" s="1132" t="n"/>
      <c r="VSZ288" s="1132" t="n"/>
      <c r="VTA288" s="1132" t="n"/>
      <c r="VTB288" s="1132" t="n"/>
      <c r="VTC288" s="1132" t="n"/>
      <c r="VTD288" s="1132" t="n"/>
      <c r="VTE288" s="1132" t="n"/>
      <c r="VTF288" s="1132" t="n"/>
      <c r="VTG288" s="1132" t="n"/>
      <c r="VTH288" s="1132" t="n"/>
      <c r="VTI288" s="1132" t="n"/>
      <c r="VTJ288" s="1132" t="n"/>
      <c r="VTK288" s="1132" t="n"/>
      <c r="VTL288" s="1132" t="n"/>
      <c r="VTM288" s="1132" t="n"/>
      <c r="VTN288" s="1132" t="n"/>
      <c r="VTO288" s="1132" t="n"/>
      <c r="VTP288" s="1132" t="n"/>
      <c r="VTQ288" s="1132" t="n"/>
      <c r="VTR288" s="1132" t="n"/>
      <c r="VTS288" s="1132" t="n"/>
      <c r="VTT288" s="1132" t="n"/>
      <c r="VTU288" s="1132" t="n"/>
      <c r="VTV288" s="1132" t="n"/>
      <c r="VTW288" s="1132" t="n"/>
      <c r="VTX288" s="1132" t="n"/>
      <c r="VTY288" s="1132" t="n"/>
      <c r="VTZ288" s="1132" t="n"/>
      <c r="VUA288" s="1132" t="n"/>
      <c r="VUB288" s="1132" t="n"/>
      <c r="VUC288" s="1132" t="n"/>
      <c r="VUD288" s="1132" t="n"/>
      <c r="VUE288" s="1132" t="n"/>
      <c r="VUF288" s="1132" t="n"/>
      <c r="VUG288" s="1132" t="n"/>
      <c r="VUH288" s="1132" t="n"/>
      <c r="VUI288" s="1132" t="n"/>
      <c r="VUJ288" s="1132" t="n"/>
      <c r="VUK288" s="1132" t="n"/>
      <c r="VUL288" s="1132" t="n"/>
      <c r="VUM288" s="1132" t="n"/>
      <c r="VUN288" s="1132" t="n"/>
      <c r="VUO288" s="1132" t="n"/>
      <c r="VUP288" s="1132" t="n"/>
      <c r="VUQ288" s="1132" t="n"/>
      <c r="VUR288" s="1132" t="n"/>
      <c r="VUS288" s="1132" t="n"/>
      <c r="VUT288" s="1132" t="n"/>
      <c r="VUU288" s="1132" t="n"/>
      <c r="VUV288" s="1132" t="n"/>
      <c r="VUW288" s="1132" t="n"/>
      <c r="VUX288" s="1132" t="n"/>
      <c r="VUY288" s="1132" t="n"/>
      <c r="VUZ288" s="1132" t="n"/>
      <c r="VVA288" s="1132" t="n"/>
      <c r="VVB288" s="1132" t="n"/>
      <c r="VVC288" s="1132" t="n"/>
      <c r="VVD288" s="1132" t="n"/>
      <c r="VVE288" s="1132" t="n"/>
      <c r="VVF288" s="1132" t="n"/>
      <c r="VVG288" s="1132" t="n"/>
      <c r="VVH288" s="1132" t="n"/>
      <c r="VVI288" s="1132" t="n"/>
      <c r="VVJ288" s="1132" t="n"/>
      <c r="VVK288" s="1132" t="n"/>
      <c r="VVL288" s="1132" t="n"/>
      <c r="VVM288" s="1132" t="n"/>
      <c r="VVN288" s="1132" t="n"/>
      <c r="VVO288" s="1132" t="n"/>
      <c r="VVP288" s="1132" t="n"/>
      <c r="VVQ288" s="1132" t="n"/>
      <c r="VVR288" s="1132" t="n"/>
      <c r="VVS288" s="1132" t="n"/>
      <c r="VVT288" s="1132" t="n"/>
      <c r="VVU288" s="1132" t="n"/>
      <c r="VVV288" s="1132" t="n"/>
      <c r="VVW288" s="1132" t="n"/>
      <c r="VVX288" s="1132" t="n"/>
      <c r="VVY288" s="1132" t="n"/>
      <c r="VVZ288" s="1132" t="n"/>
      <c r="VWA288" s="1132" t="n"/>
      <c r="VWB288" s="1132" t="n"/>
      <c r="VWC288" s="1132" t="n"/>
      <c r="VWD288" s="1132" t="n"/>
      <c r="VWE288" s="1132" t="n"/>
      <c r="VWF288" s="1132" t="n"/>
      <c r="VWG288" s="1132" t="n"/>
      <c r="VWH288" s="1132" t="n"/>
      <c r="VWI288" s="1132" t="n"/>
      <c r="VWJ288" s="1132" t="n"/>
      <c r="VWK288" s="1132" t="n"/>
      <c r="VWL288" s="1132" t="n"/>
      <c r="VWM288" s="1132" t="n"/>
      <c r="VWN288" s="1132" t="n"/>
      <c r="VWO288" s="1132" t="n"/>
      <c r="VWP288" s="1132" t="n"/>
      <c r="VWQ288" s="1132" t="n"/>
      <c r="VWR288" s="1132" t="n"/>
      <c r="VWS288" s="1132" t="n"/>
      <c r="VWT288" s="1132" t="n"/>
      <c r="VWU288" s="1132" t="n"/>
      <c r="VWV288" s="1132" t="n"/>
      <c r="VWW288" s="1132" t="n"/>
      <c r="VWX288" s="1132" t="n"/>
      <c r="VWY288" s="1132" t="n"/>
      <c r="VWZ288" s="1132" t="n"/>
      <c r="VXA288" s="1132" t="n"/>
      <c r="VXB288" s="1132" t="n"/>
      <c r="VXC288" s="1132" t="n"/>
      <c r="VXD288" s="1132" t="n"/>
      <c r="VXE288" s="1132" t="n"/>
      <c r="VXF288" s="1132" t="n"/>
      <c r="VXG288" s="1132" t="n"/>
      <c r="VXH288" s="1132" t="n"/>
      <c r="VXI288" s="1132" t="n"/>
      <c r="VXJ288" s="1132" t="n"/>
      <c r="VXK288" s="1132" t="n"/>
      <c r="VXL288" s="1132" t="n"/>
      <c r="VXM288" s="1132" t="n"/>
      <c r="VXN288" s="1132" t="n"/>
      <c r="VXO288" s="1132" t="n"/>
      <c r="VXP288" s="1132" t="n"/>
      <c r="VXQ288" s="1132" t="n"/>
      <c r="VXR288" s="1132" t="n"/>
      <c r="VXS288" s="1132" t="n"/>
      <c r="VXT288" s="1132" t="n"/>
      <c r="VXU288" s="1132" t="n"/>
      <c r="VXV288" s="1132" t="n"/>
      <c r="VXW288" s="1132" t="n"/>
      <c r="VXX288" s="1132" t="n"/>
      <c r="VXY288" s="1132" t="n"/>
      <c r="VXZ288" s="1132" t="n"/>
      <c r="VYA288" s="1132" t="n"/>
      <c r="VYB288" s="1132" t="n"/>
      <c r="VYC288" s="1132" t="n"/>
      <c r="VYD288" s="1132" t="n"/>
      <c r="VYE288" s="1132" t="n"/>
      <c r="VYF288" s="1132" t="n"/>
      <c r="VYG288" s="1132" t="n"/>
      <c r="VYH288" s="1132" t="n"/>
      <c r="VYI288" s="1132" t="n"/>
      <c r="VYJ288" s="1132" t="n"/>
      <c r="VYK288" s="1132" t="n"/>
      <c r="VYL288" s="1132" t="n"/>
      <c r="VYM288" s="1132" t="n"/>
      <c r="VYN288" s="1132" t="n"/>
      <c r="VYO288" s="1132" t="n"/>
      <c r="VYP288" s="1132" t="n"/>
      <c r="VYQ288" s="1132" t="n"/>
      <c r="VYR288" s="1132" t="n"/>
      <c r="VYS288" s="1132" t="n"/>
      <c r="VYT288" s="1132" t="n"/>
      <c r="VYU288" s="1132" t="n"/>
      <c r="VYV288" s="1132" t="n"/>
      <c r="VYW288" s="1132" t="n"/>
      <c r="VYX288" s="1132" t="n"/>
      <c r="VYY288" s="1132" t="n"/>
      <c r="VYZ288" s="1132" t="n"/>
      <c r="VZA288" s="1132" t="n"/>
      <c r="VZB288" s="1132" t="n"/>
      <c r="VZC288" s="1132" t="n"/>
      <c r="VZD288" s="1132" t="n"/>
      <c r="VZE288" s="1132" t="n"/>
      <c r="VZF288" s="1132" t="n"/>
      <c r="VZG288" s="1132" t="n"/>
      <c r="VZH288" s="1132" t="n"/>
      <c r="VZI288" s="1132" t="n"/>
      <c r="VZJ288" s="1132" t="n"/>
      <c r="VZK288" s="1132" t="n"/>
      <c r="VZL288" s="1132" t="n"/>
      <c r="VZM288" s="1132" t="n"/>
      <c r="VZN288" s="1132" t="n"/>
      <c r="VZO288" s="1132" t="n"/>
      <c r="VZP288" s="1132" t="n"/>
      <c r="VZQ288" s="1132" t="n"/>
      <c r="VZR288" s="1132" t="n"/>
      <c r="VZS288" s="1132" t="n"/>
      <c r="VZT288" s="1132" t="n"/>
      <c r="VZU288" s="1132" t="n"/>
      <c r="VZV288" s="1132" t="n"/>
      <c r="VZW288" s="1132" t="n"/>
      <c r="VZX288" s="1132" t="n"/>
      <c r="VZY288" s="1132" t="n"/>
      <c r="VZZ288" s="1132" t="n"/>
      <c r="WAA288" s="1132" t="n"/>
      <c r="WAB288" s="1132" t="n"/>
      <c r="WAC288" s="1132" t="n"/>
      <c r="WAD288" s="1132" t="n"/>
      <c r="WAE288" s="1132" t="n"/>
      <c r="WAF288" s="1132" t="n"/>
      <c r="WAG288" s="1132" t="n"/>
      <c r="WAH288" s="1132" t="n"/>
      <c r="WAI288" s="1132" t="n"/>
      <c r="WAJ288" s="1132" t="n"/>
      <c r="WAK288" s="1132" t="n"/>
      <c r="WAL288" s="1132" t="n"/>
      <c r="WAM288" s="1132" t="n"/>
      <c r="WAN288" s="1132" t="n"/>
      <c r="WAO288" s="1132" t="n"/>
      <c r="WAP288" s="1132" t="n"/>
      <c r="WAQ288" s="1132" t="n"/>
      <c r="WAR288" s="1132" t="n"/>
      <c r="WAS288" s="1132" t="n"/>
      <c r="WAT288" s="1132" t="n"/>
      <c r="WAU288" s="1132" t="n"/>
      <c r="WAV288" s="1132" t="n"/>
      <c r="WAW288" s="1132" t="n"/>
      <c r="WAX288" s="1132" t="n"/>
      <c r="WAY288" s="1132" t="n"/>
      <c r="WAZ288" s="1132" t="n"/>
      <c r="WBA288" s="1132" t="n"/>
      <c r="WBB288" s="1132" t="n"/>
      <c r="WBC288" s="1132" t="n"/>
      <c r="WBD288" s="1132" t="n"/>
      <c r="WBE288" s="1132" t="n"/>
      <c r="WBF288" s="1132" t="n"/>
      <c r="WBG288" s="1132" t="n"/>
      <c r="WBH288" s="1132" t="n"/>
      <c r="WBI288" s="1132" t="n"/>
      <c r="WBJ288" s="1132" t="n"/>
      <c r="WBK288" s="1132" t="n"/>
      <c r="WBL288" s="1132" t="n"/>
      <c r="WBM288" s="1132" t="n"/>
      <c r="WBN288" s="1132" t="n"/>
      <c r="WBO288" s="1132" t="n"/>
      <c r="WBP288" s="1132" t="n"/>
      <c r="WBQ288" s="1132" t="n"/>
      <c r="WBR288" s="1132" t="n"/>
      <c r="WBS288" s="1132" t="n"/>
      <c r="WBT288" s="1132" t="n"/>
      <c r="WBU288" s="1132" t="n"/>
      <c r="WBV288" s="1132" t="n"/>
      <c r="WBW288" s="1132" t="n"/>
      <c r="WBX288" s="1132" t="n"/>
      <c r="WBY288" s="1132" t="n"/>
      <c r="WBZ288" s="1132" t="n"/>
      <c r="WCA288" s="1132" t="n"/>
      <c r="WCB288" s="1132" t="n"/>
      <c r="WCC288" s="1132" t="n"/>
      <c r="WCD288" s="1132" t="n"/>
      <c r="WCE288" s="1132" t="n"/>
      <c r="WCF288" s="1132" t="n"/>
      <c r="WCG288" s="1132" t="n"/>
      <c r="WCH288" s="1132" t="n"/>
      <c r="WCI288" s="1132" t="n"/>
      <c r="WCJ288" s="1132" t="n"/>
      <c r="WCK288" s="1132" t="n"/>
      <c r="WCL288" s="1132" t="n"/>
      <c r="WCM288" s="1132" t="n"/>
      <c r="WCN288" s="1132" t="n"/>
      <c r="WCO288" s="1132" t="n"/>
      <c r="WCP288" s="1132" t="n"/>
      <c r="WCQ288" s="1132" t="n"/>
      <c r="WCR288" s="1132" t="n"/>
      <c r="WCS288" s="1132" t="n"/>
      <c r="WCT288" s="1132" t="n"/>
      <c r="WCU288" s="1132" t="n"/>
      <c r="WCV288" s="1132" t="n"/>
      <c r="WCW288" s="1132" t="n"/>
      <c r="WCX288" s="1132" t="n"/>
      <c r="WCY288" s="1132" t="n"/>
      <c r="WCZ288" s="1132" t="n"/>
      <c r="WDA288" s="1132" t="n"/>
      <c r="WDB288" s="1132" t="n"/>
      <c r="WDC288" s="1132" t="n"/>
      <c r="WDD288" s="1132" t="n"/>
      <c r="WDE288" s="1132" t="n"/>
      <c r="WDF288" s="1132" t="n"/>
      <c r="WDG288" s="1132" t="n"/>
      <c r="WDH288" s="1132" t="n"/>
      <c r="WDI288" s="1132" t="n"/>
      <c r="WDJ288" s="1132" t="n"/>
      <c r="WDK288" s="1132" t="n"/>
      <c r="WDL288" s="1132" t="n"/>
      <c r="WDM288" s="1132" t="n"/>
      <c r="WDN288" s="1132" t="n"/>
      <c r="WDO288" s="1132" t="n"/>
      <c r="WDP288" s="1132" t="n"/>
      <c r="WDQ288" s="1132" t="n"/>
      <c r="WDR288" s="1132" t="n"/>
      <c r="WDS288" s="1132" t="n"/>
      <c r="WDT288" s="1132" t="n"/>
      <c r="WDU288" s="1132" t="n"/>
      <c r="WDV288" s="1132" t="n"/>
      <c r="WDW288" s="1132" t="n"/>
      <c r="WDX288" s="1132" t="n"/>
      <c r="WDY288" s="1132" t="n"/>
      <c r="WDZ288" s="1132" t="n"/>
      <c r="WEA288" s="1132" t="n"/>
      <c r="WEB288" s="1132" t="n"/>
      <c r="WEC288" s="1132" t="n"/>
      <c r="WED288" s="1132" t="n"/>
      <c r="WEE288" s="1132" t="n"/>
      <c r="WEF288" s="1132" t="n"/>
      <c r="WEG288" s="1132" t="n"/>
      <c r="WEH288" s="1132" t="n"/>
      <c r="WEI288" s="1132" t="n"/>
      <c r="WEJ288" s="1132" t="n"/>
      <c r="WEK288" s="1132" t="n"/>
      <c r="WEL288" s="1132" t="n"/>
      <c r="WEM288" s="1132" t="n"/>
      <c r="WEN288" s="1132" t="n"/>
      <c r="WEO288" s="1132" t="n"/>
      <c r="WEP288" s="1132" t="n"/>
      <c r="WEQ288" s="1132" t="n"/>
      <c r="WER288" s="1132" t="n"/>
      <c r="WES288" s="1132" t="n"/>
      <c r="WET288" s="1132" t="n"/>
      <c r="WEU288" s="1132" t="n"/>
      <c r="WEV288" s="1132" t="n"/>
      <c r="WEW288" s="1132" t="n"/>
      <c r="WEX288" s="1132" t="n"/>
      <c r="WEY288" s="1132" t="n"/>
      <c r="WEZ288" s="1132" t="n"/>
      <c r="WFA288" s="1132" t="n"/>
      <c r="WFB288" s="1132" t="n"/>
      <c r="WFC288" s="1132" t="n"/>
      <c r="WFD288" s="1132" t="n"/>
      <c r="WFE288" s="1132" t="n"/>
      <c r="WFF288" s="1132" t="n"/>
      <c r="WFG288" s="1132" t="n"/>
      <c r="WFH288" s="1132" t="n"/>
      <c r="WFI288" s="1132" t="n"/>
      <c r="WFJ288" s="1132" t="n"/>
      <c r="WFK288" s="1132" t="n"/>
      <c r="WFL288" s="1132" t="n"/>
      <c r="WFM288" s="1132" t="n"/>
      <c r="WFN288" s="1132" t="n"/>
      <c r="WFO288" s="1132" t="n"/>
      <c r="WFP288" s="1132" t="n"/>
      <c r="WFQ288" s="1132" t="n"/>
      <c r="WFR288" s="1132" t="n"/>
      <c r="WFS288" s="1132" t="n"/>
      <c r="WFT288" s="1132" t="n"/>
      <c r="WFU288" s="1132" t="n"/>
      <c r="WFV288" s="1132" t="n"/>
      <c r="WFW288" s="1132" t="n"/>
      <c r="WFX288" s="1132" t="n"/>
      <c r="WFY288" s="1132" t="n"/>
      <c r="WFZ288" s="1132" t="n"/>
      <c r="WGA288" s="1132" t="n"/>
      <c r="WGB288" s="1132" t="n"/>
      <c r="WGC288" s="1132" t="n"/>
      <c r="WGD288" s="1132" t="n"/>
      <c r="WGE288" s="1132" t="n"/>
      <c r="WGF288" s="1132" t="n"/>
      <c r="WGG288" s="1132" t="n"/>
      <c r="WGH288" s="1132" t="n"/>
      <c r="WGI288" s="1132" t="n"/>
      <c r="WGJ288" s="1132" t="n"/>
      <c r="WGK288" s="1132" t="n"/>
      <c r="WGL288" s="1132" t="n"/>
      <c r="WGM288" s="1132" t="n"/>
      <c r="WGN288" s="1132" t="n"/>
      <c r="WGO288" s="1132" t="n"/>
      <c r="WGP288" s="1132" t="n"/>
      <c r="WGQ288" s="1132" t="n"/>
      <c r="WGR288" s="1132" t="n"/>
      <c r="WGS288" s="1132" t="n"/>
      <c r="WGT288" s="1132" t="n"/>
      <c r="WGU288" s="1132" t="n"/>
      <c r="WGV288" s="1132" t="n"/>
      <c r="WGW288" s="1132" t="n"/>
      <c r="WGX288" s="1132" t="n"/>
      <c r="WGY288" s="1132" t="n"/>
      <c r="WGZ288" s="1132" t="n"/>
      <c r="WHA288" s="1132" t="n"/>
      <c r="WHB288" s="1132" t="n"/>
      <c r="WHC288" s="1132" t="n"/>
      <c r="WHD288" s="1132" t="n"/>
      <c r="WHE288" s="1132" t="n"/>
      <c r="WHF288" s="1132" t="n"/>
      <c r="WHG288" s="1132" t="n"/>
      <c r="WHH288" s="1132" t="n"/>
      <c r="WHI288" s="1132" t="n"/>
      <c r="WHJ288" s="1132" t="n"/>
      <c r="WHK288" s="1132" t="n"/>
      <c r="WHL288" s="1132" t="n"/>
      <c r="WHM288" s="1132" t="n"/>
      <c r="WHN288" s="1132" t="n"/>
      <c r="WHO288" s="1132" t="n"/>
      <c r="WHP288" s="1132" t="n"/>
      <c r="WHQ288" s="1132" t="n"/>
      <c r="WHR288" s="1132" t="n"/>
      <c r="WHS288" s="1132" t="n"/>
      <c r="WHT288" s="1132" t="n"/>
      <c r="WHU288" s="1132" t="n"/>
      <c r="WHV288" s="1132" t="n"/>
      <c r="WHW288" s="1132" t="n"/>
      <c r="WHX288" s="1132" t="n"/>
      <c r="WHY288" s="1132" t="n"/>
      <c r="WHZ288" s="1132" t="n"/>
      <c r="WIA288" s="1132" t="n"/>
      <c r="WIB288" s="1132" t="n"/>
      <c r="WIC288" s="1132" t="n"/>
      <c r="WID288" s="1132" t="n"/>
      <c r="WIE288" s="1132" t="n"/>
      <c r="WIF288" s="1132" t="n"/>
      <c r="WIG288" s="1132" t="n"/>
      <c r="WIH288" s="1132" t="n"/>
      <c r="WII288" s="1132" t="n"/>
      <c r="WIJ288" s="1132" t="n"/>
      <c r="WIK288" s="1132" t="n"/>
      <c r="WIL288" s="1132" t="n"/>
      <c r="WIM288" s="1132" t="n"/>
      <c r="WIN288" s="1132" t="n"/>
      <c r="WIO288" s="1132" t="n"/>
      <c r="WIP288" s="1132" t="n"/>
      <c r="WIQ288" s="1132" t="n"/>
      <c r="WIR288" s="1132" t="n"/>
      <c r="WIS288" s="1132" t="n"/>
      <c r="WIT288" s="1132" t="n"/>
      <c r="WIU288" s="1132" t="n"/>
      <c r="WIV288" s="1132" t="n"/>
      <c r="WIW288" s="1132" t="n"/>
      <c r="WIX288" s="1132" t="n"/>
      <c r="WIY288" s="1132" t="n"/>
      <c r="WIZ288" s="1132" t="n"/>
      <c r="WJA288" s="1132" t="n"/>
      <c r="WJB288" s="1132" t="n"/>
      <c r="WJC288" s="1132" t="n"/>
      <c r="WJD288" s="1132" t="n"/>
      <c r="WJE288" s="1132" t="n"/>
      <c r="WJF288" s="1132" t="n"/>
      <c r="WJG288" s="1132" t="n"/>
      <c r="WJH288" s="1132" t="n"/>
      <c r="WJI288" s="1132" t="n"/>
      <c r="WJJ288" s="1132" t="n"/>
      <c r="WJK288" s="1132" t="n"/>
      <c r="WJL288" s="1132" t="n"/>
      <c r="WJM288" s="1132" t="n"/>
      <c r="WJN288" s="1132" t="n"/>
      <c r="WJO288" s="1132" t="n"/>
      <c r="WJP288" s="1132" t="n"/>
      <c r="WJQ288" s="1132" t="n"/>
      <c r="WJR288" s="1132" t="n"/>
      <c r="WJS288" s="1132" t="n"/>
      <c r="WJT288" s="1132" t="n"/>
      <c r="WJU288" s="1132" t="n"/>
      <c r="WJV288" s="1132" t="n"/>
      <c r="WJW288" s="1132" t="n"/>
      <c r="WJX288" s="1132" t="n"/>
      <c r="WJY288" s="1132" t="n"/>
      <c r="WJZ288" s="1132" t="n"/>
      <c r="WKA288" s="1132" t="n"/>
      <c r="WKB288" s="1132" t="n"/>
      <c r="WKC288" s="1132" t="n"/>
      <c r="WKD288" s="1132" t="n"/>
      <c r="WKE288" s="1132" t="n"/>
      <c r="WKF288" s="1132" t="n"/>
      <c r="WKG288" s="1132" t="n"/>
      <c r="WKH288" s="1132" t="n"/>
      <c r="WKI288" s="1132" t="n"/>
      <c r="WKJ288" s="1132" t="n"/>
      <c r="WKK288" s="1132" t="n"/>
      <c r="WKL288" s="1132" t="n"/>
      <c r="WKM288" s="1132" t="n"/>
      <c r="WKN288" s="1132" t="n"/>
      <c r="WKO288" s="1132" t="n"/>
      <c r="WKP288" s="1132" t="n"/>
      <c r="WKQ288" s="1132" t="n"/>
      <c r="WKR288" s="1132" t="n"/>
      <c r="WKS288" s="1132" t="n"/>
      <c r="WKT288" s="1132" t="n"/>
      <c r="WKU288" s="1132" t="n"/>
      <c r="WKV288" s="1132" t="n"/>
      <c r="WKW288" s="1132" t="n"/>
      <c r="WKX288" s="1132" t="n"/>
      <c r="WKY288" s="1132" t="n"/>
      <c r="WKZ288" s="1132" t="n"/>
      <c r="WLA288" s="1132" t="n"/>
      <c r="WLB288" s="1132" t="n"/>
      <c r="WLC288" s="1132" t="n"/>
      <c r="WLD288" s="1132" t="n"/>
      <c r="WLE288" s="1132" t="n"/>
      <c r="WLF288" s="1132" t="n"/>
      <c r="WLG288" s="1132" t="n"/>
      <c r="WLH288" s="1132" t="n"/>
      <c r="WLI288" s="1132" t="n"/>
      <c r="WLJ288" s="1132" t="n"/>
      <c r="WLK288" s="1132" t="n"/>
      <c r="WLL288" s="1132" t="n"/>
      <c r="WLM288" s="1132" t="n"/>
      <c r="WLN288" s="1132" t="n"/>
      <c r="WLO288" s="1132" t="n"/>
      <c r="WLP288" s="1132" t="n"/>
      <c r="WLQ288" s="1132" t="n"/>
      <c r="WLR288" s="1132" t="n"/>
      <c r="WLS288" s="1132" t="n"/>
      <c r="WLT288" s="1132" t="n"/>
      <c r="WLU288" s="1132" t="n"/>
      <c r="WLV288" s="1132" t="n"/>
      <c r="WLW288" s="1132" t="n"/>
      <c r="WLX288" s="1132" t="n"/>
      <c r="WLY288" s="1132" t="n"/>
      <c r="WLZ288" s="1132" t="n"/>
      <c r="WMA288" s="1132" t="n"/>
      <c r="WMB288" s="1132" t="n"/>
      <c r="WMC288" s="1132" t="n"/>
      <c r="WMD288" s="1132" t="n"/>
      <c r="WME288" s="1132" t="n"/>
      <c r="WMF288" s="1132" t="n"/>
      <c r="WMG288" s="1132" t="n"/>
      <c r="WMH288" s="1132" t="n"/>
      <c r="WMI288" s="1132" t="n"/>
      <c r="WMJ288" s="1132" t="n"/>
      <c r="WMK288" s="1132" t="n"/>
      <c r="WML288" s="1132" t="n"/>
      <c r="WMM288" s="1132" t="n"/>
      <c r="WMN288" s="1132" t="n"/>
      <c r="WMO288" s="1132" t="n"/>
      <c r="WMP288" s="1132" t="n"/>
      <c r="WMQ288" s="1132" t="n"/>
      <c r="WMR288" s="1132" t="n"/>
      <c r="WMS288" s="1132" t="n"/>
      <c r="WMT288" s="1132" t="n"/>
      <c r="WMU288" s="1132" t="n"/>
      <c r="WMV288" s="1132" t="n"/>
      <c r="WMW288" s="1132" t="n"/>
      <c r="WMX288" s="1132" t="n"/>
      <c r="WMY288" s="1132" t="n"/>
      <c r="WMZ288" s="1132" t="n"/>
      <c r="WNA288" s="1132" t="n"/>
      <c r="WNB288" s="1132" t="n"/>
      <c r="WNC288" s="1132" t="n"/>
      <c r="WND288" s="1132" t="n"/>
      <c r="WNE288" s="1132" t="n"/>
      <c r="WNF288" s="1132" t="n"/>
      <c r="WNG288" s="1132" t="n"/>
      <c r="WNH288" s="1132" t="n"/>
      <c r="WNI288" s="1132" t="n"/>
      <c r="WNJ288" s="1132" t="n"/>
      <c r="WNK288" s="1132" t="n"/>
      <c r="WNL288" s="1132" t="n"/>
      <c r="WNM288" s="1132" t="n"/>
      <c r="WNN288" s="1132" t="n"/>
      <c r="WNO288" s="1132" t="n"/>
      <c r="WNP288" s="1132" t="n"/>
      <c r="WNQ288" s="1132" t="n"/>
      <c r="WNR288" s="1132" t="n"/>
      <c r="WNS288" s="1132" t="n"/>
      <c r="WNT288" s="1132" t="n"/>
      <c r="WNU288" s="1132" t="n"/>
      <c r="WNV288" s="1132" t="n"/>
      <c r="WNW288" s="1132" t="n"/>
      <c r="WNX288" s="1132" t="n"/>
      <c r="WNY288" s="1132" t="n"/>
      <c r="WNZ288" s="1132" t="n"/>
      <c r="WOA288" s="1132" t="n"/>
      <c r="WOB288" s="1132" t="n"/>
      <c r="WOC288" s="1132" t="n"/>
      <c r="WOD288" s="1132" t="n"/>
      <c r="WOE288" s="1132" t="n"/>
      <c r="WOF288" s="1132" t="n"/>
      <c r="WOG288" s="1132" t="n"/>
      <c r="WOH288" s="1132" t="n"/>
      <c r="WOI288" s="1132" t="n"/>
      <c r="WOJ288" s="1132" t="n"/>
      <c r="WOK288" s="1132" t="n"/>
      <c r="WOL288" s="1132" t="n"/>
      <c r="WOM288" s="1132" t="n"/>
      <c r="WON288" s="1132" t="n"/>
      <c r="WOO288" s="1132" t="n"/>
      <c r="WOP288" s="1132" t="n"/>
      <c r="WOQ288" s="1132" t="n"/>
      <c r="WOR288" s="1132" t="n"/>
      <c r="WOS288" s="1132" t="n"/>
      <c r="WOT288" s="1132" t="n"/>
      <c r="WOU288" s="1132" t="n"/>
      <c r="WOV288" s="1132" t="n"/>
      <c r="WOW288" s="1132" t="n"/>
      <c r="WOX288" s="1132" t="n"/>
      <c r="WOY288" s="1132" t="n"/>
      <c r="WOZ288" s="1132" t="n"/>
      <c r="WPA288" s="1132" t="n"/>
      <c r="WPB288" s="1132" t="n"/>
      <c r="WPC288" s="1132" t="n"/>
      <c r="WPD288" s="1132" t="n"/>
      <c r="WPE288" s="1132" t="n"/>
      <c r="WPF288" s="1132" t="n"/>
      <c r="WPG288" s="1132" t="n"/>
      <c r="WPH288" s="1132" t="n"/>
      <c r="WPI288" s="1132" t="n"/>
      <c r="WPJ288" s="1132" t="n"/>
      <c r="WPK288" s="1132" t="n"/>
      <c r="WPL288" s="1132" t="n"/>
      <c r="WPM288" s="1132" t="n"/>
      <c r="WPN288" s="1132" t="n"/>
      <c r="WPO288" s="1132" t="n"/>
      <c r="WPP288" s="1132" t="n"/>
      <c r="WPQ288" s="1132" t="n"/>
      <c r="WPR288" s="1132" t="n"/>
      <c r="WPS288" s="1132" t="n"/>
      <c r="WPT288" s="1132" t="n"/>
      <c r="WPU288" s="1132" t="n"/>
      <c r="WPV288" s="1132" t="n"/>
      <c r="WPW288" s="1132" t="n"/>
      <c r="WPX288" s="1132" t="n"/>
      <c r="WPY288" s="1132" t="n"/>
      <c r="WPZ288" s="1132" t="n"/>
      <c r="WQA288" s="1132" t="n"/>
      <c r="WQB288" s="1132" t="n"/>
      <c r="WQC288" s="1132" t="n"/>
      <c r="WQD288" s="1132" t="n"/>
      <c r="WQE288" s="1132" t="n"/>
      <c r="WQF288" s="1132" t="n"/>
      <c r="WQG288" s="1132" t="n"/>
      <c r="WQH288" s="1132" t="n"/>
      <c r="WQI288" s="1132" t="n"/>
      <c r="WQJ288" s="1132" t="n"/>
      <c r="WQK288" s="1132" t="n"/>
      <c r="WQL288" s="1132" t="n"/>
      <c r="WQM288" s="1132" t="n"/>
      <c r="WQN288" s="1132" t="n"/>
      <c r="WQO288" s="1132" t="n"/>
      <c r="WQP288" s="1132" t="n"/>
      <c r="WQQ288" s="1132" t="n"/>
      <c r="WQR288" s="1132" t="n"/>
      <c r="WQS288" s="1132" t="n"/>
      <c r="WQT288" s="1132" t="n"/>
      <c r="WQU288" s="1132" t="n"/>
      <c r="WQV288" s="1132" t="n"/>
      <c r="WQW288" s="1132" t="n"/>
      <c r="WQX288" s="1132" t="n"/>
      <c r="WQY288" s="1132" t="n"/>
      <c r="WQZ288" s="1132" t="n"/>
      <c r="WRA288" s="1132" t="n"/>
      <c r="WRB288" s="1132" t="n"/>
      <c r="WRC288" s="1132" t="n"/>
      <c r="WRD288" s="1132" t="n"/>
      <c r="WRE288" s="1132" t="n"/>
      <c r="WRF288" s="1132" t="n"/>
      <c r="WRG288" s="1132" t="n"/>
      <c r="WRH288" s="1132" t="n"/>
      <c r="WRI288" s="1132" t="n"/>
      <c r="WRJ288" s="1132" t="n"/>
      <c r="WRK288" s="1132" t="n"/>
      <c r="WRL288" s="1132" t="n"/>
      <c r="WRM288" s="1132" t="n"/>
      <c r="WRN288" s="1132" t="n"/>
      <c r="WRO288" s="1132" t="n"/>
      <c r="WRP288" s="1132" t="n"/>
      <c r="WRQ288" s="1132" t="n"/>
      <c r="WRR288" s="1132" t="n"/>
      <c r="WRS288" s="1132" t="n"/>
      <c r="WRT288" s="1132" t="n"/>
      <c r="WRU288" s="1132" t="n"/>
      <c r="WRV288" s="1132" t="n"/>
      <c r="WRW288" s="1132" t="n"/>
      <c r="WRX288" s="1132" t="n"/>
      <c r="WRY288" s="1132" t="n"/>
      <c r="WRZ288" s="1132" t="n"/>
      <c r="WSA288" s="1132" t="n"/>
      <c r="WSB288" s="1132" t="n"/>
      <c r="WSC288" s="1132" t="n"/>
      <c r="WSD288" s="1132" t="n"/>
      <c r="WSE288" s="1132" t="n"/>
      <c r="WSF288" s="1132" t="n"/>
      <c r="WSG288" s="1132" t="n"/>
      <c r="WSH288" s="1132" t="n"/>
      <c r="WSI288" s="1132" t="n"/>
      <c r="WSJ288" s="1132" t="n"/>
      <c r="WSK288" s="1132" t="n"/>
      <c r="WSL288" s="1132" t="n"/>
      <c r="WSM288" s="1132" t="n"/>
      <c r="WSN288" s="1132" t="n"/>
      <c r="WSO288" s="1132" t="n"/>
      <c r="WSP288" s="1132" t="n"/>
      <c r="WSQ288" s="1132" t="n"/>
      <c r="WSR288" s="1132" t="n"/>
      <c r="WSS288" s="1132" t="n"/>
      <c r="WST288" s="1132" t="n"/>
      <c r="WSU288" s="1132" t="n"/>
      <c r="WSV288" s="1132" t="n"/>
      <c r="WSW288" s="1132" t="n"/>
      <c r="WSX288" s="1132" t="n"/>
      <c r="WSY288" s="1132" t="n"/>
      <c r="WSZ288" s="1132" t="n"/>
      <c r="WTA288" s="1132" t="n"/>
      <c r="WTB288" s="1132" t="n"/>
      <c r="WTC288" s="1132" t="n"/>
      <c r="WTD288" s="1132" t="n"/>
      <c r="WTE288" s="1132" t="n"/>
      <c r="WTF288" s="1132" t="n"/>
      <c r="WTG288" s="1132" t="n"/>
      <c r="WTH288" s="1132" t="n"/>
      <c r="WTI288" s="1132" t="n"/>
      <c r="WTJ288" s="1132" t="n"/>
      <c r="WTK288" s="1132" t="n"/>
      <c r="WTL288" s="1132" t="n"/>
      <c r="WTM288" s="1132" t="n"/>
      <c r="WTN288" s="1132" t="n"/>
      <c r="WTO288" s="1132" t="n"/>
      <c r="WTP288" s="1132" t="n"/>
      <c r="WTQ288" s="1132" t="n"/>
      <c r="WTR288" s="1132" t="n"/>
      <c r="WTS288" s="1132" t="n"/>
      <c r="WTT288" s="1132" t="n"/>
      <c r="WTU288" s="1132" t="n"/>
      <c r="WTV288" s="1132" t="n"/>
      <c r="WTW288" s="1132" t="n"/>
      <c r="WTX288" s="1132" t="n"/>
      <c r="WTY288" s="1132" t="n"/>
      <c r="WTZ288" s="1132" t="n"/>
      <c r="WUA288" s="1132" t="n"/>
      <c r="WUB288" s="1132" t="n"/>
      <c r="WUC288" s="1132" t="n"/>
      <c r="WUD288" s="1132" t="n"/>
      <c r="WUE288" s="1132" t="n"/>
      <c r="WUF288" s="1132" t="n"/>
      <c r="WUG288" s="1132" t="n"/>
      <c r="WUH288" s="1132" t="n"/>
      <c r="WUI288" s="1132" t="n"/>
      <c r="WUJ288" s="1132" t="n"/>
      <c r="WUK288" s="1132" t="n"/>
      <c r="WUL288" s="1132" t="n"/>
      <c r="WUM288" s="1132" t="n"/>
      <c r="WUN288" s="1132" t="n"/>
      <c r="WUO288" s="1132" t="n"/>
      <c r="WUP288" s="1132" t="n"/>
      <c r="WUQ288" s="1132" t="n"/>
      <c r="WUR288" s="1132" t="n"/>
      <c r="WUS288" s="1132" t="n"/>
      <c r="WUT288" s="1132" t="n"/>
      <c r="WUU288" s="1132" t="n"/>
      <c r="WUV288" s="1132" t="n"/>
      <c r="WUW288" s="1132" t="n"/>
      <c r="WUX288" s="1132" t="n"/>
      <c r="WUY288" s="1132" t="n"/>
      <c r="WUZ288" s="1132" t="n"/>
      <c r="WVA288" s="1132" t="n"/>
      <c r="WVB288" s="1132" t="n"/>
      <c r="WVC288" s="1132" t="n"/>
      <c r="WVD288" s="1132" t="n"/>
      <c r="WVE288" s="1132" t="n"/>
      <c r="WVF288" s="1132" t="n"/>
      <c r="WVG288" s="1132" t="n"/>
      <c r="WVH288" s="1132" t="n"/>
      <c r="WVI288" s="1132" t="n"/>
      <c r="WVJ288" s="1132" t="n"/>
      <c r="WVK288" s="1132" t="n"/>
      <c r="WVL288" s="1132" t="n"/>
      <c r="WVM288" s="1132" t="n"/>
      <c r="WVN288" s="1132" t="n"/>
      <c r="WVO288" s="1132" t="n"/>
      <c r="WVP288" s="1132" t="n"/>
      <c r="WVQ288" s="1132" t="n"/>
      <c r="WVR288" s="1132" t="n"/>
      <c r="WVS288" s="1132" t="n"/>
      <c r="WVT288" s="1132" t="n"/>
      <c r="WVU288" s="1132" t="n"/>
      <c r="WVV288" s="1132" t="n"/>
      <c r="WVW288" s="1132" t="n"/>
      <c r="WVX288" s="1132" t="n"/>
      <c r="WVY288" s="1132" t="n"/>
      <c r="WVZ288" s="1132" t="n"/>
      <c r="WWA288" s="1132" t="n"/>
      <c r="WWB288" s="1132" t="n"/>
      <c r="WWC288" s="1132" t="n"/>
      <c r="WWD288" s="1132" t="n"/>
      <c r="WWE288" s="1132" t="n"/>
      <c r="WWF288" s="1132" t="n"/>
      <c r="WWG288" s="1132" t="n"/>
      <c r="WWH288" s="1132" t="n"/>
      <c r="WWI288" s="1132" t="n"/>
      <c r="WWJ288" s="1132" t="n"/>
      <c r="WWK288" s="1132" t="n"/>
      <c r="WWL288" s="1132" t="n"/>
      <c r="WWM288" s="1132" t="n"/>
      <c r="WWN288" s="1132" t="n"/>
      <c r="WWO288" s="1132" t="n"/>
      <c r="WWP288" s="1132" t="n"/>
      <c r="WWQ288" s="1132" t="n"/>
      <c r="WWR288" s="1132" t="n"/>
      <c r="WWS288" s="1132" t="n"/>
      <c r="WWT288" s="1132" t="n"/>
      <c r="WWU288" s="1132" t="n"/>
      <c r="WWV288" s="1132" t="n"/>
      <c r="WWW288" s="1132" t="n"/>
      <c r="WWX288" s="1132" t="n"/>
      <c r="WWY288" s="1132" t="n"/>
      <c r="WWZ288" s="1132" t="n"/>
      <c r="WXA288" s="1132" t="n"/>
      <c r="WXB288" s="1132" t="n"/>
      <c r="WXC288" s="1132" t="n"/>
      <c r="WXD288" s="1132" t="n"/>
      <c r="WXE288" s="1132" t="n"/>
      <c r="WXF288" s="1132" t="n"/>
      <c r="WXG288" s="1132" t="n"/>
      <c r="WXH288" s="1132" t="n"/>
      <c r="WXI288" s="1132" t="n"/>
      <c r="WXJ288" s="1132" t="n"/>
      <c r="WXK288" s="1132" t="n"/>
      <c r="WXL288" s="1132" t="n"/>
      <c r="WXM288" s="1132" t="n"/>
      <c r="WXN288" s="1132" t="n"/>
      <c r="WXO288" s="1132" t="n"/>
      <c r="WXP288" s="1132" t="n"/>
      <c r="WXQ288" s="1132" t="n"/>
      <c r="WXR288" s="1132" t="n"/>
      <c r="WXS288" s="1132" t="n"/>
      <c r="WXT288" s="1132" t="n"/>
      <c r="WXU288" s="1132" t="n"/>
      <c r="WXV288" s="1132" t="n"/>
      <c r="WXW288" s="1132" t="n"/>
      <c r="WXX288" s="1132" t="n"/>
      <c r="WXY288" s="1132" t="n"/>
      <c r="WXZ288" s="1132" t="n"/>
      <c r="WYA288" s="1132" t="n"/>
      <c r="WYB288" s="1132" t="n"/>
      <c r="WYC288" s="1132" t="n"/>
      <c r="WYD288" s="1132" t="n"/>
      <c r="WYE288" s="1132" t="n"/>
      <c r="WYF288" s="1132" t="n"/>
      <c r="WYG288" s="1132" t="n"/>
      <c r="WYH288" s="1132" t="n"/>
      <c r="WYI288" s="1132" t="n"/>
      <c r="WYJ288" s="1132" t="n"/>
      <c r="WYK288" s="1132" t="n"/>
      <c r="WYL288" s="1132" t="n"/>
      <c r="WYM288" s="1132" t="n"/>
      <c r="WYN288" s="1132" t="n"/>
      <c r="WYO288" s="1132" t="n"/>
      <c r="WYP288" s="1132" t="n"/>
      <c r="WYQ288" s="1132" t="n"/>
      <c r="WYR288" s="1132" t="n"/>
      <c r="WYS288" s="1132" t="n"/>
      <c r="WYT288" s="1132" t="n"/>
      <c r="WYU288" s="1132" t="n"/>
      <c r="WYV288" s="1132" t="n"/>
      <c r="WYW288" s="1132" t="n"/>
      <c r="WYX288" s="1132" t="n"/>
      <c r="WYY288" s="1132" t="n"/>
      <c r="WYZ288" s="1132" t="n"/>
      <c r="WZA288" s="1132" t="n"/>
      <c r="WZB288" s="1132" t="n"/>
      <c r="WZC288" s="1132" t="n"/>
      <c r="WZD288" s="1132" t="n"/>
      <c r="WZE288" s="1132" t="n"/>
      <c r="WZF288" s="1132" t="n"/>
      <c r="WZG288" s="1132" t="n"/>
      <c r="WZH288" s="1132" t="n"/>
      <c r="WZI288" s="1132" t="n"/>
      <c r="WZJ288" s="1132" t="n"/>
      <c r="WZK288" s="1132" t="n"/>
      <c r="WZL288" s="1132" t="n"/>
      <c r="WZM288" s="1132" t="n"/>
      <c r="WZN288" s="1132" t="n"/>
      <c r="WZO288" s="1132" t="n"/>
      <c r="WZP288" s="1132" t="n"/>
      <c r="WZQ288" s="1132" t="n"/>
      <c r="WZR288" s="1132" t="n"/>
      <c r="WZS288" s="1132" t="n"/>
      <c r="WZT288" s="1132" t="n"/>
      <c r="WZU288" s="1132" t="n"/>
      <c r="WZV288" s="1132" t="n"/>
      <c r="WZW288" s="1132" t="n"/>
      <c r="WZX288" s="1132" t="n"/>
      <c r="WZY288" s="1132" t="n"/>
      <c r="WZZ288" s="1132" t="n"/>
      <c r="XAA288" s="1132" t="n"/>
      <c r="XAB288" s="1132" t="n"/>
      <c r="XAC288" s="1132" t="n"/>
      <c r="XAD288" s="1132" t="n"/>
      <c r="XAE288" s="1132" t="n"/>
      <c r="XAF288" s="1132" t="n"/>
      <c r="XAG288" s="1132" t="n"/>
      <c r="XAH288" s="1132" t="n"/>
      <c r="XAI288" s="1132" t="n"/>
      <c r="XAJ288" s="1132" t="n"/>
      <c r="XAK288" s="1132" t="n"/>
      <c r="XAL288" s="1132" t="n"/>
      <c r="XAM288" s="1132" t="n"/>
      <c r="XAN288" s="1132" t="n"/>
      <c r="XAO288" s="1132" t="n"/>
      <c r="XAP288" s="1132" t="n"/>
      <c r="XAQ288" s="1132" t="n"/>
      <c r="XAR288" s="1132" t="n"/>
      <c r="XAS288" s="1132" t="n"/>
      <c r="XAT288" s="1132" t="n"/>
      <c r="XAU288" s="1132" t="n"/>
      <c r="XAV288" s="1132" t="n"/>
      <c r="XAW288" s="1132" t="n"/>
      <c r="XAX288" s="1132" t="n"/>
      <c r="XAY288" s="1132" t="n"/>
      <c r="XAZ288" s="1132" t="n"/>
      <c r="XBA288" s="1132" t="n"/>
      <c r="XBB288" s="1132" t="n"/>
      <c r="XBC288" s="1132" t="n"/>
      <c r="XBD288" s="1132" t="n"/>
      <c r="XBE288" s="1132" t="n"/>
      <c r="XBF288" s="1132" t="n"/>
      <c r="XBG288" s="1132" t="n"/>
      <c r="XBH288" s="1132" t="n"/>
      <c r="XBI288" s="1132" t="n"/>
      <c r="XBJ288" s="1132" t="n"/>
      <c r="XBK288" s="1132" t="n"/>
      <c r="XBL288" s="1132" t="n"/>
      <c r="XBM288" s="1132" t="n"/>
      <c r="XBN288" s="1132" t="n"/>
      <c r="XBO288" s="1132" t="n"/>
      <c r="XBP288" s="1132" t="n"/>
      <c r="XBQ288" s="1132" t="n"/>
      <c r="XBR288" s="1132" t="n"/>
      <c r="XBS288" s="1132" t="n"/>
      <c r="XBT288" s="1132" t="n"/>
      <c r="XBU288" s="1132" t="n"/>
      <c r="XBV288" s="1132" t="n"/>
      <c r="XBW288" s="1132" t="n"/>
      <c r="XBX288" s="1132" t="n"/>
      <c r="XBY288" s="1132" t="n"/>
      <c r="XBZ288" s="1132" t="n"/>
      <c r="XCA288" s="1132" t="n"/>
      <c r="XCB288" s="1132" t="n"/>
      <c r="XCC288" s="1132" t="n"/>
      <c r="XCD288" s="1132" t="n"/>
      <c r="XCE288" s="1132" t="n"/>
      <c r="XCF288" s="1132" t="n"/>
      <c r="XCG288" s="1132" t="n"/>
      <c r="XCH288" s="1132" t="n"/>
      <c r="XCI288" s="1132" t="n"/>
      <c r="XCJ288" s="1132" t="n"/>
      <c r="XCK288" s="1132" t="n"/>
      <c r="XCL288" s="1132" t="n"/>
      <c r="XCM288" s="1132" t="n"/>
      <c r="XCN288" s="1132" t="n"/>
      <c r="XCO288" s="1132" t="n"/>
      <c r="XCP288" s="1132" t="n"/>
      <c r="XCQ288" s="1132" t="n"/>
      <c r="XCR288" s="1132" t="n"/>
      <c r="XCS288" s="1132" t="n"/>
      <c r="XCT288" s="1132" t="n"/>
      <c r="XCU288" s="1132" t="n"/>
      <c r="XCV288" s="1132" t="n"/>
      <c r="XCW288" s="1132" t="n"/>
      <c r="XCX288" s="1132" t="n"/>
      <c r="XCY288" s="1132" t="n"/>
      <c r="XCZ288" s="1132" t="n"/>
      <c r="XDA288" s="1132" t="n"/>
      <c r="XDB288" s="1132" t="n"/>
      <c r="XDC288" s="1132" t="n"/>
      <c r="XDD288" s="1132" t="n"/>
      <c r="XDE288" s="1132" t="n"/>
      <c r="XDF288" s="1132" t="n"/>
      <c r="XDG288" s="1132" t="n"/>
      <c r="XDH288" s="1132" t="n"/>
      <c r="XDI288" s="1132" t="n"/>
      <c r="XDJ288" s="1132" t="n"/>
      <c r="XDK288" s="1132" t="n"/>
      <c r="XDL288" s="1132" t="n"/>
      <c r="XDM288" s="1132" t="n"/>
      <c r="XDN288" s="1132" t="n"/>
      <c r="XDO288" s="1132" t="n"/>
      <c r="XDP288" s="1132" t="n"/>
      <c r="XDQ288" s="1132" t="n"/>
      <c r="XDR288" s="1132" t="n"/>
      <c r="XDS288" s="1132" t="n"/>
      <c r="XDT288" s="1132" t="n"/>
      <c r="XDU288" s="1132" t="n"/>
      <c r="XDV288" s="1132" t="n"/>
      <c r="XDW288" s="1132" t="n"/>
      <c r="XDX288" s="1132" t="n"/>
      <c r="XDY288" s="1132" t="n"/>
      <c r="XDZ288" s="1132" t="n"/>
      <c r="XEA288" s="1132" t="n"/>
      <c r="XEB288" s="1132" t="n"/>
      <c r="XEC288" s="1132" t="n"/>
      <c r="XED288" s="1132" t="n"/>
      <c r="XEE288" s="1132" t="n"/>
      <c r="XEF288" s="1132" t="n"/>
      <c r="XEG288" s="1132" t="n"/>
      <c r="XEH288" s="1132" t="n"/>
      <c r="XEI288" s="1132" t="n"/>
      <c r="XEJ288" s="1132" t="n"/>
      <c r="XEK288" s="1132" t="n"/>
      <c r="XEL288" s="1132" t="n"/>
      <c r="XEM288" s="1132" t="n"/>
      <c r="XEN288" s="1132" t="n"/>
      <c r="XEO288" s="1132" t="n"/>
      <c r="XEP288" s="1132" t="n"/>
      <c r="XEQ288" s="1132" t="n"/>
      <c r="XER288" s="1132" t="n"/>
      <c r="XES288" s="1132" t="n"/>
      <c r="XET288" s="1132" t="n"/>
      <c r="XEU288" s="1132" t="n"/>
      <c r="XEV288" s="1132" t="n"/>
      <c r="XEW288" s="1132" t="n"/>
      <c r="XEX288" s="1132" t="n"/>
      <c r="XEY288" s="1132" t="n"/>
      <c r="XEZ288" s="1132" t="n"/>
      <c r="XFA288" s="1132" t="n"/>
      <c r="XFB288" s="1132" t="n"/>
      <c r="XFC288" s="1132" t="n"/>
      <c r="XFD288" s="1132" t="n"/>
    </row>
    <row r="289" ht="15" customHeight="1" s="1134">
      <c r="A289" s="1893" t="n"/>
      <c r="B289" s="1893" t="n"/>
      <c r="C289" s="1894" t="n"/>
      <c r="D289" s="1894" t="n"/>
      <c r="E289" s="1894" t="n"/>
      <c r="F289" s="1894" t="n"/>
      <c r="G289" s="1894" t="n"/>
      <c r="H289" s="2055" t="n"/>
    </row>
    <row r="290" ht="15" customHeight="1" s="1134">
      <c r="A290" s="1893" t="n"/>
      <c r="B290" s="1893" t="n"/>
      <c r="C290" s="1894" t="n"/>
      <c r="D290" s="1894" t="n"/>
      <c r="E290" s="1894" t="n"/>
      <c r="F290" s="1894" t="n"/>
      <c r="G290" s="1894" t="n"/>
      <c r="H290" s="2055" t="n"/>
    </row>
    <row r="291" ht="15" customHeight="1" s="1134">
      <c r="A291" s="1893" t="n"/>
      <c r="B291" s="1893" t="n"/>
      <c r="C291" s="1894" t="n"/>
      <c r="D291" s="1894" t="n"/>
      <c r="E291" s="1894" t="n"/>
      <c r="F291" s="1894" t="n"/>
      <c r="G291" s="1894" t="n"/>
      <c r="H291" s="2055" t="n"/>
    </row>
    <row r="292" ht="15" customHeight="1" s="1134">
      <c r="A292" s="1502" t="n"/>
      <c r="B292" s="1502" t="n"/>
      <c r="C292" s="1502" t="n"/>
      <c r="D292" s="1502" t="n"/>
      <c r="E292" s="1652" t="n"/>
      <c r="F292" s="1502" t="n"/>
      <c r="G292" s="1652" t="n"/>
      <c r="H292" s="1652" t="n"/>
    </row>
  </sheetData>
  <mergeCells count="143">
    <mergeCell ref="C6:D6"/>
    <mergeCell ref="C62:D62"/>
    <mergeCell ref="C15:D15"/>
    <mergeCell ref="C98:D98"/>
    <mergeCell ref="A51:B51"/>
    <mergeCell ref="C107:D107"/>
    <mergeCell ref="C89:D89"/>
    <mergeCell ref="C64:D64"/>
    <mergeCell ref="A3:B8"/>
    <mergeCell ref="C79:D79"/>
    <mergeCell ref="A122:B123"/>
    <mergeCell ref="C73:D73"/>
    <mergeCell ref="A9:B17"/>
    <mergeCell ref="C122:D123"/>
    <mergeCell ref="C91:D92"/>
    <mergeCell ref="C54:D54"/>
    <mergeCell ref="C63:D63"/>
    <mergeCell ref="A112:B113"/>
    <mergeCell ref="C38:D41"/>
    <mergeCell ref="A128:E128"/>
    <mergeCell ref="C93:D93"/>
    <mergeCell ref="C50:D50"/>
    <mergeCell ref="C56:D56"/>
    <mergeCell ref="C105:D105"/>
    <mergeCell ref="C43:D43"/>
    <mergeCell ref="A90:B92"/>
    <mergeCell ref="C68:D69"/>
    <mergeCell ref="C27:D27"/>
    <mergeCell ref="C76:D76"/>
    <mergeCell ref="A85:B85"/>
    <mergeCell ref="C17:D17"/>
    <mergeCell ref="A22:B22"/>
    <mergeCell ref="A114:B121"/>
    <mergeCell ref="C20:D21"/>
    <mergeCell ref="A78:B79"/>
    <mergeCell ref="C67:D67"/>
    <mergeCell ref="A25:B28"/>
    <mergeCell ref="C28:D28"/>
    <mergeCell ref="C35:D36"/>
    <mergeCell ref="A53:B55"/>
    <mergeCell ref="C111:D111"/>
    <mergeCell ref="C14:D14"/>
    <mergeCell ref="C45:D45"/>
    <mergeCell ref="C97:D97"/>
    <mergeCell ref="A93:B101"/>
    <mergeCell ref="C70:D71"/>
    <mergeCell ref="C109:D109"/>
    <mergeCell ref="C47:D47"/>
    <mergeCell ref="A89:B89"/>
    <mergeCell ref="C90:D90"/>
    <mergeCell ref="C60:D60"/>
    <mergeCell ref="A82:B83"/>
    <mergeCell ref="C110:D110"/>
    <mergeCell ref="C8:D8"/>
    <mergeCell ref="C57:D59"/>
    <mergeCell ref="A52:B52"/>
    <mergeCell ref="C66:D66"/>
    <mergeCell ref="C102:D102"/>
    <mergeCell ref="C53:D53"/>
    <mergeCell ref="C118:D119"/>
    <mergeCell ref="A74:B77"/>
    <mergeCell ref="A56:B59"/>
    <mergeCell ref="C34:D34"/>
    <mergeCell ref="C77:D77"/>
    <mergeCell ref="C86:D86"/>
    <mergeCell ref="C108:D108"/>
    <mergeCell ref="A18:B19"/>
    <mergeCell ref="A1:K1"/>
    <mergeCell ref="C113:D113"/>
    <mergeCell ref="A20:B21"/>
    <mergeCell ref="C29:D29"/>
    <mergeCell ref="C85:D85"/>
    <mergeCell ref="C100:D100"/>
    <mergeCell ref="C112:D112"/>
    <mergeCell ref="C94:D94"/>
    <mergeCell ref="C65:D65"/>
    <mergeCell ref="C44:D44"/>
    <mergeCell ref="C75:D75"/>
    <mergeCell ref="C22:D22"/>
    <mergeCell ref="A80:B80"/>
    <mergeCell ref="C84:D84"/>
    <mergeCell ref="C80:D80"/>
    <mergeCell ref="C114:D114"/>
    <mergeCell ref="C12:D12"/>
    <mergeCell ref="C46:D46"/>
    <mergeCell ref="A68:B73"/>
    <mergeCell ref="C51:D51"/>
    <mergeCell ref="A86:B88"/>
    <mergeCell ref="C95:D95"/>
    <mergeCell ref="C61:D61"/>
    <mergeCell ref="A23:B23"/>
    <mergeCell ref="C48:D48"/>
    <mergeCell ref="C23:D23"/>
    <mergeCell ref="C30:D31"/>
    <mergeCell ref="C106:D106"/>
    <mergeCell ref="C32:D32"/>
    <mergeCell ref="C7:D7"/>
    <mergeCell ref="A125:E125"/>
    <mergeCell ref="A30:B33"/>
    <mergeCell ref="A102:B111"/>
    <mergeCell ref="A127:E127"/>
    <mergeCell ref="C49:D49"/>
    <mergeCell ref="C101:D101"/>
    <mergeCell ref="A24:B24"/>
    <mergeCell ref="C24:D24"/>
    <mergeCell ref="A42:B50"/>
    <mergeCell ref="C33:D33"/>
    <mergeCell ref="C104:D104"/>
    <mergeCell ref="C42:D42"/>
    <mergeCell ref="C120:D121"/>
    <mergeCell ref="C74:D74"/>
    <mergeCell ref="C88:D88"/>
    <mergeCell ref="C26:D26"/>
    <mergeCell ref="C82:D83"/>
    <mergeCell ref="C10:D10"/>
    <mergeCell ref="C16:D16"/>
    <mergeCell ref="C25:D25"/>
    <mergeCell ref="C103:D103"/>
    <mergeCell ref="C55:D55"/>
    <mergeCell ref="A84:B84"/>
    <mergeCell ref="C99:D99"/>
    <mergeCell ref="C9:D9"/>
    <mergeCell ref="A38:B41"/>
    <mergeCell ref="A2:B2"/>
    <mergeCell ref="A34:B37"/>
    <mergeCell ref="C2:D2"/>
    <mergeCell ref="C115:D115"/>
    <mergeCell ref="C11:D11"/>
    <mergeCell ref="C18:D19"/>
    <mergeCell ref="C116:D117"/>
    <mergeCell ref="C52:D52"/>
    <mergeCell ref="A126:E126"/>
    <mergeCell ref="A29:B29"/>
    <mergeCell ref="C72:D72"/>
    <mergeCell ref="A81:B81"/>
    <mergeCell ref="C81:D81"/>
    <mergeCell ref="A60:B67"/>
    <mergeCell ref="C37:D37"/>
    <mergeCell ref="C13:D13"/>
    <mergeCell ref="C96:D96"/>
    <mergeCell ref="C78:D78"/>
    <mergeCell ref="C87:D87"/>
    <mergeCell ref="C3:D5"/>
  </mergeCells>
  <printOptions horizontalCentered="0" verticalCentered="0" headings="0" gridLines="0" gridLinesSet="1"/>
  <pageMargins left="0.75" right="0.75" top="0.45" bottom="0.45" header="0.511811023622047" footer="0.511811023622047"/>
  <pageSetup orientation="portrait" paperSize="9" scale="63" fitToHeight="1" fitToWidth="1" pageOrder="downThenOver" blackAndWhite="0" draft="0" horizontalDpi="300" verticalDpi="300" copies="1"/>
  <rowBreaks count="2" manualBreakCount="2">
    <brk id="29" min="0" max="16383" man="1"/>
    <brk id="72"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dznrxt</dc:creator>
  <dc:language>en-US</dc:language>
  <dcterms:created xsi:type="dcterms:W3CDTF">2008-10-06T10:48:05Z</dcterms:created>
  <dcterms:modified xsi:type="dcterms:W3CDTF">2026-06-09T22:24:59Z</dcterms:modified>
  <cp:revision>1</cp:revision>
  <cp:lastPrinted>2015-03-25T13:36:57Z</cp:lastPrinted>
</cp:coreProperties>
</file>

<file path=docProps/custom.xml><?xml version="1.0" encoding="utf-8"?>
<Properties xmlns:vt="http://schemas.openxmlformats.org/officeDocument/2006/docPropsVTypes" xmlns="http://schemas.openxmlformats.org/officeDocument/2006/custom-properties">
  <property name="CSMeta2010Field" fmtid="{D5CDD505-2E9C-101B-9397-08002B2CF9AE}" pid="2">
    <vt:lpwstr>821dda94-fadd-443b-8205-49829271b6e5;2016-05-25 08:09:44;AUTOCLASSIFIED;emm_Division:2016-05-25 08:09:44|False||AUTOCLASSIFIED|2016-05-25 08:09:44|UNDEFINED|83d4a57d-459c-41b2-94c5-5908ed11bae8;emm_Function:2016-05-25 08:09:44|False||AUTOCLASSIFIED|2016-0</vt:lpwstr>
  </property>
  <property name="emm_Division" fmtid="{D5CDD505-2E9C-101B-9397-08002B2CF9AE}" pid="3">
    <vt:lpwstr/>
  </property>
  <property name="emm_Function" fmtid="{D5CDD505-2E9C-101B-9397-08002B2CF9AE}" pid="4">
    <vt:lpwstr>2;#Engineering|a1d44d62-8157-4985-9fc4-632efe96a83e</vt:lpwstr>
  </property>
  <property name="emm_Language" fmtid="{D5CDD505-2E9C-101B-9397-08002B2CF9AE}" pid="5">
    <vt:lpwstr/>
  </property>
  <property name="test" fmtid="{D5CDD505-2E9C-101B-9397-08002B2CF9AE}" pid="6">
    <vt:lpwstr/>
  </property>
</Properties>
</file>