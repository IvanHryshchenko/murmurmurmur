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24226"/>
  <mc:AlternateContent xmlns:mc="http://schemas.openxmlformats.org/markup-compatibility/2006">
    <mc:Choice Requires="x15">
      <x15ac:absPath xmlns:x15ac="http://schemas.microsoft.com/office/spreadsheetml/2010/11/ac" url="C:\Users\shilo\OneDrive\Рабочий стол\Новая папка (7)\"/>
    </mc:Choice>
  </mc:AlternateContent>
  <xr:revisionPtr revIDLastSave="0" documentId="13_ncr:1_{14EED2FD-C82F-4122-BF88-B45EE8D23C10}" xr6:coauthVersionLast="47" xr6:coauthVersionMax="47" xr10:uidLastSave="{00000000-0000-0000-0000-000000000000}"/>
  <bookViews>
    <workbookView xWindow="-108" yWindow="-108" windowWidth="23256" windowHeight="12456" tabRatio="889" xr2:uid="{00000000-000D-0000-FFFF-FFFF00000000}"/>
  </bookViews>
  <sheets>
    <sheet name="TOTAL values GCSD" sheetId="2" r:id="rId1"/>
    <sheet name="CUTTING" sheetId="1" r:id="rId2"/>
    <sheet name="LEAD PREP" sheetId="3" r:id="rId3"/>
    <sheet name="LEAD PREP FA" sheetId="16" r:id="rId4"/>
    <sheet name="High Voltage" sheetId="15" r:id="rId5"/>
    <sheet name="FA Conns and wires" sheetId="4" r:id="rId6"/>
    <sheet name="FA Taping" sheetId="5" r:id="rId7"/>
    <sheet name="FA Miscellaneos" sheetId="6" r:id="rId8"/>
  </sheets>
  <externalReferences>
    <externalReference r:id="rId9"/>
    <externalReference r:id="rId10"/>
    <externalReference r:id="rId11"/>
    <externalReference r:id="rId12"/>
  </externalReferences>
  <definedNames>
    <definedName name="\a" localSheetId="3">#REF!</definedName>
    <definedName name="\a">#REF!</definedName>
    <definedName name="\b" localSheetId="3">#REF!</definedName>
    <definedName name="\b">#REF!</definedName>
    <definedName name="_Fill" localSheetId="3" hidden="1">#REF!</definedName>
    <definedName name="_Fill" hidden="1">#REF!</definedName>
    <definedName name="_xlnm._FilterDatabase" localSheetId="1" hidden="1">CUTTING!$A$2:$J$681</definedName>
    <definedName name="_xlnm._FilterDatabase" localSheetId="2" hidden="1">'LEAD PREP'!$L$3:$L$4</definedName>
    <definedName name="_xlnm._FilterDatabase" localSheetId="3" hidden="1">'LEAD PREP FA'!$A$1:$CQ$347</definedName>
    <definedName name="Adv_FifteenHundred" localSheetId="3">#REF!</definedName>
    <definedName name="Adv_FifteenHundred">#REF!</definedName>
    <definedName name="Annual_Vol">#REF!</definedName>
    <definedName name="Buttons" localSheetId="3">#REF!</definedName>
    <definedName name="Buttons">#REF!</definedName>
    <definedName name="Cell_Qty">#REF!</definedName>
    <definedName name="Cell_Qty_on_MBC">#REF!</definedName>
    <definedName name="Chart">#REF!</definedName>
    <definedName name="Co_A" localSheetId="3">#REF!</definedName>
    <definedName name="Co_A">#REF!</definedName>
    <definedName name="Co_B" localSheetId="3">#REF!</definedName>
    <definedName name="Co_B">#REF!</definedName>
    <definedName name="Co_C" localSheetId="3">#REF!</definedName>
    <definedName name="Co_C">#REF!</definedName>
    <definedName name="Co_D" localSheetId="3">#REF!</definedName>
    <definedName name="Co_D">#REF!</definedName>
    <definedName name="CO_Dur">#REF!</definedName>
    <definedName name="Co_E" localSheetId="3">#REF!</definedName>
    <definedName name="Co_E">#REF!</definedName>
    <definedName name="Co_F" localSheetId="3">#REF!</definedName>
    <definedName name="Co_F">#REF!</definedName>
    <definedName name="CO_Freq">#REF!</definedName>
    <definedName name="CO_Percent">#REF!</definedName>
    <definedName name="CO_Time_per_Cycle">#REF!</definedName>
    <definedName name="Cons_Chg_Interv">#REF!</definedName>
    <definedName name="Cons_Dur">#REF!</definedName>
    <definedName name="Cons_Freq">#REF!</definedName>
    <definedName name="Cons_Percent">#REF!</definedName>
    <definedName name="Cons_Time_per_Cycle">#REF!</definedName>
    <definedName name="Copy" localSheetId="3">#REF!</definedName>
    <definedName name="Copy">#REF!</definedName>
    <definedName name="Copy_Range" localSheetId="3">#REF!</definedName>
    <definedName name="Copy_Range">#REF!</definedName>
    <definedName name="Cost_per_Machine">#REF!</definedName>
    <definedName name="Criteria_MI" localSheetId="3">#REF!</definedName>
    <definedName name="Criteria_MI">#REF!</definedName>
    <definedName name="Cum_FTQ_Loss">#REF!</definedName>
    <definedName name="Cycle_Time">#REF!</definedName>
    <definedName name="Daily_Vol">#REF!</definedName>
    <definedName name="Database_MI" localSheetId="3">#REF!</definedName>
    <definedName name="Database_MI">#REF!</definedName>
    <definedName name="Design_Cycle_Time_on_MB">#REF!</definedName>
    <definedName name="Design_Thruput_Rate">#REF!</definedName>
    <definedName name="Downstream_Loss_Contribution">#REF!</definedName>
    <definedName name="DS_CLTQ">#REF!</definedName>
    <definedName name="Eff_Mach_CT">#REF!</definedName>
    <definedName name="Eff_Mach_CT_Sys">#REF!</definedName>
    <definedName name="Eff_Sys_Thru">#REF!</definedName>
    <definedName name="End" localSheetId="3">#REF!</definedName>
    <definedName name="End">#REF!</definedName>
    <definedName name="EST">#REF!</definedName>
    <definedName name="Fifteenhundred" localSheetId="3">#REF!</definedName>
    <definedName name="Fifteenhundred">#REF!</definedName>
    <definedName name="Final_Range" localSheetId="3">#REF!</definedName>
    <definedName name="Final_Range">#REF!</definedName>
    <definedName name="FTQ_Loss">#REF!</definedName>
    <definedName name="FTQ_per_Cycle">#REF!</definedName>
    <definedName name="gcsddata">[1]summary!$AC$1:$AC$3</definedName>
    <definedName name="Hide_Range" localSheetId="3">#REF!</definedName>
    <definedName name="Hide_Range">#REF!</definedName>
    <definedName name="home" localSheetId="4">#REF!</definedName>
    <definedName name="home" localSheetId="3">#REF!</definedName>
    <definedName name="home">#REF!</definedName>
    <definedName name="implemdate">[2]summary!$W$1:$W$3</definedName>
    <definedName name="IoI_Mach_Qty_1">'[3]Incr Inv Tool'!$K$10:$K$19</definedName>
    <definedName name="Item_Area" localSheetId="3">#REF!</definedName>
    <definedName name="Item_Area">#REF!</definedName>
    <definedName name="Item_col" localSheetId="3">#REF!</definedName>
    <definedName name="Item_col">#REF!</definedName>
    <definedName name="Item_RAnge" localSheetId="3">#REF!</definedName>
    <definedName name="Item_RAnge">#REF!</definedName>
    <definedName name="Item_Subarea" localSheetId="3">#REF!</definedName>
    <definedName name="Item_Subarea">#REF!</definedName>
    <definedName name="Item2_Clean" localSheetId="1">CUTTING!Item2_Clean</definedName>
    <definedName name="Item2_Clean" localSheetId="4">'High Voltage'!Item2_Clean</definedName>
    <definedName name="Item2_Clean" localSheetId="0">'TOTAL values GCSD'!Item2_Clean</definedName>
    <definedName name="Item2_Clean">[0]!Item2_Clean</definedName>
    <definedName name="Mach_DT_per_Cycle">#REF!</definedName>
    <definedName name="Mach_Qty">#REF!</definedName>
    <definedName name="Machine_CT">#REF!</definedName>
    <definedName name="Machine_DT">#REF!</definedName>
    <definedName name="Machine_Name">#REF!</definedName>
    <definedName name="MB_Chart">#REF!</definedName>
    <definedName name="MB_Data_Input">#REF!</definedName>
    <definedName name="MB_Takt_DCT_Table">#REF!</definedName>
    <definedName name="Next_Increment_Machine_Qty">'[3]Incr Inv Tool'!$K$10:$K$19</definedName>
    <definedName name="nové">'[4]Tabela sekwencji'!#REF!</definedName>
    <definedName name="Op_L_Un">#REF!</definedName>
    <definedName name="Op_Name">#REF!</definedName>
    <definedName name="Operating_CT">#REF!</definedName>
    <definedName name="Ops_per_Day">#REF!</definedName>
    <definedName name="packingh" localSheetId="3">#REF!</definedName>
    <definedName name="packingh">#REF!</definedName>
    <definedName name="packingv" localSheetId="3">#REF!</definedName>
    <definedName name="packingv">#REF!</definedName>
    <definedName name="Pcs_per_Cycle">#REF!</definedName>
    <definedName name="Pcs_per_Op_Cycle">#REF!</definedName>
    <definedName name="PRINT_AREA_MI" localSheetId="3">#REF!</definedName>
    <definedName name="PRINT_AREA_MI">#REF!</definedName>
    <definedName name="PROJECT" localSheetId="3">#REF!</definedName>
    <definedName name="PROJECT">#REF!</definedName>
    <definedName name="Range" localSheetId="3">#REF!</definedName>
    <definedName name="Range">#REF!</definedName>
    <definedName name="Raw" localSheetId="3">#REF!</definedName>
    <definedName name="Raw">#REF!</definedName>
    <definedName name="Remove_ID" localSheetId="4">#REF!</definedName>
    <definedName name="Remove_ID" localSheetId="3">#REF!</definedName>
    <definedName name="Remove_ID">#REF!</definedName>
    <definedName name="Sch_Days_per_Wk">#REF!</definedName>
    <definedName name="Sch_Days_per_Yr">#REF!</definedName>
    <definedName name="SEALCUT" localSheetId="3">#REF!</definedName>
    <definedName name="SEALCUT">#REF!</definedName>
    <definedName name="Sort_Item" localSheetId="1">CUTTING!Sort_Item</definedName>
    <definedName name="Sort_Item" localSheetId="4">'High Voltage'!Sort_Item</definedName>
    <definedName name="Sort_Item" localSheetId="0">'TOTAL values GCSD'!Sort_Item</definedName>
    <definedName name="Sort_Item">[0]!Sort_Item</definedName>
    <definedName name="SRT_GTE3">#REF!</definedName>
    <definedName name="SRT_LT3">#REF!</definedName>
    <definedName name="SRT_per_Day">#REF!</definedName>
    <definedName name="Subt_On" localSheetId="1">CUTTING!Subt_On</definedName>
    <definedName name="Subt_On" localSheetId="4">'High Voltage'!Subt_On</definedName>
    <definedName name="Subt_On" localSheetId="0">'TOTAL values GCSD'!Subt_On</definedName>
    <definedName name="Subt_On">[0]!Subt_On</definedName>
    <definedName name="Subtot_Off" localSheetId="1">CUTTING!Subtot_Off</definedName>
    <definedName name="Subtot_Off" localSheetId="4">'High Voltage'!Subtot_Off</definedName>
    <definedName name="Subtot_Off" localSheetId="0">'TOTAL values GCSD'!Subtot_Off</definedName>
    <definedName name="Subtot_Off">[0]!Subtot_Off</definedName>
    <definedName name="Sys_Cap_CT">#REF!</definedName>
    <definedName name="System_CT">#REF!</definedName>
    <definedName name="System_Downtime">#REF!</definedName>
    <definedName name="System_Level">#REF!</definedName>
    <definedName name="Takt_Range">#REF!</definedName>
    <definedName name="Takt_Table">#REF!</definedName>
    <definedName name="Takt_Time">#REF!</definedName>
    <definedName name="Takt_Time_on_MB">#REF!</definedName>
    <definedName name="thousand" localSheetId="3">#REF!</definedName>
    <definedName name="thousand">#REF!</definedName>
    <definedName name="Total_Equip_Invest">#REF!</definedName>
    <definedName name="Vol_Table">#REF!</definedName>
    <definedName name="Wire" localSheetId="3">#REF!</definedName>
    <definedName name="Wire">#REF!</definedName>
    <definedName name="Wks_per_Yr">#REF!</definedName>
    <definedName name="wrn.DFC." hidden="1">{#N/A,#N/A,FALSE,"Fils";#N/A,#N/A,FALSE,"Composants";#N/A,#N/A,FALSE,"Temps";#N/A,#N/A,FALSE,"Réponse"}</definedName>
    <definedName name="wrn.Divers." hidden="1">{#N/A,#N/A,FALSE,"fio Q";#N/A,#N/A,FALSE,"épis";#N/A,#N/A,FALSE,"comp. div."}</definedName>
    <definedName name="_xlnm.Database" localSheetId="3">#REF!</definedName>
    <definedName name="_xlnm.Database">#REF!</definedName>
    <definedName name="_xlnm.Print_Titles" localSheetId="1">CUTTING!$2:$2</definedName>
    <definedName name="_xlnm.Criteria" localSheetId="4">#REF!</definedName>
    <definedName name="_xlnm.Criteria" localSheetId="3">#REF!</definedName>
    <definedName name="_xlnm.Criteria">#REF!</definedName>
    <definedName name="_xlnm.Print_Area" localSheetId="1">CUTTING!$A$2:$L$689</definedName>
    <definedName name="_xlnm.Print_Area" localSheetId="5">'FA Conns and wires'!$A$2:$T$112</definedName>
    <definedName name="_xlnm.Print_Area" localSheetId="7">'FA Miscellaneos'!$A$1:$K$106</definedName>
    <definedName name="_xlnm.Print_Area" localSheetId="6">'FA Taping'!$A$1:$J$81</definedName>
    <definedName name="_xlnm.Print_Area" localSheetId="4">'High Voltage'!$A$1:$K$112</definedName>
    <definedName name="_xlnm.Print_Area" localSheetId="2">'LEAD PREP'!$A$1:$K$351</definedName>
    <definedName name="_xlnm.Print_Area" localSheetId="3">'LEAD PREP FA'!$A$1:$K$342</definedName>
    <definedName name="_xlnm.Print_Area" localSheetId="0">'TOTAL values GCSD'!$A$1:$G$30</definedName>
    <definedName name="_xlnm.Print_Area">#REF!</definedName>
  </definedNames>
  <calcPr calcId="181029"/>
</workbook>
</file>

<file path=xl/calcChain.xml><?xml version="1.0" encoding="utf-8"?>
<calcChain xmlns="http://schemas.openxmlformats.org/spreadsheetml/2006/main">
  <c r="K24" i="2" l="1"/>
  <c r="K22" i="2"/>
  <c r="K27" i="2" s="1"/>
  <c r="K19" i="2"/>
  <c r="C21" i="2"/>
  <c r="H128" i="6"/>
  <c r="K54" i="15" l="1"/>
  <c r="K13" i="15" l="1"/>
  <c r="K14" i="15"/>
  <c r="K15" i="15"/>
  <c r="J335" i="1" l="1"/>
  <c r="L335" i="1" s="1"/>
  <c r="J74" i="5" l="1"/>
  <c r="J73" i="5"/>
  <c r="M74" i="5"/>
  <c r="M73" i="5"/>
  <c r="M16" i="5"/>
  <c r="J16" i="5"/>
  <c r="K158" i="16"/>
  <c r="K158" i="3"/>
  <c r="K128" i="6" l="1"/>
  <c r="K127" i="6"/>
  <c r="K126" i="6"/>
  <c r="K125" i="6"/>
  <c r="K124" i="6"/>
  <c r="K329" i="3" l="1"/>
  <c r="K328" i="3"/>
  <c r="K349" i="3"/>
  <c r="K325" i="3"/>
  <c r="K324" i="3"/>
  <c r="K323" i="3"/>
  <c r="K322" i="3"/>
  <c r="K319" i="3"/>
  <c r="K318" i="3"/>
  <c r="K214" i="3"/>
  <c r="K315" i="16" l="1"/>
  <c r="K314" i="16"/>
  <c r="K313" i="16"/>
  <c r="K312" i="16"/>
  <c r="K311" i="16"/>
  <c r="K310" i="16"/>
  <c r="K309" i="16"/>
  <c r="K308" i="16"/>
  <c r="K307" i="16"/>
  <c r="K306" i="16"/>
  <c r="K305" i="16"/>
  <c r="K304" i="16"/>
  <c r="K303" i="16"/>
  <c r="K302" i="16"/>
  <c r="K301" i="16"/>
  <c r="K300" i="16"/>
  <c r="K299" i="16"/>
  <c r="K298" i="16"/>
  <c r="K297" i="16"/>
  <c r="K296" i="16"/>
  <c r="K295" i="16"/>
  <c r="K294" i="16"/>
  <c r="K293" i="16"/>
  <c r="K292" i="16"/>
  <c r="K291" i="16"/>
  <c r="K290" i="16"/>
  <c r="K289" i="16"/>
  <c r="K288" i="16"/>
  <c r="K287" i="16"/>
  <c r="K286" i="16"/>
  <c r="K285" i="16"/>
  <c r="K284" i="16"/>
  <c r="K281" i="16"/>
  <c r="K278" i="16"/>
  <c r="K277" i="16"/>
  <c r="K276" i="16"/>
  <c r="K275" i="16"/>
  <c r="K274" i="16"/>
  <c r="K271" i="16"/>
  <c r="K270" i="16"/>
  <c r="H266" i="16"/>
  <c r="K266" i="16" s="1"/>
  <c r="H265" i="16"/>
  <c r="K265" i="16" s="1"/>
  <c r="H264" i="16"/>
  <c r="K264" i="16" s="1"/>
  <c r="H263" i="16"/>
  <c r="K263" i="16" s="1"/>
  <c r="H262" i="16"/>
  <c r="K262" i="16" s="1"/>
  <c r="H261" i="16"/>
  <c r="K261" i="16" s="1"/>
  <c r="H260" i="16"/>
  <c r="K260" i="16" s="1"/>
  <c r="K255" i="16"/>
  <c r="K254" i="16"/>
  <c r="K253" i="16"/>
  <c r="K252" i="16"/>
  <c r="K251" i="16"/>
  <c r="K250" i="16"/>
  <c r="K249" i="16"/>
  <c r="K248" i="16"/>
  <c r="K247" i="16"/>
  <c r="K246" i="16"/>
  <c r="K245" i="16"/>
  <c r="K244" i="16"/>
  <c r="K239" i="16"/>
  <c r="K238" i="16"/>
  <c r="K237" i="16"/>
  <c r="K236" i="16"/>
  <c r="K235" i="16"/>
  <c r="H234" i="16"/>
  <c r="K234" i="16" s="1"/>
  <c r="K230" i="16"/>
  <c r="K229" i="16"/>
  <c r="K226" i="16"/>
  <c r="K225" i="16"/>
  <c r="K219" i="16"/>
  <c r="K218" i="16"/>
  <c r="K208" i="16"/>
  <c r="K207" i="16"/>
  <c r="K206" i="16"/>
  <c r="K205" i="16"/>
  <c r="K204" i="16"/>
  <c r="K203" i="16"/>
  <c r="K202" i="16"/>
  <c r="K201" i="16"/>
  <c r="K200" i="16"/>
  <c r="K199" i="16"/>
  <c r="K198" i="16"/>
  <c r="K197" i="16"/>
  <c r="K196" i="16"/>
  <c r="K195" i="16"/>
  <c r="K194" i="16"/>
  <c r="K193" i="16"/>
  <c r="K192" i="16"/>
  <c r="K191" i="16"/>
  <c r="K190" i="16"/>
  <c r="K189" i="16"/>
  <c r="K188" i="16"/>
  <c r="K183" i="16"/>
  <c r="K182" i="16"/>
  <c r="K181" i="16"/>
  <c r="K180" i="16"/>
  <c r="K179" i="16"/>
  <c r="K178" i="16"/>
  <c r="K177" i="16"/>
  <c r="K176" i="16"/>
  <c r="K175" i="16"/>
  <c r="K174" i="16"/>
  <c r="K173" i="16"/>
  <c r="K172" i="16"/>
  <c r="K171" i="16"/>
  <c r="K170" i="16"/>
  <c r="K169" i="16"/>
  <c r="K168" i="16"/>
  <c r="K167" i="16"/>
  <c r="K166" i="16"/>
  <c r="K165" i="16"/>
  <c r="K164" i="16"/>
  <c r="K163" i="16"/>
  <c r="K161" i="16"/>
  <c r="K160" i="16"/>
  <c r="K159" i="16"/>
  <c r="K157" i="16"/>
  <c r="K156" i="16"/>
  <c r="K155" i="16"/>
  <c r="K154" i="16"/>
  <c r="K153" i="16"/>
  <c r="K152" i="16"/>
  <c r="K151" i="16"/>
  <c r="K150" i="16"/>
  <c r="K148" i="16"/>
  <c r="K147" i="16"/>
  <c r="K144" i="16"/>
  <c r="K143" i="16"/>
  <c r="K142" i="16"/>
  <c r="K141" i="16"/>
  <c r="K140" i="16"/>
  <c r="K139" i="16"/>
  <c r="K138" i="16"/>
  <c r="K137" i="16"/>
  <c r="K136" i="16"/>
  <c r="K135" i="16"/>
  <c r="K134" i="16"/>
  <c r="K133" i="16"/>
  <c r="K132" i="16"/>
  <c r="K131" i="16"/>
  <c r="K130" i="16"/>
  <c r="K129" i="16"/>
  <c r="K128" i="16"/>
  <c r="K124" i="16"/>
  <c r="K123" i="16"/>
  <c r="K120" i="16"/>
  <c r="K119" i="16"/>
  <c r="K116" i="16"/>
  <c r="K115" i="16"/>
  <c r="K114" i="16"/>
  <c r="K112" i="16"/>
  <c r="K111" i="16"/>
  <c r="K108" i="16"/>
  <c r="K107" i="16"/>
  <c r="K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2" i="16"/>
  <c r="K71" i="16"/>
  <c r="K69" i="16"/>
  <c r="K68" i="16"/>
  <c r="K61" i="16"/>
  <c r="K60" i="16"/>
  <c r="K59" i="16"/>
  <c r="K58" i="16"/>
  <c r="K57" i="16"/>
  <c r="K56" i="16"/>
  <c r="K55" i="16"/>
  <c r="K54" i="16"/>
  <c r="K53" i="16"/>
  <c r="K52" i="16"/>
  <c r="K51" i="16"/>
  <c r="K50" i="16"/>
  <c r="K47" i="16"/>
  <c r="K46" i="16"/>
  <c r="K45" i="16"/>
  <c r="K44" i="16"/>
  <c r="K43" i="16"/>
  <c r="K42" i="16"/>
  <c r="K41" i="16"/>
  <c r="K40" i="16"/>
  <c r="K38" i="16"/>
  <c r="K37" i="16"/>
  <c r="K36" i="16"/>
  <c r="K35" i="16"/>
  <c r="K34" i="16"/>
  <c r="K33" i="16"/>
  <c r="K32" i="16"/>
  <c r="K31" i="16"/>
  <c r="K30" i="16"/>
  <c r="K29" i="16"/>
  <c r="K28" i="16"/>
  <c r="K27" i="16"/>
  <c r="K26" i="16"/>
  <c r="K25" i="16"/>
  <c r="K24" i="16"/>
  <c r="K23" i="16"/>
  <c r="K22" i="16"/>
  <c r="K21" i="16"/>
  <c r="K338" i="16" s="1"/>
  <c r="K20" i="16"/>
  <c r="K19" i="16"/>
  <c r="K18" i="16"/>
  <c r="K17" i="16"/>
  <c r="K14" i="16"/>
  <c r="K13" i="16"/>
  <c r="K12" i="16"/>
  <c r="K11" i="16"/>
  <c r="K10" i="16"/>
  <c r="K9" i="16"/>
  <c r="K8" i="16"/>
  <c r="K7" i="16"/>
  <c r="K6" i="16"/>
  <c r="K5" i="16"/>
  <c r="K4" i="16"/>
  <c r="K3" i="16"/>
  <c r="K340" i="16" l="1"/>
  <c r="K161" i="3"/>
  <c r="K110" i="6"/>
  <c r="K147" i="3"/>
  <c r="K61" i="6"/>
  <c r="K62" i="6"/>
  <c r="K63" i="6"/>
  <c r="K64" i="6"/>
  <c r="K65" i="6"/>
  <c r="K66" i="6"/>
  <c r="K67" i="6"/>
  <c r="K60" i="6"/>
  <c r="K38" i="3"/>
  <c r="K37" i="3"/>
  <c r="K105" i="6"/>
  <c r="K6" i="3"/>
  <c r="K7" i="3"/>
  <c r="K8" i="3"/>
  <c r="K9" i="3"/>
  <c r="K10" i="3"/>
  <c r="K11" i="3"/>
  <c r="K3" i="3"/>
  <c r="K4" i="3"/>
  <c r="K53" i="15"/>
  <c r="J28" i="5"/>
  <c r="J24" i="5"/>
  <c r="K301" i="3"/>
  <c r="K302" i="3"/>
  <c r="K303" i="3"/>
  <c r="K304" i="3"/>
  <c r="K305" i="3"/>
  <c r="K306" i="3"/>
  <c r="K307" i="3"/>
  <c r="K308" i="3"/>
  <c r="K309" i="3"/>
  <c r="K310" i="3"/>
  <c r="K311" i="3"/>
  <c r="K312" i="3"/>
  <c r="K313" i="3"/>
  <c r="K314" i="3"/>
  <c r="K315" i="3"/>
  <c r="K300" i="3"/>
  <c r="K285" i="3"/>
  <c r="K286" i="3"/>
  <c r="K287" i="3"/>
  <c r="K288" i="3"/>
  <c r="K289" i="3"/>
  <c r="K290" i="3"/>
  <c r="K291" i="3"/>
  <c r="K292" i="3"/>
  <c r="K293" i="3"/>
  <c r="K294" i="3"/>
  <c r="K295" i="3"/>
  <c r="K296" i="3"/>
  <c r="K297" i="3"/>
  <c r="K298" i="3"/>
  <c r="K299" i="3"/>
  <c r="K284" i="3"/>
  <c r="K36" i="3"/>
  <c r="K10" i="6"/>
  <c r="K5" i="3"/>
  <c r="K24" i="15"/>
  <c r="K25" i="15"/>
  <c r="K26" i="15"/>
  <c r="K27" i="15"/>
  <c r="K28" i="15"/>
  <c r="K29" i="15"/>
  <c r="K30" i="15"/>
  <c r="K31" i="15"/>
  <c r="K32" i="15"/>
  <c r="K33" i="15"/>
  <c r="K34" i="15"/>
  <c r="K35" i="15"/>
  <c r="K36" i="15"/>
  <c r="K123" i="6"/>
  <c r="K122" i="6"/>
  <c r="K114" i="6"/>
  <c r="K17" i="6"/>
  <c r="K16" i="6"/>
  <c r="K12" i="6"/>
  <c r="K11" i="6"/>
  <c r="K9" i="6"/>
  <c r="K13" i="6"/>
  <c r="K14" i="6"/>
  <c r="K107" i="6"/>
  <c r="K103" i="6"/>
  <c r="K104" i="6"/>
  <c r="K111" i="6"/>
  <c r="K90" i="6"/>
  <c r="K100" i="6"/>
  <c r="K101" i="6"/>
  <c r="K99" i="6"/>
  <c r="K98" i="6"/>
  <c r="K97" i="6"/>
  <c r="K93" i="6"/>
  <c r="K106" i="6"/>
  <c r="K108" i="6"/>
  <c r="K109" i="6"/>
  <c r="K102" i="6"/>
  <c r="H70" i="15"/>
  <c r="K56" i="6"/>
  <c r="K95" i="15"/>
  <c r="K96" i="15"/>
  <c r="K97" i="15"/>
  <c r="K98" i="15"/>
  <c r="K99" i="15"/>
  <c r="J31" i="5"/>
  <c r="T105" i="4"/>
  <c r="T106" i="4"/>
  <c r="T107" i="4"/>
  <c r="T108" i="4"/>
  <c r="T109" i="4"/>
  <c r="T110" i="4"/>
  <c r="T111" i="4"/>
  <c r="T104" i="4"/>
  <c r="K79" i="3"/>
  <c r="H118" i="6"/>
  <c r="K118" i="6" s="1"/>
  <c r="H119" i="6"/>
  <c r="K119" i="6" s="1"/>
  <c r="K190" i="3"/>
  <c r="K191" i="3"/>
  <c r="K192" i="3"/>
  <c r="K193" i="3"/>
  <c r="K194" i="3"/>
  <c r="K195" i="3"/>
  <c r="K196" i="3"/>
  <c r="K197" i="3"/>
  <c r="K198" i="3"/>
  <c r="K199" i="3"/>
  <c r="K200" i="3"/>
  <c r="K201" i="3"/>
  <c r="K202" i="3"/>
  <c r="K189" i="3"/>
  <c r="K246" i="3"/>
  <c r="K69" i="3"/>
  <c r="K281" i="3"/>
  <c r="K278" i="3"/>
  <c r="K277" i="3"/>
  <c r="K276" i="3"/>
  <c r="K275" i="3"/>
  <c r="K274" i="3"/>
  <c r="K271" i="3"/>
  <c r="K270" i="3"/>
  <c r="H266" i="3"/>
  <c r="K266" i="3"/>
  <c r="H265" i="3"/>
  <c r="K265" i="3" s="1"/>
  <c r="H264" i="3"/>
  <c r="K264" i="3" s="1"/>
  <c r="H263" i="3"/>
  <c r="K263" i="3" s="1"/>
  <c r="H262" i="3"/>
  <c r="K262" i="3" s="1"/>
  <c r="H261" i="3"/>
  <c r="K261" i="3" s="1"/>
  <c r="H260" i="3"/>
  <c r="K260" i="3" s="1"/>
  <c r="K255" i="3"/>
  <c r="K254" i="3"/>
  <c r="K253" i="3"/>
  <c r="K252" i="3"/>
  <c r="K251" i="3"/>
  <c r="K250" i="3"/>
  <c r="K249" i="3"/>
  <c r="K248" i="3"/>
  <c r="K247" i="3"/>
  <c r="K245" i="3"/>
  <c r="K244" i="3"/>
  <c r="K239" i="3"/>
  <c r="K238" i="3"/>
  <c r="K237" i="3"/>
  <c r="K236" i="3"/>
  <c r="K235" i="3"/>
  <c r="H234" i="3"/>
  <c r="K234" i="3" s="1"/>
  <c r="K230" i="3"/>
  <c r="K229" i="3"/>
  <c r="K226" i="3"/>
  <c r="K225" i="3"/>
  <c r="K219" i="3"/>
  <c r="K218" i="3"/>
  <c r="K208" i="3"/>
  <c r="K207" i="3"/>
  <c r="K206" i="3"/>
  <c r="K205" i="3"/>
  <c r="K204" i="3"/>
  <c r="K203" i="3"/>
  <c r="K188" i="3"/>
  <c r="K183" i="3"/>
  <c r="K182" i="3"/>
  <c r="K181" i="3"/>
  <c r="K180" i="3"/>
  <c r="K179" i="3"/>
  <c r="K178" i="3"/>
  <c r="K177" i="3"/>
  <c r="K176" i="3"/>
  <c r="K175" i="3"/>
  <c r="K174" i="3"/>
  <c r="K173" i="3"/>
  <c r="K172" i="3"/>
  <c r="K171" i="3"/>
  <c r="K170" i="3"/>
  <c r="K169" i="3"/>
  <c r="K168" i="3"/>
  <c r="K167" i="3"/>
  <c r="K166" i="3"/>
  <c r="K165" i="3"/>
  <c r="K164" i="3"/>
  <c r="K163" i="3"/>
  <c r="K160" i="3"/>
  <c r="K159" i="3"/>
  <c r="K157" i="3"/>
  <c r="K156" i="3"/>
  <c r="K155" i="3"/>
  <c r="K154" i="3"/>
  <c r="K153" i="3"/>
  <c r="K152" i="3"/>
  <c r="K151" i="3"/>
  <c r="K150" i="3"/>
  <c r="K148" i="3"/>
  <c r="K144" i="3"/>
  <c r="K143" i="3"/>
  <c r="K142" i="3"/>
  <c r="K141" i="3"/>
  <c r="K140" i="3"/>
  <c r="K139" i="3"/>
  <c r="K138" i="3"/>
  <c r="K137" i="3"/>
  <c r="K136" i="3"/>
  <c r="K135" i="3"/>
  <c r="K134" i="3"/>
  <c r="K133" i="3"/>
  <c r="K132" i="3"/>
  <c r="K131" i="3"/>
  <c r="K130" i="3"/>
  <c r="K129" i="3"/>
  <c r="K128" i="3"/>
  <c r="K124" i="3"/>
  <c r="K123" i="3"/>
  <c r="K120" i="3"/>
  <c r="K119" i="3"/>
  <c r="K116" i="3"/>
  <c r="K115" i="3"/>
  <c r="K114" i="3"/>
  <c r="K112" i="3"/>
  <c r="K111"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8" i="3"/>
  <c r="K77" i="3"/>
  <c r="K76" i="3"/>
  <c r="K75" i="3"/>
  <c r="K72" i="3"/>
  <c r="K71" i="3"/>
  <c r="K68" i="3"/>
  <c r="K61" i="3"/>
  <c r="K60" i="3"/>
  <c r="K59" i="3"/>
  <c r="K58" i="3"/>
  <c r="K57" i="3"/>
  <c r="K56" i="3"/>
  <c r="K55" i="3"/>
  <c r="K54" i="3"/>
  <c r="K53" i="3"/>
  <c r="K52" i="3"/>
  <c r="K51" i="3"/>
  <c r="K50" i="3"/>
  <c r="K47" i="3"/>
  <c r="K46" i="3"/>
  <c r="K45" i="3"/>
  <c r="K44" i="3"/>
  <c r="K43" i="3"/>
  <c r="K42" i="3"/>
  <c r="K41" i="3"/>
  <c r="K40" i="3"/>
  <c r="K35" i="3"/>
  <c r="K34" i="3"/>
  <c r="K33" i="3"/>
  <c r="K32" i="3"/>
  <c r="K31" i="3"/>
  <c r="K30" i="3"/>
  <c r="K29" i="3"/>
  <c r="K28" i="3"/>
  <c r="K27" i="3"/>
  <c r="K26" i="3"/>
  <c r="K25" i="3"/>
  <c r="K24" i="3"/>
  <c r="K23" i="3"/>
  <c r="K22" i="3"/>
  <c r="K21" i="3"/>
  <c r="K20" i="3"/>
  <c r="K19" i="3"/>
  <c r="K18" i="3"/>
  <c r="K17" i="3"/>
  <c r="K14" i="3"/>
  <c r="K13" i="3"/>
  <c r="K12" i="3"/>
  <c r="T72" i="4"/>
  <c r="T73" i="4"/>
  <c r="K92" i="6"/>
  <c r="K57" i="15"/>
  <c r="K58" i="15"/>
  <c r="J22" i="5"/>
  <c r="J32" i="5"/>
  <c r="T103" i="4"/>
  <c r="T102" i="4"/>
  <c r="T101" i="4"/>
  <c r="T100" i="4"/>
  <c r="T99" i="4"/>
  <c r="T98" i="4"/>
  <c r="T97" i="4"/>
  <c r="J450" i="1"/>
  <c r="L450" i="1" s="1"/>
  <c r="J451" i="1"/>
  <c r="L451" i="1" s="1"/>
  <c r="J452" i="1"/>
  <c r="L452" i="1"/>
  <c r="J453" i="1"/>
  <c r="L453" i="1" s="1"/>
  <c r="J454" i="1"/>
  <c r="L454" i="1" s="1"/>
  <c r="J455" i="1"/>
  <c r="L455" i="1"/>
  <c r="J456" i="1"/>
  <c r="L456" i="1" s="1"/>
  <c r="J457" i="1"/>
  <c r="L457" i="1" s="1"/>
  <c r="J458" i="1"/>
  <c r="L458" i="1" s="1"/>
  <c r="J459" i="1"/>
  <c r="L459" i="1" s="1"/>
  <c r="J460" i="1"/>
  <c r="L460" i="1" s="1"/>
  <c r="J461" i="1"/>
  <c r="L461" i="1" s="1"/>
  <c r="J462" i="1"/>
  <c r="L462" i="1" s="1"/>
  <c r="J463" i="1"/>
  <c r="L463" i="1" s="1"/>
  <c r="K17" i="15"/>
  <c r="K16" i="15"/>
  <c r="K18" i="15"/>
  <c r="J677" i="1"/>
  <c r="L677" i="1" s="1"/>
  <c r="J678" i="1"/>
  <c r="L678" i="1"/>
  <c r="J679" i="1"/>
  <c r="L679" i="1" s="1"/>
  <c r="J671" i="1"/>
  <c r="L671" i="1" s="1"/>
  <c r="J672" i="1"/>
  <c r="L672" i="1"/>
  <c r="J673" i="1"/>
  <c r="L673" i="1" s="1"/>
  <c r="J674" i="1"/>
  <c r="L674" i="1" s="1"/>
  <c r="J675" i="1"/>
  <c r="K3" i="6"/>
  <c r="K4" i="6"/>
  <c r="K5" i="6"/>
  <c r="K6" i="6"/>
  <c r="K7" i="6"/>
  <c r="K8" i="6"/>
  <c r="K15"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7" i="6"/>
  <c r="K58" i="6"/>
  <c r="K59" i="6"/>
  <c r="K68" i="6"/>
  <c r="K69" i="6"/>
  <c r="K70" i="6"/>
  <c r="K71" i="6"/>
  <c r="K72" i="6"/>
  <c r="K73" i="6"/>
  <c r="K74" i="6"/>
  <c r="K75" i="6"/>
  <c r="K76" i="6"/>
  <c r="K77" i="6"/>
  <c r="K78" i="6"/>
  <c r="K79" i="6"/>
  <c r="K80" i="6"/>
  <c r="K81" i="6"/>
  <c r="K82" i="6"/>
  <c r="K83" i="6"/>
  <c r="K84" i="6"/>
  <c r="K85" i="6"/>
  <c r="K86" i="6"/>
  <c r="K87" i="6"/>
  <c r="K88" i="6"/>
  <c r="K89" i="6"/>
  <c r="H91" i="6"/>
  <c r="K91" i="6" s="1"/>
  <c r="K94" i="6"/>
  <c r="K95" i="6"/>
  <c r="K96" i="6"/>
  <c r="K112" i="6"/>
  <c r="K113" i="6"/>
  <c r="K115" i="6"/>
  <c r="K116" i="6"/>
  <c r="K117" i="6"/>
  <c r="K120" i="6"/>
  <c r="K121" i="6"/>
  <c r="J3" i="5"/>
  <c r="J4" i="5"/>
  <c r="J6" i="5"/>
  <c r="J7" i="5"/>
  <c r="J8" i="5"/>
  <c r="J9" i="5"/>
  <c r="J10" i="5"/>
  <c r="J11" i="5"/>
  <c r="J12" i="5"/>
  <c r="J13" i="5"/>
  <c r="J14" i="5"/>
  <c r="J17" i="5"/>
  <c r="J18" i="5"/>
  <c r="J19" i="5"/>
  <c r="J20" i="5"/>
  <c r="J21" i="5"/>
  <c r="J23" i="5"/>
  <c r="J25" i="5"/>
  <c r="J26" i="5"/>
  <c r="J27" i="5"/>
  <c r="J29" i="5"/>
  <c r="J30" i="5"/>
  <c r="J33" i="5"/>
  <c r="J34" i="5"/>
  <c r="J37" i="5"/>
  <c r="J38" i="5"/>
  <c r="J39" i="5"/>
  <c r="J40" i="5"/>
  <c r="J41" i="5"/>
  <c r="J42" i="5"/>
  <c r="J43" i="5"/>
  <c r="J44" i="5"/>
  <c r="J45" i="5"/>
  <c r="J46" i="5"/>
  <c r="J47" i="5"/>
  <c r="J48" i="5"/>
  <c r="J50" i="5"/>
  <c r="J51" i="5"/>
  <c r="J52" i="5"/>
  <c r="J53" i="5"/>
  <c r="J54" i="5"/>
  <c r="J56" i="5"/>
  <c r="J57" i="5"/>
  <c r="J58" i="5"/>
  <c r="J60" i="5"/>
  <c r="J61" i="5"/>
  <c r="J62" i="5"/>
  <c r="J63" i="5"/>
  <c r="J64" i="5"/>
  <c r="J65" i="5"/>
  <c r="J66" i="5"/>
  <c r="J67" i="5"/>
  <c r="J68" i="5"/>
  <c r="J70" i="5"/>
  <c r="J71" i="5"/>
  <c r="J72" i="5"/>
  <c r="J75" i="5"/>
  <c r="J76" i="5"/>
  <c r="J77" i="5"/>
  <c r="J78" i="5"/>
  <c r="J79" i="5"/>
  <c r="J80" i="5"/>
  <c r="T4" i="4"/>
  <c r="T5" i="4"/>
  <c r="T6" i="4"/>
  <c r="T10" i="4"/>
  <c r="T11" i="4"/>
  <c r="T12" i="4"/>
  <c r="T13" i="4"/>
  <c r="T14" i="4"/>
  <c r="T15" i="4"/>
  <c r="T16" i="4"/>
  <c r="T17" i="4"/>
  <c r="T18" i="4"/>
  <c r="T19" i="4"/>
  <c r="T20" i="4"/>
  <c r="T21" i="4"/>
  <c r="T22" i="4"/>
  <c r="T23" i="4"/>
  <c r="T24" i="4"/>
  <c r="T26" i="4"/>
  <c r="T27" i="4"/>
  <c r="T28" i="4"/>
  <c r="T29" i="4"/>
  <c r="T30" i="4"/>
  <c r="T31" i="4"/>
  <c r="T32" i="4"/>
  <c r="T33" i="4"/>
  <c r="T34" i="4"/>
  <c r="T35" i="4"/>
  <c r="T36" i="4"/>
  <c r="T37" i="4"/>
  <c r="T38" i="4"/>
  <c r="T39" i="4"/>
  <c r="T40" i="4"/>
  <c r="T41" i="4"/>
  <c r="T42" i="4"/>
  <c r="T43" i="4"/>
  <c r="T45" i="4"/>
  <c r="T47" i="4"/>
  <c r="T48" i="4"/>
  <c r="T49" i="4"/>
  <c r="T50" i="4"/>
  <c r="T51" i="4"/>
  <c r="T52" i="4"/>
  <c r="T53" i="4"/>
  <c r="T54" i="4"/>
  <c r="T55" i="4"/>
  <c r="T56" i="4"/>
  <c r="T57" i="4"/>
  <c r="T58" i="4"/>
  <c r="T59" i="4"/>
  <c r="T60" i="4"/>
  <c r="T61" i="4"/>
  <c r="T62" i="4"/>
  <c r="T63" i="4"/>
  <c r="T64" i="4"/>
  <c r="T65" i="4"/>
  <c r="T66" i="4"/>
  <c r="T67" i="4"/>
  <c r="T68" i="4"/>
  <c r="T69" i="4"/>
  <c r="T70" i="4"/>
  <c r="T71" i="4"/>
  <c r="T74" i="4"/>
  <c r="T79" i="4"/>
  <c r="T80" i="4"/>
  <c r="T81" i="4"/>
  <c r="T82" i="4"/>
  <c r="T83" i="4"/>
  <c r="T84" i="4"/>
  <c r="T85" i="4"/>
  <c r="T86" i="4"/>
  <c r="T87" i="4"/>
  <c r="T88" i="4"/>
  <c r="T89" i="4"/>
  <c r="T90" i="4"/>
  <c r="T91" i="4"/>
  <c r="T92" i="4"/>
  <c r="T93" i="4"/>
  <c r="T94" i="4"/>
  <c r="T95" i="4"/>
  <c r="T96" i="4"/>
  <c r="K11" i="15"/>
  <c r="K12" i="15"/>
  <c r="K19" i="15"/>
  <c r="K20" i="15"/>
  <c r="K21" i="15"/>
  <c r="K22" i="15"/>
  <c r="K23" i="15"/>
  <c r="K37" i="15"/>
  <c r="K38" i="15"/>
  <c r="K39" i="15"/>
  <c r="K40" i="15"/>
  <c r="K41" i="15"/>
  <c r="K42" i="15"/>
  <c r="K43" i="15"/>
  <c r="K44" i="15"/>
  <c r="K45" i="15"/>
  <c r="K46" i="15"/>
  <c r="K47" i="15"/>
  <c r="K48" i="15"/>
  <c r="K49" i="15"/>
  <c r="K50" i="15"/>
  <c r="K51" i="15"/>
  <c r="K52" i="15"/>
  <c r="K55" i="15"/>
  <c r="K56" i="15"/>
  <c r="K59" i="15"/>
  <c r="K60" i="15"/>
  <c r="K61" i="15"/>
  <c r="K82" i="15"/>
  <c r="K83" i="15"/>
  <c r="K85" i="15"/>
  <c r="K88" i="15"/>
  <c r="K89" i="15"/>
  <c r="K90" i="15"/>
  <c r="K91" i="15"/>
  <c r="K92" i="15"/>
  <c r="K94" i="15"/>
  <c r="K105" i="15"/>
  <c r="K108" i="15"/>
  <c r="K109" i="15"/>
  <c r="J3" i="1"/>
  <c r="L3" i="1" s="1"/>
  <c r="J4" i="1"/>
  <c r="L4" i="1" s="1"/>
  <c r="J5" i="1"/>
  <c r="L5" i="1" s="1"/>
  <c r="J6" i="1"/>
  <c r="L6" i="1" s="1"/>
  <c r="J7" i="1"/>
  <c r="L7" i="1" s="1"/>
  <c r="J8" i="1"/>
  <c r="L8" i="1" s="1"/>
  <c r="J9" i="1"/>
  <c r="L9" i="1" s="1"/>
  <c r="J10" i="1"/>
  <c r="L10" i="1" s="1"/>
  <c r="J11" i="1"/>
  <c r="L11" i="1" s="1"/>
  <c r="J12" i="1"/>
  <c r="L12" i="1" s="1"/>
  <c r="J13" i="1"/>
  <c r="L13" i="1" s="1"/>
  <c r="J14" i="1"/>
  <c r="L14" i="1" s="1"/>
  <c r="J15" i="1"/>
  <c r="L15" i="1" s="1"/>
  <c r="J16" i="1"/>
  <c r="L16" i="1" s="1"/>
  <c r="J17" i="1"/>
  <c r="L17" i="1" s="1"/>
  <c r="J18" i="1"/>
  <c r="L18" i="1" s="1"/>
  <c r="J19" i="1"/>
  <c r="L19" i="1" s="1"/>
  <c r="J20" i="1"/>
  <c r="L20" i="1" s="1"/>
  <c r="J21" i="1"/>
  <c r="L21" i="1" s="1"/>
  <c r="J22" i="1"/>
  <c r="L22" i="1" s="1"/>
  <c r="J23" i="1"/>
  <c r="L23" i="1" s="1"/>
  <c r="J24" i="1"/>
  <c r="L24" i="1" s="1"/>
  <c r="J25" i="1"/>
  <c r="L25" i="1" s="1"/>
  <c r="J26" i="1"/>
  <c r="L26" i="1" s="1"/>
  <c r="J27" i="1"/>
  <c r="L27" i="1" s="1"/>
  <c r="J28" i="1"/>
  <c r="L28" i="1" s="1"/>
  <c r="J29" i="1"/>
  <c r="L29" i="1"/>
  <c r="J30" i="1"/>
  <c r="L30" i="1" s="1"/>
  <c r="J31" i="1"/>
  <c r="L31" i="1" s="1"/>
  <c r="J32" i="1"/>
  <c r="L32" i="1" s="1"/>
  <c r="J33" i="1"/>
  <c r="L33" i="1" s="1"/>
  <c r="J34" i="1"/>
  <c r="L34" i="1" s="1"/>
  <c r="J35" i="1"/>
  <c r="L35" i="1" s="1"/>
  <c r="J36" i="1"/>
  <c r="L36" i="1" s="1"/>
  <c r="J37" i="1"/>
  <c r="L37" i="1" s="1"/>
  <c r="J38" i="1"/>
  <c r="L38" i="1" s="1"/>
  <c r="J39" i="1"/>
  <c r="L39" i="1" s="1"/>
  <c r="J40" i="1"/>
  <c r="L40" i="1" s="1"/>
  <c r="J41" i="1"/>
  <c r="L41" i="1" s="1"/>
  <c r="J42" i="1"/>
  <c r="L42" i="1" s="1"/>
  <c r="J43" i="1"/>
  <c r="L43" i="1" s="1"/>
  <c r="J44" i="1"/>
  <c r="L44" i="1" s="1"/>
  <c r="J45" i="1"/>
  <c r="L45" i="1" s="1"/>
  <c r="J46" i="1"/>
  <c r="L46" i="1" s="1"/>
  <c r="J47" i="1"/>
  <c r="L47" i="1" s="1"/>
  <c r="J48" i="1"/>
  <c r="L48" i="1" s="1"/>
  <c r="J49" i="1"/>
  <c r="L49" i="1" s="1"/>
  <c r="J50" i="1"/>
  <c r="L50" i="1" s="1"/>
  <c r="J51" i="1"/>
  <c r="L51" i="1" s="1"/>
  <c r="J52" i="1"/>
  <c r="L52" i="1" s="1"/>
  <c r="J53" i="1"/>
  <c r="L53" i="1"/>
  <c r="J54" i="1"/>
  <c r="L54" i="1" s="1"/>
  <c r="J55" i="1"/>
  <c r="L55" i="1" s="1"/>
  <c r="J56" i="1"/>
  <c r="L56" i="1" s="1"/>
  <c r="J57" i="1"/>
  <c r="L57" i="1" s="1"/>
  <c r="J58" i="1"/>
  <c r="L58" i="1" s="1"/>
  <c r="J59" i="1"/>
  <c r="L59" i="1" s="1"/>
  <c r="J60" i="1"/>
  <c r="L60" i="1" s="1"/>
  <c r="J61" i="1"/>
  <c r="L61" i="1" s="1"/>
  <c r="J62" i="1"/>
  <c r="L62" i="1" s="1"/>
  <c r="J63" i="1"/>
  <c r="L63" i="1" s="1"/>
  <c r="J64" i="1"/>
  <c r="L64" i="1" s="1"/>
  <c r="J65" i="1"/>
  <c r="L65" i="1" s="1"/>
  <c r="J66" i="1"/>
  <c r="L66" i="1" s="1"/>
  <c r="J67" i="1"/>
  <c r="L67" i="1" s="1"/>
  <c r="J68" i="1"/>
  <c r="L68" i="1" s="1"/>
  <c r="J69" i="1"/>
  <c r="L69" i="1" s="1"/>
  <c r="J70" i="1"/>
  <c r="L70" i="1" s="1"/>
  <c r="J71" i="1"/>
  <c r="L71" i="1" s="1"/>
  <c r="J72" i="1"/>
  <c r="L72" i="1" s="1"/>
  <c r="J73" i="1"/>
  <c r="L73" i="1" s="1"/>
  <c r="J74" i="1"/>
  <c r="L74" i="1" s="1"/>
  <c r="J75" i="1"/>
  <c r="L75" i="1" s="1"/>
  <c r="J76" i="1"/>
  <c r="L76" i="1" s="1"/>
  <c r="J77" i="1"/>
  <c r="L77" i="1" s="1"/>
  <c r="J78" i="1"/>
  <c r="L78" i="1" s="1"/>
  <c r="J79" i="1"/>
  <c r="L79" i="1" s="1"/>
  <c r="J80" i="1"/>
  <c r="L80" i="1" s="1"/>
  <c r="J81" i="1"/>
  <c r="L81" i="1" s="1"/>
  <c r="J82" i="1"/>
  <c r="L82" i="1" s="1"/>
  <c r="J83" i="1"/>
  <c r="L83" i="1" s="1"/>
  <c r="J84" i="1"/>
  <c r="L84" i="1" s="1"/>
  <c r="J85" i="1"/>
  <c r="L85" i="1" s="1"/>
  <c r="J86" i="1"/>
  <c r="L86" i="1" s="1"/>
  <c r="J87" i="1"/>
  <c r="L87" i="1" s="1"/>
  <c r="J88" i="1"/>
  <c r="L88" i="1" s="1"/>
  <c r="J89" i="1"/>
  <c r="L89" i="1" s="1"/>
  <c r="J90" i="1"/>
  <c r="L90" i="1" s="1"/>
  <c r="J91" i="1"/>
  <c r="L91" i="1" s="1"/>
  <c r="J92" i="1"/>
  <c r="L92" i="1" s="1"/>
  <c r="J93" i="1"/>
  <c r="L93" i="1" s="1"/>
  <c r="J94" i="1"/>
  <c r="L94" i="1" s="1"/>
  <c r="J95" i="1"/>
  <c r="L95" i="1" s="1"/>
  <c r="J96" i="1"/>
  <c r="L96" i="1" s="1"/>
  <c r="J97" i="1"/>
  <c r="L97" i="1" s="1"/>
  <c r="J98" i="1"/>
  <c r="L98" i="1" s="1"/>
  <c r="J99" i="1"/>
  <c r="L99" i="1" s="1"/>
  <c r="J100" i="1"/>
  <c r="L100" i="1" s="1"/>
  <c r="J101" i="1"/>
  <c r="L101" i="1" s="1"/>
  <c r="J102" i="1"/>
  <c r="L102" i="1" s="1"/>
  <c r="J103" i="1"/>
  <c r="L103" i="1" s="1"/>
  <c r="J104" i="1"/>
  <c r="L104" i="1" s="1"/>
  <c r="J105" i="1"/>
  <c r="L105" i="1" s="1"/>
  <c r="J106" i="1"/>
  <c r="L106" i="1" s="1"/>
  <c r="J107" i="1"/>
  <c r="L107" i="1" s="1"/>
  <c r="J108" i="1"/>
  <c r="L108" i="1" s="1"/>
  <c r="J109" i="1"/>
  <c r="L109" i="1" s="1"/>
  <c r="J110" i="1"/>
  <c r="L110" i="1" s="1"/>
  <c r="J111" i="1"/>
  <c r="L111" i="1" s="1"/>
  <c r="J112" i="1"/>
  <c r="L112" i="1" s="1"/>
  <c r="J113" i="1"/>
  <c r="L113" i="1" s="1"/>
  <c r="J114" i="1"/>
  <c r="L114" i="1" s="1"/>
  <c r="J115" i="1"/>
  <c r="L115" i="1" s="1"/>
  <c r="J116" i="1"/>
  <c r="L116" i="1" s="1"/>
  <c r="J117" i="1"/>
  <c r="L117" i="1" s="1"/>
  <c r="J118" i="1"/>
  <c r="L118" i="1" s="1"/>
  <c r="J119" i="1"/>
  <c r="L119" i="1" s="1"/>
  <c r="J120" i="1"/>
  <c r="L120" i="1" s="1"/>
  <c r="J121" i="1"/>
  <c r="L121" i="1" s="1"/>
  <c r="J122" i="1"/>
  <c r="L122" i="1" s="1"/>
  <c r="J123" i="1"/>
  <c r="L123" i="1" s="1"/>
  <c r="J124" i="1"/>
  <c r="L124" i="1" s="1"/>
  <c r="J125" i="1"/>
  <c r="L125" i="1" s="1"/>
  <c r="J126" i="1"/>
  <c r="L126" i="1" s="1"/>
  <c r="J127" i="1"/>
  <c r="L127" i="1" s="1"/>
  <c r="H128" i="1"/>
  <c r="J128" i="1" s="1"/>
  <c r="J130" i="1"/>
  <c r="L130" i="1" s="1"/>
  <c r="J131" i="1"/>
  <c r="L131" i="1" s="1"/>
  <c r="J132" i="1"/>
  <c r="L132" i="1" s="1"/>
  <c r="J133" i="1"/>
  <c r="L133" i="1" s="1"/>
  <c r="J134" i="1"/>
  <c r="L134" i="1" s="1"/>
  <c r="J135" i="1"/>
  <c r="L135" i="1" s="1"/>
  <c r="J136" i="1"/>
  <c r="L136" i="1" s="1"/>
  <c r="J137" i="1"/>
  <c r="L137" i="1" s="1"/>
  <c r="J138" i="1"/>
  <c r="L138" i="1" s="1"/>
  <c r="J139" i="1"/>
  <c r="L139" i="1" s="1"/>
  <c r="J140" i="1"/>
  <c r="L140" i="1" s="1"/>
  <c r="J141" i="1"/>
  <c r="L141" i="1" s="1"/>
  <c r="J142" i="1"/>
  <c r="L142" i="1" s="1"/>
  <c r="J143" i="1"/>
  <c r="L143" i="1" s="1"/>
  <c r="J144" i="1"/>
  <c r="L144" i="1" s="1"/>
  <c r="H145" i="1"/>
  <c r="J145" i="1" s="1"/>
  <c r="J147" i="1"/>
  <c r="L147" i="1"/>
  <c r="J148" i="1"/>
  <c r="L148" i="1" s="1"/>
  <c r="J149" i="1"/>
  <c r="L149" i="1" s="1"/>
  <c r="J150" i="1"/>
  <c r="J151" i="1"/>
  <c r="L151" i="1" s="1"/>
  <c r="J152" i="1"/>
  <c r="L152" i="1" s="1"/>
  <c r="J153" i="1"/>
  <c r="L153" i="1" s="1"/>
  <c r="J154" i="1"/>
  <c r="L154" i="1" s="1"/>
  <c r="J155" i="1"/>
  <c r="L155" i="1" s="1"/>
  <c r="J156" i="1"/>
  <c r="L156" i="1" s="1"/>
  <c r="J157" i="1"/>
  <c r="L157" i="1" s="1"/>
  <c r="J158" i="1"/>
  <c r="L158" i="1" s="1"/>
  <c r="J159" i="1"/>
  <c r="L159" i="1" s="1"/>
  <c r="J160" i="1"/>
  <c r="L160" i="1" s="1"/>
  <c r="J161" i="1"/>
  <c r="L161" i="1"/>
  <c r="H162" i="1"/>
  <c r="J162" i="1" s="1"/>
  <c r="L162" i="1" s="1"/>
  <c r="J164" i="1"/>
  <c r="L164" i="1" s="1"/>
  <c r="J165" i="1"/>
  <c r="L165" i="1" s="1"/>
  <c r="J166" i="1"/>
  <c r="L166" i="1" s="1"/>
  <c r="J167" i="1"/>
  <c r="L167" i="1" s="1"/>
  <c r="J168" i="1"/>
  <c r="L168" i="1" s="1"/>
  <c r="J169" i="1"/>
  <c r="L169" i="1" s="1"/>
  <c r="J170" i="1"/>
  <c r="L170" i="1" s="1"/>
  <c r="J171" i="1"/>
  <c r="L171" i="1" s="1"/>
  <c r="J172" i="1"/>
  <c r="L172" i="1" s="1"/>
  <c r="J173" i="1"/>
  <c r="L173" i="1" s="1"/>
  <c r="J174" i="1"/>
  <c r="L174" i="1" s="1"/>
  <c r="J175" i="1"/>
  <c r="L175" i="1" s="1"/>
  <c r="J176" i="1"/>
  <c r="L176" i="1" s="1"/>
  <c r="J177" i="1"/>
  <c r="L177" i="1" s="1"/>
  <c r="J178" i="1"/>
  <c r="L178" i="1" s="1"/>
  <c r="H179" i="1"/>
  <c r="J179" i="1" s="1"/>
  <c r="L179" i="1" s="1"/>
  <c r="J181" i="1"/>
  <c r="L181" i="1" s="1"/>
  <c r="J182" i="1"/>
  <c r="L182" i="1" s="1"/>
  <c r="J183" i="1"/>
  <c r="L183" i="1" s="1"/>
  <c r="J184" i="1"/>
  <c r="L184" i="1" s="1"/>
  <c r="J185" i="1"/>
  <c r="L185" i="1" s="1"/>
  <c r="J186" i="1"/>
  <c r="L186" i="1" s="1"/>
  <c r="J187" i="1"/>
  <c r="L187" i="1" s="1"/>
  <c r="J188" i="1"/>
  <c r="L188" i="1" s="1"/>
  <c r="J189" i="1"/>
  <c r="L189" i="1" s="1"/>
  <c r="J190" i="1"/>
  <c r="L190" i="1" s="1"/>
  <c r="J191" i="1"/>
  <c r="L191" i="1" s="1"/>
  <c r="J192" i="1"/>
  <c r="L192" i="1" s="1"/>
  <c r="J193" i="1"/>
  <c r="L193" i="1" s="1"/>
  <c r="J194" i="1"/>
  <c r="L194" i="1" s="1"/>
  <c r="J195" i="1"/>
  <c r="L195" i="1" s="1"/>
  <c r="H196" i="1"/>
  <c r="H197" i="1" s="1"/>
  <c r="J198" i="1"/>
  <c r="L198" i="1" s="1"/>
  <c r="J199" i="1"/>
  <c r="L199" i="1" s="1"/>
  <c r="J200" i="1"/>
  <c r="L200" i="1" s="1"/>
  <c r="J201" i="1"/>
  <c r="L201" i="1" s="1"/>
  <c r="J202" i="1"/>
  <c r="L202" i="1" s="1"/>
  <c r="J203" i="1"/>
  <c r="L203" i="1" s="1"/>
  <c r="J204" i="1"/>
  <c r="L204" i="1" s="1"/>
  <c r="J205" i="1"/>
  <c r="L205" i="1" s="1"/>
  <c r="J206" i="1"/>
  <c r="L206" i="1"/>
  <c r="J207" i="1"/>
  <c r="L207" i="1" s="1"/>
  <c r="J208" i="1"/>
  <c r="L208" i="1" s="1"/>
  <c r="J209" i="1"/>
  <c r="L209" i="1" s="1"/>
  <c r="J210" i="1"/>
  <c r="L210" i="1" s="1"/>
  <c r="J211" i="1"/>
  <c r="L211" i="1" s="1"/>
  <c r="J212" i="1"/>
  <c r="L212" i="1" s="1"/>
  <c r="H213" i="1"/>
  <c r="J213" i="1" s="1"/>
  <c r="J215" i="1"/>
  <c r="L215" i="1" s="1"/>
  <c r="J216" i="1"/>
  <c r="L216" i="1" s="1"/>
  <c r="J217" i="1"/>
  <c r="L217" i="1" s="1"/>
  <c r="J218" i="1"/>
  <c r="L218" i="1" s="1"/>
  <c r="J219" i="1"/>
  <c r="L219" i="1" s="1"/>
  <c r="J220" i="1"/>
  <c r="L220" i="1" s="1"/>
  <c r="J221" i="1"/>
  <c r="L221" i="1" s="1"/>
  <c r="J222" i="1"/>
  <c r="L222" i="1" s="1"/>
  <c r="J223" i="1"/>
  <c r="L223" i="1" s="1"/>
  <c r="J224" i="1"/>
  <c r="L224" i="1" s="1"/>
  <c r="J225" i="1"/>
  <c r="L225" i="1" s="1"/>
  <c r="J226" i="1"/>
  <c r="L226" i="1" s="1"/>
  <c r="J227" i="1"/>
  <c r="L227" i="1" s="1"/>
  <c r="J228" i="1"/>
  <c r="L228" i="1" s="1"/>
  <c r="J229" i="1"/>
  <c r="L229" i="1" s="1"/>
  <c r="H230" i="1"/>
  <c r="J230" i="1" s="1"/>
  <c r="L230" i="1" s="1"/>
  <c r="J232" i="1"/>
  <c r="L232" i="1" s="1"/>
  <c r="J233" i="1"/>
  <c r="L233" i="1" s="1"/>
  <c r="J234" i="1"/>
  <c r="L234" i="1" s="1"/>
  <c r="J235" i="1"/>
  <c r="L235" i="1" s="1"/>
  <c r="J236" i="1"/>
  <c r="L236" i="1" s="1"/>
  <c r="J237" i="1"/>
  <c r="L237" i="1" s="1"/>
  <c r="J238" i="1"/>
  <c r="L238" i="1"/>
  <c r="J239" i="1"/>
  <c r="L239" i="1" s="1"/>
  <c r="J240" i="1"/>
  <c r="L240" i="1" s="1"/>
  <c r="J241" i="1"/>
  <c r="L241" i="1" s="1"/>
  <c r="J242" i="1"/>
  <c r="L242" i="1" s="1"/>
  <c r="J243" i="1"/>
  <c r="L243" i="1" s="1"/>
  <c r="J244" i="1"/>
  <c r="L244" i="1" s="1"/>
  <c r="J245" i="1"/>
  <c r="L245" i="1" s="1"/>
  <c r="J246" i="1"/>
  <c r="L246" i="1" s="1"/>
  <c r="H247" i="1"/>
  <c r="J249" i="1"/>
  <c r="L249" i="1" s="1"/>
  <c r="J250" i="1"/>
  <c r="L250" i="1" s="1"/>
  <c r="J251" i="1"/>
  <c r="L251" i="1" s="1"/>
  <c r="J252" i="1"/>
  <c r="L252" i="1" s="1"/>
  <c r="J253" i="1"/>
  <c r="L253" i="1" s="1"/>
  <c r="J254" i="1"/>
  <c r="L254" i="1" s="1"/>
  <c r="J255" i="1"/>
  <c r="L255" i="1" s="1"/>
  <c r="J256" i="1"/>
  <c r="L256" i="1" s="1"/>
  <c r="J257" i="1"/>
  <c r="L257" i="1" s="1"/>
  <c r="J258" i="1"/>
  <c r="L258" i="1" s="1"/>
  <c r="J259" i="1"/>
  <c r="L259" i="1" s="1"/>
  <c r="J260" i="1"/>
  <c r="L260" i="1" s="1"/>
  <c r="J261" i="1"/>
  <c r="L261" i="1" s="1"/>
  <c r="J262" i="1"/>
  <c r="L262" i="1" s="1"/>
  <c r="J263" i="1"/>
  <c r="L263" i="1" s="1"/>
  <c r="H264" i="1"/>
  <c r="J266" i="1"/>
  <c r="L266" i="1" s="1"/>
  <c r="J267" i="1"/>
  <c r="L267" i="1" s="1"/>
  <c r="J268" i="1"/>
  <c r="L268" i="1" s="1"/>
  <c r="J269" i="1"/>
  <c r="L269" i="1" s="1"/>
  <c r="J270" i="1"/>
  <c r="L270" i="1" s="1"/>
  <c r="J271" i="1"/>
  <c r="L271" i="1" s="1"/>
  <c r="J272" i="1"/>
  <c r="L272" i="1" s="1"/>
  <c r="J273" i="1"/>
  <c r="L273" i="1" s="1"/>
  <c r="J274" i="1"/>
  <c r="L274" i="1" s="1"/>
  <c r="J275" i="1"/>
  <c r="L275" i="1" s="1"/>
  <c r="J276" i="1"/>
  <c r="L276" i="1" s="1"/>
  <c r="J277" i="1"/>
  <c r="L277" i="1" s="1"/>
  <c r="J278" i="1"/>
  <c r="L278" i="1" s="1"/>
  <c r="J279" i="1"/>
  <c r="L279" i="1" s="1"/>
  <c r="J280" i="1"/>
  <c r="L280" i="1" s="1"/>
  <c r="H281" i="1"/>
  <c r="H282" i="1" s="1"/>
  <c r="J283" i="1"/>
  <c r="L283" i="1" s="1"/>
  <c r="J284" i="1"/>
  <c r="L284" i="1" s="1"/>
  <c r="J285" i="1"/>
  <c r="L285" i="1" s="1"/>
  <c r="J286" i="1"/>
  <c r="L286" i="1" s="1"/>
  <c r="J287" i="1"/>
  <c r="L287" i="1" s="1"/>
  <c r="J288" i="1"/>
  <c r="L288" i="1" s="1"/>
  <c r="J289" i="1"/>
  <c r="L289" i="1" s="1"/>
  <c r="J290" i="1"/>
  <c r="L290" i="1" s="1"/>
  <c r="J291" i="1"/>
  <c r="L291" i="1" s="1"/>
  <c r="J292" i="1"/>
  <c r="L292" i="1" s="1"/>
  <c r="J293" i="1"/>
  <c r="L293" i="1" s="1"/>
  <c r="J294" i="1"/>
  <c r="L294" i="1" s="1"/>
  <c r="J295" i="1"/>
  <c r="L295" i="1" s="1"/>
  <c r="J296" i="1"/>
  <c r="L296" i="1" s="1"/>
  <c r="J297" i="1"/>
  <c r="L297" i="1" s="1"/>
  <c r="H298" i="1"/>
  <c r="J298" i="1" s="1"/>
  <c r="L298" i="1" s="1"/>
  <c r="J300" i="1"/>
  <c r="L300" i="1" s="1"/>
  <c r="J301" i="1"/>
  <c r="L301" i="1" s="1"/>
  <c r="J302" i="1"/>
  <c r="L302" i="1" s="1"/>
  <c r="J303" i="1"/>
  <c r="L303" i="1" s="1"/>
  <c r="J304" i="1"/>
  <c r="L304" i="1" s="1"/>
  <c r="J305" i="1"/>
  <c r="L305" i="1" s="1"/>
  <c r="J306" i="1"/>
  <c r="L306" i="1" s="1"/>
  <c r="J307" i="1"/>
  <c r="L307" i="1" s="1"/>
  <c r="J308" i="1"/>
  <c r="L308" i="1" s="1"/>
  <c r="J309" i="1"/>
  <c r="L309" i="1" s="1"/>
  <c r="J310" i="1"/>
  <c r="L310" i="1" s="1"/>
  <c r="J311" i="1"/>
  <c r="L311" i="1" s="1"/>
  <c r="J312" i="1"/>
  <c r="L312" i="1" s="1"/>
  <c r="J313" i="1"/>
  <c r="L313" i="1" s="1"/>
  <c r="J314" i="1"/>
  <c r="L314" i="1" s="1"/>
  <c r="J315" i="1"/>
  <c r="L315" i="1" s="1"/>
  <c r="H316" i="1"/>
  <c r="J316" i="1" s="1"/>
  <c r="L316" i="1" s="1"/>
  <c r="J318" i="1"/>
  <c r="L318" i="1" s="1"/>
  <c r="J319" i="1"/>
  <c r="L319" i="1" s="1"/>
  <c r="J320" i="1"/>
  <c r="L320" i="1" s="1"/>
  <c r="J321" i="1"/>
  <c r="L321" i="1" s="1"/>
  <c r="J322" i="1"/>
  <c r="L322" i="1" s="1"/>
  <c r="J323" i="1"/>
  <c r="L323" i="1" s="1"/>
  <c r="J324" i="1"/>
  <c r="L324" i="1" s="1"/>
  <c r="J325" i="1"/>
  <c r="L325" i="1" s="1"/>
  <c r="J326" i="1"/>
  <c r="L326" i="1" s="1"/>
  <c r="J327" i="1"/>
  <c r="L327" i="1" s="1"/>
  <c r="J328" i="1"/>
  <c r="L328" i="1" s="1"/>
  <c r="J329" i="1"/>
  <c r="L329" i="1" s="1"/>
  <c r="J330" i="1"/>
  <c r="L330" i="1" s="1"/>
  <c r="J331" i="1"/>
  <c r="L331" i="1" s="1"/>
  <c r="J332" i="1"/>
  <c r="L332" i="1" s="1"/>
  <c r="J333" i="1"/>
  <c r="L333" i="1" s="1"/>
  <c r="J334" i="1"/>
  <c r="L334" i="1" s="1"/>
  <c r="J336" i="1"/>
  <c r="L336" i="1" s="1"/>
  <c r="J337" i="1"/>
  <c r="L337" i="1" s="1"/>
  <c r="J338" i="1"/>
  <c r="L338" i="1" s="1"/>
  <c r="J339" i="1"/>
  <c r="L339" i="1" s="1"/>
  <c r="J340" i="1"/>
  <c r="L340" i="1" s="1"/>
  <c r="J341" i="1"/>
  <c r="L341" i="1" s="1"/>
  <c r="J342" i="1"/>
  <c r="L342" i="1" s="1"/>
  <c r="J343" i="1"/>
  <c r="L343" i="1" s="1"/>
  <c r="J344" i="1"/>
  <c r="L344" i="1" s="1"/>
  <c r="J345" i="1"/>
  <c r="L345" i="1" s="1"/>
  <c r="J346" i="1"/>
  <c r="L346" i="1" s="1"/>
  <c r="J347" i="1"/>
  <c r="L347" i="1" s="1"/>
  <c r="J348" i="1"/>
  <c r="L348" i="1" s="1"/>
  <c r="J349" i="1"/>
  <c r="L349" i="1" s="1"/>
  <c r="J350" i="1"/>
  <c r="L350" i="1" s="1"/>
  <c r="J351" i="1"/>
  <c r="L351" i="1" s="1"/>
  <c r="J352" i="1"/>
  <c r="L352" i="1" s="1"/>
  <c r="J353" i="1"/>
  <c r="L353" i="1" s="1"/>
  <c r="J354" i="1"/>
  <c r="L354" i="1" s="1"/>
  <c r="J355" i="1"/>
  <c r="L355" i="1" s="1"/>
  <c r="J356" i="1"/>
  <c r="L356" i="1" s="1"/>
  <c r="J357" i="1"/>
  <c r="L357" i="1" s="1"/>
  <c r="J358" i="1"/>
  <c r="L358" i="1" s="1"/>
  <c r="J359" i="1"/>
  <c r="L359" i="1" s="1"/>
  <c r="J360" i="1"/>
  <c r="L360" i="1" s="1"/>
  <c r="J361" i="1"/>
  <c r="L361" i="1" s="1"/>
  <c r="J362" i="1"/>
  <c r="L362" i="1" s="1"/>
  <c r="J363" i="1"/>
  <c r="L363" i="1" s="1"/>
  <c r="J364" i="1"/>
  <c r="L364" i="1" s="1"/>
  <c r="J365" i="1"/>
  <c r="L365" i="1" s="1"/>
  <c r="J366" i="1"/>
  <c r="L366" i="1" s="1"/>
  <c r="J367" i="1"/>
  <c r="L367" i="1"/>
  <c r="J368" i="1"/>
  <c r="L368" i="1" s="1"/>
  <c r="J371" i="1"/>
  <c r="L371" i="1" s="1"/>
  <c r="J372" i="1"/>
  <c r="L372" i="1" s="1"/>
  <c r="J373" i="1"/>
  <c r="L373" i="1" s="1"/>
  <c r="J374" i="1"/>
  <c r="L374" i="1" s="1"/>
  <c r="J375" i="1"/>
  <c r="L375" i="1"/>
  <c r="J376" i="1"/>
  <c r="L376" i="1" s="1"/>
  <c r="J377" i="1"/>
  <c r="L377" i="1" s="1"/>
  <c r="J378" i="1"/>
  <c r="L378" i="1" s="1"/>
  <c r="J379" i="1"/>
  <c r="L379" i="1" s="1"/>
  <c r="J380" i="1"/>
  <c r="L380" i="1" s="1"/>
  <c r="J381" i="1"/>
  <c r="L381" i="1" s="1"/>
  <c r="J382" i="1"/>
  <c r="L382" i="1" s="1"/>
  <c r="J383" i="1"/>
  <c r="L383" i="1" s="1"/>
  <c r="J384" i="1"/>
  <c r="L384" i="1" s="1"/>
  <c r="J385" i="1"/>
  <c r="L385" i="1"/>
  <c r="J386" i="1"/>
  <c r="L386" i="1" s="1"/>
  <c r="J387" i="1"/>
  <c r="L387" i="1" s="1"/>
  <c r="J388" i="1"/>
  <c r="L388" i="1" s="1"/>
  <c r="J389" i="1"/>
  <c r="L389" i="1" s="1"/>
  <c r="J390" i="1"/>
  <c r="L390" i="1" s="1"/>
  <c r="J391" i="1"/>
  <c r="L391" i="1"/>
  <c r="J392" i="1"/>
  <c r="L392" i="1" s="1"/>
  <c r="J393" i="1"/>
  <c r="L393" i="1" s="1"/>
  <c r="J394" i="1"/>
  <c r="L394" i="1" s="1"/>
  <c r="J395" i="1"/>
  <c r="L395" i="1" s="1"/>
  <c r="J396" i="1"/>
  <c r="L396" i="1" s="1"/>
  <c r="J397" i="1"/>
  <c r="L397" i="1" s="1"/>
  <c r="J398" i="1"/>
  <c r="L398" i="1" s="1"/>
  <c r="J399" i="1"/>
  <c r="L399" i="1" s="1"/>
  <c r="J400" i="1"/>
  <c r="L400" i="1" s="1"/>
  <c r="J401" i="1"/>
  <c r="L401" i="1" s="1"/>
  <c r="J402" i="1"/>
  <c r="L402" i="1" s="1"/>
  <c r="J403" i="1"/>
  <c r="L403" i="1" s="1"/>
  <c r="J404" i="1"/>
  <c r="L404" i="1" s="1"/>
  <c r="J405" i="1"/>
  <c r="L405" i="1" s="1"/>
  <c r="J406" i="1"/>
  <c r="L406" i="1" s="1"/>
  <c r="J407" i="1"/>
  <c r="L407" i="1" s="1"/>
  <c r="J408" i="1"/>
  <c r="L408" i="1" s="1"/>
  <c r="J409" i="1"/>
  <c r="L409" i="1" s="1"/>
  <c r="J410" i="1"/>
  <c r="L410" i="1" s="1"/>
  <c r="J411" i="1"/>
  <c r="L411" i="1" s="1"/>
  <c r="J412" i="1"/>
  <c r="L412" i="1" s="1"/>
  <c r="J413" i="1"/>
  <c r="L413" i="1" s="1"/>
  <c r="J414" i="1"/>
  <c r="L414" i="1" s="1"/>
  <c r="J415" i="1"/>
  <c r="L415" i="1" s="1"/>
  <c r="J416" i="1"/>
  <c r="L416" i="1" s="1"/>
  <c r="J417" i="1"/>
  <c r="L417" i="1" s="1"/>
  <c r="J418" i="1"/>
  <c r="L418" i="1" s="1"/>
  <c r="J419" i="1"/>
  <c r="L419" i="1" s="1"/>
  <c r="J420" i="1"/>
  <c r="L420" i="1" s="1"/>
  <c r="J421" i="1"/>
  <c r="L421" i="1" s="1"/>
  <c r="J422" i="1"/>
  <c r="L422" i="1" s="1"/>
  <c r="J423" i="1"/>
  <c r="L423" i="1" s="1"/>
  <c r="J424" i="1"/>
  <c r="L424" i="1" s="1"/>
  <c r="J425" i="1"/>
  <c r="L425" i="1" s="1"/>
  <c r="J426" i="1"/>
  <c r="L426" i="1" s="1"/>
  <c r="J427" i="1"/>
  <c r="L427" i="1" s="1"/>
  <c r="J428" i="1"/>
  <c r="L428" i="1" s="1"/>
  <c r="J429" i="1"/>
  <c r="L429" i="1" s="1"/>
  <c r="J430" i="1"/>
  <c r="L430" i="1" s="1"/>
  <c r="J431" i="1"/>
  <c r="L431" i="1" s="1"/>
  <c r="J432" i="1"/>
  <c r="L432" i="1" s="1"/>
  <c r="J433" i="1"/>
  <c r="L433" i="1" s="1"/>
  <c r="J434" i="1"/>
  <c r="L434" i="1" s="1"/>
  <c r="J435" i="1"/>
  <c r="L435" i="1" s="1"/>
  <c r="J436" i="1"/>
  <c r="L436" i="1" s="1"/>
  <c r="J437" i="1"/>
  <c r="L437" i="1" s="1"/>
  <c r="J438" i="1"/>
  <c r="L438" i="1" s="1"/>
  <c r="J439" i="1"/>
  <c r="L439" i="1" s="1"/>
  <c r="J440" i="1"/>
  <c r="L440" i="1" s="1"/>
  <c r="J441" i="1"/>
  <c r="L441" i="1" s="1"/>
  <c r="J442" i="1"/>
  <c r="L442" i="1" s="1"/>
  <c r="J443" i="1"/>
  <c r="L443" i="1" s="1"/>
  <c r="J444" i="1"/>
  <c r="L444" i="1" s="1"/>
  <c r="J445" i="1"/>
  <c r="L445" i="1" s="1"/>
  <c r="J446" i="1"/>
  <c r="L446" i="1" s="1"/>
  <c r="J447" i="1"/>
  <c r="L447" i="1" s="1"/>
  <c r="J448" i="1"/>
  <c r="L448" i="1" s="1"/>
  <c r="J449" i="1"/>
  <c r="L449" i="1" s="1"/>
  <c r="J464" i="1"/>
  <c r="L464" i="1" s="1"/>
  <c r="J465" i="1"/>
  <c r="L465" i="1" s="1"/>
  <c r="J466" i="1"/>
  <c r="L466" i="1" s="1"/>
  <c r="J467" i="1"/>
  <c r="L467" i="1" s="1"/>
  <c r="J468" i="1"/>
  <c r="L468" i="1" s="1"/>
  <c r="J469" i="1"/>
  <c r="L469" i="1" s="1"/>
  <c r="J470" i="1"/>
  <c r="L470" i="1" s="1"/>
  <c r="J471" i="1"/>
  <c r="L471" i="1" s="1"/>
  <c r="J472" i="1"/>
  <c r="L472" i="1" s="1"/>
  <c r="J473" i="1"/>
  <c r="L473" i="1" s="1"/>
  <c r="J474" i="1"/>
  <c r="L474" i="1" s="1"/>
  <c r="J475" i="1"/>
  <c r="L475" i="1"/>
  <c r="J476" i="1"/>
  <c r="L476" i="1" s="1"/>
  <c r="J477" i="1"/>
  <c r="L477" i="1" s="1"/>
  <c r="J478" i="1"/>
  <c r="J479" i="1"/>
  <c r="L479" i="1" s="1"/>
  <c r="J480" i="1"/>
  <c r="L480" i="1" s="1"/>
  <c r="J481" i="1"/>
  <c r="L481" i="1" s="1"/>
  <c r="J482" i="1"/>
  <c r="L482" i="1" s="1"/>
  <c r="J483" i="1"/>
  <c r="L483" i="1" s="1"/>
  <c r="J484" i="1"/>
  <c r="L484" i="1" s="1"/>
  <c r="J485" i="1"/>
  <c r="L485" i="1" s="1"/>
  <c r="J486" i="1"/>
  <c r="L486" i="1" s="1"/>
  <c r="J487" i="1"/>
  <c r="L487" i="1" s="1"/>
  <c r="J488" i="1"/>
  <c r="L488" i="1" s="1"/>
  <c r="J489" i="1"/>
  <c r="L489" i="1" s="1"/>
  <c r="J490" i="1"/>
  <c r="L490" i="1" s="1"/>
  <c r="J491" i="1"/>
  <c r="L491" i="1" s="1"/>
  <c r="J492" i="1"/>
  <c r="L492" i="1" s="1"/>
  <c r="H493" i="1"/>
  <c r="J493" i="1" s="1"/>
  <c r="L493" i="1" s="1"/>
  <c r="J528" i="1"/>
  <c r="L528" i="1" s="1"/>
  <c r="J529" i="1"/>
  <c r="L529" i="1" s="1"/>
  <c r="J530" i="1"/>
  <c r="L530" i="1" s="1"/>
  <c r="J531" i="1"/>
  <c r="L531" i="1" s="1"/>
  <c r="J532" i="1"/>
  <c r="L532" i="1" s="1"/>
  <c r="J533" i="1"/>
  <c r="J534" i="1"/>
  <c r="L534" i="1" s="1"/>
  <c r="J535" i="1"/>
  <c r="L535" i="1" s="1"/>
  <c r="J536" i="1"/>
  <c r="L536" i="1" s="1"/>
  <c r="J537" i="1"/>
  <c r="L537" i="1" s="1"/>
  <c r="J538" i="1"/>
  <c r="L538" i="1" s="1"/>
  <c r="J539" i="1"/>
  <c r="L539" i="1" s="1"/>
  <c r="J540" i="1"/>
  <c r="L540" i="1" s="1"/>
  <c r="J541" i="1"/>
  <c r="L541" i="1" s="1"/>
  <c r="J542" i="1"/>
  <c r="L542" i="1" s="1"/>
  <c r="J543" i="1"/>
  <c r="L543" i="1" s="1"/>
  <c r="J544" i="1"/>
  <c r="L544" i="1" s="1"/>
  <c r="J545" i="1"/>
  <c r="L545" i="1" s="1"/>
  <c r="J546" i="1"/>
  <c r="L546" i="1" s="1"/>
  <c r="J547" i="1"/>
  <c r="L547" i="1" s="1"/>
  <c r="J548" i="1"/>
  <c r="L548" i="1" s="1"/>
  <c r="J549" i="1"/>
  <c r="L549" i="1" s="1"/>
  <c r="J550" i="1"/>
  <c r="L550" i="1" s="1"/>
  <c r="J551" i="1"/>
  <c r="L551" i="1" s="1"/>
  <c r="J552" i="1"/>
  <c r="L552" i="1" s="1"/>
  <c r="J553" i="1"/>
  <c r="L553" i="1" s="1"/>
  <c r="J554" i="1"/>
  <c r="L554" i="1" s="1"/>
  <c r="J555" i="1"/>
  <c r="L555" i="1" s="1"/>
  <c r="J556" i="1"/>
  <c r="L556" i="1" s="1"/>
  <c r="J557" i="1"/>
  <c r="L557" i="1"/>
  <c r="J558" i="1"/>
  <c r="L558" i="1" s="1"/>
  <c r="J559" i="1"/>
  <c r="L559" i="1" s="1"/>
  <c r="J560" i="1"/>
  <c r="L560" i="1" s="1"/>
  <c r="J561" i="1"/>
  <c r="L561" i="1"/>
  <c r="J562" i="1"/>
  <c r="L562" i="1" s="1"/>
  <c r="J563" i="1"/>
  <c r="L563" i="1" s="1"/>
  <c r="J564" i="1"/>
  <c r="L564" i="1" s="1"/>
  <c r="J565" i="1"/>
  <c r="L565" i="1" s="1"/>
  <c r="J566" i="1"/>
  <c r="L566" i="1" s="1"/>
  <c r="J567" i="1"/>
  <c r="L567" i="1" s="1"/>
  <c r="J568" i="1"/>
  <c r="L568" i="1" s="1"/>
  <c r="J569" i="1"/>
  <c r="L569" i="1" s="1"/>
  <c r="J570" i="1"/>
  <c r="L570" i="1" s="1"/>
  <c r="J571" i="1"/>
  <c r="L571" i="1" s="1"/>
  <c r="J572" i="1"/>
  <c r="L572" i="1" s="1"/>
  <c r="J573" i="1"/>
  <c r="L573" i="1" s="1"/>
  <c r="J574" i="1"/>
  <c r="L574" i="1" s="1"/>
  <c r="J575" i="1"/>
  <c r="L575" i="1" s="1"/>
  <c r="J576" i="1"/>
  <c r="L576" i="1" s="1"/>
  <c r="J577" i="1"/>
  <c r="L577" i="1" s="1"/>
  <c r="J578" i="1"/>
  <c r="L578" i="1" s="1"/>
  <c r="J579" i="1"/>
  <c r="L579" i="1" s="1"/>
  <c r="J580" i="1"/>
  <c r="L580" i="1" s="1"/>
  <c r="J581" i="1"/>
  <c r="L581" i="1" s="1"/>
  <c r="J582" i="1"/>
  <c r="L582" i="1" s="1"/>
  <c r="J583" i="1"/>
  <c r="L583" i="1" s="1"/>
  <c r="J584" i="1"/>
  <c r="L584" i="1" s="1"/>
  <c r="J585" i="1"/>
  <c r="L585" i="1" s="1"/>
  <c r="J586" i="1"/>
  <c r="L586" i="1" s="1"/>
  <c r="J587" i="1"/>
  <c r="L587" i="1" s="1"/>
  <c r="J588" i="1"/>
  <c r="L588" i="1" s="1"/>
  <c r="J589" i="1"/>
  <c r="L589" i="1" s="1"/>
  <c r="J590" i="1"/>
  <c r="L590" i="1" s="1"/>
  <c r="J591" i="1"/>
  <c r="L591" i="1" s="1"/>
  <c r="J592" i="1"/>
  <c r="L592" i="1" s="1"/>
  <c r="J594" i="1"/>
  <c r="L594" i="1" s="1"/>
  <c r="J595" i="1"/>
  <c r="L595" i="1" s="1"/>
  <c r="J596" i="1"/>
  <c r="L596" i="1" s="1"/>
  <c r="J597" i="1"/>
  <c r="L597" i="1" s="1"/>
  <c r="J598" i="1"/>
  <c r="L598" i="1" s="1"/>
  <c r="J599" i="1"/>
  <c r="L599" i="1" s="1"/>
  <c r="J600" i="1"/>
  <c r="L600" i="1" s="1"/>
  <c r="J601" i="1"/>
  <c r="L601" i="1" s="1"/>
  <c r="J602" i="1"/>
  <c r="L602" i="1" s="1"/>
  <c r="J603" i="1"/>
  <c r="L603" i="1" s="1"/>
  <c r="J604" i="1"/>
  <c r="L604" i="1" s="1"/>
  <c r="J605" i="1"/>
  <c r="L605" i="1" s="1"/>
  <c r="J606" i="1"/>
  <c r="L606" i="1" s="1"/>
  <c r="J607" i="1"/>
  <c r="L607" i="1" s="1"/>
  <c r="J608" i="1"/>
  <c r="J609" i="1"/>
  <c r="L609" i="1" s="1"/>
  <c r="J610" i="1"/>
  <c r="L610" i="1" s="1"/>
  <c r="J611" i="1"/>
  <c r="L611" i="1" s="1"/>
  <c r="J612" i="1"/>
  <c r="L612" i="1" s="1"/>
  <c r="J613" i="1"/>
  <c r="L613" i="1" s="1"/>
  <c r="J614" i="1"/>
  <c r="L614" i="1" s="1"/>
  <c r="J615" i="1"/>
  <c r="L615" i="1" s="1"/>
  <c r="J616" i="1"/>
  <c r="L616" i="1" s="1"/>
  <c r="J617" i="1"/>
  <c r="L617" i="1" s="1"/>
  <c r="J618" i="1"/>
  <c r="L618" i="1" s="1"/>
  <c r="J619" i="1"/>
  <c r="L619" i="1" s="1"/>
  <c r="J620" i="1"/>
  <c r="L620" i="1" s="1"/>
  <c r="J621" i="1"/>
  <c r="L621" i="1" s="1"/>
  <c r="J622" i="1"/>
  <c r="L622" i="1" s="1"/>
  <c r="J623" i="1"/>
  <c r="L623" i="1" s="1"/>
  <c r="J624" i="1"/>
  <c r="L624" i="1" s="1"/>
  <c r="J625" i="1"/>
  <c r="L625" i="1" s="1"/>
  <c r="J626" i="1"/>
  <c r="L626" i="1" s="1"/>
  <c r="J627" i="1"/>
  <c r="L627" i="1" s="1"/>
  <c r="J628" i="1"/>
  <c r="L628" i="1" s="1"/>
  <c r="J629" i="1"/>
  <c r="L629" i="1" s="1"/>
  <c r="J630" i="1"/>
  <c r="L630" i="1" s="1"/>
  <c r="J631" i="1"/>
  <c r="L631" i="1" s="1"/>
  <c r="J632" i="1"/>
  <c r="L632" i="1" s="1"/>
  <c r="J633" i="1"/>
  <c r="L633" i="1" s="1"/>
  <c r="J634" i="1"/>
  <c r="L634" i="1" s="1"/>
  <c r="J635" i="1"/>
  <c r="L635" i="1" s="1"/>
  <c r="J636" i="1"/>
  <c r="L636" i="1" s="1"/>
  <c r="J637" i="1"/>
  <c r="L637" i="1" s="1"/>
  <c r="J638" i="1"/>
  <c r="L638" i="1" s="1"/>
  <c r="H639" i="1"/>
  <c r="H640" i="1" s="1"/>
  <c r="J640" i="1" s="1"/>
  <c r="L640" i="1" s="1"/>
  <c r="J669" i="1"/>
  <c r="L669" i="1" s="1"/>
  <c r="J670" i="1"/>
  <c r="L670" i="1" s="1"/>
  <c r="J676" i="1"/>
  <c r="L676" i="1" s="1"/>
  <c r="J680" i="1"/>
  <c r="L680" i="1" s="1"/>
  <c r="J681" i="1"/>
  <c r="L681" i="1" s="1"/>
  <c r="H214" i="1"/>
  <c r="J214" i="1" s="1"/>
  <c r="H180" i="1"/>
  <c r="J180" i="1" s="1"/>
  <c r="L180" i="1" s="1"/>
  <c r="H494" i="1"/>
  <c r="J494" i="1" s="1"/>
  <c r="L494" i="1" s="1"/>
  <c r="L128" i="1"/>
  <c r="H317" i="1"/>
  <c r="J317" i="1" s="1"/>
  <c r="L317" i="1" s="1"/>
  <c r="H248" i="1"/>
  <c r="J248" i="1" s="1"/>
  <c r="J247" i="1"/>
  <c r="L247" i="1" s="1"/>
  <c r="J639" i="1" l="1"/>
  <c r="L639" i="1" s="1"/>
  <c r="K347" i="3"/>
  <c r="K352" i="3"/>
  <c r="K23" i="2" s="1"/>
  <c r="M23" i="2" s="1"/>
  <c r="N9" i="2" s="1"/>
  <c r="J82" i="5"/>
  <c r="K143" i="6"/>
  <c r="J689" i="1"/>
  <c r="L608" i="1"/>
  <c r="L689" i="1" s="1"/>
  <c r="L533" i="1"/>
  <c r="L150" i="1"/>
  <c r="L675" i="1"/>
  <c r="L478" i="1"/>
  <c r="L248" i="1"/>
  <c r="H299" i="1"/>
  <c r="J299" i="1" s="1"/>
  <c r="L299" i="1" s="1"/>
  <c r="K26" i="2"/>
  <c r="M26" i="2" s="1"/>
  <c r="K142" i="6"/>
  <c r="K25" i="2" s="1"/>
  <c r="M25" i="2" s="1"/>
  <c r="J81" i="5"/>
  <c r="K141" i="6"/>
  <c r="C12" i="2"/>
  <c r="E12" i="2" s="1"/>
  <c r="T112" i="4"/>
  <c r="J197" i="1"/>
  <c r="L197" i="1" s="1"/>
  <c r="J282" i="1"/>
  <c r="L282" i="1"/>
  <c r="H163" i="1"/>
  <c r="J163" i="1" s="1"/>
  <c r="L163" i="1" s="1"/>
  <c r="L145" i="1"/>
  <c r="J196" i="1"/>
  <c r="L196" i="1" s="1"/>
  <c r="H129" i="1"/>
  <c r="J129" i="1" s="1"/>
  <c r="H231" i="1"/>
  <c r="J231" i="1" s="1"/>
  <c r="L231" i="1" s="1"/>
  <c r="J281" i="1"/>
  <c r="L281" i="1" s="1"/>
  <c r="H146" i="1"/>
  <c r="L214" i="1"/>
  <c r="L213" i="1"/>
  <c r="H495" i="1"/>
  <c r="H265" i="1"/>
  <c r="J264" i="1"/>
  <c r="L264" i="1" s="1"/>
  <c r="K111" i="15"/>
  <c r="H641" i="1"/>
  <c r="K110" i="15"/>
  <c r="M22" i="2" l="1"/>
  <c r="N8" i="2" s="1"/>
  <c r="C11" i="2"/>
  <c r="E11" i="2" s="1"/>
  <c r="C9" i="2"/>
  <c r="E9" i="2" s="1"/>
  <c r="C10" i="2"/>
  <c r="E10" i="2" s="1"/>
  <c r="C22" i="2"/>
  <c r="E22" i="2" s="1"/>
  <c r="E21" i="2"/>
  <c r="L129" i="1"/>
  <c r="J146" i="1"/>
  <c r="J495" i="1"/>
  <c r="H496" i="1"/>
  <c r="J265" i="1"/>
  <c r="L265" i="1"/>
  <c r="J641" i="1"/>
  <c r="L641" i="1" s="1"/>
  <c r="H642" i="1"/>
  <c r="L495" i="1" l="1"/>
  <c r="L146" i="1"/>
  <c r="M24" i="2"/>
  <c r="J642" i="1"/>
  <c r="L642" i="1" s="1"/>
  <c r="H643" i="1"/>
  <c r="J496" i="1"/>
  <c r="H497" i="1"/>
  <c r="N10" i="2" l="1"/>
  <c r="H498" i="1"/>
  <c r="J497" i="1"/>
  <c r="L496" i="1"/>
  <c r="H644" i="1"/>
  <c r="J643" i="1"/>
  <c r="L643" i="1" s="1"/>
  <c r="L497" i="1" l="1"/>
  <c r="J644" i="1"/>
  <c r="L644" i="1" s="1"/>
  <c r="H645" i="1"/>
  <c r="J498" i="1"/>
  <c r="H499" i="1"/>
  <c r="J499" i="1" l="1"/>
  <c r="H500" i="1"/>
  <c r="L498" i="1"/>
  <c r="J645" i="1"/>
  <c r="L645" i="1" s="1"/>
  <c r="H646" i="1"/>
  <c r="L499" i="1" l="1"/>
  <c r="J646" i="1"/>
  <c r="L646" i="1" s="1"/>
  <c r="H647" i="1"/>
  <c r="H501" i="1"/>
  <c r="J500" i="1"/>
  <c r="L500" i="1" s="1"/>
  <c r="H502" i="1" l="1"/>
  <c r="J501" i="1"/>
  <c r="J647" i="1"/>
  <c r="L647" i="1" s="1"/>
  <c r="H648" i="1"/>
  <c r="L501" i="1" l="1"/>
  <c r="J648" i="1"/>
  <c r="L648" i="1" s="1"/>
  <c r="H649" i="1"/>
  <c r="J502" i="1"/>
  <c r="L502" i="1" s="1"/>
  <c r="H503" i="1"/>
  <c r="J503" i="1" l="1"/>
  <c r="H504" i="1"/>
  <c r="J649" i="1"/>
  <c r="L649" i="1" s="1"/>
  <c r="H650" i="1"/>
  <c r="L503" i="1" l="1"/>
  <c r="H651" i="1"/>
  <c r="J650" i="1"/>
  <c r="L650" i="1" s="1"/>
  <c r="H505" i="1"/>
  <c r="J504" i="1"/>
  <c r="L504" i="1" s="1"/>
  <c r="J505" i="1" l="1"/>
  <c r="L505" i="1" s="1"/>
  <c r="H506" i="1"/>
  <c r="H652" i="1"/>
  <c r="J651" i="1"/>
  <c r="L651" i="1" s="1"/>
  <c r="H653" i="1" l="1"/>
  <c r="J652" i="1"/>
  <c r="L652" i="1" s="1"/>
  <c r="J506" i="1"/>
  <c r="L506" i="1" s="1"/>
  <c r="H507" i="1"/>
  <c r="H508" i="1" l="1"/>
  <c r="J507" i="1"/>
  <c r="L507" i="1" s="1"/>
  <c r="J653" i="1"/>
  <c r="L653" i="1" s="1"/>
  <c r="H654" i="1"/>
  <c r="J654" i="1" l="1"/>
  <c r="L654" i="1" s="1"/>
  <c r="H655" i="1"/>
  <c r="H509" i="1"/>
  <c r="J508" i="1"/>
  <c r="L508" i="1" s="1"/>
  <c r="J509" i="1" l="1"/>
  <c r="L509" i="1" s="1"/>
  <c r="H510" i="1"/>
  <c r="H656" i="1"/>
  <c r="J655" i="1"/>
  <c r="L655" i="1" s="1"/>
  <c r="H657" i="1" l="1"/>
  <c r="J656" i="1"/>
  <c r="L656" i="1" s="1"/>
  <c r="J510" i="1"/>
  <c r="L510" i="1" s="1"/>
  <c r="H511" i="1"/>
  <c r="H512" i="1" l="1"/>
  <c r="J511" i="1"/>
  <c r="L511" i="1" s="1"/>
  <c r="J657" i="1"/>
  <c r="L657" i="1" s="1"/>
  <c r="H658" i="1"/>
  <c r="H659" i="1" l="1"/>
  <c r="J658" i="1"/>
  <c r="L658" i="1" s="1"/>
  <c r="H513" i="1"/>
  <c r="J512" i="1"/>
  <c r="L512" i="1" s="1"/>
  <c r="H514" i="1" l="1"/>
  <c r="J513" i="1"/>
  <c r="L513" i="1" s="1"/>
  <c r="H660" i="1"/>
  <c r="J659" i="1"/>
  <c r="L659" i="1" s="1"/>
  <c r="H661" i="1" l="1"/>
  <c r="J660" i="1"/>
  <c r="L660" i="1" s="1"/>
  <c r="J514" i="1"/>
  <c r="L514" i="1" s="1"/>
  <c r="H515" i="1"/>
  <c r="H516" i="1" l="1"/>
  <c r="J515" i="1"/>
  <c r="L515" i="1" s="1"/>
  <c r="J661" i="1"/>
  <c r="L661" i="1" s="1"/>
  <c r="H662" i="1"/>
  <c r="J662" i="1" l="1"/>
  <c r="L662" i="1" s="1"/>
  <c r="H663" i="1"/>
  <c r="H517" i="1"/>
  <c r="J516" i="1"/>
  <c r="L516" i="1" s="1"/>
  <c r="J517" i="1" l="1"/>
  <c r="L517" i="1" s="1"/>
  <c r="H518" i="1"/>
  <c r="J663" i="1"/>
  <c r="L663" i="1" s="1"/>
  <c r="H664" i="1"/>
  <c r="H665" i="1" l="1"/>
  <c r="J664" i="1"/>
  <c r="L664" i="1" s="1"/>
  <c r="J518" i="1"/>
  <c r="L518" i="1" s="1"/>
  <c r="H519" i="1"/>
  <c r="H520" i="1" l="1"/>
  <c r="J519" i="1"/>
  <c r="L519" i="1" s="1"/>
  <c r="J665" i="1"/>
  <c r="L665" i="1" s="1"/>
  <c r="H666" i="1"/>
  <c r="J666" i="1" l="1"/>
  <c r="L666" i="1" s="1"/>
  <c r="H667" i="1"/>
  <c r="H521" i="1"/>
  <c r="J520" i="1"/>
  <c r="L520" i="1" s="1"/>
  <c r="H522" i="1" l="1"/>
  <c r="J521" i="1"/>
  <c r="L521" i="1" s="1"/>
  <c r="J667" i="1"/>
  <c r="L667" i="1" s="1"/>
  <c r="H668" i="1"/>
  <c r="J668" i="1" s="1"/>
  <c r="L668" i="1" l="1"/>
  <c r="J522" i="1"/>
  <c r="L522" i="1" s="1"/>
  <c r="H523" i="1"/>
  <c r="H524" i="1" l="1"/>
  <c r="J523" i="1"/>
  <c r="L523" i="1" l="1"/>
  <c r="J524" i="1"/>
  <c r="L524" i="1" s="1"/>
  <c r="H525" i="1"/>
  <c r="J525" i="1" l="1"/>
  <c r="H526" i="1"/>
  <c r="J526" i="1" l="1"/>
  <c r="L526" i="1" s="1"/>
  <c r="H527" i="1"/>
  <c r="J527" i="1" s="1"/>
  <c r="L525" i="1"/>
  <c r="J687" i="1" l="1"/>
  <c r="J682" i="1"/>
  <c r="J685" i="1" s="1"/>
  <c r="M19" i="2" s="1"/>
  <c r="L527" i="1"/>
  <c r="L687" i="1" l="1"/>
  <c r="K21" i="2" s="1"/>
  <c r="M21" i="2" s="1"/>
  <c r="L682" i="1"/>
  <c r="L685" i="1" s="1"/>
  <c r="K20" i="2" s="1"/>
  <c r="C19" i="2"/>
  <c r="C6" i="2"/>
  <c r="C8" i="2"/>
  <c r="E8" i="2" s="1"/>
  <c r="C20" i="2" l="1"/>
  <c r="E20" i="2" s="1"/>
  <c r="C7" i="2"/>
  <c r="E7" i="2" s="1"/>
  <c r="M20" i="2"/>
  <c r="E6" i="2"/>
  <c r="C23" i="2"/>
  <c r="E19" i="2"/>
  <c r="E23" i="2" s="1"/>
  <c r="E13" i="2" l="1"/>
  <c r="C13" i="2"/>
  <c r="N7" i="2"/>
  <c r="N11" i="2" s="1"/>
  <c r="M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dznrxt</author>
    <author>Monika</author>
    <author>Kubica-Chowaniec, Monika</author>
  </authors>
  <commentList>
    <comment ref="D2" authorId="0" shapeId="0" xr:uid="{00000000-0006-0000-0100-000001000000}">
      <text>
        <r>
          <rPr>
            <b/>
            <sz val="8"/>
            <color indexed="81"/>
            <rFont val="Tahoma"/>
            <family val="2"/>
          </rPr>
          <t>dznrxt:</t>
        </r>
        <r>
          <rPr>
            <sz val="8"/>
            <color indexed="81"/>
            <rFont val="Tahoma"/>
            <family val="2"/>
          </rPr>
          <t xml:space="preserve">
Secção Minima</t>
        </r>
      </text>
    </comment>
    <comment ref="E2" authorId="0" shapeId="0" xr:uid="{00000000-0006-0000-0100-000002000000}">
      <text>
        <r>
          <rPr>
            <b/>
            <sz val="8"/>
            <color indexed="81"/>
            <rFont val="Tahoma"/>
            <family val="2"/>
          </rPr>
          <t>dznrxt:</t>
        </r>
        <r>
          <rPr>
            <sz val="8"/>
            <color indexed="81"/>
            <rFont val="Tahoma"/>
            <family val="2"/>
          </rPr>
          <t xml:space="preserve">
Secção Max</t>
        </r>
      </text>
    </comment>
    <comment ref="A594" authorId="1" shapeId="0" xr:uid="{00000000-0006-0000-0100-000003000000}">
      <text>
        <r>
          <rPr>
            <sz val="8"/>
            <color indexed="81"/>
            <rFont val="Tahoma"/>
            <family val="2"/>
          </rPr>
          <t xml:space="preserve">
If it is validated only for NA region</t>
        </r>
      </text>
    </comment>
    <comment ref="H675" authorId="2" shapeId="0" xr:uid="{00000000-0006-0000-0100-000004000000}">
      <text>
        <r>
          <rPr>
            <b/>
            <sz val="9"/>
            <color indexed="81"/>
            <rFont val="Tahoma"/>
            <family val="2"/>
            <charset val="238"/>
          </rPr>
          <t>the smallest standard for regular cutter for gages up to 6 mm</t>
        </r>
        <r>
          <rPr>
            <b/>
            <sz val="9"/>
            <color indexed="81"/>
            <rFont val="Calibri"/>
            <family val="2"/>
            <charset val="238"/>
          </rPr>
          <t>²</t>
        </r>
      </text>
    </comment>
    <comment ref="H676" authorId="2" shapeId="0" xr:uid="{00000000-0006-0000-0100-000005000000}">
      <text>
        <r>
          <rPr>
            <b/>
            <sz val="9"/>
            <color indexed="81"/>
            <rFont val="Tahoma"/>
            <family val="2"/>
            <charset val="238"/>
          </rPr>
          <t>the smallest standard for regular heavy gage cutter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Kubica-Chowaniec, Monika</author>
    <author>dznrxt</author>
    <author>gerardo lopez</author>
    <author>Monika</author>
  </authors>
  <commentList>
    <comment ref="A23" authorId="0" shapeId="0" xr:uid="{00000000-0006-0000-0200-000001000000}">
      <text>
        <r>
          <rPr>
            <b/>
            <sz val="9"/>
            <color indexed="81"/>
            <rFont val="Tahoma"/>
            <family val="2"/>
            <charset val="238"/>
          </rPr>
          <t>For NA Region only</t>
        </r>
        <r>
          <rPr>
            <sz val="9"/>
            <color indexed="81"/>
            <rFont val="Tahoma"/>
            <family val="2"/>
            <charset val="238"/>
          </rPr>
          <t xml:space="preserve">
</t>
        </r>
      </text>
    </comment>
    <comment ref="B36" authorId="0" shapeId="0" xr:uid="{00000000-0006-0000-0200-000002000000}">
      <text>
        <r>
          <rPr>
            <b/>
            <sz val="9"/>
            <color indexed="81"/>
            <rFont val="Tahoma"/>
            <family val="2"/>
            <charset val="238"/>
          </rPr>
          <t>make pieces of terostat by hand and weight according to BOM specification</t>
        </r>
      </text>
    </comment>
    <comment ref="A127" authorId="1" shapeId="0" xr:uid="{00000000-0006-0000-0200-000003000000}">
      <text>
        <r>
          <rPr>
            <b/>
            <sz val="8"/>
            <color indexed="81"/>
            <rFont val="Tahoma"/>
            <family val="2"/>
          </rPr>
          <t>dznrxt:</t>
        </r>
        <r>
          <rPr>
            <sz val="8"/>
            <color indexed="81"/>
            <rFont val="Tahoma"/>
            <family val="2"/>
          </rPr>
          <t xml:space="preserve">
COAXIAL</t>
        </r>
      </text>
    </comment>
    <comment ref="B149" authorId="0" shapeId="0" xr:uid="{00000000-0006-0000-0200-000004000000}">
      <text>
        <r>
          <rPr>
            <b/>
            <sz val="9"/>
            <color indexed="81"/>
            <rFont val="Tahoma"/>
            <family val="2"/>
            <charset val="238"/>
          </rPr>
          <t>EXAMPLE: if we have 3 wires in 0,13 butt splice consider 3 + 1 (3 to represent wires + 1 additional to represent the looping)</t>
        </r>
        <r>
          <rPr>
            <sz val="9"/>
            <color indexed="81"/>
            <rFont val="Tahoma"/>
            <family val="2"/>
            <charset val="238"/>
          </rPr>
          <t xml:space="preserve">
</t>
        </r>
      </text>
    </comment>
    <comment ref="B156" authorId="0" shapeId="0" xr:uid="{00000000-0006-0000-0200-000005000000}">
      <text>
        <r>
          <rPr>
            <b/>
            <sz val="9"/>
            <color indexed="81"/>
            <rFont val="Tahoma"/>
            <family val="2"/>
            <charset val="238"/>
          </rPr>
          <t>Mspec approved: M0537401; M0537301; M46310X3; M46310X8; M4666005; M4482005; M5748001; M4983303</t>
        </r>
        <r>
          <rPr>
            <sz val="9"/>
            <color indexed="81"/>
            <rFont val="Tahoma"/>
            <family val="2"/>
            <charset val="238"/>
          </rPr>
          <t xml:space="preserve">
</t>
        </r>
      </text>
    </comment>
    <comment ref="A180" authorId="2" shapeId="0" xr:uid="{00000000-0006-0000-0200-000006000000}">
      <text>
        <r>
          <rPr>
            <b/>
            <sz val="8"/>
            <color indexed="81"/>
            <rFont val="Tahoma"/>
            <family val="2"/>
          </rPr>
          <t>gerardo lopez:</t>
        </r>
        <r>
          <rPr>
            <sz val="8"/>
            <color indexed="81"/>
            <rFont val="Tahoma"/>
            <family val="2"/>
          </rPr>
          <t xml:space="preserve">
VARIAC ON GROUND TERM</t>
        </r>
      </text>
    </comment>
    <comment ref="A208" authorId="3" shapeId="0" xr:uid="{00000000-0006-0000-0200-000007000000}">
      <text>
        <r>
          <rPr>
            <b/>
            <sz val="8"/>
            <color indexed="81"/>
            <rFont val="Tahoma"/>
            <family val="2"/>
          </rPr>
          <t>If it is validated for AP region</t>
        </r>
        <r>
          <rPr>
            <sz val="8"/>
            <color indexed="81"/>
            <rFont val="Tahoma"/>
            <family val="2"/>
          </rPr>
          <t xml:space="preserve">
</t>
        </r>
      </text>
    </comment>
    <comment ref="A251" authorId="3" shapeId="0" xr:uid="{00000000-0006-0000-0200-000008000000}">
      <text>
        <r>
          <rPr>
            <b/>
            <sz val="8"/>
            <color indexed="81"/>
            <rFont val="Tahoma"/>
            <family val="2"/>
          </rPr>
          <t>If it is validated only for NA region</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Kubica-Chowaniec, Monika</author>
    <author>dznrxt</author>
    <author>gerardo lopez</author>
    <author>Monika</author>
  </authors>
  <commentList>
    <comment ref="A23" authorId="0" shapeId="0" xr:uid="{32BD9F30-1787-4AA1-AFD5-EDE1F956DA08}">
      <text>
        <r>
          <rPr>
            <b/>
            <sz val="9"/>
            <color indexed="81"/>
            <rFont val="Tahoma"/>
            <family val="2"/>
            <charset val="238"/>
          </rPr>
          <t>For NA Region only</t>
        </r>
        <r>
          <rPr>
            <sz val="9"/>
            <color indexed="81"/>
            <rFont val="Tahoma"/>
            <family val="2"/>
            <charset val="238"/>
          </rPr>
          <t xml:space="preserve">
</t>
        </r>
      </text>
    </comment>
    <comment ref="B36" authorId="0" shapeId="0" xr:uid="{F4CFAC01-0172-4ED2-8A03-36EF1811CA38}">
      <text>
        <r>
          <rPr>
            <b/>
            <sz val="9"/>
            <color indexed="81"/>
            <rFont val="Tahoma"/>
            <family val="2"/>
            <charset val="238"/>
          </rPr>
          <t>make pieces of terostat by hand and weight according to BOM specification</t>
        </r>
      </text>
    </comment>
    <comment ref="A127" authorId="1" shapeId="0" xr:uid="{69214002-B17E-4FA7-BD51-B7880050902B}">
      <text>
        <r>
          <rPr>
            <b/>
            <sz val="8"/>
            <color indexed="81"/>
            <rFont val="Tahoma"/>
            <family val="2"/>
          </rPr>
          <t>dznrxt:</t>
        </r>
        <r>
          <rPr>
            <sz val="8"/>
            <color indexed="81"/>
            <rFont val="Tahoma"/>
            <family val="2"/>
          </rPr>
          <t xml:space="preserve">
COAXIAL</t>
        </r>
      </text>
    </comment>
    <comment ref="B149" authorId="0" shapeId="0" xr:uid="{020A8BAE-91AC-4947-8D19-DAAE172F7CD1}">
      <text>
        <r>
          <rPr>
            <b/>
            <sz val="9"/>
            <color indexed="81"/>
            <rFont val="Tahoma"/>
            <family val="2"/>
            <charset val="238"/>
          </rPr>
          <t>EXAMPLE: if we have 3 wires in 0,13 butt splice consider 3 + 1 (3 to represent wires + 1 additional to represent the looping)</t>
        </r>
        <r>
          <rPr>
            <sz val="9"/>
            <color indexed="81"/>
            <rFont val="Tahoma"/>
            <family val="2"/>
            <charset val="238"/>
          </rPr>
          <t xml:space="preserve">
</t>
        </r>
      </text>
    </comment>
    <comment ref="B156" authorId="0" shapeId="0" xr:uid="{1BB4E882-D4D7-44A4-A96D-B3237EB541A2}">
      <text>
        <r>
          <rPr>
            <b/>
            <sz val="9"/>
            <color indexed="81"/>
            <rFont val="Tahoma"/>
            <family val="2"/>
            <charset val="238"/>
          </rPr>
          <t>Mspec approved: M0537401; M0537301; M46310X3; M46310X8; M4666005; M4482005; M5748001; M4983303</t>
        </r>
        <r>
          <rPr>
            <sz val="9"/>
            <color indexed="81"/>
            <rFont val="Tahoma"/>
            <family val="2"/>
            <charset val="238"/>
          </rPr>
          <t xml:space="preserve">
</t>
        </r>
      </text>
    </comment>
    <comment ref="A180" authorId="2" shapeId="0" xr:uid="{19F4463F-E29F-412A-A91C-DF5F873F8280}">
      <text>
        <r>
          <rPr>
            <b/>
            <sz val="8"/>
            <color indexed="81"/>
            <rFont val="Tahoma"/>
            <family val="2"/>
          </rPr>
          <t>gerardo lopez:</t>
        </r>
        <r>
          <rPr>
            <sz val="8"/>
            <color indexed="81"/>
            <rFont val="Tahoma"/>
            <family val="2"/>
          </rPr>
          <t xml:space="preserve">
VARIAC ON GROUND TERM</t>
        </r>
      </text>
    </comment>
    <comment ref="A208" authorId="3" shapeId="0" xr:uid="{D39BB551-2F35-41BE-BFF3-D1FDBDE36D3D}">
      <text>
        <r>
          <rPr>
            <b/>
            <sz val="8"/>
            <color indexed="81"/>
            <rFont val="Tahoma"/>
            <family val="2"/>
          </rPr>
          <t>If it is validated for AP region</t>
        </r>
        <r>
          <rPr>
            <sz val="8"/>
            <color indexed="81"/>
            <rFont val="Tahoma"/>
            <family val="2"/>
          </rPr>
          <t xml:space="preserve">
</t>
        </r>
      </text>
    </comment>
    <comment ref="A251" authorId="3" shapeId="0" xr:uid="{03BBB54F-4206-4C1C-8C9B-A517EED1898C}">
      <text>
        <r>
          <rPr>
            <b/>
            <sz val="8"/>
            <color indexed="81"/>
            <rFont val="Tahoma"/>
            <family val="2"/>
          </rPr>
          <t>If it is validated only for NA region</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Kubica-Chowaniec, Monika</author>
    <author>User</author>
  </authors>
  <commentList>
    <comment ref="I79" authorId="0" shapeId="0" xr:uid="{00000000-0006-0000-0700-000001000000}">
      <text>
        <r>
          <rPr>
            <b/>
            <sz val="9"/>
            <color indexed="81"/>
            <rFont val="Tahoma"/>
            <family val="2"/>
            <charset val="238"/>
          </rPr>
          <t>example: all wires black, all wires white, all wires in the harness black or red; any marking(text or dots made with marker) on the insulation not allowed</t>
        </r>
      </text>
    </comment>
    <comment ref="I84" authorId="1" shapeId="0" xr:uid="{00000000-0006-0000-0700-000002000000}">
      <text>
        <r>
          <rPr>
            <b/>
            <sz val="12"/>
            <color indexed="81"/>
            <rFont val="Tahoma"/>
            <family val="2"/>
          </rPr>
          <t xml:space="preserve">Ex, p/n 15340012, 10889807, 15430680, 12015792, family:HDP20 </t>
        </r>
        <r>
          <rPr>
            <sz val="8"/>
            <color indexed="81"/>
            <rFont val="Tahoma"/>
            <family val="2"/>
          </rPr>
          <t xml:space="preserve">
</t>
        </r>
      </text>
    </comment>
    <comment ref="I85" authorId="0" shapeId="0" xr:uid="{00000000-0006-0000-0700-000003000000}">
      <text>
        <r>
          <rPr>
            <sz val="9"/>
            <color indexed="81"/>
            <rFont val="Tahoma"/>
            <family val="2"/>
            <charset val="238"/>
          </rPr>
          <t xml:space="preserve">Terminals in SA &amp; AP region:
PLUG IN TERMINAL WITH TOOL:
15326427; 13599862; 13799667; 13799667; 13799667; 15418893; 13793941; 15395941; 12162232; 13669608; 15380905; 13669608; 15396712; 13733481; 15396711; 15482337; 15327975; 15327976; 10768580; 10768580; 13733481; 15396711; 13802515; 13930354  and in addition all 0.13 gauges for SA Region 
  </t>
        </r>
      </text>
    </comment>
    <comment ref="A97" authorId="0" shapeId="0" xr:uid="{00000000-0006-0000-0700-000004000000}">
      <text>
        <r>
          <rPr>
            <b/>
            <sz val="9"/>
            <color indexed="81"/>
            <rFont val="Tahoma"/>
            <family val="2"/>
            <charset val="238"/>
          </rPr>
          <t>Kubica-Chowaniec, Monika:</t>
        </r>
        <r>
          <rPr>
            <sz val="9"/>
            <color indexed="81"/>
            <rFont val="Tahoma"/>
            <family val="2"/>
            <charset val="238"/>
          </rPr>
          <t xml:space="preserve">
for AP Region applicable only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szjwkh</author>
    <author>Monika</author>
    <author>User</author>
    <author>Windows User</author>
  </authors>
  <commentList>
    <comment ref="G4" authorId="0" shapeId="0" xr:uid="{00000000-0006-0000-0800-000001000000}">
      <text>
        <r>
          <rPr>
            <b/>
            <sz val="11"/>
            <color indexed="57"/>
            <rFont val="Tahoma"/>
            <family val="2"/>
          </rPr>
          <t>szjwkh:</t>
        </r>
        <r>
          <rPr>
            <sz val="11"/>
            <color indexed="57"/>
            <rFont val="Tahoma"/>
            <family val="2"/>
          </rPr>
          <t xml:space="preserve">
for Ondal autotaper or similar </t>
        </r>
      </text>
    </comment>
    <comment ref="D10" authorId="1" shapeId="0" xr:uid="{00000000-0006-0000-0800-000002000000}">
      <text>
        <r>
          <rPr>
            <b/>
            <sz val="8"/>
            <color indexed="81"/>
            <rFont val="Tahoma"/>
            <family val="2"/>
          </rPr>
          <t>the operation was splited to 2 steps due to GSD programming</t>
        </r>
        <r>
          <rPr>
            <sz val="8"/>
            <color indexed="81"/>
            <rFont val="Tahoma"/>
            <family val="2"/>
          </rPr>
          <t xml:space="preserve">
(tape on body clip)</t>
        </r>
      </text>
    </comment>
    <comment ref="C17" authorId="2" shapeId="0" xr:uid="{00000000-0006-0000-0800-000003000000}">
      <text>
        <r>
          <rPr>
            <sz val="11"/>
            <color indexed="81"/>
            <rFont val="Tahoma"/>
            <family val="2"/>
          </rPr>
          <t xml:space="preserve">OVERLAP / SOLID TAPING: 
 TAPE MUST BE APPLIED SNUGLY TO W/A SO IT 
 WILL NOT OPEN WHEN THE W/A IS BENT 
START &amp; STOP OF TAPE MUST BE SECURE AND
 HAVE ONE FULL OVERLAP
EACH SUCCEEDING WRAP OF TAPE MUST OVERLAP
  THE PREVIOUS WRAP 1/3 WRAP MINIMUM.  
FULL TAPING:
EACH SUCCEEDING WRAP OF TAPE MAY TOUCH THE PREVIOUS WRAP
START &amp; STOP OF TAPE MUST BE SECURE
</t>
        </r>
        <r>
          <rPr>
            <sz val="8"/>
            <color indexed="81"/>
            <rFont val="Tahoma"/>
            <family val="2"/>
          </rPr>
          <t xml:space="preserve">
</t>
        </r>
      </text>
    </comment>
    <comment ref="C31" authorId="3" shapeId="0" xr:uid="{00000000-0006-0000-0800-000004000000}">
      <text>
        <r>
          <rPr>
            <b/>
            <sz val="9"/>
            <color indexed="81"/>
            <rFont val="Tahoma"/>
            <family val="2"/>
            <charset val="238"/>
          </rPr>
          <t>Windows User:</t>
        </r>
        <r>
          <rPr>
            <sz val="9"/>
            <color indexed="81"/>
            <rFont val="Tahoma"/>
            <family val="2"/>
            <charset val="238"/>
          </rPr>
          <t xml:space="preserve">
Tape with one adhesive strip at the edges  (right fase up and  left fase down or viceversa ).
M48270  R1 / L1</t>
        </r>
      </text>
    </comment>
    <comment ref="C32" authorId="3" shapeId="0" xr:uid="{00000000-0006-0000-0800-000005000000}">
      <text>
        <r>
          <rPr>
            <b/>
            <sz val="9"/>
            <color indexed="81"/>
            <rFont val="Tahoma"/>
            <family val="2"/>
            <charset val="238"/>
          </rPr>
          <t>Windows User:</t>
        </r>
        <r>
          <rPr>
            <sz val="9"/>
            <color indexed="81"/>
            <rFont val="Tahoma"/>
            <family val="2"/>
            <charset val="238"/>
          </rPr>
          <t xml:space="preserve">
Tape with one adhesive strip at the edges  (right fase up and  left fase down or viceversa ).
M48270  R1 / L1
M42060  R1 / L1
 M6484 </t>
        </r>
      </text>
    </comment>
    <comment ref="C63" authorId="1" shapeId="0" xr:uid="{00000000-0006-0000-0800-000006000000}">
      <text>
        <r>
          <rPr>
            <b/>
            <sz val="8"/>
            <color indexed="81"/>
            <rFont val="Tahoma"/>
            <family val="2"/>
          </rPr>
          <t>the operation was splited to 2 steps due to GSD programming</t>
        </r>
        <r>
          <rPr>
            <sz val="8"/>
            <color indexed="81"/>
            <rFont val="Tahoma"/>
            <family val="2"/>
          </rPr>
          <t xml:space="preserve">
</t>
        </r>
      </text>
    </comment>
    <comment ref="D73" authorId="1" shapeId="0" xr:uid="{00000000-0006-0000-0800-000007000000}">
      <text>
        <r>
          <rPr>
            <b/>
            <sz val="8"/>
            <color indexed="81"/>
            <rFont val="Tahoma"/>
            <family val="2"/>
          </rPr>
          <t>Mspec's defined by Regions:</t>
        </r>
        <r>
          <rPr>
            <sz val="8"/>
            <color indexed="81"/>
            <rFont val="Tahoma"/>
            <family val="2"/>
          </rPr>
          <t xml:space="preserve">
</t>
        </r>
        <r>
          <rPr>
            <b/>
            <sz val="8"/>
            <color indexed="81"/>
            <rFont val="Tahoma"/>
            <family val="2"/>
          </rPr>
          <t xml:space="preserve">Global: </t>
        </r>
        <r>
          <rPr>
            <sz val="8"/>
            <color indexed="81"/>
            <rFont val="Tahoma"/>
            <family val="2"/>
          </rPr>
          <t xml:space="preserve">M4881; M0988; M4827; M4206; M1145; M0987;  M5725;  M5748; M0959; M1984; M4476; M4482;  M4661;  M4931;  M6241; M4112; M6484002; M6484
</t>
        </r>
        <r>
          <rPr>
            <b/>
            <sz val="8"/>
            <color indexed="81"/>
            <rFont val="Tahoma"/>
            <family val="2"/>
          </rPr>
          <t xml:space="preserve">Cut in AP: </t>
        </r>
        <r>
          <rPr>
            <sz val="8"/>
            <color indexed="81"/>
            <rFont val="Tahoma"/>
            <family val="2"/>
          </rPr>
          <t xml:space="preserve">M1176; M5209; M6489001; M6214005;
</t>
        </r>
        <r>
          <rPr>
            <b/>
            <sz val="8"/>
            <color indexed="81"/>
            <rFont val="Tahoma"/>
            <family val="2"/>
          </rPr>
          <t xml:space="preserve">Cut in EU (when requested by Customer): </t>
        </r>
        <r>
          <rPr>
            <sz val="8"/>
            <color indexed="81"/>
            <rFont val="Tahoma"/>
            <family val="2"/>
          </rPr>
          <t xml:space="preserve"> M4631; M1994; M4061; M4660; M4672; M4684; M4831; M4973; M5726; M5917</t>
        </r>
      </text>
    </comment>
    <comment ref="D74" authorId="1" shapeId="0" xr:uid="{00000000-0006-0000-0800-000008000000}">
      <text>
        <r>
          <rPr>
            <b/>
            <sz val="8"/>
            <color indexed="81"/>
            <rFont val="Tahoma"/>
            <family val="2"/>
          </rPr>
          <t>For burrito tape (M6484),
Means width size &gt;35 mm.
So far M6484 and M4827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Monika</author>
    <author>Kubica-Chowaniec, Monika</author>
    <author>User</author>
  </authors>
  <commentList>
    <comment ref="A22" authorId="0" shapeId="0" xr:uid="{00000000-0006-0000-0900-000001000000}">
      <text>
        <r>
          <rPr>
            <sz val="8"/>
            <color indexed="81"/>
            <rFont val="Tahoma"/>
            <family val="2"/>
          </rPr>
          <t>EU &amp; SA Operation, (Gaine Tressee)</t>
        </r>
      </text>
    </comment>
    <comment ref="A29" authorId="0" shapeId="0" xr:uid="{00000000-0006-0000-0900-000002000000}">
      <text>
        <r>
          <rPr>
            <b/>
            <sz val="8"/>
            <color indexed="81"/>
            <rFont val="Tahoma"/>
            <family val="2"/>
          </rPr>
          <t>used mainly in EU (for John Deere)</t>
        </r>
        <r>
          <rPr>
            <sz val="8"/>
            <color indexed="81"/>
            <rFont val="Tahoma"/>
            <family val="2"/>
          </rPr>
          <t xml:space="preserve">
</t>
        </r>
      </text>
    </comment>
    <comment ref="C56" authorId="1" shapeId="0" xr:uid="{00000000-0006-0000-0900-000003000000}">
      <text>
        <r>
          <rPr>
            <sz val="9"/>
            <color indexed="81"/>
            <rFont val="Tahoma"/>
            <family val="2"/>
            <charset val="238"/>
          </rPr>
          <t xml:space="preserve">make pieces of terostat by hand and weight according to BOM specification
</t>
        </r>
      </text>
    </comment>
    <comment ref="E76" authorId="2" shapeId="0" xr:uid="{00000000-0006-0000-0900-000004000000}">
      <text>
        <r>
          <rPr>
            <sz val="9"/>
            <color indexed="81"/>
            <rFont val="Tahoma"/>
            <family val="2"/>
          </rPr>
          <t xml:space="preserve"> DPNs are not existing for this operation; inactive in the GSD system</t>
        </r>
        <r>
          <rPr>
            <sz val="8"/>
            <color indexed="81"/>
            <rFont val="Tahoma"/>
            <family val="2"/>
          </rPr>
          <t xml:space="preserve">
</t>
        </r>
      </text>
    </comment>
    <comment ref="C101" authorId="0" shapeId="0" xr:uid="{00000000-0006-0000-0900-000005000000}">
      <text>
        <r>
          <rPr>
            <b/>
            <sz val="8"/>
            <color indexed="81"/>
            <rFont val="Tahoma"/>
            <family val="2"/>
          </rPr>
          <t>This operation is validated for NA &amp; AP regions mainly</t>
        </r>
        <r>
          <rPr>
            <sz val="8"/>
            <color indexed="81"/>
            <rFont val="Tahoma"/>
            <family val="2"/>
          </rPr>
          <t xml:space="preserve">
</t>
        </r>
      </text>
    </comment>
  </commentList>
</comments>
</file>

<file path=xl/sharedStrings.xml><?xml version="1.0" encoding="utf-8"?>
<sst xmlns="http://schemas.openxmlformats.org/spreadsheetml/2006/main" count="5237" uniqueCount="1472">
  <si>
    <t>Qty Marked Leads</t>
  </si>
  <si>
    <t>TOTAL TIME</t>
  </si>
  <si>
    <r>
      <t>TOTAL</t>
    </r>
    <r>
      <rPr>
        <b/>
        <sz val="12"/>
        <rFont val="Arial"/>
        <family val="2"/>
      </rPr>
      <t xml:space="preserve"> Qty
Leads</t>
    </r>
  </si>
  <si>
    <t>SUB TOTAL</t>
  </si>
  <si>
    <r>
      <t>0,13mm</t>
    </r>
    <r>
      <rPr>
        <sz val="10"/>
        <rFont val="Arial"/>
        <family val="2"/>
        <charset val="238"/>
      </rPr>
      <t>²</t>
    </r>
    <r>
      <rPr>
        <sz val="10"/>
        <rFont val="Arial"/>
        <family val="2"/>
      </rPr>
      <t xml:space="preserve"> PVC &amp; PPE plugging time </t>
    </r>
  </si>
  <si>
    <t>Sleeve over connector</t>
  </si>
  <si>
    <t>Reach for sleeve</t>
  </si>
  <si>
    <t>Boot or Sleeve over terminal</t>
  </si>
  <si>
    <t>Tape under and tape on clip (L)</t>
  </si>
  <si>
    <t>SHRINKING SLEEVES OVER CONVOLUTED CONDUITS</t>
  </si>
  <si>
    <t>Aligment of the conduits</t>
  </si>
  <si>
    <t>Apply the cable tie</t>
  </si>
  <si>
    <t>Shrinking sleeves over convoluted conduits</t>
  </si>
  <si>
    <t>Release the harness</t>
  </si>
  <si>
    <t>301 - 550</t>
  </si>
  <si>
    <t>160 - 300</t>
  </si>
  <si>
    <t>551 - 820</t>
  </si>
  <si>
    <t>821 - 1300</t>
  </si>
  <si>
    <t>1301 - 2400</t>
  </si>
  <si>
    <t>Sleeve positioning &amp; shrinking time
(Sum of conduits cross section [mm²])</t>
  </si>
  <si>
    <t>Leister Hot Gun used for time study</t>
  </si>
  <si>
    <t>Heating position 4 of Leister
Sleeve was shrinked 30mm ahead from the Leister</t>
  </si>
  <si>
    <t>Reach for branch</t>
  </si>
  <si>
    <t>Start Apply</t>
  </si>
  <si>
    <t>Pack connector / branch in plastic bag</t>
  </si>
  <si>
    <t>Location
LP/FA</t>
  </si>
  <si>
    <t>LP</t>
  </si>
  <si>
    <t>TOTAL - LEAD PREP</t>
  </si>
  <si>
    <t>TOTAL FINAL ASSEMBLY</t>
  </si>
  <si>
    <t>hot cut for tube</t>
  </si>
  <si>
    <t>Application of Bracelet</t>
  </si>
  <si>
    <t>Per Apply</t>
  </si>
  <si>
    <t>Get and apply bracelet</t>
  </si>
  <si>
    <t>Release grommet</t>
  </si>
  <si>
    <t>EU wire marking penalty</t>
  </si>
  <si>
    <t>Plug unsealed terminals to seal connectors</t>
  </si>
  <si>
    <t>Unsealed terminals to seal connector</t>
  </si>
  <si>
    <t xml:space="preserve">Reach for wire  </t>
  </si>
  <si>
    <t xml:space="preserve">assemble and stack ring terminals  (one terminal stacked over other one)   </t>
  </si>
  <si>
    <r>
      <t>Apply slit PVC</t>
    </r>
    <r>
      <rPr>
        <sz val="10"/>
        <rFont val="Arial"/>
        <family val="2"/>
      </rPr>
      <t xml:space="preserve"> &amp; braid</t>
    </r>
    <r>
      <rPr>
        <sz val="10"/>
        <rFont val="Arial"/>
        <family val="2"/>
      </rPr>
      <t xml:space="preserve"> tubes &amp; conduits </t>
    </r>
  </si>
  <si>
    <r>
      <t xml:space="preserve">per mm, slide PVC </t>
    </r>
    <r>
      <rPr>
        <sz val="10"/>
        <rFont val="Arial"/>
        <family val="2"/>
      </rPr>
      <t xml:space="preserve">&amp; braid </t>
    </r>
    <r>
      <rPr>
        <sz val="10"/>
        <rFont val="Arial"/>
        <family val="2"/>
      </rPr>
      <t xml:space="preserve">tubes over wires (slit PVC </t>
    </r>
    <r>
      <rPr>
        <sz val="10"/>
        <rFont val="Arial"/>
        <family val="2"/>
      </rPr>
      <t xml:space="preserve">&amp; braid </t>
    </r>
    <r>
      <rPr>
        <sz val="10"/>
        <rFont val="Arial"/>
        <family val="2"/>
      </rPr>
      <t>tubes and conduit overlap)</t>
    </r>
  </si>
  <si>
    <t xml:space="preserve">Cut tape with scissors or other tool </t>
  </si>
  <si>
    <t>TAPE BACK CONN (connect. tie downs)</t>
  </si>
  <si>
    <t>TAPE BACK CONN. (U Shape) (connect. tie downs)</t>
  </si>
  <si>
    <t>TAPE BACK CONN. (N Shape) (connect. tie downs)</t>
  </si>
  <si>
    <t>TAPE BACK CONN. (W Shape) (connect. tie downs)</t>
  </si>
  <si>
    <t>Branch to branch+ 1 spot tape</t>
  </si>
  <si>
    <t>Coiling time +  spot tape</t>
  </si>
  <si>
    <t>Coiling time +  spot tapes</t>
  </si>
  <si>
    <r>
      <t>Coiling time +</t>
    </r>
    <r>
      <rPr>
        <b/>
        <sz val="12"/>
        <color indexed="10"/>
        <rFont val="Arial"/>
        <family val="2"/>
      </rPr>
      <t xml:space="preserve">  </t>
    </r>
    <r>
      <rPr>
        <sz val="10"/>
        <rFont val="Arial"/>
        <family val="2"/>
      </rPr>
      <t>spot tapes</t>
    </r>
  </si>
  <si>
    <t>Grommets / boots / sleeves</t>
  </si>
  <si>
    <t>Water proof application</t>
  </si>
  <si>
    <t>join cable tie with body clip</t>
  </si>
  <si>
    <t>Reach for cable tie</t>
  </si>
  <si>
    <t>Release the component</t>
  </si>
  <si>
    <t>M-SPEC: M 3558 ... LENGHT &gt; 250mm or pass wires UL3123 M - SPEC: M3419... IN TUBES UNSLIT</t>
  </si>
  <si>
    <t>Time additional PER TUBE</t>
  </si>
  <si>
    <t>Reach for tube</t>
  </si>
  <si>
    <t>Release the branch</t>
  </si>
  <si>
    <t>Each group</t>
  </si>
  <si>
    <t>Get tube</t>
  </si>
  <si>
    <t>Release harness and place on rack</t>
  </si>
  <si>
    <t>per bag with tie</t>
  </si>
  <si>
    <t>Reach for plastic bag</t>
  </si>
  <si>
    <t>Foam tape on connector</t>
  </si>
  <si>
    <t>Per piece</t>
  </si>
  <si>
    <r>
      <t xml:space="preserve">Release taped </t>
    </r>
    <r>
      <rPr>
        <sz val="10"/>
        <rFont val="Arial"/>
        <family val="2"/>
      </rPr>
      <t>connector</t>
    </r>
  </si>
  <si>
    <t xml:space="preserve">7501 - 8000 </t>
  </si>
  <si>
    <t>8001 - 9000</t>
  </si>
  <si>
    <t>9001 - 10 000</t>
  </si>
  <si>
    <t>10 001 - 11 000</t>
  </si>
  <si>
    <t>11 001 - 12 000</t>
  </si>
  <si>
    <t>12 001 - 13 000</t>
  </si>
  <si>
    <t>13 001 - 14 000</t>
  </si>
  <si>
    <t>14 001 - 15 000</t>
  </si>
  <si>
    <t>4001 - 5000</t>
  </si>
  <si>
    <t>5001 - 6000</t>
  </si>
  <si>
    <t>6001 - 7000</t>
  </si>
  <si>
    <t>7001 - 8000</t>
  </si>
  <si>
    <t>Get wire from the tray</t>
  </si>
  <si>
    <t>Coiled wire closed with re-usable material</t>
  </si>
  <si>
    <t xml:space="preserve">Coiling station to be used. Wires to be placed in horizontal trays. To close the coiled wire re-usable / recyclable material to be used. </t>
  </si>
  <si>
    <t>Injection Machine</t>
  </si>
  <si>
    <t>Insert Tube Inside Other Tube</t>
  </si>
  <si>
    <t xml:space="preserve">Get tube </t>
  </si>
  <si>
    <t>Time per tube / This Time includes Taping Tubes</t>
  </si>
  <si>
    <t>Per tape cut event / only used for Mspecs defined by Regions - see comment</t>
  </si>
  <si>
    <t>Manual taping - SPLICES</t>
  </si>
  <si>
    <t>Splice insulation-Tape 50 mm (tape dipenser to be used)</t>
  </si>
  <si>
    <t>Close conduit with tape</t>
  </si>
  <si>
    <t xml:space="preserve">Single spot tape. </t>
  </si>
  <si>
    <r>
      <t xml:space="preserve">cut/ strip &amp;crimp
</t>
    </r>
    <r>
      <rPr>
        <b/>
        <sz val="12"/>
        <rFont val="Arial"/>
        <family val="2"/>
        <charset val="238"/>
      </rPr>
      <t>CROSS SECTION 0,13mm²</t>
    </r>
  </si>
  <si>
    <t>Release tube</t>
  </si>
  <si>
    <t>LEAD PREP PROCESS</t>
  </si>
  <si>
    <t>Operation</t>
  </si>
  <si>
    <t>Comments</t>
  </si>
  <si>
    <t>Machine Vendor</t>
  </si>
  <si>
    <t xml:space="preserve"> Special Component</t>
  </si>
  <si>
    <t>Multicond?</t>
  </si>
  <si>
    <t>Min Gage</t>
  </si>
  <si>
    <t>Max Gage</t>
  </si>
  <si>
    <t>Min Length</t>
  </si>
  <si>
    <t>Max Length</t>
  </si>
  <si>
    <t>CUT</t>
  </si>
  <si>
    <t>Y</t>
  </si>
  <si>
    <t>cut heavy gage cables</t>
  </si>
  <si>
    <t>Taping Outlet Closed/Branch ("T" Shape)</t>
  </si>
  <si>
    <t>Plug battery terminal to the holder</t>
  </si>
  <si>
    <t>Align terminal with holder</t>
  </si>
  <si>
    <t>Plug unsealed terminals to seal connectors (deep cavity &gt; 30 mm)</t>
  </si>
  <si>
    <t>In-line connectors (connect male and female connector)</t>
  </si>
  <si>
    <t>Reach for the connector</t>
  </si>
  <si>
    <t xml:space="preserve">Release connected connectors </t>
  </si>
  <si>
    <t>Tape width 25 mm</t>
  </si>
  <si>
    <t>For each additional Closed / open  outlets</t>
  </si>
  <si>
    <t>Per outlet</t>
  </si>
  <si>
    <t>Conduit outlet (closed / open) - application of conduit over outlet / branch</t>
  </si>
  <si>
    <t>Per each additional clip on the strap</t>
  </si>
  <si>
    <t>Heavy Gage Cutter</t>
  </si>
  <si>
    <t>cut/ strip &amp;crimp</t>
  </si>
  <si>
    <t>Crimp by Crimp Cutter</t>
  </si>
  <si>
    <t>cut/strip &amp; crimp with seal one side</t>
  </si>
  <si>
    <t>Crimp by Seal Cutter</t>
  </si>
  <si>
    <t>cut &amp; crimp with seal both sides</t>
  </si>
  <si>
    <t>Seal by Seal Cutter</t>
  </si>
  <si>
    <t>cut &amp; double crimping without seal</t>
  </si>
  <si>
    <t>Double by Crimp Cutter</t>
  </si>
  <si>
    <t>cut &amp; double crimping with seal</t>
  </si>
  <si>
    <t>Double by Seal Cutter</t>
  </si>
  <si>
    <t>twist wire cut &amp; crimp with seal both sides</t>
  </si>
  <si>
    <t>Twisting Cutter</t>
  </si>
  <si>
    <t>APPLY SEAL</t>
  </si>
  <si>
    <t>apply seal in a normal cable</t>
  </si>
  <si>
    <t>TERMINATE</t>
  </si>
  <si>
    <t>single crimping for battery wires</t>
  </si>
  <si>
    <t>single crimping with seal</t>
  </si>
  <si>
    <t>double crimping</t>
  </si>
  <si>
    <t>double crimping for multiconductors</t>
  </si>
  <si>
    <t>double crimping for battery wires</t>
  </si>
  <si>
    <t>mutiple crimping (&gt;2 wires)</t>
  </si>
  <si>
    <t>mutiple crimping (&gt;2 wires)  battery</t>
  </si>
  <si>
    <t>single crimping for barrel terminals</t>
  </si>
  <si>
    <t>Heavy Gage Press-Loose piece</t>
  </si>
  <si>
    <t>crimping loose piece (2 wires)</t>
  </si>
  <si>
    <t>crimping loose piece (3 wires)</t>
  </si>
  <si>
    <t>crimping loose piece (&gt;3 wires)</t>
  </si>
  <si>
    <t>BEND TERMINAL</t>
  </si>
  <si>
    <t>terminal bending</t>
  </si>
  <si>
    <t>Bent Term Press</t>
  </si>
  <si>
    <t>solder in barrel terminal</t>
  </si>
  <si>
    <t>Induction solder</t>
  </si>
  <si>
    <t>DIP SOLDER TERM</t>
  </si>
  <si>
    <t>Solder Pot</t>
  </si>
  <si>
    <t>splice soldering</t>
  </si>
  <si>
    <t>Small solder pot</t>
  </si>
  <si>
    <t>DIP SOLDER STRIP</t>
  </si>
  <si>
    <t>VARIAC</t>
  </si>
  <si>
    <t>variac in single wire</t>
  </si>
  <si>
    <t>Variac Station</t>
  </si>
  <si>
    <t>REFLOW</t>
  </si>
  <si>
    <t>reflow in single wires</t>
  </si>
  <si>
    <t>Reflow Station</t>
  </si>
  <si>
    <t>reflow in &gt;1 wires</t>
  </si>
  <si>
    <t>SONIC RING PREP</t>
  </si>
  <si>
    <t>preparation of ground terminal with ultrasonic welding</t>
  </si>
  <si>
    <t>Sonic Ring Preparation</t>
  </si>
  <si>
    <t>SONIC TERM WELDER</t>
  </si>
  <si>
    <t>ground terminal is ultrasonic welded</t>
  </si>
  <si>
    <t>sonic term welder</t>
  </si>
  <si>
    <t>SONIC RING VARIAC</t>
  </si>
  <si>
    <t>variac for ground terminal with ultrasonic welding (due to quality problems)</t>
  </si>
  <si>
    <t>convoluted tube cutting</t>
  </si>
  <si>
    <t>Conduit Cutter</t>
  </si>
  <si>
    <t>convoluted tube cutting - on the wave</t>
  </si>
  <si>
    <t>Conduit Cutter-On wave</t>
  </si>
  <si>
    <t>Twister</t>
  </si>
  <si>
    <t>times correspond to RBEV (very low volume WHERE long leads from cutters come in coils)</t>
  </si>
  <si>
    <t>Twister - Coil</t>
  </si>
  <si>
    <t>Molding Machine</t>
  </si>
  <si>
    <t>mold-on grommet (over branch)  pvc</t>
  </si>
  <si>
    <t>APPLY FERRITE</t>
  </si>
  <si>
    <t>apply ferrite</t>
  </si>
  <si>
    <t>Ferrite Station</t>
  </si>
  <si>
    <t>batt cover &amp; Bolt Station</t>
  </si>
  <si>
    <t>batt cover &amp; bolt Station</t>
  </si>
  <si>
    <t>INSRT LEADS IN GROM</t>
  </si>
  <si>
    <t>grommets boots &amp; sleeves over branch</t>
  </si>
  <si>
    <t>Grommet Spreader (4 bill)</t>
  </si>
  <si>
    <t>APPLY BOOT</t>
  </si>
  <si>
    <t>apply boot over terminal</t>
  </si>
  <si>
    <t>Grommet Spreader (2 bill)</t>
  </si>
  <si>
    <t>SLEEVE OVER TERM</t>
  </si>
  <si>
    <t>Apply Boots &amp; sleeves over term</t>
  </si>
  <si>
    <t>STRIP JACKET</t>
  </si>
  <si>
    <t>multiconductor jacket</t>
  </si>
  <si>
    <t>Jacket Stripper</t>
  </si>
  <si>
    <t>CUT INNER WIRES</t>
  </si>
  <si>
    <t>Cut short leads from Coaxial Cable</t>
  </si>
  <si>
    <t>STRIP INNER WIRES</t>
  </si>
  <si>
    <t>strip multiconductor Inner wires</t>
  </si>
  <si>
    <t>DEFOIL</t>
  </si>
  <si>
    <t>SINGLE SPLICE TAPE  (Single wrap)</t>
  </si>
  <si>
    <t>cut multiconductor braided shield</t>
  </si>
  <si>
    <t>HEAT SHRINK</t>
  </si>
  <si>
    <t>PVC Tube Cutter</t>
  </si>
  <si>
    <t>Heat Shrink station</t>
  </si>
  <si>
    <t>antena  heat shrinking on metal terminal</t>
  </si>
  <si>
    <t>HEAT SHRINK CD SLEEVE</t>
  </si>
  <si>
    <t>shrinking sleeve with cadmium solder</t>
  </si>
  <si>
    <t>Heat shrink Cd sleeve Station</t>
  </si>
  <si>
    <t>HEAT SHRINK GROMMET</t>
  </si>
  <si>
    <t>shrink grommet over a harness branch</t>
  </si>
  <si>
    <t>Heat shrink grommet Station</t>
  </si>
  <si>
    <t>HEAT SHRINK TUBE END</t>
  </si>
  <si>
    <t>Apply heat to seal the Watter tube end</t>
  </si>
  <si>
    <t>Heat shrink tube end Station</t>
  </si>
  <si>
    <t>PVC TUBE WELDING</t>
  </si>
  <si>
    <t>PVC tube welding</t>
  </si>
  <si>
    <t>PVC Tube welder</t>
  </si>
  <si>
    <t>CUT FUEL TUBE</t>
  </si>
  <si>
    <t>Fuel Tube Cutting</t>
  </si>
  <si>
    <t>Fuel tube cutter</t>
  </si>
  <si>
    <t>CUT BRANCH</t>
  </si>
  <si>
    <t>Cut Branch with Guilhotine</t>
  </si>
  <si>
    <t>Branch Cutter</t>
  </si>
  <si>
    <t>CUT TUBE W/HEAT</t>
  </si>
  <si>
    <t>Tube Heat Cutter</t>
  </si>
  <si>
    <t>CUT TERMINAL</t>
  </si>
  <si>
    <t>Terminal Cutting</t>
  </si>
  <si>
    <t>Terminal Cutter</t>
  </si>
  <si>
    <t>CUT &amp; TWIST SHIELD</t>
  </si>
  <si>
    <t>Cut &amp; Twist Shield from Coaxial Cables</t>
  </si>
  <si>
    <t>Cut &amp; Twist Shield station</t>
  </si>
  <si>
    <t>STAMP &amp; CRIMP TERMINAL</t>
  </si>
  <si>
    <t>stamp&amp; crimp terminal</t>
  </si>
  <si>
    <t>bus bar term press</t>
  </si>
  <si>
    <t>ELECTRONIC SOLDERING</t>
  </si>
  <si>
    <t>solder wires in electronic circuit</t>
  </si>
  <si>
    <t>Electronic Solder</t>
  </si>
  <si>
    <t>sleeve over ferrites Station</t>
  </si>
  <si>
    <t>IDC CRIMPING</t>
  </si>
  <si>
    <t>STS / IDC Crimping per wire</t>
  </si>
  <si>
    <t>IDC Crimper</t>
  </si>
  <si>
    <t>STS / IDC Crimping per conn</t>
  </si>
  <si>
    <t>Splice-IDC</t>
  </si>
  <si>
    <t>Splice-IDC Applicator</t>
  </si>
  <si>
    <t>Braiding-End Heater</t>
  </si>
  <si>
    <t>SPLICESAVER</t>
  </si>
  <si>
    <t>apply splice saver to connector</t>
  </si>
  <si>
    <t>Splice Saver Press and Die</t>
  </si>
  <si>
    <t>LOCTITE</t>
  </si>
  <si>
    <t>loctite</t>
  </si>
  <si>
    <t>Loctite station</t>
  </si>
  <si>
    <t>twist wires (no matter of the pitch)  - to be used also if "Insul Matl Code' = NONE in case there is twised pair + drain (3 wires in the group, but only 2 twisted)</t>
  </si>
  <si>
    <t>twist wires (3wires)  - to be used also if "Insul Matl Code' = NONE in case there are 3 twised wires  + drain (4 wires in the group, but only 3 twisted)</t>
  </si>
  <si>
    <t>twist wires (4wires) - to be used also if "Insul Matl Code' = NONE in case there are 4 twised wires  + drain (5 wires in the group, but only 4 twisted)</t>
  </si>
  <si>
    <t>Place the insert part two in the mould (7,91 sec)</t>
  </si>
  <si>
    <t>Get harness &amp; position in mould (28,60 sec)</t>
  </si>
  <si>
    <t>Start the injection machine for over-molding (9,06 sec)</t>
  </si>
  <si>
    <t>Injection and cooling in the mould (243,46 sec)</t>
  </si>
  <si>
    <t>Remove the Harness from mould (15,26 sec)</t>
  </si>
  <si>
    <t>APPLY MIXED FLUIDS</t>
  </si>
  <si>
    <t>mix up fluids into grommet</t>
  </si>
  <si>
    <t>GREASE</t>
  </si>
  <si>
    <t>apply grease to conn (equip type depends on vol)</t>
  </si>
  <si>
    <t>Greaser</t>
  </si>
  <si>
    <t>HARDSHELL-GROM</t>
  </si>
  <si>
    <t>build grommet over leads (hardshell grommet or hot melt) -- (2 parts of a connector cover a branch then glue is applied inside the parts)</t>
  </si>
  <si>
    <t>IHG Machine</t>
  </si>
  <si>
    <t>HARDSHELL-GROM TEST</t>
  </si>
  <si>
    <t>build grommet over leads (hardshell grommet)</t>
  </si>
  <si>
    <t>push test to term loaded  in a special conn</t>
  </si>
  <si>
    <t>Push Tester</t>
  </si>
  <si>
    <t>M4907001</t>
  </si>
  <si>
    <t>SCANNING</t>
  </si>
  <si>
    <t>label used to scan a harness p/n -- Scanner</t>
  </si>
  <si>
    <t>Label Scanner</t>
  </si>
  <si>
    <t>MARKER TAPE</t>
  </si>
  <si>
    <t>Marking tape Printer</t>
  </si>
  <si>
    <t>SEAL OVER CONN</t>
  </si>
  <si>
    <t>apply seal over connector</t>
  </si>
  <si>
    <t xml:space="preserve">single crimping 
</t>
  </si>
  <si>
    <t>Heat Shrink splice station</t>
  </si>
  <si>
    <t>UCAB /ULTRASONIC WELDING</t>
  </si>
  <si>
    <t>Per splice</t>
  </si>
  <si>
    <t>Seal Inserter for Conn seal</t>
  </si>
  <si>
    <t>CENTRAL STRIP</t>
  </si>
  <si>
    <t>Central Strip in Coaxial Cable</t>
  </si>
  <si>
    <t>Center strip Stripper</t>
  </si>
  <si>
    <t>Central Strip in normal cable</t>
  </si>
  <si>
    <t>CUT SUBASSY WIRES</t>
  </si>
  <si>
    <t>cut and strip purchase componets (valve, sensor, switch, etc.)</t>
  </si>
  <si>
    <t>subassy wires cutter</t>
  </si>
  <si>
    <t>STRIP SUBASSY WIRES</t>
  </si>
  <si>
    <t>strip subassembly wires</t>
  </si>
  <si>
    <t>Qty</t>
  </si>
  <si>
    <t>TOTAL</t>
  </si>
  <si>
    <t>BATTERY COVER</t>
  </si>
  <si>
    <t>BATTERY COVER &amp; BOLT</t>
  </si>
  <si>
    <t>BOLT INTO BATTERY TERM</t>
  </si>
  <si>
    <t>battery cover</t>
  </si>
  <si>
    <t>battery cover &amp; bolt</t>
  </si>
  <si>
    <t>bolt into battery term</t>
  </si>
  <si>
    <t>Machine</t>
  </si>
  <si>
    <t>BATTERIES</t>
  </si>
  <si>
    <t>COMPONENTS</t>
  </si>
  <si>
    <t>MULTICONDUCTOR</t>
  </si>
  <si>
    <t>DPN</t>
  </si>
  <si>
    <t>QTY</t>
  </si>
  <si>
    <t>MOLDING</t>
  </si>
  <si>
    <t>variac in double wires (2 wires)</t>
  </si>
  <si>
    <t>variac in tripple wires (3 Wires)</t>
  </si>
  <si>
    <t>SONIC GROUND TERMINAL</t>
  </si>
  <si>
    <t>SEAL APPLICATIONS (Including Grommet Pass through)</t>
  </si>
  <si>
    <t>SEALING (including LMX, RAYBLOCK, coldmelt)</t>
  </si>
  <si>
    <t>SUB-ASSEMBLY</t>
  </si>
  <si>
    <t>LABELS</t>
  </si>
  <si>
    <t>MISCELLAN.</t>
  </si>
  <si>
    <t>Global Sec/ Pc</t>
  </si>
  <si>
    <t>BUILD CATEGORY</t>
  </si>
  <si>
    <t>ACTIVITY DESCRIPTION</t>
  </si>
  <si>
    <t>COMMENTS</t>
  </si>
  <si>
    <t>Clock start</t>
  </si>
  <si>
    <t>Clock stop</t>
  </si>
  <si>
    <t>UNIT</t>
  </si>
  <si>
    <t>Total Time</t>
  </si>
  <si>
    <t>Build connectors to board</t>
  </si>
  <si>
    <t>Assemble connectors</t>
  </si>
  <si>
    <t>1-6 way to V-pin</t>
  </si>
  <si>
    <t>Reach for connector</t>
  </si>
  <si>
    <t>Release connector after placing to V-pin</t>
  </si>
  <si>
    <t>pc</t>
  </si>
  <si>
    <t>Release connector after placing to connector holder</t>
  </si>
  <si>
    <t>Plugging</t>
  </si>
  <si>
    <t>Plug unsealed terminals to connectors</t>
  </si>
  <si>
    <t>Align terminal with connector cavity</t>
  </si>
  <si>
    <t>Release plugged wire</t>
  </si>
  <si>
    <t>Plug leads with sonic splice ends</t>
  </si>
  <si>
    <t>To V-pin</t>
  </si>
  <si>
    <t>Plug leads with no terminals to V-pin</t>
  </si>
  <si>
    <t>Align wire end with V-pin</t>
  </si>
  <si>
    <t>Release wire</t>
  </si>
  <si>
    <t>Plug ring terminals</t>
  </si>
  <si>
    <t>Plug ring terminal to pin</t>
  </si>
  <si>
    <t>Align terminal with pin</t>
  </si>
  <si>
    <t>Plug terminals to jelly seal connectors</t>
  </si>
  <si>
    <t>Plug cavity plugs</t>
  </si>
  <si>
    <t>Insert cavity plugs in connectors</t>
  </si>
  <si>
    <t>Reach for seal</t>
  </si>
  <si>
    <t>Get and remove wires from rack</t>
  </si>
  <si>
    <t>up to 1000 mm</t>
  </si>
  <si>
    <t>Reach for wire</t>
  </si>
  <si>
    <t>Wire in hand ready for first plug</t>
  </si>
  <si>
    <t>Route wires on board</t>
  </si>
  <si>
    <t>Wire in hand after first plug</t>
  </si>
  <si>
    <t>Wire in hand ready for second plug</t>
  </si>
  <si>
    <t>1001-2000 mm</t>
  </si>
  <si>
    <t>2001-3000 mm</t>
  </si>
  <si>
    <t>3001-4000 mm</t>
  </si>
  <si>
    <t>4001-5000 mm</t>
  </si>
  <si>
    <t>5001-6000 mm</t>
  </si>
  <si>
    <t>6001-7000 mm</t>
  </si>
  <si>
    <t>7001-8000 mm</t>
  </si>
  <si>
    <t>8001-9000 mm</t>
  </si>
  <si>
    <t>9001-10000 mm</t>
  </si>
  <si>
    <t>10001-11000 mm</t>
  </si>
  <si>
    <t>11001-13000 mm</t>
  </si>
  <si>
    <t>13001-15000 mm</t>
  </si>
  <si>
    <t>TOTAL =</t>
  </si>
  <si>
    <t>CLOCK START</t>
  </si>
  <si>
    <t>CLOCK STOP</t>
  </si>
  <si>
    <t>Automatic taping</t>
  </si>
  <si>
    <t>Load/unload wires/harness to machine</t>
  </si>
  <si>
    <t>Does not include any taping - only start of tape on wires</t>
  </si>
  <si>
    <t>Reach for wires</t>
  </si>
  <si>
    <t>Release taped wires on rack</t>
  </si>
  <si>
    <t>Machine Taping time (Secs. /mm)</t>
  </si>
  <si>
    <t>Ondal or similar</t>
  </si>
  <si>
    <t>Machine starts taping</t>
  </si>
  <si>
    <t>Machine stops taping at pre-set dimension</t>
  </si>
  <si>
    <t>mm</t>
  </si>
  <si>
    <t>Manual taping</t>
  </si>
  <si>
    <t>Apply spot tape-PVC/Textile/Cloth</t>
  </si>
  <si>
    <t>Reach for tape</t>
  </si>
  <si>
    <t>Release taped branch</t>
  </si>
  <si>
    <t>Apply double spot tape-PVC/Textile/Cloth</t>
  </si>
  <si>
    <t>Tape width = 16 mm</t>
  </si>
  <si>
    <t>Hold tape</t>
  </si>
  <si>
    <t>Split tape</t>
  </si>
  <si>
    <t>Tape width = 19 mm</t>
  </si>
  <si>
    <t>Tape width = 25 mm</t>
  </si>
  <si>
    <t>SHINMAYWA TRD401</t>
  </si>
  <si>
    <t>per  wire</t>
  </si>
  <si>
    <t>process time</t>
  </si>
  <si>
    <t>Tape width = 32 mm</t>
  </si>
  <si>
    <t>Tape width = 38 mm</t>
  </si>
  <si>
    <t>Overlap Taping-Foam</t>
  </si>
  <si>
    <t>Per mm</t>
  </si>
  <si>
    <t>Tape width 32 mm</t>
  </si>
  <si>
    <t>Spiral Taping-PVC</t>
  </si>
  <si>
    <t>Tape width = 9 mm</t>
  </si>
  <si>
    <t>Spiral taping-Textile/Cloth</t>
  </si>
  <si>
    <t>Tape width = 12.5 mm</t>
  </si>
  <si>
    <t>Spiral taping-Felt</t>
  </si>
  <si>
    <t xml:space="preserve">Spiral Taping-Foam </t>
  </si>
  <si>
    <t>Get and remove protection</t>
  </si>
  <si>
    <t>Per piece</t>
  </si>
  <si>
    <t>Get and Apply Foam Tape (Wrap)</t>
  </si>
  <si>
    <t>Get tape</t>
  </si>
  <si>
    <t>Release branch</t>
  </si>
  <si>
    <t>Apply felt tape "cigarrete" shape</t>
  </si>
  <si>
    <t>per mm</t>
  </si>
  <si>
    <t>Get and remove protection of vinyl sheet</t>
  </si>
  <si>
    <t>Apply vinyl sheet</t>
  </si>
  <si>
    <t>Tape outlet - open branch (T  Shape)</t>
  </si>
  <si>
    <t>Per outlet/branch</t>
  </si>
  <si>
    <t>Manual Taping</t>
  </si>
  <si>
    <t>Velvet tape overlap</t>
  </si>
  <si>
    <t>Scapa felt tape overlap</t>
  </si>
  <si>
    <t>PVC abrasive tape overlap 32 mm</t>
  </si>
  <si>
    <t>(M2706002) Per mm</t>
  </si>
  <si>
    <t>Taping with non-adhesive tape (type "Amoureux")</t>
  </si>
  <si>
    <t>plasto foam tape application</t>
  </si>
  <si>
    <t>penalty for each additional breakout (plasto foam tape)</t>
  </si>
  <si>
    <t>Per additonal breakout</t>
  </si>
  <si>
    <t>Foam tape without glue</t>
  </si>
  <si>
    <t>Reach for scissors</t>
  </si>
  <si>
    <t xml:space="preserve">Rubber Tape </t>
  </si>
  <si>
    <t>MISCELLANEOUS</t>
  </si>
  <si>
    <t>MISC. ASSEMBLY</t>
  </si>
  <si>
    <t>Get component</t>
  </si>
  <si>
    <t>Release connector</t>
  </si>
  <si>
    <t>Close secondary locks/covers which are attached to connectors</t>
  </si>
  <si>
    <t>get and apply spiral tube</t>
  </si>
  <si>
    <t>Reach for spiral tube</t>
  </si>
  <si>
    <t>Conduits and Tubes</t>
  </si>
  <si>
    <t>Get conduit/tube</t>
  </si>
  <si>
    <t>per mm, only get and start over branch</t>
  </si>
  <si>
    <t>Get tube/conduit</t>
  </si>
  <si>
    <t>Tube/conduit started over branch</t>
  </si>
  <si>
    <t>per mm, slide conduits over wires (slit convoluted conduit)</t>
  </si>
  <si>
    <t>Conduit started over branch</t>
  </si>
  <si>
    <t>Release branch after conduit application</t>
  </si>
  <si>
    <t>Tube started over branch</t>
  </si>
  <si>
    <t>Release branch after tube application</t>
  </si>
  <si>
    <t>Punch Conduit with gun (moon shape)</t>
  </si>
  <si>
    <t>When a conduit goes through a breakout</t>
  </si>
  <si>
    <t>Per application</t>
  </si>
  <si>
    <t>Conduits</t>
  </si>
  <si>
    <t>apply conduit fittings</t>
  </si>
  <si>
    <t>apply "end" fitting to conduit - single branch</t>
  </si>
  <si>
    <t>Wire Stripper / per stripe</t>
  </si>
  <si>
    <t>Wire Stripper / per strip</t>
  </si>
  <si>
    <t>Terminal Press / per crimp</t>
  </si>
  <si>
    <t>Heavy Gage Press / per crimp</t>
  </si>
  <si>
    <t>Barrel Press / per crimp</t>
  </si>
  <si>
    <t>Seal Station / per application</t>
  </si>
  <si>
    <t>apply seals in multiconductor cable 
(to be applied also to apply seal to subassiemblies)</t>
  </si>
  <si>
    <t>end wire soldering 
(wires before termination)</t>
  </si>
  <si>
    <t>Reach for "end" piece</t>
  </si>
  <si>
    <t>over branch (eg: firewall grommet)</t>
  </si>
  <si>
    <t>using manual spreader</t>
  </si>
  <si>
    <t>Reach for grommet</t>
  </si>
  <si>
    <t>Rlease grommet</t>
  </si>
  <si>
    <t>using pneumatic spreader</t>
  </si>
  <si>
    <t>Release harness</t>
  </si>
  <si>
    <t>Reach for grommet/sleeve/boot</t>
  </si>
  <si>
    <t>pneumatic tool</t>
  </si>
  <si>
    <t>Start: reach for component
Stop: component over terminal</t>
  </si>
  <si>
    <t>per wire</t>
  </si>
  <si>
    <t>Wires at grommet face</t>
  </si>
  <si>
    <t>Wires inserted through grommet</t>
  </si>
  <si>
    <t>Sealing branch</t>
  </si>
  <si>
    <t>get and apply Terostat (sealant), including taping over and sliding grommet over taped area</t>
  </si>
  <si>
    <t>up to 11 wires</t>
  </si>
  <si>
    <t>Get Terostat</t>
  </si>
  <si>
    <t>12-30 wires</t>
  </si>
  <si>
    <t>&gt;30 wires</t>
  </si>
  <si>
    <t>Cable channels</t>
  </si>
  <si>
    <t>apply cable channel to harness branch</t>
  </si>
  <si>
    <t>per mm of cable channel</t>
  </si>
  <si>
    <t>Get cable channel</t>
  </si>
  <si>
    <t>per additional branch</t>
  </si>
  <si>
    <t>assemble channel cover</t>
  </si>
  <si>
    <t>Get cable channel cover</t>
  </si>
  <si>
    <t>Release channel</t>
  </si>
  <si>
    <t>per strap/cable tie</t>
  </si>
  <si>
    <t>per component</t>
  </si>
  <si>
    <t>Reach for component</t>
  </si>
  <si>
    <t>Get and apply body clips</t>
  </si>
  <si>
    <t>Reach for tie gun</t>
  </si>
  <si>
    <t>Release tie gun</t>
  </si>
  <si>
    <t xml:space="preserve">ASSEMBLE PUSH PIN CLIP/NAIL </t>
  </si>
  <si>
    <t>Pin clip application</t>
  </si>
  <si>
    <t>apply body clip to connector</t>
  </si>
  <si>
    <t>Start: reach for body clip
Stop: body clip applied to connector</t>
  </si>
  <si>
    <t>Get clip</t>
  </si>
  <si>
    <t>Get and apply code label to wire</t>
  </si>
  <si>
    <t>apply numbered labels to wires</t>
  </si>
  <si>
    <t>per label</t>
  </si>
  <si>
    <t>Reach for label</t>
  </si>
  <si>
    <t>release wire</t>
  </si>
  <si>
    <t>Remove harness from assembly board</t>
  </si>
  <si>
    <t>remove connectors, etc., from V-pins &amp; holders</t>
  </si>
  <si>
    <t>Reach for harness</t>
  </si>
  <si>
    <t>Press "test start" switch</t>
  </si>
  <si>
    <t>Harness removed from electrical test board</t>
  </si>
  <si>
    <t>check (vision system) fuse box</t>
  </si>
  <si>
    <t>per fuse box</t>
  </si>
  <si>
    <t>Insert fuse box in vision machine</t>
  </si>
  <si>
    <t>Release checked fuse box</t>
  </si>
  <si>
    <t>Release harness/component</t>
  </si>
  <si>
    <t>per piece</t>
  </si>
  <si>
    <t>Reach for scanner</t>
  </si>
  <si>
    <t>per terminal</t>
  </si>
  <si>
    <t>Reach for terminal</t>
  </si>
  <si>
    <t>Release assembly</t>
  </si>
  <si>
    <t>Grommet / boot over connector</t>
  </si>
  <si>
    <t>Grommet / sleeve over PVC tube</t>
  </si>
  <si>
    <t>Release taped harness</t>
  </si>
  <si>
    <t>Insert seal in clip</t>
  </si>
  <si>
    <t>Release inserted seal</t>
  </si>
  <si>
    <t>plug one connector to another one</t>
  </si>
  <si>
    <t xml:space="preserve">Grommet retainer
</t>
  </si>
  <si>
    <r>
      <t>Get and Route wires</t>
    </r>
    <r>
      <rPr>
        <b/>
        <sz val="10"/>
        <color indexed="10"/>
        <rFont val="Arial"/>
        <family val="2"/>
      </rPr>
      <t xml:space="preserve"> </t>
    </r>
    <r>
      <rPr>
        <b/>
        <sz val="10"/>
        <rFont val="Arial"/>
        <family val="2"/>
        <charset val="238"/>
      </rPr>
      <t>( get and remove wires from rack operation to be used only for uncoiled wires)</t>
    </r>
  </si>
  <si>
    <t>per connector</t>
  </si>
  <si>
    <t>PACKAGING</t>
  </si>
  <si>
    <t>coil or hank for packaging and dispose to shipping box</t>
  </si>
  <si>
    <t>per mm (branch length)</t>
  </si>
  <si>
    <t>Release harness inside shipping box</t>
  </si>
  <si>
    <t>per connector (includes ring terminals)</t>
  </si>
  <si>
    <t>pack harness in plastic bag</t>
  </si>
  <si>
    <t>harness up to 150 wires, per bag</t>
  </si>
  <si>
    <t>Release harness inside plastic bag</t>
  </si>
  <si>
    <t>harness &gt;150 wires, per bag</t>
  </si>
  <si>
    <t>pack harness in canvas bag</t>
  </si>
  <si>
    <t>harness up to 1000 mm, per bag</t>
  </si>
  <si>
    <t>Release harness inside canvas bag</t>
  </si>
  <si>
    <t>harness &gt;1600 mm, per bag</t>
  </si>
  <si>
    <t>PART NUMBER</t>
  </si>
  <si>
    <t>ADJ.</t>
  </si>
  <si>
    <t xml:space="preserve">PLANT STANDARD </t>
  </si>
  <si>
    <t xml:space="preserve">TOTAL TIME  </t>
  </si>
  <si>
    <t>(min)</t>
  </si>
  <si>
    <t>%</t>
  </si>
  <si>
    <t>PER HARNESS</t>
  </si>
  <si>
    <t xml:space="preserve">CUTTING </t>
  </si>
  <si>
    <t>TUBE CUTTING</t>
  </si>
  <si>
    <t>LEAD - PREP</t>
  </si>
  <si>
    <t>FINAL ASSEMBLY</t>
  </si>
  <si>
    <t>TUBE</t>
  </si>
  <si>
    <t>GLOBAL SEC/PC</t>
  </si>
  <si>
    <t>Release protection</t>
  </si>
  <si>
    <t>Get vinyl sheet</t>
  </si>
  <si>
    <t>Get  sheet</t>
  </si>
  <si>
    <t xml:space="preserve">Apply </t>
  </si>
  <si>
    <t>IDC</t>
  </si>
  <si>
    <t>IHG Vaccum Tester</t>
  </si>
  <si>
    <t>FA - CONNECTORS AND WIRES</t>
  </si>
  <si>
    <t xml:space="preserve">Multi &amp; Coaxial Cutter </t>
  </si>
  <si>
    <t>Komax alpha 433</t>
  </si>
  <si>
    <t>Komax alpha 433S</t>
  </si>
  <si>
    <t>Komax alpha 433SS</t>
  </si>
  <si>
    <t>Komax 477</t>
  </si>
  <si>
    <t>ULMER SM 152P</t>
  </si>
  <si>
    <t>BT 188</t>
  </si>
  <si>
    <t xml:space="preserve">Get and start Tape   </t>
  </si>
  <si>
    <t>taping started over branch</t>
  </si>
  <si>
    <t>Hand Work</t>
  </si>
  <si>
    <t>Plug blunt ends/loose term</t>
  </si>
  <si>
    <t>Plug connector seal / gasket</t>
  </si>
  <si>
    <t xml:space="preserve">Insert seal in connector </t>
  </si>
  <si>
    <t xml:space="preserve">Tape under and double tape on clip </t>
  </si>
  <si>
    <t>Double spot tape. 
To be used also for tape on body clip / diaper.</t>
  </si>
  <si>
    <t>Apply secondary locks and covers to connectors / grommet</t>
  </si>
  <si>
    <t>Per application (considering two tubes)</t>
  </si>
  <si>
    <t xml:space="preserve">apply  label </t>
  </si>
  <si>
    <t>LEAD PREP</t>
  </si>
  <si>
    <t>CUTTING</t>
  </si>
  <si>
    <t>Raychem IR 03/15 &amp; R.Semiautom./ FLS MK2
'Speed 40-90 / Temp. 100ºC</t>
  </si>
  <si>
    <t>15 001 - 16 000</t>
  </si>
  <si>
    <t>16 001 - 17 000</t>
  </si>
  <si>
    <t>17 001 - 18 000</t>
  </si>
  <si>
    <t>11 001 - 11 000</t>
  </si>
  <si>
    <t>Released plugged wire</t>
  </si>
  <si>
    <t>Plug battery terminal</t>
  </si>
  <si>
    <t>Wiring Harness Identification (Last four digits of the harness)</t>
  </si>
  <si>
    <t>DIP SOLDER SPLICE</t>
  </si>
  <si>
    <t xml:space="preserve">Standard Description </t>
  </si>
  <si>
    <t xml:space="preserve">Tape under conduit end and close conduit with tape. To secure covering.
Time to be used also to fix coflex tube </t>
  </si>
  <si>
    <t>Part / Bulk</t>
  </si>
  <si>
    <t xml:space="preserve">DOOR CONDUIT GROMMET </t>
  </si>
  <si>
    <t>IDC SPLICE MAKE</t>
  </si>
  <si>
    <t>Assemble IDC splice conn</t>
  </si>
  <si>
    <t>PER CONN</t>
  </si>
  <si>
    <t>Get conn</t>
  </si>
  <si>
    <t>release closed conn</t>
  </si>
  <si>
    <t>PER WIRE</t>
  </si>
  <si>
    <t>wire</t>
  </si>
  <si>
    <t>Plug multiconductor</t>
  </si>
  <si>
    <t>Assemble terminals</t>
  </si>
  <si>
    <t>Per terminall</t>
  </si>
  <si>
    <t>Get terminal</t>
  </si>
  <si>
    <t>release last term</t>
  </si>
  <si>
    <t>Plug drain wire</t>
  </si>
  <si>
    <t>Use tool to push the terminals</t>
  </si>
  <si>
    <t>get terminal</t>
  </si>
  <si>
    <t>release assembled terminal</t>
  </si>
  <si>
    <t>Clip strap</t>
  </si>
  <si>
    <t>Apply clip starp to branch</t>
  </si>
  <si>
    <t>Strap clip</t>
  </si>
  <si>
    <t>Get clip strap</t>
  </si>
  <si>
    <t>release strap on branch</t>
  </si>
  <si>
    <t>sealed terminals to UNSEALED connector</t>
  </si>
  <si>
    <t>per Screw</t>
  </si>
  <si>
    <t>Reach for Screw</t>
  </si>
  <si>
    <t>Release Screw</t>
  </si>
  <si>
    <t>GET SUPPORT AND ASSEMBLY CONNECTOR</t>
  </si>
  <si>
    <t>Get Support</t>
  </si>
  <si>
    <t>Assembly Conn to Support</t>
  </si>
  <si>
    <t>APPLY POLIPROPILYNE BAR (STICK)</t>
  </si>
  <si>
    <t>&lt;&lt; 100 mm</t>
  </si>
  <si>
    <t>100 - 150 mm</t>
  </si>
  <si>
    <t>&gt;&gt; 150 mm</t>
  </si>
  <si>
    <t>GCSD</t>
  </si>
  <si>
    <t>Reach for Bar</t>
  </si>
  <si>
    <t>Release Branch</t>
  </si>
  <si>
    <t>BOLT CONN PROCESS</t>
  </si>
  <si>
    <t>Release connector/ring terminal after apply the nut/screw</t>
  </si>
  <si>
    <t>Reach for screw</t>
  </si>
  <si>
    <t>Release connector after apply the screw</t>
  </si>
  <si>
    <t>Per Piece</t>
  </si>
  <si>
    <t>GET , APPLY AND FIX COFLEX TUBE</t>
  </si>
  <si>
    <t>For Coflex Tube the time included To get, Apply and adjust tubes in right position</t>
  </si>
  <si>
    <t>Reach coflex tube</t>
  </si>
  <si>
    <t>release branch after finish application</t>
  </si>
  <si>
    <t>GET , APPLY AND FIX KNITTED UNSLITTED TUBE ( GAINE TRESSEE )</t>
  </si>
  <si>
    <t>GET , APPLY AND FIX</t>
  </si>
  <si>
    <t>GET AND APPLY  LOCATWRAP TUBE</t>
  </si>
  <si>
    <t>GET AND APPLY</t>
  </si>
  <si>
    <t>Raidisseur Application inside Harness unflexible tube</t>
  </si>
  <si>
    <t>Relese inserted seal</t>
  </si>
  <si>
    <t>Reach for cavity plugs</t>
  </si>
  <si>
    <t>Release inserted cavity plugs</t>
  </si>
  <si>
    <t>per clip</t>
  </si>
  <si>
    <t>STS / IDC Crimping per connector</t>
  </si>
  <si>
    <t>PUR Molding machine             CANNON A-10</t>
  </si>
  <si>
    <t>In buggy or conveyor hook</t>
  </si>
  <si>
    <t>EU- LEAD - PREP</t>
  </si>
  <si>
    <t xml:space="preserve">  PUR FOAMED  GROMMET</t>
  </si>
  <si>
    <t>Get Coflex tube</t>
  </si>
  <si>
    <t xml:space="preserve">Crimp by Crimp Cutter
0,13mm² PPE, PVC wires 
DOUBLE X
</t>
  </si>
  <si>
    <t>twist wires (pitch 15)</t>
  </si>
  <si>
    <t>Twister
TWISTING  0,13mm² WIRES
 (only pitch 15 is recommended
 for 0,13mm² PPE, PVC)</t>
  </si>
  <si>
    <r>
      <t>Per</t>
    </r>
    <r>
      <rPr>
        <sz val="10"/>
        <rFont val="Arial"/>
        <family val="2"/>
      </rPr>
      <t xml:space="preserve"> Retainer</t>
    </r>
    <phoneticPr fontId="31" type="noConversion"/>
  </si>
  <si>
    <r>
      <t>Get</t>
    </r>
    <r>
      <rPr>
        <sz val="10"/>
        <rFont val="Arial"/>
        <family val="2"/>
      </rPr>
      <t xml:space="preserve"> Retainer</t>
    </r>
    <phoneticPr fontId="31" type="noConversion"/>
  </si>
  <si>
    <r>
      <t>R</t>
    </r>
    <r>
      <rPr>
        <sz val="10"/>
        <rFont val="Arial"/>
        <family val="2"/>
      </rPr>
      <t>elease Grommet</t>
    </r>
    <phoneticPr fontId="31" type="noConversion"/>
  </si>
  <si>
    <t>Release support</t>
  </si>
  <si>
    <t>Plug connector seal / gasket / seal o-ring</t>
  </si>
  <si>
    <t>Time for additional tube</t>
  </si>
  <si>
    <t>Glue PVC tubes
(glue / sealing tube)</t>
  </si>
  <si>
    <t>Tape on body clip / clamp</t>
  </si>
  <si>
    <t>Get clip / clamp</t>
  </si>
  <si>
    <t>Release clip / clamp on branch</t>
  </si>
  <si>
    <t>Pick up the coiled wire, remove the ball fix, ready for plug</t>
  </si>
  <si>
    <t>Pick up the coiled wire</t>
  </si>
  <si>
    <t>Wire ready for plugging</t>
  </si>
  <si>
    <t>BT 188 TWISTER</t>
  </si>
  <si>
    <r>
      <t xml:space="preserve">Braiding over Branch ( </t>
    </r>
    <r>
      <rPr>
        <b/>
        <sz val="8"/>
        <rFont val="Arial"/>
        <family val="2"/>
      </rPr>
      <t>Per 1000 mm</t>
    </r>
    <r>
      <rPr>
        <sz val="8"/>
        <rFont val="Arial"/>
        <family val="2"/>
      </rPr>
      <t>)</t>
    </r>
  </si>
  <si>
    <t xml:space="preserve">crimp (bus bar) per each empty terminal    </t>
  </si>
  <si>
    <t>splice cap cover (glued) application</t>
  </si>
  <si>
    <t xml:space="preserve">SPLICE-IDC  </t>
  </si>
  <si>
    <t>Get hand glue applicator</t>
  </si>
  <si>
    <t>Release the glued tubes</t>
  </si>
  <si>
    <t>PULL TO SEAT</t>
  </si>
  <si>
    <t>per component / blunt end / Loose term</t>
  </si>
  <si>
    <r>
      <t xml:space="preserve">Komax Alpha 488
</t>
    </r>
    <r>
      <rPr>
        <b/>
        <sz val="12"/>
        <rFont val="Arial"/>
        <family val="2"/>
      </rPr>
      <t>PITCH 10</t>
    </r>
  </si>
  <si>
    <r>
      <t xml:space="preserve">Komax Alpha 488
</t>
    </r>
    <r>
      <rPr>
        <b/>
        <sz val="12"/>
        <rFont val="Arial"/>
        <family val="2"/>
      </rPr>
      <t>PITCH 15</t>
    </r>
  </si>
  <si>
    <r>
      <t xml:space="preserve">Komax Alpha 488
</t>
    </r>
    <r>
      <rPr>
        <b/>
        <sz val="12"/>
        <rFont val="Arial"/>
        <family val="2"/>
      </rPr>
      <t>PITCH 20</t>
    </r>
  </si>
  <si>
    <r>
      <t xml:space="preserve">Komax Alpha 488
</t>
    </r>
    <r>
      <rPr>
        <b/>
        <sz val="12"/>
        <rFont val="Arial"/>
        <family val="2"/>
      </rPr>
      <t>PITCH 30</t>
    </r>
  </si>
  <si>
    <t>FA - TAPING</t>
  </si>
  <si>
    <t xml:space="preserve">Manual taping Overlape/Spiral </t>
  </si>
  <si>
    <t>Plug silicon wires sealed / unsealed to connectors</t>
  </si>
  <si>
    <t>Sealed / unsealed terminals to connector</t>
  </si>
  <si>
    <t xml:space="preserve">Locate &amp; hold clip / clamp over branch </t>
  </si>
  <si>
    <t xml:space="preserve"> Machine</t>
  </si>
  <si>
    <t xml:space="preserve">Considered the METZNER CT 4150 for global </t>
  </si>
  <si>
    <t xml:space="preserve"> TOTAL</t>
  </si>
  <si>
    <r>
      <t>Two Fluids machine</t>
    </r>
    <r>
      <rPr>
        <sz val="8"/>
        <color indexed="10"/>
        <rFont val="Arial"/>
        <family val="2"/>
        <charset val="238"/>
      </rPr>
      <t xml:space="preserve">  </t>
    </r>
  </si>
  <si>
    <t xml:space="preserve">TPE Grommet Injection 
</t>
  </si>
  <si>
    <t xml:space="preserve">CONN PUSH TEST </t>
  </si>
  <si>
    <r>
      <t>Plugging of  unsealed 0,13mm</t>
    </r>
    <r>
      <rPr>
        <sz val="10"/>
        <rFont val="Arial"/>
        <family val="2"/>
        <charset val="238"/>
      </rPr>
      <t>²</t>
    </r>
    <r>
      <rPr>
        <sz val="10"/>
        <rFont val="Arial"/>
        <family val="2"/>
      </rPr>
      <t xml:space="preserve"> PVC &amp; PPE </t>
    </r>
  </si>
  <si>
    <t>Tubes</t>
  </si>
  <si>
    <t>Grommets</t>
  </si>
  <si>
    <t xml:space="preserve">Vacuum test  </t>
  </si>
  <si>
    <t xml:space="preserve">Joint fuel tube with sleeve tube </t>
  </si>
  <si>
    <t>Get coiled wire</t>
  </si>
  <si>
    <t xml:space="preserve">Pass wires in tubes </t>
  </si>
  <si>
    <t>SUMMARY</t>
  </si>
  <si>
    <t xml:space="preserve">Apply Grommet retainer
</t>
  </si>
  <si>
    <t>SPOT OVER HANKING HARNESS</t>
  </si>
  <si>
    <t>Application of paper  tape / plastic tie / plactic ribbon / twine</t>
  </si>
  <si>
    <t>Seal over connector</t>
  </si>
  <si>
    <t>Release connector with  seal</t>
  </si>
  <si>
    <t xml:space="preserve"> Apply tube over the Ferrites that are covering part of a lead</t>
  </si>
  <si>
    <t>1000 mm</t>
  </si>
  <si>
    <t>Released finished braiding</t>
  </si>
  <si>
    <t>Machine starts braiding</t>
  </si>
  <si>
    <t>Machine stops braiding</t>
  </si>
  <si>
    <t>Braiding</t>
  </si>
  <si>
    <t>Heat braiding end</t>
  </si>
  <si>
    <t>Guillotine</t>
  </si>
  <si>
    <t>Cut sleeve with hot guillotine</t>
  </si>
  <si>
    <t>Includes pass wire through connector cavity and seat terminal. For crimping operation use proper standard from "terminate" section</t>
  </si>
  <si>
    <t>CUT BRAIDED SLEEVE  (HOT GUILLOTINE)</t>
  </si>
  <si>
    <t xml:space="preserve">CUT BRAIDED SLEEVE </t>
  </si>
  <si>
    <t xml:space="preserve">Twister   </t>
  </si>
  <si>
    <t>twist wires (&gt; 4wires) - In case that more than 4 twisted wires in the group use a default time</t>
  </si>
  <si>
    <t>Apply terminal stabilizer to connector</t>
  </si>
  <si>
    <t>Assembly terminal stabilizer / retainer / mylar into connector</t>
  </si>
  <si>
    <t>Get hose</t>
  </si>
  <si>
    <t>Release  hose</t>
  </si>
  <si>
    <t>HEAT SHRINK OVER CONNECTOR                         to be used also for Heat shrink sleeve/tube over hose</t>
  </si>
  <si>
    <t>APPLY BACKSHELL TO CONN</t>
  </si>
  <si>
    <t>Perforate connector boot</t>
  </si>
  <si>
    <t>SOLD WIRES</t>
  </si>
  <si>
    <t>Sold wires to a microphone connector</t>
  </si>
  <si>
    <t>BEND BATTERY CABLE</t>
  </si>
  <si>
    <t>Cable should be bent to fit on the fuse block</t>
  </si>
  <si>
    <t xml:space="preserve"> crimping + shrinking on the crimp</t>
  </si>
  <si>
    <t xml:space="preserve">time considered for application (1 application = 2 wires) </t>
  </si>
  <si>
    <t>per connector / hose</t>
  </si>
  <si>
    <t xml:space="preserve">TERMINATE MJE (MANCHON DE JONCTION ETANCHE ) </t>
  </si>
  <si>
    <t>apply backshell  to connector</t>
  </si>
  <si>
    <t>manual tool</t>
  </si>
  <si>
    <t>PERFORATE BOOT</t>
  </si>
  <si>
    <t>Newmatic punch press</t>
  </si>
  <si>
    <t>SOLDER IN TERMINAL</t>
  </si>
  <si>
    <t>Induction solder for batt term (Barrel terminal to be filled in by solder - controled soldering)</t>
  </si>
  <si>
    <t>solder in battery terminal</t>
  </si>
  <si>
    <t xml:space="preserve">    cut/ strip &amp;crimp</t>
  </si>
  <si>
    <t>cut/ strip &amp;crimp with marking text</t>
  </si>
  <si>
    <t>cut/ strip &amp;crimp with seal one side with marking text</t>
  </si>
  <si>
    <t>solder in battery /  barrel terminal</t>
  </si>
  <si>
    <t>TOTAL FA</t>
  </si>
  <si>
    <t>TOTAL P.K.</t>
  </si>
  <si>
    <t>TOTAL TEST</t>
  </si>
  <si>
    <t>FA TEST</t>
  </si>
  <si>
    <t>FINAL ASSEMBLY PACKING</t>
  </si>
  <si>
    <t>Get hose and route on board T- to be applied to hoses up to 3 m</t>
  </si>
  <si>
    <t>Apply vacuum / washer fluid hose</t>
  </si>
  <si>
    <t xml:space="preserve">Overlap Taping-Aluminized Film / moon tape (heat reflective) </t>
  </si>
  <si>
    <t>Place the insert part one in the mould (15,30 sec)</t>
  </si>
  <si>
    <t xml:space="preserve">Apply to PVC/Textile / felt  tape for overlape/spiral </t>
  </si>
  <si>
    <t>Plug seal terminals to connectors (to be used for 0,13 sealed)</t>
  </si>
  <si>
    <t xml:space="preserve">Overlap taping /double overlap / full - PVC </t>
  </si>
  <si>
    <t>Overlap taping / double overlap / full -Textile/Cloth / Loom</t>
  </si>
  <si>
    <t>Overlap Taping / double overlap / full - Felt</t>
  </si>
  <si>
    <t>15001-17000 mm</t>
  </si>
  <si>
    <t>17001-19000 mm</t>
  </si>
  <si>
    <t>For each additional branch</t>
  </si>
  <si>
    <t>Reach for the piece</t>
  </si>
  <si>
    <t>For each additional branch (to be applied to T, Y, L and multi inline)</t>
  </si>
  <si>
    <t>apply "T" , "Y", "L" and multi inline fitting over conduits</t>
  </si>
  <si>
    <t>per each wire</t>
  </si>
  <si>
    <t>18 001 - 19 000</t>
  </si>
  <si>
    <t xml:space="preserve">Apply conduit clip </t>
  </si>
  <si>
    <r>
      <t xml:space="preserve">Conduits and Tubes
</t>
    </r>
    <r>
      <rPr>
        <b/>
        <sz val="10"/>
        <rFont val="Arial"/>
        <family val="2"/>
      </rPr>
      <t>SEALED / UNSEALED WIRES</t>
    </r>
  </si>
  <si>
    <t>per each  wire</t>
  </si>
  <si>
    <t>Get closed (unslit) conduits and tubes - sealed / unsealed wires</t>
  </si>
  <si>
    <t>Apply closed (unslit) conduits and tubes - sealed / unsealed wires</t>
  </si>
  <si>
    <t>TAKE OFF INSULATION</t>
  </si>
  <si>
    <t xml:space="preserve">PERFORATE CONNECTOR AND CONNECTOR COMPONENTS </t>
  </si>
  <si>
    <t>punch holes in connector / seal / perforate plugs of connector cover</t>
  </si>
  <si>
    <t>MOLD OVER TERMINAL</t>
  </si>
  <si>
    <t>mold over terminal</t>
  </si>
  <si>
    <t xml:space="preserve">MOLD-ON </t>
  </si>
  <si>
    <t xml:space="preserve">
Tape cable channel closed operation </t>
  </si>
  <si>
    <t xml:space="preserve">Secure grommets to branch with tape.
</t>
  </si>
  <si>
    <t>Unsealed terminals to seal connectors with deep cavities &gt; 30mm</t>
  </si>
  <si>
    <t>Automatic plugging - single side</t>
  </si>
  <si>
    <t>Automatic plugging - double side</t>
  </si>
  <si>
    <t>stamp &amp; crimp terminal (crimping time including removing of insulation)</t>
  </si>
  <si>
    <t>Komax Zeta 633 / 655</t>
  </si>
  <si>
    <t xml:space="preserve">Dielectrical Breakdown (AC) - at least 2 groups per harness </t>
  </si>
  <si>
    <t>low volatge test passed</t>
  </si>
  <si>
    <t>end of AC test</t>
  </si>
  <si>
    <t>information on the screen test was passed</t>
  </si>
  <si>
    <t xml:space="preserve">    cut/ strip &amp;crimp with CPS option</t>
  </si>
  <si>
    <t>Crimp by Crimp Cutter with CPS</t>
  </si>
  <si>
    <t>cut/strip &amp; crimp with seal one side with CPS option</t>
  </si>
  <si>
    <t>Crimp by Seal Cutter with CPS</t>
  </si>
  <si>
    <t>cut &amp; crimp with seal both sides with CPS option</t>
  </si>
  <si>
    <t>Seal by Seal Cutter with CPS</t>
  </si>
  <si>
    <t>Crimp by Crimp Cutter with Resistence solder</t>
  </si>
  <si>
    <t>MEGOMAT 3300 W/Resistence solder</t>
  </si>
  <si>
    <t>Take off outer jacket of mulitconductor</t>
  </si>
  <si>
    <t>hand work</t>
  </si>
  <si>
    <t>CUT BRAIDED SHIELD &amp; DRAIN WIRE (if available)</t>
  </si>
  <si>
    <t>cut braided shield station (scissors)</t>
  </si>
  <si>
    <t>Multiconductor with aluminum foil / cut aluminium foil around the inner wiress</t>
  </si>
  <si>
    <t>Defoil station  (scissors)</t>
  </si>
  <si>
    <t>cut inner wires station (scissors) / hand work</t>
  </si>
  <si>
    <t>solder in barrel terminal (2 wires)</t>
  </si>
  <si>
    <t>Induction solder (Barrel terminal to be filled in by solder - controled soldering)</t>
  </si>
  <si>
    <t xml:space="preserve">solder in barrel terminals - small gauges </t>
  </si>
  <si>
    <t>marking text and solid reference line</t>
  </si>
  <si>
    <t>per  hot melt (additional glue / sealing) application - to be used also for splices and multiconductors  (plastic ferrules application)</t>
  </si>
  <si>
    <t>FILLER REMOVAL</t>
  </si>
  <si>
    <t>cut off filler inside multiconductor cable</t>
  </si>
  <si>
    <t>hand work (scissors)</t>
  </si>
  <si>
    <t>Alu cables</t>
  </si>
  <si>
    <t>Aluminum Hot Melt Overmold Inspection</t>
  </si>
  <si>
    <t>Oxygen sensor</t>
  </si>
  <si>
    <t>Dip solder process/ (Flux - tin)</t>
  </si>
  <si>
    <t>Cut, Crimp and apply resistance solder (Inox terminal)</t>
  </si>
  <si>
    <t>Automatic taping for twisted wires</t>
  </si>
  <si>
    <t>Automatic taping for Twisted wires</t>
  </si>
  <si>
    <t>Manual work (Load/unload wires to machine plus manual taping at the start and end of the process). Does not include Spot tapes</t>
  </si>
  <si>
    <t>Machine Taping time (Secs. /Tape length)</t>
  </si>
  <si>
    <t>Manual work (Load wires (twist + drain) to machine/ hand work/ unload wires to rack. Does not include Spot tapes</t>
  </si>
  <si>
    <t>time per mm</t>
  </si>
  <si>
    <t>Assembly and press metallic tube of Oxygen Sensor</t>
  </si>
  <si>
    <t>Press the assembled part</t>
  </si>
  <si>
    <t>Assembly  2 shields and 1 tube (time for 3 pieces).</t>
  </si>
  <si>
    <t xml:space="preserve">Pull-to-seat connectors - sealed / per wire
To be used also for oxygen sensor: Insert cable into the ceramic connector </t>
  </si>
  <si>
    <t>Apply seal over connector (Seal Inserter for Conn seal)
To be used also for oxygen sensor:  Insert seal into the connector using tool</t>
  </si>
  <si>
    <t>Put protection tube on oxygen sensor</t>
  </si>
  <si>
    <t>per tube</t>
  </si>
  <si>
    <t>Metalic tube over shield tube (Oxygen sensor)</t>
  </si>
  <si>
    <r>
      <t xml:space="preserve">cut, crimp by crimp, single side plugging </t>
    </r>
    <r>
      <rPr>
        <b/>
        <sz val="11"/>
        <rFont val="Arial"/>
        <family val="2"/>
        <charset val="162"/>
      </rPr>
      <t>per lead</t>
    </r>
  </si>
  <si>
    <r>
      <t xml:space="preserve">cut, crimp by crimp, double side plugging </t>
    </r>
    <r>
      <rPr>
        <b/>
        <sz val="11"/>
        <rFont val="Arial"/>
        <family val="2"/>
        <charset val="162"/>
      </rPr>
      <t>per lead</t>
    </r>
  </si>
  <si>
    <t>Put ferrule on the cable</t>
  </si>
  <si>
    <t>Crimp Ferrule (metal ring) on cable/ multiconductor cable</t>
  </si>
  <si>
    <r>
      <t xml:space="preserve">Induction solder for batt term </t>
    </r>
    <r>
      <rPr>
        <u/>
        <sz val="8"/>
        <rFont val="Arial"/>
        <family val="2"/>
      </rPr>
      <t>crimped</t>
    </r>
    <r>
      <rPr>
        <sz val="8"/>
        <rFont val="Arial"/>
        <family val="2"/>
      </rPr>
      <t xml:space="preserve"> (ATN-automatic controled soldering)</t>
    </r>
  </si>
  <si>
    <t>Time by cable side overmolded</t>
  </si>
  <si>
    <t>Aluminum cable hot melt overmould</t>
  </si>
  <si>
    <t xml:space="preserve">Time by cable side overmolded. Time includes mold  and lubricating of molds </t>
  </si>
  <si>
    <t>Min gauge</t>
  </si>
  <si>
    <t>Max gauge</t>
  </si>
  <si>
    <t>Mold Man 8200</t>
  </si>
  <si>
    <t>Reach for farness</t>
  </si>
  <si>
    <t xml:space="preserve">Release harness and place on packaging </t>
  </si>
  <si>
    <t>Laser printer</t>
  </si>
  <si>
    <t>Reach for base part (1st shield)</t>
  </si>
  <si>
    <t>Reach assembled part</t>
  </si>
  <si>
    <t>Release assembled part and place on rack</t>
  </si>
  <si>
    <t>Removed assembled part from the press and place on the rack</t>
  </si>
  <si>
    <t>Connector marking (numbers or solid line)</t>
  </si>
  <si>
    <t>APPLY FERRULE (metal ring)</t>
  </si>
  <si>
    <t>Pull-to-seat connectors - unsealed / per wire
To be used also for oxygen sensor:  Pass cable through black seal</t>
  </si>
  <si>
    <t xml:space="preserve">pc </t>
  </si>
  <si>
    <t xml:space="preserve">Route wires on board </t>
  </si>
  <si>
    <r>
      <t xml:space="preserve">Heavy Gage Cutter 
</t>
    </r>
    <r>
      <rPr>
        <sz val="10"/>
        <rFont val="Arial"/>
        <family val="2"/>
      </rPr>
      <t>For wires longer than 3000 mm automatic coiling is performed (included in the time)</t>
    </r>
  </si>
  <si>
    <t>pc / per # of connector in automated (Zeta) kit</t>
  </si>
  <si>
    <t>Route wires on board / to be used also for routing of automated kits (Kx Zeta kits)  or group of leads
NOTE:  for automated kit the lenght is not considered, the only citerium is the number of connectors</t>
  </si>
  <si>
    <t>Strip, apply Seal &amp; Crimp in multiconductor</t>
  </si>
  <si>
    <t>Strip, apply seal and Crimping are all performed in same machine (stripper-sealer-crimper)</t>
  </si>
  <si>
    <t>Stripper-sealer-crimper / per crimp</t>
  </si>
  <si>
    <r>
      <t xml:space="preserve">Automatic taping for Twisted wires with </t>
    </r>
    <r>
      <rPr>
        <b/>
        <sz val="10"/>
        <rFont val="Arial"/>
        <family val="2"/>
      </rPr>
      <t xml:space="preserve">DRAIN </t>
    </r>
    <r>
      <rPr>
        <sz val="10"/>
        <rFont val="Arial"/>
        <family val="2"/>
      </rPr>
      <t>wire loaded in spiral</t>
    </r>
  </si>
  <si>
    <t>Dual Taper</t>
  </si>
  <si>
    <t>Crimp is done in a Terminal Press. 
NOTE: seal was previously applied by hand in a separate station</t>
  </si>
  <si>
    <t>Schleuniger MS 9600</t>
  </si>
  <si>
    <t xml:space="preserve">Drain Wire Cutting </t>
  </si>
  <si>
    <t>Manual Drain Wire Cutting  (In Dual Taper Station)</t>
  </si>
  <si>
    <t>Manual Cutting With Scissors in dual taper station</t>
  </si>
  <si>
    <t>Scissors</t>
  </si>
  <si>
    <r>
      <t>Min wire size [mm²</t>
    </r>
    <r>
      <rPr>
        <b/>
        <sz val="9"/>
        <rFont val="Arial"/>
        <family val="2"/>
      </rPr>
      <t>]</t>
    </r>
  </si>
  <si>
    <t>Max wire size [mm²]</t>
  </si>
  <si>
    <t>Min Lth [mm]</t>
  </si>
  <si>
    <t>Max Lth [mm]</t>
  </si>
  <si>
    <t>Drain Wire Automatic Cutting</t>
  </si>
  <si>
    <t>Drain Wire Cutter</t>
  </si>
  <si>
    <t>Schleuniger OC3950</t>
  </si>
  <si>
    <t>Double by Crimp Cutter
with CPS</t>
  </si>
  <si>
    <t>Double by Seal Cutter
with CPS</t>
  </si>
  <si>
    <t>Twisting Cutter
with CPS</t>
  </si>
  <si>
    <t>for cables cutting use standards for heavy gage (cutting sheet, Schleuniger MS 9600 standards)</t>
  </si>
  <si>
    <t>hand tool / scissors</t>
  </si>
  <si>
    <t xml:space="preserve">remove the outer insulation </t>
  </si>
  <si>
    <t>foil removed</t>
  </si>
  <si>
    <t>Cut the braided shield</t>
  </si>
  <si>
    <t>place the cable in the tool</t>
  </si>
  <si>
    <t>put cable away</t>
  </si>
  <si>
    <t>OPERATION</t>
  </si>
  <si>
    <t>Inner jacket stripping</t>
  </si>
  <si>
    <t>place the cable in the machine head</t>
  </si>
  <si>
    <t>Apply loose piece terminal to wire</t>
  </si>
  <si>
    <t>Pick up and apply loose piece terminal (ring) to wire to cover all strands</t>
  </si>
  <si>
    <t>manual work</t>
  </si>
  <si>
    <t>pick up the loose piece</t>
  </si>
  <si>
    <t>Apply loose piece terminal to wire in alubox</t>
  </si>
  <si>
    <t>Pick up and apply loose piece terminal (ring) to wire in alubox to cover all strands</t>
  </si>
  <si>
    <t>Place the alubox in support</t>
  </si>
  <si>
    <t>Pick up teh support and place the alubox</t>
  </si>
  <si>
    <t>pick up the support</t>
  </si>
  <si>
    <t>pick up the alubox</t>
  </si>
  <si>
    <t>ready for crimping</t>
  </si>
  <si>
    <t>Routing for terminal orientation</t>
  </si>
  <si>
    <t>Routing of cable in order to obtain correct orientation for crimping</t>
  </si>
  <si>
    <t xml:space="preserve">pick up the cable </t>
  </si>
  <si>
    <t>pick up the ferrul</t>
  </si>
  <si>
    <t xml:space="preserve">Place the cable in the press head, crimping, release of the cable </t>
  </si>
  <si>
    <t>Place the cable in the head</t>
  </si>
  <si>
    <t xml:space="preserve">Cable released </t>
  </si>
  <si>
    <t xml:space="preserve">Schunk </t>
  </si>
  <si>
    <t>Pick up the loose piece ring terminal, place it in the module, close the die; 
Pick up and place the wire in proper position, perform welding and cooling, release the cable</t>
  </si>
  <si>
    <t>Terminal welding</t>
  </si>
  <si>
    <t xml:space="preserve">pick up the piece </t>
  </si>
  <si>
    <t xml:space="preserve">manual work  </t>
  </si>
  <si>
    <t xml:space="preserve">manual work </t>
  </si>
  <si>
    <t>Shrinking</t>
  </si>
  <si>
    <t xml:space="preserve">hand tool  </t>
  </si>
  <si>
    <t>apply and close segger</t>
  </si>
  <si>
    <t xml:space="preserve">hand tool </t>
  </si>
  <si>
    <t>gripper / 2 piece cover to the seal</t>
  </si>
  <si>
    <t xml:space="preserve">Description </t>
  </si>
  <si>
    <t>per cavity in alubox</t>
  </si>
  <si>
    <t>cable in place</t>
  </si>
  <si>
    <t>Feed cables / cable positioning</t>
  </si>
  <si>
    <t>Feed cables throught cavities in alubox
Positioning of cables in the tool</t>
  </si>
  <si>
    <t xml:space="preserve">per connector </t>
  </si>
  <si>
    <t>Schleuniger CS5500</t>
  </si>
  <si>
    <t>Outer jacket stripping</t>
  </si>
  <si>
    <t>hand tool</t>
  </si>
  <si>
    <t>shield opened</t>
  </si>
  <si>
    <t>HIGH VOLTAGE HARNESS - COAXIAL &amp; MULITICORE CABLES</t>
  </si>
  <si>
    <t>Place the cable in the press head, crimping on the shield, release of the cable</t>
  </si>
  <si>
    <t xml:space="preserve">Inner multicore wire Stripping with Thermal Stripper
</t>
  </si>
  <si>
    <t>Thermal Stripper</t>
  </si>
  <si>
    <t>0.5 mm²</t>
  </si>
  <si>
    <t>6 mm²</t>
  </si>
  <si>
    <t>Insert seal into connector cavity</t>
  </si>
  <si>
    <t>move seal to the proper position</t>
  </si>
  <si>
    <t>seal properly seated in the cavity</t>
  </si>
  <si>
    <t>Route and place the connector to ROB holder with plastic cover</t>
  </si>
  <si>
    <t>Place the connector to ROB holder</t>
  </si>
  <si>
    <t>start routing</t>
  </si>
  <si>
    <t>connector secured in the holder</t>
  </si>
  <si>
    <t>Press the seal with covers inside alubox cavity</t>
  </si>
  <si>
    <t>last cable on position</t>
  </si>
  <si>
    <t>connector released</t>
  </si>
  <si>
    <t>Clean the cavity for silicon application</t>
  </si>
  <si>
    <t>Cleaning the cavity and cable with special liquid (to remove the grease and dirt before silicon application)</t>
  </si>
  <si>
    <t>cavity</t>
  </si>
  <si>
    <t>pick up the stick</t>
  </si>
  <si>
    <t>cavity cleaned</t>
  </si>
  <si>
    <t>Application of silicon to the cavity</t>
  </si>
  <si>
    <t xml:space="preserve">Apply the silicon to the cavity </t>
  </si>
  <si>
    <t>pick up the silicon</t>
  </si>
  <si>
    <t>silicon applied</t>
  </si>
  <si>
    <t>NOTE:</t>
  </si>
  <si>
    <t>for tubes cutting use standards from cutting sheet (PVC Tube/ Sleeve Cutting or convoluted tube cutting - depending on tube type)</t>
  </si>
  <si>
    <t>use standard times from FA sheets for the following operations: routing on boards, plugging (Plug unsealed terminals to seal connectors (deep cavity &gt; 30 mm), taping &amp; covering operations, Apply secondary locks and covers to connectors (Loose piece secondary Locks/Covers/Combs / Inserts / hexagonal lock), testing (means first low voltage and then High Voltage)</t>
  </si>
  <si>
    <t>alubox in the support</t>
  </si>
  <si>
    <t xml:space="preserve">Rittmeyer. Beri Co.Cut Shield cuting device </t>
  </si>
  <si>
    <t>Mecal  P7 / Mecal P107 99</t>
  </si>
  <si>
    <t>Hanke 971-D press</t>
  </si>
  <si>
    <t>Inner wire stripping for multicore cable</t>
  </si>
  <si>
    <t>Inner wire crimping for multicore cable</t>
  </si>
  <si>
    <t xml:space="preserve">Place the support in the press </t>
  </si>
  <si>
    <t>Pick up and place the support in the press (for alubox, connector, housing  to guarantee the accesories orientation)</t>
  </si>
  <si>
    <t>pick up cable</t>
  </si>
  <si>
    <t>Take out outer jacket of stripped cable.</t>
  </si>
  <si>
    <t>Comb out braided shield</t>
  </si>
  <si>
    <t xml:space="preserve"> place the cable in the tool</t>
  </si>
  <si>
    <t>Clean dust after combing</t>
  </si>
  <si>
    <t>Boewe 1005</t>
  </si>
  <si>
    <t>Twisting shield</t>
  </si>
  <si>
    <t>Boewe 1003</t>
  </si>
  <si>
    <t>Cut the twisted shield</t>
  </si>
  <si>
    <t>manual</t>
  </si>
  <si>
    <t>Stripping the filler of multicore cable</t>
  </si>
  <si>
    <t>Apply block seal</t>
  </si>
  <si>
    <t>Pass throug wires into block seal</t>
  </si>
  <si>
    <t>Cut the wires with hand tool</t>
  </si>
  <si>
    <t>Caulking</t>
  </si>
  <si>
    <t>Caulking &amp; soldering</t>
  </si>
  <si>
    <t>Soldering</t>
  </si>
  <si>
    <t>2.5 mm²</t>
  </si>
  <si>
    <t xml:space="preserve">Comb out braided shield </t>
  </si>
  <si>
    <t>Cut wire to requested length for crimping operation</t>
  </si>
  <si>
    <t xml:space="preserve">Caulking for multicore wires per inner wire (to be applied to each inner wire seperately) </t>
  </si>
  <si>
    <t xml:space="preserve">Soldering multicore wire (one per multicore wire) </t>
  </si>
  <si>
    <t xml:space="preserve">Comb out braided shield of inner twisted wire </t>
  </si>
  <si>
    <t>Comb out braided shield of inner twisted wire (multicore)</t>
  </si>
  <si>
    <t>Spiral tube application with orientation</t>
  </si>
  <si>
    <t>Apply spiral tube &amp; make the orientation</t>
  </si>
  <si>
    <t>DSG Canusa – Shuttle Shrumpf Deray RKS 240- 60</t>
  </si>
  <si>
    <t>Load cables</t>
  </si>
  <si>
    <t>Take out cables</t>
  </si>
  <si>
    <t>Overlap taping with velour tape(velour tape made with an acrylic adhesive).</t>
  </si>
  <si>
    <t>Take out connector from bag</t>
  </si>
  <si>
    <t>Take out connector from protection bag.</t>
  </si>
  <si>
    <t>pick up the connector</t>
  </si>
  <si>
    <t>take out connector</t>
  </si>
  <si>
    <t>Close the covers to hold cables in position for pressing operation . Press the seal with covers inside alubox cavity</t>
  </si>
  <si>
    <t>COLD MELT / BUTYL</t>
  </si>
  <si>
    <t>Get and apply Coldmelt / Butyl Strips - press each piece with a plier/press - PER PIECE</t>
  </si>
  <si>
    <t>up to 4 pcs</t>
  </si>
  <si>
    <t>5 to 9 pcs</t>
  </si>
  <si>
    <t>10 or more pcs</t>
  </si>
  <si>
    <t>Form the Coldmelt and position sleeve</t>
  </si>
  <si>
    <t>Use press for more than 5 strips
If press is not used, pliers must be use always</t>
  </si>
  <si>
    <t>Terminal Press / per crimp
Use also for:
crimp fuse term (bus bar) per wire</t>
  </si>
  <si>
    <t xml:space="preserve">DSG Canusa Sealman 70
</t>
  </si>
  <si>
    <t>Manual work</t>
  </si>
  <si>
    <t>Remove the connector from the ROB holder</t>
  </si>
  <si>
    <t>open the cover of the holder</t>
  </si>
  <si>
    <t>connector out of the holder</t>
  </si>
  <si>
    <t>HEATSHRINK ON TWISTED PAIRS SPLICES</t>
  </si>
  <si>
    <t>To be used also for terminals that require help tool usage /or double plugging method
NOTE FOR HV PROD: 
to be used also for HV plugging
terminals of muliticore wire with short open ends.
Plug contact housing to outer housing in multicore wires.</t>
  </si>
  <si>
    <t>Loose piece secondary Locks/Covers/Combs / Inserts / hexagonal lock</t>
  </si>
  <si>
    <t>Large covers for &gt;40 way connectors
NOTE FOR HV PROD:
apply 2 piece cover to connector</t>
  </si>
  <si>
    <t>Aglin the terminal with the plate</t>
  </si>
  <si>
    <t xml:space="preserve">Per 2 splices, including cooling;
where all cables of the splice are twisted </t>
  </si>
  <si>
    <t>3 to 4 pcs</t>
  </si>
  <si>
    <t>Shrinking of the tube over sealing branch
Load/Cycle/Unload</t>
  </si>
  <si>
    <t>Terminal Press / per crimp (Including diodes and resistors)</t>
  </si>
  <si>
    <t>and more</t>
  </si>
  <si>
    <t>JacketStrip
Schleuniger 8400</t>
  </si>
  <si>
    <t xml:space="preserve">HIGH VOLTAGE </t>
  </si>
  <si>
    <t>TOTAL LP =</t>
  </si>
  <si>
    <t>TOTAL FA =</t>
  </si>
  <si>
    <t>variac in  wires – heavy gages</t>
  </si>
  <si>
    <t>Braiding machine (Composite &amp; wire machinery)</t>
  </si>
  <si>
    <t>Per Outlet (Pass branches through net, arrange branches, apply vynil)</t>
  </si>
  <si>
    <t>Per Occur. ( Braiding starts, Cut excess of braiding)</t>
  </si>
  <si>
    <t>Cut the waste of Braiding and heat the end  or apply PVC spot tape</t>
  </si>
  <si>
    <t>Release for next process</t>
  </si>
  <si>
    <t>Marking text on outsourcing harness every 25mm which has two circuits (black and white) .Two circuits marking are done in one cycle. ( Black with white ink, white with black ink.)</t>
  </si>
  <si>
    <t>Min Length [mm]</t>
  </si>
  <si>
    <t>Max Length [mm]</t>
  </si>
  <si>
    <t xml:space="preserve">Marking text on outsourcing harness / subassembly </t>
  </si>
  <si>
    <t>LeiBinger Inkjet-2</t>
  </si>
  <si>
    <t>double crimping for 0.13/0.13 and other combinations with 0.13</t>
  </si>
  <si>
    <t>Workman DSG Canusa (dual end splices)
Raychem IR1891 (butt splices)</t>
  </si>
  <si>
    <t xml:space="preserve">Micronorma / per application          </t>
  </si>
  <si>
    <t xml:space="preserve">Crimp by Crimp Cutter
0,13mm² PPE, PVC wires 
DOUBLE X
with CPS
</t>
  </si>
  <si>
    <t>Hand work (marker)</t>
  </si>
  <si>
    <t xml:space="preserve">CV_OBHAT-1600W SYSTEM
S/N: 12D053
</t>
  </si>
  <si>
    <t>Adjust tube position</t>
  </si>
  <si>
    <t>Release after cooling is completed</t>
  </si>
  <si>
    <t>Shrinking over the crushshield with positioning required (including cooling)</t>
  </si>
  <si>
    <t>KTB 50 E +</t>
  </si>
  <si>
    <t>Splice insulation - Tape of 38 or 50 mm according to list of approved Mspecs</t>
  </si>
  <si>
    <t>Magnifier glass</t>
  </si>
  <si>
    <t>Automatic taping of dual splices
NOTE: only when requested by the Customer</t>
  </si>
  <si>
    <t>insert wires through grommet
NOTE: group of wires (twists, multiconductors etc) to be considered as 1 wire</t>
  </si>
  <si>
    <t>Manual marking of wires / connector (with marker) WHEN REQUESTED BY CUSTOMER</t>
  </si>
  <si>
    <t>To mark on wires / connector when automatic marking is not allowed. 
Time per ONE side of the wire</t>
  </si>
  <si>
    <t>NOTE: when Region requires that Butt splices for 0.13mm  and other sensible splices to be bent (make the loop) then apply an extra time same as the one per wire to do the loop. (Spot tapes needs to be added to the harness to be paid as spot tape in other cathegory).</t>
  </si>
  <si>
    <t>Per wire</t>
  </si>
  <si>
    <t xml:space="preserve">Miic America T-WIN20 Bending Robot </t>
  </si>
  <si>
    <t>put tube away</t>
  </si>
  <si>
    <t xml:space="preserve">Apply Foam / Longitudinal </t>
  </si>
  <si>
    <t>Foam / Felt / Vinyl taping</t>
  </si>
  <si>
    <t>Apply Foam /Felt / Vinyl Tape (flag)</t>
  </si>
  <si>
    <t>Crimping additional control for tubular / special applications
USE ALSO FOR SPLICE SAVER GEN 1,5 CONTROL 
NOTE: only when requested by the Customer</t>
  </si>
  <si>
    <t>Aluminum tube bending with Robot</t>
  </si>
  <si>
    <t>Load the tube to a transfer station by operator; Robot take it and place it on support;  release after bending</t>
  </si>
  <si>
    <t>Bending to the tube performed by the robot (time per each bend)</t>
  </si>
  <si>
    <t>Mecalbi STCS-BM3</t>
  </si>
  <si>
    <t>DOUBLE SPLICE TAPE (Double wrap)
NOTE: only if double covering requested by Customer</t>
  </si>
  <si>
    <r>
      <t xml:space="preserve">Crimping loose piece term (1 wire) (BUS CIRC terminal / battery / other) 
</t>
    </r>
    <r>
      <rPr>
        <b/>
        <sz val="9"/>
        <rFont val="Arial"/>
        <family val="2"/>
        <charset val="238"/>
      </rPr>
      <t>NOTE</t>
    </r>
    <r>
      <rPr>
        <sz val="8"/>
        <rFont val="Arial"/>
        <family val="2"/>
      </rPr>
      <t xml:space="preserve">: to be used also for wings closing operation for soldered ground terminal </t>
    </r>
  </si>
  <si>
    <t>&gt;= 40 way to connector holder / cable channel to the holder</t>
  </si>
  <si>
    <t xml:space="preserve">Take splice off cooling board + Visual inspection of the splice
Introduce splice in machine and do poke through test
Clean the splice off water and mark with green if it passed
</t>
  </si>
  <si>
    <t>POKE THROUGH DETECTION TEST
(when requested by Customer)</t>
  </si>
  <si>
    <t>start the bending</t>
  </si>
  <si>
    <t>bending is completed</t>
  </si>
  <si>
    <t>apply cable tie / strap to the cable channel</t>
  </si>
  <si>
    <r>
      <t>per cable tie / body clip with cable tie application REMARK:</t>
    </r>
    <r>
      <rPr>
        <b/>
        <sz val="10"/>
        <rFont val="Arial"/>
        <family val="2"/>
      </rPr>
      <t xml:space="preserve"> to be used also to close cable channel with </t>
    </r>
    <r>
      <rPr>
        <b/>
        <sz val="10"/>
        <rFont val="Arial"/>
        <family val="2"/>
      </rPr>
      <t xml:space="preserve"> strap/cable tie</t>
    </r>
  </si>
  <si>
    <t>per component: including connectors, grommets, BCs, relays, resistors and color spot marks (tapes) / blunt end / Loose term etc</t>
  </si>
  <si>
    <t>single crimping in multiconductors 
(Also to be applied for drain wires and subassemblies crimping)</t>
  </si>
  <si>
    <t>Automatic cooling of butt and dual splices</t>
  </si>
  <si>
    <t xml:space="preserve">STCS-RCM </t>
  </si>
  <si>
    <t>Cooling process  time depending on shrinking time</t>
  </si>
  <si>
    <t>shrinking time between 8 and 17 sec / pc</t>
  </si>
  <si>
    <t>shrinking time between18 and  27 sec / pc</t>
  </si>
  <si>
    <t>IR 1891Shuttle - Air, Slide Toaster, etc.</t>
  </si>
  <si>
    <t>30mm²</t>
  </si>
  <si>
    <t>0 mm²</t>
  </si>
  <si>
    <t>120mm²</t>
  </si>
  <si>
    <t>31 mm²</t>
  </si>
  <si>
    <t>Specially for quotes where sometimes very short cables appear and time is not applied. For these ranges the terminal should be applied in a press since cutter has no capability</t>
  </si>
  <si>
    <t xml:space="preserve">cut / strip of wires with short lengths </t>
  </si>
  <si>
    <t xml:space="preserve">Virtual cutting machine </t>
  </si>
  <si>
    <t xml:space="preserve">heat shrink over terminal
Cooling of the tubes shrinked over ring terminal and over the cable (average time, taking into consideration set of subs is cooled at the same time) </t>
  </si>
  <si>
    <t>Sealing of strands from ring terminal</t>
  </si>
  <si>
    <t>Heat Gun</t>
  </si>
  <si>
    <t>Cover crimped strands from a ring terminal with sealing to protect them against environment (when customer request)</t>
  </si>
  <si>
    <t xml:space="preserve">Cooling time to be used  based on PFMEA results (operation method doesn't allow to assure right handling after shrinking), red splice config. or splice shrinked on the line (in line splice).  
</t>
  </si>
  <si>
    <t>Heat Shrink on term. including automatic cooling (performed by the shrinking machine)</t>
  </si>
  <si>
    <r>
      <t>heat shrinking for splices</t>
    </r>
    <r>
      <rPr>
        <sz val="8"/>
        <rFont val="Arial"/>
        <family val="2"/>
        <charset val="238"/>
      </rPr>
      <t xml:space="preserve"> ( std based on tubes diameter)</t>
    </r>
  </si>
  <si>
    <t>Outer jacket stripping for coaxial cable</t>
  </si>
  <si>
    <r>
      <t xml:space="preserve">Komax Alpha 488
</t>
    </r>
    <r>
      <rPr>
        <b/>
        <sz val="12"/>
        <rFont val="Arial"/>
        <family val="2"/>
      </rPr>
      <t>PITCH 25</t>
    </r>
  </si>
  <si>
    <t>CC KB bundle=300
(600pcs/time)</t>
  </si>
  <si>
    <t>CC KB bundle=100
(200pcs/time)</t>
  </si>
  <si>
    <t>LP KB bundle=100
(100pcs/time)</t>
  </si>
  <si>
    <t>LP KB bundle=50
(50pcs/time)</t>
  </si>
  <si>
    <t>1-16 way connector
(300pcs/time)</t>
  </si>
  <si>
    <t>1-16 way connector 
(200pcs/time)</t>
  </si>
  <si>
    <t>&gt; 16 way connector 
(100pcs/time)</t>
  </si>
  <si>
    <t xml:space="preserve">
Wire</t>
  </si>
  <si>
    <t xml:space="preserve">
Turn on the cleaning equipment</t>
  </si>
  <si>
    <t xml:space="preserve">
Turn off the cleaning equipment</t>
  </si>
  <si>
    <t xml:space="preserve">
DCT250 Clean process for material (components) and wires </t>
  </si>
  <si>
    <t xml:space="preserve">Apply vinyl sheet / sleeve with some straps of glue on the surface </t>
  </si>
  <si>
    <t xml:space="preserve">
Material (components)</t>
  </si>
  <si>
    <t>heat shrink over cable  / multiconductor cable including drain wire
(often on drain wire of multiconductor where  diameter of tubes are smaller or equal to 6 mm)</t>
  </si>
  <si>
    <t>Tape widt = 35 mm</t>
  </si>
  <si>
    <t>Hi pot test for taped twisted wires with drain wire</t>
  </si>
  <si>
    <t>Reach group of taped wires from rack</t>
  </si>
  <si>
    <t>Release group of taped wires on rack</t>
  </si>
  <si>
    <t>time per group</t>
  </si>
  <si>
    <t>Special Connector
(25pcs/time)</t>
  </si>
  <si>
    <t>Get And Apply Vinyl / longitudinal application of sleeve</t>
  </si>
  <si>
    <r>
      <rPr>
        <sz val="10"/>
        <rFont val="Arial"/>
        <family val="2"/>
      </rPr>
      <t>reopen twisted wires</t>
    </r>
    <r>
      <rPr>
        <sz val="8"/>
        <rFont val="Arial"/>
        <family val="2"/>
      </rPr>
      <t xml:space="preserve">
NOTE: to be used for twists cut from reel /multiconductors /  purchased parts when additional processes to be applied on LP; to be used also to reopen / untwist for splicing operation for wires coming from BT 188  and when twisted wires with different length</t>
    </r>
  </si>
  <si>
    <r>
      <t>PVC Tube/ Sleeve / Foams  Tapes Cutting
NOTE: 
it includes also “Sleeves filmic” with bigger diameter (up to 100mm</t>
    </r>
    <r>
      <rPr>
        <sz val="12"/>
        <rFont val="Calibri"/>
        <family val="2"/>
      </rPr>
      <t>²</t>
    </r>
    <r>
      <rPr>
        <sz val="12"/>
        <rFont val="Arial"/>
        <family val="2"/>
      </rPr>
      <t>)</t>
    </r>
  </si>
  <si>
    <t>Water proof by pressure (positive or negative). Test for sealed grommet 
(sealed with coldmelt / butyl / terostat)</t>
  </si>
  <si>
    <t>Insert branch  into pressure chamber</t>
  </si>
  <si>
    <t>Insert connector seal and collet together  into connector cavity or over terminal</t>
  </si>
  <si>
    <r>
      <rPr>
        <b/>
        <sz val="10"/>
        <rFont val="Arial"/>
        <family val="2"/>
      </rPr>
      <t>For ring terminal ;</t>
    </r>
    <r>
      <rPr>
        <sz val="10"/>
        <rFont val="Arial"/>
        <family val="2"/>
      </rPr>
      <t xml:space="preserve"> Load  8 cables to table, place the table into the oven, heating time, take out table, take out cables from oven. Time per cable.  (including cooling)</t>
    </r>
  </si>
  <si>
    <r>
      <rPr>
        <b/>
        <sz val="10"/>
        <rFont val="Arial"/>
        <family val="2"/>
      </rPr>
      <t xml:space="preserve">For Connector or busbar terminals; </t>
    </r>
    <r>
      <rPr>
        <sz val="10"/>
        <rFont val="Arial"/>
        <family val="2"/>
      </rPr>
      <t>Load 4 cables to table, place the table into the oven, heating time, take out table, take out cables from oven. Time per cable. 
(including cooling)</t>
    </r>
  </si>
  <si>
    <r>
      <rPr>
        <b/>
        <sz val="10"/>
        <rFont val="Arial"/>
        <family val="2"/>
      </rPr>
      <t xml:space="preserve">For ONE piece shrink: </t>
    </r>
    <r>
      <rPr>
        <sz val="10"/>
        <rFont val="Arial"/>
        <family val="2"/>
      </rPr>
      <t xml:space="preserve"> place the table into the oven, heating time, take out table, take out cables from oven. Time per cable. 
(including cooling)
</t>
    </r>
    <r>
      <rPr>
        <b/>
        <sz val="10"/>
        <rFont val="Arial"/>
        <family val="2"/>
      </rPr>
      <t>Shrink Tube:</t>
    </r>
    <r>
      <rPr>
        <sz val="10"/>
        <rFont val="Arial"/>
        <family val="2"/>
      </rPr>
      <t xml:space="preserve"> (M3552005 120mm）
</t>
    </r>
    <r>
      <rPr>
        <b/>
        <sz val="11"/>
        <color indexed="30"/>
        <rFont val="Arial"/>
        <family val="2"/>
      </rPr>
      <t xml:space="preserve"> AP Region only </t>
    </r>
  </si>
  <si>
    <t>DSG Canusa - Workman TP (Desktop HS machine)</t>
  </si>
  <si>
    <r>
      <rPr>
        <b/>
        <sz val="10"/>
        <rFont val="Arial"/>
        <family val="2"/>
      </rPr>
      <t xml:space="preserve">For ONE piece shrink: </t>
    </r>
    <r>
      <rPr>
        <sz val="10"/>
        <rFont val="Arial"/>
        <family val="2"/>
      </rPr>
      <t xml:space="preserve">place the table into the oven, heating time, take out table, take out cables from oven. Time per cable. 
(including cooling)
</t>
    </r>
    <r>
      <rPr>
        <b/>
        <sz val="10"/>
        <rFont val="Arial"/>
        <family val="2"/>
      </rPr>
      <t xml:space="preserve">
Shrink Tube: </t>
    </r>
    <r>
      <rPr>
        <sz val="10"/>
        <rFont val="Arial"/>
        <family val="2"/>
      </rPr>
      <t xml:space="preserve">(33285302 67mm）
</t>
    </r>
    <r>
      <rPr>
        <b/>
        <sz val="11"/>
        <color indexed="30"/>
        <rFont val="Arial"/>
        <family val="2"/>
      </rPr>
      <t xml:space="preserve"> AP Region only </t>
    </r>
  </si>
  <si>
    <t>Apply loose piece materials over wire</t>
  </si>
  <si>
    <t>Apply sealing elements over wire</t>
  </si>
  <si>
    <t xml:space="preserve">seal + collet / grommet over cable </t>
  </si>
  <si>
    <t>Take out outer jacket manually</t>
  </si>
  <si>
    <t xml:space="preserve">Outer jacket stripping for multicore cable 
</t>
  </si>
  <si>
    <t>Cut &amp; stripping outer jacket - aluminium foil - filler - braided shield  in one step</t>
  </si>
  <si>
    <t>Inner jacket stripping for coaxial cable</t>
  </si>
  <si>
    <t>Unistrip 2600</t>
  </si>
  <si>
    <t>Cleaning cable (to remove the dust and dirt)</t>
  </si>
  <si>
    <t>Open the shield</t>
  </si>
  <si>
    <r>
      <rPr>
        <b/>
        <sz val="10"/>
        <rFont val="Arial"/>
        <family val="2"/>
      </rPr>
      <t xml:space="preserve">Coaxial wires: </t>
    </r>
    <r>
      <rPr>
        <sz val="10"/>
        <rFont val="Arial"/>
        <family val="2"/>
      </rPr>
      <t xml:space="preserve">Open the shield with hand tool , pick up the inner ferrul and place under the braided shield. 
</t>
    </r>
    <r>
      <rPr>
        <b/>
        <sz val="10"/>
        <rFont val="Arial"/>
        <family val="2"/>
      </rPr>
      <t>Multicore wires:</t>
    </r>
    <r>
      <rPr>
        <sz val="10"/>
        <rFont val="Arial"/>
        <family val="2"/>
      </rPr>
      <t xml:space="preserve"> pick up inner ferrule and place over wire , open the shield and fold back over inner ferrule by hand</t>
    </r>
  </si>
  <si>
    <t>Pick up the outer ferrul, apply to the cable  and move outer ferrule over the inner ferrul / terminal group</t>
  </si>
  <si>
    <t>test holder</t>
  </si>
  <si>
    <t xml:space="preserve">Loose piece core crimping for coaxiel / crimping in alubox on core </t>
  </si>
  <si>
    <t>Shield/Ferrule crimping for coaxial and multicore</t>
  </si>
  <si>
    <r>
      <rPr>
        <b/>
        <sz val="10"/>
        <rFont val="Arial"/>
        <family val="2"/>
      </rPr>
      <t xml:space="preserve">Only for kostal coax connector; </t>
    </r>
    <r>
      <rPr>
        <sz val="10"/>
        <rFont val="Arial"/>
        <family val="2"/>
      </rPr>
      <t xml:space="preserve">Place the cable in the press head, crimping on the shield, release of the cable for </t>
    </r>
  </si>
  <si>
    <t>Pressing Device</t>
  </si>
  <si>
    <r>
      <rPr>
        <b/>
        <sz val="10"/>
        <rFont val="Arial"/>
        <family val="2"/>
      </rPr>
      <t xml:space="preserve">Only for hirschman connector; </t>
    </r>
    <r>
      <rPr>
        <sz val="10"/>
        <rFont val="Arial"/>
        <family val="2"/>
      </rPr>
      <t>Place the cable in the press head, crimping on the shield, release of the cable</t>
    </r>
  </si>
  <si>
    <t>VKM Press</t>
  </si>
  <si>
    <t>Automatic</t>
  </si>
  <si>
    <t>Manual</t>
  </si>
  <si>
    <t>Automaitc</t>
  </si>
  <si>
    <r>
      <t>Tape width = 19 mm when overlap equal or over 50% requested by Customer</t>
    </r>
    <r>
      <rPr>
        <b/>
        <sz val="11"/>
        <color indexed="30"/>
        <rFont val="Arial"/>
        <family val="2"/>
      </rPr>
      <t xml:space="preserve"> </t>
    </r>
  </si>
  <si>
    <t>Semi-auto</t>
  </si>
  <si>
    <t>Semi-automatic</t>
  </si>
  <si>
    <t>Get support and assembly connector to support</t>
  </si>
  <si>
    <t>Autmatic</t>
  </si>
  <si>
    <t>Start check</t>
  </si>
  <si>
    <t>End Check</t>
  </si>
  <si>
    <r>
      <t xml:space="preserve">Insert  wires through closed conduits/tubes
</t>
    </r>
    <r>
      <rPr>
        <b/>
        <sz val="10"/>
        <rFont val="Arial"/>
        <family val="2"/>
      </rPr>
      <t>0mm - 1500mm
NOTE: group of wires (twists, multiconductors etc) to be considered as 1 wire</t>
    </r>
  </si>
  <si>
    <r>
      <t xml:space="preserve">Insert  wires through closed conduits/tubes
</t>
    </r>
    <r>
      <rPr>
        <b/>
        <sz val="10"/>
        <rFont val="Arial"/>
        <family val="2"/>
      </rPr>
      <t>1501mm - 6000mm
NOTE: group of wires (twists, multiconductors etc) to be considered as 1 wire</t>
    </r>
  </si>
  <si>
    <r>
      <t>CAP COVER APPLICATION -</t>
    </r>
    <r>
      <rPr>
        <sz val="10"/>
        <color indexed="12"/>
        <rFont val="Arial"/>
        <family val="2"/>
      </rPr>
      <t xml:space="preserve"> </t>
    </r>
    <r>
      <rPr>
        <b/>
        <sz val="10"/>
        <color indexed="12"/>
        <rFont val="Arial"/>
        <family val="2"/>
      </rPr>
      <t>EU</t>
    </r>
  </si>
  <si>
    <t>FA</t>
  </si>
  <si>
    <t>cut coaxial twisted twin cables and multiconductor wires
FLEX RAY
ETHERNET</t>
  </si>
  <si>
    <t>Strip, apply Seal &amp; Crimp  single wires (including FLEX RAY, ETHERNET)</t>
  </si>
  <si>
    <t xml:space="preserve">Strip, apply seal and Crimping are all performed in same machine (stripper-sealer-crimper).  It applies also for wires from Oxigen sensor </t>
  </si>
  <si>
    <r>
      <t xml:space="preserve">Schleuniger </t>
    </r>
    <r>
      <rPr>
        <sz val="12"/>
        <rFont val="Arial"/>
        <family val="2"/>
      </rPr>
      <t xml:space="preserve">
PS 9550 / 9480</t>
    </r>
  </si>
  <si>
    <t>seal and term press
 BT752/ Artos SSC501</t>
  </si>
  <si>
    <t xml:space="preserve"> Untwister Exmore (NA)</t>
  </si>
  <si>
    <t>Untwist ETHERNET wires  (NA)</t>
  </si>
  <si>
    <t xml:space="preserve">Untwist Ethernet wires </t>
  </si>
  <si>
    <r>
      <t xml:space="preserve">Kabatec E9 Benchtop (machine can proceed twisted pairs with cross section up to 2 x 1,5mm²).
Recommended tape: </t>
    </r>
    <r>
      <rPr>
        <sz val="8"/>
        <rFont val="Arial"/>
        <family val="2"/>
        <charset val="238"/>
      </rPr>
      <t>M5209107 textil (100m length) and M4060 PVC (both 9 mm width) 
For NA: M4037101 (19 mm width)</t>
    </r>
  </si>
  <si>
    <r>
      <t xml:space="preserve">Schleuniger </t>
    </r>
    <r>
      <rPr>
        <sz val="12"/>
        <rFont val="Arial"/>
        <family val="2"/>
      </rPr>
      <t xml:space="preserve">
PS9550</t>
    </r>
  </si>
  <si>
    <t>Starting point: introduction of wire in the machine, 
finishing point: wire is taken out of the machine .</t>
  </si>
  <si>
    <t xml:space="preserve">REOPEN TWISTED WIRES / 
Untwist wires </t>
  </si>
  <si>
    <t xml:space="preserve">Reopen Twisted Wires Station 
</t>
  </si>
  <si>
    <t xml:space="preserve">
TEKNOMATIK (EU) / 
Untwister Exmore (NA)
</t>
  </si>
  <si>
    <t>Alprema</t>
  </si>
  <si>
    <t>SPOT TAPING OVER TWISTED PAIR
&amp; unjacked FLEX RAY / ETHERNET / CAN / CAN-FD</t>
  </si>
  <si>
    <r>
      <t>To avoid untwisting on twist ends
When required and be added on BOM. 
For twisted pairs with total cross section =&lt; 1,5mm</t>
    </r>
    <r>
      <rPr>
        <sz val="8"/>
        <rFont val="Calibri"/>
        <family val="2"/>
        <charset val="238"/>
      </rPr>
      <t xml:space="preserve">².
</t>
    </r>
    <r>
      <rPr>
        <b/>
        <sz val="8"/>
        <rFont val="Calibri"/>
        <family val="2"/>
        <charset val="238"/>
      </rPr>
      <t xml:space="preserve">
EU detailed configuration:</t>
    </r>
    <r>
      <rPr>
        <sz val="8"/>
        <rFont val="Calibri"/>
        <family val="2"/>
        <charset val="238"/>
      </rPr>
      <t xml:space="preserve">
- For high speed data and high sensitive/fragile wires (CAN, CAN-FD, Flexray, Ethernet wires) – Twisting POS
- For splice process of below configuration: (1 wire is longer than the other and also customer spec. due to splice configuration) – USW POS
- For 0,13 mm wire splices and sensitive splices identified in the POS (with 19 mm tap width) – USW POS
- For heat shrink process – Sealing POS</t>
    </r>
  </si>
  <si>
    <t>Scan bar code label / manifest / order</t>
  </si>
  <si>
    <t>Apply grease into cavities and edge of connector / per connector
(Reach the harness from the hook - Leave the harness on the hook)</t>
  </si>
  <si>
    <t>GREASE APPLICATION
Nyogel Lubricant Application inside and on the connector edge - NA</t>
  </si>
  <si>
    <r>
      <t xml:space="preserve">Route wires on board
</t>
    </r>
    <r>
      <rPr>
        <b/>
        <sz val="10"/>
        <rFont val="Arial"/>
        <family val="2"/>
        <charset val="238"/>
      </rPr>
      <t>NOTE for NA Region</t>
    </r>
    <r>
      <rPr>
        <sz val="10"/>
        <rFont val="Arial"/>
        <family val="2"/>
      </rPr>
      <t>:
(NA: use also for subh, pigtails with unknown estimated length, rounded to 12 sec)</t>
    </r>
  </si>
  <si>
    <t xml:space="preserve">Detections phase - detection of all required elements in the connector </t>
  </si>
  <si>
    <t>per HV connector</t>
  </si>
  <si>
    <t xml:space="preserve">connector placed into holder </t>
  </si>
  <si>
    <t>end of detecions test</t>
  </si>
  <si>
    <t>Resistance measurement (core and shield / screen)</t>
  </si>
  <si>
    <t>detections test passed</t>
  </si>
  <si>
    <t xml:space="preserve">end of resistance measurement </t>
  </si>
  <si>
    <t>Low voltage short circuits test</t>
  </si>
  <si>
    <t>resistance measurement passed</t>
  </si>
  <si>
    <t>end of low voltage test</t>
  </si>
  <si>
    <r>
      <t xml:space="preserve">Dry the mould by air gun - </t>
    </r>
    <r>
      <rPr>
        <b/>
        <sz val="8"/>
        <rFont val="Arial"/>
        <family val="2"/>
        <charset val="238"/>
      </rPr>
      <t xml:space="preserve">per Grommet </t>
    </r>
  </si>
  <si>
    <r>
      <t xml:space="preserve">Get the harness from input buffer - </t>
    </r>
    <r>
      <rPr>
        <b/>
        <sz val="8"/>
        <rFont val="Arial"/>
        <family val="2"/>
        <charset val="238"/>
      </rPr>
      <t>per harness</t>
    </r>
  </si>
  <si>
    <r>
      <t xml:space="preserve">Move the trolley into PUR area - </t>
    </r>
    <r>
      <rPr>
        <b/>
        <sz val="8"/>
        <rFont val="Arial"/>
        <family val="2"/>
        <charset val="238"/>
      </rPr>
      <t>per harness</t>
    </r>
  </si>
  <si>
    <r>
      <t xml:space="preserve">Make sealing spot taping and measure with gauge - </t>
    </r>
    <r>
      <rPr>
        <b/>
        <sz val="8"/>
        <rFont val="Arial"/>
        <family val="2"/>
        <charset val="238"/>
      </rPr>
      <t>per grommet</t>
    </r>
  </si>
  <si>
    <r>
      <t xml:space="preserve">Scan the barcode - </t>
    </r>
    <r>
      <rPr>
        <b/>
        <sz val="8"/>
        <rFont val="Arial"/>
        <family val="2"/>
        <charset val="238"/>
      </rPr>
      <t>per harness</t>
    </r>
  </si>
  <si>
    <r>
      <t xml:space="preserve">Get harness &amp; position in mould - </t>
    </r>
    <r>
      <rPr>
        <b/>
        <sz val="8"/>
        <rFont val="Arial"/>
        <family val="2"/>
        <charset val="238"/>
      </rPr>
      <t>Per Grommet</t>
    </r>
    <r>
      <rPr>
        <sz val="8"/>
        <rFont val="Arial"/>
        <family val="2"/>
      </rPr>
      <t xml:space="preserve"> </t>
    </r>
  </si>
  <si>
    <r>
      <t>Get &amp; Apply release agent -</t>
    </r>
    <r>
      <rPr>
        <b/>
        <sz val="8"/>
        <rFont val="Arial"/>
        <family val="2"/>
        <charset val="238"/>
      </rPr>
      <t xml:space="preserve">per Grommet </t>
    </r>
  </si>
  <si>
    <t>Comment</t>
  </si>
  <si>
    <t>Get the harness from transportation (rail/hook) system and put into the trolley</t>
  </si>
  <si>
    <t>Two spot tapes under one grommet</t>
  </si>
  <si>
    <r>
      <t xml:space="preserve">Place defined elements into holders and sockets - </t>
    </r>
    <r>
      <rPr>
        <b/>
        <sz val="8"/>
        <rFont val="Arial"/>
        <family val="2"/>
        <charset val="238"/>
      </rPr>
      <t>per grommet</t>
    </r>
  </si>
  <si>
    <t>Error proofing system for harness and branch orientation accordingly to the 3D routing of the harness</t>
  </si>
  <si>
    <t>Mean value of the currently running projects; +7 s per each additional grommet on one harness</t>
  </si>
  <si>
    <t>7 s per each additional grommet on this harness</t>
  </si>
  <si>
    <r>
      <rPr>
        <sz val="8"/>
        <rFont val="Arial"/>
        <family val="2"/>
        <charset val="238"/>
      </rPr>
      <t xml:space="preserve">Machine time per injection </t>
    </r>
    <r>
      <rPr>
        <b/>
        <sz val="8"/>
        <rFont val="Arial"/>
        <family val="2"/>
      </rPr>
      <t xml:space="preserve">- </t>
    </r>
    <r>
      <rPr>
        <sz val="8"/>
        <rFont val="Arial"/>
        <family val="2"/>
        <charset val="238"/>
      </rPr>
      <t>mould preparation for</t>
    </r>
    <r>
      <rPr>
        <b/>
        <sz val="8"/>
        <rFont val="Arial"/>
        <family val="2"/>
      </rPr>
      <t xml:space="preserve"> each additional grommet </t>
    </r>
    <r>
      <rPr>
        <sz val="8"/>
        <rFont val="Arial"/>
        <family val="2"/>
        <charset val="238"/>
      </rPr>
      <t>(in case there is more than one grommet on the harness)</t>
    </r>
  </si>
  <si>
    <r>
      <rPr>
        <sz val="8"/>
        <rFont val="Arial"/>
        <family val="2"/>
        <charset val="238"/>
      </rPr>
      <t xml:space="preserve">Reacting time  - </t>
    </r>
    <r>
      <rPr>
        <b/>
        <sz val="8"/>
        <rFont val="Arial"/>
        <family val="2"/>
        <charset val="238"/>
      </rPr>
      <t>per grommet</t>
    </r>
  </si>
  <si>
    <t>Reacting time is constant per grommet</t>
  </si>
  <si>
    <r>
      <t xml:space="preserve">Remove the Harness from mould - </t>
    </r>
    <r>
      <rPr>
        <b/>
        <sz val="8"/>
        <rFont val="Arial"/>
        <family val="2"/>
        <charset val="238"/>
      </rPr>
      <t>per grommet</t>
    </r>
  </si>
  <si>
    <r>
      <t xml:space="preserve">Move the trolley near the cooling area/apply PUR grommet cover if available - </t>
    </r>
    <r>
      <rPr>
        <b/>
        <sz val="8"/>
        <rFont val="Arial"/>
        <family val="2"/>
        <charset val="238"/>
      </rPr>
      <t>per harness</t>
    </r>
  </si>
  <si>
    <r>
      <t xml:space="preserve">Operate time   -  Remove gate &amp; Channel Burrs - </t>
    </r>
    <r>
      <rPr>
        <b/>
        <sz val="8"/>
        <rFont val="Arial"/>
        <family val="2"/>
        <charset val="238"/>
      </rPr>
      <t>per grommet</t>
    </r>
  </si>
  <si>
    <t>Move the trolley near the cooling area, take the harness from the trolley, 
put it on the cooling trolley, scan the barcode of cooling trolley and harness manifest</t>
  </si>
  <si>
    <t>Insulation Resistance (DC) -  at least 2 groups per harness</t>
  </si>
  <si>
    <t>Per High Power Wire (number of wires where HV can be applied)
On each high power wire apply High Potential, rest of the wires + shieldings on low potential.</t>
  </si>
  <si>
    <t>Per each wire in the harness. 
On each wire LV should be applied, rest of the wires grounded.</t>
  </si>
  <si>
    <t>pick up the cable</t>
  </si>
  <si>
    <t>Komax Lambda 240 SP</t>
  </si>
  <si>
    <t>Shield and jacket processing on Coroplast 25 mm² cable</t>
  </si>
  <si>
    <t>Cable placement in machine’s grippers, shield opening, shield cutting, shield folding, inner jacket stripping, cable release.</t>
  </si>
  <si>
    <t xml:space="preserve">terminal orientation for heavy gauge </t>
  </si>
  <si>
    <t xml:space="preserve">support station / tool </t>
  </si>
  <si>
    <t>Executed only 1 time per connector</t>
  </si>
  <si>
    <t>Robots moves to next cavity</t>
  </si>
  <si>
    <t>Operator scans printed label</t>
  </si>
  <si>
    <t>Operator stores the produced connector in pagoda</t>
  </si>
  <si>
    <t>Operator plugs the wire in the respective cavity</t>
  </si>
  <si>
    <t>Vision system validates the plugging</t>
  </si>
  <si>
    <t>Operator picks up wire to be plugged</t>
  </si>
  <si>
    <r>
      <t xml:space="preserve">Process Initialization: </t>
    </r>
    <r>
      <rPr>
        <sz val="9"/>
        <rFont val="Arial"/>
        <family val="2"/>
        <charset val="238"/>
      </rPr>
      <t>scan the manifest, place connector into holder, automatic connector verification, robot initialization</t>
    </r>
  </si>
  <si>
    <t>Operator picks up kit of wires from connection tool</t>
  </si>
  <si>
    <t>Robot moves into position to start first plugging</t>
  </si>
  <si>
    <t>Operator picks up cavity plug to be plugged</t>
  </si>
  <si>
    <t xml:space="preserve">Cavity Plug in a 0.5 cavity (with robot's assistance) </t>
  </si>
  <si>
    <t>Cavity Plug in a 1.2 cavity (without robot's assistance - vision verification is needed)</t>
  </si>
  <si>
    <t>Twisted or Jacked wire in 0.5 cavities (with robot's assistance)</t>
  </si>
  <si>
    <t xml:space="preserve">Single wire in a 0.5 cavity (with robot's assistance) </t>
  </si>
  <si>
    <t>Single wire in a 1.2 cavity (without robot's assistance)</t>
  </si>
  <si>
    <t>Plugging Wires 
(0,5 Nano terminals; 
1.2 &amp; 2.8 terminals)</t>
  </si>
  <si>
    <t>Plugging Cavity Plugs (0,5 and 1.2 cavities)</t>
  </si>
  <si>
    <r>
      <t xml:space="preserve">Process Conclusion: 
</t>
    </r>
    <r>
      <rPr>
        <sz val="9"/>
        <rFont val="Arial"/>
        <family val="2"/>
        <charset val="238"/>
      </rPr>
      <t xml:space="preserve">printing the label, scan the label, place the label on connector, take the kit out of the machine and place on connection tool
</t>
    </r>
  </si>
  <si>
    <t>Operator picks up the wire to be plugged</t>
  </si>
  <si>
    <t>Schleuniger CS6580</t>
  </si>
  <si>
    <t>Inner jacket full stripping</t>
  </si>
  <si>
    <t>Inner jacket partial stripping</t>
  </si>
  <si>
    <r>
      <t xml:space="preserve">&gt;6, &lt;40 way to connector holder
NOTE: to be used also for connector with less than 6 ways when CRA or PFMEA recommendation / </t>
    </r>
    <r>
      <rPr>
        <b/>
        <sz val="10"/>
        <color indexed="10"/>
        <rFont val="Arial"/>
        <family val="2"/>
        <charset val="238"/>
      </rPr>
      <t xml:space="preserve">Customer request </t>
    </r>
  </si>
  <si>
    <r>
      <t xml:space="preserve">Assisted Plugging 
(SOGS - Smart Operator Guidance System - Machine)
</t>
    </r>
    <r>
      <rPr>
        <b/>
        <sz val="10"/>
        <color indexed="10"/>
        <rFont val="Arial"/>
        <family val="2"/>
        <charset val="238"/>
      </rPr>
      <t>EU</t>
    </r>
  </si>
  <si>
    <t>Note: For automatic calculation on GSD; If branch length available in GSD multiply it by  SEC/PC otherwise, as approach multiply SEC/PC by  tape length/1.5 for spiral tapes and tape length/2 for others.</t>
  </si>
  <si>
    <t>Tape widt &gt; 35 mm</t>
  </si>
  <si>
    <t>Overlap / Solid  taping  -- cloth (burrito)</t>
  </si>
  <si>
    <t>Cut tape with scissors or other tool . For width size &gt;35 mm</t>
  </si>
  <si>
    <t>High Voltage test (EU)</t>
  </si>
  <si>
    <t>NA REGION STANDARDS</t>
  </si>
  <si>
    <t>Open and bend ends of a braided strap cable</t>
  </si>
  <si>
    <t>Pick up braided strap cable, open it and bend its end inwards</t>
  </si>
  <si>
    <t>per each end of cable</t>
  </si>
  <si>
    <t>Assemble cover and a braided strap cable, joined with metallic tie</t>
  </si>
  <si>
    <t>Pick up and join parts (Cover, braided strap cable, metalic wire tie)</t>
  </si>
  <si>
    <t>put assembly away</t>
  </si>
  <si>
    <t>per each end</t>
  </si>
  <si>
    <t>Resistance test on cover and braided strap cable assembly</t>
  </si>
  <si>
    <t>Apply resistance test</t>
  </si>
  <si>
    <t>Resistance test device</t>
  </si>
  <si>
    <t>take tester device away</t>
  </si>
  <si>
    <t>Pass cables through braided strap cable</t>
  </si>
  <si>
    <t>Pick up battery cables and pass them through braided strap cable (aligned) with help of special tool</t>
  </si>
  <si>
    <t>per process</t>
  </si>
  <si>
    <t>Apply seal gasket on connector</t>
  </si>
  <si>
    <t>Pick up and join loose materials (seal gasket, conn). Two conn, two ends were analized</t>
  </si>
  <si>
    <t>put piece away</t>
  </si>
  <si>
    <t>per each end (per each conn)</t>
  </si>
  <si>
    <t>Assemble USW terminals and connector cover to main connector (2 conn, 3 term by each end)</t>
  </si>
  <si>
    <t>Pick up assembly (battery cables inside the strap cable with cover attached) and join it to connector</t>
  </si>
  <si>
    <t>Leak test for connectors</t>
  </si>
  <si>
    <t>Apply leak test to connectors (2 at a time)</t>
  </si>
  <si>
    <t>Leak test station</t>
  </si>
  <si>
    <t>Apply and secure O-Rings into connector</t>
  </si>
  <si>
    <t>Pick up assembly of battery cables with connectors and place it on the station, pick up O-Rings and apply them on each connector</t>
  </si>
  <si>
    <t>Hi Voltage Test</t>
  </si>
  <si>
    <t>Take harness and place it into Hi pot station, place each connector on propper holder and do the hi voltage test</t>
  </si>
  <si>
    <t>Hi-pot station</t>
  </si>
  <si>
    <t>put harness away</t>
  </si>
  <si>
    <t>20 sec per each conn on harness</t>
  </si>
  <si>
    <t>Take off inner insulation from coax cable</t>
  </si>
  <si>
    <t>Take off outer jacket of mulitconductor, coax cable, same as Lead Prep</t>
  </si>
  <si>
    <t>Cab End</t>
  </si>
  <si>
    <t>Sonic Splice with coax cables</t>
  </si>
  <si>
    <t>Pick up and place the wires in proper position, perform welding, release the cables. (4 cables on this analysis)</t>
  </si>
  <si>
    <t>Telsonic</t>
  </si>
  <si>
    <t>Place the cables in the head</t>
  </si>
  <si>
    <t xml:space="preserve">Cables released </t>
  </si>
  <si>
    <t>Shrinking over the splice with positioning required (including cooling)</t>
  </si>
  <si>
    <t>Mecalbi Station</t>
  </si>
  <si>
    <t>Adjust tube position with vision system</t>
  </si>
  <si>
    <t>Apply O'Rings over barrel terminal</t>
  </si>
  <si>
    <t>Pick up O-Rings and apply them around the barrel terminal</t>
  </si>
  <si>
    <t>Leave assembly  away</t>
  </si>
  <si>
    <t>Pico Press</t>
  </si>
  <si>
    <t>single crimping for loose terminal on coax cable including orientation</t>
  </si>
  <si>
    <t>single crimping on coax cable for loose terminal going after a ferrule</t>
  </si>
  <si>
    <t>Schleuniger CT65</t>
  </si>
  <si>
    <t>terostat preparation (including weight)</t>
  </si>
  <si>
    <t>Reach for material</t>
  </si>
  <si>
    <t xml:space="preserve">Portion weighted and ready to use </t>
  </si>
  <si>
    <t xml:space="preserve">per piece </t>
  </si>
  <si>
    <r>
      <rPr>
        <sz val="8"/>
        <rFont val="Arial"/>
        <family val="2"/>
        <charset val="238"/>
      </rPr>
      <t>Machine time per injection-</t>
    </r>
    <r>
      <rPr>
        <b/>
        <sz val="8"/>
        <rFont val="Arial"/>
        <family val="2"/>
      </rPr>
      <t xml:space="preserve"> </t>
    </r>
    <r>
      <rPr>
        <sz val="8"/>
        <rFont val="Arial"/>
        <family val="2"/>
      </rPr>
      <t xml:space="preserve"> Get machine heads &amp; make injection - </t>
    </r>
    <r>
      <rPr>
        <b/>
        <sz val="8"/>
        <rFont val="Arial"/>
        <family val="2"/>
        <charset val="238"/>
      </rPr>
      <t>per harness</t>
    </r>
  </si>
  <si>
    <t xml:space="preserve">Tyco press - hydraulic Crimp Machine AT-66 / Schleuniger CT65 (NA Region)
</t>
  </si>
  <si>
    <t>Pick up and apply loose materials (covers / housings / spacers / metal rings /shrinking tubes /metalic shields / protections / ferrule) over cable or inner housing and fix with tie / stopper</t>
  </si>
  <si>
    <t>Apply outer ferrul over inner ferrule</t>
  </si>
  <si>
    <r>
      <t xml:space="preserve">Build harness to test board
NOTE: to be used also when capacitance test required
</t>
    </r>
    <r>
      <rPr>
        <b/>
        <sz val="10"/>
        <rFont val="Arial"/>
        <family val="2"/>
        <charset val="238"/>
      </rPr>
      <t>NOTE for EU &amp; AP</t>
    </r>
    <r>
      <rPr>
        <sz val="10"/>
        <rFont val="Arial"/>
        <family val="2"/>
      </rPr>
      <t xml:space="preserve">: the same standard to be used for kits and subs (wire continuity test) testing based on Electrical Test Approach and associated PFMEA record (Flow 4)
</t>
    </r>
    <r>
      <rPr>
        <b/>
        <sz val="10"/>
        <rFont val="Arial"/>
        <family val="2"/>
        <charset val="238"/>
      </rPr>
      <t>NOTE for SA &amp; AP</t>
    </r>
    <r>
      <rPr>
        <sz val="10"/>
        <rFont val="Arial"/>
        <family val="2"/>
      </rPr>
      <t>: to be used also when functionality test requested for fuses and relays (consider 2x for connectors that conenct to fuse box)</t>
    </r>
  </si>
  <si>
    <r>
      <t xml:space="preserve">Test harness and remove from test board
NOTE: to be used also when capacitance test required
</t>
    </r>
    <r>
      <rPr>
        <b/>
        <sz val="10"/>
        <rFont val="Arial"/>
        <family val="2"/>
        <charset val="238"/>
      </rPr>
      <t>NOTE for EU &amp; AP</t>
    </r>
    <r>
      <rPr>
        <sz val="10"/>
        <rFont val="Arial"/>
        <family val="2"/>
      </rPr>
      <t xml:space="preserve">: the same standard to be used for kits and subs (wire continuity test) testing based on Electrical Test Approach and associated PFMEA record (Flow 4)
</t>
    </r>
    <r>
      <rPr>
        <b/>
        <sz val="10"/>
        <rFont val="Arial"/>
        <family val="2"/>
        <charset val="238"/>
      </rPr>
      <t>NOTE for SA &amp; AP</t>
    </r>
    <r>
      <rPr>
        <sz val="10"/>
        <rFont val="Arial"/>
        <family val="2"/>
      </rPr>
      <t>: to be used also when functionality test requested for fuses and relays (consider 2x for connectors that conenct to fuse box)</t>
    </r>
  </si>
  <si>
    <t xml:space="preserve">get harness from connection tool (air transportation, troley etc) </t>
  </si>
  <si>
    <t>per fuse  / relay</t>
  </si>
  <si>
    <t>assemble electronics (ex: relay, resistor - delete?)</t>
  </si>
  <si>
    <t xml:space="preserve">Scan bar code label / manifest / order
</t>
  </si>
  <si>
    <t xml:space="preserve">Build fuse box to the holder on MV station </t>
  </si>
  <si>
    <t>Build fuse box to the MV test</t>
  </si>
  <si>
    <t xml:space="preserve">Remove fuse box from MV test and put on the connection tool </t>
  </si>
  <si>
    <t>per harness</t>
  </si>
  <si>
    <t>Start to build to the holder</t>
  </si>
  <si>
    <t>Build tot the holder</t>
  </si>
  <si>
    <t>Reach the scanner</t>
  </si>
  <si>
    <t>reach the scanner</t>
  </si>
  <si>
    <t xml:space="preserve">Reach for the first fuse </t>
  </si>
  <si>
    <t>Reach for the harness</t>
  </si>
  <si>
    <t>Fuse box fixed in the holder</t>
  </si>
  <si>
    <t xml:space="preserve">Harness on the connection tool </t>
  </si>
  <si>
    <t xml:space="preserve">ALRO/ROB (electrical testing of harness) </t>
  </si>
  <si>
    <t xml:space="preserve">Machine Vision </t>
  </si>
  <si>
    <t xml:space="preserve">
Untwist FLEX RAY, CAN &amp; CAN FD twisted wires (for both jacketed and unjacketed twists)
Untwist ETHERNET wires  </t>
  </si>
  <si>
    <t xml:space="preserve">first step is to untwist Flex Ray, CAN, CAN FD twisted wires, then second to strigth the single wires from previously untwisted to prepare them for crimping operation
the time is for pair of twisted wires
Untwist Ethernet wires </t>
  </si>
  <si>
    <t>Scan manifest/ barcode label</t>
  </si>
  <si>
    <t>Reach for the scanner</t>
  </si>
  <si>
    <t>Scanner putting down</t>
  </si>
  <si>
    <t>Get harness from transportation system</t>
  </si>
  <si>
    <t>start of fusebox scanning</t>
  </si>
  <si>
    <t>Fusebox scanning (if requested by Customer)</t>
  </si>
  <si>
    <t>per fusebox</t>
  </si>
  <si>
    <t>reach for the scanner</t>
  </si>
  <si>
    <t>Fusebox placing into holder</t>
  </si>
  <si>
    <t>Fusebox fixed into holder</t>
  </si>
  <si>
    <t>Remove fusebox from holder after finished test</t>
  </si>
  <si>
    <t>Reach for the fusebox</t>
  </si>
  <si>
    <t>Fusebox on the transportation system</t>
  </si>
  <si>
    <t>Containment</t>
  </si>
  <si>
    <r>
      <t xml:space="preserve">get and start apply slit PVC </t>
    </r>
    <r>
      <rPr>
        <sz val="10"/>
        <rFont val="Arial"/>
        <family val="2"/>
      </rPr>
      <t xml:space="preserve">&amp; braid </t>
    </r>
    <r>
      <rPr>
        <sz val="10"/>
        <rFont val="Arial"/>
        <family val="2"/>
      </rPr>
      <t xml:space="preserve">tubes &amp; conduits (usage of supporting tool is manufacturing standard) </t>
    </r>
  </si>
  <si>
    <t>apply body clip / pin / fastener to cable channel</t>
  </si>
  <si>
    <t>Get coiled wire (antenna, twist, double, multiconductor, coaxial etc) for plugging</t>
  </si>
  <si>
    <t xml:space="preserve">Cut foil with hand tool  open the foil and remove </t>
  </si>
  <si>
    <t>Defoil and cut aluminium foil  / cotton strip (for all shilded)</t>
  </si>
  <si>
    <t>Fold back and fix braided shield with tape</t>
  </si>
  <si>
    <t xml:space="preserve">positioning tool </t>
  </si>
  <si>
    <t xml:space="preserve">Brazing </t>
  </si>
  <si>
    <t>time include to pick up wire, fold back braided shield using the tool, assembly wire to holder, get tape and make spot on shield according to layout, cut tape and remove the wire
NOTE:  
Mspec M4827009 
5mm width</t>
  </si>
  <si>
    <t>http://p04.na.delphiauto.net/04/102/cme/IndEng/GCSD/Shared%20Documents/Forms/AllItems.aspx?RootFolder=%2F04%2F102%2Fcme%2FIndEng%2FGCSD%2FShared%20Documents%2FGCSD%20Catalogue%2FHV%20catalogue%20by%20connector&amp;InitialTabId=Ribbon%2EDocument&amp;VisibilityContext=WSSTabPersistence</t>
  </si>
  <si>
    <r>
      <rPr>
        <b/>
        <u/>
        <sz val="22"/>
        <rFont val="Arial"/>
        <family val="2"/>
        <charset val="238"/>
      </rPr>
      <t>NOTE FOR EU FLOW 3:</t>
    </r>
    <r>
      <rPr>
        <b/>
        <sz val="22"/>
        <rFont val="Arial"/>
        <family val="2"/>
      </rPr>
      <t xml:space="preserve">
Standard times by connector Supplier are available under the link:
</t>
    </r>
  </si>
  <si>
    <t>Seal Station / per application 
(masks or small devices to support can be used)</t>
  </si>
  <si>
    <t>APPLY / PLUG SEAL / CAVITY PLUG TO CONNECTOR</t>
  </si>
  <si>
    <t xml:space="preserve"> Take out the branch from the  pressure chamber and place the harnnes on the hook</t>
  </si>
  <si>
    <t xml:space="preserve">per each additional grommet on the harness </t>
  </si>
  <si>
    <t>moved to LP to have possibility to choose between LP and FA location</t>
  </si>
  <si>
    <t>JOIN CABLE TIE WITH BODY CLIP</t>
  </si>
  <si>
    <t xml:space="preserve">per component application </t>
  </si>
  <si>
    <t xml:space="preserve">manual station to join two seperate DPN / APN </t>
  </si>
  <si>
    <t xml:space="preserve">TEROSTAT PREPARATION </t>
  </si>
  <si>
    <t xml:space="preserve">Coiling </t>
  </si>
  <si>
    <t>Ranges of length</t>
  </si>
  <si>
    <t>Total</t>
  </si>
  <si>
    <r>
      <t>Manual coiling</t>
    </r>
    <r>
      <rPr>
        <strike/>
        <sz val="10"/>
        <rFont val="Arial"/>
        <family val="2"/>
        <charset val="238"/>
      </rPr>
      <t xml:space="preserve">
Cross section</t>
    </r>
    <r>
      <rPr>
        <b/>
        <strike/>
        <sz val="10"/>
        <rFont val="Arial"/>
        <family val="2"/>
        <charset val="238"/>
      </rPr>
      <t xml:space="preserve"> =&lt; 4mm²</t>
    </r>
    <r>
      <rPr>
        <strike/>
        <sz val="10"/>
        <rFont val="Arial"/>
        <family val="2"/>
        <charset val="238"/>
      </rPr>
      <t xml:space="preserve"> </t>
    </r>
  </si>
  <si>
    <r>
      <t>Manual coiling</t>
    </r>
    <r>
      <rPr>
        <strike/>
        <sz val="10"/>
        <rFont val="Arial"/>
        <family val="2"/>
        <charset val="238"/>
      </rPr>
      <t xml:space="preserve">
Cross section </t>
    </r>
    <r>
      <rPr>
        <b/>
        <strike/>
        <sz val="10"/>
        <rFont val="Arial"/>
        <family val="2"/>
        <charset val="238"/>
      </rPr>
      <t xml:space="preserve">&gt; 4mm² &lt; 11mm² </t>
    </r>
    <r>
      <rPr>
        <strike/>
        <sz val="10"/>
        <rFont val="Arial"/>
        <family val="2"/>
        <charset val="238"/>
      </rPr>
      <t xml:space="preserve">
To be used also for twisted wires, doubles, multiconductors, coaxial cables and antennas needs when total (sum of gages) cross section &gt; than 3 mm² and length is more than 4 mt</t>
    </r>
  </si>
  <si>
    <t>fuse &amp; relay height check (applicable for manual fuse / relay assembly)
(applies for EU Region)</t>
  </si>
  <si>
    <t xml:space="preserve">Technax </t>
  </si>
  <si>
    <t xml:space="preserve">Manual work </t>
  </si>
  <si>
    <t xml:space="preserve">Tape width = 25 mm when overlap equal or over 50% requested by Customer </t>
  </si>
  <si>
    <t xml:space="preserve">Tape width = 38 mm  mm when overlap equal or over 50% requested by Customer </t>
  </si>
  <si>
    <r>
      <t xml:space="preserve">containment if requested by Customer entire life of the product
To be used also in </t>
    </r>
    <r>
      <rPr>
        <b/>
        <sz val="10"/>
        <rFont val="Arial"/>
        <family val="2"/>
        <charset val="238"/>
      </rPr>
      <t xml:space="preserve">NA Region </t>
    </r>
    <r>
      <rPr>
        <sz val="10"/>
        <rFont val="Arial"/>
        <family val="2"/>
      </rPr>
      <t xml:space="preserve"> for:
dimensional harness measure when customer requires it (with clips tables)</t>
    </r>
  </si>
  <si>
    <t>Pick up the harness</t>
  </si>
  <si>
    <t xml:space="preserve">Remove the harness from the machine </t>
  </si>
  <si>
    <t>Activate the machine cycle, machine cycle to perform brazing and keep hands on the buttons (for terminals of 8mm up to 14mm)</t>
  </si>
  <si>
    <t xml:space="preserve">Terminal released out of the electrode </t>
  </si>
  <si>
    <t xml:space="preserve">Operator puts hands on machine buttons (operator keeps hands on machine buttons during entire machine cycle time) </t>
  </si>
  <si>
    <t>Manual work to load terminals and wires correctly to the machine (get and loading harness; get and loading terminal)</t>
  </si>
  <si>
    <t>Get finished splice</t>
  </si>
  <si>
    <t>Coiled splice configuration</t>
  </si>
  <si>
    <t>For any type of splice. 
Onece per Splice</t>
  </si>
  <si>
    <t>Manual Coiling for Splices
(NA Region)</t>
  </si>
  <si>
    <r>
      <t>LED navigation to plug one color wires / special wires (</t>
    </r>
    <r>
      <rPr>
        <sz val="10"/>
        <rFont val="Arial"/>
        <family val="2"/>
        <charset val="238"/>
      </rPr>
      <t>including multiconductors) to connector</t>
    </r>
    <r>
      <rPr>
        <u/>
        <sz val="10"/>
        <rFont val="Arial"/>
        <family val="2"/>
        <charset val="238"/>
      </rPr>
      <t xml:space="preserve">
</t>
    </r>
  </si>
  <si>
    <t xml:space="preserve">Manual coiling
Cross section =&lt; 4mm² 
(Regions to decide the location LP or FA)
</t>
  </si>
  <si>
    <t>Manual coiling
Cross section &gt; 4mm² &lt; 11mm² 
To be used also for twisted wires, doubles, multiconductors, coaxial cables and antennas needs when total (sum of gages) cross section &gt; than 3 mm² and length is more than 4 m
(Regions to decide the location LP or FA)</t>
  </si>
  <si>
    <t>High Voltage test (AP)</t>
  </si>
  <si>
    <t>sum Hi pot testing conn. group
group=C(n,2)
 n=Qty. of shielding layer and terminal of connector</t>
  </si>
  <si>
    <r>
      <t>P</t>
    </r>
    <r>
      <rPr>
        <sz val="10"/>
        <rFont val="Arial"/>
        <family val="2"/>
      </rPr>
      <t>rint the label</t>
    </r>
  </si>
  <si>
    <t>Per group
if the leakage testing connectors have connectivity each other, only consider 1 group.</t>
  </si>
  <si>
    <t>Resistance measurement (core and shield / screen)
&gt;=0.5mΩ</t>
  </si>
  <si>
    <t>per wire (WEE Tester)</t>
  </si>
  <si>
    <t>Resistance measurement (core and shield / screen)
＜0.5mΩ</t>
  </si>
  <si>
    <t>per wire (separate resistance tester)</t>
  </si>
  <si>
    <t xml:space="preserve"> Capacitance Test
＜9nF</t>
  </si>
  <si>
    <t>Per  Capacitance (separate capacitance tester)</t>
  </si>
  <si>
    <t xml:space="preserve">end of  Capacitance  measurement </t>
  </si>
  <si>
    <t>Group</t>
    <phoneticPr fontId="5" type="noConversion"/>
  </si>
  <si>
    <t>Hi-pot and Insulation Resistance test harness</t>
  </si>
  <si>
    <t xml:space="preserve">Leakage test harness(To be used also for oxygen sensor:  Leak Test)
</t>
  </si>
  <si>
    <t xml:space="preserve">moved from FA MISC and revised </t>
  </si>
  <si>
    <t>Y-splice assembly (ongoing)</t>
  </si>
  <si>
    <t>Close end-cap (ongoing)</t>
  </si>
  <si>
    <t>Connector subassembly (ongoing)</t>
  </si>
  <si>
    <t>test próżniowy na unshielded (ongoing)</t>
  </si>
  <si>
    <t>Get and Apply Screw (machine or self-tapping screw)</t>
  </si>
  <si>
    <t xml:space="preserve">Get and apply BOLT With/Without COVER + Tightening </t>
  </si>
  <si>
    <t>Get and apply NUT TO BOLT + Tightening</t>
  </si>
  <si>
    <t>Reach for bolt and cover</t>
  </si>
  <si>
    <t>Reach for  nut</t>
  </si>
  <si>
    <t>Terminal ready for the plugging operation</t>
  </si>
  <si>
    <t>per mask</t>
  </si>
  <si>
    <t>reach for mask</t>
  </si>
  <si>
    <t xml:space="preserve">released mask on place </t>
  </si>
  <si>
    <t xml:space="preserve">assemble fuses / relays / resistor </t>
  </si>
  <si>
    <r>
      <t xml:space="preserve">Slice terostat when provided in  block (if applies) </t>
    </r>
    <r>
      <rPr>
        <b/>
        <sz val="8"/>
        <rFont val="Arial"/>
        <family val="2"/>
        <charset val="238"/>
      </rPr>
      <t xml:space="preserve">AP REGION ONLY </t>
    </r>
  </si>
  <si>
    <t xml:space="preserve">Gilotinue </t>
  </si>
  <si>
    <r>
      <t xml:space="preserve">Remove protection and make portion of terostat flat (if applies) </t>
    </r>
    <r>
      <rPr>
        <b/>
        <sz val="8"/>
        <rFont val="Arial"/>
        <family val="2"/>
        <charset val="238"/>
      </rPr>
      <t>AP REGION ONLY</t>
    </r>
  </si>
  <si>
    <t>Get Branch</t>
  </si>
  <si>
    <t>Get Wire</t>
  </si>
  <si>
    <t>Start press</t>
  </si>
  <si>
    <t>Get branch</t>
  </si>
  <si>
    <t>Get Gromment</t>
  </si>
  <si>
    <t>Release Groment</t>
  </si>
  <si>
    <t xml:space="preserve"> Load/Unload Branch  on the board with tool</t>
  </si>
  <si>
    <r>
      <t>Sealing branch (</t>
    </r>
    <r>
      <rPr>
        <b/>
        <sz val="11"/>
        <rFont val="Arial"/>
        <family val="2"/>
        <charset val="238"/>
      </rPr>
      <t>AP REGION</t>
    </r>
    <r>
      <rPr>
        <sz val="10"/>
        <rFont val="Arial"/>
        <family val="2"/>
      </rPr>
      <t>)
get and apply  sealant, including taping over and sliding grommet over taped area</t>
    </r>
  </si>
  <si>
    <t>Put sealant on the tool witout protection</t>
  </si>
  <si>
    <t xml:space="preserve">
 Put the wire on sealant （per One wire）</t>
  </si>
  <si>
    <t>Get sealant</t>
  </si>
  <si>
    <t>Release sealant</t>
  </si>
  <si>
    <t xml:space="preserve">
Open twist (if applies)</t>
  </si>
  <si>
    <t xml:space="preserve">
Press with tool</t>
  </si>
  <si>
    <t>Tool - press</t>
  </si>
  <si>
    <t xml:space="preserve">
Reshape the branch with tool</t>
  </si>
  <si>
    <t>Shaping tool</t>
  </si>
  <si>
    <t xml:space="preserve">
Taping on Sealant</t>
  </si>
  <si>
    <t xml:space="preserve">
Slide grommet over sealant area</t>
  </si>
  <si>
    <t>Torque</t>
  </si>
  <si>
    <r>
      <t xml:space="preserve">Fuse/relay height check
</t>
    </r>
    <r>
      <rPr>
        <b/>
        <sz val="11"/>
        <rFont val="Arial"/>
        <family val="2"/>
        <charset val="238"/>
      </rPr>
      <t xml:space="preserve">AP REGION ONLY </t>
    </r>
  </si>
  <si>
    <t>per EACH fuse/relay position (Include empty position)</t>
  </si>
  <si>
    <t>Start to check</t>
  </si>
  <si>
    <t>Finish check</t>
  </si>
  <si>
    <t>Unsealed terminals / unsealed connector (for busbar count each terminal)</t>
  </si>
  <si>
    <r>
      <t xml:space="preserve">Hi-Pot Testing
&amp; Leakage Testing
(SA Region)  
</t>
    </r>
    <r>
      <rPr>
        <sz val="11"/>
        <rFont val="宋体"/>
        <charset val="134"/>
      </rPr>
      <t/>
    </r>
  </si>
  <si>
    <t xml:space="preserve">Hi-Pot Testing
</t>
  </si>
  <si>
    <t>Prepare the Braid and position it in the Holder
Close the machine guard and press the test start button
Remove the braid from the holder / equipment</t>
  </si>
  <si>
    <t xml:space="preserve">Load / unload mask (NA, AP, SA Region) </t>
  </si>
  <si>
    <t>For coaxial cables Testing</t>
  </si>
  <si>
    <t>Prepare the Coaxial and position it in the Holder/Equipment
Press the test start button
Remove the coaxial from the holder / equipment</t>
  </si>
  <si>
    <t>Pick up the cable</t>
  </si>
  <si>
    <t>Removed from holder</t>
  </si>
  <si>
    <t>apply cable ties  /  body clip with cable tie</t>
  </si>
  <si>
    <t>BUBBLE TEST - JLR - Morocco - measured time</t>
  </si>
  <si>
    <t>TOTAL - R2* LEAD PREP</t>
  </si>
  <si>
    <r>
      <t xml:space="preserve">Wires of one or two colours in one harness where any marking on insulation is not allowed
</t>
    </r>
    <r>
      <rPr>
        <b/>
        <sz val="10"/>
        <rFont val="Arial"/>
        <family val="2"/>
        <charset val="238"/>
      </rPr>
      <t xml:space="preserve">To be used also for connectors with safety functions, ABS, airbags, ESP, Nano  </t>
    </r>
  </si>
  <si>
    <t>WHITE LINE for MQB 05C_972_627 - measured time</t>
  </si>
  <si>
    <t>Specific Audi MQB</t>
  </si>
  <si>
    <t>INSERTION &amp; TEST PLUG SEAL - STEP1 - CHOOSE THE MASK AND PUT ON CONNECTOR - measured time from  Hmili, Mejdi 28 Ian 2019 TN</t>
  </si>
  <si>
    <t>Specific Opel E2XX</t>
  </si>
  <si>
    <t>INSERTION &amp; TEST PLUG SEAL - TAKE TOOL AND CUT PLUG SEAL - measured time from  Hmili, Mejdi 28 Ian 2019 TN</t>
  </si>
  <si>
    <t>Marriage drawing Mega / IP / doors</t>
  </si>
  <si>
    <t>Specific JLR L550 &amp; L551</t>
  </si>
  <si>
    <t>R2*</t>
  </si>
  <si>
    <t xml:space="preserve">Wires number : </t>
  </si>
  <si>
    <t>Cutting</t>
  </si>
  <si>
    <t>Lead Prep</t>
  </si>
  <si>
    <t>Assembly</t>
  </si>
  <si>
    <t>TOTAL SUMMARY + ANTENNA + OPTICAL FIBER + IGNITION CABLE + HIGH VOLTAGE</t>
  </si>
  <si>
    <t>EU - R2* LEAD PREP</t>
  </si>
  <si>
    <t>R2* Lead Prep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</si>
</sst>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quot;$&quot;#,##0.00_);[Red]\(&quot;$&quot;#,##0.00\)"/>
    <numFmt numFmtId="166" formatCode="_(&quot;$&quot;* #,##0.00_);_(&quot;$&quot;* \(#,##0.00\);_(&quot;$&quot;* &quot;-&quot;??_);_(@_)"/>
    <numFmt numFmtId="167" formatCode="0.00_)"/>
    <numFmt numFmtId="168" formatCode="0.000"/>
    <numFmt numFmtId="169" formatCode="0.0"/>
    <numFmt numFmtId="170" formatCode="0.0%"/>
    <numFmt numFmtId="171" formatCode="0.0000"/>
    <numFmt numFmtId="172" formatCode="0.00_ "/>
  </numFmts>
  <fonts count="95">
    <font>
      <sz val="10"/>
      <name val="Arial"/>
      <family val="2"/>
    </font>
    <font>
      <sz val="10"/>
      <name val="Arial"/>
      <family val="2"/>
    </font>
    <font>
      <sz val="10"/>
      <name val="MS Sans Serif"/>
      <family val="2"/>
    </font>
    <font>
      <u/>
      <sz val="10"/>
      <color indexed="12"/>
      <name val="Arial"/>
      <family val="2"/>
    </font>
    <font>
      <sz val="10"/>
      <name val="Courier"/>
      <family val="3"/>
    </font>
    <font>
      <b/>
      <sz val="10"/>
      <name val="Arial"/>
      <family val="2"/>
    </font>
    <font>
      <sz val="8"/>
      <name val="Arial"/>
      <family val="2"/>
    </font>
    <font>
      <b/>
      <sz val="16"/>
      <name val="Arial"/>
      <family val="2"/>
    </font>
    <font>
      <sz val="8"/>
      <color indexed="10"/>
      <name val="Arial"/>
      <family val="2"/>
    </font>
    <font>
      <sz val="8"/>
      <color indexed="81"/>
      <name val="Tahoma"/>
      <family val="2"/>
    </font>
    <font>
      <b/>
      <sz val="8"/>
      <color indexed="81"/>
      <name val="Tahoma"/>
      <family val="2"/>
    </font>
    <font>
      <sz val="12"/>
      <name val="Arial"/>
      <family val="2"/>
    </font>
    <font>
      <sz val="10"/>
      <color indexed="8"/>
      <name val="Arial"/>
      <family val="2"/>
    </font>
    <font>
      <sz val="8"/>
      <color indexed="8"/>
      <name val="Arial"/>
      <family val="2"/>
    </font>
    <font>
      <sz val="10"/>
      <name val="Arial"/>
      <family val="2"/>
    </font>
    <font>
      <b/>
      <sz val="12"/>
      <name val="Arial"/>
      <family val="2"/>
    </font>
    <font>
      <b/>
      <sz val="10"/>
      <color indexed="12"/>
      <name val="Arial"/>
      <family val="2"/>
    </font>
    <font>
      <sz val="11"/>
      <name val="Arial"/>
      <family val="2"/>
    </font>
    <font>
      <b/>
      <sz val="12"/>
      <color indexed="10"/>
      <name val="Arial"/>
      <family val="2"/>
    </font>
    <font>
      <b/>
      <sz val="12"/>
      <name val="Arial"/>
      <family val="2"/>
    </font>
    <font>
      <b/>
      <sz val="11"/>
      <color indexed="12"/>
      <name val="Arial"/>
      <family val="2"/>
    </font>
    <font>
      <b/>
      <sz val="11"/>
      <color indexed="57"/>
      <name val="Tahoma"/>
      <family val="2"/>
    </font>
    <font>
      <sz val="11"/>
      <color indexed="57"/>
      <name val="Tahoma"/>
      <family val="2"/>
    </font>
    <font>
      <b/>
      <sz val="11"/>
      <color indexed="12"/>
      <name val="Arial"/>
      <family val="2"/>
    </font>
    <font>
      <sz val="10"/>
      <color indexed="10"/>
      <name val="Arial"/>
      <family val="2"/>
    </font>
    <font>
      <b/>
      <sz val="10"/>
      <color indexed="12"/>
      <name val="Arial"/>
      <family val="2"/>
    </font>
    <font>
      <sz val="12"/>
      <name val="Arial"/>
      <family val="2"/>
    </font>
    <font>
      <b/>
      <sz val="11"/>
      <name val="Arial"/>
      <family val="2"/>
    </font>
    <font>
      <b/>
      <sz val="14"/>
      <name val="Arial"/>
      <family val="2"/>
    </font>
    <font>
      <sz val="9"/>
      <name val="Arial"/>
      <family val="2"/>
    </font>
    <font>
      <sz val="14"/>
      <name val="Arial"/>
      <family val="2"/>
    </font>
    <font>
      <sz val="8"/>
      <name val="Arial"/>
      <family val="2"/>
    </font>
    <font>
      <b/>
      <sz val="8"/>
      <name val="Arial"/>
      <family val="2"/>
    </font>
    <font>
      <b/>
      <sz val="10"/>
      <name val="Arial"/>
      <family val="2"/>
    </font>
    <font>
      <sz val="10"/>
      <name val="Arial"/>
      <family val="2"/>
    </font>
    <font>
      <b/>
      <i/>
      <sz val="24"/>
      <name val="Arial"/>
      <family val="2"/>
    </font>
    <font>
      <b/>
      <sz val="10"/>
      <name val="Arial"/>
      <family val="2"/>
      <charset val="238"/>
    </font>
    <font>
      <sz val="10"/>
      <name val="Arial"/>
      <family val="2"/>
      <charset val="238"/>
    </font>
    <font>
      <b/>
      <sz val="12"/>
      <name val="Arial"/>
      <family val="2"/>
      <charset val="238"/>
    </font>
    <font>
      <sz val="11"/>
      <name val="Arial"/>
      <family val="2"/>
    </font>
    <font>
      <sz val="8"/>
      <color indexed="10"/>
      <name val="Arial"/>
      <family val="2"/>
      <charset val="238"/>
    </font>
    <font>
      <sz val="8"/>
      <name val="Arial"/>
      <family val="2"/>
      <charset val="238"/>
    </font>
    <font>
      <sz val="10"/>
      <color indexed="10"/>
      <name val="Arial"/>
      <family val="2"/>
    </font>
    <font>
      <b/>
      <sz val="10"/>
      <color indexed="10"/>
      <name val="Arial"/>
      <family val="2"/>
    </font>
    <font>
      <b/>
      <sz val="10"/>
      <color indexed="10"/>
      <name val="Arial"/>
      <family val="2"/>
    </font>
    <font>
      <sz val="10"/>
      <color indexed="12"/>
      <name val="Arial"/>
      <family val="2"/>
    </font>
    <font>
      <sz val="11"/>
      <name val="宋体"/>
      <charset val="134"/>
    </font>
    <font>
      <sz val="11"/>
      <color indexed="10"/>
      <name val="Arial"/>
      <family val="2"/>
    </font>
    <font>
      <b/>
      <sz val="12"/>
      <color indexed="81"/>
      <name val="Tahoma"/>
      <family val="2"/>
    </font>
    <font>
      <sz val="11"/>
      <color indexed="81"/>
      <name val="Tahoma"/>
      <family val="2"/>
    </font>
    <font>
      <sz val="9"/>
      <color indexed="81"/>
      <name val="Tahoma"/>
      <family val="2"/>
    </font>
    <font>
      <sz val="11"/>
      <name val="Arial"/>
      <family val="2"/>
      <charset val="238"/>
    </font>
    <font>
      <b/>
      <sz val="11"/>
      <name val="Arial"/>
      <family val="2"/>
      <charset val="162"/>
    </font>
    <font>
      <u/>
      <sz val="8"/>
      <name val="Arial"/>
      <family val="2"/>
    </font>
    <font>
      <b/>
      <sz val="9"/>
      <name val="Arial"/>
      <family val="2"/>
    </font>
    <font>
      <b/>
      <sz val="22"/>
      <name val="Arial"/>
      <family val="2"/>
    </font>
    <font>
      <b/>
      <sz val="72"/>
      <name val="Arial"/>
      <family val="2"/>
    </font>
    <font>
      <u/>
      <sz val="10"/>
      <name val="Arial"/>
      <family val="2"/>
      <charset val="238"/>
    </font>
    <font>
      <b/>
      <sz val="9"/>
      <color indexed="81"/>
      <name val="Tahoma"/>
      <family val="2"/>
      <charset val="238"/>
    </font>
    <font>
      <sz val="9"/>
      <color indexed="81"/>
      <name val="Tahoma"/>
      <family val="2"/>
      <charset val="238"/>
    </font>
    <font>
      <b/>
      <sz val="9"/>
      <name val="Arial"/>
      <family val="2"/>
      <charset val="238"/>
    </font>
    <font>
      <sz val="8"/>
      <name val="Calibri"/>
      <family val="2"/>
      <charset val="238"/>
    </font>
    <font>
      <b/>
      <sz val="9"/>
      <color indexed="81"/>
      <name val="Calibri"/>
      <family val="2"/>
      <charset val="238"/>
    </font>
    <font>
      <sz val="12"/>
      <name val="Calibri"/>
      <family val="2"/>
    </font>
    <font>
      <b/>
      <sz val="11"/>
      <color indexed="30"/>
      <name val="Arial"/>
      <family val="2"/>
    </font>
    <font>
      <b/>
      <sz val="8"/>
      <name val="Calibri"/>
      <family val="2"/>
      <charset val="238"/>
    </font>
    <font>
      <b/>
      <sz val="8"/>
      <name val="Arial"/>
      <family val="2"/>
      <charset val="238"/>
    </font>
    <font>
      <sz val="9"/>
      <name val="Arial"/>
      <family val="2"/>
      <charset val="238"/>
    </font>
    <font>
      <b/>
      <sz val="10"/>
      <color indexed="10"/>
      <name val="Arial"/>
      <family val="2"/>
      <charset val="238"/>
    </font>
    <font>
      <b/>
      <u/>
      <sz val="22"/>
      <name val="Arial"/>
      <family val="2"/>
      <charset val="238"/>
    </font>
    <font>
      <b/>
      <sz val="22"/>
      <name val="Arial"/>
      <family val="2"/>
      <charset val="238"/>
    </font>
    <font>
      <strike/>
      <sz val="10"/>
      <name val="Arial"/>
      <family val="2"/>
    </font>
    <font>
      <b/>
      <strike/>
      <sz val="10"/>
      <color indexed="12"/>
      <name val="Arial"/>
      <family val="2"/>
    </font>
    <font>
      <strike/>
      <sz val="11"/>
      <name val="Arial"/>
      <family val="2"/>
    </font>
    <font>
      <b/>
      <strike/>
      <sz val="11"/>
      <color indexed="12"/>
      <name val="Arial"/>
      <family val="2"/>
    </font>
    <font>
      <b/>
      <sz val="10"/>
      <color indexed="8"/>
      <name val="Arial"/>
      <family val="2"/>
      <charset val="238"/>
    </font>
    <font>
      <b/>
      <strike/>
      <sz val="10"/>
      <name val="Arial"/>
      <family val="2"/>
      <charset val="238"/>
    </font>
    <font>
      <strike/>
      <sz val="10"/>
      <name val="Arial"/>
      <family val="2"/>
      <charset val="238"/>
    </font>
    <font>
      <strike/>
      <sz val="8"/>
      <name val="Arial"/>
      <family val="2"/>
      <charset val="238"/>
    </font>
    <font>
      <b/>
      <strike/>
      <sz val="10"/>
      <color indexed="12"/>
      <name val="Arial"/>
      <family val="2"/>
      <charset val="238"/>
    </font>
    <font>
      <strike/>
      <sz val="11"/>
      <name val="Arial"/>
      <family val="2"/>
      <charset val="238"/>
    </font>
    <font>
      <b/>
      <sz val="11"/>
      <name val="Arial"/>
      <family val="2"/>
      <charset val="238"/>
    </font>
    <font>
      <b/>
      <sz val="11"/>
      <color indexed="12"/>
      <name val="Arial"/>
      <family val="2"/>
      <charset val="238"/>
    </font>
    <font>
      <sz val="11"/>
      <color theme="1"/>
      <name val="Calibri"/>
      <family val="2"/>
      <scheme val="minor"/>
    </font>
    <font>
      <b/>
      <sz val="11"/>
      <color rgb="FF3333CC"/>
      <name val="Arial"/>
      <family val="2"/>
    </font>
    <font>
      <sz val="10"/>
      <color theme="0" tint="-0.499984740745262"/>
      <name val="Arial"/>
      <family val="2"/>
    </font>
    <font>
      <sz val="10"/>
      <color rgb="FFFF0000"/>
      <name val="Arial"/>
      <family val="2"/>
    </font>
    <font>
      <b/>
      <sz val="12"/>
      <color rgb="FFFF0000"/>
      <name val="Arial"/>
      <family val="2"/>
    </font>
    <font>
      <strike/>
      <sz val="10"/>
      <color rgb="FFFF0000"/>
      <name val="Arial"/>
      <family val="2"/>
    </font>
    <font>
      <sz val="10"/>
      <color theme="1"/>
      <name val="Arial"/>
      <family val="2"/>
    </font>
    <font>
      <b/>
      <strike/>
      <sz val="11"/>
      <color rgb="FFFF0000"/>
      <name val="Arial"/>
      <family val="2"/>
    </font>
    <font>
      <b/>
      <sz val="10"/>
      <color rgb="FFFF0000"/>
      <name val="Arial"/>
      <family val="2"/>
    </font>
    <font>
      <b/>
      <sz val="12"/>
      <color rgb="FF000000"/>
      <name val="Arial"/>
      <family val="2"/>
    </font>
    <font>
      <sz val="11"/>
      <color rgb="FFFF0000"/>
      <name val="Arial"/>
      <family val="2"/>
    </font>
    <font>
      <b/>
      <sz val="10"/>
      <name val="Tms Rmn"/>
    </font>
  </fonts>
  <fills count="22">
    <fill>
      <patternFill patternType="none"/>
    </fill>
    <fill>
      <patternFill patternType="gray125"/>
    </fill>
    <fill>
      <patternFill patternType="solid">
        <fgColor indexed="51"/>
        <bgColor indexed="64"/>
      </patternFill>
    </fill>
    <fill>
      <patternFill patternType="solid">
        <fgColor indexed="22"/>
        <bgColor indexed="64"/>
      </patternFill>
    </fill>
    <fill>
      <patternFill patternType="solid">
        <fgColor indexed="45"/>
        <bgColor indexed="64"/>
      </patternFill>
    </fill>
    <fill>
      <patternFill patternType="solid">
        <fgColor indexed="42"/>
        <bgColor indexed="64"/>
      </patternFill>
    </fill>
    <fill>
      <patternFill patternType="solid">
        <fgColor indexed="43"/>
        <bgColor indexed="64"/>
      </patternFill>
    </fill>
    <fill>
      <patternFill patternType="solid">
        <fgColor indexed="23"/>
        <bgColor indexed="64"/>
      </patternFill>
    </fill>
    <fill>
      <patternFill patternType="solid">
        <fgColor indexed="9"/>
        <bgColor indexed="64"/>
      </patternFill>
    </fill>
    <fill>
      <patternFill patternType="solid">
        <fgColor rgb="FFFFFF99"/>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rgb="FFCCFFCC"/>
        <bgColor indexed="64"/>
      </patternFill>
    </fill>
    <fill>
      <patternFill patternType="solid">
        <fgColor rgb="FFFCD5B4"/>
        <bgColor indexed="64"/>
      </patternFill>
    </fill>
    <fill>
      <patternFill patternType="solid">
        <fgColor theme="8" tint="0.79998168889431442"/>
        <bgColor indexed="64"/>
      </patternFill>
    </fill>
  </fills>
  <borders count="114">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right/>
      <top/>
      <bottom style="medium">
        <color indexed="64"/>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top style="hair">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bottom style="hair">
        <color indexed="64"/>
      </bottom>
      <diagonal/>
    </border>
    <border>
      <left style="hair">
        <color indexed="64"/>
      </left>
      <right style="hair">
        <color indexed="64"/>
      </right>
      <top/>
      <bottom/>
      <diagonal/>
    </border>
    <border>
      <left style="medium">
        <color indexed="64"/>
      </left>
      <right style="hair">
        <color indexed="64"/>
      </right>
      <top/>
      <bottom/>
      <diagonal/>
    </border>
    <border>
      <left style="hair">
        <color indexed="64"/>
      </left>
      <right style="medium">
        <color indexed="64"/>
      </right>
      <top/>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hair">
        <color indexed="64"/>
      </right>
      <top/>
      <bottom style="medium">
        <color indexed="64"/>
      </bottom>
      <diagonal/>
    </border>
    <border>
      <left style="medium">
        <color indexed="64"/>
      </left>
      <right style="hair">
        <color indexed="64"/>
      </right>
      <top style="hair">
        <color indexed="64"/>
      </top>
      <bottom/>
      <diagonal/>
    </border>
    <border>
      <left style="hair">
        <color indexed="64"/>
      </left>
      <right/>
      <top style="hair">
        <color indexed="64"/>
      </top>
      <bottom/>
      <diagonal/>
    </border>
    <border>
      <left style="hair">
        <color indexed="64"/>
      </left>
      <right style="medium">
        <color indexed="64"/>
      </right>
      <top style="medium">
        <color indexed="64"/>
      </top>
      <bottom/>
      <diagonal/>
    </border>
    <border>
      <left style="hair">
        <color indexed="64"/>
      </left>
      <right style="medium">
        <color indexed="64"/>
      </right>
      <top/>
      <bottom style="medium">
        <color indexed="64"/>
      </bottom>
      <diagonal/>
    </border>
    <border>
      <left style="hair">
        <color indexed="64"/>
      </left>
      <right/>
      <top/>
      <bottom/>
      <diagonal/>
    </border>
    <border>
      <left/>
      <right style="hair">
        <color indexed="64"/>
      </right>
      <top/>
      <bottom/>
      <diagonal/>
    </border>
    <border>
      <left style="medium">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medium">
        <color indexed="64"/>
      </top>
      <bottom/>
      <diagonal/>
    </border>
    <border>
      <left/>
      <right style="hair">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hair">
        <color indexed="64"/>
      </right>
      <top style="medium">
        <color indexed="64"/>
      </top>
      <bottom style="hair">
        <color indexed="64"/>
      </bottom>
      <diagonal/>
    </border>
    <border>
      <left style="thin">
        <color indexed="64"/>
      </left>
      <right style="hair">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top style="medium">
        <color indexed="64"/>
      </top>
      <bottom style="hair">
        <color indexed="64"/>
      </bottom>
      <diagonal/>
    </border>
    <border>
      <left style="hair">
        <color indexed="64"/>
      </left>
      <right/>
      <top style="hair">
        <color indexed="64"/>
      </top>
      <bottom style="medium">
        <color indexed="64"/>
      </bottom>
      <diagonal/>
    </border>
    <border>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right style="hair">
        <color indexed="64"/>
      </right>
      <top style="hair">
        <color indexed="64"/>
      </top>
      <bottom style="hair">
        <color indexed="64"/>
      </bottom>
      <diagonal/>
    </border>
    <border>
      <left style="medium">
        <color indexed="64"/>
      </left>
      <right style="hair">
        <color indexed="64"/>
      </right>
      <top style="medium">
        <color indexed="64"/>
      </top>
      <bottom/>
      <diagonal/>
    </border>
    <border>
      <left style="thin">
        <color indexed="64"/>
      </left>
      <right/>
      <top style="thin">
        <color indexed="64"/>
      </top>
      <bottom style="thin">
        <color indexed="64"/>
      </bottom>
      <diagonal/>
    </border>
    <border>
      <left/>
      <right style="hair">
        <color indexed="64"/>
      </right>
      <top style="hair">
        <color indexed="64"/>
      </top>
      <bottom style="medium">
        <color indexed="64"/>
      </bottom>
      <diagonal/>
    </border>
    <border>
      <left/>
      <right style="hair">
        <color indexed="64"/>
      </right>
      <top style="hair">
        <color indexed="64"/>
      </top>
      <bottom/>
      <diagonal/>
    </border>
    <border>
      <left/>
      <right style="thin">
        <color indexed="64"/>
      </right>
      <top/>
      <bottom/>
      <diagonal/>
    </border>
    <border>
      <left style="thin">
        <color indexed="64"/>
      </left>
      <right style="hair">
        <color indexed="64"/>
      </right>
      <top style="hair">
        <color indexed="64"/>
      </top>
      <bottom style="medium">
        <color indexed="64"/>
      </bottom>
      <diagonal/>
    </border>
    <border>
      <left/>
      <right style="hair">
        <color indexed="64"/>
      </right>
      <top style="medium">
        <color indexed="64"/>
      </top>
      <bottom style="hair">
        <color indexed="64"/>
      </bottom>
      <diagonal/>
    </border>
    <border>
      <left/>
      <right style="hair">
        <color indexed="64"/>
      </right>
      <top/>
      <bottom style="medium">
        <color indexed="64"/>
      </bottom>
      <diagonal/>
    </border>
    <border>
      <left style="medium">
        <color indexed="64"/>
      </left>
      <right/>
      <top style="hair">
        <color indexed="64"/>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style="medium">
        <color indexed="64"/>
      </left>
      <right style="hair">
        <color indexed="64"/>
      </right>
      <top/>
      <bottom style="medium">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diagonal/>
    </border>
    <border>
      <left/>
      <right style="hair">
        <color indexed="64"/>
      </right>
      <top style="medium">
        <color indexed="64"/>
      </top>
      <bottom/>
      <diagonal/>
    </border>
    <border>
      <left/>
      <right/>
      <top style="medium">
        <color indexed="64"/>
      </top>
      <bottom style="hair">
        <color indexed="64"/>
      </bottom>
      <diagonal/>
    </border>
    <border>
      <left style="hair">
        <color indexed="64"/>
      </left>
      <right/>
      <top style="medium">
        <color indexed="64"/>
      </top>
      <bottom/>
      <diagonal/>
    </border>
    <border>
      <left style="medium">
        <color indexed="64"/>
      </left>
      <right/>
      <top style="medium">
        <color indexed="64"/>
      </top>
      <bottom style="medium">
        <color indexed="64"/>
      </bottom>
      <diagonal/>
    </border>
    <border>
      <left/>
      <right/>
      <top style="hair">
        <color indexed="64"/>
      </top>
      <bottom style="medium">
        <color indexed="64"/>
      </bottom>
      <diagonal/>
    </border>
    <border>
      <left style="hair">
        <color indexed="64"/>
      </left>
      <right/>
      <top/>
      <bottom style="medium">
        <color indexed="64"/>
      </bottom>
      <diagonal/>
    </border>
    <border>
      <left style="medium">
        <color indexed="64"/>
      </left>
      <right style="hair">
        <color indexed="64"/>
      </right>
      <top style="medium">
        <color indexed="64"/>
      </top>
      <bottom style="dashed">
        <color indexed="64"/>
      </bottom>
      <diagonal/>
    </border>
    <border>
      <left style="hair">
        <color indexed="64"/>
      </left>
      <right style="hair">
        <color indexed="64"/>
      </right>
      <top style="medium">
        <color indexed="64"/>
      </top>
      <bottom style="dashed">
        <color indexed="64"/>
      </bottom>
      <diagonal/>
    </border>
    <border>
      <left/>
      <right/>
      <top style="medium">
        <color indexed="64"/>
      </top>
      <bottom style="dashed">
        <color indexed="64"/>
      </bottom>
      <diagonal/>
    </border>
    <border>
      <left style="dashed">
        <color indexed="64"/>
      </left>
      <right style="dashed">
        <color indexed="64"/>
      </right>
      <top style="medium">
        <color indexed="64"/>
      </top>
      <bottom style="dashed">
        <color auto="1"/>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hair">
        <color indexed="64"/>
      </right>
      <top style="dashed">
        <color indexed="64"/>
      </top>
      <bottom style="dashed">
        <color indexed="64"/>
      </bottom>
      <diagonal/>
    </border>
    <border>
      <left style="hair">
        <color indexed="64"/>
      </left>
      <right style="hair">
        <color indexed="64"/>
      </right>
      <top style="dashed">
        <color indexed="64"/>
      </top>
      <bottom style="dashed">
        <color indexed="64"/>
      </bottom>
      <diagonal/>
    </border>
    <border>
      <left style="dashed">
        <color auto="1"/>
      </left>
      <right style="dashed">
        <color auto="1"/>
      </right>
      <top style="dashed">
        <color auto="1"/>
      </top>
      <bottom style="dashed">
        <color auto="1"/>
      </bottom>
      <diagonal/>
    </border>
    <border>
      <left style="dashed">
        <color auto="1"/>
      </left>
      <right style="medium">
        <color indexed="64"/>
      </right>
      <top style="dashed">
        <color auto="1"/>
      </top>
      <bottom style="dashed">
        <color auto="1"/>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6">
    <xf numFmtId="0" fontId="0" fillId="0" borderId="0"/>
    <xf numFmtId="166" fontId="1" fillId="0" borderId="0" applyFont="0" applyFill="0" applyBorder="0" applyAlignment="0" applyProtection="0"/>
    <xf numFmtId="166" fontId="14" fillId="0" borderId="0" applyFont="0" applyFill="0" applyBorder="0" applyAlignment="0" applyProtection="0"/>
    <xf numFmtId="38" fontId="2" fillId="0" borderId="0" applyFont="0" applyFill="0" applyBorder="0" applyAlignment="0" applyProtection="0"/>
    <xf numFmtId="40" fontId="2" fillId="0" borderId="0" applyFont="0" applyFill="0" applyBorder="0" applyAlignment="0" applyProtection="0"/>
    <xf numFmtId="0" fontId="3" fillId="0" borderId="0" applyNumberFormat="0" applyFill="0" applyBorder="0" applyAlignment="0" applyProtection="0">
      <alignment vertical="top"/>
      <protection locked="0"/>
    </xf>
    <xf numFmtId="0" fontId="14" fillId="0" borderId="0"/>
    <xf numFmtId="0" fontId="14" fillId="0" borderId="0"/>
    <xf numFmtId="0" fontId="14" fillId="0" borderId="0"/>
    <xf numFmtId="0" fontId="14" fillId="0" borderId="0"/>
    <xf numFmtId="0" fontId="83" fillId="0" borderId="0"/>
    <xf numFmtId="167" fontId="4" fillId="0" borderId="0"/>
    <xf numFmtId="0" fontId="5" fillId="0" borderId="0"/>
    <xf numFmtId="164" fontId="2" fillId="0" borderId="0" applyFont="0" applyFill="0" applyBorder="0" applyAlignment="0" applyProtection="0"/>
    <xf numFmtId="165" fontId="2" fillId="0" borderId="0" applyFont="0" applyFill="0" applyBorder="0" applyAlignment="0" applyProtection="0"/>
    <xf numFmtId="0" fontId="83" fillId="0" borderId="0"/>
  </cellStyleXfs>
  <cellXfs count="1791">
    <xf numFmtId="0" fontId="0" fillId="0" borderId="0" xfId="0"/>
    <xf numFmtId="0" fontId="0" fillId="0" borderId="0" xfId="0" applyAlignment="1"/>
    <xf numFmtId="0" fontId="6" fillId="0" borderId="0" xfId="0" applyFont="1" applyAlignment="1"/>
    <xf numFmtId="167" fontId="6" fillId="0" borderId="1" xfId="11" applyFont="1" applyFill="1" applyBorder="1" applyAlignment="1" applyProtection="1">
      <alignment horizontal="left" vertical="justify"/>
    </xf>
    <xf numFmtId="0" fontId="0" fillId="0" borderId="0" xfId="0" applyFill="1" applyAlignment="1"/>
    <xf numFmtId="0" fontId="0" fillId="0" borderId="2" xfId="0" applyFill="1" applyBorder="1" applyAlignment="1"/>
    <xf numFmtId="0" fontId="6" fillId="0" borderId="0" xfId="0" applyFont="1" applyFill="1" applyAlignment="1"/>
    <xf numFmtId="0" fontId="0" fillId="0" borderId="3" xfId="0" applyFill="1" applyBorder="1" applyAlignment="1">
      <alignment wrapText="1"/>
    </xf>
    <xf numFmtId="0" fontId="0" fillId="0" borderId="4" xfId="0" applyFill="1" applyBorder="1" applyAlignment="1">
      <alignment wrapText="1"/>
    </xf>
    <xf numFmtId="0" fontId="0" fillId="0" borderId="0" xfId="0" applyFill="1" applyAlignment="1">
      <alignment wrapText="1"/>
    </xf>
    <xf numFmtId="0" fontId="0" fillId="0" borderId="1" xfId="0" applyFill="1" applyBorder="1" applyAlignment="1">
      <alignment wrapText="1"/>
    </xf>
    <xf numFmtId="0" fontId="0" fillId="0" borderId="5" xfId="0" applyFill="1" applyBorder="1" applyAlignment="1">
      <alignment wrapText="1"/>
    </xf>
    <xf numFmtId="0" fontId="0" fillId="0" borderId="2" xfId="0" applyFill="1" applyBorder="1" applyAlignment="1">
      <alignment wrapText="1"/>
    </xf>
    <xf numFmtId="0" fontId="0" fillId="0" borderId="6" xfId="0" applyFill="1" applyBorder="1" applyAlignment="1">
      <alignment wrapText="1"/>
    </xf>
    <xf numFmtId="0" fontId="6" fillId="0" borderId="0" xfId="0" applyFont="1" applyFill="1"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left" vertical="center"/>
    </xf>
    <xf numFmtId="168" fontId="18" fillId="0" borderId="0" xfId="0" applyNumberFormat="1" applyFont="1" applyAlignment="1">
      <alignment horizontal="center" vertical="center"/>
    </xf>
    <xf numFmtId="0" fontId="11" fillId="0" borderId="0" xfId="0" applyFont="1" applyBorder="1" applyAlignment="1">
      <alignment horizontal="center" vertical="center"/>
    </xf>
    <xf numFmtId="0" fontId="17" fillId="0" borderId="0" xfId="0" applyFont="1" applyAlignment="1">
      <alignment horizontal="center"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0" fontId="17" fillId="0" borderId="0" xfId="0" applyFont="1" applyBorder="1" applyAlignment="1">
      <alignment horizontal="center" vertical="center"/>
    </xf>
    <xf numFmtId="0" fontId="1" fillId="0" borderId="7" xfId="0" applyFont="1" applyFill="1" applyBorder="1" applyAlignment="1">
      <alignment horizontal="center" vertical="center" wrapText="1"/>
    </xf>
    <xf numFmtId="0" fontId="1" fillId="0" borderId="7" xfId="0" applyFont="1" applyFill="1" applyBorder="1" applyAlignment="1">
      <alignment horizontal="left" vertical="center" wrapText="1"/>
    </xf>
    <xf numFmtId="168" fontId="20" fillId="0" borderId="7" xfId="0" applyNumberFormat="1" applyFont="1" applyBorder="1" applyAlignment="1">
      <alignment horizontal="center" vertical="center"/>
    </xf>
    <xf numFmtId="0" fontId="17" fillId="0" borderId="7" xfId="0" applyFont="1" applyBorder="1" applyAlignment="1">
      <alignment horizontal="center" vertical="center"/>
    </xf>
    <xf numFmtId="168" fontId="20" fillId="0" borderId="0" xfId="0" applyNumberFormat="1" applyFont="1" applyBorder="1" applyAlignment="1">
      <alignment horizontal="center" vertical="center"/>
    </xf>
    <xf numFmtId="0" fontId="17" fillId="0" borderId="0" xfId="0" applyFont="1" applyFill="1" applyBorder="1" applyAlignment="1">
      <alignment horizontal="center" vertical="center"/>
    </xf>
    <xf numFmtId="0" fontId="1" fillId="0" borderId="0" xfId="0" applyFont="1" applyBorder="1" applyAlignment="1">
      <alignment horizontal="center" vertical="center" wrapText="1"/>
    </xf>
    <xf numFmtId="168" fontId="18" fillId="0" borderId="0" xfId="0" applyNumberFormat="1" applyFont="1" applyAlignment="1">
      <alignment horizontal="center" vertical="center" wrapText="1"/>
    </xf>
    <xf numFmtId="0" fontId="11" fillId="0" borderId="0" xfId="0" applyFont="1" applyBorder="1" applyAlignment="1">
      <alignment horizontal="center" vertical="center" wrapText="1"/>
    </xf>
    <xf numFmtId="0" fontId="1" fillId="0" borderId="0" xfId="0" applyFont="1" applyAlignment="1">
      <alignment horizontal="center" vertical="center"/>
    </xf>
    <xf numFmtId="0" fontId="17" fillId="0" borderId="0" xfId="0" applyFont="1"/>
    <xf numFmtId="0" fontId="17" fillId="0" borderId="8" xfId="0" applyFont="1" applyBorder="1" applyAlignment="1">
      <alignment horizontal="center" vertical="center"/>
    </xf>
    <xf numFmtId="2" fontId="16" fillId="0" borderId="0" xfId="0" applyNumberFormat="1" applyFont="1" applyFill="1" applyBorder="1" applyAlignment="1">
      <alignment horizontal="center" vertical="center" wrapText="1"/>
    </xf>
    <xf numFmtId="0" fontId="1" fillId="0" borderId="0" xfId="0" applyFont="1"/>
    <xf numFmtId="0" fontId="11" fillId="2" borderId="0" xfId="0" applyFont="1" applyFill="1" applyAlignment="1">
      <alignment horizontal="center" vertical="center"/>
    </xf>
    <xf numFmtId="2" fontId="25" fillId="0" borderId="0" xfId="0" applyNumberFormat="1" applyFont="1" applyBorder="1" applyAlignment="1">
      <alignment horizontal="center" vertical="center" wrapText="1"/>
    </xf>
    <xf numFmtId="0" fontId="0" fillId="0" borderId="0" xfId="0" applyFill="1" applyBorder="1" applyAlignment="1">
      <alignment vertical="center"/>
    </xf>
    <xf numFmtId="0" fontId="0" fillId="0" borderId="0" xfId="0" applyFill="1" applyBorder="1" applyAlignment="1">
      <alignment vertical="center" wrapText="1"/>
    </xf>
    <xf numFmtId="167" fontId="6" fillId="0" borderId="1" xfId="11" applyFont="1" applyFill="1" applyBorder="1" applyAlignment="1" applyProtection="1">
      <alignment horizontal="left" vertical="center" wrapText="1"/>
    </xf>
    <xf numFmtId="0" fontId="0" fillId="0" borderId="4" xfId="0" applyBorder="1"/>
    <xf numFmtId="0" fontId="0" fillId="0" borderId="5" xfId="0" applyBorder="1"/>
    <xf numFmtId="0" fontId="0" fillId="0" borderId="6" xfId="0" applyBorder="1"/>
    <xf numFmtId="0" fontId="17" fillId="0" borderId="9" xfId="0" applyFont="1" applyBorder="1" applyAlignment="1">
      <alignment horizontal="center" vertical="center"/>
    </xf>
    <xf numFmtId="0" fontId="1" fillId="0" borderId="10" xfId="0" applyFont="1" applyBorder="1" applyAlignment="1">
      <alignment horizontal="center" vertical="center"/>
    </xf>
    <xf numFmtId="0" fontId="17" fillId="0" borderId="10"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vertical="center"/>
    </xf>
    <xf numFmtId="0" fontId="7" fillId="0" borderId="0" xfId="0" applyFont="1"/>
    <xf numFmtId="0" fontId="6" fillId="0" borderId="1" xfId="0" applyFont="1" applyFill="1" applyBorder="1" applyAlignment="1" applyProtection="1">
      <alignment horizontal="left" vertical="center" wrapText="1"/>
    </xf>
    <xf numFmtId="0" fontId="0" fillId="0" borderId="0" xfId="0" applyAlignment="1" applyProtection="1"/>
    <xf numFmtId="0" fontId="6" fillId="0" borderId="0" xfId="0" applyFont="1" applyAlignment="1" applyProtection="1"/>
    <xf numFmtId="0" fontId="5" fillId="3" borderId="3" xfId="0" applyFont="1" applyFill="1" applyBorder="1" applyAlignment="1" applyProtection="1">
      <alignment horizontal="center" vertical="center" wrapText="1"/>
    </xf>
    <xf numFmtId="0" fontId="5" fillId="0" borderId="0" xfId="0" applyFont="1" applyAlignment="1" applyProtection="1">
      <alignment horizontal="center" vertical="center" wrapText="1"/>
    </xf>
    <xf numFmtId="0" fontId="0" fillId="0" borderId="1" xfId="0" applyBorder="1" applyAlignment="1" applyProtection="1"/>
    <xf numFmtId="0" fontId="0" fillId="0" borderId="0" xfId="0" applyBorder="1" applyAlignment="1" applyProtection="1"/>
    <xf numFmtId="0" fontId="6" fillId="0" borderId="1" xfId="0" applyFont="1" applyBorder="1" applyAlignment="1" applyProtection="1">
      <alignment horizontal="left" vertical="center" wrapText="1"/>
    </xf>
    <xf numFmtId="0" fontId="0" fillId="0" borderId="1" xfId="0" applyFill="1" applyBorder="1" applyAlignment="1" applyProtection="1"/>
    <xf numFmtId="0" fontId="6" fillId="0" borderId="1" xfId="0" applyFont="1" applyBorder="1" applyAlignment="1" applyProtection="1"/>
    <xf numFmtId="0" fontId="6" fillId="0" borderId="1" xfId="0" applyFont="1" applyFill="1" applyBorder="1" applyAlignment="1" applyProtection="1"/>
    <xf numFmtId="0" fontId="0" fillId="0" borderId="0" xfId="0" applyFill="1" applyAlignment="1" applyProtection="1"/>
    <xf numFmtId="0" fontId="6" fillId="0" borderId="1" xfId="0" applyFont="1" applyBorder="1" applyAlignment="1" applyProtection="1">
      <alignment wrapText="1"/>
    </xf>
    <xf numFmtId="0" fontId="6" fillId="0" borderId="1" xfId="0" applyFont="1" applyBorder="1" applyAlignment="1" applyProtection="1">
      <alignment horizontal="left" vertical="center"/>
    </xf>
    <xf numFmtId="0" fontId="0" fillId="0" borderId="5" xfId="0" applyFill="1" applyBorder="1" applyAlignment="1" applyProtection="1">
      <alignment wrapText="1"/>
    </xf>
    <xf numFmtId="0" fontId="0" fillId="0" borderId="2" xfId="0" applyBorder="1" applyAlignment="1" applyProtection="1"/>
    <xf numFmtId="0" fontId="0" fillId="0" borderId="11" xfId="0" applyBorder="1" applyAlignment="1" applyProtection="1">
      <alignment horizontal="left" vertical="center" wrapText="1"/>
    </xf>
    <xf numFmtId="2" fontId="15" fillId="3" borderId="0" xfId="0" applyNumberFormat="1" applyFont="1" applyFill="1" applyAlignment="1" applyProtection="1"/>
    <xf numFmtId="0" fontId="17" fillId="0" borderId="7" xfId="0" applyFont="1" applyBorder="1" applyAlignment="1" applyProtection="1">
      <alignment horizontal="center" vertical="center"/>
      <protection locked="0"/>
    </xf>
    <xf numFmtId="0" fontId="0" fillId="0" borderId="3" xfId="0" applyFill="1" applyBorder="1" applyAlignment="1" applyProtection="1">
      <alignment wrapText="1"/>
      <protection locked="0"/>
    </xf>
    <xf numFmtId="0" fontId="0" fillId="0" borderId="1" xfId="0" applyFill="1" applyBorder="1" applyAlignment="1" applyProtection="1">
      <alignment wrapText="1"/>
      <protection locked="0"/>
    </xf>
    <xf numFmtId="0" fontId="0" fillId="0" borderId="2" xfId="0" applyFill="1" applyBorder="1" applyAlignment="1" applyProtection="1">
      <alignment wrapText="1"/>
      <protection locked="0"/>
    </xf>
    <xf numFmtId="0" fontId="0" fillId="0" borderId="1" xfId="0" applyBorder="1" applyAlignment="1" applyProtection="1">
      <protection locked="0"/>
    </xf>
    <xf numFmtId="0" fontId="1" fillId="0" borderId="3" xfId="0" applyFont="1" applyFill="1" applyBorder="1" applyAlignment="1">
      <alignment horizontal="center" vertical="center" wrapText="1"/>
    </xf>
    <xf numFmtId="0" fontId="17" fillId="0" borderId="3" xfId="0" applyFont="1" applyBorder="1" applyAlignment="1">
      <alignment horizontal="center" vertical="center"/>
    </xf>
    <xf numFmtId="0" fontId="17" fillId="0" borderId="3" xfId="0" applyFont="1" applyBorder="1" applyAlignment="1" applyProtection="1">
      <alignment horizontal="center" vertical="center"/>
      <protection locked="0"/>
    </xf>
    <xf numFmtId="0" fontId="17" fillId="0" borderId="4" xfId="0" applyFont="1" applyBorder="1" applyAlignment="1">
      <alignment horizontal="center" vertical="center"/>
    </xf>
    <xf numFmtId="0" fontId="1" fillId="0" borderId="2" xfId="0" applyFont="1" applyFill="1" applyBorder="1" applyAlignment="1">
      <alignment horizontal="center" vertical="center" wrapText="1"/>
    </xf>
    <xf numFmtId="0" fontId="17" fillId="0" borderId="2" xfId="0" applyFont="1" applyBorder="1" applyAlignment="1">
      <alignment horizontal="center" vertical="center"/>
    </xf>
    <xf numFmtId="0" fontId="17" fillId="0" borderId="2" xfId="0" applyFont="1" applyBorder="1" applyAlignment="1" applyProtection="1">
      <alignment horizontal="center" vertical="center"/>
      <protection locked="0"/>
    </xf>
    <xf numFmtId="0" fontId="17" fillId="0" borderId="6" xfId="0" applyFont="1" applyBorder="1" applyAlignment="1">
      <alignment horizontal="center" vertical="center"/>
    </xf>
    <xf numFmtId="0" fontId="5" fillId="4" borderId="0" xfId="0" applyFont="1" applyFill="1" applyAlignment="1">
      <alignment wrapText="1"/>
    </xf>
    <xf numFmtId="0" fontId="0" fillId="4" borderId="0" xfId="0" applyFill="1" applyAlignment="1">
      <alignment wrapText="1"/>
    </xf>
    <xf numFmtId="0" fontId="0" fillId="0" borderId="0" xfId="0" applyAlignment="1">
      <alignment vertical="center" wrapText="1"/>
    </xf>
    <xf numFmtId="171" fontId="0" fillId="0" borderId="0" xfId="0" applyNumberFormat="1" applyAlignment="1" applyProtection="1"/>
    <xf numFmtId="171" fontId="1" fillId="0" borderId="0" xfId="0" applyNumberFormat="1" applyFont="1" applyFill="1" applyBorder="1"/>
    <xf numFmtId="171" fontId="0" fillId="0" borderId="0" xfId="0" applyNumberFormat="1" applyAlignment="1"/>
    <xf numFmtId="171" fontId="5" fillId="0" borderId="0" xfId="0" applyNumberFormat="1" applyFont="1" applyFill="1" applyAlignment="1">
      <alignment wrapText="1"/>
    </xf>
    <xf numFmtId="171" fontId="5" fillId="4" borderId="0" xfId="0" applyNumberFormat="1" applyFont="1" applyFill="1" applyAlignment="1">
      <alignment wrapText="1"/>
    </xf>
    <xf numFmtId="171" fontId="0" fillId="4" borderId="0" xfId="0" applyNumberFormat="1" applyFill="1" applyAlignment="1">
      <alignment wrapText="1"/>
    </xf>
    <xf numFmtId="171" fontId="0" fillId="0" borderId="0" xfId="0" applyNumberFormat="1" applyFill="1" applyAlignment="1">
      <alignment wrapText="1"/>
    </xf>
    <xf numFmtId="171" fontId="0" fillId="0" borderId="0" xfId="0" applyNumberFormat="1" applyFill="1" applyAlignment="1"/>
    <xf numFmtId="171" fontId="16" fillId="3" borderId="12" xfId="0" applyNumberFormat="1" applyFont="1" applyFill="1" applyBorder="1" applyAlignment="1">
      <alignment horizontal="center" vertical="center" wrapText="1"/>
    </xf>
    <xf numFmtId="171" fontId="0" fillId="0" borderId="0" xfId="0" applyNumberFormat="1"/>
    <xf numFmtId="0" fontId="0" fillId="0" borderId="11" xfId="0" applyFill="1" applyBorder="1" applyAlignment="1" applyProtection="1">
      <alignment horizontal="lef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5" fillId="3" borderId="15" xfId="0" applyFont="1" applyFill="1" applyBorder="1" applyAlignment="1" applyProtection="1">
      <alignment horizontal="center" vertical="center" wrapText="1"/>
    </xf>
    <xf numFmtId="171" fontId="5" fillId="3" borderId="3" xfId="0" applyNumberFormat="1" applyFont="1" applyFill="1" applyBorder="1" applyAlignment="1" applyProtection="1">
      <alignment horizontal="center" vertical="center" wrapText="1"/>
    </xf>
    <xf numFmtId="0" fontId="5" fillId="3" borderId="3"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wrapText="1"/>
    </xf>
    <xf numFmtId="0" fontId="0" fillId="0" borderId="5" xfId="0" applyBorder="1" applyAlignment="1" applyProtection="1"/>
    <xf numFmtId="0" fontId="0" fillId="0" borderId="16" xfId="0" applyBorder="1" applyAlignment="1" applyProtection="1"/>
    <xf numFmtId="0" fontId="6" fillId="0" borderId="2" xfId="0" applyFont="1" applyFill="1" applyBorder="1" applyAlignment="1" applyProtection="1"/>
    <xf numFmtId="167" fontId="6" fillId="0" borderId="2" xfId="11" applyFont="1" applyFill="1" applyBorder="1" applyAlignment="1" applyProtection="1">
      <alignment horizontal="left" vertical="justify"/>
    </xf>
    <xf numFmtId="0" fontId="0" fillId="0" borderId="2" xfId="0" applyFill="1" applyBorder="1" applyAlignment="1" applyProtection="1"/>
    <xf numFmtId="171" fontId="0" fillId="0" borderId="2" xfId="0" applyNumberFormat="1" applyFill="1" applyBorder="1" applyAlignment="1" applyProtection="1"/>
    <xf numFmtId="0" fontId="0" fillId="0" borderId="2" xfId="0" applyBorder="1" applyAlignment="1" applyProtection="1">
      <protection locked="0"/>
    </xf>
    <xf numFmtId="0" fontId="0" fillId="0" borderId="6" xfId="0" applyBorder="1" applyAlignment="1" applyProtection="1"/>
    <xf numFmtId="0" fontId="6" fillId="0" borderId="2" xfId="0" applyFont="1" applyBorder="1" applyAlignment="1" applyProtection="1">
      <alignment horizontal="left" vertical="center" wrapText="1"/>
    </xf>
    <xf numFmtId="0" fontId="0" fillId="0" borderId="11" xfId="0" applyBorder="1" applyAlignment="1" applyProtection="1"/>
    <xf numFmtId="0" fontId="6" fillId="0" borderId="2" xfId="0" applyFont="1" applyBorder="1" applyAlignment="1" applyProtection="1"/>
    <xf numFmtId="0" fontId="0" fillId="0" borderId="16" xfId="0" applyFill="1" applyBorder="1" applyAlignment="1" applyProtection="1"/>
    <xf numFmtId="0" fontId="0" fillId="0" borderId="2" xfId="0" applyFill="1" applyBorder="1" applyAlignment="1" applyProtection="1">
      <alignment wrapText="1"/>
    </xf>
    <xf numFmtId="0" fontId="14" fillId="0" borderId="11" xfId="0" applyFont="1" applyFill="1" applyBorder="1" applyAlignment="1" applyProtection="1"/>
    <xf numFmtId="0" fontId="0" fillId="0" borderId="16" xfId="0" applyBorder="1" applyAlignment="1" applyProtection="1">
      <alignment horizontal="left" vertical="center" wrapText="1"/>
    </xf>
    <xf numFmtId="0" fontId="0" fillId="0" borderId="2" xfId="0" applyBorder="1" applyAlignment="1" applyProtection="1">
      <alignment horizontal="left" vertical="center" wrapText="1"/>
    </xf>
    <xf numFmtId="171" fontId="0" fillId="0" borderId="2" xfId="0" applyNumberFormat="1" applyBorder="1" applyAlignment="1" applyProtection="1"/>
    <xf numFmtId="168" fontId="15" fillId="3" borderId="3" xfId="0" applyNumberFormat="1" applyFont="1" applyFill="1" applyBorder="1" applyAlignment="1">
      <alignment horizontal="left" vertical="center" shrinkToFit="1"/>
    </xf>
    <xf numFmtId="0" fontId="17" fillId="0" borderId="1" xfId="0" applyFont="1" applyBorder="1" applyAlignment="1">
      <alignment horizontal="center" vertical="center"/>
    </xf>
    <xf numFmtId="0" fontId="0" fillId="0" borderId="1" xfId="0" applyBorder="1" applyProtection="1">
      <protection locked="0"/>
    </xf>
    <xf numFmtId="0" fontId="0" fillId="0" borderId="2" xfId="0" applyBorder="1" applyProtection="1">
      <protection locked="0"/>
    </xf>
    <xf numFmtId="0" fontId="5" fillId="3" borderId="15"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3" xfId="0" applyFont="1" applyFill="1" applyBorder="1" applyAlignment="1">
      <alignment horizontal="center" vertical="center"/>
    </xf>
    <xf numFmtId="171" fontId="5" fillId="3" borderId="3" xfId="0" applyNumberFormat="1" applyFont="1" applyFill="1" applyBorder="1" applyAlignment="1">
      <alignment horizontal="center" vertical="center" wrapText="1"/>
    </xf>
    <xf numFmtId="0" fontId="0" fillId="0" borderId="3" xfId="0" applyBorder="1" applyProtection="1">
      <protection locked="0"/>
    </xf>
    <xf numFmtId="0" fontId="33" fillId="3" borderId="3" xfId="0" applyFont="1" applyFill="1" applyBorder="1" applyAlignment="1">
      <alignment horizontal="center" vertical="center" wrapText="1"/>
    </xf>
    <xf numFmtId="168" fontId="33" fillId="3" borderId="3" xfId="0" applyNumberFormat="1" applyFont="1" applyFill="1" applyBorder="1" applyAlignment="1">
      <alignment horizontal="center" vertical="center" wrapText="1"/>
    </xf>
    <xf numFmtId="168" fontId="33" fillId="3" borderId="3" xfId="0" applyNumberFormat="1" applyFont="1" applyFill="1" applyBorder="1" applyAlignment="1">
      <alignment horizontal="center" vertical="center" shrinkToFit="1"/>
    </xf>
    <xf numFmtId="0" fontId="33" fillId="3" borderId="3" xfId="0" applyFont="1" applyFill="1" applyBorder="1" applyAlignment="1">
      <alignment horizontal="center" vertical="center"/>
    </xf>
    <xf numFmtId="0" fontId="33" fillId="3" borderId="4"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7" fillId="0" borderId="1" xfId="0" applyFont="1" applyBorder="1" applyAlignment="1" applyProtection="1">
      <alignment horizontal="center" vertical="center"/>
      <protection locked="0"/>
    </xf>
    <xf numFmtId="0" fontId="17" fillId="0" borderId="5" xfId="0" applyFont="1" applyBorder="1" applyAlignment="1">
      <alignment horizontal="center" vertical="center"/>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7" fillId="0" borderId="3" xfId="0" applyFont="1" applyFill="1" applyBorder="1" applyAlignment="1">
      <alignment horizontal="center" vertical="center"/>
    </xf>
    <xf numFmtId="0" fontId="17" fillId="0"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2" xfId="0" applyFont="1" applyFill="1" applyBorder="1" applyAlignment="1" applyProtection="1">
      <alignment horizontal="center" vertical="center" wrapText="1"/>
    </xf>
    <xf numFmtId="0" fontId="17" fillId="0" borderId="2" xfId="0" applyFont="1" applyFill="1" applyBorder="1" applyAlignment="1">
      <alignment horizontal="center" vertical="center"/>
    </xf>
    <xf numFmtId="0" fontId="0" fillId="0" borderId="3" xfId="0" applyFill="1" applyBorder="1" applyAlignment="1">
      <alignment horizontal="center"/>
    </xf>
    <xf numFmtId="0" fontId="0" fillId="0" borderId="1" xfId="0" applyFill="1" applyBorder="1" applyAlignment="1">
      <alignment horizontal="center"/>
    </xf>
    <xf numFmtId="0" fontId="15" fillId="3" borderId="3"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1" xfId="0" applyFont="1" applyFill="1" applyBorder="1" applyAlignment="1" applyProtection="1">
      <alignment horizontal="center" vertical="center" wrapText="1"/>
    </xf>
    <xf numFmtId="0" fontId="14" fillId="0" borderId="2" xfId="0" applyFont="1" applyFill="1" applyBorder="1" applyAlignment="1" applyProtection="1">
      <alignment horizontal="center" vertical="center" wrapText="1"/>
    </xf>
    <xf numFmtId="0" fontId="14" fillId="0" borderId="2" xfId="0" applyFont="1" applyFill="1" applyBorder="1" applyAlignment="1" applyProtection="1">
      <alignment vertical="center" wrapText="1"/>
    </xf>
    <xf numFmtId="0" fontId="14" fillId="0" borderId="0" xfId="0" applyFont="1"/>
    <xf numFmtId="0" fontId="14" fillId="0" borderId="0" xfId="0" applyFont="1" applyProtection="1">
      <protection locked="0"/>
    </xf>
    <xf numFmtId="0" fontId="15" fillId="3" borderId="18" xfId="0" applyFont="1" applyFill="1" applyBorder="1" applyAlignment="1" applyProtection="1">
      <alignment horizontal="center" vertical="center"/>
    </xf>
    <xf numFmtId="0" fontId="15" fillId="3" borderId="19" xfId="0" applyFont="1" applyFill="1" applyBorder="1" applyAlignment="1" applyProtection="1">
      <alignment horizontal="center" vertical="center"/>
    </xf>
    <xf numFmtId="0" fontId="15" fillId="3" borderId="20" xfId="0" applyFont="1" applyFill="1" applyBorder="1" applyAlignment="1" applyProtection="1">
      <alignment horizontal="center" vertical="center"/>
      <protection locked="0"/>
    </xf>
    <xf numFmtId="0" fontId="15" fillId="3" borderId="13" xfId="0" quotePrefix="1" applyFont="1" applyFill="1" applyBorder="1" applyAlignment="1" applyProtection="1">
      <alignment horizontal="centerContinuous" vertical="center" wrapText="1"/>
    </xf>
    <xf numFmtId="0" fontId="15" fillId="3" borderId="21" xfId="0" applyFont="1" applyFill="1" applyBorder="1" applyAlignment="1" applyProtection="1">
      <alignment horizontal="centerContinuous" vertical="center"/>
    </xf>
    <xf numFmtId="0" fontId="5" fillId="5" borderId="22" xfId="0" quotePrefix="1" applyFont="1" applyFill="1" applyBorder="1" applyAlignment="1" applyProtection="1">
      <alignment horizontal="center" vertical="center" wrapText="1"/>
    </xf>
    <xf numFmtId="0" fontId="5" fillId="5" borderId="13" xfId="0" applyFont="1" applyFill="1" applyBorder="1" applyAlignment="1" applyProtection="1">
      <alignment horizontal="center" vertical="top"/>
    </xf>
    <xf numFmtId="0" fontId="5" fillId="5" borderId="13" xfId="0" applyFont="1" applyFill="1" applyBorder="1" applyAlignment="1" applyProtection="1">
      <alignment horizontal="center" vertical="top"/>
      <protection locked="0"/>
    </xf>
    <xf numFmtId="0" fontId="5" fillId="5" borderId="13" xfId="0" applyFont="1" applyFill="1" applyBorder="1" applyAlignment="1" applyProtection="1">
      <alignment horizontal="centerContinuous" vertical="top"/>
    </xf>
    <xf numFmtId="0" fontId="5" fillId="5" borderId="21" xfId="0" applyFont="1" applyFill="1" applyBorder="1" applyAlignment="1" applyProtection="1">
      <alignment horizontal="centerContinuous" vertical="top"/>
    </xf>
    <xf numFmtId="0" fontId="5" fillId="5" borderId="23" xfId="0" applyFont="1" applyFill="1" applyBorder="1" applyAlignment="1" applyProtection="1">
      <alignment horizontal="center" vertical="top"/>
    </xf>
    <xf numFmtId="0" fontId="14" fillId="5" borderId="24" xfId="0" applyFont="1" applyFill="1" applyBorder="1" applyAlignment="1" applyProtection="1">
      <alignment horizontal="center" vertical="center"/>
    </xf>
    <xf numFmtId="9" fontId="14" fillId="5" borderId="24" xfId="0" applyNumberFormat="1" applyFont="1" applyFill="1" applyBorder="1" applyAlignment="1" applyProtection="1">
      <alignment horizontal="center" vertical="center"/>
      <protection locked="0"/>
    </xf>
    <xf numFmtId="0" fontId="14" fillId="5" borderId="24" xfId="0" applyFont="1" applyFill="1" applyBorder="1" applyAlignment="1" applyProtection="1">
      <alignment horizontal="centerContinuous" vertical="center"/>
    </xf>
    <xf numFmtId="0" fontId="14" fillId="5" borderId="25" xfId="0" applyFont="1" applyFill="1" applyBorder="1" applyAlignment="1" applyProtection="1">
      <alignment horizontal="centerContinuous" vertical="center"/>
    </xf>
    <xf numFmtId="0" fontId="14" fillId="0" borderId="26" xfId="0" applyFont="1" applyBorder="1" applyAlignment="1" applyProtection="1">
      <alignment horizontal="center" vertical="center" wrapText="1"/>
    </xf>
    <xf numFmtId="0" fontId="14" fillId="0" borderId="27" xfId="0" applyFont="1" applyBorder="1" applyAlignment="1" applyProtection="1">
      <alignment horizontal="center" vertical="center"/>
    </xf>
    <xf numFmtId="170" fontId="14" fillId="0" borderId="12" xfId="0" applyNumberFormat="1" applyFont="1" applyBorder="1" applyAlignment="1" applyProtection="1">
      <alignment horizontal="center" vertical="center"/>
      <protection locked="0"/>
    </xf>
    <xf numFmtId="0" fontId="14" fillId="0" borderId="24" xfId="0" applyFont="1" applyBorder="1" applyAlignment="1" applyProtection="1">
      <alignment horizontal="centerContinuous" vertical="center"/>
    </xf>
    <xf numFmtId="0" fontId="14" fillId="0" borderId="25" xfId="0" applyFont="1" applyBorder="1" applyAlignment="1" applyProtection="1">
      <alignment horizontal="centerContinuous" vertical="center"/>
    </xf>
    <xf numFmtId="0" fontId="14" fillId="0" borderId="28" xfId="0" applyFont="1" applyBorder="1" applyAlignment="1" applyProtection="1">
      <alignment horizontal="center" vertical="center" wrapText="1"/>
    </xf>
    <xf numFmtId="0" fontId="14" fillId="0" borderId="29" xfId="0" applyFont="1" applyBorder="1" applyAlignment="1" applyProtection="1">
      <alignment horizontal="center" vertical="center"/>
    </xf>
    <xf numFmtId="170" fontId="14" fillId="0" borderId="29" xfId="0" applyNumberFormat="1" applyFont="1" applyBorder="1" applyAlignment="1" applyProtection="1">
      <alignment horizontal="center" vertical="center"/>
      <protection locked="0"/>
    </xf>
    <xf numFmtId="0" fontId="14" fillId="0" borderId="30" xfId="0" applyFont="1" applyBorder="1" applyAlignment="1" applyProtection="1">
      <alignment horizontal="centerContinuous" vertical="center"/>
    </xf>
    <xf numFmtId="0" fontId="14" fillId="0" borderId="31" xfId="0" applyFont="1" applyBorder="1" applyAlignment="1" applyProtection="1">
      <alignment horizontal="centerContinuous" vertical="center"/>
    </xf>
    <xf numFmtId="0" fontId="14" fillId="0" borderId="32" xfId="0" applyFont="1" applyBorder="1" applyAlignment="1" applyProtection="1">
      <alignment horizontal="center" vertical="center"/>
    </xf>
    <xf numFmtId="170" fontId="14" fillId="0" borderId="32" xfId="0" applyNumberFormat="1" applyFont="1" applyBorder="1" applyAlignment="1" applyProtection="1">
      <alignment horizontal="center" vertical="center"/>
      <protection locked="0"/>
    </xf>
    <xf numFmtId="0" fontId="14" fillId="0" borderId="33" xfId="0" applyFont="1" applyBorder="1" applyAlignment="1" applyProtection="1">
      <alignment horizontal="centerContinuous" vertical="center"/>
    </xf>
    <xf numFmtId="0" fontId="14" fillId="0" borderId="34" xfId="0" applyFont="1" applyBorder="1" applyAlignment="1" applyProtection="1">
      <alignment horizontal="centerContinuous" vertical="center"/>
    </xf>
    <xf numFmtId="0" fontId="14" fillId="0" borderId="35" xfId="0" applyFont="1" applyBorder="1" applyAlignment="1" applyProtection="1">
      <alignment horizontal="center" vertical="center"/>
    </xf>
    <xf numFmtId="0" fontId="27" fillId="5" borderId="36" xfId="0" applyFont="1" applyFill="1" applyBorder="1" applyAlignment="1" applyProtection="1">
      <alignment horizontal="center" vertical="center"/>
    </xf>
    <xf numFmtId="0" fontId="14" fillId="5" borderId="37" xfId="0" applyFont="1" applyFill="1" applyBorder="1" applyAlignment="1" applyProtection="1">
      <alignment horizontal="center" vertical="center"/>
    </xf>
    <xf numFmtId="9" fontId="14" fillId="5" borderId="38" xfId="0" applyNumberFormat="1" applyFont="1" applyFill="1" applyBorder="1" applyAlignment="1" applyProtection="1">
      <alignment horizontal="center" vertical="center"/>
      <protection locked="0"/>
    </xf>
    <xf numFmtId="0" fontId="14" fillId="5" borderId="39" xfId="0" applyFont="1" applyFill="1" applyBorder="1" applyAlignment="1" applyProtection="1">
      <alignment horizontal="centerContinuous" vertical="center"/>
    </xf>
    <xf numFmtId="0" fontId="14" fillId="5" borderId="40" xfId="0" applyFont="1" applyFill="1" applyBorder="1" applyAlignment="1" applyProtection="1">
      <alignment horizontal="centerContinuous" vertical="center"/>
    </xf>
    <xf numFmtId="0" fontId="15" fillId="3" borderId="21" xfId="0" applyFont="1" applyFill="1" applyBorder="1" applyAlignment="1" applyProtection="1">
      <alignment horizontal="centerContinuous" vertical="center" wrapText="1"/>
    </xf>
    <xf numFmtId="0" fontId="14" fillId="0" borderId="26" xfId="0" applyFont="1" applyBorder="1" applyAlignment="1" applyProtection="1">
      <alignment horizontal="center" vertical="center"/>
    </xf>
    <xf numFmtId="0" fontId="0" fillId="0" borderId="13" xfId="0" applyBorder="1" applyAlignment="1">
      <alignment vertical="center" wrapText="1"/>
    </xf>
    <xf numFmtId="0" fontId="0" fillId="0" borderId="13" xfId="0" applyBorder="1" applyAlignment="1">
      <alignment wrapText="1"/>
    </xf>
    <xf numFmtId="0" fontId="0" fillId="0" borderId="0" xfId="0" applyAlignment="1">
      <alignment wrapText="1"/>
    </xf>
    <xf numFmtId="0" fontId="5" fillId="3" borderId="42" xfId="0" applyFont="1" applyFill="1" applyBorder="1" applyAlignment="1">
      <alignment horizontal="center" vertical="center" wrapText="1"/>
    </xf>
    <xf numFmtId="0" fontId="5" fillId="3" borderId="3" xfId="0" applyFont="1" applyFill="1" applyBorder="1" applyAlignment="1">
      <alignment horizontal="center" vertical="justify" wrapText="1"/>
    </xf>
    <xf numFmtId="0" fontId="15" fillId="3" borderId="4" xfId="0" applyFont="1" applyFill="1" applyBorder="1" applyAlignment="1">
      <alignment horizontal="center" vertical="justify" wrapText="1"/>
    </xf>
    <xf numFmtId="0" fontId="17" fillId="0" borderId="1" xfId="0" applyFont="1" applyBorder="1" applyAlignment="1">
      <alignment horizontal="center" vertical="center" wrapText="1"/>
    </xf>
    <xf numFmtId="0" fontId="0" fillId="0" borderId="1" xfId="0" applyBorder="1" applyAlignment="1" applyProtection="1">
      <alignment wrapText="1"/>
      <protection locked="0"/>
    </xf>
    <xf numFmtId="0" fontId="0" fillId="0" borderId="5" xfId="0" applyBorder="1" applyAlignment="1">
      <alignment wrapText="1"/>
    </xf>
    <xf numFmtId="0" fontId="0" fillId="3" borderId="17" xfId="0" applyFill="1" applyBorder="1" applyAlignment="1">
      <alignment wrapText="1"/>
    </xf>
    <xf numFmtId="171" fontId="0" fillId="0" borderId="0" xfId="0" applyNumberFormat="1" applyAlignment="1">
      <alignment wrapText="1"/>
    </xf>
    <xf numFmtId="168" fontId="5" fillId="3" borderId="3"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6" borderId="1" xfId="0" applyFill="1" applyBorder="1" applyAlignment="1" applyProtection="1">
      <alignment wrapText="1"/>
      <protection locked="0"/>
    </xf>
    <xf numFmtId="0" fontId="0" fillId="6" borderId="2" xfId="0" applyFill="1" applyBorder="1" applyAlignment="1" applyProtection="1">
      <alignment wrapText="1"/>
      <protection locked="0"/>
    </xf>
    <xf numFmtId="0" fontId="0" fillId="6" borderId="3" xfId="0" applyFill="1" applyBorder="1" applyAlignment="1" applyProtection="1">
      <alignment wrapText="1"/>
      <protection locked="0"/>
    </xf>
    <xf numFmtId="0" fontId="0" fillId="7" borderId="3" xfId="0" applyFill="1" applyBorder="1" applyAlignment="1" applyProtection="1">
      <alignment wrapText="1"/>
      <protection locked="0"/>
    </xf>
    <xf numFmtId="0" fontId="0" fillId="7" borderId="4" xfId="0" applyFill="1" applyBorder="1" applyAlignment="1">
      <alignment wrapText="1"/>
    </xf>
    <xf numFmtId="0" fontId="0" fillId="7" borderId="1" xfId="0" applyFill="1" applyBorder="1" applyAlignment="1" applyProtection="1">
      <alignment wrapText="1"/>
      <protection locked="0"/>
    </xf>
    <xf numFmtId="0" fontId="0" fillId="7" borderId="5" xfId="0" applyFill="1" applyBorder="1" applyAlignment="1">
      <alignment wrapText="1"/>
    </xf>
    <xf numFmtId="0" fontId="0" fillId="7" borderId="2" xfId="0" applyFill="1" applyBorder="1" applyAlignment="1" applyProtection="1">
      <alignment wrapText="1"/>
      <protection locked="0"/>
    </xf>
    <xf numFmtId="0" fontId="0" fillId="7" borderId="6" xfId="0" applyFill="1" applyBorder="1" applyAlignment="1">
      <alignment wrapText="1"/>
    </xf>
    <xf numFmtId="171" fontId="5" fillId="3" borderId="42" xfId="0" applyNumberFormat="1" applyFont="1" applyFill="1" applyBorder="1" applyAlignment="1">
      <alignment horizontal="center" vertical="center" wrapText="1"/>
    </xf>
    <xf numFmtId="0" fontId="0" fillId="0" borderId="43" xfId="0" applyFill="1" applyBorder="1" applyAlignment="1" applyProtection="1">
      <alignment wrapText="1"/>
      <protection locked="0"/>
    </xf>
    <xf numFmtId="0" fontId="0" fillId="0" borderId="44" xfId="0" applyFill="1" applyBorder="1" applyAlignment="1">
      <alignment wrapText="1"/>
    </xf>
    <xf numFmtId="0" fontId="18" fillId="3" borderId="3" xfId="0" applyFont="1" applyFill="1" applyBorder="1" applyAlignment="1">
      <alignment horizontal="center" vertical="center" wrapText="1"/>
    </xf>
    <xf numFmtId="0" fontId="0" fillId="0" borderId="0" xfId="0" applyFill="1" applyBorder="1" applyAlignment="1"/>
    <xf numFmtId="0" fontId="0" fillId="6" borderId="43" xfId="0" applyFill="1" applyBorder="1" applyAlignment="1" applyProtection="1">
      <alignment wrapText="1"/>
      <protection locked="0"/>
    </xf>
    <xf numFmtId="0" fontId="15" fillId="5" borderId="15"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7" fillId="0" borderId="43" xfId="0" applyFont="1" applyBorder="1" applyAlignment="1">
      <alignment horizontal="center" vertical="center"/>
    </xf>
    <xf numFmtId="0" fontId="17" fillId="0" borderId="43" xfId="0" applyFont="1" applyBorder="1" applyAlignment="1" applyProtection="1">
      <alignment horizontal="center" vertical="center"/>
      <protection locked="0"/>
    </xf>
    <xf numFmtId="0" fontId="17" fillId="0" borderId="44" xfId="0" applyFont="1" applyBorder="1" applyAlignment="1">
      <alignment horizontal="center" vertical="center"/>
    </xf>
    <xf numFmtId="0" fontId="1" fillId="0" borderId="43" xfId="0" applyFont="1" applyBorder="1" applyAlignment="1">
      <alignment horizontal="center" vertical="center" wrapText="1"/>
    </xf>
    <xf numFmtId="0" fontId="0" fillId="0" borderId="0" xfId="0" applyAlignment="1" applyProtection="1">
      <alignment horizontal="center" vertical="center" wrapText="1"/>
    </xf>
    <xf numFmtId="0" fontId="0" fillId="0" borderId="0" xfId="0" applyBorder="1" applyAlignment="1" applyProtection="1">
      <alignment horizontal="center" vertical="center" wrapText="1"/>
    </xf>
    <xf numFmtId="171" fontId="0" fillId="0" borderId="1" xfId="0" applyNumberFormat="1" applyFill="1" applyBorder="1" applyAlignment="1" applyProtection="1">
      <protection locked="0"/>
    </xf>
    <xf numFmtId="171" fontId="5" fillId="3" borderId="3" xfId="0" applyNumberFormat="1" applyFont="1" applyFill="1" applyBorder="1" applyAlignment="1" applyProtection="1">
      <alignment horizontal="center" vertical="center" wrapText="1"/>
      <protection locked="0"/>
    </xf>
    <xf numFmtId="171" fontId="0" fillId="0" borderId="2" xfId="0" applyNumberFormat="1" applyFill="1" applyBorder="1" applyAlignment="1" applyProtection="1">
      <protection locked="0"/>
    </xf>
    <xf numFmtId="171" fontId="0" fillId="0" borderId="2" xfId="0" applyNumberFormat="1" applyBorder="1" applyAlignment="1" applyProtection="1">
      <protection locked="0"/>
    </xf>
    <xf numFmtId="171" fontId="0" fillId="3" borderId="1" xfId="0" applyNumberFormat="1" applyFill="1" applyBorder="1" applyAlignment="1">
      <alignment wrapText="1"/>
    </xf>
    <xf numFmtId="171" fontId="0" fillId="3" borderId="2" xfId="0" applyNumberFormat="1" applyFill="1" applyBorder="1" applyAlignment="1">
      <alignment wrapText="1"/>
    </xf>
    <xf numFmtId="171" fontId="0" fillId="3" borderId="3" xfId="0" applyNumberFormat="1" applyFill="1" applyBorder="1" applyAlignment="1">
      <alignment wrapText="1"/>
    </xf>
    <xf numFmtId="171" fontId="0" fillId="3" borderId="1" xfId="0" applyNumberFormat="1" applyFill="1" applyBorder="1" applyAlignment="1" applyProtection="1"/>
    <xf numFmtId="171" fontId="0" fillId="5" borderId="1" xfId="0" applyNumberFormat="1" applyFill="1" applyBorder="1" applyAlignment="1" applyProtection="1">
      <protection locked="0"/>
    </xf>
    <xf numFmtId="171" fontId="16" fillId="3" borderId="1" xfId="0" applyNumberFormat="1" applyFont="1" applyFill="1" applyBorder="1" applyAlignment="1">
      <alignment horizontal="center" vertical="center" wrapText="1"/>
    </xf>
    <xf numFmtId="171" fontId="16" fillId="3" borderId="2" xfId="0" applyNumberFormat="1" applyFont="1" applyFill="1" applyBorder="1" applyAlignment="1">
      <alignment horizontal="center" vertical="center" wrapText="1"/>
    </xf>
    <xf numFmtId="171" fontId="16" fillId="3" borderId="1" xfId="0" applyNumberFormat="1" applyFont="1" applyFill="1" applyBorder="1" applyAlignment="1">
      <alignment horizontal="center" vertical="center"/>
    </xf>
    <xf numFmtId="171" fontId="16" fillId="3" borderId="3" xfId="0" applyNumberFormat="1" applyFont="1" applyFill="1" applyBorder="1" applyAlignment="1">
      <alignment horizontal="center" vertical="center"/>
    </xf>
    <xf numFmtId="168" fontId="20" fillId="3" borderId="1" xfId="0" applyNumberFormat="1" applyFont="1" applyFill="1" applyBorder="1" applyAlignment="1">
      <alignment horizontal="center" vertical="center"/>
    </xf>
    <xf numFmtId="168" fontId="20" fillId="3" borderId="2" xfId="0" applyNumberFormat="1" applyFont="1" applyFill="1" applyBorder="1" applyAlignment="1">
      <alignment horizontal="center" vertical="center"/>
    </xf>
    <xf numFmtId="2" fontId="20" fillId="3" borderId="3" xfId="0" applyNumberFormat="1" applyFont="1" applyFill="1" applyBorder="1" applyAlignment="1">
      <alignment horizontal="center" vertical="center"/>
    </xf>
    <xf numFmtId="168" fontId="20" fillId="3" borderId="3" xfId="0" applyNumberFormat="1" applyFont="1" applyFill="1" applyBorder="1" applyAlignment="1">
      <alignment horizontal="center" vertical="center"/>
    </xf>
    <xf numFmtId="168" fontId="20" fillId="3" borderId="1" xfId="0" applyNumberFormat="1" applyFont="1" applyFill="1" applyBorder="1" applyAlignment="1">
      <alignment horizontal="center" vertical="center" wrapText="1"/>
    </xf>
    <xf numFmtId="168" fontId="23" fillId="3" borderId="1" xfId="0" applyNumberFormat="1" applyFont="1" applyFill="1" applyBorder="1" applyAlignment="1">
      <alignment horizontal="center" vertical="center" wrapText="1"/>
    </xf>
    <xf numFmtId="168" fontId="23" fillId="3" borderId="1" xfId="0" applyNumberFormat="1" applyFont="1" applyFill="1" applyBorder="1" applyAlignment="1">
      <alignment horizontal="center" vertical="center"/>
    </xf>
    <xf numFmtId="168" fontId="23" fillId="3" borderId="2" xfId="0" applyNumberFormat="1" applyFont="1" applyFill="1" applyBorder="1" applyAlignment="1">
      <alignment horizontal="center" vertical="center" wrapText="1"/>
    </xf>
    <xf numFmtId="168" fontId="23" fillId="3" borderId="3" xfId="0" applyNumberFormat="1" applyFont="1" applyFill="1" applyBorder="1" applyAlignment="1">
      <alignment horizontal="center" vertical="center" wrapText="1"/>
    </xf>
    <xf numFmtId="168" fontId="23" fillId="3" borderId="2" xfId="0" applyNumberFormat="1" applyFont="1" applyFill="1" applyBorder="1" applyAlignment="1">
      <alignment horizontal="center" vertical="center"/>
    </xf>
    <xf numFmtId="168" fontId="23" fillId="3" borderId="43" xfId="0" applyNumberFormat="1" applyFont="1" applyFill="1" applyBorder="1" applyAlignment="1">
      <alignment horizontal="center" vertical="center" wrapText="1"/>
    </xf>
    <xf numFmtId="2" fontId="23" fillId="3" borderId="1" xfId="0" applyNumberFormat="1" applyFont="1" applyFill="1" applyBorder="1" applyAlignment="1">
      <alignment horizontal="center" vertical="center" wrapText="1"/>
    </xf>
    <xf numFmtId="0" fontId="23" fillId="3" borderId="2" xfId="0" applyFont="1" applyFill="1" applyBorder="1" applyAlignment="1">
      <alignment horizontal="center" vertical="center"/>
    </xf>
    <xf numFmtId="2" fontId="23" fillId="3" borderId="3" xfId="0" applyNumberFormat="1" applyFont="1" applyFill="1" applyBorder="1" applyAlignment="1">
      <alignment horizontal="center" vertical="center" wrapText="1"/>
    </xf>
    <xf numFmtId="2" fontId="23" fillId="3" borderId="2" xfId="0" applyNumberFormat="1" applyFont="1" applyFill="1" applyBorder="1" applyAlignment="1">
      <alignment horizontal="center" vertical="center" wrapText="1"/>
    </xf>
    <xf numFmtId="2" fontId="23" fillId="3" borderId="1" xfId="0" applyNumberFormat="1" applyFont="1" applyFill="1" applyBorder="1" applyAlignment="1">
      <alignment horizontal="center" vertical="center"/>
    </xf>
    <xf numFmtId="0" fontId="23" fillId="3" borderId="1" xfId="0" applyFont="1" applyFill="1" applyBorder="1" applyAlignment="1">
      <alignment horizontal="center" vertical="center"/>
    </xf>
    <xf numFmtId="0" fontId="24" fillId="0" borderId="26" xfId="0" applyFont="1" applyBorder="1" applyAlignment="1" applyProtection="1">
      <alignment horizontal="center" vertical="center" wrapText="1"/>
    </xf>
    <xf numFmtId="0" fontId="0" fillId="0" borderId="45" xfId="0" applyBorder="1" applyAlignment="1" applyProtection="1"/>
    <xf numFmtId="0" fontId="0" fillId="0" borderId="45" xfId="0" applyFill="1" applyBorder="1" applyAlignment="1" applyProtection="1"/>
    <xf numFmtId="171" fontId="0" fillId="3" borderId="45" xfId="0" applyNumberFormat="1" applyFill="1" applyBorder="1" applyAlignment="1" applyProtection="1"/>
    <xf numFmtId="171" fontId="0" fillId="5" borderId="45" xfId="0" applyNumberFormat="1" applyFill="1" applyBorder="1" applyAlignment="1" applyProtection="1">
      <protection locked="0"/>
    </xf>
    <xf numFmtId="0" fontId="0" fillId="0" borderId="45" xfId="0" applyBorder="1" applyAlignment="1" applyProtection="1">
      <protection locked="0"/>
    </xf>
    <xf numFmtId="0" fontId="0" fillId="0" borderId="46" xfId="0" applyBorder="1" applyAlignment="1" applyProtection="1"/>
    <xf numFmtId="0" fontId="0" fillId="0" borderId="3" xfId="0" applyBorder="1" applyAlignment="1" applyProtection="1"/>
    <xf numFmtId="171" fontId="0" fillId="5" borderId="3" xfId="0" applyNumberFormat="1" applyFill="1" applyBorder="1" applyAlignment="1" applyProtection="1">
      <protection locked="0"/>
    </xf>
    <xf numFmtId="0" fontId="0" fillId="0" borderId="3" xfId="0" applyBorder="1" applyAlignment="1" applyProtection="1">
      <protection locked="0"/>
    </xf>
    <xf numFmtId="0" fontId="0" fillId="0" borderId="4" xfId="0" applyBorder="1" applyAlignment="1" applyProtection="1"/>
    <xf numFmtId="0" fontId="8" fillId="0" borderId="2" xfId="0" applyFont="1" applyFill="1" applyBorder="1" applyAlignment="1" applyProtection="1">
      <alignment horizontal="left" vertical="center" wrapText="1"/>
    </xf>
    <xf numFmtId="171" fontId="0" fillId="5" borderId="2" xfId="0" applyNumberFormat="1" applyFill="1" applyBorder="1" applyAlignment="1" applyProtection="1">
      <protection locked="0"/>
    </xf>
    <xf numFmtId="0" fontId="0" fillId="0" borderId="47" xfId="0" applyBorder="1" applyAlignment="1" applyProtection="1">
      <alignment horizontal="left" vertical="center" wrapText="1"/>
    </xf>
    <xf numFmtId="0" fontId="6" fillId="0" borderId="43" xfId="0" applyFont="1" applyFill="1" applyBorder="1" applyAlignment="1" applyProtection="1">
      <alignment horizontal="left" vertical="center" wrapText="1"/>
    </xf>
    <xf numFmtId="0" fontId="8" fillId="0" borderId="43" xfId="0" applyFont="1" applyFill="1" applyBorder="1" applyAlignment="1" applyProtection="1">
      <alignment horizontal="left" vertical="center" wrapText="1"/>
    </xf>
    <xf numFmtId="0" fontId="0" fillId="0" borderId="43" xfId="0" applyBorder="1" applyAlignment="1" applyProtection="1"/>
    <xf numFmtId="0" fontId="0" fillId="0" borderId="43" xfId="0" applyFill="1" applyBorder="1" applyAlignment="1" applyProtection="1"/>
    <xf numFmtId="171" fontId="0" fillId="3" borderId="43" xfId="0" applyNumberFormat="1" applyFill="1" applyBorder="1" applyAlignment="1" applyProtection="1"/>
    <xf numFmtId="171" fontId="0" fillId="5" borderId="43" xfId="0" applyNumberFormat="1" applyFill="1" applyBorder="1" applyAlignment="1" applyProtection="1">
      <protection locked="0"/>
    </xf>
    <xf numFmtId="0" fontId="0" fillId="0" borderId="43" xfId="0" applyBorder="1" applyAlignment="1" applyProtection="1">
      <protection locked="0"/>
    </xf>
    <xf numFmtId="0" fontId="0" fillId="0" borderId="44" xfId="0" applyBorder="1" applyAlignment="1" applyProtection="1"/>
    <xf numFmtId="0" fontId="0" fillId="0" borderId="48" xfId="0" applyBorder="1" applyAlignment="1" applyProtection="1"/>
    <xf numFmtId="0" fontId="0" fillId="0" borderId="48" xfId="0" applyBorder="1" applyAlignment="1" applyProtection="1">
      <protection locked="0"/>
    </xf>
    <xf numFmtId="0" fontId="6" fillId="0" borderId="48" xfId="0" applyFont="1" applyBorder="1" applyAlignment="1" applyProtection="1"/>
    <xf numFmtId="0" fontId="0" fillId="0" borderId="49" xfId="0" applyBorder="1" applyAlignment="1" applyProtection="1"/>
    <xf numFmtId="171" fontId="0" fillId="0" borderId="48" xfId="0" applyNumberFormat="1" applyFill="1" applyBorder="1" applyAlignment="1" applyProtection="1">
      <protection locked="0"/>
    </xf>
    <xf numFmtId="0" fontId="0" fillId="0" borderId="50" xfId="0" applyBorder="1" applyAlignment="1" applyProtection="1"/>
    <xf numFmtId="2" fontId="23" fillId="3" borderId="43" xfId="0" applyNumberFormat="1" applyFont="1" applyFill="1" applyBorder="1" applyAlignment="1">
      <alignment horizontal="center" vertical="center" wrapText="1"/>
    </xf>
    <xf numFmtId="0" fontId="17" fillId="0" borderId="43" xfId="0" applyFont="1" applyFill="1" applyBorder="1" applyAlignment="1">
      <alignment horizontal="center" vertical="center"/>
    </xf>
    <xf numFmtId="0" fontId="1" fillId="0" borderId="51" xfId="0" applyFont="1" applyFill="1" applyBorder="1" applyAlignment="1">
      <alignment horizontal="center" vertical="center" wrapText="1"/>
    </xf>
    <xf numFmtId="168" fontId="23" fillId="3" borderId="51" xfId="0" applyNumberFormat="1" applyFont="1" applyFill="1" applyBorder="1" applyAlignment="1">
      <alignment horizontal="center" vertical="center" wrapText="1"/>
    </xf>
    <xf numFmtId="0" fontId="17" fillId="0" borderId="51" xfId="0" applyFont="1" applyBorder="1" applyAlignment="1">
      <alignment horizontal="center" vertical="center"/>
    </xf>
    <xf numFmtId="0" fontId="17" fillId="0" borderId="51" xfId="0" applyFont="1" applyBorder="1" applyAlignment="1" applyProtection="1">
      <alignment horizontal="center" vertical="center"/>
      <protection locked="0"/>
    </xf>
    <xf numFmtId="0" fontId="17" fillId="0" borderId="52" xfId="0" applyFont="1" applyBorder="1" applyAlignment="1">
      <alignment horizontal="center" vertical="center"/>
    </xf>
    <xf numFmtId="0" fontId="1" fillId="0" borderId="53" xfId="0" applyFont="1" applyFill="1" applyBorder="1" applyAlignment="1">
      <alignment horizontal="center" vertical="center" wrapText="1"/>
    </xf>
    <xf numFmtId="0" fontId="17" fillId="0" borderId="51" xfId="0" applyFont="1" applyBorder="1" applyAlignment="1">
      <alignment horizontal="center" vertical="center" wrapText="1"/>
    </xf>
    <xf numFmtId="168" fontId="16" fillId="3" borderId="51" xfId="0" applyNumberFormat="1" applyFont="1" applyFill="1" applyBorder="1" applyAlignment="1">
      <alignment horizontal="center" vertical="center" wrapText="1"/>
    </xf>
    <xf numFmtId="0" fontId="1" fillId="0" borderId="0" xfId="0" applyFont="1" applyFill="1" applyAlignment="1">
      <alignment horizontal="center" vertical="center"/>
    </xf>
    <xf numFmtId="0" fontId="17" fillId="0" borderId="3" xfId="0" applyFont="1" applyFill="1" applyBorder="1" applyAlignment="1" applyProtection="1">
      <alignment horizontal="center" vertical="center"/>
      <protection locked="0"/>
    </xf>
    <xf numFmtId="0" fontId="17" fillId="0" borderId="4" xfId="0" applyFont="1" applyFill="1" applyBorder="1" applyAlignment="1">
      <alignment horizontal="center" vertical="center"/>
    </xf>
    <xf numFmtId="0" fontId="17" fillId="0" borderId="1" xfId="0" applyFont="1" applyFill="1" applyBorder="1" applyAlignment="1" applyProtection="1">
      <alignment horizontal="center" vertical="center"/>
      <protection locked="0"/>
    </xf>
    <xf numFmtId="0" fontId="17" fillId="0" borderId="5" xfId="0" applyFont="1" applyFill="1" applyBorder="1" applyAlignment="1">
      <alignment horizontal="center" vertical="center"/>
    </xf>
    <xf numFmtId="0" fontId="0" fillId="0" borderId="45" xfId="0" applyFill="1" applyBorder="1" applyAlignment="1">
      <alignment wrapText="1"/>
    </xf>
    <xf numFmtId="171" fontId="0" fillId="3" borderId="45" xfId="0" applyNumberFormat="1" applyFill="1" applyBorder="1" applyAlignment="1">
      <alignment wrapText="1"/>
    </xf>
    <xf numFmtId="0" fontId="0" fillId="0" borderId="45" xfId="0" applyFill="1" applyBorder="1" applyAlignment="1" applyProtection="1">
      <alignment wrapText="1"/>
      <protection locked="0"/>
    </xf>
    <xf numFmtId="0" fontId="0" fillId="7" borderId="45" xfId="0" applyFill="1" applyBorder="1" applyAlignment="1" applyProtection="1">
      <alignment wrapText="1"/>
      <protection locked="0"/>
    </xf>
    <xf numFmtId="0" fontId="1" fillId="0" borderId="45" xfId="0" applyFont="1" applyFill="1" applyBorder="1" applyAlignment="1">
      <alignment horizontal="left" vertical="center" wrapText="1"/>
    </xf>
    <xf numFmtId="168" fontId="20" fillId="3" borderId="45" xfId="0" applyNumberFormat="1" applyFont="1" applyFill="1" applyBorder="1" applyAlignment="1">
      <alignment horizontal="center" vertical="center"/>
    </xf>
    <xf numFmtId="0" fontId="17" fillId="0" borderId="45" xfId="0" applyFont="1" applyFill="1" applyBorder="1" applyAlignment="1">
      <alignment horizontal="center" vertical="center"/>
    </xf>
    <xf numFmtId="0" fontId="17" fillId="0" borderId="45" xfId="0" applyFont="1" applyBorder="1" applyAlignment="1" applyProtection="1">
      <alignment horizontal="center" vertical="center"/>
      <protection locked="0"/>
    </xf>
    <xf numFmtId="0" fontId="17" fillId="0" borderId="46" xfId="0" applyFont="1" applyBorder="1" applyAlignment="1">
      <alignment horizontal="center" vertical="center"/>
    </xf>
    <xf numFmtId="0" fontId="1" fillId="0" borderId="45" xfId="0" applyFont="1" applyFill="1" applyBorder="1" applyAlignment="1" applyProtection="1">
      <alignment horizontal="center" vertical="center" wrapText="1"/>
    </xf>
    <xf numFmtId="0" fontId="14" fillId="0" borderId="2" xfId="0" applyFont="1" applyFill="1" applyBorder="1" applyAlignment="1">
      <alignment horizontal="left" vertical="center" wrapText="1"/>
    </xf>
    <xf numFmtId="0" fontId="39" fillId="0" borderId="2" xfId="0" applyFont="1" applyFill="1" applyBorder="1" applyAlignment="1">
      <alignment horizontal="center" vertical="center"/>
    </xf>
    <xf numFmtId="0" fontId="14" fillId="0" borderId="54" xfId="0" applyFont="1" applyFill="1" applyBorder="1" applyAlignment="1" applyProtection="1"/>
    <xf numFmtId="0" fontId="6" fillId="0" borderId="45" xfId="0" applyFont="1" applyBorder="1" applyAlignment="1" applyProtection="1">
      <alignment horizontal="left" vertical="center" wrapText="1"/>
    </xf>
    <xf numFmtId="0" fontId="6" fillId="0" borderId="45" xfId="0" applyFont="1" applyBorder="1" applyAlignment="1" applyProtection="1">
      <alignment horizontal="center" vertical="center" wrapText="1"/>
    </xf>
    <xf numFmtId="0" fontId="6" fillId="0" borderId="1" xfId="0" applyFont="1" applyFill="1" applyBorder="1" applyAlignment="1">
      <alignment horizontal="center" vertical="center" wrapText="1"/>
    </xf>
    <xf numFmtId="0" fontId="0" fillId="0" borderId="55" xfId="0" applyBorder="1" applyAlignment="1" applyProtection="1"/>
    <xf numFmtId="0" fontId="17" fillId="0" borderId="56" xfId="0" applyFont="1" applyBorder="1" applyAlignment="1">
      <alignment horizontal="center" vertical="center"/>
    </xf>
    <xf numFmtId="2" fontId="20" fillId="3" borderId="1" xfId="0" applyNumberFormat="1" applyFont="1" applyFill="1" applyBorder="1" applyAlignment="1">
      <alignment horizontal="center" vertical="center"/>
    </xf>
    <xf numFmtId="0" fontId="6" fillId="0" borderId="1" xfId="0" applyFont="1" applyFill="1" applyBorder="1" applyAlignment="1" applyProtection="1">
      <alignment wrapText="1"/>
    </xf>
    <xf numFmtId="171" fontId="23" fillId="3" borderId="53" xfId="0" applyNumberFormat="1" applyFont="1" applyFill="1" applyBorder="1" applyAlignment="1">
      <alignment horizontal="center" vertical="center" wrapText="1"/>
    </xf>
    <xf numFmtId="0" fontId="17" fillId="0" borderId="53" xfId="0" applyFont="1" applyBorder="1" applyAlignment="1">
      <alignment horizontal="center" vertical="center"/>
    </xf>
    <xf numFmtId="0" fontId="17" fillId="0" borderId="53" xfId="0" applyFont="1" applyBorder="1" applyAlignment="1" applyProtection="1">
      <alignment horizontal="center" vertical="center"/>
      <protection locked="0"/>
    </xf>
    <xf numFmtId="0" fontId="17" fillId="0" borderId="57" xfId="0" applyFont="1" applyBorder="1" applyAlignment="1">
      <alignment horizontal="center" vertical="center"/>
    </xf>
    <xf numFmtId="0" fontId="6" fillId="0" borderId="58" xfId="0" applyFont="1" applyBorder="1" applyAlignment="1" applyProtection="1">
      <alignment horizontal="center" vertical="center" wrapText="1"/>
    </xf>
    <xf numFmtId="0" fontId="6" fillId="0" borderId="0" xfId="0" applyFont="1" applyBorder="1" applyAlignment="1" applyProtection="1">
      <alignment horizontal="center" vertical="center" wrapText="1"/>
    </xf>
    <xf numFmtId="0" fontId="6" fillId="0" borderId="59" xfId="0" applyFont="1" applyBorder="1" applyAlignment="1" applyProtection="1">
      <alignment horizontal="center" vertical="center" wrapText="1"/>
    </xf>
    <xf numFmtId="0" fontId="0" fillId="0" borderId="0" xfId="0" applyAlignment="1" applyProtection="1">
      <alignment wrapText="1"/>
    </xf>
    <xf numFmtId="0" fontId="1" fillId="0" borderId="53" xfId="0" applyFont="1" applyFill="1" applyBorder="1" applyAlignment="1">
      <alignment horizontal="left" vertical="center" wrapText="1"/>
    </xf>
    <xf numFmtId="168" fontId="20" fillId="3" borderId="53" xfId="0" applyNumberFormat="1" applyFont="1" applyFill="1" applyBorder="1" applyAlignment="1">
      <alignment horizontal="center" vertical="center"/>
    </xf>
    <xf numFmtId="168" fontId="20" fillId="3" borderId="3" xfId="0" applyNumberFormat="1" applyFont="1" applyFill="1" applyBorder="1" applyAlignment="1">
      <alignment horizontal="center" vertical="center" wrapText="1"/>
    </xf>
    <xf numFmtId="0" fontId="39" fillId="0" borderId="3" xfId="0" applyFont="1" applyBorder="1" applyAlignment="1">
      <alignment horizontal="center" vertical="center"/>
    </xf>
    <xf numFmtId="0" fontId="39" fillId="0" borderId="3" xfId="0" applyFont="1" applyBorder="1" applyAlignment="1" applyProtection="1">
      <alignment horizontal="center" vertical="center"/>
      <protection locked="0"/>
    </xf>
    <xf numFmtId="0" fontId="39" fillId="0" borderId="4" xfId="0" applyFont="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pplyProtection="1">
      <alignment horizontal="center" vertical="center"/>
      <protection locked="0"/>
    </xf>
    <xf numFmtId="0" fontId="39" fillId="0" borderId="5" xfId="0" applyFont="1" applyBorder="1" applyAlignment="1">
      <alignment horizontal="center" vertical="center"/>
    </xf>
    <xf numFmtId="0" fontId="39" fillId="0" borderId="2" xfId="0" applyFont="1" applyBorder="1" applyAlignment="1">
      <alignment horizontal="center" vertical="center"/>
    </xf>
    <xf numFmtId="2" fontId="20" fillId="3" borderId="1" xfId="0" applyNumberFormat="1" applyFont="1" applyFill="1" applyBorder="1" applyAlignment="1">
      <alignment horizontal="center" vertical="center" wrapText="1"/>
    </xf>
    <xf numFmtId="0" fontId="39" fillId="0" borderId="1" xfId="0" applyFont="1" applyFill="1" applyBorder="1" applyAlignment="1">
      <alignment horizontal="center" vertical="center"/>
    </xf>
    <xf numFmtId="0" fontId="0" fillId="3" borderId="48" xfId="0" applyFill="1" applyBorder="1" applyAlignment="1" applyProtection="1"/>
    <xf numFmtId="0" fontId="19" fillId="3" borderId="3" xfId="0" applyFont="1" applyFill="1" applyBorder="1" applyAlignment="1">
      <alignment horizontal="center" vertical="center" wrapText="1"/>
    </xf>
    <xf numFmtId="171" fontId="16" fillId="3" borderId="53" xfId="0" applyNumberFormat="1" applyFont="1" applyFill="1" applyBorder="1" applyAlignment="1">
      <alignment horizontal="center" vertical="center" wrapText="1"/>
    </xf>
    <xf numFmtId="0" fontId="0" fillId="0" borderId="53" xfId="0" applyBorder="1" applyProtection="1">
      <protection locked="0"/>
    </xf>
    <xf numFmtId="0" fontId="0" fillId="0" borderId="57" xfId="0" applyBorder="1"/>
    <xf numFmtId="0" fontId="1" fillId="0" borderId="45" xfId="0" applyFont="1" applyFill="1" applyBorder="1" applyAlignment="1">
      <alignment horizontal="center" vertical="center" wrapText="1"/>
    </xf>
    <xf numFmtId="0" fontId="0" fillId="0" borderId="0" xfId="0" applyBorder="1" applyAlignment="1">
      <alignment horizontal="center" vertical="center" wrapText="1"/>
    </xf>
    <xf numFmtId="0" fontId="14" fillId="0" borderId="60" xfId="0" applyFont="1" applyFill="1" applyBorder="1" applyAlignment="1" applyProtection="1">
      <alignment vertical="center" wrapText="1"/>
    </xf>
    <xf numFmtId="0" fontId="14" fillId="0" borderId="9" xfId="0" applyFont="1" applyFill="1" applyBorder="1" applyAlignment="1" applyProtection="1">
      <alignment vertical="center" wrapText="1"/>
    </xf>
    <xf numFmtId="0" fontId="14" fillId="0" borderId="61" xfId="0" applyFont="1" applyFill="1" applyBorder="1" applyAlignment="1" applyProtection="1">
      <alignment vertical="center" wrapText="1"/>
    </xf>
    <xf numFmtId="0" fontId="0" fillId="3" borderId="12" xfId="0" applyFill="1" applyBorder="1"/>
    <xf numFmtId="0" fontId="41" fillId="0" borderId="3" xfId="0" quotePrefix="1" applyFont="1" applyFill="1" applyBorder="1" applyAlignment="1" applyProtection="1">
      <alignment horizontal="left" vertical="center" wrapText="1"/>
    </xf>
    <xf numFmtId="0" fontId="17" fillId="0" borderId="43" xfId="0" applyFont="1" applyFill="1" applyBorder="1" applyAlignment="1" applyProtection="1">
      <alignment horizontal="center" vertical="center"/>
      <protection locked="0"/>
    </xf>
    <xf numFmtId="0" fontId="1" fillId="0" borderId="58" xfId="0" applyFont="1" applyFill="1" applyBorder="1" applyAlignment="1">
      <alignment horizontal="center" vertical="center" wrapText="1"/>
    </xf>
    <xf numFmtId="0" fontId="0" fillId="0" borderId="48" xfId="0" applyFill="1" applyBorder="1" applyAlignment="1" applyProtection="1">
      <alignment wrapText="1"/>
      <protection locked="0"/>
    </xf>
    <xf numFmtId="0" fontId="0" fillId="0" borderId="50" xfId="0" applyFill="1" applyBorder="1" applyAlignment="1">
      <alignment wrapText="1"/>
    </xf>
    <xf numFmtId="0" fontId="0" fillId="6" borderId="15" xfId="0" applyFill="1" applyBorder="1" applyAlignment="1" applyProtection="1">
      <alignment wrapText="1"/>
      <protection locked="0"/>
    </xf>
    <xf numFmtId="0" fontId="0" fillId="6" borderId="47" xfId="0" applyFill="1" applyBorder="1" applyAlignment="1" applyProtection="1">
      <alignment wrapText="1"/>
      <protection locked="0"/>
    </xf>
    <xf numFmtId="0" fontId="0" fillId="6" borderId="11" xfId="0" applyFill="1" applyBorder="1" applyAlignment="1" applyProtection="1">
      <alignment wrapText="1"/>
      <protection locked="0"/>
    </xf>
    <xf numFmtId="0" fontId="34" fillId="0" borderId="3" xfId="0" applyFont="1" applyFill="1" applyBorder="1" applyAlignment="1" applyProtection="1">
      <alignment wrapText="1"/>
      <protection locked="0"/>
    </xf>
    <xf numFmtId="0" fontId="34" fillId="0" borderId="42" xfId="0" applyFont="1" applyFill="1" applyBorder="1" applyAlignment="1">
      <alignment wrapText="1"/>
    </xf>
    <xf numFmtId="0" fontId="34" fillId="3" borderId="1" xfId="0" applyFont="1" applyFill="1" applyBorder="1" applyAlignment="1" applyProtection="1">
      <alignment wrapText="1"/>
      <protection locked="0"/>
    </xf>
    <xf numFmtId="0" fontId="34" fillId="0" borderId="1" xfId="0" applyFont="1" applyFill="1" applyBorder="1" applyAlignment="1" applyProtection="1">
      <alignment wrapText="1"/>
      <protection locked="0"/>
    </xf>
    <xf numFmtId="0" fontId="34" fillId="0" borderId="62" xfId="0" applyFont="1" applyFill="1" applyBorder="1" applyAlignment="1">
      <alignment wrapText="1"/>
    </xf>
    <xf numFmtId="0" fontId="34" fillId="0" borderId="41" xfId="0" applyFont="1" applyFill="1" applyBorder="1" applyAlignment="1">
      <alignment wrapText="1"/>
    </xf>
    <xf numFmtId="0" fontId="34" fillId="0" borderId="2" xfId="0" applyFont="1" applyFill="1" applyBorder="1" applyAlignment="1" applyProtection="1">
      <alignment wrapText="1"/>
      <protection locked="0"/>
    </xf>
    <xf numFmtId="0" fontId="0" fillId="7" borderId="48" xfId="0" applyFill="1" applyBorder="1" applyAlignment="1" applyProtection="1">
      <alignment wrapText="1"/>
      <protection locked="0"/>
    </xf>
    <xf numFmtId="0" fontId="0" fillId="7" borderId="50" xfId="0" applyFill="1" applyBorder="1" applyAlignment="1">
      <alignment wrapText="1"/>
    </xf>
    <xf numFmtId="0" fontId="42" fillId="0" borderId="48" xfId="0" applyFont="1" applyFill="1" applyBorder="1" applyAlignment="1">
      <alignment wrapText="1"/>
    </xf>
    <xf numFmtId="0" fontId="0" fillId="0" borderId="56" xfId="0" applyFill="1" applyBorder="1" applyAlignment="1">
      <alignment wrapText="1"/>
    </xf>
    <xf numFmtId="0" fontId="0" fillId="7" borderId="63" xfId="0" applyFill="1" applyBorder="1" applyAlignment="1" applyProtection="1">
      <alignment wrapText="1"/>
      <protection locked="0"/>
    </xf>
    <xf numFmtId="0" fontId="0" fillId="7" borderId="56" xfId="0" applyFill="1" applyBorder="1" applyAlignment="1">
      <alignment wrapText="1"/>
    </xf>
    <xf numFmtId="0" fontId="0" fillId="0" borderId="46" xfId="0" applyFill="1" applyBorder="1" applyAlignment="1">
      <alignment wrapText="1"/>
    </xf>
    <xf numFmtId="0" fontId="0" fillId="7" borderId="46" xfId="0" applyFill="1" applyBorder="1" applyAlignment="1">
      <alignment wrapText="1"/>
    </xf>
    <xf numFmtId="0" fontId="0" fillId="7" borderId="43" xfId="0" applyFill="1" applyBorder="1" applyAlignment="1" applyProtection="1">
      <alignment wrapText="1"/>
      <protection locked="0"/>
    </xf>
    <xf numFmtId="0" fontId="0" fillId="7" borderId="44" xfId="0" applyFill="1" applyBorder="1" applyAlignment="1">
      <alignment wrapText="1"/>
    </xf>
    <xf numFmtId="171" fontId="42" fillId="3" borderId="1" xfId="0" applyNumberFormat="1" applyFont="1" applyFill="1" applyBorder="1" applyAlignment="1">
      <alignment wrapText="1"/>
    </xf>
    <xf numFmtId="0" fontId="1" fillId="3" borderId="48" xfId="0" applyFont="1" applyFill="1" applyBorder="1" applyAlignment="1" applyProtection="1">
      <alignment wrapText="1"/>
      <protection locked="0"/>
    </xf>
    <xf numFmtId="0" fontId="0" fillId="0" borderId="64" xfId="0" applyBorder="1" applyAlignment="1">
      <alignment horizontal="center" vertical="center" wrapText="1"/>
    </xf>
    <xf numFmtId="0" fontId="44" fillId="0" borderId="0" xfId="0" applyFont="1"/>
    <xf numFmtId="171" fontId="25" fillId="3" borderId="1" xfId="0" applyNumberFormat="1" applyFont="1" applyFill="1" applyBorder="1" applyAlignment="1">
      <alignment horizontal="center" vertical="center"/>
    </xf>
    <xf numFmtId="171" fontId="25" fillId="3" borderId="1" xfId="0" applyNumberFormat="1" applyFont="1" applyFill="1" applyBorder="1" applyAlignment="1">
      <alignment horizontal="center" vertical="center" wrapText="1"/>
    </xf>
    <xf numFmtId="0" fontId="0" fillId="0" borderId="5" xfId="0" applyFill="1" applyBorder="1" applyAlignment="1" applyProtection="1"/>
    <xf numFmtId="0" fontId="0" fillId="0" borderId="9" xfId="0" applyBorder="1" applyAlignment="1" applyProtection="1"/>
    <xf numFmtId="0" fontId="17" fillId="0" borderId="48" xfId="0" applyFont="1" applyBorder="1" applyAlignment="1" applyProtection="1">
      <alignment horizontal="center" vertical="center"/>
      <protection locked="0"/>
    </xf>
    <xf numFmtId="168" fontId="20" fillId="3" borderId="3" xfId="0" applyNumberFormat="1" applyFont="1" applyFill="1" applyBorder="1" applyAlignment="1" applyProtection="1">
      <alignment horizontal="center" vertical="center" wrapText="1"/>
    </xf>
    <xf numFmtId="0" fontId="0" fillId="0" borderId="58" xfId="0" applyBorder="1" applyAlignment="1">
      <alignment horizontal="center" vertical="center" wrapText="1"/>
    </xf>
    <xf numFmtId="0" fontId="17" fillId="0" borderId="45" xfId="0" applyFont="1" applyBorder="1" applyAlignment="1">
      <alignment horizontal="center" vertical="center"/>
    </xf>
    <xf numFmtId="0" fontId="0" fillId="0" borderId="45" xfId="0" applyBorder="1" applyProtection="1">
      <protection locked="0"/>
    </xf>
    <xf numFmtId="0" fontId="0" fillId="0" borderId="46" xfId="0" applyBorder="1"/>
    <xf numFmtId="0" fontId="0" fillId="0" borderId="1" xfId="0" applyFill="1" applyBorder="1" applyProtection="1">
      <protection locked="0"/>
    </xf>
    <xf numFmtId="0" fontId="0" fillId="0" borderId="5" xfId="0" applyFill="1" applyBorder="1"/>
    <xf numFmtId="0" fontId="6" fillId="0" borderId="45" xfId="0" applyFont="1" applyFill="1" applyBorder="1" applyAlignment="1" applyProtection="1">
      <alignment horizontal="center" vertical="center" wrapText="1"/>
    </xf>
    <xf numFmtId="0" fontId="17" fillId="0" borderId="48" xfId="0" applyFont="1" applyBorder="1" applyAlignment="1">
      <alignment horizontal="center" vertical="center"/>
    </xf>
    <xf numFmtId="0" fontId="0" fillId="0" borderId="48" xfId="0" applyBorder="1" applyProtection="1">
      <protection locked="0"/>
    </xf>
    <xf numFmtId="0" fontId="0" fillId="0" borderId="45" xfId="0" applyFill="1" applyBorder="1" applyAlignment="1">
      <alignment horizontal="center"/>
    </xf>
    <xf numFmtId="0" fontId="1" fillId="0" borderId="67" xfId="0" applyFont="1" applyFill="1" applyBorder="1" applyAlignment="1">
      <alignment horizontal="left" vertical="center" wrapText="1"/>
    </xf>
    <xf numFmtId="0" fontId="1" fillId="0" borderId="68" xfId="0" applyFont="1" applyFill="1" applyBorder="1" applyAlignment="1">
      <alignment horizontal="left" vertical="center" wrapText="1"/>
    </xf>
    <xf numFmtId="0" fontId="0" fillId="0" borderId="68" xfId="0" applyFill="1" applyBorder="1" applyAlignment="1">
      <alignment horizontal="left" vertical="center" wrapText="1"/>
    </xf>
    <xf numFmtId="0" fontId="14" fillId="0" borderId="68" xfId="0" applyFont="1" applyFill="1" applyBorder="1" applyAlignment="1">
      <alignment horizontal="left" vertical="center" wrapText="1"/>
    </xf>
    <xf numFmtId="0" fontId="0" fillId="0" borderId="43" xfId="0" applyFill="1" applyBorder="1" applyAlignment="1">
      <alignment wrapText="1"/>
    </xf>
    <xf numFmtId="0" fontId="0" fillId="0" borderId="41" xfId="0" applyFill="1" applyBorder="1" applyAlignment="1">
      <alignment wrapText="1"/>
    </xf>
    <xf numFmtId="0" fontId="34" fillId="0" borderId="1" xfId="0" applyFont="1" applyFill="1" applyBorder="1" applyAlignment="1">
      <alignment wrapText="1"/>
    </xf>
    <xf numFmtId="0" fontId="1" fillId="0" borderId="3" xfId="0" applyFont="1" applyFill="1" applyBorder="1" applyAlignment="1">
      <alignment wrapText="1"/>
    </xf>
    <xf numFmtId="0" fontId="1" fillId="0" borderId="48" xfId="0" applyFont="1" applyFill="1" applyBorder="1" applyAlignment="1">
      <alignment wrapText="1"/>
    </xf>
    <xf numFmtId="0" fontId="1" fillId="0" borderId="1" xfId="0" applyFont="1" applyFill="1" applyBorder="1" applyAlignment="1">
      <alignment wrapText="1"/>
    </xf>
    <xf numFmtId="0" fontId="14" fillId="0" borderId="11" xfId="0" quotePrefix="1" applyFont="1" applyFill="1" applyBorder="1" applyAlignment="1" applyProtection="1">
      <alignment horizontal="center" vertical="center" wrapText="1"/>
    </xf>
    <xf numFmtId="0" fontId="0" fillId="0" borderId="45" xfId="0" applyBorder="1" applyAlignment="1">
      <alignment horizontal="center" vertical="center" wrapText="1"/>
    </xf>
    <xf numFmtId="0" fontId="0" fillId="0" borderId="48" xfId="0" applyBorder="1" applyAlignment="1">
      <alignment horizontal="center" vertical="center" wrapText="1"/>
    </xf>
    <xf numFmtId="167" fontId="11" fillId="0" borderId="48" xfId="11" applyFont="1" applyFill="1" applyBorder="1" applyAlignment="1" applyProtection="1">
      <alignment horizontal="center" vertical="center" wrapText="1"/>
    </xf>
    <xf numFmtId="171" fontId="16" fillId="3" borderId="45" xfId="0" applyNumberFormat="1" applyFont="1" applyFill="1" applyBorder="1" applyAlignment="1">
      <alignment horizontal="center" vertical="center" wrapText="1"/>
    </xf>
    <xf numFmtId="171" fontId="0" fillId="0" borderId="2" xfId="0" applyNumberFormat="1" applyFill="1" applyBorder="1" applyAlignment="1">
      <alignment wrapText="1"/>
    </xf>
    <xf numFmtId="2" fontId="84" fillId="3" borderId="3" xfId="0" applyNumberFormat="1" applyFont="1" applyFill="1" applyBorder="1" applyAlignment="1">
      <alignment horizontal="center" vertical="center" wrapText="1"/>
    </xf>
    <xf numFmtId="168" fontId="84" fillId="3" borderId="1" xfId="0" applyNumberFormat="1" applyFont="1" applyFill="1" applyBorder="1" applyAlignment="1">
      <alignment horizontal="center" vertical="center" wrapText="1"/>
    </xf>
    <xf numFmtId="171" fontId="84" fillId="3" borderId="1" xfId="0" applyNumberFormat="1" applyFont="1" applyFill="1" applyBorder="1" applyAlignment="1" applyProtection="1">
      <alignment horizontal="center"/>
    </xf>
    <xf numFmtId="167" fontId="6" fillId="0" borderId="45" xfId="11" applyFont="1" applyFill="1" applyBorder="1" applyAlignment="1" applyProtection="1">
      <alignment horizontal="left" vertical="center" wrapText="1"/>
    </xf>
    <xf numFmtId="0" fontId="0" fillId="0" borderId="48" xfId="0" applyFill="1" applyBorder="1" applyAlignment="1">
      <alignment wrapText="1"/>
    </xf>
    <xf numFmtId="171" fontId="0" fillId="3" borderId="48" xfId="0" applyNumberFormat="1" applyFill="1" applyBorder="1" applyAlignment="1">
      <alignment wrapText="1"/>
    </xf>
    <xf numFmtId="0" fontId="0" fillId="0" borderId="0" xfId="0" applyFill="1" applyBorder="1" applyAlignment="1" applyProtection="1">
      <alignment wrapText="1"/>
      <protection locked="0"/>
    </xf>
    <xf numFmtId="0" fontId="0" fillId="7" borderId="0" xfId="0" applyFill="1" applyBorder="1" applyAlignment="1" applyProtection="1">
      <alignment wrapText="1"/>
      <protection locked="0"/>
    </xf>
    <xf numFmtId="0" fontId="0" fillId="0" borderId="52" xfId="0" applyFill="1" applyBorder="1" applyAlignment="1">
      <alignment wrapText="1"/>
    </xf>
    <xf numFmtId="0" fontId="0" fillId="7" borderId="52" xfId="0" applyFill="1" applyBorder="1" applyAlignment="1">
      <alignment wrapText="1"/>
    </xf>
    <xf numFmtId="0" fontId="0" fillId="0" borderId="2" xfId="0" applyFill="1" applyBorder="1"/>
    <xf numFmtId="0" fontId="0" fillId="0" borderId="1" xfId="0" applyFill="1" applyBorder="1"/>
    <xf numFmtId="171" fontId="12" fillId="3" borderId="45" xfId="0" applyNumberFormat="1" applyFont="1" applyFill="1" applyBorder="1" applyAlignment="1" applyProtection="1"/>
    <xf numFmtId="0" fontId="0" fillId="0" borderId="55" xfId="0" applyFill="1" applyBorder="1" applyAlignment="1">
      <alignment wrapText="1"/>
    </xf>
    <xf numFmtId="0" fontId="0" fillId="6" borderId="45" xfId="0" applyFill="1" applyBorder="1" applyAlignment="1" applyProtection="1">
      <alignment wrapText="1"/>
      <protection locked="0"/>
    </xf>
    <xf numFmtId="0" fontId="0" fillId="0" borderId="72" xfId="0" applyFill="1" applyBorder="1" applyAlignment="1">
      <alignment wrapText="1"/>
    </xf>
    <xf numFmtId="0" fontId="0" fillId="0" borderId="0" xfId="0" applyFill="1" applyBorder="1"/>
    <xf numFmtId="0" fontId="0" fillId="0" borderId="3" xfId="0" applyFill="1" applyBorder="1"/>
    <xf numFmtId="0" fontId="0" fillId="0" borderId="43" xfId="0" applyFill="1" applyBorder="1"/>
    <xf numFmtId="0" fontId="0" fillId="10" borderId="3" xfId="0" applyFill="1" applyBorder="1"/>
    <xf numFmtId="0" fontId="0" fillId="10" borderId="4" xfId="0" applyFill="1" applyBorder="1"/>
    <xf numFmtId="0" fontId="0" fillId="10" borderId="1" xfId="0" applyFill="1" applyBorder="1"/>
    <xf numFmtId="0" fontId="0" fillId="10" borderId="5" xfId="0" applyFill="1" applyBorder="1"/>
    <xf numFmtId="0" fontId="0" fillId="10" borderId="43" xfId="0" applyFill="1" applyBorder="1"/>
    <xf numFmtId="0" fontId="0" fillId="10" borderId="44" xfId="0" applyFill="1" applyBorder="1"/>
    <xf numFmtId="0" fontId="0" fillId="10" borderId="3" xfId="0" applyFill="1" applyBorder="1" applyAlignment="1" applyProtection="1">
      <alignment wrapText="1"/>
      <protection locked="0"/>
    </xf>
    <xf numFmtId="0" fontId="0" fillId="10" borderId="4" xfId="0" applyFill="1" applyBorder="1" applyAlignment="1">
      <alignment wrapText="1"/>
    </xf>
    <xf numFmtId="0" fontId="0" fillId="10" borderId="1" xfId="0" applyFill="1" applyBorder="1" applyAlignment="1" applyProtection="1">
      <alignment wrapText="1"/>
      <protection locked="0"/>
    </xf>
    <xf numFmtId="0" fontId="0" fillId="10" borderId="5" xfId="0" applyFill="1" applyBorder="1" applyAlignment="1">
      <alignment wrapText="1"/>
    </xf>
    <xf numFmtId="0" fontId="0" fillId="10" borderId="45" xfId="0" applyFill="1" applyBorder="1" applyAlignment="1" applyProtection="1">
      <alignment wrapText="1"/>
      <protection locked="0"/>
    </xf>
    <xf numFmtId="0" fontId="14" fillId="0" borderId="73" xfId="0" applyFont="1" applyBorder="1" applyAlignment="1" applyProtection="1">
      <alignment horizontal="center" vertical="center"/>
    </xf>
    <xf numFmtId="0" fontId="0" fillId="9" borderId="28" xfId="0" applyFont="1" applyFill="1" applyBorder="1" applyAlignment="1" applyProtection="1">
      <alignment horizontal="center" vertical="center" wrapText="1"/>
    </xf>
    <xf numFmtId="0" fontId="14" fillId="9" borderId="33" xfId="0" applyFont="1" applyFill="1" applyBorder="1" applyAlignment="1" applyProtection="1">
      <alignment horizontal="centerContinuous" vertical="center"/>
    </xf>
    <xf numFmtId="0" fontId="14" fillId="9" borderId="34" xfId="0" applyFont="1" applyFill="1" applyBorder="1" applyAlignment="1" applyProtection="1">
      <alignment horizontal="centerContinuous" vertical="center"/>
    </xf>
    <xf numFmtId="0" fontId="14" fillId="9" borderId="33" xfId="0" applyFont="1" applyFill="1" applyBorder="1" applyAlignment="1" applyProtection="1">
      <alignment vertical="center"/>
    </xf>
    <xf numFmtId="0" fontId="14" fillId="9" borderId="34" xfId="0" applyFont="1" applyFill="1" applyBorder="1" applyAlignment="1" applyProtection="1">
      <alignment vertical="center"/>
    </xf>
    <xf numFmtId="0" fontId="14" fillId="9" borderId="74" xfId="0" applyFont="1" applyFill="1" applyBorder="1" applyAlignment="1" applyProtection="1">
      <alignment horizontal="centerContinuous" vertical="center"/>
    </xf>
    <xf numFmtId="0" fontId="14" fillId="9" borderId="75" xfId="0" applyFont="1" applyFill="1" applyBorder="1" applyAlignment="1" applyProtection="1">
      <alignment horizontal="centerContinuous" vertical="center"/>
    </xf>
    <xf numFmtId="0" fontId="0" fillId="0" borderId="2" xfId="0" applyFont="1" applyFill="1" applyBorder="1" applyAlignment="1" applyProtection="1">
      <alignment horizontal="center" vertical="center" wrapText="1"/>
    </xf>
    <xf numFmtId="168" fontId="20" fillId="0" borderId="2" xfId="0" applyNumberFormat="1" applyFont="1" applyFill="1" applyBorder="1" applyAlignment="1">
      <alignment horizontal="center" vertical="center"/>
    </xf>
    <xf numFmtId="0" fontId="0" fillId="0" borderId="3" xfId="0" applyFont="1" applyFill="1" applyBorder="1" applyAlignment="1">
      <alignment horizontal="left" vertical="center" wrapText="1"/>
    </xf>
    <xf numFmtId="0" fontId="0" fillId="0" borderId="0" xfId="0" applyFill="1"/>
    <xf numFmtId="0" fontId="0" fillId="0" borderId="1" xfId="0" applyFill="1" applyBorder="1" applyAlignment="1">
      <alignment horizontal="center" vertical="center" wrapText="1"/>
    </xf>
    <xf numFmtId="0" fontId="0" fillId="0" borderId="0" xfId="0" applyFont="1"/>
    <xf numFmtId="171" fontId="25" fillId="3" borderId="45" xfId="0" applyNumberFormat="1"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168" fontId="20" fillId="0" borderId="17" xfId="0" applyNumberFormat="1" applyFont="1" applyFill="1" applyBorder="1" applyAlignment="1">
      <alignment horizontal="center" vertical="center"/>
    </xf>
    <xf numFmtId="0" fontId="17" fillId="0" borderId="0" xfId="0" applyFont="1" applyFill="1" applyAlignment="1">
      <alignment horizontal="center" vertical="center"/>
    </xf>
    <xf numFmtId="0" fontId="17" fillId="0" borderId="17" xfId="0" applyFont="1" applyFill="1" applyBorder="1" applyAlignment="1">
      <alignment horizontal="center" vertical="center"/>
    </xf>
    <xf numFmtId="0" fontId="14" fillId="0" borderId="3" xfId="0" applyFont="1" applyFill="1" applyBorder="1" applyAlignment="1" applyProtection="1">
      <alignment horizontal="center" vertical="center" wrapText="1"/>
    </xf>
    <xf numFmtId="0" fontId="0" fillId="0" borderId="3" xfId="0" applyFill="1" applyBorder="1" applyAlignment="1" applyProtection="1">
      <alignment horizontal="center" vertical="center" wrapText="1"/>
    </xf>
    <xf numFmtId="0" fontId="27" fillId="0" borderId="17" xfId="0" applyFont="1" applyFill="1" applyBorder="1" applyAlignment="1">
      <alignment horizontal="center" vertical="center"/>
    </xf>
    <xf numFmtId="0" fontId="0" fillId="0" borderId="43" xfId="0" applyFont="1" applyFill="1" applyBorder="1" applyAlignment="1">
      <alignment horizontal="center" vertical="center" wrapText="1"/>
    </xf>
    <xf numFmtId="0" fontId="0" fillId="0" borderId="45" xfId="0" applyFont="1" applyFill="1" applyBorder="1" applyAlignment="1">
      <alignment horizontal="left" vertical="center" wrapText="1"/>
    </xf>
    <xf numFmtId="168" fontId="23" fillId="3" borderId="45" xfId="0" applyNumberFormat="1" applyFont="1" applyFill="1" applyBorder="1" applyAlignment="1">
      <alignment horizontal="center" vertical="center" wrapText="1"/>
    </xf>
    <xf numFmtId="0" fontId="0" fillId="0" borderId="0" xfId="0" applyFont="1" applyAlignment="1">
      <alignment horizontal="left" vertical="center"/>
    </xf>
    <xf numFmtId="0" fontId="6" fillId="0" borderId="45" xfId="0" applyFont="1" applyFill="1" applyBorder="1" applyAlignment="1" applyProtection="1">
      <alignment horizontal="left" vertical="center" wrapText="1"/>
    </xf>
    <xf numFmtId="0" fontId="0" fillId="0" borderId="1" xfId="0" applyFill="1" applyBorder="1" applyAlignment="1">
      <alignment horizontal="left" vertical="center" wrapText="1"/>
    </xf>
    <xf numFmtId="0" fontId="5" fillId="0" borderId="11" xfId="0" applyFont="1" applyBorder="1" applyAlignment="1" applyProtection="1">
      <alignment horizontal="left" vertical="center" wrapText="1"/>
    </xf>
    <xf numFmtId="171" fontId="14" fillId="0" borderId="0" xfId="0" applyNumberFormat="1" applyFont="1" applyFill="1" applyBorder="1" applyAlignment="1">
      <alignment wrapText="1"/>
    </xf>
    <xf numFmtId="0" fontId="0" fillId="0" borderId="50" xfId="0" applyBorder="1"/>
    <xf numFmtId="0" fontId="0" fillId="0" borderId="0" xfId="0" applyFont="1" applyFill="1" applyAlignment="1">
      <alignment vertical="center" wrapText="1"/>
    </xf>
    <xf numFmtId="0" fontId="0" fillId="0" borderId="43" xfId="0" applyBorder="1" applyAlignment="1">
      <alignment horizontal="center" vertical="center" wrapText="1"/>
    </xf>
    <xf numFmtId="0" fontId="0" fillId="0" borderId="59" xfId="0" applyFont="1" applyFill="1" applyBorder="1" applyAlignment="1" applyProtection="1">
      <alignment horizontal="left" vertical="center" wrapText="1"/>
    </xf>
    <xf numFmtId="0" fontId="6" fillId="0" borderId="3" xfId="0" applyFont="1" applyFill="1" applyBorder="1" applyAlignment="1" applyProtection="1">
      <alignment horizontal="left" vertical="center" wrapText="1"/>
    </xf>
    <xf numFmtId="0" fontId="0" fillId="0" borderId="1" xfId="0" applyFill="1" applyBorder="1" applyAlignment="1" applyProtection="1">
      <alignment wrapText="1"/>
    </xf>
    <xf numFmtId="0" fontId="0" fillId="0" borderId="54" xfId="0" applyFont="1" applyFill="1" applyBorder="1" applyAlignment="1" applyProtection="1">
      <alignment horizontal="left" vertical="center" wrapText="1"/>
    </xf>
    <xf numFmtId="0" fontId="6" fillId="0" borderId="1" xfId="0" applyFont="1" applyFill="1" applyBorder="1" applyAlignment="1">
      <alignment horizontal="left" vertical="center" wrapText="1"/>
    </xf>
    <xf numFmtId="0" fontId="0" fillId="0" borderId="47" xfId="0" applyFill="1" applyBorder="1" applyAlignment="1" applyProtection="1">
      <alignment vertical="center" wrapText="1"/>
    </xf>
    <xf numFmtId="0" fontId="0" fillId="0" borderId="54" xfId="0" applyFill="1" applyBorder="1" applyAlignment="1" applyProtection="1">
      <alignment vertical="center" wrapText="1"/>
    </xf>
    <xf numFmtId="0" fontId="6" fillId="0" borderId="45" xfId="0" applyFont="1" applyFill="1" applyBorder="1" applyAlignment="1" applyProtection="1">
      <alignment vertical="center" wrapText="1"/>
    </xf>
    <xf numFmtId="0" fontId="6" fillId="0" borderId="78" xfId="0" applyFont="1" applyFill="1" applyBorder="1" applyAlignment="1">
      <alignment horizontal="center" vertical="center" wrapText="1"/>
    </xf>
    <xf numFmtId="0" fontId="34" fillId="0" borderId="50" xfId="0" applyFont="1" applyFill="1" applyBorder="1" applyAlignment="1">
      <alignment wrapText="1"/>
    </xf>
    <xf numFmtId="0" fontId="34" fillId="0" borderId="45" xfId="0" applyFont="1" applyFill="1" applyBorder="1" applyAlignment="1">
      <alignment wrapText="1"/>
    </xf>
    <xf numFmtId="0" fontId="34" fillId="0" borderId="45" xfId="0" applyFont="1" applyFill="1" applyBorder="1" applyAlignment="1" applyProtection="1">
      <alignment wrapText="1"/>
      <protection locked="0"/>
    </xf>
    <xf numFmtId="0" fontId="34" fillId="0" borderId="46" xfId="0" applyFont="1" applyFill="1" applyBorder="1" applyAlignment="1">
      <alignment wrapText="1"/>
    </xf>
    <xf numFmtId="0" fontId="85" fillId="10" borderId="4" xfId="0" applyFont="1" applyFill="1" applyBorder="1" applyAlignment="1">
      <alignment wrapText="1"/>
    </xf>
    <xf numFmtId="0" fontId="85" fillId="10" borderId="6" xfId="0" applyFont="1" applyFill="1" applyBorder="1" applyAlignment="1">
      <alignment wrapText="1"/>
    </xf>
    <xf numFmtId="0" fontId="85" fillId="10" borderId="46" xfId="0" applyFont="1" applyFill="1" applyBorder="1" applyAlignment="1">
      <alignment wrapText="1"/>
    </xf>
    <xf numFmtId="0" fontId="14" fillId="3" borderId="3" xfId="0" applyFont="1" applyFill="1" applyBorder="1" applyAlignment="1" applyProtection="1">
      <alignment wrapText="1"/>
      <protection locked="0"/>
    </xf>
    <xf numFmtId="0" fontId="14" fillId="3" borderId="2" xfId="0" applyFont="1" applyFill="1" applyBorder="1" applyAlignment="1" applyProtection="1">
      <alignment wrapText="1"/>
      <protection locked="0"/>
    </xf>
    <xf numFmtId="0" fontId="14" fillId="3" borderId="45" xfId="0" applyFont="1" applyFill="1" applyBorder="1" applyAlignment="1" applyProtection="1">
      <alignment wrapText="1"/>
      <protection locked="0"/>
    </xf>
    <xf numFmtId="167" fontId="13" fillId="0" borderId="1" xfId="11" applyFont="1" applyFill="1" applyBorder="1" applyAlignment="1" applyProtection="1">
      <alignment horizontal="left" vertical="center" wrapText="1"/>
    </xf>
    <xf numFmtId="0" fontId="0" fillId="10" borderId="59" xfId="0" applyFill="1" applyBorder="1" applyAlignment="1" applyProtection="1">
      <alignment wrapText="1"/>
      <protection locked="0"/>
    </xf>
    <xf numFmtId="0" fontId="0" fillId="10" borderId="15" xfId="0" applyFill="1" applyBorder="1" applyAlignment="1" applyProtection="1">
      <alignment wrapText="1"/>
      <protection locked="0"/>
    </xf>
    <xf numFmtId="0" fontId="0" fillId="10" borderId="16" xfId="0" applyFill="1" applyBorder="1" applyAlignment="1" applyProtection="1">
      <alignment wrapText="1"/>
      <protection locked="0"/>
    </xf>
    <xf numFmtId="0" fontId="0" fillId="10" borderId="54" xfId="0" applyFill="1" applyBorder="1" applyAlignment="1" applyProtection="1">
      <alignment wrapText="1"/>
      <protection locked="0"/>
    </xf>
    <xf numFmtId="0" fontId="34" fillId="0" borderId="48" xfId="0" applyFont="1" applyFill="1" applyBorder="1" applyAlignment="1" applyProtection="1">
      <alignment wrapText="1"/>
      <protection locked="0"/>
    </xf>
    <xf numFmtId="0" fontId="85" fillId="10" borderId="50" xfId="0" applyFont="1" applyFill="1" applyBorder="1" applyAlignment="1">
      <alignment wrapText="1"/>
    </xf>
    <xf numFmtId="171" fontId="0" fillId="3" borderId="48" xfId="0" applyNumberFormat="1" applyFill="1" applyBorder="1" applyAlignment="1" applyProtection="1"/>
    <xf numFmtId="0" fontId="6" fillId="0" borderId="0" xfId="0" applyFont="1" applyBorder="1" applyAlignment="1" applyProtection="1"/>
    <xf numFmtId="0" fontId="0" fillId="0" borderId="0" xfId="0" applyBorder="1" applyAlignment="1" applyProtection="1">
      <protection locked="0"/>
    </xf>
    <xf numFmtId="0" fontId="5" fillId="3" borderId="79" xfId="0" applyFont="1" applyFill="1" applyBorder="1" applyAlignment="1" applyProtection="1">
      <alignment horizontal="center" vertical="center" wrapText="1"/>
    </xf>
    <xf numFmtId="0" fontId="5" fillId="3" borderId="63" xfId="0" applyFont="1" applyFill="1" applyBorder="1" applyAlignment="1" applyProtection="1">
      <alignment horizontal="center" vertical="center" wrapText="1"/>
    </xf>
    <xf numFmtId="171" fontId="5" fillId="3" borderId="63" xfId="0" applyNumberFormat="1" applyFont="1" applyFill="1" applyBorder="1" applyAlignment="1" applyProtection="1">
      <alignment horizontal="center" vertical="center" wrapText="1"/>
    </xf>
    <xf numFmtId="171" fontId="5" fillId="3" borderId="63" xfId="0" applyNumberFormat="1" applyFont="1" applyFill="1" applyBorder="1" applyAlignment="1" applyProtection="1">
      <alignment horizontal="center" vertical="center" wrapText="1"/>
      <protection locked="0"/>
    </xf>
    <xf numFmtId="0" fontId="5" fillId="3" borderId="63" xfId="0" applyFont="1" applyFill="1" applyBorder="1" applyAlignment="1" applyProtection="1">
      <alignment horizontal="center" vertical="center" wrapText="1"/>
      <protection locked="0"/>
    </xf>
    <xf numFmtId="171" fontId="0" fillId="0" borderId="1" xfId="0" applyNumberFormat="1" applyBorder="1" applyAlignment="1" applyProtection="1"/>
    <xf numFmtId="0" fontId="39" fillId="0" borderId="57" xfId="0" applyFont="1" applyBorder="1" applyAlignment="1">
      <alignment horizontal="center" vertical="center"/>
    </xf>
    <xf numFmtId="2" fontId="14" fillId="3" borderId="2" xfId="0" applyNumberFormat="1" applyFont="1" applyFill="1" applyBorder="1" applyAlignment="1" applyProtection="1">
      <alignment wrapText="1"/>
      <protection locked="0"/>
    </xf>
    <xf numFmtId="0" fontId="0" fillId="0" borderId="58" xfId="0" applyBorder="1" applyAlignment="1" applyProtection="1"/>
    <xf numFmtId="171" fontId="0" fillId="0" borderId="48" xfId="0" applyNumberFormat="1" applyBorder="1" applyAlignment="1" applyProtection="1"/>
    <xf numFmtId="0" fontId="0" fillId="0" borderId="48" xfId="0" applyBorder="1" applyAlignment="1" applyProtection="1">
      <alignment horizontal="center" vertical="center"/>
      <protection locked="0"/>
    </xf>
    <xf numFmtId="0" fontId="0" fillId="0" borderId="50" xfId="0" applyBorder="1" applyAlignment="1" applyProtection="1">
      <alignment horizontal="center" vertical="center"/>
    </xf>
    <xf numFmtId="171" fontId="0" fillId="5" borderId="48" xfId="0" applyNumberFormat="1" applyFill="1" applyBorder="1" applyAlignment="1" applyProtection="1">
      <alignment horizontal="center"/>
      <protection locked="0"/>
    </xf>
    <xf numFmtId="172" fontId="0" fillId="3" borderId="48" xfId="0" applyNumberFormat="1" applyFill="1" applyBorder="1" applyAlignment="1">
      <alignment horizontal="center" vertical="center"/>
    </xf>
    <xf numFmtId="0" fontId="0" fillId="0" borderId="49" xfId="0" applyFill="1" applyBorder="1" applyAlignment="1" applyProtection="1">
      <alignment horizontal="left" vertical="center" wrapText="1"/>
    </xf>
    <xf numFmtId="0" fontId="23" fillId="3" borderId="43" xfId="0" applyFont="1" applyFill="1" applyBorder="1" applyAlignment="1">
      <alignment horizontal="center" vertical="center"/>
    </xf>
    <xf numFmtId="0" fontId="6" fillId="0" borderId="59" xfId="0" applyFont="1" applyFill="1" applyBorder="1" applyAlignment="1">
      <alignment horizontal="center" vertical="center" wrapText="1"/>
    </xf>
    <xf numFmtId="0" fontId="6" fillId="0" borderId="48" xfId="0" applyFont="1" applyBorder="1" applyAlignment="1">
      <alignment horizontal="center" vertical="center" wrapText="1"/>
    </xf>
    <xf numFmtId="0" fontId="0" fillId="0" borderId="41" xfId="0" applyBorder="1" applyAlignment="1" applyProtection="1"/>
    <xf numFmtId="171" fontId="0" fillId="5" borderId="48" xfId="0" applyNumberFormat="1" applyFill="1" applyBorder="1" applyAlignment="1" applyProtection="1">
      <protection locked="0"/>
    </xf>
    <xf numFmtId="0" fontId="14" fillId="0" borderId="59" xfId="0" applyFont="1" applyFill="1" applyBorder="1" applyAlignment="1">
      <alignment horizontal="left" vertical="center" wrapText="1"/>
    </xf>
    <xf numFmtId="0" fontId="6" fillId="0" borderId="48" xfId="0" applyFont="1" applyFill="1" applyBorder="1" applyAlignment="1" applyProtection="1"/>
    <xf numFmtId="0" fontId="0" fillId="0" borderId="48" xfId="0" applyFill="1" applyBorder="1" applyAlignment="1" applyProtection="1"/>
    <xf numFmtId="0" fontId="0" fillId="0" borderId="48" xfId="0" applyFill="1" applyBorder="1" applyAlignment="1" applyProtection="1">
      <alignment horizontal="center"/>
    </xf>
    <xf numFmtId="0" fontId="0" fillId="0" borderId="53" xfId="0" applyBorder="1" applyAlignment="1" applyProtection="1"/>
    <xf numFmtId="171" fontId="0" fillId="0" borderId="53" xfId="0" applyNumberFormat="1" applyBorder="1" applyAlignment="1" applyProtection="1"/>
    <xf numFmtId="171" fontId="0" fillId="0" borderId="53" xfId="0" applyNumberFormat="1" applyBorder="1" applyAlignment="1" applyProtection="1">
      <protection locked="0"/>
    </xf>
    <xf numFmtId="0" fontId="0" fillId="0" borderId="53" xfId="0" applyBorder="1" applyAlignment="1" applyProtection="1">
      <protection locked="0"/>
    </xf>
    <xf numFmtId="0" fontId="0" fillId="0" borderId="57" xfId="0" applyBorder="1" applyAlignment="1" applyProtection="1"/>
    <xf numFmtId="0" fontId="14" fillId="0" borderId="53" xfId="0" applyFont="1" applyFill="1" applyBorder="1" applyAlignment="1">
      <alignment horizontal="center" vertical="center" wrapText="1"/>
    </xf>
    <xf numFmtId="0" fontId="17" fillId="0" borderId="42" xfId="0" applyFont="1" applyBorder="1" applyAlignment="1" applyProtection="1">
      <alignment horizontal="center" vertical="center"/>
    </xf>
    <xf numFmtId="0" fontId="6" fillId="0" borderId="65" xfId="0" applyFont="1" applyFill="1" applyBorder="1" applyAlignment="1" applyProtection="1">
      <alignment horizontal="left" vertical="center" wrapText="1"/>
    </xf>
    <xf numFmtId="0" fontId="0" fillId="0" borderId="0" xfId="0" applyFill="1" applyBorder="1" applyAlignment="1" applyProtection="1"/>
    <xf numFmtId="0" fontId="6" fillId="0" borderId="48" xfId="0" applyFont="1" applyFill="1" applyBorder="1" applyAlignment="1" applyProtection="1">
      <alignment horizontal="center" vertical="center" wrapText="1"/>
    </xf>
    <xf numFmtId="0" fontId="0" fillId="0" borderId="45" xfId="0" applyFill="1" applyBorder="1" applyAlignment="1">
      <alignment horizontal="center" vertical="center" wrapText="1"/>
    </xf>
    <xf numFmtId="0" fontId="0" fillId="11" borderId="1" xfId="0" applyFill="1" applyBorder="1"/>
    <xf numFmtId="0" fontId="0" fillId="11" borderId="45" xfId="0" applyFill="1" applyBorder="1"/>
    <xf numFmtId="0" fontId="0" fillId="11" borderId="2" xfId="0" applyFill="1" applyBorder="1"/>
    <xf numFmtId="0" fontId="0" fillId="11" borderId="1" xfId="0" applyFill="1" applyBorder="1" applyAlignment="1"/>
    <xf numFmtId="0" fontId="0" fillId="11" borderId="3" xfId="0" applyFill="1" applyBorder="1" applyAlignment="1" applyProtection="1">
      <alignment wrapText="1"/>
      <protection locked="0"/>
    </xf>
    <xf numFmtId="0" fontId="0" fillId="11" borderId="1" xfId="0" applyFill="1" applyBorder="1" applyAlignment="1" applyProtection="1">
      <alignment wrapText="1"/>
      <protection locked="0"/>
    </xf>
    <xf numFmtId="0" fontId="0" fillId="11" borderId="45" xfId="0" applyFill="1" applyBorder="1" applyAlignment="1" applyProtection="1">
      <alignment wrapText="1"/>
      <protection locked="0"/>
    </xf>
    <xf numFmtId="0" fontId="14" fillId="0" borderId="3" xfId="0" applyFont="1" applyFill="1" applyBorder="1" applyAlignment="1">
      <alignment wrapText="1"/>
    </xf>
    <xf numFmtId="0" fontId="14" fillId="0" borderId="2" xfId="0" applyFont="1" applyFill="1" applyBorder="1" applyAlignment="1">
      <alignment wrapText="1"/>
    </xf>
    <xf numFmtId="0" fontId="14" fillId="0" borderId="48" xfId="0" applyFont="1" applyFill="1" applyBorder="1" applyAlignment="1">
      <alignment horizontal="center" vertical="center" wrapText="1"/>
    </xf>
    <xf numFmtId="0" fontId="14" fillId="0" borderId="1" xfId="0" applyFont="1" applyFill="1" applyBorder="1" applyAlignment="1">
      <alignment wrapText="1"/>
    </xf>
    <xf numFmtId="0" fontId="14" fillId="0" borderId="45" xfId="0" applyFont="1" applyFill="1" applyBorder="1" applyAlignment="1">
      <alignment wrapText="1"/>
    </xf>
    <xf numFmtId="0" fontId="14" fillId="0" borderId="80" xfId="9" applyFont="1" applyFill="1" applyBorder="1" applyAlignment="1">
      <alignment horizontal="left" vertical="center" wrapText="1"/>
    </xf>
    <xf numFmtId="169" fontId="29" fillId="0" borderId="51" xfId="0" applyNumberFormat="1" applyFont="1" applyFill="1" applyBorder="1" applyAlignment="1">
      <alignment horizontal="center" vertical="center" wrapText="1"/>
    </xf>
    <xf numFmtId="171" fontId="14" fillId="0" borderId="51" xfId="9" applyNumberFormat="1" applyFill="1" applyBorder="1" applyAlignment="1">
      <alignment horizontal="left" vertical="center" wrapText="1"/>
    </xf>
    <xf numFmtId="0" fontId="14" fillId="0" borderId="81" xfId="0" applyFont="1" applyFill="1" applyBorder="1" applyAlignment="1">
      <alignment wrapText="1"/>
    </xf>
    <xf numFmtId="0" fontId="17" fillId="0" borderId="49" xfId="0" applyFont="1" applyFill="1" applyBorder="1" applyAlignment="1">
      <alignment horizontal="center" vertical="center" wrapText="1"/>
    </xf>
    <xf numFmtId="0" fontId="6" fillId="0" borderId="2" xfId="0" applyFont="1" applyFill="1" applyBorder="1" applyAlignment="1" applyProtection="1">
      <alignment horizontal="left" vertical="center" wrapText="1"/>
    </xf>
    <xf numFmtId="0" fontId="0" fillId="0" borderId="47" xfId="0" applyFill="1" applyBorder="1" applyAlignment="1" applyProtection="1">
      <alignment horizontal="center" vertical="center" wrapText="1"/>
    </xf>
    <xf numFmtId="0" fontId="0" fillId="0" borderId="11" xfId="0" applyFont="1" applyFill="1" applyBorder="1" applyAlignment="1" applyProtection="1">
      <alignment horizontal="left" vertical="center" wrapText="1"/>
    </xf>
    <xf numFmtId="0" fontId="86" fillId="0" borderId="1" xfId="0" applyFont="1" applyFill="1" applyBorder="1" applyAlignment="1" applyProtection="1"/>
    <xf numFmtId="0" fontId="0" fillId="0" borderId="68" xfId="0" applyFont="1" applyFill="1" applyBorder="1" applyAlignment="1">
      <alignment wrapText="1"/>
    </xf>
    <xf numFmtId="0" fontId="6" fillId="0" borderId="48" xfId="0" applyFont="1" applyFill="1" applyBorder="1" applyAlignment="1" applyProtection="1">
      <alignment horizontal="center" vertical="center"/>
    </xf>
    <xf numFmtId="0" fontId="6" fillId="0" borderId="58" xfId="0" applyFont="1" applyFill="1" applyBorder="1" applyAlignment="1" applyProtection="1">
      <alignment horizontal="center" vertical="center" wrapText="1"/>
    </xf>
    <xf numFmtId="0" fontId="6" fillId="0" borderId="0" xfId="0" applyFont="1" applyFill="1" applyBorder="1" applyAlignment="1" applyProtection="1">
      <alignment horizontal="center" vertical="center" wrapText="1"/>
    </xf>
    <xf numFmtId="0" fontId="6" fillId="0" borderId="59" xfId="0" applyFont="1" applyFill="1" applyBorder="1" applyAlignment="1" applyProtection="1">
      <alignment horizontal="center" vertical="center" wrapText="1"/>
    </xf>
    <xf numFmtId="0" fontId="17" fillId="0" borderId="1" xfId="0" applyFont="1" applyFill="1" applyBorder="1" applyAlignment="1">
      <alignment horizontal="center" vertical="center" wrapText="1"/>
    </xf>
    <xf numFmtId="0" fontId="14" fillId="0" borderId="82"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7" fillId="0" borderId="2" xfId="0" applyFont="1" applyFill="1" applyBorder="1" applyAlignment="1" applyProtection="1">
      <alignment horizontal="center" vertical="center"/>
      <protection locked="0"/>
    </xf>
    <xf numFmtId="0" fontId="17" fillId="0" borderId="6" xfId="0" applyFont="1" applyFill="1" applyBorder="1" applyAlignment="1">
      <alignment horizontal="center" vertical="center"/>
    </xf>
    <xf numFmtId="0" fontId="39" fillId="0" borderId="2" xfId="0" applyFont="1" applyFill="1" applyBorder="1" applyAlignment="1" applyProtection="1">
      <alignment horizontal="center" vertical="center"/>
      <protection locked="0"/>
    </xf>
    <xf numFmtId="0" fontId="39" fillId="0" borderId="6" xfId="0" applyFont="1" applyFill="1" applyBorder="1" applyAlignment="1">
      <alignment horizontal="center" vertical="center"/>
    </xf>
    <xf numFmtId="0" fontId="18" fillId="0" borderId="43" xfId="0" applyFont="1" applyFill="1" applyBorder="1" applyAlignment="1">
      <alignment horizontal="center" vertical="center" wrapText="1"/>
    </xf>
    <xf numFmtId="171" fontId="0" fillId="3" borderId="43" xfId="0" applyNumberFormat="1" applyFill="1" applyBorder="1" applyAlignment="1">
      <alignment wrapText="1"/>
    </xf>
    <xf numFmtId="0" fontId="18" fillId="0" borderId="2" xfId="0" applyFont="1" applyFill="1" applyBorder="1" applyAlignment="1">
      <alignment horizontal="center" vertical="center" wrapText="1"/>
    </xf>
    <xf numFmtId="0" fontId="0" fillId="0" borderId="44" xfId="0" applyFont="1" applyFill="1" applyBorder="1" applyAlignment="1">
      <alignment horizontal="right" vertical="center" wrapText="1"/>
    </xf>
    <xf numFmtId="0" fontId="0" fillId="0" borderId="6" xfId="0" applyFont="1" applyFill="1" applyBorder="1" applyAlignment="1">
      <alignment horizontal="right" vertical="center" wrapText="1"/>
    </xf>
    <xf numFmtId="0" fontId="15" fillId="11" borderId="61" xfId="0" applyFont="1" applyFill="1" applyBorder="1" applyAlignment="1">
      <alignment horizontal="center" vertical="center" wrapText="1"/>
    </xf>
    <xf numFmtId="0" fontId="15" fillId="11" borderId="81" xfId="0" applyFont="1" applyFill="1" applyBorder="1" applyAlignment="1">
      <alignment horizontal="center" vertical="center" wrapText="1"/>
    </xf>
    <xf numFmtId="0" fontId="0" fillId="0" borderId="62" xfId="0" applyFill="1" applyBorder="1" applyAlignment="1">
      <alignment wrapText="1"/>
    </xf>
    <xf numFmtId="0" fontId="0" fillId="10" borderId="43" xfId="0" applyFill="1" applyBorder="1" applyAlignment="1" applyProtection="1">
      <alignment wrapText="1"/>
      <protection locked="0"/>
    </xf>
    <xf numFmtId="0" fontId="0" fillId="10" borderId="44" xfId="0" applyFill="1" applyBorder="1" applyAlignment="1">
      <alignment wrapText="1"/>
    </xf>
    <xf numFmtId="0" fontId="34" fillId="0" borderId="43" xfId="0" applyFont="1" applyFill="1" applyBorder="1" applyAlignment="1">
      <alignment wrapText="1"/>
    </xf>
    <xf numFmtId="0" fontId="34" fillId="0" borderId="43" xfId="0" applyFont="1" applyFill="1" applyBorder="1" applyAlignment="1" applyProtection="1">
      <alignment wrapText="1"/>
      <protection locked="0"/>
    </xf>
    <xf numFmtId="0" fontId="0" fillId="11" borderId="43" xfId="0" applyFill="1" applyBorder="1" applyAlignment="1" applyProtection="1">
      <alignment wrapText="1"/>
      <protection locked="0"/>
    </xf>
    <xf numFmtId="0" fontId="0" fillId="0" borderId="0" xfId="0" applyFont="1" applyFill="1" applyBorder="1" applyAlignment="1">
      <alignment horizontal="left" vertical="center" wrapText="1"/>
    </xf>
    <xf numFmtId="0" fontId="28" fillId="0" borderId="11" xfId="0" applyFont="1" applyBorder="1" applyAlignment="1">
      <alignment horizontal="left" vertical="center" wrapText="1"/>
    </xf>
    <xf numFmtId="0" fontId="28" fillId="0" borderId="1" xfId="0" applyFont="1" applyBorder="1" applyAlignment="1">
      <alignment horizontal="left" vertical="center" wrapText="1"/>
    </xf>
    <xf numFmtId="0" fontId="28" fillId="0" borderId="5" xfId="0" applyFont="1" applyBorder="1" applyAlignment="1">
      <alignment horizontal="left" vertical="center" wrapText="1"/>
    </xf>
    <xf numFmtId="0" fontId="0" fillId="0" borderId="1" xfId="0" applyBorder="1" applyAlignment="1">
      <alignment horizontal="left" vertical="center" wrapText="1"/>
    </xf>
    <xf numFmtId="0" fontId="0" fillId="0" borderId="48" xfId="0" applyFont="1" applyFill="1" applyBorder="1" applyAlignment="1">
      <alignment horizontal="center" vertical="center" wrapText="1"/>
    </xf>
    <xf numFmtId="0" fontId="0" fillId="0" borderId="62" xfId="0" applyFont="1" applyFill="1" applyBorder="1" applyAlignment="1">
      <alignment horizontal="center" vertical="center" wrapText="1"/>
    </xf>
    <xf numFmtId="171" fontId="16" fillId="3" borderId="43" xfId="0" applyNumberFormat="1" applyFont="1" applyFill="1" applyBorder="1" applyAlignment="1">
      <alignment horizontal="center" vertical="center" wrapText="1"/>
    </xf>
    <xf numFmtId="0" fontId="0" fillId="0" borderId="43" xfId="0" applyFill="1" applyBorder="1" applyAlignment="1">
      <alignment horizontal="center" vertical="center" wrapText="1"/>
    </xf>
    <xf numFmtId="0" fontId="28" fillId="0" borderId="41" xfId="0" applyFont="1" applyBorder="1" applyAlignment="1">
      <alignment horizontal="left" vertical="center" wrapText="1"/>
    </xf>
    <xf numFmtId="0" fontId="28" fillId="0" borderId="47" xfId="0" applyFont="1" applyBorder="1" applyAlignment="1">
      <alignment horizontal="left" vertical="center" wrapText="1"/>
    </xf>
    <xf numFmtId="0" fontId="28" fillId="0" borderId="43" xfId="0" applyFont="1" applyBorder="1" applyAlignment="1">
      <alignment horizontal="left" vertical="center" wrapText="1"/>
    </xf>
    <xf numFmtId="0" fontId="28" fillId="0" borderId="62" xfId="0" applyFont="1" applyBorder="1" applyAlignment="1">
      <alignment horizontal="left" vertical="center" wrapText="1"/>
    </xf>
    <xf numFmtId="0" fontId="0" fillId="0" borderId="44" xfId="0" applyBorder="1" applyAlignment="1">
      <alignment wrapText="1"/>
    </xf>
    <xf numFmtId="0" fontId="0" fillId="0" borderId="83" xfId="0" applyBorder="1" applyAlignment="1">
      <alignment wrapText="1"/>
    </xf>
    <xf numFmtId="0" fontId="0" fillId="0" borderId="42" xfId="0" applyFill="1" applyBorder="1" applyAlignment="1">
      <alignment wrapText="1"/>
    </xf>
    <xf numFmtId="0" fontId="34" fillId="0" borderId="3" xfId="0" applyFont="1" applyFill="1" applyBorder="1" applyAlignment="1">
      <alignment wrapText="1"/>
    </xf>
    <xf numFmtId="0" fontId="14" fillId="3" borderId="51" xfId="0" applyFont="1" applyFill="1" applyBorder="1" applyAlignment="1" applyProtection="1">
      <alignment wrapText="1"/>
      <protection locked="0"/>
    </xf>
    <xf numFmtId="0" fontId="5" fillId="3" borderId="43" xfId="0" applyFont="1" applyFill="1" applyBorder="1" applyAlignment="1">
      <alignment horizontal="center" vertical="center" wrapText="1"/>
    </xf>
    <xf numFmtId="0" fontId="5" fillId="3" borderId="62" xfId="0" applyFont="1" applyFill="1" applyBorder="1" applyAlignment="1">
      <alignment horizontal="center" vertical="center" wrapText="1"/>
    </xf>
    <xf numFmtId="171" fontId="5" fillId="3" borderId="43" xfId="0" applyNumberFormat="1" applyFont="1" applyFill="1" applyBorder="1" applyAlignment="1">
      <alignment horizontal="center" vertical="center" wrapText="1"/>
    </xf>
    <xf numFmtId="168" fontId="5" fillId="3" borderId="43" xfId="0" applyNumberFormat="1" applyFont="1" applyFill="1" applyBorder="1" applyAlignment="1">
      <alignment horizontal="center" vertical="center" wrapText="1"/>
    </xf>
    <xf numFmtId="0" fontId="5" fillId="3" borderId="43" xfId="0" applyFont="1" applyFill="1" applyBorder="1" applyAlignment="1">
      <alignment horizontal="center" vertical="justify" wrapText="1"/>
    </xf>
    <xf numFmtId="0" fontId="15" fillId="3" borderId="44" xfId="0" applyFont="1" applyFill="1" applyBorder="1" applyAlignment="1">
      <alignment horizontal="center" vertical="justify" wrapText="1"/>
    </xf>
    <xf numFmtId="0" fontId="17" fillId="0" borderId="2" xfId="0" applyFont="1" applyBorder="1" applyAlignment="1">
      <alignment horizontal="center" vertical="center" wrapText="1"/>
    </xf>
    <xf numFmtId="0" fontId="0" fillId="0" borderId="2" xfId="0" applyBorder="1" applyAlignment="1" applyProtection="1">
      <alignment wrapText="1"/>
      <protection locked="0"/>
    </xf>
    <xf numFmtId="0" fontId="5" fillId="3" borderId="43" xfId="0" applyFont="1" applyFill="1" applyBorder="1" applyAlignment="1">
      <alignment horizontal="left" vertical="center" wrapText="1"/>
    </xf>
    <xf numFmtId="0" fontId="56" fillId="0" borderId="59" xfId="0" applyFont="1" applyBorder="1" applyAlignment="1">
      <alignment horizontal="left" vertical="center" wrapText="1"/>
    </xf>
    <xf numFmtId="0" fontId="0" fillId="0" borderId="0" xfId="0" applyAlignment="1">
      <alignment horizontal="center" wrapText="1"/>
    </xf>
    <xf numFmtId="0" fontId="5" fillId="0" borderId="11" xfId="0" applyFont="1" applyFill="1" applyBorder="1" applyAlignment="1" applyProtection="1">
      <alignment horizontal="left" vertical="center" wrapText="1"/>
    </xf>
    <xf numFmtId="0" fontId="28" fillId="0" borderId="1" xfId="0" applyFont="1" applyBorder="1" applyAlignment="1">
      <alignment horizontal="center" vertical="center" wrapText="1"/>
    </xf>
    <xf numFmtId="0" fontId="28" fillId="0" borderId="41" xfId="0" applyFont="1" applyBorder="1" applyAlignment="1">
      <alignment horizontal="center" vertical="center" wrapText="1"/>
    </xf>
    <xf numFmtId="0" fontId="28" fillId="0" borderId="43" xfId="0" applyFont="1" applyBorder="1" applyAlignment="1">
      <alignment horizontal="center" vertical="center" wrapText="1"/>
    </xf>
    <xf numFmtId="0" fontId="28" fillId="0" borderId="62" xfId="0" applyFont="1" applyBorder="1" applyAlignment="1">
      <alignment horizontal="center" vertical="center" wrapText="1"/>
    </xf>
    <xf numFmtId="0" fontId="0" fillId="0" borderId="13" xfId="0" applyBorder="1" applyAlignment="1">
      <alignment horizontal="center" wrapText="1"/>
    </xf>
    <xf numFmtId="0" fontId="0" fillId="0" borderId="14" xfId="0" applyBorder="1" applyAlignment="1">
      <alignment horizontal="center" wrapText="1"/>
    </xf>
    <xf numFmtId="0" fontId="87" fillId="0" borderId="0" xfId="0" applyFont="1" applyAlignment="1">
      <alignment vertical="center" wrapText="1"/>
    </xf>
    <xf numFmtId="0" fontId="87" fillId="0" borderId="0" xfId="0" applyFont="1" applyAlignment="1">
      <alignment wrapText="1"/>
    </xf>
    <xf numFmtId="0" fontId="87" fillId="0" borderId="0" xfId="0" applyFont="1" applyFill="1" applyAlignment="1">
      <alignment wrapText="1"/>
    </xf>
    <xf numFmtId="0" fontId="87" fillId="0" borderId="0" xfId="0" applyFont="1" applyAlignment="1">
      <alignment horizontal="center" wrapText="1"/>
    </xf>
    <xf numFmtId="0" fontId="34" fillId="3" borderId="2" xfId="0" applyFont="1" applyFill="1" applyBorder="1" applyAlignment="1" applyProtection="1">
      <alignment wrapText="1"/>
      <protection locked="0"/>
    </xf>
    <xf numFmtId="0" fontId="0" fillId="11" borderId="43" xfId="0" applyFill="1" applyBorder="1" applyAlignment="1"/>
    <xf numFmtId="0" fontId="0" fillId="0" borderId="0" xfId="0" applyFont="1" applyFill="1" applyAlignment="1">
      <alignment horizontal="left" vertical="center"/>
    </xf>
    <xf numFmtId="0" fontId="6" fillId="0" borderId="1" xfId="0" applyFont="1" applyFill="1" applyBorder="1" applyAlignment="1" applyProtection="1">
      <alignment vertical="center" wrapText="1"/>
    </xf>
    <xf numFmtId="0" fontId="14" fillId="0" borderId="0" xfId="0" applyFont="1" applyFill="1" applyBorder="1" applyAlignment="1">
      <alignment vertical="center" wrapText="1"/>
    </xf>
    <xf numFmtId="0" fontId="14" fillId="0" borderId="0" xfId="0" applyFont="1" applyFill="1" applyBorder="1" applyAlignment="1">
      <alignment horizontal="center" vertical="center" wrapText="1"/>
    </xf>
    <xf numFmtId="0" fontId="0" fillId="0" borderId="43" xfId="0" applyBorder="1" applyProtection="1">
      <protection locked="0"/>
    </xf>
    <xf numFmtId="0" fontId="0" fillId="0" borderId="44" xfId="0" applyBorder="1"/>
    <xf numFmtId="0" fontId="14" fillId="0" borderId="53" xfId="0" applyFont="1" applyFill="1" applyBorder="1" applyAlignment="1">
      <alignment vertical="center" wrapText="1"/>
    </xf>
    <xf numFmtId="0" fontId="5" fillId="0" borderId="0" xfId="0" applyFont="1" applyFill="1" applyAlignment="1" applyProtection="1">
      <alignment horizontal="center" vertical="center" wrapText="1"/>
    </xf>
    <xf numFmtId="0" fontId="0" fillId="0" borderId="65" xfId="0" applyFill="1" applyBorder="1" applyAlignment="1" applyProtection="1"/>
    <xf numFmtId="167" fontId="6" fillId="0" borderId="45" xfId="11" applyFont="1" applyFill="1" applyBorder="1" applyAlignment="1" applyProtection="1">
      <alignment vertical="center" wrapText="1"/>
    </xf>
    <xf numFmtId="0" fontId="5" fillId="12" borderId="22" xfId="0" quotePrefix="1" applyFont="1" applyFill="1" applyBorder="1" applyAlignment="1" applyProtection="1">
      <alignment horizontal="center" vertical="center" wrapText="1"/>
    </xf>
    <xf numFmtId="0" fontId="5" fillId="12" borderId="13" xfId="0" applyFont="1" applyFill="1" applyBorder="1" applyAlignment="1" applyProtection="1">
      <alignment horizontal="center" vertical="top"/>
    </xf>
    <xf numFmtId="0" fontId="5" fillId="12" borderId="13" xfId="0" applyFont="1" applyFill="1" applyBorder="1" applyAlignment="1" applyProtection="1">
      <alignment horizontal="center" vertical="top"/>
      <protection locked="0"/>
    </xf>
    <xf numFmtId="0" fontId="5" fillId="12" borderId="13" xfId="0" applyFont="1" applyFill="1" applyBorder="1" applyAlignment="1" applyProtection="1">
      <alignment horizontal="centerContinuous" vertical="top"/>
    </xf>
    <xf numFmtId="0" fontId="5" fillId="12" borderId="21" xfId="0" applyFont="1" applyFill="1" applyBorder="1" applyAlignment="1" applyProtection="1">
      <alignment horizontal="centerContinuous" vertical="top"/>
    </xf>
    <xf numFmtId="0" fontId="5" fillId="12" borderId="23" xfId="0" applyFont="1" applyFill="1" applyBorder="1" applyAlignment="1" applyProtection="1">
      <alignment horizontal="center" vertical="top"/>
    </xf>
    <xf numFmtId="0" fontId="14" fillId="12" borderId="24" xfId="0" applyFont="1" applyFill="1" applyBorder="1" applyAlignment="1" applyProtection="1">
      <alignment horizontal="center" vertical="center"/>
    </xf>
    <xf numFmtId="9" fontId="14" fillId="12" borderId="24" xfId="0" applyNumberFormat="1" applyFont="1" applyFill="1" applyBorder="1" applyAlignment="1" applyProtection="1">
      <alignment horizontal="center" vertical="center"/>
      <protection locked="0"/>
    </xf>
    <xf numFmtId="0" fontId="14" fillId="12" borderId="24" xfId="0" applyFont="1" applyFill="1" applyBorder="1" applyAlignment="1" applyProtection="1">
      <alignment horizontal="centerContinuous" vertical="center"/>
    </xf>
    <xf numFmtId="0" fontId="14" fillId="12" borderId="25" xfId="0" applyFont="1" applyFill="1" applyBorder="1" applyAlignment="1" applyProtection="1">
      <alignment horizontal="centerContinuous" vertical="center"/>
    </xf>
    <xf numFmtId="0" fontId="27" fillId="12" borderId="36" xfId="0" applyFont="1" applyFill="1" applyBorder="1" applyAlignment="1" applyProtection="1">
      <alignment horizontal="center" vertical="center"/>
    </xf>
    <xf numFmtId="0" fontId="14" fillId="12" borderId="37" xfId="0" applyFont="1" applyFill="1" applyBorder="1" applyAlignment="1" applyProtection="1">
      <alignment horizontal="center" vertical="center"/>
    </xf>
    <xf numFmtId="9" fontId="14" fillId="12" borderId="38" xfId="0" applyNumberFormat="1" applyFont="1" applyFill="1" applyBorder="1" applyAlignment="1" applyProtection="1">
      <alignment horizontal="center" vertical="center"/>
      <protection locked="0"/>
    </xf>
    <xf numFmtId="0" fontId="14" fillId="12" borderId="39" xfId="0" applyFont="1" applyFill="1" applyBorder="1" applyAlignment="1" applyProtection="1">
      <alignment horizontal="centerContinuous" vertical="center"/>
    </xf>
    <xf numFmtId="0" fontId="14" fillId="12" borderId="40" xfId="0" applyFont="1" applyFill="1" applyBorder="1" applyAlignment="1" applyProtection="1">
      <alignment horizontal="centerContinuous" vertical="center"/>
    </xf>
    <xf numFmtId="0" fontId="0" fillId="0" borderId="26" xfId="0" applyFont="1" applyBorder="1" applyAlignment="1" applyProtection="1">
      <alignment horizontal="center" vertical="center"/>
    </xf>
    <xf numFmtId="0" fontId="0" fillId="0" borderId="65" xfId="0" applyBorder="1" applyAlignment="1">
      <alignment wrapText="1"/>
    </xf>
    <xf numFmtId="0" fontId="6" fillId="0" borderId="43" xfId="0" applyFont="1" applyFill="1" applyBorder="1" applyAlignment="1" applyProtection="1">
      <alignment vertical="center" wrapText="1"/>
    </xf>
    <xf numFmtId="167" fontId="6" fillId="0" borderId="1" xfId="11" applyFont="1" applyFill="1" applyBorder="1" applyAlignment="1" applyProtection="1">
      <alignment horizontal="center" vertical="center" wrapText="1"/>
    </xf>
    <xf numFmtId="0" fontId="6" fillId="0" borderId="1" xfId="0" applyFont="1" applyFill="1" applyBorder="1" applyAlignment="1" applyProtection="1">
      <alignment horizontal="left" vertical="center" shrinkToFit="1"/>
    </xf>
    <xf numFmtId="0" fontId="0" fillId="0" borderId="62" xfId="0" applyFont="1" applyFill="1" applyBorder="1" applyAlignment="1">
      <alignment horizontal="left" vertical="center" wrapText="1"/>
    </xf>
    <xf numFmtId="0" fontId="34" fillId="3" borderId="45" xfId="0" applyFont="1" applyFill="1" applyBorder="1" applyAlignment="1" applyProtection="1">
      <alignment wrapText="1"/>
      <protection locked="0"/>
    </xf>
    <xf numFmtId="0" fontId="34" fillId="0" borderId="55" xfId="0" applyFont="1" applyFill="1" applyBorder="1" applyAlignment="1">
      <alignment wrapText="1"/>
    </xf>
    <xf numFmtId="0" fontId="0" fillId="0" borderId="45" xfId="0" applyFill="1" applyBorder="1"/>
    <xf numFmtId="0" fontId="0" fillId="11" borderId="45" xfId="0" applyFill="1" applyBorder="1" applyAlignment="1"/>
    <xf numFmtId="0" fontId="0" fillId="11" borderId="48" xfId="0" applyFill="1" applyBorder="1" applyAlignment="1"/>
    <xf numFmtId="2" fontId="14" fillId="3" borderId="1" xfId="0" applyNumberFormat="1" applyFont="1" applyFill="1" applyBorder="1" applyAlignment="1" applyProtection="1">
      <alignment wrapText="1"/>
      <protection locked="0"/>
    </xf>
    <xf numFmtId="0" fontId="34" fillId="3" borderId="3" xfId="0" applyFont="1" applyFill="1" applyBorder="1" applyAlignment="1" applyProtection="1">
      <alignment wrapText="1"/>
      <protection locked="0"/>
    </xf>
    <xf numFmtId="0" fontId="34" fillId="0" borderId="2" xfId="0" applyFont="1" applyFill="1" applyBorder="1" applyAlignment="1">
      <alignment wrapText="1"/>
    </xf>
    <xf numFmtId="0" fontId="34" fillId="0" borderId="72" xfId="0" applyFont="1" applyFill="1" applyBorder="1" applyAlignment="1">
      <alignment wrapText="1"/>
    </xf>
    <xf numFmtId="0" fontId="0" fillId="6" borderId="16" xfId="0" applyFill="1" applyBorder="1" applyAlignment="1" applyProtection="1">
      <alignment wrapText="1"/>
      <protection locked="0"/>
    </xf>
    <xf numFmtId="0" fontId="0" fillId="0" borderId="53" xfId="0" applyBorder="1" applyAlignment="1">
      <alignment horizontal="center" vertical="center" wrapText="1"/>
    </xf>
    <xf numFmtId="0" fontId="6" fillId="0" borderId="1" xfId="0" applyFont="1" applyFill="1" applyBorder="1" applyAlignment="1" applyProtection="1">
      <alignment horizontal="center" vertical="center" wrapText="1"/>
    </xf>
    <xf numFmtId="0" fontId="0" fillId="0" borderId="54" xfId="0" applyBorder="1" applyAlignment="1" applyProtection="1">
      <alignment horizontal="left" vertical="center" wrapText="1"/>
    </xf>
    <xf numFmtId="0" fontId="6" fillId="0" borderId="48" xfId="0" applyFont="1" applyFill="1" applyBorder="1" applyAlignment="1" applyProtection="1">
      <alignment horizontal="left" vertical="center" wrapText="1"/>
    </xf>
    <xf numFmtId="0" fontId="0" fillId="0" borderId="11" xfId="0" applyFill="1" applyBorder="1" applyAlignment="1" applyProtection="1">
      <alignment horizontal="center" vertical="center" wrapText="1"/>
    </xf>
    <xf numFmtId="0" fontId="0" fillId="0" borderId="1" xfId="0" applyFill="1" applyBorder="1" applyAlignment="1" applyProtection="1">
      <alignment horizontal="center"/>
    </xf>
    <xf numFmtId="0" fontId="0" fillId="0" borderId="3" xfId="0" applyBorder="1" applyAlignment="1">
      <alignment horizontal="center" vertical="center" wrapText="1"/>
    </xf>
    <xf numFmtId="167" fontId="6" fillId="0" borderId="45" xfId="11" applyFont="1" applyFill="1" applyBorder="1" applyAlignment="1" applyProtection="1">
      <alignment horizontal="left" vertical="justify"/>
    </xf>
    <xf numFmtId="0" fontId="0" fillId="0" borderId="54" xfId="0" applyBorder="1" applyAlignment="1" applyProtection="1">
      <alignment horizontal="left" vertical="center"/>
    </xf>
    <xf numFmtId="0" fontId="6" fillId="0" borderId="45" xfId="0" applyFont="1" applyFill="1" applyBorder="1" applyAlignment="1" applyProtection="1"/>
    <xf numFmtId="0" fontId="0" fillId="0" borderId="11" xfId="0" applyFont="1" applyFill="1" applyBorder="1" applyAlignment="1" applyProtection="1">
      <alignment horizontal="center" vertical="center" wrapText="1"/>
    </xf>
    <xf numFmtId="0" fontId="0" fillId="0" borderId="54" xfId="0" applyBorder="1" applyAlignment="1" applyProtection="1"/>
    <xf numFmtId="0" fontId="6" fillId="0" borderId="45" xfId="0" applyFont="1" applyBorder="1" applyAlignment="1" applyProtection="1"/>
    <xf numFmtId="0" fontId="0" fillId="0" borderId="47" xfId="0" applyFont="1" applyFill="1" applyBorder="1" applyAlignment="1" applyProtection="1">
      <alignment horizontal="left" vertical="center" wrapText="1"/>
    </xf>
    <xf numFmtId="172" fontId="0" fillId="3" borderId="1" xfId="0" applyNumberFormat="1" applyFill="1" applyBorder="1" applyAlignment="1">
      <alignment horizontal="center" vertical="center"/>
    </xf>
    <xf numFmtId="171" fontId="0" fillId="5" borderId="1" xfId="0" applyNumberFormat="1"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0" fillId="0" borderId="5" xfId="0" applyBorder="1" applyAlignment="1" applyProtection="1">
      <alignment horizontal="center" vertical="center"/>
    </xf>
    <xf numFmtId="0" fontId="14" fillId="0" borderId="78" xfId="0" applyFont="1" applyFill="1" applyBorder="1" applyAlignment="1">
      <alignment horizontal="left" vertical="center" wrapText="1"/>
    </xf>
    <xf numFmtId="1" fontId="0" fillId="0" borderId="5" xfId="0" applyNumberFormat="1" applyBorder="1" applyAlignment="1" applyProtection="1"/>
    <xf numFmtId="0" fontId="6" fillId="0" borderId="1" xfId="0" applyFont="1" applyFill="1" applyBorder="1" applyAlignment="1" applyProtection="1">
      <alignment horizontal="center" wrapText="1"/>
    </xf>
    <xf numFmtId="0" fontId="6" fillId="0" borderId="1" xfId="0" applyFont="1" applyFill="1" applyBorder="1" applyAlignment="1" applyProtection="1">
      <alignment horizontal="center" vertical="center"/>
    </xf>
    <xf numFmtId="2" fontId="0" fillId="3" borderId="48" xfId="0" applyNumberFormat="1" applyFill="1" applyBorder="1" applyAlignment="1" applyProtection="1"/>
    <xf numFmtId="0" fontId="0" fillId="0" borderId="45" xfId="0" applyFill="1" applyBorder="1" applyAlignment="1">
      <alignment vertical="center" wrapText="1"/>
    </xf>
    <xf numFmtId="171" fontId="16" fillId="3" borderId="3" xfId="0" applyNumberFormat="1" applyFont="1" applyFill="1" applyBorder="1" applyAlignment="1">
      <alignment horizontal="center" vertical="center" wrapText="1"/>
    </xf>
    <xf numFmtId="171" fontId="44" fillId="0" borderId="0" xfId="0" applyNumberFormat="1" applyFont="1" applyBorder="1" applyAlignment="1">
      <alignment wrapText="1"/>
    </xf>
    <xf numFmtId="0" fontId="44" fillId="0" borderId="0" xfId="0" applyFont="1" applyBorder="1" applyAlignment="1">
      <alignment horizontal="center" wrapText="1"/>
    </xf>
    <xf numFmtId="171" fontId="25" fillId="3" borderId="45" xfId="0" applyNumberFormat="1" applyFont="1" applyFill="1" applyBorder="1" applyAlignment="1">
      <alignment horizontal="center" vertical="center" wrapText="1"/>
    </xf>
    <xf numFmtId="171" fontId="25" fillId="3" borderId="3" xfId="0" applyNumberFormat="1" applyFont="1" applyFill="1" applyBorder="1" applyAlignment="1">
      <alignment horizontal="center" vertical="center" wrapText="1"/>
    </xf>
    <xf numFmtId="167" fontId="6" fillId="0" borderId="1" xfId="11" applyFont="1" applyFill="1" applyBorder="1" applyAlignment="1" applyProtection="1">
      <alignment vertical="center" wrapText="1"/>
    </xf>
    <xf numFmtId="0" fontId="0" fillId="0" borderId="84" xfId="0" applyFill="1" applyBorder="1" applyAlignment="1">
      <alignment horizontal="left" vertical="center" wrapText="1"/>
    </xf>
    <xf numFmtId="0" fontId="0" fillId="0" borderId="1" xfId="0" applyFill="1" applyBorder="1" applyAlignment="1">
      <alignment vertical="center" wrapText="1"/>
    </xf>
    <xf numFmtId="171" fontId="0" fillId="11" borderId="1" xfId="0" applyNumberFormat="1" applyFill="1" applyBorder="1"/>
    <xf numFmtId="168" fontId="0" fillId="3" borderId="45" xfId="0" applyNumberFormat="1" applyFill="1" applyBorder="1" applyAlignment="1">
      <alignment wrapText="1"/>
    </xf>
    <xf numFmtId="171" fontId="0" fillId="0" borderId="1" xfId="0" applyNumberFormat="1" applyFill="1" applyBorder="1" applyAlignment="1" applyProtection="1"/>
    <xf numFmtId="0" fontId="1" fillId="0" borderId="0" xfId="0" applyFont="1" applyBorder="1" applyAlignment="1">
      <alignment horizontal="center" vertical="center"/>
    </xf>
    <xf numFmtId="0" fontId="29" fillId="0" borderId="1" xfId="0" applyFont="1" applyFill="1" applyBorder="1" applyAlignment="1">
      <alignment horizontal="left" vertical="center" wrapText="1"/>
    </xf>
    <xf numFmtId="0" fontId="0" fillId="0" borderId="1" xfId="0" applyFill="1" applyBorder="1" applyAlignment="1" applyProtection="1">
      <alignment horizontal="right"/>
    </xf>
    <xf numFmtId="0" fontId="0" fillId="0" borderId="10" xfId="0" applyFont="1" applyFill="1" applyBorder="1" applyAlignment="1">
      <alignment wrapText="1"/>
    </xf>
    <xf numFmtId="0" fontId="0" fillId="0" borderId="63" xfId="0" applyFill="1" applyBorder="1" applyAlignment="1" applyProtection="1">
      <alignment wrapText="1"/>
      <protection locked="0"/>
    </xf>
    <xf numFmtId="0" fontId="0" fillId="0" borderId="16" xfId="0" applyFont="1" applyFill="1" applyBorder="1" applyAlignment="1" applyProtection="1">
      <alignment vertical="center" wrapText="1"/>
    </xf>
    <xf numFmtId="0" fontId="6" fillId="0" borderId="2" xfId="0" applyFont="1" applyFill="1" applyBorder="1" applyAlignment="1" applyProtection="1">
      <alignment vertical="center" wrapText="1"/>
    </xf>
    <xf numFmtId="0" fontId="0" fillId="0" borderId="2" xfId="0" applyFont="1" applyFill="1" applyBorder="1" applyAlignment="1" applyProtection="1"/>
    <xf numFmtId="171" fontId="0" fillId="0" borderId="2" xfId="0" applyNumberFormat="1" applyFont="1" applyFill="1" applyBorder="1" applyAlignment="1" applyProtection="1">
      <protection locked="0"/>
    </xf>
    <xf numFmtId="0" fontId="0" fillId="0" borderId="2" xfId="0" applyFont="1" applyFill="1" applyBorder="1" applyAlignment="1" applyProtection="1">
      <protection locked="0"/>
    </xf>
    <xf numFmtId="0" fontId="0" fillId="0" borderId="6" xfId="0" applyFont="1" applyFill="1" applyBorder="1" applyAlignment="1" applyProtection="1"/>
    <xf numFmtId="0" fontId="88" fillId="0" borderId="1" xfId="0" applyFont="1" applyFill="1" applyBorder="1" applyAlignment="1" applyProtection="1"/>
    <xf numFmtId="0" fontId="0" fillId="0" borderId="85" xfId="0" applyFill="1" applyBorder="1" applyAlignment="1" applyProtection="1">
      <alignment wrapText="1"/>
      <protection locked="0"/>
    </xf>
    <xf numFmtId="0" fontId="0" fillId="0" borderId="78" xfId="0" applyFill="1" applyBorder="1" applyAlignment="1" applyProtection="1">
      <alignment wrapText="1"/>
      <protection locked="0"/>
    </xf>
    <xf numFmtId="0" fontId="0" fillId="0" borderId="81" xfId="0" applyFill="1" applyBorder="1" applyAlignment="1" applyProtection="1">
      <alignment wrapText="1"/>
      <protection locked="0"/>
    </xf>
    <xf numFmtId="0" fontId="0" fillId="0" borderId="65" xfId="0" applyFill="1" applyBorder="1" applyAlignment="1" applyProtection="1">
      <alignment wrapText="1"/>
    </xf>
    <xf numFmtId="0" fontId="0" fillId="0" borderId="0" xfId="0" applyBorder="1" applyAlignment="1"/>
    <xf numFmtId="171" fontId="16" fillId="3" borderId="48" xfId="0" applyNumberFormat="1" applyFont="1" applyFill="1" applyBorder="1" applyAlignment="1">
      <alignment horizontal="center" vertical="center" wrapText="1"/>
    </xf>
    <xf numFmtId="0" fontId="0" fillId="0" borderId="61" xfId="0" applyFill="1" applyBorder="1" applyProtection="1">
      <protection locked="0"/>
    </xf>
    <xf numFmtId="0" fontId="0" fillId="0" borderId="83" xfId="0" applyBorder="1" applyAlignment="1"/>
    <xf numFmtId="0" fontId="0" fillId="0" borderId="85" xfId="0" applyFill="1" applyBorder="1" applyProtection="1">
      <protection locked="0"/>
    </xf>
    <xf numFmtId="0" fontId="0" fillId="0" borderId="4" xfId="0" applyBorder="1" applyProtection="1"/>
    <xf numFmtId="0" fontId="0" fillId="0" borderId="44" xfId="0" applyBorder="1" applyProtection="1"/>
    <xf numFmtId="0" fontId="0" fillId="0" borderId="86" xfId="0" applyFill="1" applyBorder="1" applyProtection="1">
      <protection locked="0"/>
    </xf>
    <xf numFmtId="0" fontId="0" fillId="0" borderId="57" xfId="0" applyBorder="1" applyProtection="1"/>
    <xf numFmtId="0" fontId="37" fillId="0" borderId="0" xfId="0" applyFont="1"/>
    <xf numFmtId="171" fontId="16" fillId="11" borderId="3" xfId="0" applyNumberFormat="1" applyFont="1" applyFill="1" applyBorder="1" applyAlignment="1">
      <alignment horizontal="center" vertical="center" wrapText="1"/>
    </xf>
    <xf numFmtId="171" fontId="16" fillId="11" borderId="1" xfId="0" applyNumberFormat="1" applyFont="1" applyFill="1" applyBorder="1" applyAlignment="1">
      <alignment horizontal="center" vertical="center" wrapText="1"/>
    </xf>
    <xf numFmtId="171" fontId="16" fillId="11" borderId="2" xfId="0" applyNumberFormat="1" applyFont="1" applyFill="1" applyBorder="1" applyAlignment="1">
      <alignment horizontal="center" vertical="center" wrapText="1"/>
    </xf>
    <xf numFmtId="171" fontId="37" fillId="11" borderId="3" xfId="0" applyNumberFormat="1" applyFont="1" applyFill="1" applyBorder="1" applyAlignment="1">
      <alignment horizontal="right" vertical="center"/>
    </xf>
    <xf numFmtId="171" fontId="37" fillId="11" borderId="1" xfId="0" applyNumberFormat="1" applyFont="1" applyFill="1" applyBorder="1" applyAlignment="1">
      <alignment horizontal="right" vertical="center"/>
    </xf>
    <xf numFmtId="171" fontId="37" fillId="11" borderId="2" xfId="0" applyNumberFormat="1" applyFont="1" applyFill="1" applyBorder="1" applyAlignment="1">
      <alignment horizontal="right" vertical="center"/>
    </xf>
    <xf numFmtId="171" fontId="0" fillId="11" borderId="63" xfId="0" applyNumberFormat="1" applyFill="1" applyBorder="1" applyAlignment="1">
      <alignment wrapText="1"/>
    </xf>
    <xf numFmtId="171" fontId="0" fillId="11" borderId="45" xfId="0" applyNumberFormat="1" applyFill="1" applyBorder="1" applyAlignment="1">
      <alignment wrapText="1"/>
    </xf>
    <xf numFmtId="171" fontId="0" fillId="11" borderId="2" xfId="0" applyNumberFormat="1" applyFill="1" applyBorder="1" applyAlignment="1">
      <alignment wrapText="1"/>
    </xf>
    <xf numFmtId="0" fontId="0" fillId="0" borderId="63" xfId="0" applyFill="1" applyBorder="1" applyAlignment="1">
      <alignment wrapText="1"/>
    </xf>
    <xf numFmtId="0" fontId="0" fillId="0" borderId="45" xfId="0" applyFont="1" applyFill="1" applyBorder="1" applyAlignment="1" applyProtection="1"/>
    <xf numFmtId="0" fontId="0" fillId="0" borderId="1" xfId="0" applyFont="1" applyFill="1" applyBorder="1" applyAlignment="1" applyProtection="1"/>
    <xf numFmtId="0" fontId="0" fillId="0" borderId="79" xfId="0" applyFont="1" applyFill="1" applyBorder="1" applyAlignment="1" applyProtection="1">
      <alignment vertical="center" wrapText="1"/>
    </xf>
    <xf numFmtId="0" fontId="6" fillId="0" borderId="63" xfId="0" applyFont="1" applyFill="1" applyBorder="1" applyAlignment="1" applyProtection="1">
      <alignment vertical="center" wrapText="1"/>
    </xf>
    <xf numFmtId="0" fontId="88" fillId="0" borderId="63" xfId="0" applyFont="1" applyFill="1" applyBorder="1" applyAlignment="1" applyProtection="1"/>
    <xf numFmtId="171" fontId="0" fillId="0" borderId="63" xfId="0" applyNumberFormat="1" applyFont="1" applyFill="1" applyBorder="1" applyAlignment="1" applyProtection="1">
      <protection locked="0"/>
    </xf>
    <xf numFmtId="0" fontId="0" fillId="0" borderId="63" xfId="0" applyFont="1" applyFill="1" applyBorder="1" applyAlignment="1" applyProtection="1">
      <protection locked="0"/>
    </xf>
    <xf numFmtId="0" fontId="0" fillId="0" borderId="56" xfId="0" applyFont="1" applyFill="1" applyBorder="1" applyAlignment="1" applyProtection="1"/>
    <xf numFmtId="0" fontId="0" fillId="0" borderId="43" xfId="0" applyFill="1" applyBorder="1" applyAlignment="1" applyProtection="1">
      <protection locked="0"/>
    </xf>
    <xf numFmtId="0" fontId="0" fillId="0" borderId="44" xfId="0" applyFill="1" applyBorder="1" applyAlignment="1" applyProtection="1"/>
    <xf numFmtId="0" fontId="0" fillId="0" borderId="45" xfId="0" applyFill="1" applyBorder="1" applyAlignment="1" applyProtection="1">
      <protection locked="0"/>
    </xf>
    <xf numFmtId="0" fontId="0" fillId="0" borderId="46" xfId="0" applyFill="1" applyBorder="1" applyAlignment="1" applyProtection="1"/>
    <xf numFmtId="0" fontId="0" fillId="0" borderId="11" xfId="0" applyBorder="1" applyAlignment="1" applyProtection="1">
      <alignment vertical="center"/>
    </xf>
    <xf numFmtId="0" fontId="6" fillId="0" borderId="1" xfId="0" applyFont="1" applyFill="1" applyBorder="1" applyAlignment="1" applyProtection="1">
      <alignment vertical="center"/>
    </xf>
    <xf numFmtId="167" fontId="6" fillId="0" borderId="1" xfId="11" applyFont="1" applyFill="1" applyBorder="1" applyAlignment="1" applyProtection="1">
      <alignment horizontal="left" vertical="center"/>
    </xf>
    <xf numFmtId="0" fontId="37" fillId="0" borderId="1" xfId="0" applyFont="1" applyFill="1" applyBorder="1" applyAlignment="1">
      <alignment horizontal="center" vertical="center" wrapText="1"/>
    </xf>
    <xf numFmtId="0" fontId="41" fillId="0" borderId="1" xfId="0" applyFont="1" applyFill="1" applyBorder="1" applyAlignment="1" applyProtection="1">
      <alignment horizontal="center" vertical="center" wrapText="1"/>
    </xf>
    <xf numFmtId="0" fontId="0" fillId="0" borderId="1" xfId="0" applyFont="1" applyFill="1" applyBorder="1" applyAlignment="1" applyProtection="1">
      <protection locked="0"/>
    </xf>
    <xf numFmtId="0" fontId="0" fillId="0" borderId="5" xfId="0" applyFont="1" applyFill="1" applyBorder="1" applyAlignment="1" applyProtection="1"/>
    <xf numFmtId="0" fontId="17" fillId="0" borderId="45" xfId="0" applyFont="1" applyFill="1" applyBorder="1" applyAlignment="1" applyProtection="1">
      <alignment horizontal="center" vertical="center"/>
      <protection locked="0"/>
    </xf>
    <xf numFmtId="0" fontId="0" fillId="0" borderId="2" xfId="0" applyFont="1" applyFill="1" applyBorder="1" applyAlignment="1">
      <alignment horizontal="left" vertical="center" wrapText="1"/>
    </xf>
    <xf numFmtId="0" fontId="17" fillId="0" borderId="3" xfId="0" applyFont="1" applyFill="1" applyBorder="1" applyAlignment="1" applyProtection="1">
      <alignment horizontal="center" vertical="center"/>
    </xf>
    <xf numFmtId="0" fontId="17" fillId="0" borderId="1" xfId="0" applyFont="1" applyFill="1" applyBorder="1" applyAlignment="1" applyProtection="1">
      <alignment horizontal="center" vertical="center"/>
    </xf>
    <xf numFmtId="0" fontId="17" fillId="0" borderId="2" xfId="0" applyFont="1" applyFill="1" applyBorder="1" applyAlignment="1" applyProtection="1">
      <alignment horizontal="center" vertical="center"/>
    </xf>
    <xf numFmtId="0" fontId="0" fillId="0" borderId="54" xfId="0" applyFont="1" applyFill="1" applyBorder="1" applyAlignment="1" applyProtection="1"/>
    <xf numFmtId="0" fontId="0" fillId="0" borderId="1" xfId="0" applyBorder="1" applyAlignment="1">
      <alignment wrapText="1"/>
    </xf>
    <xf numFmtId="0" fontId="0" fillId="0" borderId="0" xfId="0" applyAlignment="1">
      <alignment vertical="top"/>
    </xf>
    <xf numFmtId="0" fontId="0" fillId="0" borderId="0" xfId="0" applyFill="1" applyAlignment="1" applyProtection="1">
      <alignment vertical="top"/>
    </xf>
    <xf numFmtId="0" fontId="0" fillId="0" borderId="65" xfId="0" applyFill="1" applyBorder="1" applyAlignment="1" applyProtection="1">
      <alignment vertical="center" wrapText="1"/>
    </xf>
    <xf numFmtId="0" fontId="0" fillId="0" borderId="0" xfId="0" applyFont="1" applyFill="1" applyAlignment="1" applyProtection="1"/>
    <xf numFmtId="0" fontId="0" fillId="0" borderId="0" xfId="0" applyAlignment="1" applyProtection="1">
      <alignment vertical="top"/>
    </xf>
    <xf numFmtId="0" fontId="0" fillId="0" borderId="0" xfId="0" applyAlignment="1">
      <alignment vertical="center"/>
    </xf>
    <xf numFmtId="0" fontId="0" fillId="0" borderId="0" xfId="0" applyFont="1" applyAlignment="1">
      <alignment wrapText="1"/>
    </xf>
    <xf numFmtId="0" fontId="11" fillId="0" borderId="0" xfId="0" applyFont="1" applyAlignment="1">
      <alignment wrapText="1"/>
    </xf>
    <xf numFmtId="0" fontId="0" fillId="0" borderId="0" xfId="0" applyFont="1" applyAlignment="1">
      <alignment horizontal="left" vertical="center" wrapText="1"/>
    </xf>
    <xf numFmtId="0" fontId="0" fillId="0" borderId="0" xfId="0" applyFont="1" applyFill="1" applyAlignment="1">
      <alignment horizontal="left" vertical="center" wrapText="1"/>
    </xf>
    <xf numFmtId="0" fontId="0" fillId="0" borderId="65" xfId="0" applyFont="1" applyFill="1" applyBorder="1"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1" fillId="0" borderId="4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4" fillId="0" borderId="43" xfId="0" applyFont="1" applyFill="1" applyBorder="1" applyAlignment="1">
      <alignment horizontal="center" vertical="center" wrapText="1"/>
    </xf>
    <xf numFmtId="0" fontId="14" fillId="0" borderId="59" xfId="0" applyFont="1" applyFill="1" applyBorder="1" applyAlignment="1" applyProtection="1">
      <alignment horizontal="left" vertical="center" wrapText="1"/>
    </xf>
    <xf numFmtId="0" fontId="14" fillId="0" borderId="78" xfId="0" applyFont="1" applyFill="1" applyBorder="1" applyAlignment="1" applyProtection="1">
      <alignment horizontal="left" vertical="center" wrapText="1"/>
    </xf>
    <xf numFmtId="0" fontId="0" fillId="0" borderId="54" xfId="0" applyFill="1" applyBorder="1" applyAlignment="1" applyProtection="1">
      <alignment horizontal="left" vertical="center" wrapText="1"/>
    </xf>
    <xf numFmtId="0" fontId="0" fillId="0" borderId="0" xfId="0" applyFill="1" applyAlignment="1">
      <alignment vertical="top"/>
    </xf>
    <xf numFmtId="0" fontId="0" fillId="0" borderId="11" xfId="0" applyFill="1" applyBorder="1" applyAlignment="1" applyProtection="1">
      <alignment vertical="center" wrapText="1"/>
    </xf>
    <xf numFmtId="0" fontId="0" fillId="0" borderId="1" xfId="0" applyFill="1" applyBorder="1" applyAlignment="1" applyProtection="1">
      <protection locked="0"/>
    </xf>
    <xf numFmtId="0" fontId="0" fillId="13" borderId="0" xfId="0" applyFill="1" applyAlignment="1">
      <alignment wrapText="1"/>
    </xf>
    <xf numFmtId="0" fontId="0" fillId="0" borderId="46" xfId="0" applyFill="1" applyBorder="1" applyAlignment="1" applyProtection="1">
      <alignment horizontal="right" vertical="center" wrapText="1"/>
    </xf>
    <xf numFmtId="0" fontId="5" fillId="0" borderId="78" xfId="0" applyFont="1" applyFill="1" applyBorder="1" applyAlignment="1">
      <alignment wrapText="1"/>
    </xf>
    <xf numFmtId="0" fontId="14" fillId="0" borderId="45" xfId="6" applyFont="1" applyFill="1" applyBorder="1" applyAlignment="1">
      <alignment vertical="center" wrapText="1"/>
    </xf>
    <xf numFmtId="0" fontId="14" fillId="0" borderId="45" xfId="6" applyFill="1" applyBorder="1" applyAlignment="1">
      <alignment vertical="center" wrapText="1"/>
    </xf>
    <xf numFmtId="0" fontId="14" fillId="0" borderId="1" xfId="6" applyFill="1" applyBorder="1" applyAlignment="1">
      <alignment horizontal="center" vertical="center" wrapText="1"/>
    </xf>
    <xf numFmtId="0" fontId="6" fillId="0" borderId="1" xfId="6" applyFont="1" applyFill="1" applyBorder="1" applyAlignment="1">
      <alignment horizontal="center" vertical="center" wrapText="1"/>
    </xf>
    <xf numFmtId="0" fontId="14" fillId="0" borderId="1" xfId="6" applyFont="1" applyFill="1" applyBorder="1" applyAlignment="1">
      <alignment vertical="center" wrapText="1"/>
    </xf>
    <xf numFmtId="0" fontId="14" fillId="0" borderId="1" xfId="6" applyFill="1" applyBorder="1" applyAlignment="1">
      <alignment vertical="center" wrapText="1"/>
    </xf>
    <xf numFmtId="0" fontId="5" fillId="0" borderId="11" xfId="6" applyFont="1" applyFill="1" applyBorder="1" applyAlignment="1" applyProtection="1">
      <alignment horizontal="left" vertical="center" wrapText="1"/>
    </xf>
    <xf numFmtId="0" fontId="14" fillId="0" borderId="1" xfId="6" applyFont="1" applyFill="1" applyBorder="1" applyAlignment="1">
      <alignment horizontal="left" vertical="center" wrapText="1"/>
    </xf>
    <xf numFmtId="0" fontId="0" fillId="0" borderId="43" xfId="0" applyFill="1" applyBorder="1" applyAlignment="1">
      <alignment horizontal="left" vertical="center" wrapText="1"/>
    </xf>
    <xf numFmtId="0" fontId="89" fillId="0" borderId="65" xfId="0" applyFont="1" applyFill="1" applyBorder="1" applyAlignment="1">
      <alignment horizontal="center" vertical="center" wrapText="1"/>
    </xf>
    <xf numFmtId="168" fontId="5" fillId="3" borderId="3" xfId="0" applyNumberFormat="1" applyFont="1" applyFill="1" applyBorder="1" applyAlignment="1">
      <alignment horizontal="center" vertical="center" shrinkToFit="1"/>
    </xf>
    <xf numFmtId="0" fontId="5" fillId="3" borderId="4" xfId="0" applyFont="1" applyFill="1" applyBorder="1" applyAlignment="1">
      <alignment horizontal="center" vertical="center"/>
    </xf>
    <xf numFmtId="0" fontId="0" fillId="0" borderId="0" xfId="0" applyFill="1" applyBorder="1" applyAlignment="1">
      <alignment horizontal="center" vertical="center"/>
    </xf>
    <xf numFmtId="0" fontId="0" fillId="0" borderId="3" xfId="0" applyFill="1" applyBorder="1" applyProtection="1">
      <protection locked="0"/>
    </xf>
    <xf numFmtId="0" fontId="0" fillId="0" borderId="5" xfId="0" applyBorder="1" applyProtection="1"/>
    <xf numFmtId="0" fontId="0" fillId="0" borderId="2" xfId="0" applyFill="1" applyBorder="1" applyProtection="1">
      <protection locked="0"/>
    </xf>
    <xf numFmtId="0" fontId="0" fillId="0" borderId="6" xfId="0" applyBorder="1" applyProtection="1"/>
    <xf numFmtId="0" fontId="0" fillId="0" borderId="0" xfId="0" applyFont="1" applyAlignment="1">
      <alignment vertical="center"/>
    </xf>
    <xf numFmtId="171" fontId="16" fillId="11" borderId="43" xfId="0" applyNumberFormat="1" applyFont="1" applyFill="1" applyBorder="1" applyAlignment="1">
      <alignment horizontal="center" vertical="center" wrapText="1"/>
    </xf>
    <xf numFmtId="0" fontId="6" fillId="0" borderId="43" xfId="0" applyFont="1" applyFill="1" applyBorder="1" applyAlignment="1">
      <alignment horizontal="center" vertical="center" wrapText="1"/>
    </xf>
    <xf numFmtId="0" fontId="5" fillId="0" borderId="54" xfId="0" applyFont="1" applyFill="1" applyBorder="1" applyAlignment="1" applyProtection="1">
      <alignment horizontal="left" vertical="center" wrapText="1"/>
    </xf>
    <xf numFmtId="0" fontId="5" fillId="0" borderId="47" xfId="0" applyFont="1" applyFill="1" applyBorder="1" applyAlignment="1" applyProtection="1">
      <alignment horizontal="left" vertical="center" wrapText="1"/>
    </xf>
    <xf numFmtId="0" fontId="6" fillId="0" borderId="43" xfId="0" applyFont="1" applyBorder="1" applyAlignment="1">
      <alignment horizontal="center" vertical="center" wrapText="1"/>
    </xf>
    <xf numFmtId="0" fontId="17" fillId="0" borderId="43" xfId="0" applyFont="1" applyBorder="1" applyAlignment="1">
      <alignment horizontal="center" vertical="center" wrapText="1"/>
    </xf>
    <xf numFmtId="0" fontId="0" fillId="0" borderId="45" xfId="0" applyFill="1" applyBorder="1" applyAlignment="1">
      <alignment horizontal="left" vertical="center" wrapText="1"/>
    </xf>
    <xf numFmtId="0" fontId="0" fillId="0" borderId="43" xfId="0" applyFill="1" applyBorder="1" applyAlignment="1">
      <alignment vertical="center" wrapText="1"/>
    </xf>
    <xf numFmtId="0" fontId="0" fillId="0" borderId="9" xfId="0" applyFont="1" applyFill="1" applyBorder="1" applyAlignment="1">
      <alignment wrapText="1"/>
    </xf>
    <xf numFmtId="0" fontId="0" fillId="0" borderId="43" xfId="0" applyBorder="1" applyAlignment="1" applyProtection="1">
      <alignment wrapText="1"/>
      <protection locked="0"/>
    </xf>
    <xf numFmtId="0" fontId="55" fillId="0" borderId="49" xfId="0" applyFont="1" applyBorder="1" applyAlignment="1" applyProtection="1">
      <alignment horizontal="left" vertical="center" wrapText="1"/>
    </xf>
    <xf numFmtId="0" fontId="0" fillId="0" borderId="0" xfId="0" applyFont="1" applyFill="1" applyAlignment="1">
      <alignment horizontal="center" vertical="center" wrapText="1"/>
    </xf>
    <xf numFmtId="0" fontId="17" fillId="0" borderId="48" xfId="0" applyFont="1" applyFill="1" applyBorder="1" applyAlignment="1">
      <alignment horizontal="center" vertical="center"/>
    </xf>
    <xf numFmtId="0" fontId="17" fillId="0" borderId="48" xfId="0" applyFont="1" applyFill="1" applyBorder="1" applyAlignment="1" applyProtection="1">
      <alignment horizontal="center" vertical="center"/>
      <protection locked="0"/>
    </xf>
    <xf numFmtId="0" fontId="17" fillId="0" borderId="46" xfId="0" applyFont="1" applyFill="1" applyBorder="1" applyAlignment="1">
      <alignment horizontal="center" vertical="center"/>
    </xf>
    <xf numFmtId="0" fontId="86" fillId="0" borderId="0" xfId="0" applyFont="1" applyAlignment="1">
      <alignment horizontal="left" vertical="center" wrapText="1"/>
    </xf>
    <xf numFmtId="0" fontId="0" fillId="0" borderId="45" xfId="0" applyFont="1" applyFill="1" applyBorder="1" applyAlignment="1">
      <alignment horizontal="center" vertical="center" wrapText="1"/>
    </xf>
    <xf numFmtId="0" fontId="0" fillId="0" borderId="1" xfId="0" applyFill="1" applyBorder="1" applyAlignment="1" applyProtection="1">
      <alignment horizontal="center" vertical="center" wrapText="1"/>
    </xf>
    <xf numFmtId="0" fontId="0" fillId="0" borderId="2" xfId="0" applyFill="1" applyBorder="1" applyAlignment="1" applyProtection="1">
      <alignment horizontal="center" vertical="center" wrapText="1"/>
    </xf>
    <xf numFmtId="0" fontId="0" fillId="0" borderId="3" xfId="0" applyFont="1" applyFill="1" applyBorder="1" applyAlignment="1">
      <alignment horizontal="center" vertical="center" wrapText="1"/>
    </xf>
    <xf numFmtId="2" fontId="23" fillId="3" borderId="43" xfId="0" applyNumberFormat="1" applyFont="1" applyFill="1" applyBorder="1" applyAlignment="1">
      <alignment horizontal="center" vertical="center"/>
    </xf>
    <xf numFmtId="0" fontId="37" fillId="0" borderId="43" xfId="0" applyFont="1" applyFill="1" applyBorder="1" applyAlignment="1">
      <alignment horizontal="center" vertical="center"/>
    </xf>
    <xf numFmtId="0" fontId="17" fillId="0" borderId="43" xfId="0" applyFont="1" applyFill="1" applyBorder="1" applyAlignment="1">
      <alignment horizontal="center" vertical="center" wrapText="1"/>
    </xf>
    <xf numFmtId="167" fontId="4" fillId="0" borderId="1" xfId="0" applyNumberFormat="1" applyFont="1" applyFill="1" applyBorder="1" applyAlignment="1" applyProtection="1">
      <alignment horizontal="left"/>
    </xf>
    <xf numFmtId="0" fontId="66" fillId="0" borderId="1" xfId="0" applyFont="1" applyFill="1" applyBorder="1" applyAlignment="1" applyProtection="1">
      <alignment horizontal="center" vertical="center" wrapText="1"/>
    </xf>
    <xf numFmtId="167" fontId="6" fillId="0" borderId="1" xfId="0" applyNumberFormat="1" applyFont="1" applyFill="1" applyBorder="1" applyAlignment="1" applyProtection="1">
      <alignment horizontal="center" vertical="center" wrapText="1"/>
    </xf>
    <xf numFmtId="0" fontId="55" fillId="0" borderId="7" xfId="0" applyFont="1" applyBorder="1" applyAlignment="1">
      <alignment horizontal="center" vertical="center" wrapText="1"/>
    </xf>
    <xf numFmtId="0" fontId="5" fillId="15" borderId="11" xfId="0" applyFont="1" applyFill="1" applyBorder="1" applyAlignment="1" applyProtection="1">
      <alignment horizontal="left" vertical="center" wrapText="1"/>
    </xf>
    <xf numFmtId="0" fontId="5" fillId="3" borderId="42" xfId="0" applyFont="1" applyFill="1" applyBorder="1" applyAlignment="1">
      <alignment horizontal="center" vertical="center"/>
    </xf>
    <xf numFmtId="0" fontId="5" fillId="3" borderId="85" xfId="0" applyFont="1" applyFill="1" applyBorder="1" applyAlignment="1">
      <alignment horizontal="center" vertical="center"/>
    </xf>
    <xf numFmtId="0" fontId="0" fillId="16" borderId="11" xfId="0" applyFill="1" applyBorder="1" applyAlignment="1" applyProtection="1">
      <alignment horizontal="left" vertical="center" wrapText="1"/>
    </xf>
    <xf numFmtId="0" fontId="6" fillId="16" borderId="1" xfId="0" applyFont="1" applyFill="1" applyBorder="1" applyAlignment="1" applyProtection="1">
      <alignment horizontal="left" vertical="center" wrapText="1"/>
    </xf>
    <xf numFmtId="167" fontId="6" fillId="16" borderId="1" xfId="11" applyFont="1" applyFill="1" applyBorder="1" applyAlignment="1" applyProtection="1">
      <alignment horizontal="left" vertical="center" wrapText="1"/>
    </xf>
    <xf numFmtId="0" fontId="0" fillId="16" borderId="1" xfId="0" applyFill="1" applyBorder="1" applyAlignment="1" applyProtection="1"/>
    <xf numFmtId="2" fontId="20" fillId="16" borderId="3" xfId="0" applyNumberFormat="1" applyFont="1" applyFill="1" applyBorder="1" applyAlignment="1">
      <alignment horizontal="center" vertical="center" wrapText="1"/>
    </xf>
    <xf numFmtId="2" fontId="20" fillId="16" borderId="43" xfId="0" applyNumberFormat="1" applyFont="1" applyFill="1" applyBorder="1" applyAlignment="1">
      <alignment horizontal="center" vertical="center" wrapText="1"/>
    </xf>
    <xf numFmtId="2" fontId="20" fillId="16" borderId="1" xfId="0" applyNumberFormat="1" applyFont="1" applyFill="1" applyBorder="1" applyAlignment="1">
      <alignment horizontal="center" vertical="center" wrapText="1"/>
    </xf>
    <xf numFmtId="0" fontId="1" fillId="16" borderId="3" xfId="0" applyFont="1" applyFill="1" applyBorder="1" applyAlignment="1">
      <alignment horizontal="center" vertical="center" wrapText="1"/>
    </xf>
    <xf numFmtId="0" fontId="0" fillId="16" borderId="45" xfId="0" applyFill="1" applyBorder="1" applyAlignment="1">
      <alignment wrapText="1"/>
    </xf>
    <xf numFmtId="2" fontId="23" fillId="16" borderId="48" xfId="0" applyNumberFormat="1" applyFont="1" applyFill="1" applyBorder="1" applyAlignment="1">
      <alignment horizontal="center" vertical="center" wrapText="1"/>
    </xf>
    <xf numFmtId="171" fontId="72" fillId="3" borderId="1" xfId="0" applyNumberFormat="1" applyFont="1" applyFill="1" applyBorder="1" applyAlignment="1">
      <alignment horizontal="center" vertical="center" wrapText="1"/>
    </xf>
    <xf numFmtId="0" fontId="73" fillId="0" borderId="1" xfId="0" applyFont="1" applyBorder="1" applyAlignment="1">
      <alignment horizontal="center" vertical="center"/>
    </xf>
    <xf numFmtId="0" fontId="0" fillId="16" borderId="54" xfId="0" applyFill="1" applyBorder="1" applyAlignment="1" applyProtection="1">
      <alignment horizontal="left" vertical="center" wrapText="1"/>
    </xf>
    <xf numFmtId="167" fontId="6" fillId="16" borderId="1" xfId="11" applyFont="1" applyFill="1" applyBorder="1" applyAlignment="1" applyProtection="1">
      <alignment horizontal="left" vertical="justify"/>
    </xf>
    <xf numFmtId="0" fontId="0" fillId="16" borderId="45" xfId="0" applyFill="1" applyBorder="1" applyAlignment="1" applyProtection="1"/>
    <xf numFmtId="0" fontId="71" fillId="0" borderId="3" xfId="0" applyFont="1" applyFill="1" applyBorder="1" applyAlignment="1">
      <alignment horizontal="center" vertical="center" wrapText="1"/>
    </xf>
    <xf numFmtId="2" fontId="74" fillId="3" borderId="3" xfId="0" applyNumberFormat="1" applyFont="1" applyFill="1" applyBorder="1" applyAlignment="1">
      <alignment horizontal="center" vertical="center" wrapText="1"/>
    </xf>
    <xf numFmtId="0" fontId="73" fillId="0" borderId="3" xfId="0" applyFont="1" applyFill="1" applyBorder="1" applyAlignment="1">
      <alignment horizontal="center" vertical="center"/>
    </xf>
    <xf numFmtId="0" fontId="73" fillId="0" borderId="3" xfId="0" applyFont="1" applyFill="1" applyBorder="1" applyAlignment="1" applyProtection="1">
      <alignment horizontal="center" vertical="center"/>
      <protection locked="0"/>
    </xf>
    <xf numFmtId="0" fontId="73" fillId="0" borderId="4" xfId="0" applyFont="1" applyFill="1" applyBorder="1" applyAlignment="1">
      <alignment horizontal="center" vertical="center"/>
    </xf>
    <xf numFmtId="0" fontId="0" fillId="0" borderId="50" xfId="0" applyFill="1" applyBorder="1" applyAlignment="1" applyProtection="1"/>
    <xf numFmtId="0" fontId="6" fillId="16" borderId="48" xfId="0" applyFont="1" applyFill="1" applyBorder="1" applyAlignment="1" applyProtection="1">
      <alignment horizontal="left" vertical="center" wrapText="1"/>
    </xf>
    <xf numFmtId="0" fontId="0" fillId="16" borderId="43" xfId="0" applyFill="1" applyBorder="1" applyAlignment="1" applyProtection="1"/>
    <xf numFmtId="0" fontId="0" fillId="16" borderId="48" xfId="0" applyFill="1" applyBorder="1" applyAlignment="1" applyProtection="1"/>
    <xf numFmtId="168" fontId="74" fillId="3" borderId="3" xfId="0" applyNumberFormat="1" applyFont="1" applyFill="1" applyBorder="1" applyAlignment="1">
      <alignment horizontal="center" vertical="center" wrapText="1"/>
    </xf>
    <xf numFmtId="0" fontId="73" fillId="0" borderId="3" xfId="0" applyFont="1" applyBorder="1" applyAlignment="1" applyProtection="1">
      <alignment horizontal="center" vertical="center"/>
      <protection locked="0"/>
    </xf>
    <xf numFmtId="0" fontId="73" fillId="0" borderId="4" xfId="0" applyFont="1" applyBorder="1" applyAlignment="1">
      <alignment horizontal="center" vertical="center"/>
    </xf>
    <xf numFmtId="2" fontId="36" fillId="3" borderId="45" xfId="0" applyNumberFormat="1" applyFont="1" applyFill="1" applyBorder="1" applyAlignment="1" applyProtection="1"/>
    <xf numFmtId="0" fontId="0" fillId="0" borderId="7" xfId="0" applyBorder="1" applyAlignment="1" applyProtection="1"/>
    <xf numFmtId="2" fontId="36" fillId="3" borderId="2" xfId="0" applyNumberFormat="1" applyFont="1" applyFill="1" applyBorder="1" applyAlignment="1" applyProtection="1"/>
    <xf numFmtId="171" fontId="0" fillId="5" borderId="53" xfId="0" applyNumberFormat="1" applyFill="1" applyBorder="1" applyAlignment="1" applyProtection="1">
      <protection locked="0"/>
    </xf>
    <xf numFmtId="0" fontId="0" fillId="0" borderId="7" xfId="0" applyBorder="1" applyAlignment="1" applyProtection="1">
      <protection locked="0"/>
    </xf>
    <xf numFmtId="2" fontId="36" fillId="3" borderId="48" xfId="0" applyNumberFormat="1" applyFont="1" applyFill="1" applyBorder="1" applyAlignment="1" applyProtection="1"/>
    <xf numFmtId="2" fontId="36" fillId="3" borderId="45" xfId="0" applyNumberFormat="1" applyFont="1" applyFill="1" applyBorder="1" applyAlignment="1" applyProtection="1">
      <alignment horizontal="right" vertical="center"/>
    </xf>
    <xf numFmtId="2" fontId="36" fillId="3" borderId="1" xfId="0" applyNumberFormat="1" applyFont="1" applyFill="1" applyBorder="1" applyAlignment="1" applyProtection="1"/>
    <xf numFmtId="0" fontId="36" fillId="3" borderId="1" xfId="0" applyFont="1" applyFill="1" applyBorder="1" applyAlignment="1" applyProtection="1"/>
    <xf numFmtId="171" fontId="36" fillId="3" borderId="1" xfId="0" applyNumberFormat="1" applyFont="1" applyFill="1" applyBorder="1" applyAlignment="1" applyProtection="1"/>
    <xf numFmtId="171" fontId="36" fillId="11" borderId="45" xfId="0" applyNumberFormat="1" applyFont="1" applyFill="1" applyBorder="1" applyAlignment="1" applyProtection="1"/>
    <xf numFmtId="171" fontId="36" fillId="3" borderId="45" xfId="0" applyNumberFormat="1" applyFont="1" applyFill="1" applyBorder="1" applyAlignment="1" applyProtection="1"/>
    <xf numFmtId="171" fontId="36" fillId="0" borderId="1" xfId="0" applyNumberFormat="1" applyFont="1" applyBorder="1" applyAlignment="1" applyProtection="1"/>
    <xf numFmtId="171" fontId="75" fillId="3" borderId="45" xfId="0" applyNumberFormat="1" applyFont="1" applyFill="1" applyBorder="1" applyAlignment="1" applyProtection="1"/>
    <xf numFmtId="171" fontId="75" fillId="3" borderId="1" xfId="0" applyNumberFormat="1" applyFont="1" applyFill="1" applyBorder="1" applyAlignment="1" applyProtection="1"/>
    <xf numFmtId="171" fontId="36" fillId="11" borderId="43" xfId="0" applyNumberFormat="1" applyFont="1" applyFill="1" applyBorder="1" applyAlignment="1" applyProtection="1"/>
    <xf numFmtId="171" fontId="36" fillId="3" borderId="48" xfId="0" applyNumberFormat="1" applyFont="1" applyFill="1" applyBorder="1" applyAlignment="1" applyProtection="1"/>
    <xf numFmtId="0" fontId="36" fillId="0" borderId="2" xfId="0" applyFont="1" applyBorder="1" applyAlignment="1" applyProtection="1"/>
    <xf numFmtId="171" fontId="36" fillId="0" borderId="1" xfId="0" applyNumberFormat="1" applyFont="1" applyFill="1" applyBorder="1" applyAlignment="1" applyProtection="1"/>
    <xf numFmtId="171" fontId="36" fillId="11" borderId="1" xfId="0" applyNumberFormat="1" applyFont="1" applyFill="1" applyBorder="1" applyAlignment="1" applyProtection="1"/>
    <xf numFmtId="171" fontId="36" fillId="3" borderId="3" xfId="0" applyNumberFormat="1" applyFont="1" applyFill="1" applyBorder="1" applyAlignment="1" applyProtection="1"/>
    <xf numFmtId="171" fontId="36" fillId="3" borderId="2" xfId="0" applyNumberFormat="1" applyFont="1" applyFill="1" applyBorder="1" applyAlignment="1" applyProtection="1"/>
    <xf numFmtId="171" fontId="36" fillId="11" borderId="63" xfId="0" applyNumberFormat="1" applyFont="1" applyFill="1" applyBorder="1" applyAlignment="1" applyProtection="1"/>
    <xf numFmtId="171" fontId="36" fillId="0" borderId="2" xfId="0" applyNumberFormat="1" applyFont="1" applyFill="1" applyBorder="1" applyAlignment="1" applyProtection="1"/>
    <xf numFmtId="171" fontId="36" fillId="3" borderId="43" xfId="0" applyNumberFormat="1" applyFont="1" applyFill="1" applyBorder="1" applyAlignment="1" applyProtection="1"/>
    <xf numFmtId="0" fontId="77" fillId="0" borderId="0" xfId="0" applyFont="1" applyBorder="1" applyAlignment="1">
      <alignment horizontal="center" vertical="center" wrapText="1"/>
    </xf>
    <xf numFmtId="171" fontId="79" fillId="3" borderId="43" xfId="0" applyNumberFormat="1" applyFont="1" applyFill="1" applyBorder="1" applyAlignment="1" applyProtection="1">
      <alignment horizontal="center"/>
    </xf>
    <xf numFmtId="0" fontId="80" fillId="0" borderId="43" xfId="0" applyFont="1" applyBorder="1" applyAlignment="1">
      <alignment horizontal="center" vertical="center"/>
    </xf>
    <xf numFmtId="0" fontId="77" fillId="0" borderId="43" xfId="0" applyFont="1" applyBorder="1" applyProtection="1">
      <protection locked="0"/>
    </xf>
    <xf numFmtId="0" fontId="77" fillId="0" borderId="44" xfId="0" applyFont="1" applyBorder="1"/>
    <xf numFmtId="171" fontId="79" fillId="3" borderId="45" xfId="0" applyNumberFormat="1" applyFont="1" applyFill="1" applyBorder="1" applyAlignment="1" applyProtection="1">
      <alignment horizontal="center"/>
    </xf>
    <xf numFmtId="0" fontId="80" fillId="0" borderId="1" xfId="0" applyFont="1" applyBorder="1" applyAlignment="1">
      <alignment horizontal="center" vertical="center"/>
    </xf>
    <xf numFmtId="0" fontId="77" fillId="0" borderId="1" xfId="0" applyFont="1" applyBorder="1" applyProtection="1">
      <protection locked="0"/>
    </xf>
    <xf numFmtId="0" fontId="77" fillId="0" borderId="5" xfId="0" applyFont="1" applyBorder="1"/>
    <xf numFmtId="0" fontId="80" fillId="0" borderId="45" xfId="0" applyFont="1" applyBorder="1" applyAlignment="1">
      <alignment horizontal="center" vertical="center"/>
    </xf>
    <xf numFmtId="0" fontId="77" fillId="0" borderId="45" xfId="0" applyFont="1" applyBorder="1" applyProtection="1">
      <protection locked="0"/>
    </xf>
    <xf numFmtId="0" fontId="77" fillId="0" borderId="46" xfId="0" applyFont="1" applyBorder="1"/>
    <xf numFmtId="0" fontId="80" fillId="0" borderId="48" xfId="0" applyFont="1" applyBorder="1" applyAlignment="1">
      <alignment horizontal="center" vertical="center"/>
    </xf>
    <xf numFmtId="0" fontId="77" fillId="0" borderId="48" xfId="0" applyFont="1" applyBorder="1" applyProtection="1">
      <protection locked="0"/>
    </xf>
    <xf numFmtId="0" fontId="77" fillId="0" borderId="50" xfId="0" applyFont="1" applyBorder="1"/>
    <xf numFmtId="171" fontId="79" fillId="3" borderId="1" xfId="0" applyNumberFormat="1" applyFont="1" applyFill="1" applyBorder="1" applyAlignment="1" applyProtection="1">
      <alignment horizontal="center"/>
    </xf>
    <xf numFmtId="171" fontId="79" fillId="3" borderId="53" xfId="0" applyNumberFormat="1" applyFont="1" applyFill="1" applyBorder="1" applyAlignment="1" applyProtection="1">
      <alignment horizontal="center"/>
    </xf>
    <xf numFmtId="171" fontId="79" fillId="3" borderId="48" xfId="0" applyNumberFormat="1" applyFont="1" applyFill="1" applyBorder="1" applyAlignment="1" applyProtection="1">
      <alignment horizontal="center"/>
    </xf>
    <xf numFmtId="0" fontId="80" fillId="0" borderId="3" xfId="0" applyFont="1" applyBorder="1" applyAlignment="1">
      <alignment horizontal="center" vertical="center"/>
    </xf>
    <xf numFmtId="0" fontId="77" fillId="0" borderId="3" xfId="0" applyFont="1" applyBorder="1" applyProtection="1">
      <protection locked="0"/>
    </xf>
    <xf numFmtId="0" fontId="77" fillId="0" borderId="4" xfId="0" applyFont="1" applyBorder="1"/>
    <xf numFmtId="0" fontId="80" fillId="0" borderId="53" xfId="0" applyFont="1" applyBorder="1" applyAlignment="1">
      <alignment horizontal="center" vertical="center"/>
    </xf>
    <xf numFmtId="0" fontId="77" fillId="0" borderId="53" xfId="0" applyFont="1" applyBorder="1" applyProtection="1">
      <protection locked="0"/>
    </xf>
    <xf numFmtId="0" fontId="77" fillId="0" borderId="57" xfId="0" applyFont="1" applyBorder="1"/>
    <xf numFmtId="0" fontId="0" fillId="16" borderId="0" xfId="0" applyFill="1" applyAlignment="1">
      <alignment horizontal="left" vertical="center"/>
    </xf>
    <xf numFmtId="0" fontId="71" fillId="0" borderId="0" xfId="0" applyFont="1" applyAlignment="1">
      <alignment horizontal="left" vertical="center"/>
    </xf>
    <xf numFmtId="0" fontId="0" fillId="16" borderId="53" xfId="0" applyFont="1" applyFill="1" applyBorder="1" applyAlignment="1">
      <alignment horizontal="center" vertical="center" wrapText="1"/>
    </xf>
    <xf numFmtId="2" fontId="23" fillId="16" borderId="2" xfId="0" applyNumberFormat="1" applyFont="1" applyFill="1" applyBorder="1" applyAlignment="1">
      <alignment horizontal="center" vertical="center" wrapText="1"/>
    </xf>
    <xf numFmtId="2" fontId="23" fillId="16" borderId="1"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2" fontId="23" fillId="16" borderId="43" xfId="0" applyNumberFormat="1" applyFont="1" applyFill="1" applyBorder="1" applyAlignment="1">
      <alignment horizontal="center" vertical="center" wrapText="1"/>
    </xf>
    <xf numFmtId="0" fontId="88" fillId="16" borderId="1" xfId="0" applyFont="1" applyFill="1" applyBorder="1" applyAlignment="1">
      <alignment horizontal="center" vertical="center" wrapText="1"/>
    </xf>
    <xf numFmtId="2" fontId="90" fillId="16" borderId="1" xfId="0" applyNumberFormat="1" applyFont="1" applyFill="1" applyBorder="1" applyAlignment="1">
      <alignment horizontal="center" vertical="center" wrapText="1"/>
    </xf>
    <xf numFmtId="0" fontId="73" fillId="16" borderId="1" xfId="0" applyFont="1" applyFill="1" applyBorder="1" applyAlignment="1">
      <alignment horizontal="center" vertical="center"/>
    </xf>
    <xf numFmtId="0" fontId="73" fillId="16" borderId="1" xfId="0" applyFont="1" applyFill="1" applyBorder="1" applyAlignment="1" applyProtection="1">
      <alignment horizontal="center" vertical="center"/>
      <protection locked="0"/>
    </xf>
    <xf numFmtId="0" fontId="73" fillId="16" borderId="5" xfId="0" applyFont="1" applyFill="1" applyBorder="1" applyAlignment="1">
      <alignment horizontal="center" vertical="center"/>
    </xf>
    <xf numFmtId="0" fontId="1" fillId="16" borderId="1" xfId="0" applyFont="1" applyFill="1" applyBorder="1" applyAlignment="1">
      <alignment horizontal="center" vertical="center" wrapText="1"/>
    </xf>
    <xf numFmtId="168" fontId="23" fillId="16" borderId="1" xfId="0" applyNumberFormat="1" applyFont="1" applyFill="1" applyBorder="1" applyAlignment="1">
      <alignment horizontal="center" vertical="center" wrapText="1"/>
    </xf>
    <xf numFmtId="0" fontId="1" fillId="16" borderId="2" xfId="0" applyFont="1" applyFill="1" applyBorder="1" applyAlignment="1">
      <alignment horizontal="center" vertical="center" wrapText="1"/>
    </xf>
    <xf numFmtId="0" fontId="5" fillId="16" borderId="11" xfId="0" applyFont="1" applyFill="1" applyBorder="1" applyAlignment="1" applyProtection="1">
      <alignment horizontal="left" vertical="center" wrapText="1"/>
    </xf>
    <xf numFmtId="0" fontId="0" fillId="16" borderId="1" xfId="0" applyFill="1" applyBorder="1" applyAlignment="1">
      <alignment horizontal="left" vertical="center" wrapText="1"/>
    </xf>
    <xf numFmtId="0" fontId="0" fillId="16" borderId="1" xfId="0" applyFill="1" applyBorder="1" applyAlignment="1">
      <alignment horizontal="center" vertical="center" wrapText="1"/>
    </xf>
    <xf numFmtId="0" fontId="6" fillId="16" borderId="1" xfId="0" applyFont="1" applyFill="1" applyBorder="1" applyAlignment="1">
      <alignment horizontal="center" vertical="center" wrapText="1"/>
    </xf>
    <xf numFmtId="171" fontId="16" fillId="16" borderId="1" xfId="0" applyNumberFormat="1" applyFont="1" applyFill="1" applyBorder="1" applyAlignment="1">
      <alignment horizontal="center" vertical="center" wrapText="1"/>
    </xf>
    <xf numFmtId="0" fontId="5" fillId="16" borderId="11" xfId="6" applyFont="1" applyFill="1" applyBorder="1" applyAlignment="1" applyProtection="1">
      <alignment horizontal="left" vertical="center" wrapText="1"/>
    </xf>
    <xf numFmtId="0" fontId="14" fillId="16" borderId="1" xfId="6" applyFont="1" applyFill="1" applyBorder="1" applyAlignment="1">
      <alignment horizontal="left" vertical="center" wrapText="1"/>
    </xf>
    <xf numFmtId="0" fontId="5" fillId="16" borderId="78" xfId="0" applyFont="1" applyFill="1" applyBorder="1" applyAlignment="1">
      <alignment wrapText="1"/>
    </xf>
    <xf numFmtId="0" fontId="0" fillId="16" borderId="1" xfId="0" applyFill="1" applyBorder="1" applyAlignment="1">
      <alignment wrapText="1"/>
    </xf>
    <xf numFmtId="0" fontId="5" fillId="16" borderId="54" xfId="0" applyFont="1" applyFill="1" applyBorder="1" applyAlignment="1" applyProtection="1">
      <alignment horizontal="left" vertical="center" wrapText="1"/>
    </xf>
    <xf numFmtId="0" fontId="0" fillId="16" borderId="48" xfId="0" applyFill="1" applyBorder="1" applyAlignment="1">
      <alignment horizontal="left" vertical="center" wrapText="1"/>
    </xf>
    <xf numFmtId="0" fontId="0" fillId="16" borderId="48" xfId="0" applyFill="1" applyBorder="1" applyAlignment="1">
      <alignment horizontal="center" vertical="center" wrapText="1"/>
    </xf>
    <xf numFmtId="0" fontId="0" fillId="16" borderId="45" xfId="0" applyFill="1" applyBorder="1" applyAlignment="1">
      <alignment horizontal="center" vertical="center" wrapText="1"/>
    </xf>
    <xf numFmtId="0" fontId="0" fillId="16" borderId="1" xfId="0" applyFont="1" applyFill="1" applyBorder="1" applyAlignment="1">
      <alignment horizontal="left" vertical="center" wrapText="1"/>
    </xf>
    <xf numFmtId="0" fontId="1" fillId="16" borderId="1" xfId="0" applyFont="1" applyFill="1" applyBorder="1" applyAlignment="1">
      <alignment horizontal="left" vertical="center" wrapText="1"/>
    </xf>
    <xf numFmtId="168" fontId="20" fillId="16" borderId="1" xfId="0" applyNumberFormat="1" applyFont="1" applyFill="1" applyBorder="1" applyAlignment="1">
      <alignment horizontal="center" vertical="center"/>
    </xf>
    <xf numFmtId="168" fontId="20" fillId="16" borderId="1" xfId="0" applyNumberFormat="1" applyFont="1" applyFill="1" applyBorder="1" applyAlignment="1">
      <alignment horizontal="center" vertical="center" wrapText="1"/>
    </xf>
    <xf numFmtId="0" fontId="0" fillId="16" borderId="0" xfId="0" applyFont="1" applyFill="1"/>
    <xf numFmtId="0" fontId="0" fillId="16" borderId="0" xfId="0" applyFont="1" applyFill="1" applyBorder="1" applyAlignment="1">
      <alignment horizontal="center" vertical="center" wrapText="1"/>
    </xf>
    <xf numFmtId="0" fontId="0" fillId="16" borderId="0" xfId="0" applyFill="1" applyBorder="1" applyAlignment="1" applyProtection="1"/>
    <xf numFmtId="0" fontId="0" fillId="16" borderId="7" xfId="0" applyFont="1" applyFill="1" applyBorder="1" applyAlignment="1">
      <alignment horizontal="center" vertical="center" wrapText="1"/>
    </xf>
    <xf numFmtId="0" fontId="0" fillId="16" borderId="7" xfId="0" applyFill="1" applyBorder="1" applyAlignment="1" applyProtection="1"/>
    <xf numFmtId="0" fontId="0" fillId="16" borderId="13" xfId="0" applyFill="1" applyBorder="1" applyAlignment="1" applyProtection="1"/>
    <xf numFmtId="167" fontId="6" fillId="16" borderId="43" xfId="11" applyFont="1" applyFill="1" applyBorder="1" applyAlignment="1" applyProtection="1">
      <alignment horizontal="center" vertical="center" wrapText="1"/>
    </xf>
    <xf numFmtId="0" fontId="0" fillId="16" borderId="43" xfId="0" applyFill="1" applyBorder="1" applyAlignment="1" applyProtection="1">
      <alignment horizontal="center" wrapText="1"/>
    </xf>
    <xf numFmtId="0" fontId="0" fillId="16" borderId="43" xfId="0" applyFill="1" applyBorder="1" applyAlignment="1" applyProtection="1">
      <alignment horizontal="center"/>
    </xf>
    <xf numFmtId="171" fontId="75" fillId="16" borderId="43" xfId="0" applyNumberFormat="1" applyFont="1" applyFill="1" applyBorder="1" applyAlignment="1" applyProtection="1">
      <alignment horizontal="center"/>
    </xf>
    <xf numFmtId="0" fontId="0" fillId="16" borderId="47" xfId="0" applyFill="1" applyBorder="1" applyAlignment="1">
      <alignment horizontal="center" vertical="center" wrapText="1"/>
    </xf>
    <xf numFmtId="0" fontId="6" fillId="16" borderId="43" xfId="0" applyFont="1" applyFill="1" applyBorder="1" applyAlignment="1" applyProtection="1">
      <alignment vertical="center" wrapText="1"/>
    </xf>
    <xf numFmtId="2" fontId="20" fillId="11" borderId="1" xfId="0" applyNumberFormat="1" applyFont="1" applyFill="1" applyBorder="1" applyAlignment="1" applyProtection="1">
      <alignment horizontal="center" vertical="center" wrapText="1"/>
    </xf>
    <xf numFmtId="0" fontId="0" fillId="16" borderId="1" xfId="0" applyFont="1" applyFill="1" applyBorder="1" applyAlignment="1" applyProtection="1">
      <alignment horizontal="center" vertical="center" wrapText="1"/>
    </xf>
    <xf numFmtId="0" fontId="0" fillId="16" borderId="1" xfId="0" applyFont="1" applyFill="1" applyBorder="1" applyAlignment="1">
      <alignment horizontal="center" vertical="center" wrapText="1"/>
    </xf>
    <xf numFmtId="0" fontId="71" fillId="0" borderId="1" xfId="0" applyFont="1" applyFill="1" applyBorder="1" applyAlignment="1">
      <alignment horizontal="center" vertical="center" wrapText="1"/>
    </xf>
    <xf numFmtId="168" fontId="74" fillId="3" borderId="1" xfId="0" applyNumberFormat="1" applyFont="1" applyFill="1" applyBorder="1" applyAlignment="1">
      <alignment horizontal="center" vertical="center"/>
    </xf>
    <xf numFmtId="0" fontId="73" fillId="0" borderId="1" xfId="0" applyFont="1" applyFill="1" applyBorder="1" applyAlignment="1">
      <alignment horizontal="center" vertical="center"/>
    </xf>
    <xf numFmtId="0" fontId="0" fillId="16" borderId="43" xfId="0" applyFont="1" applyFill="1" applyBorder="1" applyAlignment="1" applyProtection="1">
      <alignment horizontal="center" vertical="center" wrapText="1"/>
    </xf>
    <xf numFmtId="0" fontId="14" fillId="16" borderId="43" xfId="0" applyFont="1" applyFill="1" applyBorder="1" applyAlignment="1" applyProtection="1">
      <alignment horizontal="center" vertical="center" wrapText="1"/>
    </xf>
    <xf numFmtId="168" fontId="20" fillId="16" borderId="43" xfId="0" applyNumberFormat="1" applyFont="1" applyFill="1" applyBorder="1" applyAlignment="1" applyProtection="1">
      <alignment horizontal="center" vertical="center" wrapText="1"/>
    </xf>
    <xf numFmtId="0" fontId="17" fillId="16" borderId="62" xfId="0" applyFont="1" applyFill="1" applyBorder="1" applyAlignment="1" applyProtection="1">
      <alignment horizontal="center" vertical="center"/>
    </xf>
    <xf numFmtId="0" fontId="0" fillId="16" borderId="2" xfId="0" applyFont="1" applyFill="1" applyBorder="1" applyAlignment="1" applyProtection="1">
      <alignment horizontal="center" vertical="center" wrapText="1"/>
    </xf>
    <xf numFmtId="0" fontId="0" fillId="0" borderId="43" xfId="0" applyFill="1" applyBorder="1" applyAlignment="1" applyProtection="1">
      <alignment horizontal="center"/>
    </xf>
    <xf numFmtId="2" fontId="23" fillId="16" borderId="45" xfId="0" applyNumberFormat="1" applyFont="1" applyFill="1" applyBorder="1" applyAlignment="1">
      <alignment horizontal="center" vertical="center" wrapText="1"/>
    </xf>
    <xf numFmtId="0" fontId="51" fillId="0" borderId="41" xfId="0" applyFont="1" applyBorder="1" applyAlignment="1" applyProtection="1">
      <alignment horizontal="center" vertical="center"/>
    </xf>
    <xf numFmtId="0" fontId="51" fillId="0" borderId="1" xfId="0" applyFont="1" applyBorder="1" applyAlignment="1" applyProtection="1">
      <alignment horizontal="center" vertical="center"/>
      <protection locked="0"/>
    </xf>
    <xf numFmtId="0" fontId="51" fillId="0" borderId="5" xfId="0" applyFont="1" applyBorder="1" applyAlignment="1">
      <alignment horizontal="center" vertical="center"/>
    </xf>
    <xf numFmtId="0" fontId="51" fillId="0" borderId="41" xfId="0" applyFont="1" applyFill="1" applyBorder="1" applyAlignment="1" applyProtection="1">
      <alignment horizontal="center" vertical="center"/>
    </xf>
    <xf numFmtId="0" fontId="51" fillId="0" borderId="1" xfId="0" applyFont="1" applyFill="1" applyBorder="1" applyAlignment="1" applyProtection="1">
      <alignment horizontal="center" vertical="center"/>
      <protection locked="0"/>
    </xf>
    <xf numFmtId="0" fontId="51" fillId="0" borderId="5" xfId="0" applyFont="1" applyFill="1" applyBorder="1" applyAlignment="1">
      <alignment horizontal="center" vertical="center"/>
    </xf>
    <xf numFmtId="0" fontId="37" fillId="16" borderId="1" xfId="0" applyFont="1" applyFill="1" applyBorder="1" applyAlignment="1" applyProtection="1">
      <alignment horizontal="center" vertical="center" wrapText="1"/>
    </xf>
    <xf numFmtId="0" fontId="37" fillId="16" borderId="1" xfId="0" applyFont="1" applyFill="1" applyBorder="1" applyAlignment="1">
      <alignment horizontal="center" vertical="center" wrapText="1"/>
    </xf>
    <xf numFmtId="2" fontId="82" fillId="16" borderId="1" xfId="0" applyNumberFormat="1" applyFont="1" applyFill="1" applyBorder="1" applyAlignment="1" applyProtection="1">
      <alignment horizontal="center" vertical="center" wrapText="1"/>
    </xf>
    <xf numFmtId="0" fontId="29" fillId="16" borderId="43" xfId="0" applyFont="1" applyFill="1" applyBorder="1" applyAlignment="1" applyProtection="1"/>
    <xf numFmtId="0" fontId="91" fillId="0" borderId="65" xfId="0" applyFont="1" applyFill="1" applyBorder="1" applyAlignment="1" applyProtection="1"/>
    <xf numFmtId="0" fontId="0" fillId="0" borderId="48" xfId="0" applyFont="1" applyFill="1" applyBorder="1" applyAlignment="1">
      <alignment horizontal="center" vertical="center" wrapText="1"/>
    </xf>
    <xf numFmtId="0" fontId="14" fillId="0" borderId="48" xfId="0" applyFont="1" applyFill="1" applyBorder="1" applyAlignment="1">
      <alignment horizontal="center" vertical="center" wrapText="1"/>
    </xf>
    <xf numFmtId="0" fontId="14" fillId="0" borderId="53" xfId="0" applyFont="1" applyFill="1" applyBorder="1" applyAlignment="1">
      <alignment horizontal="center" vertical="center" wrapText="1"/>
    </xf>
    <xf numFmtId="0" fontId="14" fillId="0" borderId="59" xfId="0" applyFont="1" applyFill="1" applyBorder="1" applyAlignment="1" applyProtection="1">
      <alignment horizontal="left" vertical="center" wrapText="1"/>
    </xf>
    <xf numFmtId="0" fontId="6" fillId="0" borderId="48" xfId="0" applyFont="1" applyFill="1" applyBorder="1" applyAlignment="1" applyProtection="1">
      <alignment horizontal="center" vertical="center"/>
    </xf>
    <xf numFmtId="0" fontId="0" fillId="0" borderId="0" xfId="0" applyAlignment="1" applyProtection="1">
      <alignment horizontal="center" vertical="center" wrapText="1"/>
    </xf>
    <xf numFmtId="0" fontId="0" fillId="0" borderId="48" xfId="0" applyBorder="1" applyAlignment="1" applyProtection="1">
      <alignment horizontal="center" vertical="center"/>
      <protection locked="0"/>
    </xf>
    <xf numFmtId="171" fontId="0" fillId="5" borderId="48" xfId="0" applyNumberFormat="1" applyFill="1" applyBorder="1" applyAlignment="1" applyProtection="1">
      <alignment horizontal="center"/>
      <protection locked="0"/>
    </xf>
    <xf numFmtId="167" fontId="6" fillId="0" borderId="1" xfId="11" applyFont="1" applyFill="1" applyBorder="1" applyAlignment="1" applyProtection="1">
      <alignment horizontal="left" vertical="center" wrapText="1"/>
    </xf>
    <xf numFmtId="0" fontId="0" fillId="0" borderId="1" xfId="0" applyFill="1" applyBorder="1" applyAlignment="1">
      <alignment horizontal="left" vertical="center" wrapText="1"/>
    </xf>
    <xf numFmtId="0" fontId="6" fillId="0" borderId="58" xfId="0" applyFont="1" applyBorder="1" applyAlignment="1" applyProtection="1">
      <alignment horizontal="center" vertical="center" wrapText="1"/>
    </xf>
    <xf numFmtId="0" fontId="6" fillId="0" borderId="0" xfId="0" applyFont="1" applyBorder="1" applyAlignment="1" applyProtection="1">
      <alignment horizontal="center" vertical="center" wrapText="1"/>
    </xf>
    <xf numFmtId="0" fontId="6" fillId="0" borderId="59" xfId="0" applyFont="1" applyBorder="1" applyAlignment="1" applyProtection="1">
      <alignment horizontal="center" vertical="center" wrapText="1"/>
    </xf>
    <xf numFmtId="0" fontId="0" fillId="0" borderId="1" xfId="0" applyFill="1" applyBorder="1" applyAlignment="1" applyProtection="1">
      <alignment horizontal="center"/>
    </xf>
    <xf numFmtId="167" fontId="6" fillId="0" borderId="45" xfId="11" applyFont="1" applyFill="1" applyBorder="1" applyAlignment="1" applyProtection="1">
      <alignment horizontal="left" vertical="center" wrapText="1"/>
    </xf>
    <xf numFmtId="0" fontId="0" fillId="0" borderId="47" xfId="0" applyFill="1" applyBorder="1" applyAlignment="1" applyProtection="1">
      <alignment horizontal="center" vertical="center" wrapText="1"/>
    </xf>
    <xf numFmtId="0" fontId="0" fillId="0" borderId="11" xfId="0" applyFill="1" applyBorder="1" applyAlignment="1" applyProtection="1">
      <alignment horizontal="left" vertical="center" wrapText="1"/>
    </xf>
    <xf numFmtId="0" fontId="0" fillId="0" borderId="11" xfId="0" applyBorder="1" applyAlignment="1" applyProtection="1">
      <alignment horizontal="left" vertical="center" wrapText="1"/>
    </xf>
    <xf numFmtId="0" fontId="0" fillId="0" borderId="54" xfId="0" applyBorder="1" applyAlignment="1" applyProtection="1">
      <alignment horizontal="left" vertical="center" wrapText="1"/>
    </xf>
    <xf numFmtId="0" fontId="6" fillId="0" borderId="1" xfId="0" applyFont="1" applyFill="1" applyBorder="1" applyAlignment="1" applyProtection="1">
      <alignment horizontal="left" vertical="center" wrapText="1"/>
    </xf>
    <xf numFmtId="0" fontId="6" fillId="0" borderId="45" xfId="0" applyFont="1" applyFill="1" applyBorder="1" applyAlignment="1" applyProtection="1">
      <alignment horizontal="left" vertical="center" wrapText="1"/>
    </xf>
    <xf numFmtId="0" fontId="6" fillId="0" borderId="48" xfId="0" applyFont="1" applyFill="1" applyBorder="1" applyAlignment="1" applyProtection="1">
      <alignment horizontal="left" vertical="center" wrapText="1"/>
    </xf>
    <xf numFmtId="0" fontId="0" fillId="0" borderId="54" xfId="0" applyFill="1" applyBorder="1" applyAlignment="1" applyProtection="1">
      <alignment horizontal="left" vertical="center" wrapText="1"/>
    </xf>
    <xf numFmtId="0" fontId="6" fillId="0" borderId="43" xfId="0" applyFont="1" applyFill="1" applyBorder="1" applyAlignment="1" applyProtection="1">
      <alignment horizontal="left" vertical="center" wrapText="1"/>
    </xf>
    <xf numFmtId="0" fontId="0" fillId="0" borderId="47" xfId="0" applyBorder="1" applyAlignment="1" applyProtection="1">
      <alignment horizontal="left" vertical="center" wrapText="1"/>
    </xf>
    <xf numFmtId="0" fontId="0" fillId="0" borderId="11" xfId="0" applyFont="1" applyFill="1" applyBorder="1" applyAlignment="1" applyProtection="1">
      <alignment horizontal="left" vertical="center" wrapText="1"/>
    </xf>
    <xf numFmtId="167" fontId="13" fillId="0" borderId="1" xfId="11" applyFont="1" applyFill="1" applyBorder="1" applyAlignment="1" applyProtection="1">
      <alignment horizontal="left" vertical="center" wrapText="1"/>
    </xf>
    <xf numFmtId="0" fontId="14" fillId="0" borderId="78" xfId="0" applyFont="1" applyFill="1" applyBorder="1" applyAlignment="1">
      <alignment horizontal="left" vertical="center" wrapText="1"/>
    </xf>
    <xf numFmtId="0" fontId="0" fillId="0" borderId="43" xfId="0" applyFill="1" applyBorder="1" applyAlignment="1" applyProtection="1">
      <alignment horizontal="center"/>
    </xf>
    <xf numFmtId="0" fontId="6" fillId="0" borderId="45" xfId="0" applyFont="1" applyFill="1" applyBorder="1" applyAlignment="1" applyProtection="1">
      <alignment horizontal="center" vertical="center" wrapText="1"/>
    </xf>
    <xf numFmtId="0" fontId="6" fillId="0" borderId="48" xfId="0" applyFont="1" applyFill="1" applyBorder="1" applyAlignment="1" applyProtection="1">
      <alignment horizontal="center" vertical="center" wrapText="1"/>
    </xf>
    <xf numFmtId="0" fontId="6" fillId="0" borderId="45" xfId="0" applyFont="1" applyFill="1" applyBorder="1" applyAlignment="1" applyProtection="1">
      <alignment vertical="center" wrapText="1"/>
    </xf>
    <xf numFmtId="0" fontId="6" fillId="0" borderId="43" xfId="0" applyFont="1" applyFill="1" applyBorder="1" applyAlignment="1" applyProtection="1">
      <alignment vertical="center" wrapText="1"/>
    </xf>
    <xf numFmtId="0" fontId="6" fillId="0" borderId="1" xfId="0" applyFont="1" applyFill="1" applyBorder="1" applyAlignment="1" applyProtection="1">
      <alignment vertical="center" wrapText="1"/>
    </xf>
    <xf numFmtId="0" fontId="0" fillId="0" borderId="54" xfId="0" applyFont="1" applyFill="1" applyBorder="1" applyAlignment="1" applyProtection="1">
      <alignment horizontal="left" vertical="center" wrapText="1"/>
    </xf>
    <xf numFmtId="0" fontId="0" fillId="0" borderId="11" xfId="0" applyFill="1" applyBorder="1" applyAlignment="1" applyProtection="1">
      <alignment horizontal="center" vertical="center" wrapText="1"/>
    </xf>
    <xf numFmtId="0" fontId="0" fillId="0" borderId="49" xfId="0" applyFill="1" applyBorder="1" applyAlignment="1" applyProtection="1">
      <alignment horizontal="left" vertical="center" wrapText="1"/>
    </xf>
    <xf numFmtId="0" fontId="0" fillId="0" borderId="1" xfId="0" applyFill="1" applyBorder="1" applyAlignment="1" applyProtection="1">
      <alignment horizontal="center" vertical="center" wrapText="1"/>
    </xf>
    <xf numFmtId="0" fontId="5" fillId="3" borderId="42" xfId="0" applyFont="1" applyFill="1" applyBorder="1" applyAlignment="1">
      <alignment horizontal="center" vertical="center"/>
    </xf>
    <xf numFmtId="0" fontId="5" fillId="3" borderId="85" xfId="0" applyFont="1" applyFill="1" applyBorder="1" applyAlignment="1">
      <alignment horizontal="center" vertical="center"/>
    </xf>
    <xf numFmtId="0" fontId="5" fillId="3" borderId="42" xfId="0" applyFont="1" applyFill="1" applyBorder="1" applyAlignment="1">
      <alignment horizontal="center" vertical="center" wrapText="1"/>
    </xf>
    <xf numFmtId="0" fontId="0" fillId="0" borderId="0" xfId="0" applyAlignment="1"/>
    <xf numFmtId="0" fontId="1" fillId="0" borderId="3"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47" fillId="0" borderId="65" xfId="0" applyFont="1" applyBorder="1" applyAlignment="1">
      <alignment vertical="center" wrapText="1"/>
    </xf>
    <xf numFmtId="0" fontId="0" fillId="0" borderId="0" xfId="0" quotePrefix="1" applyFill="1" applyBorder="1" applyAlignment="1" applyProtection="1"/>
    <xf numFmtId="0" fontId="0" fillId="16" borderId="0" xfId="0" applyFont="1" applyFill="1" applyAlignment="1">
      <alignment horizontal="left" vertical="center"/>
    </xf>
    <xf numFmtId="0" fontId="0" fillId="0" borderId="0" xfId="0" applyFont="1" applyFill="1" applyAlignment="1">
      <alignment horizontal="right" vertical="center"/>
    </xf>
    <xf numFmtId="171" fontId="0" fillId="0" borderId="0" xfId="0" applyNumberFormat="1" applyFont="1" applyFill="1" applyAlignment="1">
      <alignment horizontal="left" vertical="center" wrapText="1"/>
    </xf>
    <xf numFmtId="0" fontId="0" fillId="0" borderId="1" xfId="0"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17" borderId="11" xfId="0" applyFill="1" applyBorder="1" applyAlignment="1" applyProtection="1">
      <alignment horizontal="left" vertical="center" wrapText="1"/>
    </xf>
    <xf numFmtId="0" fontId="6" fillId="17" borderId="1" xfId="0" applyFont="1" applyFill="1" applyBorder="1" applyAlignment="1">
      <alignment horizontal="center" vertical="center" wrapText="1"/>
    </xf>
    <xf numFmtId="0" fontId="0" fillId="17" borderId="1" xfId="0" applyFill="1" applyBorder="1" applyAlignment="1" applyProtection="1"/>
    <xf numFmtId="0" fontId="0" fillId="0" borderId="0" xfId="0" applyFill="1" applyAlignment="1">
      <alignment horizontal="left" vertical="center"/>
    </xf>
    <xf numFmtId="0" fontId="5" fillId="18" borderId="51" xfId="0" applyFont="1" applyFill="1" applyBorder="1" applyAlignment="1">
      <alignment horizontal="center" vertical="center" wrapText="1"/>
    </xf>
    <xf numFmtId="168" fontId="5" fillId="18" borderId="51" xfId="0" applyNumberFormat="1" applyFont="1" applyFill="1" applyBorder="1" applyAlignment="1">
      <alignment horizontal="center" vertical="center" wrapText="1"/>
    </xf>
    <xf numFmtId="168" fontId="5" fillId="18" borderId="51" xfId="0" applyNumberFormat="1" applyFont="1" applyFill="1" applyBorder="1" applyAlignment="1">
      <alignment horizontal="center" vertical="center" shrinkToFit="1"/>
    </xf>
    <xf numFmtId="171" fontId="5" fillId="18" borderId="51" xfId="0" applyNumberFormat="1" applyFont="1" applyFill="1" applyBorder="1" applyAlignment="1" applyProtection="1">
      <alignment horizontal="center" vertical="center" wrapText="1"/>
      <protection locked="0"/>
    </xf>
    <xf numFmtId="0" fontId="5" fillId="18" borderId="51" xfId="0" applyFont="1" applyFill="1" applyBorder="1" applyAlignment="1">
      <alignment horizontal="center" vertical="center"/>
    </xf>
    <xf numFmtId="0" fontId="5" fillId="18" borderId="52" xfId="0" applyFont="1" applyFill="1" applyBorder="1" applyAlignment="1">
      <alignment horizontal="center" vertical="center"/>
    </xf>
    <xf numFmtId="0" fontId="0" fillId="0" borderId="48" xfId="0" applyFont="1" applyFill="1" applyBorder="1" applyAlignment="1">
      <alignment vertical="center" wrapText="1"/>
    </xf>
    <xf numFmtId="0" fontId="1" fillId="0" borderId="43" xfId="0" applyFont="1" applyFill="1" applyBorder="1" applyAlignment="1">
      <alignment vertical="center" wrapText="1"/>
    </xf>
    <xf numFmtId="2" fontId="17" fillId="18" borderId="43" xfId="0" applyNumberFormat="1" applyFont="1" applyFill="1" applyBorder="1" applyAlignment="1">
      <alignment horizontal="center" vertical="center"/>
    </xf>
    <xf numFmtId="0" fontId="17" fillId="0" borderId="50" xfId="0" applyFont="1" applyBorder="1" applyAlignment="1">
      <alignment horizontal="center" vertical="center"/>
    </xf>
    <xf numFmtId="0" fontId="0" fillId="0" borderId="2" xfId="0" applyFont="1" applyFill="1" applyBorder="1" applyAlignment="1">
      <alignment vertical="center" wrapText="1"/>
    </xf>
    <xf numFmtId="168" fontId="17" fillId="18" borderId="2" xfId="0" applyNumberFormat="1" applyFont="1" applyFill="1" applyBorder="1" applyAlignment="1">
      <alignment horizontal="center" vertical="center" wrapText="1"/>
    </xf>
    <xf numFmtId="0" fontId="5" fillId="18" borderId="97" xfId="0" applyFont="1" applyFill="1" applyBorder="1" applyAlignment="1">
      <alignment horizontal="center" vertical="center" wrapText="1"/>
    </xf>
    <xf numFmtId="0" fontId="15" fillId="18" borderId="51" xfId="0" applyFont="1" applyFill="1" applyBorder="1" applyAlignment="1">
      <alignment horizontal="center" vertical="center" wrapText="1"/>
    </xf>
    <xf numFmtId="168" fontId="15" fillId="18" borderId="51" xfId="0" applyNumberFormat="1" applyFont="1" applyFill="1" applyBorder="1" applyAlignment="1">
      <alignment horizontal="left" vertical="center" shrinkToFit="1"/>
    </xf>
    <xf numFmtId="171" fontId="5" fillId="18" borderId="51" xfId="0" applyNumberFormat="1" applyFont="1" applyFill="1" applyBorder="1" applyAlignment="1" applyProtection="1">
      <alignment horizontal="center" vertical="center" wrapText="1"/>
    </xf>
    <xf numFmtId="0" fontId="5" fillId="18" borderId="39" xfId="0" applyFont="1" applyFill="1" applyBorder="1" applyAlignment="1">
      <alignment vertical="center" wrapText="1"/>
    </xf>
    <xf numFmtId="0" fontId="5" fillId="18" borderId="40" xfId="0" applyFont="1" applyFill="1" applyBorder="1" applyAlignment="1">
      <alignment vertical="center" wrapText="1"/>
    </xf>
    <xf numFmtId="0" fontId="0" fillId="0" borderId="13" xfId="0" applyBorder="1" applyAlignment="1" applyProtection="1"/>
    <xf numFmtId="0" fontId="6" fillId="18" borderId="62" xfId="0" applyFont="1" applyFill="1" applyBorder="1" applyAlignment="1" applyProtection="1">
      <alignment horizontal="center" vertical="center" wrapText="1"/>
    </xf>
    <xf numFmtId="171" fontId="0" fillId="5" borderId="63" xfId="0" applyNumberFormat="1" applyFill="1" applyBorder="1" applyAlignment="1" applyProtection="1">
      <protection locked="0"/>
    </xf>
    <xf numFmtId="0" fontId="0" fillId="0" borderId="13" xfId="0" applyBorder="1" applyAlignment="1" applyProtection="1">
      <protection locked="0"/>
    </xf>
    <xf numFmtId="0" fontId="6" fillId="18" borderId="41" xfId="0" applyFont="1" applyFill="1" applyBorder="1" applyAlignment="1" applyProtection="1">
      <alignment horizontal="center" vertical="center" wrapText="1"/>
    </xf>
    <xf numFmtId="0" fontId="6" fillId="18" borderId="7" xfId="0" applyFont="1" applyFill="1" applyBorder="1" applyAlignment="1" applyProtection="1">
      <alignment horizontal="center" vertical="center" wrapText="1"/>
    </xf>
    <xf numFmtId="2" fontId="6" fillId="18" borderId="42" xfId="0" applyNumberFormat="1" applyFont="1" applyFill="1" applyBorder="1" applyAlignment="1" applyProtection="1">
      <alignment horizontal="center" vertical="center" wrapText="1"/>
    </xf>
    <xf numFmtId="2" fontId="0" fillId="0" borderId="4" xfId="0" applyNumberFormat="1" applyBorder="1" applyAlignment="1" applyProtection="1"/>
    <xf numFmtId="0" fontId="17" fillId="0" borderId="7" xfId="0" applyFont="1" applyFill="1" applyBorder="1" applyAlignment="1" applyProtection="1">
      <alignment horizontal="center" vertical="center"/>
    </xf>
    <xf numFmtId="2" fontId="6" fillId="18" borderId="7" xfId="0" applyNumberFormat="1" applyFont="1" applyFill="1" applyBorder="1" applyAlignment="1" applyProtection="1">
      <alignment horizontal="center" vertical="center" wrapText="1"/>
    </xf>
    <xf numFmtId="171" fontId="0" fillId="19" borderId="53" xfId="0" applyNumberFormat="1" applyFill="1" applyBorder="1" applyAlignment="1" applyProtection="1">
      <protection locked="0"/>
    </xf>
    <xf numFmtId="2" fontId="0" fillId="0" borderId="6" xfId="0" applyNumberFormat="1" applyBorder="1" applyAlignment="1" applyProtection="1"/>
    <xf numFmtId="0" fontId="5" fillId="20" borderId="0" xfId="0" applyFont="1" applyFill="1" applyAlignment="1" applyProtection="1"/>
    <xf numFmtId="171" fontId="5" fillId="20" borderId="0" xfId="0" applyNumberFormat="1" applyFont="1" applyFill="1" applyAlignment="1" applyProtection="1"/>
    <xf numFmtId="0" fontId="15" fillId="20" borderId="0" xfId="0" applyFont="1" applyFill="1" applyAlignment="1" applyProtection="1"/>
    <xf numFmtId="171" fontId="0" fillId="0" borderId="0" xfId="0" applyNumberFormat="1" applyFill="1" applyBorder="1" applyAlignment="1"/>
    <xf numFmtId="0" fontId="0" fillId="0" borderId="1" xfId="0" applyBorder="1" applyAlignment="1">
      <alignment vertical="center" wrapText="1"/>
    </xf>
    <xf numFmtId="0" fontId="5" fillId="18" borderId="100" xfId="0" applyFont="1" applyFill="1" applyBorder="1" applyAlignment="1" applyProtection="1">
      <alignment horizontal="left" vertical="center"/>
    </xf>
    <xf numFmtId="0" fontId="0" fillId="18" borderId="101" xfId="0" applyFill="1" applyBorder="1" applyAlignment="1">
      <alignment horizontal="left" vertical="center"/>
    </xf>
    <xf numFmtId="0" fontId="1" fillId="18" borderId="102" xfId="0" applyFont="1" applyFill="1" applyBorder="1" applyAlignment="1">
      <alignment horizontal="center" vertical="center"/>
    </xf>
    <xf numFmtId="2" fontId="20" fillId="3" borderId="103" xfId="0" applyNumberFormat="1" applyFont="1" applyFill="1" applyBorder="1" applyAlignment="1">
      <alignment horizontal="center" vertical="center"/>
    </xf>
    <xf numFmtId="0" fontId="17" fillId="0" borderId="103" xfId="0" applyFont="1" applyBorder="1" applyAlignment="1">
      <alignment horizontal="center" vertical="center"/>
    </xf>
    <xf numFmtId="0" fontId="17" fillId="0" borderId="103" xfId="0" applyFont="1" applyBorder="1" applyAlignment="1" applyProtection="1">
      <alignment horizontal="center" vertical="center"/>
      <protection locked="0"/>
    </xf>
    <xf numFmtId="0" fontId="17" fillId="0" borderId="21" xfId="0" applyFont="1" applyBorder="1" applyAlignment="1">
      <alignment horizontal="center" vertical="center"/>
    </xf>
    <xf numFmtId="0" fontId="0" fillId="18" borderId="107" xfId="0" applyFill="1" applyBorder="1" applyAlignment="1">
      <alignment horizontal="left" vertical="center"/>
    </xf>
    <xf numFmtId="0" fontId="1" fillId="18" borderId="105" xfId="0" applyFont="1" applyFill="1" applyBorder="1" applyAlignment="1">
      <alignment horizontal="center" vertical="center"/>
    </xf>
    <xf numFmtId="2" fontId="20" fillId="3" borderId="108" xfId="0" applyNumberFormat="1" applyFont="1" applyFill="1" applyBorder="1" applyAlignment="1">
      <alignment horizontal="center" vertical="center"/>
    </xf>
    <xf numFmtId="0" fontId="17" fillId="0" borderId="108" xfId="0" applyFont="1" applyBorder="1" applyAlignment="1">
      <alignment horizontal="center" vertical="center"/>
    </xf>
    <xf numFmtId="0" fontId="17" fillId="0" borderId="108" xfId="0" applyFont="1" applyBorder="1" applyAlignment="1" applyProtection="1">
      <alignment horizontal="center" vertical="center"/>
      <protection locked="0"/>
    </xf>
    <xf numFmtId="0" fontId="17" fillId="0" borderId="109" xfId="0" applyFont="1" applyBorder="1" applyAlignment="1">
      <alignment horizontal="center" vertical="center"/>
    </xf>
    <xf numFmtId="2" fontId="15" fillId="20" borderId="0" xfId="0" applyNumberFormat="1" applyFont="1" applyFill="1" applyAlignment="1" applyProtection="1"/>
    <xf numFmtId="0" fontId="94" fillId="0" borderId="0" xfId="0" applyNumberFormat="1" applyFont="1" applyBorder="1" applyAlignment="1" applyProtection="1">
      <alignment horizontal="right"/>
    </xf>
    <xf numFmtId="0" fontId="94" fillId="0" borderId="83" xfId="0" applyNumberFormat="1" applyFont="1" applyBorder="1" applyAlignment="1" applyProtection="1">
      <alignment horizontal="center"/>
    </xf>
    <xf numFmtId="1" fontId="94" fillId="5" borderId="29" xfId="0" applyNumberFormat="1" applyFont="1" applyFill="1" applyBorder="1" applyAlignment="1" applyProtection="1">
      <alignment horizontal="center"/>
      <protection locked="0"/>
    </xf>
    <xf numFmtId="168" fontId="94" fillId="0" borderId="29" xfId="0" applyNumberFormat="1" applyFont="1" applyFill="1" applyBorder="1" applyAlignment="1" applyProtection="1">
      <alignment horizontal="center"/>
      <protection locked="0"/>
    </xf>
    <xf numFmtId="168" fontId="94" fillId="0" borderId="29" xfId="0" applyNumberFormat="1" applyFont="1" applyBorder="1" applyAlignment="1" applyProtection="1">
      <alignment horizontal="center"/>
    </xf>
    <xf numFmtId="0" fontId="94" fillId="0" borderId="24" xfId="0" applyNumberFormat="1" applyFont="1" applyBorder="1" applyAlignment="1" applyProtection="1">
      <alignment horizontal="right"/>
    </xf>
    <xf numFmtId="168" fontId="94" fillId="19" borderId="29" xfId="0" applyNumberFormat="1" applyFont="1" applyFill="1" applyBorder="1" applyAlignment="1" applyProtection="1">
      <alignment horizontal="center"/>
    </xf>
    <xf numFmtId="0" fontId="15" fillId="14" borderId="18" xfId="0" applyFont="1" applyFill="1" applyBorder="1" applyAlignment="1" applyProtection="1">
      <alignment horizontal="center" vertical="center"/>
    </xf>
    <xf numFmtId="0" fontId="15" fillId="14" borderId="19" xfId="0" applyFont="1" applyFill="1" applyBorder="1" applyAlignment="1" applyProtection="1">
      <alignment horizontal="center" vertical="center"/>
    </xf>
    <xf numFmtId="0" fontId="15" fillId="14" borderId="20" xfId="0" applyFont="1" applyFill="1" applyBorder="1" applyAlignment="1" applyProtection="1">
      <alignment horizontal="center" vertical="center"/>
      <protection locked="0"/>
    </xf>
    <xf numFmtId="0" fontId="15" fillId="14" borderId="13" xfId="0" quotePrefix="1" applyFont="1" applyFill="1" applyBorder="1" applyAlignment="1" applyProtection="1">
      <alignment horizontal="centerContinuous" vertical="center" wrapText="1"/>
    </xf>
    <xf numFmtId="0" fontId="15" fillId="14" borderId="21" xfId="0" applyFont="1" applyFill="1" applyBorder="1" applyAlignment="1" applyProtection="1">
      <alignment horizontal="centerContinuous" vertical="center"/>
    </xf>
    <xf numFmtId="0" fontId="1" fillId="5" borderId="24" xfId="0" applyFont="1" applyFill="1" applyBorder="1" applyAlignment="1" applyProtection="1">
      <alignment horizontal="center" vertical="center"/>
    </xf>
    <xf numFmtId="9" fontId="1" fillId="5" borderId="24" xfId="0" applyNumberFormat="1" applyFont="1" applyFill="1" applyBorder="1" applyAlignment="1" applyProtection="1">
      <alignment horizontal="center" vertical="center"/>
      <protection locked="0"/>
    </xf>
    <xf numFmtId="0" fontId="1" fillId="5" borderId="24" xfId="0" applyFont="1" applyFill="1" applyBorder="1" applyAlignment="1" applyProtection="1">
      <alignment horizontal="centerContinuous" vertical="center"/>
    </xf>
    <xf numFmtId="0" fontId="1" fillId="5" borderId="25" xfId="0" applyFont="1" applyFill="1" applyBorder="1" applyAlignment="1" applyProtection="1">
      <alignment horizontal="centerContinuous" vertical="center"/>
    </xf>
    <xf numFmtId="170" fontId="1" fillId="0" borderId="29" xfId="0" applyNumberFormat="1" applyFont="1" applyBorder="1" applyAlignment="1" applyProtection="1">
      <alignment horizontal="center" vertical="center"/>
      <protection locked="0"/>
    </xf>
    <xf numFmtId="0" fontId="94" fillId="0" borderId="0" xfId="0" applyNumberFormat="1" applyFont="1" applyFill="1" applyBorder="1" applyAlignment="1" applyProtection="1">
      <alignment horizontal="right"/>
    </xf>
    <xf numFmtId="0" fontId="27" fillId="5" borderId="66" xfId="0" applyFont="1" applyFill="1" applyBorder="1" applyAlignment="1" applyProtection="1">
      <alignment horizontal="center" vertical="center"/>
    </xf>
    <xf numFmtId="171" fontId="1" fillId="5" borderId="89" xfId="0" applyNumberFormat="1" applyFont="1" applyFill="1" applyBorder="1" applyAlignment="1" applyProtection="1">
      <alignment horizontal="center" vertical="center"/>
    </xf>
    <xf numFmtId="9" fontId="1" fillId="5" borderId="111" xfId="0" applyNumberFormat="1" applyFont="1" applyFill="1" applyBorder="1" applyAlignment="1" applyProtection="1">
      <alignment horizontal="center" vertical="center"/>
      <protection locked="0"/>
    </xf>
    <xf numFmtId="171" fontId="1" fillId="5" borderId="7" xfId="0" applyNumberFormat="1" applyFont="1" applyFill="1" applyBorder="1" applyAlignment="1" applyProtection="1">
      <alignment horizontal="centerContinuous" vertical="center"/>
    </xf>
    <xf numFmtId="171" fontId="1" fillId="5" borderId="88" xfId="0" applyNumberFormat="1" applyFont="1" applyFill="1" applyBorder="1" applyAlignment="1" applyProtection="1">
      <alignment horizontal="centerContinuous" vertical="center"/>
    </xf>
    <xf numFmtId="171" fontId="1" fillId="0" borderId="29" xfId="0" applyNumberFormat="1" applyFont="1" applyBorder="1" applyAlignment="1" applyProtection="1">
      <alignment horizontal="centerContinuous" vertical="center"/>
    </xf>
    <xf numFmtId="171" fontId="1" fillId="0" borderId="29" xfId="0" applyNumberFormat="1" applyFont="1" applyFill="1" applyBorder="1" applyAlignment="1" applyProtection="1">
      <alignment horizontal="centerContinuous" vertical="center"/>
    </xf>
    <xf numFmtId="0" fontId="1" fillId="0" borderId="112" xfId="0" applyFont="1" applyBorder="1" applyAlignment="1" applyProtection="1">
      <alignment horizontal="center" vertical="center" wrapText="1"/>
    </xf>
    <xf numFmtId="171" fontId="1" fillId="0" borderId="113" xfId="0" applyNumberFormat="1" applyFont="1" applyBorder="1" applyAlignment="1" applyProtection="1">
      <alignment horizontal="centerContinuous" vertical="center"/>
    </xf>
    <xf numFmtId="0" fontId="24" fillId="0" borderId="112" xfId="0" applyFont="1" applyBorder="1" applyAlignment="1" applyProtection="1">
      <alignment horizontal="center" vertical="center" wrapText="1"/>
    </xf>
    <xf numFmtId="0" fontId="0" fillId="0" borderId="112" xfId="0" applyFont="1" applyBorder="1" applyAlignment="1" applyProtection="1">
      <alignment horizontal="center" vertical="center" wrapText="1"/>
    </xf>
    <xf numFmtId="0" fontId="0" fillId="0" borderId="112" xfId="0" applyFont="1" applyFill="1" applyBorder="1" applyAlignment="1" applyProtection="1">
      <alignment horizontal="center" vertical="center" wrapText="1"/>
    </xf>
    <xf numFmtId="171" fontId="1" fillId="0" borderId="113" xfId="0" applyNumberFormat="1" applyFont="1" applyFill="1" applyBorder="1" applyAlignment="1" applyProtection="1">
      <alignment horizontal="centerContinuous" vertical="center"/>
    </xf>
    <xf numFmtId="171" fontId="1" fillId="0" borderId="29" xfId="0" applyNumberFormat="1" applyFont="1" applyFill="1" applyBorder="1" applyAlignment="1" applyProtection="1">
      <alignment horizontal="center" vertical="center"/>
    </xf>
    <xf numFmtId="0" fontId="5" fillId="0" borderId="0" xfId="0" applyFont="1" applyFill="1" applyBorder="1" applyAlignment="1">
      <alignment horizontal="right" vertical="center"/>
    </xf>
    <xf numFmtId="0" fontId="0" fillId="0" borderId="0" xfId="0" quotePrefix="1" applyFont="1" applyFill="1" applyBorder="1" applyAlignment="1">
      <alignment horizontal="left" vertical="center"/>
    </xf>
    <xf numFmtId="0" fontId="0" fillId="0" borderId="0" xfId="0" applyFont="1" applyFill="1" applyAlignment="1"/>
    <xf numFmtId="171" fontId="0" fillId="0" borderId="0" xfId="0" applyNumberFormat="1" applyFont="1" applyFill="1" applyAlignment="1"/>
    <xf numFmtId="0" fontId="0" fillId="0" borderId="0" xfId="0" applyFont="1" applyFill="1" applyBorder="1" applyAlignment="1">
      <alignment horizontal="right" vertical="center"/>
    </xf>
    <xf numFmtId="0" fontId="0" fillId="0" borderId="0" xfId="0" applyFont="1" applyFill="1" applyAlignment="1">
      <alignment horizontal="right"/>
    </xf>
    <xf numFmtId="0" fontId="0" fillId="0" borderId="0" xfId="0" applyFont="1" applyFill="1" applyAlignment="1" applyProtection="1">
      <alignment horizontal="left" vertical="center"/>
    </xf>
    <xf numFmtId="0" fontId="0" fillId="0" borderId="0" xfId="0" applyFont="1" applyFill="1" applyAlignment="1" applyProtection="1">
      <alignment horizontal="right" vertical="center"/>
    </xf>
    <xf numFmtId="0" fontId="5" fillId="0" borderId="0" xfId="0" applyFont="1" applyFill="1" applyAlignment="1" applyProtection="1">
      <alignment horizontal="left" vertical="center" wrapText="1"/>
    </xf>
    <xf numFmtId="0" fontId="5" fillId="0" borderId="0" xfId="0" applyFont="1" applyFill="1" applyAlignment="1" applyProtection="1">
      <alignment horizontal="right" vertical="center" wrapText="1"/>
    </xf>
    <xf numFmtId="168" fontId="0" fillId="0" borderId="0" xfId="0" applyNumberFormat="1" applyFont="1" applyFill="1" applyAlignment="1">
      <alignment horizontal="left" vertical="center"/>
    </xf>
    <xf numFmtId="0" fontId="0" fillId="0" borderId="0" xfId="0" applyFont="1" applyFill="1" applyBorder="1" applyAlignment="1" applyProtection="1"/>
    <xf numFmtId="171" fontId="0" fillId="0" borderId="0" xfId="0" quotePrefix="1" applyNumberFormat="1" applyFont="1" applyFill="1" applyAlignment="1">
      <alignment horizontal="left" vertical="center" wrapText="1"/>
    </xf>
    <xf numFmtId="0" fontId="0" fillId="0" borderId="0" xfId="0" applyFill="1" applyAlignment="1">
      <alignment vertical="center" wrapText="1"/>
    </xf>
    <xf numFmtId="0" fontId="0" fillId="0" borderId="0" xfId="0" applyFill="1" applyAlignment="1">
      <alignment horizontal="left" vertical="center" wrapText="1"/>
    </xf>
    <xf numFmtId="0" fontId="0" fillId="0" borderId="0" xfId="0" applyFill="1" applyAlignment="1">
      <alignment horizontal="center" vertical="center"/>
    </xf>
    <xf numFmtId="0" fontId="0" fillId="0" borderId="0" xfId="0" applyFill="1" applyAlignment="1" applyProtection="1">
      <alignment horizontal="right"/>
    </xf>
    <xf numFmtId="171" fontId="0" fillId="0" borderId="0" xfId="0" applyNumberFormat="1" applyFill="1" applyBorder="1" applyAlignment="1">
      <alignment horizontal="center"/>
    </xf>
    <xf numFmtId="0" fontId="11" fillId="0" borderId="0" xfId="0" applyFont="1" applyFill="1" applyAlignment="1">
      <alignment horizontal="center" vertical="center"/>
    </xf>
    <xf numFmtId="0" fontId="11" fillId="0" borderId="0" xfId="0" applyFont="1" applyFill="1" applyAlignment="1">
      <alignment horizontal="left" vertical="center"/>
    </xf>
    <xf numFmtId="0" fontId="17" fillId="0" borderId="0" xfId="0" applyFont="1" applyFill="1" applyAlignment="1">
      <alignment horizontal="left" vertical="center"/>
    </xf>
    <xf numFmtId="168" fontId="17" fillId="0" borderId="0" xfId="0" applyNumberFormat="1" applyFont="1" applyFill="1" applyAlignment="1">
      <alignment horizontal="center" vertical="center"/>
    </xf>
    <xf numFmtId="168" fontId="93" fillId="0" borderId="0" xfId="0" applyNumberFormat="1" applyFont="1" applyFill="1" applyAlignment="1">
      <alignment horizontal="center" vertical="center"/>
    </xf>
    <xf numFmtId="0" fontId="17" fillId="0" borderId="0" xfId="0" quotePrefix="1" applyFont="1" applyFill="1" applyAlignment="1">
      <alignment horizontal="left" vertical="center"/>
    </xf>
    <xf numFmtId="168" fontId="17" fillId="0" borderId="0" xfId="0" applyNumberFormat="1" applyFont="1" applyFill="1" applyAlignment="1">
      <alignment horizontal="left" vertical="center"/>
    </xf>
    <xf numFmtId="168" fontId="0" fillId="0" borderId="0" xfId="0" applyNumberFormat="1" applyFill="1" applyAlignment="1">
      <alignment vertical="top" wrapText="1"/>
    </xf>
    <xf numFmtId="0" fontId="1" fillId="0" borderId="0" xfId="0" applyFont="1" applyFill="1" applyBorder="1" applyAlignment="1">
      <alignment horizontal="center" vertical="center"/>
    </xf>
    <xf numFmtId="0" fontId="1" fillId="0" borderId="0" xfId="0" applyFont="1" applyFill="1" applyAlignment="1">
      <alignment horizontal="left" vertical="center"/>
    </xf>
    <xf numFmtId="168" fontId="5" fillId="0" borderId="0" xfId="0" applyNumberFormat="1" applyFont="1" applyFill="1" applyAlignment="1">
      <alignment horizontal="right" vertical="center"/>
    </xf>
    <xf numFmtId="0" fontId="0" fillId="0" borderId="0" xfId="0" quotePrefix="1" applyFont="1" applyFill="1" applyAlignment="1">
      <alignment horizontal="center" vertical="center"/>
    </xf>
    <xf numFmtId="0" fontId="5" fillId="0" borderId="0" xfId="0" applyFont="1" applyFill="1" applyAlignment="1">
      <alignment horizontal="right" vertical="center"/>
    </xf>
    <xf numFmtId="168" fontId="5" fillId="0" borderId="0" xfId="0" applyNumberFormat="1" applyFont="1" applyFill="1" applyAlignment="1">
      <alignment horizontal="center" vertical="center"/>
    </xf>
    <xf numFmtId="0" fontId="0" fillId="0" borderId="0" xfId="0" quotePrefix="1" applyFont="1" applyFill="1" applyAlignment="1">
      <alignment horizontal="left" vertical="center"/>
    </xf>
    <xf numFmtId="0" fontId="0" fillId="0" borderId="0" xfId="0" applyFont="1" applyFill="1" applyAlignment="1">
      <alignment horizontal="center" vertical="center"/>
    </xf>
    <xf numFmtId="0" fontId="0" fillId="0" borderId="0" xfId="0" applyFill="1" applyAlignment="1">
      <alignment vertical="center"/>
    </xf>
    <xf numFmtId="0" fontId="0" fillId="21" borderId="0" xfId="0" applyFill="1" applyAlignment="1">
      <alignment horizontal="left" vertical="center"/>
    </xf>
    <xf numFmtId="0" fontId="0" fillId="21" borderId="44" xfId="0" applyFill="1" applyBorder="1" applyAlignment="1" applyProtection="1"/>
    <xf numFmtId="0" fontId="17" fillId="21" borderId="0" xfId="0" applyFont="1" applyFill="1" applyAlignment="1">
      <alignment horizontal="center" vertical="center"/>
    </xf>
    <xf numFmtId="0" fontId="17" fillId="21" borderId="4" xfId="0" applyFont="1" applyFill="1" applyBorder="1" applyAlignment="1">
      <alignment horizontal="center" vertical="center"/>
    </xf>
    <xf numFmtId="0" fontId="17" fillId="21" borderId="5" xfId="0" applyFont="1" applyFill="1" applyBorder="1" applyAlignment="1">
      <alignment horizontal="center" vertical="center"/>
    </xf>
    <xf numFmtId="0" fontId="35" fillId="0" borderId="0" xfId="0" applyFont="1" applyAlignment="1">
      <alignment horizontal="center"/>
    </xf>
    <xf numFmtId="0" fontId="27" fillId="14" borderId="80" xfId="0" applyFont="1" applyFill="1" applyBorder="1" applyAlignment="1">
      <alignment horizontal="center" vertical="center"/>
    </xf>
    <xf numFmtId="0" fontId="27" fillId="14" borderId="30" xfId="0" applyFont="1" applyFill="1" applyBorder="1" applyAlignment="1">
      <alignment horizontal="center" vertical="center"/>
    </xf>
    <xf numFmtId="0" fontId="27" fillId="14" borderId="110" xfId="0" applyFont="1" applyFill="1" applyBorder="1" applyAlignment="1">
      <alignment horizontal="center" vertical="center"/>
    </xf>
    <xf numFmtId="0" fontId="11" fillId="0" borderId="79" xfId="0" applyFont="1" applyFill="1" applyBorder="1" applyAlignment="1">
      <alignment horizontal="center" vertical="center" wrapText="1"/>
    </xf>
    <xf numFmtId="0" fontId="11" fillId="0" borderId="49" xfId="0" applyFont="1" applyFill="1" applyBorder="1" applyAlignment="1">
      <alignment horizontal="center" vertical="center" wrapText="1"/>
    </xf>
    <xf numFmtId="0" fontId="11" fillId="0" borderId="91" xfId="0" applyFont="1" applyFill="1" applyBorder="1" applyAlignment="1">
      <alignment horizontal="center" vertical="center" wrapText="1"/>
    </xf>
    <xf numFmtId="0" fontId="0" fillId="0" borderId="63" xfId="0" applyFont="1" applyFill="1" applyBorder="1" applyAlignment="1">
      <alignment horizontal="center" vertical="center" wrapText="1"/>
    </xf>
    <xf numFmtId="0" fontId="0" fillId="0" borderId="48" xfId="0" applyFont="1" applyFill="1" applyBorder="1" applyAlignment="1">
      <alignment horizontal="center" vertical="center" wrapText="1"/>
    </xf>
    <xf numFmtId="0" fontId="0" fillId="0" borderId="53" xfId="0" applyFont="1" applyFill="1" applyBorder="1" applyAlignment="1">
      <alignment horizontal="center" vertical="center" wrapText="1"/>
    </xf>
    <xf numFmtId="0" fontId="17" fillId="0" borderId="63" xfId="0" applyFont="1" applyFill="1" applyBorder="1" applyAlignment="1">
      <alignment horizontal="center" vertical="center" wrapText="1"/>
    </xf>
    <xf numFmtId="0" fontId="17" fillId="0" borderId="48" xfId="0" applyFont="1" applyFill="1" applyBorder="1" applyAlignment="1">
      <alignment horizontal="center" vertical="center" wrapText="1"/>
    </xf>
    <xf numFmtId="0" fontId="17" fillId="0" borderId="53" xfId="0" applyFont="1" applyFill="1" applyBorder="1" applyAlignment="1">
      <alignment horizontal="center" vertical="center" wrapText="1"/>
    </xf>
    <xf numFmtId="167" fontId="11" fillId="0" borderId="63" xfId="11" applyFont="1" applyFill="1" applyBorder="1" applyAlignment="1" applyProtection="1">
      <alignment horizontal="center" vertical="center" wrapText="1"/>
    </xf>
    <xf numFmtId="167" fontId="11" fillId="0" borderId="48" xfId="11" applyFont="1" applyFill="1" applyBorder="1" applyAlignment="1" applyProtection="1">
      <alignment horizontal="center" vertical="center" wrapText="1"/>
    </xf>
    <xf numFmtId="167" fontId="11" fillId="0" borderId="53" xfId="11" applyFont="1" applyFill="1" applyBorder="1" applyAlignment="1" applyProtection="1">
      <alignment horizontal="center" vertical="center" wrapText="1"/>
    </xf>
    <xf numFmtId="0" fontId="34" fillId="0" borderId="48" xfId="0" applyFont="1" applyFill="1" applyBorder="1" applyAlignment="1">
      <alignment horizontal="center" vertical="center" wrapText="1"/>
    </xf>
    <xf numFmtId="0" fontId="34" fillId="0" borderId="53" xfId="0" applyFont="1" applyFill="1" applyBorder="1" applyAlignment="1">
      <alignment horizontal="center" vertical="center" wrapText="1"/>
    </xf>
    <xf numFmtId="0" fontId="0" fillId="0" borderId="48" xfId="0" applyFill="1" applyBorder="1" applyAlignment="1">
      <alignment horizontal="center" vertical="center" wrapText="1"/>
    </xf>
    <xf numFmtId="0" fontId="0" fillId="0" borderId="53" xfId="0" applyFill="1" applyBorder="1" applyAlignment="1">
      <alignment horizontal="center" vertical="center" wrapText="1"/>
    </xf>
    <xf numFmtId="0" fontId="0" fillId="0" borderId="48" xfId="0" applyBorder="1" applyAlignment="1">
      <alignment horizontal="center" vertical="center" wrapText="1"/>
    </xf>
    <xf numFmtId="0" fontId="0" fillId="0" borderId="53" xfId="0" applyBorder="1" applyAlignment="1">
      <alignment horizontal="center" vertical="center" wrapText="1"/>
    </xf>
    <xf numFmtId="0" fontId="11" fillId="0" borderId="63" xfId="0" applyFont="1" applyFill="1" applyBorder="1" applyAlignment="1">
      <alignment horizontal="center" vertical="center" wrapText="1"/>
    </xf>
    <xf numFmtId="0" fontId="11" fillId="0" borderId="48" xfId="0" applyFont="1" applyFill="1" applyBorder="1" applyAlignment="1">
      <alignment horizontal="center" vertical="center" wrapText="1"/>
    </xf>
    <xf numFmtId="0" fontId="17" fillId="0" borderId="79" xfId="0" applyFont="1" applyFill="1" applyBorder="1" applyAlignment="1">
      <alignment horizontal="center" vertical="center" wrapText="1"/>
    </xf>
    <xf numFmtId="0" fontId="17" fillId="0" borderId="49" xfId="0" applyFont="1" applyFill="1" applyBorder="1" applyAlignment="1">
      <alignment horizontal="center" vertical="center" wrapText="1"/>
    </xf>
    <xf numFmtId="0" fontId="17" fillId="0" borderId="91" xfId="0" applyFont="1" applyFill="1" applyBorder="1" applyAlignment="1">
      <alignment horizontal="center" vertical="center" wrapText="1"/>
    </xf>
    <xf numFmtId="0" fontId="0" fillId="0" borderId="63" xfId="0" applyBorder="1" applyAlignment="1">
      <alignment horizontal="center" vertical="center" wrapText="1"/>
    </xf>
    <xf numFmtId="0" fontId="14" fillId="0" borderId="48" xfId="0" applyFont="1" applyFill="1" applyBorder="1" applyAlignment="1">
      <alignment horizontal="center" vertical="center" wrapText="1"/>
    </xf>
    <xf numFmtId="0" fontId="14" fillId="0" borderId="53" xfId="0" applyFont="1" applyFill="1" applyBorder="1" applyAlignment="1">
      <alignment horizontal="center" vertical="center" wrapText="1"/>
    </xf>
    <xf numFmtId="0" fontId="11" fillId="0" borderId="5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53" xfId="0" applyFont="1" applyFill="1" applyBorder="1" applyAlignment="1">
      <alignment horizontal="center" vertical="center" wrapText="1"/>
    </xf>
    <xf numFmtId="167" fontId="11" fillId="0" borderId="3" xfId="11" applyFont="1" applyFill="1" applyBorder="1" applyAlignment="1" applyProtection="1">
      <alignment horizontal="center" vertical="center" wrapText="1"/>
    </xf>
    <xf numFmtId="167" fontId="11" fillId="0" borderId="43" xfId="11" applyFont="1" applyFill="1" applyBorder="1" applyAlignment="1" applyProtection="1">
      <alignment horizontal="center" vertical="center" wrapText="1"/>
    </xf>
    <xf numFmtId="0" fontId="0" fillId="0" borderId="1" xfId="0" applyFill="1" applyBorder="1"/>
    <xf numFmtId="0" fontId="0" fillId="0" borderId="45" xfId="0" applyFill="1" applyBorder="1"/>
    <xf numFmtId="0" fontId="0" fillId="0" borderId="2" xfId="0" applyFill="1" applyBorder="1"/>
    <xf numFmtId="167" fontId="17" fillId="0" borderId="63" xfId="11" applyFont="1" applyFill="1" applyBorder="1" applyAlignment="1" applyProtection="1">
      <alignment horizontal="center" vertical="center" wrapText="1"/>
    </xf>
    <xf numFmtId="167" fontId="17" fillId="0" borderId="48" xfId="11" applyFont="1" applyFill="1" applyBorder="1" applyAlignment="1" applyProtection="1">
      <alignment horizontal="center" vertical="center" wrapText="1"/>
    </xf>
    <xf numFmtId="167" fontId="17" fillId="0" borderId="53" xfId="11" applyFont="1" applyFill="1" applyBorder="1" applyAlignment="1" applyProtection="1">
      <alignment horizontal="center" vertical="center" wrapText="1"/>
    </xf>
    <xf numFmtId="167" fontId="11" fillId="0" borderId="43" xfId="11" applyNumberFormat="1" applyFont="1" applyFill="1" applyBorder="1" applyAlignment="1" applyProtection="1">
      <alignment horizontal="center" vertical="center" wrapText="1"/>
    </xf>
    <xf numFmtId="0" fontId="0" fillId="0" borderId="1" xfId="0" applyFill="1" applyBorder="1" applyAlignment="1">
      <alignment horizontal="center" vertical="center" wrapText="1"/>
    </xf>
    <xf numFmtId="0" fontId="0" fillId="0" borderId="45" xfId="0" applyFill="1" applyBorder="1" applyAlignment="1">
      <alignment horizontal="center" vertical="center" wrapText="1"/>
    </xf>
    <xf numFmtId="0" fontId="0" fillId="0" borderId="2" xfId="0" applyFill="1" applyBorder="1" applyAlignment="1">
      <alignment horizontal="center" vertical="center" wrapText="1"/>
    </xf>
    <xf numFmtId="0" fontId="34" fillId="0" borderId="48" xfId="0" applyFont="1" applyBorder="1" applyAlignment="1">
      <alignment horizontal="center" vertical="center" wrapText="1"/>
    </xf>
    <xf numFmtId="0" fontId="34" fillId="0" borderId="53" xfId="0" applyFont="1" applyBorder="1" applyAlignment="1">
      <alignment horizontal="center" vertical="center" wrapText="1"/>
    </xf>
    <xf numFmtId="0" fontId="11" fillId="0" borderId="47"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11" fillId="0" borderId="16" xfId="0" applyFont="1" applyFill="1" applyBorder="1" applyAlignment="1">
      <alignment horizontal="center" vertical="center" wrapText="1"/>
    </xf>
    <xf numFmtId="167" fontId="11" fillId="0" borderId="1" xfId="11" applyNumberFormat="1" applyFont="1" applyFill="1" applyBorder="1" applyAlignment="1" applyProtection="1">
      <alignment horizontal="center" vertical="center" wrapText="1"/>
    </xf>
    <xf numFmtId="167" fontId="11" fillId="0" borderId="45" xfId="11" applyNumberFormat="1" applyFont="1" applyFill="1" applyBorder="1" applyAlignment="1" applyProtection="1">
      <alignment horizontal="center" vertical="center" wrapText="1"/>
    </xf>
    <xf numFmtId="167" fontId="11" fillId="0" borderId="2" xfId="11" applyNumberFormat="1" applyFont="1" applyFill="1" applyBorder="1" applyAlignment="1" applyProtection="1">
      <alignment horizontal="center" vertical="center" wrapText="1"/>
    </xf>
    <xf numFmtId="0" fontId="11" fillId="0" borderId="94" xfId="0" applyFont="1" applyFill="1" applyBorder="1" applyAlignment="1">
      <alignment horizontal="center" vertical="center" wrapText="1"/>
    </xf>
    <xf numFmtId="0" fontId="11" fillId="0" borderId="59" xfId="0" applyFont="1" applyFill="1" applyBorder="1" applyAlignment="1">
      <alignment horizontal="center" vertical="center" wrapText="1"/>
    </xf>
    <xf numFmtId="0" fontId="11" fillId="0" borderId="86"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65" xfId="0" applyFont="1" applyFill="1" applyBorder="1" applyAlignment="1">
      <alignment horizontal="center" vertical="center" wrapText="1"/>
    </xf>
    <xf numFmtId="0" fontId="11" fillId="0" borderId="90" xfId="0" applyFont="1" applyFill="1" applyBorder="1" applyAlignment="1">
      <alignment horizontal="center" vertical="center" wrapText="1"/>
    </xf>
    <xf numFmtId="0" fontId="11" fillId="0" borderId="67" xfId="0" applyFont="1" applyFill="1" applyBorder="1" applyAlignment="1">
      <alignment horizontal="center" vertical="center" wrapText="1"/>
    </xf>
    <xf numFmtId="0" fontId="11" fillId="0" borderId="92" xfId="0" applyFont="1" applyFill="1" applyBorder="1" applyAlignment="1">
      <alignment horizontal="center" vertical="center" wrapText="1"/>
    </xf>
    <xf numFmtId="0" fontId="0" fillId="0" borderId="68" xfId="0" applyFill="1" applyBorder="1"/>
    <xf numFmtId="0" fontId="0" fillId="0" borderId="93" xfId="0" applyFill="1" applyBorder="1"/>
    <xf numFmtId="0" fontId="0" fillId="0" borderId="84" xfId="0" applyFill="1" applyBorder="1"/>
    <xf numFmtId="0" fontId="11" fillId="13" borderId="79" xfId="0" applyFont="1" applyFill="1" applyBorder="1" applyAlignment="1">
      <alignment horizontal="center" vertical="center" wrapText="1"/>
    </xf>
    <xf numFmtId="0" fontId="11" fillId="13" borderId="49" xfId="0" applyFont="1" applyFill="1" applyBorder="1" applyAlignment="1">
      <alignment horizontal="center" vertical="center" wrapText="1"/>
    </xf>
    <xf numFmtId="0" fontId="15" fillId="20" borderId="51" xfId="0" applyFont="1" applyFill="1" applyBorder="1" applyAlignment="1">
      <alignment horizontal="center" vertical="center" wrapText="1"/>
    </xf>
    <xf numFmtId="0" fontId="0" fillId="0" borderId="79" xfId="0" applyFont="1" applyFill="1" applyBorder="1" applyAlignment="1">
      <alignment horizontal="center" vertical="center" wrapText="1"/>
    </xf>
    <xf numFmtId="0" fontId="0" fillId="0" borderId="9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5" fillId="18" borderId="76" xfId="0" applyFont="1" applyFill="1" applyBorder="1" applyAlignment="1">
      <alignment horizontal="center" vertical="center" wrapText="1"/>
    </xf>
    <xf numFmtId="0" fontId="1" fillId="18" borderId="51" xfId="0" applyFont="1" applyFill="1" applyBorder="1" applyAlignment="1">
      <alignment horizontal="center" vertical="center" wrapText="1"/>
    </xf>
    <xf numFmtId="0" fontId="5" fillId="0" borderId="60" xfId="0" applyFont="1" applyFill="1" applyBorder="1" applyAlignment="1">
      <alignment horizontal="center" vertical="center"/>
    </xf>
    <xf numFmtId="0" fontId="5" fillId="0" borderId="61" xfId="0" applyFont="1" applyFill="1" applyBorder="1" applyAlignment="1">
      <alignment horizontal="center" vertical="center"/>
    </xf>
    <xf numFmtId="0" fontId="5" fillId="0" borderId="70" xfId="0" applyFont="1" applyFill="1" applyBorder="1" applyAlignment="1">
      <alignment horizontal="center" vertical="center" wrapText="1"/>
    </xf>
    <xf numFmtId="0" fontId="5" fillId="0" borderId="81" xfId="0" applyFont="1" applyFill="1" applyBorder="1" applyAlignment="1">
      <alignment horizontal="center" vertical="center" wrapText="1"/>
    </xf>
    <xf numFmtId="0" fontId="15" fillId="18" borderId="51" xfId="0" applyFont="1" applyFill="1" applyBorder="1" applyAlignment="1">
      <alignment horizontal="center" vertical="center" wrapText="1"/>
    </xf>
    <xf numFmtId="0" fontId="0" fillId="0" borderId="22" xfId="0" applyFont="1" applyFill="1" applyBorder="1" applyAlignment="1">
      <alignment horizontal="center" vertical="center" wrapText="1"/>
    </xf>
    <xf numFmtId="0" fontId="0" fillId="0" borderId="65" xfId="0" applyFont="1" applyFill="1" applyBorder="1" applyAlignment="1">
      <alignment horizontal="center" vertical="center" wrapText="1"/>
    </xf>
    <xf numFmtId="0" fontId="0" fillId="0" borderId="90" xfId="0" applyFont="1" applyFill="1" applyBorder="1" applyAlignment="1">
      <alignment horizontal="center" vertical="center" wrapText="1"/>
    </xf>
    <xf numFmtId="0" fontId="0" fillId="0" borderId="96" xfId="0" applyFont="1"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58"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0" borderId="99"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15" fillId="3" borderId="0" xfId="0" applyFont="1" applyFill="1" applyAlignment="1" applyProtection="1">
      <alignment horizontal="center" vertical="center" wrapText="1"/>
    </xf>
    <xf numFmtId="0" fontId="0" fillId="0" borderId="0" xfId="0" applyAlignment="1" applyProtection="1">
      <alignment horizontal="center" vertical="center" wrapText="1"/>
    </xf>
    <xf numFmtId="0" fontId="15" fillId="3" borderId="13" xfId="0" applyFont="1" applyFill="1" applyBorder="1" applyAlignment="1" applyProtection="1">
      <alignment horizontal="center" vertical="center" wrapText="1"/>
    </xf>
    <xf numFmtId="0" fontId="0" fillId="0" borderId="13" xfId="0" applyBorder="1" applyAlignment="1" applyProtection="1">
      <alignment horizontal="center" vertical="center" wrapText="1"/>
    </xf>
    <xf numFmtId="0" fontId="0" fillId="0" borderId="65" xfId="0" applyBorder="1" applyAlignment="1" applyProtection="1">
      <alignment horizontal="left" vertical="center"/>
    </xf>
    <xf numFmtId="0" fontId="0" fillId="0" borderId="65" xfId="0" applyBorder="1" applyAlignment="1">
      <alignment horizontal="left" vertical="center"/>
    </xf>
    <xf numFmtId="0" fontId="6" fillId="0" borderId="41" xfId="0" applyFont="1" applyFill="1" applyBorder="1" applyAlignment="1" applyProtection="1">
      <alignment horizontal="center" vertical="center" wrapText="1"/>
    </xf>
    <xf numFmtId="0" fontId="6" fillId="0" borderId="10" xfId="0" applyFont="1" applyFill="1" applyBorder="1" applyAlignment="1" applyProtection="1">
      <alignment horizontal="center" vertical="center" wrapText="1"/>
    </xf>
    <xf numFmtId="0" fontId="6" fillId="0" borderId="78" xfId="0" applyFont="1" applyFill="1" applyBorder="1" applyAlignment="1" applyProtection="1">
      <alignment horizontal="center" vertical="center" wrapText="1"/>
    </xf>
    <xf numFmtId="0" fontId="0" fillId="0" borderId="45" xfId="0" applyBorder="1" applyAlignment="1" applyProtection="1">
      <alignment horizontal="center" vertical="center"/>
      <protection locked="0"/>
    </xf>
    <xf numFmtId="0" fontId="0" fillId="0" borderId="48" xfId="0" applyBorder="1" applyAlignment="1" applyProtection="1">
      <alignment horizontal="center" vertical="center"/>
      <protection locked="0"/>
    </xf>
    <xf numFmtId="0" fontId="0" fillId="0" borderId="43" xfId="0" applyBorder="1" applyAlignment="1" applyProtection="1">
      <alignment horizontal="center" vertical="center"/>
      <protection locked="0"/>
    </xf>
    <xf numFmtId="171" fontId="0" fillId="5" borderId="45" xfId="0" applyNumberFormat="1" applyFill="1" applyBorder="1" applyAlignment="1" applyProtection="1">
      <alignment horizontal="center"/>
      <protection locked="0"/>
    </xf>
    <xf numFmtId="171" fontId="0" fillId="5" borderId="48" xfId="0" applyNumberFormat="1" applyFill="1" applyBorder="1" applyAlignment="1" applyProtection="1">
      <alignment horizontal="center"/>
      <protection locked="0"/>
    </xf>
    <xf numFmtId="171" fontId="0" fillId="5" borderId="43" xfId="0" applyNumberFormat="1" applyFill="1" applyBorder="1" applyAlignment="1" applyProtection="1">
      <alignment horizontal="center"/>
      <protection locked="0"/>
    </xf>
    <xf numFmtId="0" fontId="0" fillId="0" borderId="82" xfId="0" applyFont="1" applyFill="1" applyBorder="1" applyAlignment="1" applyProtection="1">
      <alignment horizontal="center" vertical="center" wrapText="1"/>
    </xf>
    <xf numFmtId="0" fontId="0" fillId="0" borderId="61" xfId="0" applyFont="1" applyFill="1" applyBorder="1" applyAlignment="1" applyProtection="1">
      <alignment horizontal="center" vertical="center" wrapText="1"/>
    </xf>
    <xf numFmtId="0" fontId="6" fillId="0" borderId="45" xfId="0" applyFont="1" applyFill="1" applyBorder="1" applyAlignment="1">
      <alignment horizontal="center" vertical="center" wrapText="1"/>
    </xf>
    <xf numFmtId="0" fontId="6" fillId="0" borderId="43" xfId="0" applyFont="1" applyFill="1" applyBorder="1" applyAlignment="1">
      <alignment horizontal="center" vertical="center" wrapText="1"/>
    </xf>
    <xf numFmtId="0" fontId="14" fillId="0" borderId="82" xfId="0" applyFont="1" applyFill="1" applyBorder="1" applyAlignment="1" applyProtection="1">
      <alignment horizontal="left" vertical="center" wrapText="1"/>
    </xf>
    <xf numFmtId="0" fontId="14" fillId="0" borderId="59" xfId="0" applyFont="1" applyFill="1" applyBorder="1" applyAlignment="1" applyProtection="1">
      <alignment horizontal="left" vertical="center" wrapText="1"/>
    </xf>
    <xf numFmtId="0" fontId="6" fillId="0" borderId="62" xfId="0" applyFont="1" applyFill="1" applyBorder="1" applyAlignment="1" applyProtection="1">
      <alignment horizontal="center" vertical="center" wrapText="1"/>
    </xf>
    <xf numFmtId="0" fontId="6" fillId="0" borderId="9" xfId="0" applyFont="1" applyFill="1" applyBorder="1" applyAlignment="1" applyProtection="1">
      <alignment horizontal="center" vertical="center" wrapText="1"/>
    </xf>
    <xf numFmtId="0" fontId="6" fillId="0" borderId="61" xfId="0" applyFont="1" applyFill="1" applyBorder="1" applyAlignment="1" applyProtection="1">
      <alignment horizontal="center" vertical="center" wrapText="1"/>
    </xf>
    <xf numFmtId="0" fontId="5" fillId="3" borderId="96" xfId="0" applyFont="1" applyFill="1" applyBorder="1" applyAlignment="1" applyProtection="1">
      <alignment horizontal="center" vertical="center" wrapText="1"/>
    </xf>
    <xf numFmtId="0" fontId="5" fillId="3" borderId="13" xfId="0" applyFont="1" applyFill="1" applyBorder="1" applyAlignment="1" applyProtection="1">
      <alignment horizontal="center" vertical="center" wrapText="1"/>
    </xf>
    <xf numFmtId="0" fontId="5" fillId="3" borderId="94" xfId="0" applyFont="1" applyFill="1" applyBorder="1" applyAlignment="1" applyProtection="1">
      <alignment horizontal="center" vertical="center" wrapText="1"/>
    </xf>
    <xf numFmtId="0" fontId="6" fillId="0" borderId="48" xfId="0" applyFont="1" applyFill="1" applyBorder="1" applyAlignment="1" applyProtection="1">
      <alignment horizontal="center" vertical="center"/>
    </xf>
    <xf numFmtId="0" fontId="0" fillId="0" borderId="45" xfId="0" applyFont="1" applyFill="1" applyBorder="1" applyAlignment="1">
      <alignment horizontal="center" vertical="center" wrapText="1"/>
    </xf>
    <xf numFmtId="0" fontId="0" fillId="16" borderId="65" xfId="0" applyFont="1" applyFill="1" applyBorder="1" applyAlignment="1">
      <alignment horizontal="center" vertical="center" wrapText="1"/>
    </xf>
    <xf numFmtId="0" fontId="0" fillId="16" borderId="90" xfId="0" applyFont="1" applyFill="1" applyBorder="1" applyAlignment="1">
      <alignment horizontal="center" vertical="center" wrapText="1"/>
    </xf>
    <xf numFmtId="0" fontId="0" fillId="16" borderId="0" xfId="0" applyFill="1" applyBorder="1" applyAlignment="1">
      <alignment horizontal="center" vertical="center"/>
    </xf>
    <xf numFmtId="0" fontId="0" fillId="16" borderId="7" xfId="0" applyFill="1" applyBorder="1" applyAlignment="1">
      <alignment horizontal="center" vertical="center"/>
    </xf>
    <xf numFmtId="0" fontId="0" fillId="16" borderId="0" xfId="0" applyFill="1" applyBorder="1" applyAlignment="1">
      <alignment horizontal="center" vertical="center" wrapText="1"/>
    </xf>
    <xf numFmtId="0" fontId="0" fillId="16" borderId="7" xfId="0" applyFill="1" applyBorder="1" applyAlignment="1">
      <alignment horizontal="center" vertical="center" wrapText="1"/>
    </xf>
    <xf numFmtId="0" fontId="5" fillId="3" borderId="42" xfId="0" applyFont="1" applyFill="1" applyBorder="1" applyAlignment="1" applyProtection="1">
      <alignment horizontal="center" vertical="center" wrapText="1"/>
    </xf>
    <xf numFmtId="0" fontId="5" fillId="3" borderId="95" xfId="0" applyFont="1" applyFill="1" applyBorder="1" applyAlignment="1" applyProtection="1">
      <alignment horizontal="center" vertical="center" wrapText="1"/>
    </xf>
    <xf numFmtId="0" fontId="5" fillId="3" borderId="85" xfId="0" applyFont="1" applyFill="1" applyBorder="1" applyAlignment="1" applyProtection="1">
      <alignment horizontal="center" vertical="center" wrapText="1"/>
    </xf>
    <xf numFmtId="167" fontId="6" fillId="0" borderId="1" xfId="11" applyFont="1" applyFill="1" applyBorder="1" applyAlignment="1" applyProtection="1">
      <alignment horizontal="left" vertical="center" wrapText="1"/>
    </xf>
    <xf numFmtId="0" fontId="0" fillId="0" borderId="1" xfId="0" applyFill="1" applyBorder="1" applyAlignment="1">
      <alignment horizontal="left" vertical="center" wrapText="1"/>
    </xf>
    <xf numFmtId="0" fontId="6" fillId="0" borderId="58" xfId="0" applyFont="1" applyBorder="1" applyAlignment="1" applyProtection="1">
      <alignment horizontal="center" vertical="center" wrapText="1"/>
    </xf>
    <xf numFmtId="0" fontId="6" fillId="0" borderId="0" xfId="0" applyFont="1" applyBorder="1" applyAlignment="1" applyProtection="1">
      <alignment horizontal="center" vertical="center" wrapText="1"/>
    </xf>
    <xf numFmtId="0" fontId="6" fillId="0" borderId="59" xfId="0" applyFont="1" applyBorder="1" applyAlignment="1" applyProtection="1">
      <alignment horizontal="center" vertical="center" wrapText="1"/>
    </xf>
    <xf numFmtId="167" fontId="6" fillId="0" borderId="48" xfId="11" applyFont="1" applyFill="1" applyBorder="1" applyAlignment="1" applyProtection="1">
      <alignment horizontal="left" vertical="center" wrapText="1"/>
    </xf>
    <xf numFmtId="167" fontId="6" fillId="0" borderId="43" xfId="11" applyFont="1" applyFill="1" applyBorder="1" applyAlignment="1" applyProtection="1">
      <alignment horizontal="left" vertical="center" wrapText="1"/>
    </xf>
    <xf numFmtId="0" fontId="6" fillId="0" borderId="55" xfId="0" applyFont="1" applyFill="1" applyBorder="1" applyAlignment="1" applyProtection="1">
      <alignment horizontal="center" vertical="center" wrapText="1"/>
    </xf>
    <xf numFmtId="0" fontId="6" fillId="0" borderId="8" xfId="0" applyFont="1" applyFill="1" applyBorder="1" applyAlignment="1" applyProtection="1">
      <alignment horizontal="center" vertical="center" wrapText="1"/>
    </xf>
    <xf numFmtId="0" fontId="6" fillId="0" borderId="82" xfId="0" applyFont="1" applyFill="1" applyBorder="1" applyAlignment="1" applyProtection="1">
      <alignment horizontal="center" vertical="center" wrapText="1"/>
    </xf>
    <xf numFmtId="0" fontId="41" fillId="0" borderId="41" xfId="0" applyFont="1" applyFill="1" applyBorder="1" applyAlignment="1" applyProtection="1">
      <alignment horizontal="center" vertical="center" wrapText="1"/>
    </xf>
    <xf numFmtId="0" fontId="37" fillId="0" borderId="10" xfId="0" applyFont="1" applyFill="1" applyBorder="1" applyAlignment="1">
      <alignment horizontal="center" vertical="center" wrapText="1"/>
    </xf>
    <xf numFmtId="0" fontId="37" fillId="0" borderId="78" xfId="0" applyFont="1" applyFill="1" applyBorder="1" applyAlignment="1">
      <alignment horizontal="center" vertical="center" wrapText="1"/>
    </xf>
    <xf numFmtId="0" fontId="0" fillId="0" borderId="41" xfId="0" applyFont="1" applyFill="1" applyBorder="1" applyAlignment="1">
      <alignment horizontal="left" vertical="center" wrapText="1"/>
    </xf>
    <xf numFmtId="0" fontId="14" fillId="0" borderId="78" xfId="0" applyFont="1" applyFill="1" applyBorder="1" applyAlignment="1">
      <alignment horizontal="left" vertical="center" wrapText="1"/>
    </xf>
    <xf numFmtId="0" fontId="0" fillId="0" borderId="41" xfId="0" applyFill="1" applyBorder="1" applyAlignment="1" applyProtection="1">
      <alignment horizontal="center" wrapText="1"/>
    </xf>
    <xf numFmtId="0" fontId="0" fillId="0" borderId="78" xfId="0" applyFill="1" applyBorder="1" applyAlignment="1" applyProtection="1">
      <alignment horizontal="center" wrapText="1"/>
    </xf>
    <xf numFmtId="0" fontId="0" fillId="0" borderId="45" xfId="0" applyFill="1" applyBorder="1" applyAlignment="1" applyProtection="1">
      <alignment horizontal="center"/>
    </xf>
    <xf numFmtId="0" fontId="0" fillId="0" borderId="43" xfId="0" applyFill="1" applyBorder="1" applyAlignment="1" applyProtection="1">
      <alignment horizontal="center"/>
    </xf>
    <xf numFmtId="0" fontId="0" fillId="0" borderId="55" xfId="0" applyFont="1" applyFill="1" applyBorder="1" applyAlignment="1">
      <alignment horizontal="center" vertical="center" wrapText="1"/>
    </xf>
    <xf numFmtId="0" fontId="0" fillId="0" borderId="62" xfId="0" applyFont="1" applyFill="1" applyBorder="1" applyAlignment="1">
      <alignment horizontal="center" vertical="center" wrapText="1"/>
    </xf>
    <xf numFmtId="0" fontId="6" fillId="0" borderId="45" xfId="0" applyFont="1" applyFill="1" applyBorder="1" applyAlignment="1" applyProtection="1">
      <alignment horizontal="left" vertical="center" wrapText="1"/>
    </xf>
    <xf numFmtId="0" fontId="6" fillId="0" borderId="43" xfId="0" applyFont="1" applyFill="1" applyBorder="1" applyAlignment="1" applyProtection="1">
      <alignment horizontal="left" vertical="center" wrapText="1"/>
    </xf>
    <xf numFmtId="0" fontId="14" fillId="0" borderId="41" xfId="0" applyFont="1" applyFill="1" applyBorder="1" applyAlignment="1">
      <alignment horizontal="left" vertical="center" wrapText="1"/>
    </xf>
    <xf numFmtId="167" fontId="6" fillId="0" borderId="45" xfId="11" applyFont="1" applyFill="1" applyBorder="1" applyAlignment="1" applyProtection="1">
      <alignment horizontal="center" vertical="center" wrapText="1"/>
    </xf>
    <xf numFmtId="167" fontId="6" fillId="0" borderId="43" xfId="11" applyFont="1" applyFill="1" applyBorder="1" applyAlignment="1" applyProtection="1">
      <alignment horizontal="center" vertical="center" wrapText="1"/>
    </xf>
    <xf numFmtId="0" fontId="0" fillId="0" borderId="54" xfId="0" applyFill="1" applyBorder="1" applyAlignment="1" applyProtection="1">
      <alignment horizontal="center" vertical="center" wrapText="1"/>
    </xf>
    <xf numFmtId="0" fontId="0" fillId="0" borderId="47" xfId="0" applyFill="1" applyBorder="1" applyAlignment="1" applyProtection="1">
      <alignment horizontal="center" vertical="center" wrapText="1"/>
    </xf>
    <xf numFmtId="0" fontId="0" fillId="0" borderId="11" xfId="0" applyFill="1" applyBorder="1" applyAlignment="1" applyProtection="1">
      <alignment horizontal="left" vertical="center" wrapText="1"/>
    </xf>
    <xf numFmtId="0" fontId="0" fillId="0" borderId="11" xfId="0" applyFill="1" applyBorder="1" applyAlignment="1" applyProtection="1">
      <alignment horizontal="center" vertical="center"/>
    </xf>
    <xf numFmtId="0" fontId="0" fillId="0" borderId="11" xfId="0" applyBorder="1" applyAlignment="1" applyProtection="1">
      <alignment horizontal="left" vertical="center" wrapText="1"/>
    </xf>
    <xf numFmtId="0" fontId="0" fillId="0" borderId="54" xfId="0" applyBorder="1" applyAlignment="1" applyProtection="1">
      <alignment horizontal="left" vertical="center" wrapText="1"/>
    </xf>
    <xf numFmtId="0" fontId="6" fillId="0" borderId="45" xfId="0" applyFont="1" applyFill="1" applyBorder="1" applyAlignment="1" applyProtection="1">
      <alignment horizontal="center" vertical="center"/>
    </xf>
    <xf numFmtId="0" fontId="6" fillId="0" borderId="1" xfId="0" applyFont="1" applyFill="1" applyBorder="1" applyAlignment="1" applyProtection="1">
      <alignment horizontal="left" vertical="center" wrapText="1"/>
    </xf>
    <xf numFmtId="0" fontId="6" fillId="0" borderId="48" xfId="0" applyFont="1" applyFill="1" applyBorder="1" applyAlignment="1" applyProtection="1">
      <alignment horizontal="left" vertical="center" wrapText="1"/>
    </xf>
    <xf numFmtId="0" fontId="0" fillId="0" borderId="54" xfId="0" applyFont="1" applyFill="1" applyBorder="1" applyAlignment="1" applyProtection="1">
      <alignment horizontal="center" vertical="center" wrapText="1"/>
    </xf>
    <xf numFmtId="0" fontId="0" fillId="0" borderId="49" xfId="0" applyFont="1" applyFill="1" applyBorder="1" applyAlignment="1" applyProtection="1">
      <alignment horizontal="center" vertical="center" wrapText="1"/>
    </xf>
    <xf numFmtId="0" fontId="0" fillId="16" borderId="54" xfId="0" applyFill="1" applyBorder="1" applyAlignment="1">
      <alignment horizontal="center" vertical="center"/>
    </xf>
    <xf numFmtId="0" fontId="0" fillId="16" borderId="49" xfId="0" applyFill="1" applyBorder="1" applyAlignment="1">
      <alignment horizontal="center" vertical="center"/>
    </xf>
    <xf numFmtId="0" fontId="0" fillId="16" borderId="91" xfId="0" applyFill="1" applyBorder="1" applyAlignment="1">
      <alignment horizontal="center" vertical="center"/>
    </xf>
    <xf numFmtId="0" fontId="0" fillId="0" borderId="54" xfId="0" applyFill="1" applyBorder="1" applyAlignment="1" applyProtection="1">
      <alignment horizontal="left" vertical="center" wrapText="1"/>
    </xf>
    <xf numFmtId="0" fontId="0" fillId="0" borderId="47" xfId="0" applyFill="1" applyBorder="1" applyAlignment="1" applyProtection="1">
      <alignment horizontal="left" vertical="center" wrapText="1"/>
    </xf>
    <xf numFmtId="0" fontId="7" fillId="0" borderId="7" xfId="0" applyFont="1" applyBorder="1" applyAlignment="1" applyProtection="1">
      <alignment horizontal="center"/>
    </xf>
    <xf numFmtId="0" fontId="0" fillId="0" borderId="47" xfId="0" applyBorder="1" applyAlignment="1" applyProtection="1">
      <alignment horizontal="left" vertical="center" wrapText="1"/>
    </xf>
    <xf numFmtId="167" fontId="6" fillId="0" borderId="45" xfId="11" applyFont="1" applyFill="1" applyBorder="1" applyAlignment="1" applyProtection="1">
      <alignment horizontal="left" vertical="center" wrapText="1"/>
    </xf>
    <xf numFmtId="0" fontId="0" fillId="0" borderId="11" xfId="0" applyFont="1" applyFill="1" applyBorder="1" applyAlignment="1" applyProtection="1">
      <alignment horizontal="left" vertical="center" wrapText="1"/>
    </xf>
    <xf numFmtId="0" fontId="0" fillId="0" borderId="11" xfId="0" applyFill="1" applyBorder="1" applyAlignment="1">
      <alignment horizontal="left" vertical="center" wrapText="1"/>
    </xf>
    <xf numFmtId="0" fontId="0" fillId="0" borderId="11" xfId="0" applyBorder="1" applyAlignment="1" applyProtection="1">
      <alignment horizontal="left" vertical="center"/>
    </xf>
    <xf numFmtId="0" fontId="0" fillId="0" borderId="79" xfId="0" applyFill="1" applyBorder="1" applyAlignment="1" applyProtection="1">
      <alignment horizontal="left" vertical="center" wrapText="1"/>
    </xf>
    <xf numFmtId="0" fontId="0" fillId="0" borderId="91" xfId="0" applyFill="1" applyBorder="1" applyAlignment="1" applyProtection="1">
      <alignment horizontal="left" vertical="center" wrapText="1"/>
    </xf>
    <xf numFmtId="0" fontId="5" fillId="0" borderId="54" xfId="0" applyFont="1" applyFill="1" applyBorder="1" applyAlignment="1" applyProtection="1">
      <alignment horizontal="center" vertical="center"/>
    </xf>
    <xf numFmtId="0" fontId="5" fillId="0" borderId="49" xfId="0" applyFont="1" applyFill="1" applyBorder="1" applyAlignment="1" applyProtection="1">
      <alignment horizontal="center" vertical="center"/>
    </xf>
    <xf numFmtId="0" fontId="5" fillId="0" borderId="47" xfId="0" applyFont="1" applyFill="1" applyBorder="1" applyAlignment="1" applyProtection="1">
      <alignment horizontal="center" vertical="center"/>
    </xf>
    <xf numFmtId="167" fontId="13" fillId="0" borderId="1" xfId="11" applyFont="1" applyFill="1" applyBorder="1" applyAlignment="1" applyProtection="1">
      <alignment horizontal="left" vertical="center" wrapText="1"/>
    </xf>
    <xf numFmtId="167" fontId="13" fillId="0" borderId="45" xfId="11" applyFont="1" applyFill="1" applyBorder="1" applyAlignment="1" applyProtection="1">
      <alignment horizontal="left" vertical="center" wrapText="1"/>
    </xf>
    <xf numFmtId="0" fontId="6" fillId="0" borderId="45" xfId="0" applyFont="1" applyFill="1" applyBorder="1" applyAlignment="1" applyProtection="1">
      <alignment horizontal="center" vertical="center" wrapText="1"/>
    </xf>
    <xf numFmtId="0" fontId="6" fillId="0" borderId="48" xfId="0" applyFont="1" applyFill="1" applyBorder="1" applyAlignment="1" applyProtection="1">
      <alignment horizontal="center" vertical="center" wrapText="1"/>
    </xf>
    <xf numFmtId="0" fontId="0" fillId="0" borderId="93" xfId="0" applyFill="1" applyBorder="1" applyAlignment="1">
      <alignment horizontal="center" wrapText="1"/>
    </xf>
    <xf numFmtId="0" fontId="0" fillId="0" borderId="92" xfId="0" applyFill="1" applyBorder="1" applyAlignment="1">
      <alignment horizontal="center" wrapText="1"/>
    </xf>
    <xf numFmtId="0" fontId="0" fillId="0" borderId="54" xfId="0" applyBorder="1" applyAlignment="1" applyProtection="1">
      <alignment horizontal="center" vertical="center" wrapText="1"/>
    </xf>
    <xf numFmtId="0" fontId="0" fillId="0" borderId="47" xfId="0" applyBorder="1" applyAlignment="1" applyProtection="1">
      <alignment horizontal="center" vertical="center" wrapText="1"/>
    </xf>
    <xf numFmtId="0" fontId="0" fillId="0" borderId="49" xfId="0" applyBorder="1" applyAlignment="1" applyProtection="1">
      <alignment horizontal="left" vertical="center" wrapText="1"/>
    </xf>
    <xf numFmtId="0" fontId="6" fillId="0" borderId="43" xfId="0" applyFont="1" applyFill="1" applyBorder="1" applyAlignment="1" applyProtection="1">
      <alignment horizontal="center" vertical="center" wrapText="1"/>
    </xf>
    <xf numFmtId="0" fontId="0" fillId="0" borderId="49" xfId="0" applyFill="1" applyBorder="1" applyAlignment="1" applyProtection="1">
      <alignment horizontal="center" vertical="center" wrapText="1"/>
    </xf>
    <xf numFmtId="0" fontId="0" fillId="0" borderId="54" xfId="0" applyFont="1" applyFill="1" applyBorder="1" applyAlignment="1" applyProtection="1">
      <alignment horizontal="left" vertical="center" wrapText="1"/>
    </xf>
    <xf numFmtId="0" fontId="0" fillId="0" borderId="49" xfId="0" applyFont="1" applyFill="1" applyBorder="1" applyAlignment="1" applyProtection="1">
      <alignment horizontal="left" vertical="center" wrapText="1"/>
    </xf>
    <xf numFmtId="0" fontId="14" fillId="0" borderId="49" xfId="0" applyFont="1" applyFill="1" applyBorder="1" applyAlignment="1" applyProtection="1">
      <alignment horizontal="left" vertical="center" wrapText="1"/>
    </xf>
    <xf numFmtId="0" fontId="14" fillId="0" borderId="47" xfId="0" applyFont="1" applyFill="1" applyBorder="1" applyAlignment="1" applyProtection="1">
      <alignment horizontal="left" vertical="center" wrapText="1"/>
    </xf>
    <xf numFmtId="0" fontId="0" fillId="0" borderId="11" xfId="0" applyBorder="1" applyAlignment="1" applyProtection="1">
      <alignment horizontal="center" vertical="center" wrapText="1"/>
    </xf>
    <xf numFmtId="0" fontId="6" fillId="0" borderId="45" xfId="0" applyFont="1" applyFill="1" applyBorder="1" applyAlignment="1" applyProtection="1">
      <alignment vertical="center" wrapText="1"/>
    </xf>
    <xf numFmtId="0" fontId="6" fillId="0" borderId="43" xfId="0" applyFont="1" applyFill="1" applyBorder="1" applyAlignment="1" applyProtection="1">
      <alignment vertical="center" wrapText="1"/>
    </xf>
    <xf numFmtId="0" fontId="6" fillId="0" borderId="1" xfId="0" applyFont="1" applyFill="1" applyBorder="1" applyAlignment="1" applyProtection="1">
      <alignment vertical="center" wrapText="1"/>
    </xf>
    <xf numFmtId="0" fontId="0" fillId="0" borderId="11" xfId="0" applyFill="1" applyBorder="1" applyAlignment="1" applyProtection="1">
      <alignment horizontal="center" vertical="center" wrapText="1"/>
    </xf>
    <xf numFmtId="0" fontId="0" fillId="0" borderId="11" xfId="0" applyFill="1" applyBorder="1" applyAlignment="1">
      <alignment horizontal="center" vertical="center" wrapText="1"/>
    </xf>
    <xf numFmtId="0" fontId="14" fillId="0" borderId="54" xfId="0" applyFont="1" applyFill="1" applyBorder="1" applyAlignment="1" applyProtection="1">
      <alignment horizontal="left" vertical="center" wrapText="1"/>
    </xf>
    <xf numFmtId="0" fontId="6" fillId="0" borderId="45" xfId="0" applyFont="1" applyFill="1" applyBorder="1" applyAlignment="1" applyProtection="1">
      <alignment horizontal="center" wrapText="1"/>
    </xf>
    <xf numFmtId="0" fontId="6" fillId="0" borderId="48" xfId="0" applyFont="1" applyFill="1" applyBorder="1" applyAlignment="1" applyProtection="1">
      <alignment horizontal="center" wrapText="1"/>
    </xf>
    <xf numFmtId="0" fontId="0" fillId="0" borderId="49" xfId="0" applyFill="1" applyBorder="1" applyAlignment="1" applyProtection="1">
      <alignment horizontal="left" vertical="center" wrapText="1"/>
    </xf>
    <xf numFmtId="0" fontId="0" fillId="0" borderId="82" xfId="0" applyFont="1" applyFill="1" applyBorder="1" applyAlignment="1">
      <alignment horizontal="center" vertical="center" wrapText="1"/>
    </xf>
    <xf numFmtId="0" fontId="0" fillId="0" borderId="61" xfId="0" applyFont="1" applyFill="1" applyBorder="1" applyAlignment="1">
      <alignment horizontal="center" vertical="center" wrapText="1"/>
    </xf>
    <xf numFmtId="0" fontId="0" fillId="0" borderId="46" xfId="0" applyBorder="1" applyAlignment="1" applyProtection="1">
      <alignment horizontal="right" vertical="center"/>
    </xf>
    <xf numFmtId="0" fontId="0" fillId="0" borderId="50" xfId="0" applyBorder="1" applyAlignment="1" applyProtection="1">
      <alignment horizontal="right" vertical="center"/>
    </xf>
    <xf numFmtId="0" fontId="0" fillId="0" borderId="44" xfId="0" applyBorder="1" applyAlignment="1" applyProtection="1">
      <alignment horizontal="right" vertical="center"/>
    </xf>
    <xf numFmtId="0" fontId="0" fillId="0" borderId="1" xfId="0" applyFill="1" applyBorder="1" applyAlignment="1" applyProtection="1">
      <alignment horizontal="center"/>
    </xf>
    <xf numFmtId="0" fontId="0" fillId="0" borderId="1" xfId="0" applyFont="1" applyFill="1" applyBorder="1" applyAlignment="1" applyProtection="1">
      <alignment horizontal="center" vertical="center" wrapText="1"/>
    </xf>
    <xf numFmtId="172" fontId="36" fillId="3" borderId="45" xfId="0" applyNumberFormat="1" applyFont="1" applyFill="1" applyBorder="1" applyAlignment="1">
      <alignment horizontal="center" vertical="center"/>
    </xf>
    <xf numFmtId="172" fontId="36" fillId="3" borderId="48" xfId="0" applyNumberFormat="1" applyFont="1" applyFill="1" applyBorder="1" applyAlignment="1">
      <alignment horizontal="center" vertical="center"/>
    </xf>
    <xf numFmtId="172" fontId="36" fillId="3" borderId="43" xfId="0" applyNumberFormat="1" applyFont="1" applyFill="1" applyBorder="1" applyAlignment="1">
      <alignment horizontal="center" vertical="center"/>
    </xf>
    <xf numFmtId="0" fontId="0" fillId="0" borderId="46" xfId="0" applyFill="1" applyBorder="1" applyAlignment="1" applyProtection="1">
      <alignment horizontal="right"/>
    </xf>
    <xf numFmtId="0" fontId="0" fillId="0" borderId="44" xfId="0" applyFill="1" applyBorder="1" applyAlignment="1" applyProtection="1">
      <alignment horizontal="right"/>
    </xf>
    <xf numFmtId="167" fontId="6" fillId="0" borderId="48" xfId="11" applyFont="1" applyFill="1" applyBorder="1" applyAlignment="1" applyProtection="1">
      <alignment horizontal="center" vertical="center" wrapText="1"/>
    </xf>
    <xf numFmtId="171" fontId="75" fillId="3" borderId="45" xfId="0" applyNumberFormat="1" applyFont="1" applyFill="1" applyBorder="1" applyAlignment="1" applyProtection="1">
      <alignment horizontal="center"/>
    </xf>
    <xf numFmtId="171" fontId="75" fillId="3" borderId="43" xfId="0" applyNumberFormat="1" applyFont="1" applyFill="1" applyBorder="1" applyAlignment="1" applyProtection="1">
      <alignment horizontal="center"/>
    </xf>
    <xf numFmtId="171" fontId="86" fillId="5" borderId="45" xfId="0" applyNumberFormat="1" applyFont="1" applyFill="1" applyBorder="1" applyAlignment="1" applyProtection="1">
      <alignment horizontal="center"/>
      <protection locked="0"/>
    </xf>
    <xf numFmtId="171" fontId="86" fillId="5" borderId="43" xfId="0" applyNumberFormat="1" applyFont="1" applyFill="1" applyBorder="1" applyAlignment="1" applyProtection="1">
      <alignment horizontal="center"/>
      <protection locked="0"/>
    </xf>
    <xf numFmtId="0" fontId="36" fillId="16" borderId="1" xfId="0" applyFont="1" applyFill="1" applyBorder="1" applyAlignment="1">
      <alignment horizontal="left" vertical="center" wrapText="1"/>
    </xf>
    <xf numFmtId="0" fontId="0" fillId="16" borderId="1" xfId="0" applyFill="1" applyBorder="1" applyAlignment="1">
      <alignment horizontal="left" vertical="center" wrapText="1"/>
    </xf>
    <xf numFmtId="0" fontId="70" fillId="11" borderId="39" xfId="0" applyFont="1" applyFill="1" applyBorder="1" applyAlignment="1">
      <alignment horizontal="left" vertical="center" wrapText="1"/>
    </xf>
    <xf numFmtId="0" fontId="55" fillId="11" borderId="39" xfId="0" applyFont="1" applyFill="1" applyBorder="1" applyAlignment="1">
      <alignment horizontal="left" vertical="center" wrapText="1"/>
    </xf>
    <xf numFmtId="0" fontId="3" fillId="16" borderId="39" xfId="5" applyFill="1" applyBorder="1" applyAlignment="1" applyProtection="1">
      <alignment horizontal="center" vertical="center" wrapText="1"/>
    </xf>
    <xf numFmtId="0" fontId="0" fillId="0" borderId="1" xfId="0" applyBorder="1" applyAlignment="1">
      <alignment wrapText="1"/>
    </xf>
    <xf numFmtId="0" fontId="5" fillId="0" borderId="78" xfId="0" applyFont="1" applyFill="1" applyBorder="1" applyAlignment="1">
      <alignment wrapText="1"/>
    </xf>
    <xf numFmtId="0" fontId="0" fillId="0" borderId="1" xfId="0" applyFill="1" applyBorder="1" applyAlignment="1">
      <alignment wrapText="1"/>
    </xf>
    <xf numFmtId="0" fontId="5" fillId="0" borderId="54" xfId="0" applyFont="1" applyBorder="1" applyAlignment="1" applyProtection="1">
      <alignment horizontal="left" vertical="center" wrapText="1"/>
    </xf>
    <xf numFmtId="0" fontId="5" fillId="0" borderId="49" xfId="0" applyFont="1" applyBorder="1" applyAlignment="1" applyProtection="1">
      <alignment horizontal="left" vertical="center" wrapText="1"/>
    </xf>
    <xf numFmtId="0" fontId="36" fillId="0" borderId="1" xfId="0" applyFont="1" applyFill="1" applyBorder="1" applyAlignment="1">
      <alignment horizontal="left" vertical="center" wrapText="1"/>
    </xf>
    <xf numFmtId="0" fontId="28" fillId="0" borderId="96" xfId="0" applyFont="1" applyBorder="1" applyAlignment="1">
      <alignment horizontal="left" vertical="center" wrapText="1"/>
    </xf>
    <xf numFmtId="0" fontId="28" fillId="0" borderId="13" xfId="0" applyFont="1" applyBorder="1" applyAlignment="1">
      <alignment horizontal="left" vertical="center" wrapText="1"/>
    </xf>
    <xf numFmtId="0" fontId="28" fillId="0" borderId="21" xfId="0" applyFont="1" applyBorder="1" applyAlignment="1">
      <alignment horizontal="left" vertical="center" wrapText="1"/>
    </xf>
    <xf numFmtId="0" fontId="55" fillId="0" borderId="97" xfId="0" applyFont="1" applyBorder="1" applyAlignment="1">
      <alignment horizontal="left" vertical="center" wrapText="1"/>
    </xf>
    <xf numFmtId="0" fontId="55" fillId="0" borderId="39" xfId="0" applyFont="1" applyBorder="1" applyAlignment="1">
      <alignment horizontal="left" vertical="center" wrapText="1"/>
    </xf>
    <xf numFmtId="0" fontId="55" fillId="0" borderId="40" xfId="0" applyFont="1" applyBorder="1" applyAlignment="1">
      <alignment horizontal="left" vertical="center" wrapText="1"/>
    </xf>
    <xf numFmtId="0" fontId="55" fillId="0" borderId="7" xfId="0" applyFont="1" applyBorder="1" applyAlignment="1">
      <alignment horizontal="center" vertical="center" wrapText="1"/>
    </xf>
    <xf numFmtId="0" fontId="55" fillId="0" borderId="15" xfId="0" applyFont="1" applyBorder="1" applyAlignment="1">
      <alignment horizontal="left" vertical="center" wrapText="1"/>
    </xf>
    <xf numFmtId="0" fontId="55" fillId="0" borderId="3" xfId="0" applyFont="1" applyBorder="1" applyAlignment="1">
      <alignment horizontal="left" vertical="center" wrapText="1"/>
    </xf>
    <xf numFmtId="0" fontId="55" fillId="0" borderId="4" xfId="0" applyFont="1" applyBorder="1" applyAlignment="1">
      <alignment horizontal="left" vertical="center" wrapText="1"/>
    </xf>
    <xf numFmtId="0" fontId="55" fillId="0" borderId="11" xfId="0" applyFont="1" applyBorder="1" applyAlignment="1">
      <alignment horizontal="left" vertical="center" wrapText="1"/>
    </xf>
    <xf numFmtId="0" fontId="55" fillId="0" borderId="1" xfId="0" applyFont="1" applyBorder="1" applyAlignment="1">
      <alignment horizontal="left" vertical="center" wrapText="1"/>
    </xf>
    <xf numFmtId="0" fontId="55" fillId="0" borderId="5" xfId="0" applyFont="1" applyBorder="1" applyAlignment="1">
      <alignment horizontal="left" vertical="center" wrapText="1"/>
    </xf>
    <xf numFmtId="0" fontId="55" fillId="0" borderId="16" xfId="0" applyFont="1" applyBorder="1" applyAlignment="1">
      <alignment horizontal="left" vertical="center" wrapText="1"/>
    </xf>
    <xf numFmtId="0" fontId="55" fillId="0" borderId="2" xfId="0" applyFont="1" applyBorder="1" applyAlignment="1">
      <alignment horizontal="left" vertical="center" wrapText="1"/>
    </xf>
    <xf numFmtId="0" fontId="55" fillId="0" borderId="6" xfId="0" applyFont="1" applyBorder="1" applyAlignment="1">
      <alignment horizontal="left" vertical="center" wrapText="1"/>
    </xf>
    <xf numFmtId="0" fontId="5" fillId="0" borderId="54" xfId="0" applyFont="1" applyFill="1" applyBorder="1" applyAlignment="1" applyProtection="1">
      <alignment horizontal="left" vertical="center" wrapText="1"/>
    </xf>
    <xf numFmtId="0" fontId="5" fillId="0" borderId="49" xfId="0" applyFont="1" applyFill="1" applyBorder="1" applyAlignment="1" applyProtection="1">
      <alignment horizontal="left" vertical="center" wrapText="1"/>
    </xf>
    <xf numFmtId="0" fontId="5" fillId="0" borderId="47" xfId="0" applyFont="1" applyFill="1" applyBorder="1" applyAlignment="1" applyProtection="1">
      <alignment horizontal="left" vertical="center" wrapText="1"/>
    </xf>
    <xf numFmtId="0" fontId="5" fillId="0" borderId="82" xfId="0" applyFont="1" applyFill="1" applyBorder="1" applyAlignment="1">
      <alignment horizontal="left" vertical="center" wrapText="1"/>
    </xf>
    <xf numFmtId="0" fontId="5" fillId="0" borderId="61"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3" xfId="0" applyFill="1" applyBorder="1" applyAlignment="1">
      <alignment horizontal="left" vertical="center" wrapText="1"/>
    </xf>
    <xf numFmtId="0" fontId="5" fillId="16" borderId="54" xfId="0" applyFont="1" applyFill="1" applyBorder="1" applyAlignment="1" applyProtection="1">
      <alignment horizontal="left" vertical="center" wrapText="1"/>
    </xf>
    <xf numFmtId="0" fontId="5" fillId="16" borderId="47" xfId="0" applyFont="1" applyFill="1" applyBorder="1" applyAlignment="1" applyProtection="1">
      <alignment horizontal="left" vertical="center" wrapText="1"/>
    </xf>
    <xf numFmtId="0" fontId="37" fillId="0" borderId="2" xfId="0" applyFont="1" applyFill="1" applyBorder="1" applyAlignment="1" applyProtection="1">
      <alignment horizontal="center" vertical="center" wrapText="1"/>
    </xf>
    <xf numFmtId="0" fontId="86" fillId="0" borderId="2" xfId="0" applyFont="1" applyFill="1" applyBorder="1" applyAlignment="1" applyProtection="1">
      <alignment horizontal="center" vertical="center" wrapText="1"/>
    </xf>
    <xf numFmtId="0" fontId="0" fillId="0" borderId="2" xfId="0" applyFill="1" applyBorder="1" applyAlignment="1" applyProtection="1">
      <alignment horizontal="center" vertical="center" wrapText="1"/>
    </xf>
    <xf numFmtId="0" fontId="0" fillId="0" borderId="15" xfId="0" applyFill="1" applyBorder="1" applyAlignment="1" applyProtection="1">
      <alignment horizontal="center" vertical="center" wrapText="1"/>
    </xf>
    <xf numFmtId="0" fontId="0" fillId="0" borderId="3" xfId="0" applyFill="1" applyBorder="1" applyAlignment="1" applyProtection="1">
      <alignment horizontal="center" vertical="center"/>
    </xf>
    <xf numFmtId="0" fontId="0" fillId="0" borderId="1" xfId="0" applyFill="1" applyBorder="1" applyAlignment="1" applyProtection="1">
      <alignment horizontal="center" vertical="center"/>
    </xf>
    <xf numFmtId="0" fontId="0" fillId="0" borderId="16" xfId="0" applyFill="1" applyBorder="1" applyAlignment="1" applyProtection="1">
      <alignment horizontal="center" vertical="center"/>
    </xf>
    <xf numFmtId="0" fontId="0" fillId="0" borderId="2" xfId="0" applyFill="1" applyBorder="1" applyAlignment="1" applyProtection="1">
      <alignment horizontal="center" vertical="center"/>
    </xf>
    <xf numFmtId="0" fontId="0" fillId="0" borderId="3" xfId="0" applyFill="1" applyBorder="1" applyAlignment="1" applyProtection="1">
      <alignment horizontal="center" vertical="center" wrapText="1"/>
    </xf>
    <xf numFmtId="0" fontId="0" fillId="0" borderId="1" xfId="0" applyFill="1" applyBorder="1" applyAlignment="1" applyProtection="1">
      <alignment horizontal="center" vertical="center" wrapText="1"/>
    </xf>
    <xf numFmtId="0" fontId="5" fillId="0" borderId="71" xfId="0" applyFont="1" applyBorder="1" applyAlignment="1">
      <alignment horizontal="center" vertical="center" wrapText="1"/>
    </xf>
    <xf numFmtId="0" fontId="5" fillId="0" borderId="95" xfId="0" applyFont="1" applyBorder="1" applyAlignment="1">
      <alignment horizontal="center" vertical="center" wrapText="1"/>
    </xf>
    <xf numFmtId="0" fontId="5" fillId="0" borderId="85" xfId="0" applyFont="1" applyBorder="1" applyAlignment="1">
      <alignment horizontal="center" vertical="center" wrapText="1"/>
    </xf>
    <xf numFmtId="0" fontId="5" fillId="0" borderId="6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78" xfId="0" applyFont="1" applyBorder="1" applyAlignment="1">
      <alignment horizontal="center" vertical="center" wrapText="1"/>
    </xf>
    <xf numFmtId="0" fontId="0" fillId="0" borderId="3" xfId="0" applyFill="1" applyBorder="1" applyAlignment="1">
      <alignment horizontal="center" vertical="center" wrapText="1"/>
    </xf>
    <xf numFmtId="0" fontId="0" fillId="0" borderId="62" xfId="0" applyFill="1" applyBorder="1" applyAlignment="1">
      <alignment horizontal="center" vertical="center" wrapText="1"/>
    </xf>
    <xf numFmtId="0" fontId="0" fillId="0" borderId="9" xfId="0" applyFill="1" applyBorder="1" applyAlignment="1">
      <alignment horizontal="center" vertical="center" wrapText="1"/>
    </xf>
    <xf numFmtId="0" fontId="0" fillId="0" borderId="61" xfId="0" applyFill="1" applyBorder="1" applyAlignment="1">
      <alignment horizontal="center" vertical="center" wrapText="1"/>
    </xf>
    <xf numFmtId="0" fontId="5" fillId="0" borderId="2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94" xfId="0" applyFont="1" applyBorder="1" applyAlignment="1">
      <alignment horizontal="center" vertical="center" wrapText="1"/>
    </xf>
    <xf numFmtId="0" fontId="5" fillId="0" borderId="65" xfId="0" applyFont="1" applyBorder="1" applyAlignment="1">
      <alignment horizontal="center" vertical="center" wrapText="1"/>
    </xf>
    <xf numFmtId="0" fontId="5" fillId="0" borderId="0" xfId="0" applyFont="1" applyBorder="1" applyAlignment="1">
      <alignment horizontal="center" vertical="center" wrapText="1"/>
    </xf>
    <xf numFmtId="0" fontId="5" fillId="0" borderId="59" xfId="0" applyFont="1" applyBorder="1" applyAlignment="1">
      <alignment horizontal="center" vertical="center" wrapText="1"/>
    </xf>
    <xf numFmtId="0" fontId="0" fillId="16" borderId="42" xfId="0" applyFill="1" applyBorder="1" applyAlignment="1">
      <alignment horizontal="center" vertical="center" wrapText="1"/>
    </xf>
    <xf numFmtId="0" fontId="0" fillId="16" borderId="95" xfId="0" applyFill="1" applyBorder="1" applyAlignment="1">
      <alignment horizontal="center" vertical="center" wrapText="1"/>
    </xf>
    <xf numFmtId="0" fontId="0" fillId="16" borderId="85" xfId="0" applyFill="1" applyBorder="1" applyAlignment="1">
      <alignment horizontal="center" vertical="center" wrapText="1"/>
    </xf>
    <xf numFmtId="0" fontId="0" fillId="0" borderId="42" xfId="0" applyFill="1" applyBorder="1" applyAlignment="1">
      <alignment horizontal="center" vertical="center" wrapText="1"/>
    </xf>
    <xf numFmtId="0" fontId="0" fillId="0" borderId="85" xfId="0" applyFill="1" applyBorder="1" applyAlignment="1">
      <alignment horizontal="center" vertical="center" wrapText="1"/>
    </xf>
    <xf numFmtId="0" fontId="0" fillId="0" borderId="41"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78" xfId="0" applyFill="1" applyBorder="1" applyAlignment="1">
      <alignment horizontal="center" vertical="center" wrapText="1"/>
    </xf>
    <xf numFmtId="0" fontId="0" fillId="0" borderId="41" xfId="0" applyBorder="1" applyAlignment="1">
      <alignment horizontal="center" vertical="center" wrapText="1"/>
    </xf>
    <xf numFmtId="0" fontId="0" fillId="0" borderId="10" xfId="0" applyBorder="1" applyAlignment="1">
      <alignment horizontal="center" vertical="center" wrapText="1"/>
    </xf>
    <xf numFmtId="0" fontId="0" fillId="0" borderId="78" xfId="0" applyBorder="1" applyAlignment="1">
      <alignment horizontal="center" vertical="center" wrapText="1"/>
    </xf>
    <xf numFmtId="0" fontId="0" fillId="0" borderId="62" xfId="0" applyBorder="1" applyAlignment="1">
      <alignment horizontal="center" vertical="center" wrapText="1"/>
    </xf>
    <xf numFmtId="0" fontId="0" fillId="0" borderId="61" xfId="0" applyBorder="1" applyAlignment="1">
      <alignment horizontal="center" vertical="center" wrapText="1"/>
    </xf>
    <xf numFmtId="0" fontId="77" fillId="0" borderId="94" xfId="0" applyFont="1" applyBorder="1" applyAlignment="1">
      <alignment horizontal="center" vertical="center" wrapText="1"/>
    </xf>
    <xf numFmtId="0" fontId="77" fillId="0" borderId="59" xfId="0" applyFont="1" applyBorder="1" applyAlignment="1">
      <alignment horizontal="center" vertical="center" wrapText="1"/>
    </xf>
    <xf numFmtId="0" fontId="77" fillId="0" borderId="86" xfId="0" applyFont="1" applyBorder="1" applyAlignment="1">
      <alignment horizontal="center" vertical="center" wrapText="1"/>
    </xf>
    <xf numFmtId="0" fontId="77" fillId="0" borderId="96" xfId="0" applyFont="1" applyBorder="1" applyAlignment="1">
      <alignment horizontal="center" vertical="center" wrapText="1"/>
    </xf>
    <xf numFmtId="0" fontId="77" fillId="0" borderId="58" xfId="0" applyFont="1" applyBorder="1" applyAlignment="1">
      <alignment horizontal="center" vertical="center" wrapText="1"/>
    </xf>
    <xf numFmtId="0" fontId="77" fillId="0" borderId="99" xfId="0" applyFont="1" applyBorder="1" applyAlignment="1">
      <alignment horizontal="center" vertical="center" wrapText="1"/>
    </xf>
    <xf numFmtId="0" fontId="78" fillId="0" borderId="41" xfId="0" applyFont="1" applyFill="1" applyBorder="1" applyAlignment="1" applyProtection="1">
      <alignment horizontal="center" vertical="center" wrapText="1"/>
    </xf>
    <xf numFmtId="0" fontId="78" fillId="0" borderId="10" xfId="0" applyFont="1" applyFill="1" applyBorder="1" applyAlignment="1" applyProtection="1">
      <alignment horizontal="center" vertical="center" wrapText="1"/>
    </xf>
    <xf numFmtId="0" fontId="78" fillId="0" borderId="78" xfId="0" applyFont="1" applyFill="1" applyBorder="1" applyAlignment="1" applyProtection="1">
      <alignment horizontal="center" vertical="center" wrapText="1"/>
    </xf>
    <xf numFmtId="0" fontId="78" fillId="0" borderId="55" xfId="0" applyFont="1" applyFill="1" applyBorder="1" applyAlignment="1" applyProtection="1">
      <alignment horizontal="center" vertical="center" wrapText="1"/>
    </xf>
    <xf numFmtId="0" fontId="78" fillId="0" borderId="8" xfId="0" applyFont="1" applyFill="1" applyBorder="1" applyAlignment="1" applyProtection="1">
      <alignment horizontal="center" vertical="center" wrapText="1"/>
    </xf>
    <xf numFmtId="0" fontId="78" fillId="0" borderId="82" xfId="0" applyFont="1" applyFill="1" applyBorder="1" applyAlignment="1" applyProtection="1">
      <alignment horizontal="center" vertical="center" wrapText="1"/>
    </xf>
    <xf numFmtId="0" fontId="77" fillId="0" borderId="10" xfId="0" applyFont="1" applyFill="1" applyBorder="1"/>
    <xf numFmtId="0" fontId="77" fillId="0" borderId="78" xfId="0" applyFont="1" applyFill="1" applyBorder="1"/>
    <xf numFmtId="0" fontId="77" fillId="0" borderId="8" xfId="0" applyFont="1" applyFill="1" applyBorder="1"/>
    <xf numFmtId="0" fontId="77" fillId="0" borderId="82" xfId="0" applyFont="1" applyFill="1" applyBorder="1"/>
    <xf numFmtId="0" fontId="76" fillId="0" borderId="22" xfId="0"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wrapText="1"/>
    </xf>
    <xf numFmtId="0" fontId="76" fillId="0" borderId="94" xfId="0" applyFont="1" applyFill="1" applyBorder="1" applyAlignment="1" applyProtection="1">
      <alignment horizontal="center" vertical="center" wrapText="1"/>
    </xf>
    <xf numFmtId="0" fontId="76" fillId="0" borderId="65" xfId="0" applyFont="1" applyFill="1" applyBorder="1" applyAlignment="1" applyProtection="1">
      <alignment horizontal="center" vertical="center" wrapText="1"/>
    </xf>
    <xf numFmtId="0" fontId="76" fillId="0" borderId="0" xfId="0" applyFont="1" applyFill="1" applyBorder="1" applyAlignment="1" applyProtection="1">
      <alignment horizontal="center" vertical="center" wrapText="1"/>
    </xf>
    <xf numFmtId="0" fontId="76" fillId="0" borderId="59" xfId="0" applyFont="1" applyFill="1" applyBorder="1" applyAlignment="1" applyProtection="1">
      <alignment horizontal="center" vertical="center" wrapText="1"/>
    </xf>
    <xf numFmtId="0" fontId="76" fillId="0" borderId="90" xfId="0" applyFont="1" applyFill="1" applyBorder="1" applyAlignment="1" applyProtection="1">
      <alignment horizontal="center" vertical="center" wrapText="1"/>
    </xf>
    <xf numFmtId="0" fontId="76" fillId="0" borderId="7" xfId="0" applyFont="1" applyFill="1" applyBorder="1" applyAlignment="1" applyProtection="1">
      <alignment horizontal="center" vertical="center" wrapText="1"/>
    </xf>
    <xf numFmtId="0" fontId="76" fillId="0" borderId="86" xfId="0" applyFont="1" applyFill="1" applyBorder="1" applyAlignment="1" applyProtection="1">
      <alignment horizontal="center" vertical="center" wrapText="1"/>
    </xf>
    <xf numFmtId="0" fontId="78" fillId="0" borderId="99" xfId="0" applyFont="1" applyFill="1" applyBorder="1" applyAlignment="1" applyProtection="1">
      <alignment horizontal="center" vertical="center" wrapText="1"/>
    </xf>
    <xf numFmtId="0" fontId="78" fillId="0" borderId="7" xfId="0" applyFont="1" applyFill="1" applyBorder="1" applyAlignment="1" applyProtection="1">
      <alignment horizontal="center" vertical="center" wrapText="1"/>
    </xf>
    <xf numFmtId="0" fontId="78" fillId="0" borderId="86" xfId="0" applyFont="1" applyFill="1" applyBorder="1" applyAlignment="1" applyProtection="1">
      <alignment horizontal="center" vertical="center" wrapText="1"/>
    </xf>
    <xf numFmtId="0" fontId="77" fillId="0" borderId="13" xfId="0" applyFont="1" applyBorder="1" applyAlignment="1">
      <alignment horizontal="center" vertical="center" wrapText="1"/>
    </xf>
    <xf numFmtId="0" fontId="77" fillId="0" borderId="0" xfId="0" applyFont="1" applyBorder="1" applyAlignment="1">
      <alignment horizontal="center" vertical="center" wrapText="1"/>
    </xf>
    <xf numFmtId="0" fontId="77" fillId="0" borderId="7" xfId="0" applyFont="1" applyBorder="1" applyAlignment="1">
      <alignment horizontal="center" vertical="center" wrapText="1"/>
    </xf>
    <xf numFmtId="0" fontId="14" fillId="8" borderId="41" xfId="0" applyFont="1" applyFill="1" applyBorder="1" applyAlignment="1">
      <alignment horizontal="center" vertical="center" wrapText="1"/>
    </xf>
    <xf numFmtId="0" fontId="14" fillId="8" borderId="78" xfId="0" applyFont="1" applyFill="1" applyBorder="1" applyAlignment="1">
      <alignment horizontal="center" vertical="center" wrapText="1"/>
    </xf>
    <xf numFmtId="0" fontId="0" fillId="0" borderId="41"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14" fillId="0" borderId="55" xfId="0" applyFont="1" applyFill="1" applyBorder="1" applyAlignment="1">
      <alignment horizontal="center" vertical="center" wrapText="1"/>
    </xf>
    <xf numFmtId="0" fontId="14" fillId="0" borderId="82"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78" xfId="0" applyFont="1" applyFill="1" applyBorder="1" applyAlignment="1">
      <alignment horizontal="center" vertical="center" wrapText="1"/>
    </xf>
    <xf numFmtId="0" fontId="14" fillId="0" borderId="41" xfId="0" applyFont="1" applyFill="1" applyBorder="1" applyAlignment="1">
      <alignment horizontal="center" vertical="center" wrapText="1"/>
    </xf>
    <xf numFmtId="0" fontId="14" fillId="8" borderId="10" xfId="0" applyFont="1" applyFill="1" applyBorder="1" applyAlignment="1">
      <alignment horizontal="center" vertical="center" wrapText="1"/>
    </xf>
    <xf numFmtId="0" fontId="0" fillId="0" borderId="58" xfId="0" applyFill="1" applyBorder="1" applyAlignment="1">
      <alignment horizontal="center" vertical="center" wrapText="1"/>
    </xf>
    <xf numFmtId="0" fontId="0" fillId="0" borderId="59" xfId="0" applyFill="1" applyBorder="1" applyAlignment="1">
      <alignment horizontal="center" vertical="center" wrapText="1"/>
    </xf>
    <xf numFmtId="0" fontId="0" fillId="0" borderId="55" xfId="0" applyFill="1" applyBorder="1" applyAlignment="1">
      <alignment horizontal="center" vertical="center" wrapText="1"/>
    </xf>
    <xf numFmtId="0" fontId="0" fillId="0" borderId="8" xfId="0" applyFill="1" applyBorder="1" applyAlignment="1">
      <alignment horizontal="center" vertical="center" wrapText="1"/>
    </xf>
    <xf numFmtId="0" fontId="0" fillId="0" borderId="82" xfId="0"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62" xfId="0" applyFont="1" applyFill="1" applyBorder="1" applyAlignment="1">
      <alignment horizontal="center" vertical="center" wrapText="1"/>
    </xf>
    <xf numFmtId="0" fontId="14" fillId="0" borderId="61" xfId="0" applyFont="1" applyFill="1" applyBorder="1" applyAlignment="1">
      <alignment horizontal="center" vertical="center" wrapText="1"/>
    </xf>
    <xf numFmtId="0" fontId="14" fillId="0" borderId="41"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78" xfId="0" applyFont="1" applyBorder="1" applyAlignment="1">
      <alignment horizontal="center" vertical="center" wrapText="1"/>
    </xf>
    <xf numFmtId="0" fontId="0" fillId="0" borderId="55" xfId="0" applyBorder="1" applyAlignment="1">
      <alignment horizontal="center" vertical="center" wrapText="1"/>
    </xf>
    <xf numFmtId="0" fontId="0" fillId="0" borderId="82" xfId="0" applyBorder="1" applyAlignment="1">
      <alignment horizontal="center" vertical="center" wrapText="1"/>
    </xf>
    <xf numFmtId="0" fontId="71" fillId="0" borderId="41" xfId="0" applyFont="1" applyBorder="1" applyAlignment="1">
      <alignment horizontal="center" vertical="center" wrapText="1"/>
    </xf>
    <xf numFmtId="0" fontId="71" fillId="0" borderId="78" xfId="0" applyFont="1" applyBorder="1" applyAlignment="1">
      <alignment horizontal="center" vertical="center" wrapText="1"/>
    </xf>
    <xf numFmtId="0" fontId="71" fillId="0" borderId="10" xfId="0" applyFont="1" applyBorder="1" applyAlignment="1">
      <alignment horizontal="center" vertical="center" wrapText="1"/>
    </xf>
    <xf numFmtId="0" fontId="71" fillId="0" borderId="41" xfId="0" applyFont="1" applyFill="1" applyBorder="1" applyAlignment="1">
      <alignment horizontal="center" vertical="center" wrapText="1"/>
    </xf>
    <xf numFmtId="0" fontId="71" fillId="0" borderId="10" xfId="0" applyFont="1" applyFill="1" applyBorder="1" applyAlignment="1">
      <alignment horizontal="center" vertical="center" wrapText="1"/>
    </xf>
    <xf numFmtId="0" fontId="71" fillId="0" borderId="78"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8" xfId="0" applyBorder="1" applyAlignment="1">
      <alignment horizontal="center" vertical="center" wrapText="1"/>
    </xf>
    <xf numFmtId="0" fontId="0" fillId="0" borderId="41" xfId="0" applyFill="1" applyBorder="1" applyAlignment="1">
      <alignment horizontal="left" vertical="center" wrapText="1"/>
    </xf>
    <xf numFmtId="0" fontId="0" fillId="0" borderId="10" xfId="0" applyFill="1" applyBorder="1" applyAlignment="1">
      <alignment horizontal="left" vertical="center" wrapText="1"/>
    </xf>
    <xf numFmtId="0" fontId="0" fillId="0" borderId="78" xfId="0" applyFill="1" applyBorder="1" applyAlignment="1">
      <alignment horizontal="left" vertical="center" wrapText="1"/>
    </xf>
    <xf numFmtId="0" fontId="1" fillId="0" borderId="82" xfId="0" applyFont="1" applyFill="1" applyBorder="1" applyAlignment="1">
      <alignment horizontal="center" vertical="center" wrapText="1"/>
    </xf>
    <xf numFmtId="0" fontId="1" fillId="0" borderId="62" xfId="0" applyFont="1" applyFill="1" applyBorder="1" applyAlignment="1">
      <alignment horizontal="center" vertical="center" wrapText="1"/>
    </xf>
    <xf numFmtId="0" fontId="1" fillId="0" borderId="61" xfId="0" applyFont="1" applyFill="1"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0" fillId="0" borderId="42" xfId="0" applyBorder="1" applyAlignment="1">
      <alignment horizontal="center" vertical="center" wrapText="1"/>
    </xf>
    <xf numFmtId="0" fontId="0" fillId="0" borderId="95" xfId="0" applyBorder="1" applyAlignment="1">
      <alignment horizontal="center" vertical="center" wrapText="1"/>
    </xf>
    <xf numFmtId="0" fontId="0" fillId="0" borderId="85" xfId="0" applyBorder="1" applyAlignment="1">
      <alignment horizontal="center" vertical="center" wrapText="1"/>
    </xf>
    <xf numFmtId="0" fontId="28" fillId="0" borderId="7" xfId="0" applyFont="1" applyBorder="1" applyAlignment="1">
      <alignment horizontal="center" vertical="center" wrapText="1"/>
    </xf>
    <xf numFmtId="0" fontId="0" fillId="0" borderId="77" xfId="0" applyBorder="1" applyAlignment="1">
      <alignment horizontal="center" vertical="center" wrapText="1"/>
    </xf>
    <xf numFmtId="0" fontId="0" fillId="0" borderId="39" xfId="0" applyBorder="1" applyAlignment="1">
      <alignment horizontal="center" vertical="center" wrapText="1"/>
    </xf>
    <xf numFmtId="0" fontId="0" fillId="0" borderId="64" xfId="0" applyBorder="1" applyAlignment="1">
      <alignment horizontal="center" vertical="center" wrapText="1"/>
    </xf>
    <xf numFmtId="0" fontId="78" fillId="0" borderId="42" xfId="0" applyFont="1" applyFill="1" applyBorder="1" applyAlignment="1" applyProtection="1">
      <alignment horizontal="center" vertical="center" wrapText="1"/>
    </xf>
    <xf numFmtId="0" fontId="78" fillId="0" borderId="95" xfId="0" applyFont="1" applyFill="1" applyBorder="1" applyAlignment="1" applyProtection="1">
      <alignment horizontal="center" vertical="center" wrapText="1"/>
    </xf>
    <xf numFmtId="0" fontId="78" fillId="0" borderId="85" xfId="0" applyFont="1" applyFill="1" applyBorder="1" applyAlignment="1" applyProtection="1">
      <alignment horizontal="center" vertical="center" wrapText="1"/>
    </xf>
    <xf numFmtId="0" fontId="5" fillId="3" borderId="42" xfId="0" applyFont="1" applyFill="1" applyBorder="1" applyAlignment="1">
      <alignment horizontal="center" vertical="center" wrapText="1"/>
    </xf>
    <xf numFmtId="0" fontId="5" fillId="3" borderId="95" xfId="0" applyFont="1" applyFill="1" applyBorder="1" applyAlignment="1">
      <alignment horizontal="center" vertical="center" wrapText="1"/>
    </xf>
    <xf numFmtId="0" fontId="5" fillId="3" borderId="85" xfId="0" applyFont="1" applyFill="1" applyBorder="1" applyAlignment="1">
      <alignment horizontal="center" vertical="center" wrapText="1"/>
    </xf>
    <xf numFmtId="0" fontId="0" fillId="0" borderId="72" xfId="0" applyFill="1" applyBorder="1" applyAlignment="1">
      <alignment horizontal="center" vertical="center" wrapText="1"/>
    </xf>
    <xf numFmtId="0" fontId="0" fillId="0" borderId="98" xfId="0" applyFill="1" applyBorder="1" applyAlignment="1">
      <alignment horizontal="center" vertical="center" wrapText="1"/>
    </xf>
    <xf numFmtId="0" fontId="0" fillId="0" borderId="81" xfId="0" applyFill="1" applyBorder="1" applyAlignment="1">
      <alignment horizontal="center" vertical="center" wrapText="1"/>
    </xf>
    <xf numFmtId="0" fontId="78" fillId="0" borderId="62" xfId="0" applyFont="1" applyFill="1" applyBorder="1" applyAlignment="1" applyProtection="1">
      <alignment horizontal="center" vertical="center" wrapText="1"/>
    </xf>
    <xf numFmtId="0" fontId="77" fillId="0" borderId="9" xfId="0" applyFont="1" applyFill="1" applyBorder="1"/>
    <xf numFmtId="0" fontId="77" fillId="0" borderId="61" xfId="0" applyFont="1" applyFill="1" applyBorder="1"/>
    <xf numFmtId="0" fontId="5" fillId="0" borderId="87"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82" xfId="0" applyFont="1" applyFill="1" applyBorder="1" applyAlignment="1">
      <alignment horizontal="center" vertical="center" wrapText="1"/>
    </xf>
    <xf numFmtId="0" fontId="5" fillId="0" borderId="65"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59" xfId="0" applyFont="1" applyFill="1" applyBorder="1" applyAlignment="1">
      <alignment horizontal="center" vertical="center" wrapText="1"/>
    </xf>
    <xf numFmtId="0" fontId="5" fillId="0" borderId="90"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86" xfId="0" applyFont="1" applyFill="1" applyBorder="1" applyAlignment="1">
      <alignment horizontal="center" vertical="center" wrapText="1"/>
    </xf>
    <xf numFmtId="0" fontId="0" fillId="0" borderId="99" xfId="0" applyFill="1" applyBorder="1" applyAlignment="1">
      <alignment horizontal="center" vertical="center" wrapText="1"/>
    </xf>
    <xf numFmtId="0" fontId="0" fillId="0" borderId="7" xfId="0" applyFill="1" applyBorder="1" applyAlignment="1">
      <alignment horizontal="center" vertical="center" wrapText="1"/>
    </xf>
    <xf numFmtId="0" fontId="0" fillId="0" borderId="86" xfId="0" applyFill="1" applyBorder="1" applyAlignment="1">
      <alignment horizontal="center" vertical="center" wrapText="1"/>
    </xf>
    <xf numFmtId="0" fontId="5" fillId="3" borderId="7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5" fillId="3" borderId="42" xfId="0" applyFont="1" applyFill="1" applyBorder="1" applyAlignment="1">
      <alignment horizontal="center" vertical="center"/>
    </xf>
    <xf numFmtId="0" fontId="5" fillId="3" borderId="85" xfId="0" applyFont="1" applyFill="1" applyBorder="1" applyAlignment="1">
      <alignment horizontal="center" vertical="center"/>
    </xf>
    <xf numFmtId="0" fontId="5" fillId="0" borderId="1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 xfId="0" applyFont="1" applyBorder="1" applyAlignment="1">
      <alignment horizontal="center" vertical="center" wrapText="1"/>
    </xf>
    <xf numFmtId="0" fontId="0" fillId="16" borderId="77"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64" xfId="0" applyFill="1" applyBorder="1" applyAlignment="1">
      <alignment horizontal="center" vertical="center" wrapText="1"/>
    </xf>
    <xf numFmtId="0" fontId="5" fillId="0" borderId="97" xfId="0" applyFont="1" applyFill="1" applyBorder="1" applyAlignment="1">
      <alignment horizontal="center" vertical="center" wrapText="1"/>
    </xf>
    <xf numFmtId="0" fontId="5" fillId="0" borderId="39" xfId="0" applyFont="1" applyFill="1" applyBorder="1" applyAlignment="1">
      <alignment horizontal="center" vertical="center" wrapText="1"/>
    </xf>
    <xf numFmtId="0" fontId="5" fillId="0" borderId="64" xfId="0" applyFont="1" applyFill="1" applyBorder="1" applyAlignment="1">
      <alignment horizontal="center" vertical="center" wrapText="1"/>
    </xf>
    <xf numFmtId="171" fontId="16" fillId="3" borderId="45" xfId="0" applyNumberFormat="1" applyFont="1" applyFill="1" applyBorder="1" applyAlignment="1">
      <alignment horizontal="center" vertical="center" wrapText="1"/>
    </xf>
    <xf numFmtId="171" fontId="16" fillId="3" borderId="43" xfId="0" applyNumberFormat="1" applyFont="1" applyFill="1" applyBorder="1" applyAlignment="1">
      <alignment horizontal="center" vertical="center" wrapText="1"/>
    </xf>
    <xf numFmtId="0" fontId="0" fillId="8" borderId="41" xfId="0" applyFont="1" applyFill="1" applyBorder="1" applyAlignment="1">
      <alignment horizontal="center" vertical="center" wrapText="1"/>
    </xf>
    <xf numFmtId="0" fontId="0" fillId="16" borderId="62" xfId="0" applyFill="1" applyBorder="1" applyAlignment="1">
      <alignment horizontal="center" vertical="center" wrapText="1"/>
    </xf>
    <xf numFmtId="0" fontId="0" fillId="16" borderId="9" xfId="0" applyFill="1" applyBorder="1" applyAlignment="1">
      <alignment horizontal="center" vertical="center" wrapText="1"/>
    </xf>
    <xf numFmtId="0" fontId="0" fillId="16" borderId="61" xfId="0" applyFill="1" applyBorder="1" applyAlignment="1">
      <alignment horizontal="center" vertical="center" wrapText="1"/>
    </xf>
    <xf numFmtId="0" fontId="0" fillId="0" borderId="22" xfId="0" applyFill="1" applyBorder="1" applyAlignment="1" applyProtection="1">
      <alignment horizontal="center" vertical="center" wrapText="1"/>
    </xf>
    <xf numFmtId="0" fontId="0" fillId="0" borderId="13" xfId="0" applyFill="1" applyBorder="1" applyAlignment="1" applyProtection="1">
      <alignment horizontal="center" vertical="center" wrapText="1"/>
    </xf>
    <xf numFmtId="0" fontId="0" fillId="0" borderId="94" xfId="0" applyFill="1" applyBorder="1" applyAlignment="1" applyProtection="1">
      <alignment horizontal="center" vertical="center" wrapText="1"/>
    </xf>
    <xf numFmtId="0" fontId="0" fillId="0" borderId="65" xfId="0" applyFill="1" applyBorder="1" applyAlignment="1" applyProtection="1">
      <alignment horizontal="center" vertical="center" wrapText="1"/>
    </xf>
    <xf numFmtId="0" fontId="0" fillId="0" borderId="0" xfId="0" applyFill="1" applyBorder="1" applyAlignment="1" applyProtection="1">
      <alignment horizontal="center" vertical="center" wrapText="1"/>
    </xf>
    <xf numFmtId="0" fontId="0" fillId="0" borderId="59" xfId="0" applyFill="1" applyBorder="1" applyAlignment="1" applyProtection="1">
      <alignment horizontal="center" vertical="center" wrapText="1"/>
    </xf>
    <xf numFmtId="0" fontId="0" fillId="0" borderId="90" xfId="0"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86" xfId="0" applyFill="1" applyBorder="1" applyAlignment="1" applyProtection="1">
      <alignment horizontal="center" vertical="center" wrapText="1"/>
    </xf>
    <xf numFmtId="0" fontId="37" fillId="0" borderId="1" xfId="0" applyFont="1" applyFill="1" applyBorder="1" applyAlignment="1" applyProtection="1">
      <alignment horizontal="center" vertical="center" wrapText="1"/>
    </xf>
    <xf numFmtId="0" fontId="0" fillId="0" borderId="72" xfId="0" applyFill="1" applyBorder="1" applyAlignment="1" applyProtection="1">
      <alignment horizontal="center" vertical="center" wrapText="1"/>
    </xf>
    <xf numFmtId="0" fontId="0" fillId="0" borderId="98" xfId="0" applyFill="1" applyBorder="1" applyAlignment="1" applyProtection="1">
      <alignment horizontal="center" vertical="center" wrapText="1"/>
    </xf>
    <xf numFmtId="0" fontId="0" fillId="0" borderId="81" xfId="0" applyFill="1" applyBorder="1" applyAlignment="1" applyProtection="1">
      <alignment horizontal="center" vertical="center" wrapText="1"/>
    </xf>
    <xf numFmtId="0" fontId="0" fillId="0" borderId="42" xfId="0" applyFill="1" applyBorder="1" applyAlignment="1" applyProtection="1">
      <alignment horizontal="center" vertical="center" wrapText="1"/>
    </xf>
    <xf numFmtId="0" fontId="0" fillId="0" borderId="95" xfId="0" applyFill="1" applyBorder="1" applyAlignment="1" applyProtection="1">
      <alignment horizontal="center" vertical="center" wrapText="1"/>
    </xf>
    <xf numFmtId="0" fontId="0" fillId="0" borderId="85" xfId="0" applyFill="1" applyBorder="1" applyAlignment="1" applyProtection="1">
      <alignment horizontal="center" vertical="center" wrapText="1"/>
    </xf>
    <xf numFmtId="0" fontId="0" fillId="0" borderId="42" xfId="0" applyFont="1" applyFill="1" applyBorder="1" applyAlignment="1" applyProtection="1">
      <alignment horizontal="center" vertical="center" wrapText="1"/>
    </xf>
    <xf numFmtId="0" fontId="0" fillId="0" borderId="95" xfId="0" applyFont="1" applyFill="1" applyBorder="1" applyAlignment="1" applyProtection="1">
      <alignment horizontal="center" vertical="center" wrapText="1"/>
    </xf>
    <xf numFmtId="0" fontId="0" fillId="0" borderId="85" xfId="0" applyFont="1" applyFill="1" applyBorder="1" applyAlignment="1" applyProtection="1">
      <alignment horizontal="center" vertical="center" wrapText="1"/>
    </xf>
    <xf numFmtId="0" fontId="0" fillId="0" borderId="55" xfId="0" applyFont="1" applyFill="1" applyBorder="1" applyAlignment="1" applyProtection="1">
      <alignment horizontal="center" vertical="center" wrapText="1"/>
    </xf>
    <xf numFmtId="0" fontId="0" fillId="0" borderId="8" xfId="0" applyFont="1" applyFill="1" applyBorder="1" applyAlignment="1" applyProtection="1">
      <alignment horizontal="center" vertical="center" wrapText="1"/>
    </xf>
    <xf numFmtId="0" fontId="0" fillId="0" borderId="62" xfId="0" applyFont="1" applyFill="1" applyBorder="1" applyAlignment="1" applyProtection="1">
      <alignment horizontal="center" vertical="center" wrapText="1"/>
    </xf>
    <xf numFmtId="0" fontId="0" fillId="0" borderId="9" xfId="0" applyFont="1" applyFill="1" applyBorder="1" applyAlignment="1" applyProtection="1">
      <alignment horizontal="center" vertical="center" wrapText="1"/>
    </xf>
    <xf numFmtId="0" fontId="0" fillId="0" borderId="58" xfId="0" applyFont="1" applyFill="1" applyBorder="1" applyAlignment="1" applyProtection="1">
      <alignment horizontal="center" vertical="center" wrapText="1"/>
    </xf>
    <xf numFmtId="0" fontId="0" fillId="0" borderId="0" xfId="0" applyFont="1" applyFill="1" applyBorder="1" applyAlignment="1" applyProtection="1">
      <alignment horizontal="center" vertical="center" wrapText="1"/>
    </xf>
    <xf numFmtId="0" fontId="0" fillId="0" borderId="59" xfId="0" applyFont="1" applyFill="1" applyBorder="1" applyAlignment="1" applyProtection="1">
      <alignment horizontal="center" vertical="center" wrapText="1"/>
    </xf>
    <xf numFmtId="0" fontId="0" fillId="0" borderId="11" xfId="0" applyBorder="1" applyAlignment="1">
      <alignment horizontal="center" vertical="center" wrapText="1"/>
    </xf>
    <xf numFmtId="0" fontId="0" fillId="0" borderId="16" xfId="0" applyBorder="1" applyAlignment="1">
      <alignment horizontal="center" vertical="center" wrapText="1"/>
    </xf>
    <xf numFmtId="0" fontId="5" fillId="0" borderId="1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0" fillId="0" borderId="54" xfId="0" applyBorder="1" applyAlignment="1">
      <alignment horizontal="center" vertical="center" wrapText="1"/>
    </xf>
    <xf numFmtId="0" fontId="0" fillId="0" borderId="45" xfId="0" applyBorder="1" applyAlignment="1">
      <alignment horizontal="center" vertical="center" wrapText="1"/>
    </xf>
    <xf numFmtId="0" fontId="5" fillId="0" borderId="11"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54" xfId="0" applyFont="1" applyFill="1" applyBorder="1" applyAlignment="1">
      <alignment horizontal="center" vertical="center"/>
    </xf>
    <xf numFmtId="0" fontId="5" fillId="0" borderId="45" xfId="0" applyFont="1" applyFill="1" applyBorder="1" applyAlignment="1">
      <alignment horizontal="center" vertical="center"/>
    </xf>
    <xf numFmtId="0" fontId="5" fillId="0" borderId="16"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15" xfId="0" applyFont="1" applyBorder="1" applyAlignment="1">
      <alignment horizontal="center" vertical="center"/>
    </xf>
    <xf numFmtId="0" fontId="5" fillId="0" borderId="3" xfId="0" applyFont="1" applyBorder="1" applyAlignment="1">
      <alignment horizontal="center" vertical="center"/>
    </xf>
    <xf numFmtId="0" fontId="5" fillId="0" borderId="15" xfId="0" applyFont="1" applyFill="1" applyBorder="1" applyAlignment="1">
      <alignment horizontal="center" vertical="center" wrapText="1"/>
    </xf>
    <xf numFmtId="0" fontId="5" fillId="0" borderId="11" xfId="0" applyFont="1" applyBorder="1" applyAlignment="1">
      <alignment horizontal="center" vertical="center"/>
    </xf>
    <xf numFmtId="0" fontId="5" fillId="0" borderId="1" xfId="0" applyFont="1" applyBorder="1" applyAlignment="1">
      <alignment horizontal="center" vertical="center"/>
    </xf>
    <xf numFmtId="0" fontId="5" fillId="0" borderId="16" xfId="0" applyFont="1" applyBorder="1" applyAlignment="1">
      <alignment horizontal="center" vertical="center"/>
    </xf>
    <xf numFmtId="0" fontId="5" fillId="0" borderId="2" xfId="0" applyFont="1" applyBorder="1" applyAlignment="1">
      <alignment horizontal="center" vertical="center"/>
    </xf>
    <xf numFmtId="0" fontId="5" fillId="0" borderId="13"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7" xfId="0" applyFont="1" applyFill="1" applyBorder="1" applyAlignment="1">
      <alignment horizontal="center" vertical="center"/>
    </xf>
    <xf numFmtId="171" fontId="28" fillId="0" borderId="0" xfId="0" applyNumberFormat="1" applyFont="1" applyBorder="1" applyAlignment="1">
      <alignment horizontal="center" vertical="center" wrapText="1"/>
    </xf>
    <xf numFmtId="0" fontId="33" fillId="3" borderId="15"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5" fillId="0" borderId="15"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9" xfId="0" applyFont="1" applyFill="1" applyBorder="1" applyAlignment="1">
      <alignment horizontal="center" vertical="center"/>
    </xf>
    <xf numFmtId="0" fontId="5" fillId="0" borderId="48" xfId="0" applyFont="1" applyFill="1" applyBorder="1" applyAlignment="1">
      <alignment horizontal="center" vertical="center"/>
    </xf>
    <xf numFmtId="0" fontId="1" fillId="0" borderId="3" xfId="0" applyFont="1" applyFill="1" applyBorder="1" applyAlignment="1">
      <alignment horizontal="left" vertical="center" wrapText="1"/>
    </xf>
    <xf numFmtId="0" fontId="0" fillId="0" borderId="1" xfId="0" applyBorder="1" applyAlignment="1">
      <alignment horizontal="left" vertical="center" wrapText="1"/>
    </xf>
    <xf numFmtId="0" fontId="1" fillId="0" borderId="63" xfId="0" applyFont="1" applyFill="1" applyBorder="1" applyAlignment="1">
      <alignment horizontal="center" vertical="center" wrapText="1"/>
    </xf>
    <xf numFmtId="0" fontId="1" fillId="0" borderId="48"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1" fillId="0" borderId="53"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0" fillId="0" borderId="2" xfId="0" applyBorder="1" applyAlignment="1">
      <alignment horizontal="left" vertical="center" wrapText="1"/>
    </xf>
    <xf numFmtId="0" fontId="92" fillId="0" borderId="0" xfId="0" applyFont="1" applyFill="1" applyAlignment="1">
      <alignment horizontal="left" vertical="center" wrapText="1"/>
    </xf>
    <xf numFmtId="0" fontId="0" fillId="0" borderId="1" xfId="0" applyFont="1" applyFill="1" applyBorder="1" applyAlignment="1">
      <alignment horizontal="center" vertical="center" wrapText="1"/>
    </xf>
    <xf numFmtId="166" fontId="0" fillId="0" borderId="45" xfId="1" applyFont="1" applyFill="1" applyBorder="1" applyAlignment="1">
      <alignment horizontal="center" vertical="center" wrapText="1"/>
    </xf>
    <xf numFmtId="166" fontId="0" fillId="0" borderId="48" xfId="1" applyFont="1" applyFill="1" applyBorder="1" applyAlignment="1">
      <alignment horizontal="center" vertical="center" wrapText="1"/>
    </xf>
    <xf numFmtId="166" fontId="1" fillId="0" borderId="48" xfId="1" applyFont="1" applyFill="1" applyBorder="1" applyAlignment="1">
      <alignment horizontal="center" vertical="center" wrapText="1"/>
    </xf>
    <xf numFmtId="166" fontId="1" fillId="0" borderId="43" xfId="1"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43" xfId="0" applyFont="1" applyFill="1" applyBorder="1" applyAlignment="1">
      <alignment horizontal="center" vertical="center" wrapText="1"/>
    </xf>
    <xf numFmtId="0" fontId="0" fillId="0" borderId="87" xfId="0" applyFont="1" applyFill="1" applyBorder="1" applyAlignment="1">
      <alignment horizontal="center" vertical="center" wrapText="1"/>
    </xf>
    <xf numFmtId="0" fontId="0" fillId="0" borderId="59" xfId="0" applyFont="1" applyFill="1" applyBorder="1" applyAlignment="1">
      <alignment horizontal="center" vertical="center" wrapText="1"/>
    </xf>
    <xf numFmtId="0" fontId="0" fillId="0" borderId="60" xfId="0" applyFont="1" applyFill="1" applyBorder="1" applyAlignment="1">
      <alignment horizontal="center" vertical="center" wrapText="1"/>
    </xf>
    <xf numFmtId="0" fontId="1" fillId="0" borderId="1" xfId="0" applyFont="1" applyFill="1" applyBorder="1" applyAlignment="1" applyProtection="1">
      <alignment horizontal="center" vertical="center" wrapText="1"/>
    </xf>
    <xf numFmtId="0" fontId="0" fillId="0" borderId="3" xfId="0" applyFont="1" applyFill="1" applyBorder="1" applyAlignment="1">
      <alignment horizontal="center" vertical="center" wrapText="1"/>
    </xf>
    <xf numFmtId="0" fontId="1" fillId="0" borderId="96" xfId="0" applyFont="1" applyFill="1" applyBorder="1" applyAlignment="1">
      <alignment horizontal="center" vertical="center" wrapText="1"/>
    </xf>
    <xf numFmtId="0" fontId="1" fillId="0" borderId="94" xfId="0" applyFont="1" applyFill="1" applyBorder="1" applyAlignment="1">
      <alignment horizontal="center" vertical="center" wrapText="1"/>
    </xf>
    <xf numFmtId="0" fontId="37" fillId="16" borderId="72" xfId="0" applyFont="1" applyFill="1" applyBorder="1" applyAlignment="1" applyProtection="1">
      <alignment horizontal="center" vertical="center" wrapText="1"/>
    </xf>
    <xf numFmtId="0" fontId="37" fillId="16" borderId="81" xfId="0" applyFont="1" applyFill="1" applyBorder="1" applyAlignment="1" applyProtection="1">
      <alignment horizontal="center" vertical="center" wrapText="1"/>
    </xf>
    <xf numFmtId="0" fontId="0" fillId="16" borderId="41" xfId="0" applyFont="1" applyFill="1" applyBorder="1" applyAlignment="1" applyProtection="1">
      <alignment horizontal="center" vertical="center" wrapText="1"/>
    </xf>
    <xf numFmtId="0" fontId="0" fillId="16" borderId="78" xfId="0" applyFont="1" applyFill="1" applyBorder="1" applyAlignment="1" applyProtection="1">
      <alignment horizontal="center" vertical="center" wrapText="1"/>
    </xf>
    <xf numFmtId="0" fontId="0" fillId="16" borderId="72" xfId="0" applyFont="1" applyFill="1" applyBorder="1" applyAlignment="1" applyProtection="1">
      <alignment horizontal="center" vertical="center" wrapText="1"/>
    </xf>
    <xf numFmtId="0" fontId="0" fillId="16" borderId="81" xfId="0" applyFont="1" applyFill="1" applyBorder="1" applyAlignment="1" applyProtection="1">
      <alignment horizontal="center" vertical="center" wrapText="1"/>
    </xf>
    <xf numFmtId="0" fontId="1" fillId="0" borderId="55" xfId="0" applyFont="1" applyFill="1" applyBorder="1" applyAlignment="1">
      <alignment horizontal="center" vertical="center" wrapText="1"/>
    </xf>
    <xf numFmtId="0" fontId="1" fillId="0" borderId="99" xfId="0" applyFont="1" applyFill="1" applyBorder="1" applyAlignment="1">
      <alignment horizontal="center" vertical="center" wrapText="1"/>
    </xf>
    <xf numFmtId="0" fontId="1" fillId="0" borderId="86" xfId="0" applyFont="1" applyFill="1" applyBorder="1" applyAlignment="1">
      <alignment horizontal="center" vertical="center" wrapText="1"/>
    </xf>
    <xf numFmtId="0" fontId="37" fillId="16" borderId="41" xfId="0" applyFont="1" applyFill="1" applyBorder="1" applyAlignment="1" applyProtection="1">
      <alignment horizontal="center" vertical="center" wrapText="1"/>
    </xf>
    <xf numFmtId="0" fontId="37" fillId="16" borderId="78" xfId="0" applyFont="1" applyFill="1" applyBorder="1" applyAlignment="1" applyProtection="1">
      <alignment horizontal="center" vertical="center" wrapText="1"/>
    </xf>
    <xf numFmtId="0" fontId="0" fillId="16" borderId="1" xfId="0" applyFont="1" applyFill="1" applyBorder="1" applyAlignment="1" applyProtection="1">
      <alignment horizontal="center" vertical="center" wrapText="1"/>
    </xf>
    <xf numFmtId="0" fontId="14" fillId="16" borderId="1" xfId="0" applyFont="1" applyFill="1" applyBorder="1" applyAlignment="1" applyProtection="1">
      <alignment horizontal="center" vertical="center" wrapText="1"/>
    </xf>
    <xf numFmtId="0" fontId="0" fillId="16" borderId="3"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1" fillId="16" borderId="59" xfId="0" applyFont="1" applyFill="1" applyBorder="1" applyAlignment="1">
      <alignment horizontal="center" vertical="center"/>
    </xf>
    <xf numFmtId="0" fontId="1" fillId="16" borderId="65" xfId="0" applyFont="1" applyFill="1" applyBorder="1" applyAlignment="1">
      <alignment horizontal="center" vertical="center"/>
    </xf>
    <xf numFmtId="0" fontId="1" fillId="16" borderId="90" xfId="0" applyFont="1" applyFill="1" applyBorder="1" applyAlignment="1">
      <alignment horizontal="center" vertical="center"/>
    </xf>
    <xf numFmtId="0" fontId="1" fillId="16" borderId="86" xfId="0" applyFont="1" applyFill="1" applyBorder="1" applyAlignment="1">
      <alignment horizontal="center" vertical="center"/>
    </xf>
    <xf numFmtId="0" fontId="0" fillId="16" borderId="62" xfId="0" applyFont="1" applyFill="1" applyBorder="1" applyAlignment="1" applyProtection="1">
      <alignment horizontal="center" vertical="center" wrapText="1"/>
    </xf>
    <xf numFmtId="0" fontId="14" fillId="16" borderId="61" xfId="0" applyFont="1" applyFill="1" applyBorder="1" applyAlignment="1" applyProtection="1">
      <alignment horizontal="center" vertical="center" wrapText="1"/>
    </xf>
    <xf numFmtId="0" fontId="14" fillId="16" borderId="78" xfId="0" applyFont="1" applyFill="1" applyBorder="1" applyAlignment="1" applyProtection="1">
      <alignment horizontal="center" vertical="center" wrapText="1"/>
    </xf>
    <xf numFmtId="0" fontId="0" fillId="0" borderId="94" xfId="0" applyFont="1" applyFill="1" applyBorder="1" applyAlignment="1">
      <alignment horizontal="center" vertical="center" wrapText="1"/>
    </xf>
    <xf numFmtId="0" fontId="0" fillId="0" borderId="86" xfId="0" applyFont="1" applyFill="1" applyBorder="1" applyAlignment="1">
      <alignment horizontal="center" vertical="center" wrapText="1"/>
    </xf>
    <xf numFmtId="0" fontId="1" fillId="0" borderId="22" xfId="0" applyFont="1" applyFill="1" applyBorder="1" applyAlignment="1">
      <alignment horizontal="center" vertical="center" wrapText="1"/>
    </xf>
    <xf numFmtId="0" fontId="1" fillId="0" borderId="65" xfId="0" applyFont="1" applyFill="1" applyBorder="1" applyAlignment="1">
      <alignment horizontal="center" vertical="center" wrapText="1"/>
    </xf>
    <xf numFmtId="0" fontId="1" fillId="0" borderId="59" xfId="0" applyFont="1" applyFill="1" applyBorder="1" applyAlignment="1">
      <alignment horizontal="center" vertical="center" wrapText="1"/>
    </xf>
    <xf numFmtId="0" fontId="1" fillId="0" borderId="90" xfId="0" applyFont="1" applyFill="1" applyBorder="1" applyAlignment="1">
      <alignment horizontal="center" vertical="center" wrapText="1"/>
    </xf>
    <xf numFmtId="0" fontId="0" fillId="16" borderId="61" xfId="0" applyFont="1" applyFill="1" applyBorder="1" applyAlignment="1" applyProtection="1">
      <alignment horizontal="center" vertical="center" wrapText="1"/>
    </xf>
    <xf numFmtId="0" fontId="1" fillId="0" borderId="61" xfId="0" applyFont="1" applyFill="1" applyBorder="1" applyAlignment="1" applyProtection="1">
      <alignment horizontal="center" vertical="center" wrapText="1"/>
    </xf>
    <xf numFmtId="0" fontId="0" fillId="0" borderId="15"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88" fillId="16" borderId="41" xfId="0" applyFont="1" applyFill="1" applyBorder="1" applyAlignment="1" applyProtection="1">
      <alignment horizontal="center" vertical="center" wrapText="1"/>
    </xf>
    <xf numFmtId="0" fontId="88" fillId="16" borderId="78" xfId="0" applyFont="1" applyFill="1" applyBorder="1" applyAlignment="1" applyProtection="1">
      <alignment horizontal="center" vertical="center" wrapText="1"/>
    </xf>
    <xf numFmtId="0" fontId="1" fillId="0" borderId="77" xfId="0" applyFont="1" applyFill="1" applyBorder="1" applyAlignment="1">
      <alignment horizontal="center" vertical="center" wrapText="1"/>
    </xf>
    <xf numFmtId="0" fontId="1" fillId="0" borderId="64" xfId="0" applyFont="1" applyFill="1" applyBorder="1" applyAlignment="1">
      <alignment horizontal="center" vertical="center" wrapText="1"/>
    </xf>
    <xf numFmtId="0" fontId="1" fillId="0" borderId="41" xfId="0" applyFont="1" applyFill="1" applyBorder="1" applyAlignment="1">
      <alignment horizontal="center" vertical="center" wrapText="1"/>
    </xf>
    <xf numFmtId="0" fontId="1" fillId="0" borderId="78" xfId="0" applyFont="1" applyFill="1" applyBorder="1" applyAlignment="1">
      <alignment horizontal="center" vertical="center" wrapText="1"/>
    </xf>
    <xf numFmtId="0" fontId="15" fillId="0" borderId="7" xfId="0" applyFont="1" applyBorder="1" applyAlignment="1">
      <alignment horizontal="center" vertical="center"/>
    </xf>
    <xf numFmtId="0" fontId="26" fillId="0" borderId="3" xfId="0" applyFont="1" applyFill="1" applyBorder="1" applyAlignment="1" applyProtection="1">
      <alignment horizontal="center" vertical="center" wrapText="1"/>
    </xf>
    <xf numFmtId="0" fontId="26" fillId="0" borderId="1" xfId="0" applyFont="1" applyFill="1" applyBorder="1" applyAlignment="1" applyProtection="1">
      <alignment horizontal="center" vertical="center" wrapText="1"/>
    </xf>
    <xf numFmtId="0" fontId="0" fillId="16" borderId="41" xfId="0" applyFont="1" applyFill="1" applyBorder="1" applyAlignment="1">
      <alignment horizontal="center" vertical="center" wrapText="1"/>
    </xf>
    <xf numFmtId="0" fontId="1" fillId="16" borderId="78" xfId="0" applyFont="1" applyFill="1" applyBorder="1" applyAlignment="1">
      <alignment horizontal="center" vertical="center" wrapText="1"/>
    </xf>
    <xf numFmtId="0" fontId="0" fillId="16" borderId="22" xfId="0" applyFont="1" applyFill="1" applyBorder="1" applyAlignment="1">
      <alignment horizontal="center" vertical="center" wrapText="1"/>
    </xf>
    <xf numFmtId="0" fontId="0" fillId="16" borderId="94" xfId="0" applyFont="1" applyFill="1" applyBorder="1" applyAlignment="1">
      <alignment horizontal="center" vertical="center" wrapText="1"/>
    </xf>
    <xf numFmtId="0" fontId="0" fillId="16" borderId="59"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0" fillId="16" borderId="41" xfId="0" applyFont="1" applyFill="1" applyBorder="1" applyAlignment="1" applyProtection="1">
      <alignment horizontal="center" vertical="center"/>
    </xf>
    <xf numFmtId="0" fontId="0" fillId="16" borderId="78" xfId="0" applyFont="1" applyFill="1" applyBorder="1" applyAlignment="1" applyProtection="1">
      <alignment horizontal="center" vertical="center"/>
    </xf>
    <xf numFmtId="0" fontId="1" fillId="0" borderId="60" xfId="0" applyFont="1" applyFill="1" applyBorder="1" applyAlignment="1">
      <alignment horizontal="center" vertical="center" wrapText="1"/>
    </xf>
    <xf numFmtId="0" fontId="0" fillId="0" borderId="43" xfId="0" applyFill="1" applyBorder="1" applyAlignment="1">
      <alignment horizontal="center" vertical="center" wrapText="1"/>
    </xf>
    <xf numFmtId="0" fontId="1"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70" xfId="0" applyFont="1" applyFill="1" applyBorder="1" applyAlignment="1">
      <alignment horizontal="center" vertical="center" wrapText="1"/>
    </xf>
    <xf numFmtId="0" fontId="1" fillId="0" borderId="81" xfId="0" applyFont="1" applyFill="1" applyBorder="1" applyAlignment="1">
      <alignment horizontal="center" vertical="center" wrapText="1"/>
    </xf>
    <xf numFmtId="0" fontId="51" fillId="16" borderId="22" xfId="0" applyFont="1" applyFill="1" applyBorder="1" applyAlignment="1" applyProtection="1">
      <alignment horizontal="center" vertical="center" wrapText="1"/>
    </xf>
    <xf numFmtId="0" fontId="51" fillId="16" borderId="94" xfId="0" applyFont="1" applyFill="1" applyBorder="1" applyAlignment="1" applyProtection="1">
      <alignment horizontal="center" vertical="center" wrapText="1"/>
    </xf>
    <xf numFmtId="0" fontId="51" fillId="16" borderId="90" xfId="0" applyFont="1" applyFill="1" applyBorder="1" applyAlignment="1" applyProtection="1">
      <alignment horizontal="center" vertical="center" wrapText="1"/>
    </xf>
    <xf numFmtId="0" fontId="51" fillId="16" borderId="86" xfId="0" applyFont="1" applyFill="1" applyBorder="1" applyAlignment="1" applyProtection="1">
      <alignment horizontal="center" vertical="center" wrapText="1"/>
    </xf>
    <xf numFmtId="0" fontId="37" fillId="16" borderId="97" xfId="0" applyFont="1" applyFill="1" applyBorder="1" applyAlignment="1">
      <alignment horizontal="center" vertical="center" wrapText="1"/>
    </xf>
    <xf numFmtId="0" fontId="37" fillId="16" borderId="40" xfId="0" applyFont="1" applyFill="1" applyBorder="1" applyAlignment="1">
      <alignment horizontal="center" vertical="center" wrapText="1"/>
    </xf>
    <xf numFmtId="0" fontId="1" fillId="0" borderId="42"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0" fillId="0" borderId="13" xfId="0" applyFill="1" applyBorder="1" applyAlignment="1">
      <alignment horizontal="center" vertical="center" wrapText="1"/>
    </xf>
    <xf numFmtId="0" fontId="0" fillId="0" borderId="94" xfId="0" applyFill="1" applyBorder="1" applyAlignment="1">
      <alignment horizontal="center" vertical="center" wrapText="1"/>
    </xf>
    <xf numFmtId="0" fontId="0" fillId="0" borderId="99" xfId="0" applyBorder="1" applyAlignment="1">
      <alignment horizontal="center" vertical="center" wrapText="1"/>
    </xf>
    <xf numFmtId="0" fontId="0" fillId="0" borderId="86" xfId="0" applyBorder="1" applyAlignment="1">
      <alignment horizontal="center" vertical="center" wrapText="1"/>
    </xf>
    <xf numFmtId="0" fontId="1" fillId="0" borderId="0"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0" fillId="0" borderId="11"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0" fillId="0" borderId="76" xfId="0" applyFill="1" applyBorder="1" applyAlignment="1" applyProtection="1">
      <alignment horizontal="center" vertical="center" wrapText="1"/>
    </xf>
    <xf numFmtId="0" fontId="14" fillId="0" borderId="51" xfId="0" applyFont="1" applyFill="1" applyBorder="1" applyAlignment="1" applyProtection="1">
      <alignment horizontal="center" vertical="center" wrapText="1"/>
    </xf>
    <xf numFmtId="0" fontId="0" fillId="0" borderId="1" xfId="0" quotePrefix="1" applyFont="1" applyFill="1" applyBorder="1" applyAlignment="1">
      <alignment horizontal="center" vertical="center" wrapText="1"/>
    </xf>
    <xf numFmtId="0" fontId="14" fillId="0" borderId="1" xfId="0" quotePrefix="1" applyFont="1" applyFill="1" applyBorder="1" applyAlignment="1">
      <alignment horizontal="center" vertical="center" wrapText="1"/>
    </xf>
    <xf numFmtId="0" fontId="0" fillId="0" borderId="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wrapText="1"/>
    </xf>
    <xf numFmtId="0" fontId="0" fillId="16" borderId="1" xfId="0" applyFont="1" applyFill="1" applyBorder="1" applyAlignment="1">
      <alignment horizontal="center" vertical="center" wrapText="1"/>
    </xf>
    <xf numFmtId="0" fontId="14" fillId="16" borderId="1" xfId="0" applyFont="1" applyFill="1" applyBorder="1" applyAlignment="1">
      <alignment horizontal="center" vertical="center" wrapText="1"/>
    </xf>
    <xf numFmtId="0" fontId="1" fillId="0" borderId="58" xfId="0" applyFont="1" applyFill="1" applyBorder="1" applyAlignment="1">
      <alignment horizontal="center" vertical="center" wrapText="1"/>
    </xf>
    <xf numFmtId="0" fontId="5" fillId="18" borderId="104" xfId="0" applyFont="1" applyFill="1" applyBorder="1" applyAlignment="1" applyProtection="1">
      <alignment horizontal="left" vertical="center" wrapText="1"/>
    </xf>
    <xf numFmtId="0" fontId="5" fillId="18" borderId="105" xfId="0" applyFont="1" applyFill="1" applyBorder="1" applyAlignment="1" applyProtection="1">
      <alignment horizontal="left" vertical="center" wrapText="1"/>
    </xf>
    <xf numFmtId="0" fontId="5" fillId="18" borderId="106" xfId="0" applyFont="1" applyFill="1" applyBorder="1" applyAlignment="1" applyProtection="1">
      <alignment horizontal="left" vertical="center" wrapText="1"/>
    </xf>
    <xf numFmtId="0" fontId="1" fillId="0" borderId="15" xfId="0" applyFont="1" applyFill="1" applyBorder="1" applyAlignment="1">
      <alignment horizontal="center" vertical="center" wrapText="1"/>
    </xf>
    <xf numFmtId="0" fontId="26" fillId="0" borderId="16" xfId="0" applyFont="1" applyFill="1" applyBorder="1" applyAlignment="1" applyProtection="1">
      <alignment horizontal="center" vertical="center" wrapText="1"/>
    </xf>
    <xf numFmtId="0" fontId="26" fillId="0" borderId="2" xfId="0" applyFont="1" applyFill="1" applyBorder="1" applyAlignment="1" applyProtection="1">
      <alignment horizontal="center" vertical="center" wrapText="1"/>
    </xf>
    <xf numFmtId="0" fontId="26" fillId="0" borderId="1" xfId="0" applyFont="1" applyFill="1" applyBorder="1" applyAlignment="1">
      <alignment vertical="center" wrapText="1"/>
    </xf>
    <xf numFmtId="0" fontId="0" fillId="0" borderId="1" xfId="0" applyFill="1" applyBorder="1" applyAlignment="1">
      <alignment vertical="center" wrapText="1"/>
    </xf>
    <xf numFmtId="0" fontId="14" fillId="16" borderId="81" xfId="0" applyFont="1" applyFill="1" applyBorder="1" applyAlignment="1" applyProtection="1">
      <alignment horizontal="center" vertical="center" wrapText="1"/>
    </xf>
    <xf numFmtId="0" fontId="71" fillId="0" borderId="42" xfId="0" applyFont="1" applyFill="1" applyBorder="1" applyAlignment="1">
      <alignment horizontal="center" vertical="center" wrapText="1"/>
    </xf>
    <xf numFmtId="0" fontId="71" fillId="0" borderId="85" xfId="0" applyFont="1" applyFill="1" applyBorder="1" applyAlignment="1">
      <alignment horizontal="center" vertical="center" wrapText="1"/>
    </xf>
    <xf numFmtId="0" fontId="6" fillId="0" borderId="1" xfId="0" applyFont="1" applyFill="1" applyBorder="1" applyAlignment="1">
      <alignment horizontal="center" vertical="center"/>
    </xf>
    <xf numFmtId="0" fontId="71" fillId="0" borderId="3" xfId="0" applyFont="1" applyFill="1" applyBorder="1" applyAlignment="1">
      <alignment horizontal="center" vertical="center" wrapText="1"/>
    </xf>
    <xf numFmtId="0" fontId="0" fillId="16" borderId="13" xfId="0" applyFont="1" applyFill="1" applyBorder="1" applyAlignment="1">
      <alignment horizontal="center" vertical="center" wrapText="1"/>
    </xf>
    <xf numFmtId="0" fontId="1" fillId="16" borderId="94" xfId="0" applyFont="1" applyFill="1" applyBorder="1" applyAlignment="1">
      <alignment horizontal="center" vertical="center" wrapText="1"/>
    </xf>
    <xf numFmtId="0" fontId="1" fillId="16" borderId="7" xfId="0" applyFont="1" applyFill="1" applyBorder="1" applyAlignment="1">
      <alignment horizontal="center" vertical="center" wrapText="1"/>
    </xf>
    <xf numFmtId="0" fontId="1" fillId="16" borderId="86" xfId="0" applyFont="1" applyFill="1" applyBorder="1" applyAlignment="1">
      <alignment horizontal="center" vertical="center" wrapText="1"/>
    </xf>
    <xf numFmtId="0" fontId="0" fillId="16" borderId="55" xfId="0" applyFont="1" applyFill="1" applyBorder="1" applyAlignment="1">
      <alignment horizontal="center" vertical="center" wrapText="1"/>
    </xf>
    <xf numFmtId="0" fontId="1" fillId="16" borderId="82" xfId="0" applyFont="1" applyFill="1" applyBorder="1" applyAlignment="1">
      <alignment horizontal="center" vertical="center" wrapText="1"/>
    </xf>
    <xf numFmtId="0" fontId="1" fillId="16" borderId="99" xfId="0" applyFont="1" applyFill="1" applyBorder="1" applyAlignment="1">
      <alignment horizontal="center" vertical="center" wrapText="1"/>
    </xf>
    <xf numFmtId="0" fontId="0" fillId="16" borderId="42" xfId="0" applyFont="1" applyFill="1" applyBorder="1" applyAlignment="1" applyProtection="1">
      <alignment horizontal="center" vertical="center" wrapText="1"/>
    </xf>
    <xf numFmtId="0" fontId="0" fillId="16" borderId="85" xfId="0" applyFont="1" applyFill="1" applyBorder="1" applyAlignment="1" applyProtection="1">
      <alignment horizontal="center" vertical="center" wrapText="1"/>
    </xf>
    <xf numFmtId="0" fontId="1" fillId="16" borderId="1" xfId="0" applyFont="1" applyFill="1" applyBorder="1" applyAlignment="1">
      <alignment horizontal="center" vertical="center" wrapText="1"/>
    </xf>
    <xf numFmtId="0" fontId="30" fillId="0" borderId="2" xfId="0" applyFont="1" applyFill="1" applyBorder="1" applyAlignment="1">
      <alignment vertical="center" wrapText="1"/>
    </xf>
    <xf numFmtId="0" fontId="0" fillId="0" borderId="2" xfId="0" applyFill="1" applyBorder="1" applyAlignment="1">
      <alignment vertical="center" wrapText="1"/>
    </xf>
    <xf numFmtId="0" fontId="1" fillId="0" borderId="71" xfId="0" applyFont="1" applyBorder="1" applyAlignment="1">
      <alignment horizontal="center" vertical="center" wrapText="1"/>
    </xf>
    <xf numFmtId="0" fontId="1" fillId="0" borderId="85" xfId="0" applyFont="1" applyBorder="1" applyAlignment="1">
      <alignment horizontal="center" vertical="center" wrapText="1"/>
    </xf>
    <xf numFmtId="0" fontId="1" fillId="0" borderId="54" xfId="0" applyFont="1" applyFill="1" applyBorder="1" applyAlignment="1">
      <alignment horizontal="center" vertical="center" wrapText="1"/>
    </xf>
    <xf numFmtId="0" fontId="1" fillId="0" borderId="22" xfId="0" applyFont="1" applyFill="1" applyBorder="1" applyAlignment="1">
      <alignment horizontal="center" vertical="center"/>
    </xf>
    <xf numFmtId="0" fontId="1" fillId="0" borderId="94" xfId="0" applyFont="1" applyFill="1" applyBorder="1" applyAlignment="1">
      <alignment horizontal="center" vertical="center"/>
    </xf>
    <xf numFmtId="0" fontId="1" fillId="0" borderId="65" xfId="0" applyFont="1" applyFill="1" applyBorder="1" applyAlignment="1">
      <alignment horizontal="center" vertical="center"/>
    </xf>
    <xf numFmtId="0" fontId="1" fillId="0" borderId="59" xfId="0" applyFont="1" applyFill="1" applyBorder="1" applyAlignment="1">
      <alignment horizontal="center" vertical="center"/>
    </xf>
    <xf numFmtId="0" fontId="1" fillId="0" borderId="90" xfId="0" applyFont="1" applyFill="1" applyBorder="1" applyAlignment="1">
      <alignment horizontal="center" vertical="center"/>
    </xf>
    <xf numFmtId="0" fontId="1" fillId="0" borderId="86" xfId="0" applyFont="1" applyFill="1" applyBorder="1" applyAlignment="1">
      <alignment horizontal="center" vertical="center"/>
    </xf>
    <xf numFmtId="0" fontId="1" fillId="0" borderId="72" xfId="0" applyFont="1" applyFill="1" applyBorder="1" applyAlignment="1">
      <alignment horizontal="center" vertical="center" wrapText="1"/>
    </xf>
    <xf numFmtId="0" fontId="0" fillId="0" borderId="76" xfId="0" applyFont="1" applyFill="1" applyBorder="1" applyAlignment="1">
      <alignment horizontal="center" vertical="center" wrapText="1"/>
    </xf>
    <xf numFmtId="0" fontId="1" fillId="0" borderId="51" xfId="0" applyFont="1" applyFill="1" applyBorder="1" applyAlignment="1">
      <alignment horizontal="center" vertical="center" wrapText="1"/>
    </xf>
    <xf numFmtId="0" fontId="71" fillId="0" borderId="1" xfId="0" applyFont="1" applyFill="1" applyBorder="1" applyAlignment="1">
      <alignment horizontal="center" vertical="center" wrapText="1"/>
    </xf>
  </cellXfs>
  <cellStyles count="16">
    <cellStyle name="Currency 2" xfId="2" xr:uid="{00000000-0005-0000-0000-000001000000}"/>
    <cellStyle name="Dezimal [0]_EC-06" xfId="3" xr:uid="{00000000-0005-0000-0000-000002000000}"/>
    <cellStyle name="Dezimal_EC-06" xfId="4" xr:uid="{00000000-0005-0000-0000-000003000000}"/>
    <cellStyle name="Normal 10" xfId="6" xr:uid="{00000000-0005-0000-0000-000006000000}"/>
    <cellStyle name="Normal 2" xfId="7" xr:uid="{00000000-0005-0000-0000-000007000000}"/>
    <cellStyle name="Normal 2 2" xfId="8" xr:uid="{00000000-0005-0000-0000-000008000000}"/>
    <cellStyle name="Normal 2 2 2" xfId="9" xr:uid="{00000000-0005-0000-0000-000009000000}"/>
    <cellStyle name="Normal 3" xfId="10" xr:uid="{00000000-0005-0000-0000-00000A000000}"/>
    <cellStyle name="Normal_WSD-version 09 rev01-sec-pc (2)" xfId="11" xr:uid="{00000000-0005-0000-0000-00000B000000}"/>
    <cellStyle name="Standard_alle Basis x-Pos." xfId="12" xr:uid="{00000000-0005-0000-0000-00000D000000}"/>
    <cellStyle name="Währung [0]_EC-06" xfId="13" xr:uid="{00000000-0005-0000-0000-00000E000000}"/>
    <cellStyle name="Währung_EC-06" xfId="14" xr:uid="{00000000-0005-0000-0000-00000F000000}"/>
    <cellStyle name="Гиперссылка" xfId="5" builtinId="8"/>
    <cellStyle name="Денежный" xfId="1" builtinId="4"/>
    <cellStyle name="Обычный" xfId="0" builtinId="0"/>
    <cellStyle name="Обычный 2" xfId="15" xr:uid="{D3FCDEF8-2790-4008-85D4-D1093977DD2A}"/>
  </cellStyles>
  <dxfs count="39">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auto="1"/>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9" defaultPivotStyle="PivotStyleLight16"/>
  <colors>
    <mruColors>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 Id="rId22" Type="http://schemas.openxmlformats.org/officeDocument/2006/relationships/customXml" Target="../customXml/item6.xml"/></Relationships>
</file>

<file path=xl/drawings/drawing1.xml><?xml version="1.0" encoding="utf-8"?>
<xdr:wsDr xmlns:xdr="http://schemas.openxmlformats.org/drawingml/2006/spreadsheetDrawing" xmlns:a="http://schemas.openxmlformats.org/drawingml/2006/main">
  <xdr:twoCellAnchor editAs="oneCell">
    <xdr:from>
      <xdr:col>8</xdr:col>
      <xdr:colOff>83820</xdr:colOff>
      <xdr:row>110</xdr:row>
      <xdr:rowOff>0</xdr:rowOff>
    </xdr:from>
    <xdr:to>
      <xdr:col>8</xdr:col>
      <xdr:colOff>163830</xdr:colOff>
      <xdr:row>111</xdr:row>
      <xdr:rowOff>0</xdr:rowOff>
    </xdr:to>
    <xdr:sp macro="" textlink="">
      <xdr:nvSpPr>
        <xdr:cNvPr id="27750" name="Text Box 2">
          <a:extLst>
            <a:ext uri="{FF2B5EF4-FFF2-40B4-BE49-F238E27FC236}">
              <a16:creationId xmlns:a16="http://schemas.microsoft.com/office/drawing/2014/main" id="{3751DCD6-98F3-4F18-AF97-809729EBE09B}"/>
            </a:ext>
          </a:extLst>
        </xdr:cNvPr>
        <xdr:cNvSpPr txBox="1">
          <a:spLocks noChangeArrowheads="1"/>
        </xdr:cNvSpPr>
      </xdr:nvSpPr>
      <xdr:spPr bwMode="auto">
        <a:xfrm>
          <a:off x="13769340" y="6891528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110</xdr:row>
      <xdr:rowOff>152400</xdr:rowOff>
    </xdr:from>
    <xdr:to>
      <xdr:col>8</xdr:col>
      <xdr:colOff>87630</xdr:colOff>
      <xdr:row>111</xdr:row>
      <xdr:rowOff>167640</xdr:rowOff>
    </xdr:to>
    <xdr:sp macro="" textlink="">
      <xdr:nvSpPr>
        <xdr:cNvPr id="27751" name="Text Box 3">
          <a:extLst>
            <a:ext uri="{FF2B5EF4-FFF2-40B4-BE49-F238E27FC236}">
              <a16:creationId xmlns:a16="http://schemas.microsoft.com/office/drawing/2014/main" id="{B688584E-1919-40D6-9C23-C5B72D387C83}"/>
            </a:ext>
          </a:extLst>
        </xdr:cNvPr>
        <xdr:cNvSpPr txBox="1">
          <a:spLocks noChangeArrowheads="1"/>
        </xdr:cNvSpPr>
      </xdr:nvSpPr>
      <xdr:spPr bwMode="auto">
        <a:xfrm>
          <a:off x="13685520" y="69067680"/>
          <a:ext cx="83820" cy="220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1088390</xdr:colOff>
      <xdr:row>87</xdr:row>
      <xdr:rowOff>301625</xdr:rowOff>
    </xdr:from>
    <xdr:to>
      <xdr:col>3</xdr:col>
      <xdr:colOff>682948</xdr:colOff>
      <xdr:row>88</xdr:row>
      <xdr:rowOff>198438</xdr:rowOff>
    </xdr:to>
    <xdr:sp macro="" textlink="">
      <xdr:nvSpPr>
        <xdr:cNvPr id="2" name="TextBox 1">
          <a:extLst>
            <a:ext uri="{FF2B5EF4-FFF2-40B4-BE49-F238E27FC236}">
              <a16:creationId xmlns:a16="http://schemas.microsoft.com/office/drawing/2014/main" id="{9F012822-7DC2-47D1-876C-009B61DDAE8D}"/>
            </a:ext>
          </a:extLst>
        </xdr:cNvPr>
        <xdr:cNvSpPr txBox="1"/>
      </xdr:nvSpPr>
      <xdr:spPr>
        <a:xfrm>
          <a:off x="1111250" y="56626125"/>
          <a:ext cx="6548438" cy="658813"/>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2400"/>
            <a:t>NOT IN USE ANY MORE FOR NOW</a:t>
          </a:r>
          <a:endParaRPr lang="en-US" sz="2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76200</xdr:colOff>
      <xdr:row>112</xdr:row>
      <xdr:rowOff>0</xdr:rowOff>
    </xdr:from>
    <xdr:to>
      <xdr:col>17</xdr:col>
      <xdr:colOff>152400</xdr:colOff>
      <xdr:row>113</xdr:row>
      <xdr:rowOff>38101</xdr:rowOff>
    </xdr:to>
    <xdr:sp macro="" textlink="">
      <xdr:nvSpPr>
        <xdr:cNvPr id="21450" name="Text Box 1">
          <a:extLst>
            <a:ext uri="{FF2B5EF4-FFF2-40B4-BE49-F238E27FC236}">
              <a16:creationId xmlns:a16="http://schemas.microsoft.com/office/drawing/2014/main" id="{EF0124D5-2983-45F8-A49E-7D00A92ADDA4}"/>
            </a:ext>
          </a:extLst>
        </xdr:cNvPr>
        <xdr:cNvSpPr txBox="1">
          <a:spLocks noChangeArrowheads="1"/>
        </xdr:cNvSpPr>
      </xdr:nvSpPr>
      <xdr:spPr bwMode="auto">
        <a:xfrm>
          <a:off x="7155180" y="47251620"/>
          <a:ext cx="76200"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0</xdr:colOff>
      <xdr:row>112</xdr:row>
      <xdr:rowOff>0</xdr:rowOff>
    </xdr:from>
    <xdr:to>
      <xdr:col>17</xdr:col>
      <xdr:colOff>76200</xdr:colOff>
      <xdr:row>113</xdr:row>
      <xdr:rowOff>83821</xdr:rowOff>
    </xdr:to>
    <xdr:sp macro="" textlink="">
      <xdr:nvSpPr>
        <xdr:cNvPr id="21451" name="Text Box 3">
          <a:extLst>
            <a:ext uri="{FF2B5EF4-FFF2-40B4-BE49-F238E27FC236}">
              <a16:creationId xmlns:a16="http://schemas.microsoft.com/office/drawing/2014/main" id="{1D772381-C54C-41C1-95BE-E148956B2460}"/>
            </a:ext>
          </a:extLst>
        </xdr:cNvPr>
        <xdr:cNvSpPr txBox="1">
          <a:spLocks noChangeArrowheads="1"/>
        </xdr:cNvSpPr>
      </xdr:nvSpPr>
      <xdr:spPr bwMode="auto">
        <a:xfrm>
          <a:off x="7078980" y="47251620"/>
          <a:ext cx="762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z6hjp\Documents\Macro%20TTR-GCSD\SaveFiles\LJC\3.TR7_20\DB%20TTR&amp;GCSD%20LJC%20H4M%20DK0%20TR7_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nz2qnk\Documents\Macro%20TTR-GCSD\DB%20GCSD%20Empty%20201906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OS%20Isuzu\Formularze\!!!!!%20Tabela%20sekwencji%20operacji%20(WCT)-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SOS%20Isuzu\SOS%20prezentacj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 AD"/>
      <sheetName val="Double&amp;Segments"/>
      <sheetName val="Wire List"/>
      <sheetName val="BOM"/>
      <sheetName val="details_sum"/>
      <sheetName val="details"/>
      <sheetName val="check"/>
      <sheetName val="data"/>
      <sheetName val="summary"/>
      <sheetName val="summary&amp;CN"/>
      <sheetName val="compare"/>
    </sheetNames>
    <sheetDataSet>
      <sheetData sheetId="0"/>
      <sheetData sheetId="1"/>
      <sheetData sheetId="2"/>
      <sheetData sheetId="3"/>
      <sheetData sheetId="4"/>
      <sheetData sheetId="5"/>
      <sheetData sheetId="6"/>
      <sheetData sheetId="7"/>
      <sheetData sheetId="8">
        <row r="1">
          <cell r="AC1" t="str">
            <v>Last Date</v>
          </cell>
        </row>
        <row r="2">
          <cell r="AC2" t="str">
            <v>Today</v>
          </cell>
        </row>
        <row r="3">
          <cell r="AC3" t="str">
            <v>Custom</v>
          </cell>
        </row>
      </sheetData>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uble&amp;Segments"/>
      <sheetName val="Wire List"/>
      <sheetName val="BOM"/>
      <sheetName val="data"/>
      <sheetName val="summary"/>
      <sheetName val="summary&amp;CN"/>
      <sheetName val="Sheet1"/>
    </sheetNames>
    <sheetDataSet>
      <sheetData sheetId="0"/>
      <sheetData sheetId="1"/>
      <sheetData sheetId="2"/>
      <sheetData sheetId="3"/>
      <sheetData sheetId="4">
        <row r="1">
          <cell r="W1" t="str">
            <v>Last Date</v>
          </cell>
        </row>
        <row r="2">
          <cell r="W2" t="str">
            <v>Today</v>
          </cell>
        </row>
        <row r="3">
          <cell r="W3" t="str">
            <v>Custom</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 Combination Table"/>
      <sheetName val="Przykład"/>
      <sheetName val="Incr Inv Tool"/>
      <sheetName val="Life Cycle Cost (0)"/>
      <sheetName val="2003 Monthly BBP by B.T."/>
      <sheetName val="WSD CATALOGUE"/>
      <sheetName val="Setting"/>
      <sheetName val="Limited"/>
      <sheetName val="comment"/>
      <sheetName val="Work_Combination_Table"/>
      <sheetName val="Incr_Inv_Tool"/>
      <sheetName val="Life_Cycle_Cost_(0)"/>
      <sheetName val="2003_Monthly_BBP_by_B_T_"/>
      <sheetName val="WSD_CATALOGUE"/>
      <sheetName val="Work_Combination_Table2"/>
      <sheetName val="Incr_Inv_Tool2"/>
      <sheetName val="Life_Cycle_Cost_(0)2"/>
      <sheetName val="2003_Monthly_BBP_by_B_T_2"/>
      <sheetName val="WSD_CATALOGUE2"/>
      <sheetName val="Work_Combination_Table1"/>
      <sheetName val="Incr_Inv_Tool1"/>
      <sheetName val="Life_Cycle_Cost_(0)1"/>
      <sheetName val="2003_Monthly_BBP_by_B_T_1"/>
      <sheetName val="WSD_CATALOGUE1"/>
      <sheetName val="Work_Combination_Table16"/>
      <sheetName val="Incr_Inv_Tool16"/>
      <sheetName val="Life_Cycle_Cost_(0)16"/>
      <sheetName val="2003_Monthly_BBP_by_B_T_16"/>
      <sheetName val="WSD_CATALOGUE16"/>
      <sheetName val="Work_Combination_Table3"/>
      <sheetName val="Incr_Inv_Tool3"/>
      <sheetName val="Life_Cycle_Cost_(0)3"/>
      <sheetName val="2003_Monthly_BBP_by_B_T_3"/>
      <sheetName val="WSD_CATALOGUE3"/>
      <sheetName val="Work_Combination_Table4"/>
      <sheetName val="Incr_Inv_Tool4"/>
      <sheetName val="Life_Cycle_Cost_(0)4"/>
      <sheetName val="2003_Monthly_BBP_by_B_T_4"/>
      <sheetName val="WSD_CATALOGUE4"/>
      <sheetName val="Work_Combination_Table5"/>
      <sheetName val="Incr_Inv_Tool5"/>
      <sheetName val="Life_Cycle_Cost_(0)5"/>
      <sheetName val="2003_Monthly_BBP_by_B_T_5"/>
      <sheetName val="WSD_CATALOGUE5"/>
      <sheetName val="Work_Combination_Table6"/>
      <sheetName val="Incr_Inv_Tool6"/>
      <sheetName val="Life_Cycle_Cost_(0)6"/>
      <sheetName val="2003_Monthly_BBP_by_B_T_6"/>
      <sheetName val="WSD_CATALOGUE6"/>
      <sheetName val="Work_Combination_Table7"/>
      <sheetName val="Incr_Inv_Tool7"/>
      <sheetName val="Life_Cycle_Cost_(0)7"/>
      <sheetName val="2003_Monthly_BBP_by_B_T_7"/>
      <sheetName val="WSD_CATALOGUE7"/>
      <sheetName val="Work_Combination_Table8"/>
      <sheetName val="Incr_Inv_Tool8"/>
      <sheetName val="Life_Cycle_Cost_(0)8"/>
      <sheetName val="2003_Monthly_BBP_by_B_T_8"/>
      <sheetName val="WSD_CATALOGUE8"/>
      <sheetName val="Work_Combination_Table9"/>
      <sheetName val="Incr_Inv_Tool9"/>
      <sheetName val="Life_Cycle_Cost_(0)9"/>
      <sheetName val="2003_Monthly_BBP_by_B_T_9"/>
      <sheetName val="WSD_CATALOGUE9"/>
      <sheetName val="Work_Combination_Table11"/>
      <sheetName val="Incr_Inv_Tool11"/>
      <sheetName val="Life_Cycle_Cost_(0)11"/>
      <sheetName val="2003_Monthly_BBP_by_B_T_11"/>
      <sheetName val="WSD_CATALOGUE11"/>
      <sheetName val="Work_Combination_Table10"/>
      <sheetName val="Incr_Inv_Tool10"/>
      <sheetName val="Life_Cycle_Cost_(0)10"/>
      <sheetName val="2003_Monthly_BBP_by_B_T_10"/>
      <sheetName val="WSD_CATALOGUE10"/>
      <sheetName val="Work_Combination_Table12"/>
      <sheetName val="Incr_Inv_Tool12"/>
      <sheetName val="Life_Cycle_Cost_(0)12"/>
      <sheetName val="2003_Monthly_BBP_by_B_T_12"/>
      <sheetName val="WSD_CATALOGUE12"/>
      <sheetName val="Work_Combination_Table13"/>
      <sheetName val="Incr_Inv_Tool13"/>
      <sheetName val="Life_Cycle_Cost_(0)13"/>
      <sheetName val="2003_Monthly_BBP_by_B_T_13"/>
      <sheetName val="WSD_CATALOGUE13"/>
      <sheetName val="Work_Combination_Table14"/>
      <sheetName val="Incr_Inv_Tool14"/>
      <sheetName val="Life_Cycle_Cost_(0)14"/>
      <sheetName val="2003_Monthly_BBP_by_B_T_14"/>
      <sheetName val="WSD_CATALOGUE14"/>
      <sheetName val="Work_Combination_Table15"/>
      <sheetName val="Incr_Inv_Tool15"/>
      <sheetName val="Life_Cycle_Cost_(0)15"/>
      <sheetName val="2003_Monthly_BBP_by_B_T_15"/>
      <sheetName val="WSD_CATALOGUE15"/>
      <sheetName val="Lists"/>
      <sheetName val="Work_Combination_Table17"/>
      <sheetName val="Incr_Inv_Tool17"/>
      <sheetName val="Life_Cycle_Cost_(0)17"/>
      <sheetName val="2003_Monthly_BBP_by_B_T_17"/>
      <sheetName val="WSD_CATALOGUE17"/>
      <sheetName val="Work_Combination_Table18"/>
      <sheetName val="Incr_Inv_Tool18"/>
      <sheetName val="Life_Cycle_Cost_(0)18"/>
      <sheetName val="2003_Monthly_BBP_by_B_T_18"/>
      <sheetName val="WSD_CATALOGUE18"/>
      <sheetName val="Work_Combination_Table19"/>
      <sheetName val="Incr_Inv_Tool19"/>
      <sheetName val="Life_Cycle_Cost_(0)19"/>
      <sheetName val="2003_Monthly_BBP_by_B_T_19"/>
      <sheetName val="WSD_CATALOGUE19"/>
      <sheetName val="Work_Combination_Table20"/>
      <sheetName val="Incr_Inv_Tool20"/>
      <sheetName val="Life_Cycle_Cost_(0)20"/>
      <sheetName val="2003_Monthly_BBP_by_B_T_20"/>
      <sheetName val="WSD_CATALOGUE20"/>
      <sheetName val="Work_Combination_Table21"/>
      <sheetName val="Incr_Inv_Tool21"/>
      <sheetName val="Life_Cycle_Cost_(0)21"/>
      <sheetName val="2003_Monthly_BBP_by_B_T_21"/>
      <sheetName val="WSD_CATALOGUE21"/>
      <sheetName val="Work_Combination_Table22"/>
      <sheetName val="Incr_Inv_Tool22"/>
      <sheetName val="Life_Cycle_Cost_(0)22"/>
      <sheetName val="2003_Monthly_BBP_by_B_T_22"/>
      <sheetName val="WSD_CATALOGUE22"/>
      <sheetName val="Work_Combination_Table23"/>
      <sheetName val="Incr_Inv_Tool23"/>
      <sheetName val="Life_Cycle_Cost_(0)23"/>
      <sheetName val="2003_Monthly_BBP_by_B_T_23"/>
      <sheetName val="WSD_CATALOGUE23"/>
      <sheetName val="Work_Combination_Table24"/>
      <sheetName val="Incr_Inv_Tool24"/>
      <sheetName val="Life_Cycle_Cost_(0)24"/>
      <sheetName val="2003_Monthly_BBP_by_B_T_24"/>
      <sheetName val="WSD_CATALOGUE24"/>
      <sheetName val="Work_Combination_Table25"/>
      <sheetName val="Incr_Inv_Tool25"/>
      <sheetName val="Life_Cycle_Cost_(0)25"/>
      <sheetName val="2003_Monthly_BBP_by_B_T_25"/>
      <sheetName val="WSD_CATALOGUE25"/>
      <sheetName val="Work_Combination_Table26"/>
      <sheetName val="Incr_Inv_Tool26"/>
      <sheetName val="Life_Cycle_Cost_(0)26"/>
      <sheetName val="2003_Monthly_BBP_by_B_T_26"/>
      <sheetName val="WSD_CATALOGUE26"/>
      <sheetName val="Work_Combination_Table27"/>
      <sheetName val="Incr_Inv_Tool27"/>
      <sheetName val="Life_Cycle_Cost_(0)27"/>
      <sheetName val="2003_Monthly_BBP_by_B_T_27"/>
      <sheetName val="WSD_CATALOGUE27"/>
      <sheetName val="Work_Combination_Table28"/>
      <sheetName val="Incr_Inv_Tool28"/>
      <sheetName val="Life_Cycle_Cost_(0)28"/>
      <sheetName val="2003_Monthly_BBP_by_B_T_28"/>
      <sheetName val="WSD_CATALOGUE28"/>
      <sheetName val="Work_Combination_Table30"/>
      <sheetName val="Incr_Inv_Tool30"/>
      <sheetName val="Life_Cycle_Cost_(0)30"/>
      <sheetName val="2003_Monthly_BBP_by_B_T_30"/>
      <sheetName val="WSD_CATALOGUE30"/>
      <sheetName val="Work_Combination_Table29"/>
      <sheetName val="Incr_Inv_Tool29"/>
      <sheetName val="Life_Cycle_Cost_(0)29"/>
      <sheetName val="2003_Monthly_BBP_by_B_T_29"/>
      <sheetName val="WSD_CATALOGUE29"/>
      <sheetName val="Work_Combination_Table31"/>
      <sheetName val="Incr_Inv_Tool31"/>
      <sheetName val="Life_Cycle_Cost_(0)31"/>
      <sheetName val="2003_Monthly_BBP_by_B_T_31"/>
      <sheetName val="WSD_CATALOGUE31"/>
      <sheetName val="Work_Combination_Table39"/>
      <sheetName val="Incr_Inv_Tool39"/>
      <sheetName val="Life_Cycle_Cost_(0)39"/>
      <sheetName val="2003_Monthly_BBP_by_B_T_39"/>
      <sheetName val="WSD_CATALOGUE39"/>
      <sheetName val="Work_Combination_Table37"/>
      <sheetName val="Incr_Inv_Tool37"/>
      <sheetName val="Life_Cycle_Cost_(0)37"/>
      <sheetName val="2003_Monthly_BBP_by_B_T_37"/>
      <sheetName val="WSD_CATALOGUE37"/>
      <sheetName val="Work_Combination_Table32"/>
      <sheetName val="Incr_Inv_Tool32"/>
      <sheetName val="Life_Cycle_Cost_(0)32"/>
      <sheetName val="2003_Monthly_BBP_by_B_T_32"/>
      <sheetName val="WSD_CATALOGUE32"/>
      <sheetName val="Work_Combination_Table33"/>
      <sheetName val="Incr_Inv_Tool33"/>
      <sheetName val="Life_Cycle_Cost_(0)33"/>
      <sheetName val="2003_Monthly_BBP_by_B_T_33"/>
      <sheetName val="WSD_CATALOGUE33"/>
      <sheetName val="Work_Combination_Table34"/>
      <sheetName val="Incr_Inv_Tool34"/>
      <sheetName val="Life_Cycle_Cost_(0)34"/>
      <sheetName val="2003_Monthly_BBP_by_B_T_34"/>
      <sheetName val="WSD_CATALOGUE34"/>
      <sheetName val="Work_Combination_Table35"/>
      <sheetName val="Incr_Inv_Tool35"/>
      <sheetName val="Life_Cycle_Cost_(0)35"/>
      <sheetName val="2003_Monthly_BBP_by_B_T_35"/>
      <sheetName val="WSD_CATALOGUE35"/>
      <sheetName val="Work_Combination_Table36"/>
      <sheetName val="Incr_Inv_Tool36"/>
      <sheetName val="Life_Cycle_Cost_(0)36"/>
      <sheetName val="2003_Monthly_BBP_by_B_T_36"/>
      <sheetName val="WSD_CATALOGUE36"/>
      <sheetName val="Work_Combination_Table38"/>
      <sheetName val="Incr_Inv_Tool38"/>
      <sheetName val="Life_Cycle_Cost_(0)38"/>
      <sheetName val="2003_Monthly_BBP_by_B_T_38"/>
      <sheetName val="WSD_CATALOGUE38"/>
      <sheetName val="Work_Combination_Table56"/>
      <sheetName val="Incr_Inv_Tool56"/>
      <sheetName val="Life_Cycle_Cost_(0)56"/>
      <sheetName val="2003_Monthly_BBP_by_B_T_56"/>
      <sheetName val="WSD_CATALOGUE56"/>
      <sheetName val="Work_Combination_Table40"/>
      <sheetName val="Incr_Inv_Tool40"/>
      <sheetName val="Life_Cycle_Cost_(0)40"/>
      <sheetName val="2003_Monthly_BBP_by_B_T_40"/>
      <sheetName val="WSD_CATALOGUE40"/>
      <sheetName val="Work_Combination_Table41"/>
      <sheetName val="Incr_Inv_Tool41"/>
      <sheetName val="Life_Cycle_Cost_(0)41"/>
      <sheetName val="2003_Monthly_BBP_by_B_T_41"/>
      <sheetName val="WSD_CATALOGUE41"/>
      <sheetName val="Work_Combination_Table42"/>
      <sheetName val="Incr_Inv_Tool42"/>
      <sheetName val="Life_Cycle_Cost_(0)42"/>
      <sheetName val="2003_Monthly_BBP_by_B_T_42"/>
      <sheetName val="WSD_CATALOGUE42"/>
      <sheetName val="Work_Combination_Table44"/>
      <sheetName val="Incr_Inv_Tool44"/>
      <sheetName val="Life_Cycle_Cost_(0)44"/>
      <sheetName val="2003_Monthly_BBP_by_B_T_44"/>
      <sheetName val="WSD_CATALOGUE44"/>
      <sheetName val="Work_Combination_Table43"/>
      <sheetName val="Incr_Inv_Tool43"/>
      <sheetName val="Life_Cycle_Cost_(0)43"/>
      <sheetName val="2003_Monthly_BBP_by_B_T_43"/>
      <sheetName val="WSD_CATALOGUE43"/>
      <sheetName val="Work_Combination_Table45"/>
      <sheetName val="Incr_Inv_Tool45"/>
      <sheetName val="Life_Cycle_Cost_(0)45"/>
      <sheetName val="2003_Monthly_BBP_by_B_T_45"/>
      <sheetName val="WSD_CATALOGUE45"/>
      <sheetName val="Work_Combination_Table46"/>
      <sheetName val="Incr_Inv_Tool46"/>
      <sheetName val="Life_Cycle_Cost_(0)46"/>
      <sheetName val="2003_Monthly_BBP_by_B_T_46"/>
      <sheetName val="WSD_CATALOGUE46"/>
      <sheetName val="Work_Combination_Table47"/>
      <sheetName val="Incr_Inv_Tool47"/>
      <sheetName val="Life_Cycle_Cost_(0)47"/>
      <sheetName val="2003_Monthly_BBP_by_B_T_47"/>
      <sheetName val="WSD_CATALOGUE47"/>
      <sheetName val="Work_Combination_Table48"/>
      <sheetName val="Incr_Inv_Tool48"/>
      <sheetName val="Life_Cycle_Cost_(0)48"/>
      <sheetName val="2003_Monthly_BBP_by_B_T_48"/>
      <sheetName val="WSD_CATALOGUE48"/>
      <sheetName val="Work_Combination_Table49"/>
      <sheetName val="Incr_Inv_Tool49"/>
      <sheetName val="Life_Cycle_Cost_(0)49"/>
      <sheetName val="2003_Monthly_BBP_by_B_T_49"/>
      <sheetName val="WSD_CATALOGUE49"/>
      <sheetName val="Work_Combination_Table50"/>
      <sheetName val="Incr_Inv_Tool50"/>
      <sheetName val="Life_Cycle_Cost_(0)50"/>
      <sheetName val="2003_Monthly_BBP_by_B_T_50"/>
      <sheetName val="WSD_CATALOGUE50"/>
      <sheetName val="Work_Combination_Table51"/>
      <sheetName val="Incr_Inv_Tool51"/>
      <sheetName val="Life_Cycle_Cost_(0)51"/>
      <sheetName val="2003_Monthly_BBP_by_B_T_51"/>
      <sheetName val="WSD_CATALOGUE51"/>
      <sheetName val="Work_Combination_Table52"/>
      <sheetName val="Incr_Inv_Tool52"/>
      <sheetName val="Life_Cycle_Cost_(0)52"/>
      <sheetName val="2003_Monthly_BBP_by_B_T_52"/>
      <sheetName val="WSD_CATALOGUE52"/>
      <sheetName val="Work_Combination_Table53"/>
      <sheetName val="Incr_Inv_Tool53"/>
      <sheetName val="Life_Cycle_Cost_(0)53"/>
      <sheetName val="2003_Monthly_BBP_by_B_T_53"/>
      <sheetName val="WSD_CATALOGUE53"/>
      <sheetName val="Work_Combination_Table54"/>
      <sheetName val="Incr_Inv_Tool54"/>
      <sheetName val="Life_Cycle_Cost_(0)54"/>
      <sheetName val="2003_Monthly_BBP_by_B_T_54"/>
      <sheetName val="WSD_CATALOGUE54"/>
      <sheetName val="Work_Combination_Table55"/>
      <sheetName val="Incr_Inv_Tool55"/>
      <sheetName val="Life_Cycle_Cost_(0)55"/>
      <sheetName val="2003_Monthly_BBP_by_B_T_55"/>
      <sheetName val="WSD_CATALOGUE55"/>
      <sheetName val="Work_Combination_Table58"/>
      <sheetName val="Incr_Inv_Tool58"/>
      <sheetName val="Life_Cycle_Cost_(0)58"/>
      <sheetName val="2003_Monthly_BBP_by_B_T_58"/>
      <sheetName val="WSD_CATALOGUE58"/>
      <sheetName val="Work_Combination_Table57"/>
      <sheetName val="Incr_Inv_Tool57"/>
      <sheetName val="Life_Cycle_Cost_(0)57"/>
      <sheetName val="2003_Monthly_BBP_by_B_T_57"/>
      <sheetName val="WSD_CATALOGUE57"/>
      <sheetName val="Work_Combination_Table59"/>
      <sheetName val="Incr_Inv_Tool59"/>
      <sheetName val="Life_Cycle_Cost_(0)59"/>
      <sheetName val="2003_Monthly_BBP_by_B_T_59"/>
      <sheetName val="WSD_CATALOGUE59"/>
      <sheetName val="Work_Combination_Table60"/>
      <sheetName val="Incr_Inv_Tool60"/>
      <sheetName val="Life_Cycle_Cost_(0)60"/>
      <sheetName val="2003_Monthly_BBP_by_B_T_60"/>
      <sheetName val="WSD_CATALOGUE60"/>
      <sheetName val="Work_Combination_Table69"/>
      <sheetName val="Incr_Inv_Tool69"/>
      <sheetName val="Life_Cycle_Cost_(0)69"/>
      <sheetName val="2003_Monthly_BBP_by_B_T_69"/>
      <sheetName val="WSD_CATALOGUE69"/>
      <sheetName val="Work_Combination_Table67"/>
      <sheetName val="Incr_Inv_Tool67"/>
      <sheetName val="Life_Cycle_Cost_(0)67"/>
      <sheetName val="2003_Monthly_BBP_by_B_T_67"/>
      <sheetName val="WSD_CATALOGUE67"/>
      <sheetName val="Work_Combination_Table63"/>
      <sheetName val="Incr_Inv_Tool63"/>
      <sheetName val="Life_Cycle_Cost_(0)63"/>
      <sheetName val="2003_Monthly_BBP_by_B_T_63"/>
      <sheetName val="WSD_CATALOGUE63"/>
      <sheetName val="Work_Combination_Table61"/>
      <sheetName val="Incr_Inv_Tool61"/>
      <sheetName val="Life_Cycle_Cost_(0)61"/>
      <sheetName val="2003_Monthly_BBP_by_B_T_61"/>
      <sheetName val="WSD_CATALOGUE61"/>
      <sheetName val="Work_Combination_Table62"/>
      <sheetName val="Incr_Inv_Tool62"/>
      <sheetName val="Life_Cycle_Cost_(0)62"/>
      <sheetName val="2003_Monthly_BBP_by_B_T_62"/>
      <sheetName val="WSD_CATALOGUE62"/>
      <sheetName val="Work_Combination_Table64"/>
      <sheetName val="Incr_Inv_Tool64"/>
      <sheetName val="Life_Cycle_Cost_(0)64"/>
      <sheetName val="2003_Monthly_BBP_by_B_T_64"/>
      <sheetName val="WSD_CATALOGUE64"/>
      <sheetName val="Work_Combination_Table65"/>
      <sheetName val="Incr_Inv_Tool65"/>
      <sheetName val="Life_Cycle_Cost_(0)65"/>
      <sheetName val="2003_Monthly_BBP_by_B_T_65"/>
      <sheetName val="WSD_CATALOGUE65"/>
      <sheetName val="Work_Combination_Table66"/>
      <sheetName val="Incr_Inv_Tool66"/>
      <sheetName val="Life_Cycle_Cost_(0)66"/>
      <sheetName val="2003_Monthly_BBP_by_B_T_66"/>
      <sheetName val="WSD_CATALOGUE6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e podstawowe"/>
      <sheetName val="MATRIX"/>
      <sheetName val="drzewo kitów"/>
      <sheetName val="Arkusz pomiaru"/>
      <sheetName val="Tabela sekwencji"/>
      <sheetName val="MATRIX (2)"/>
      <sheetName val="SOS"/>
      <sheetName val="JOB"/>
      <sheetName val="MAP"/>
      <sheetName val="NYTO-model"/>
      <sheetName val="Dane_podstawowe"/>
      <sheetName val="drzewo_kitów"/>
      <sheetName val="Arkusz_pomiaru"/>
      <sheetName val="Tabela_sekwencji"/>
      <sheetName val="MATRIX_(2)"/>
      <sheetName val="Dane_podstawowe2"/>
      <sheetName val="drzewo_kitów2"/>
      <sheetName val="Arkusz_pomiaru2"/>
      <sheetName val="Tabela_sekwencji2"/>
      <sheetName val="MATRIX_(2)2"/>
      <sheetName val="Dane_podstawowe1"/>
      <sheetName val="drzewo_kitów1"/>
      <sheetName val="Arkusz_pomiaru1"/>
      <sheetName val="Tabela_sekwencji1"/>
      <sheetName val="MATRIX_(2)1"/>
      <sheetName val="Dane_podstawowe16"/>
      <sheetName val="drzewo_kitów16"/>
      <sheetName val="Arkusz_pomiaru16"/>
      <sheetName val="Tabela_sekwencji16"/>
      <sheetName val="MATRIX_(2)16"/>
      <sheetName val="Dane_podstawowe3"/>
      <sheetName val="drzewo_kitów3"/>
      <sheetName val="Arkusz_pomiaru3"/>
      <sheetName val="Tabela_sekwencji3"/>
      <sheetName val="MATRIX_(2)3"/>
      <sheetName val="Dane_podstawowe4"/>
      <sheetName val="drzewo_kitów4"/>
      <sheetName val="Arkusz_pomiaru4"/>
      <sheetName val="Tabela_sekwencji4"/>
      <sheetName val="MATRIX_(2)4"/>
      <sheetName val="Dane_podstawowe5"/>
      <sheetName val="drzewo_kitów5"/>
      <sheetName val="Arkusz_pomiaru5"/>
      <sheetName val="Tabela_sekwencji5"/>
      <sheetName val="MATRIX_(2)5"/>
      <sheetName val="Dane_podstawowe6"/>
      <sheetName val="drzewo_kitów6"/>
      <sheetName val="Arkusz_pomiaru6"/>
      <sheetName val="Tabela_sekwencji6"/>
      <sheetName val="MATRIX_(2)6"/>
      <sheetName val="Dane_podstawowe7"/>
      <sheetName val="drzewo_kitów7"/>
      <sheetName val="Arkusz_pomiaru7"/>
      <sheetName val="Tabela_sekwencji7"/>
      <sheetName val="MATRIX_(2)7"/>
      <sheetName val="Dane_podstawowe8"/>
      <sheetName val="drzewo_kitów8"/>
      <sheetName val="Arkusz_pomiaru8"/>
      <sheetName val="Tabela_sekwencji8"/>
      <sheetName val="MATRIX_(2)8"/>
      <sheetName val="Dane_podstawowe9"/>
      <sheetName val="drzewo_kitów9"/>
      <sheetName val="Arkusz_pomiaru9"/>
      <sheetName val="Tabela_sekwencji9"/>
      <sheetName val="MATRIX_(2)9"/>
      <sheetName val="Dane_podstawowe11"/>
      <sheetName val="drzewo_kitów11"/>
      <sheetName val="Arkusz_pomiaru11"/>
      <sheetName val="Tabela_sekwencji11"/>
      <sheetName val="MATRIX_(2)11"/>
      <sheetName val="Dane_podstawowe10"/>
      <sheetName val="drzewo_kitów10"/>
      <sheetName val="Arkusz_pomiaru10"/>
      <sheetName val="Tabela_sekwencji10"/>
      <sheetName val="MATRIX_(2)10"/>
      <sheetName val="Dane_podstawowe12"/>
      <sheetName val="drzewo_kitów12"/>
      <sheetName val="Arkusz_pomiaru12"/>
      <sheetName val="Tabela_sekwencji12"/>
      <sheetName val="MATRIX_(2)12"/>
      <sheetName val="Dane_podstawowe13"/>
      <sheetName val="drzewo_kitów13"/>
      <sheetName val="Arkusz_pomiaru13"/>
      <sheetName val="Tabela_sekwencji13"/>
      <sheetName val="MATRIX_(2)13"/>
      <sheetName val="Dane_podstawowe14"/>
      <sheetName val="drzewo_kitów14"/>
      <sheetName val="Arkusz_pomiaru14"/>
      <sheetName val="Tabela_sekwencji14"/>
      <sheetName val="MATRIX_(2)14"/>
      <sheetName val="Dane_podstawowe15"/>
      <sheetName val="drzewo_kitów15"/>
      <sheetName val="Arkusz_pomiaru15"/>
      <sheetName val="Tabela_sekwencji15"/>
      <sheetName val="MATRIX_(2)15"/>
      <sheetName val="Dane_podstawowe17"/>
      <sheetName val="drzewo_kitów17"/>
      <sheetName val="Arkusz_pomiaru17"/>
      <sheetName val="Tabela_sekwencji17"/>
      <sheetName val="MATRIX_(2)17"/>
      <sheetName val="Dane_podstawowe18"/>
      <sheetName val="drzewo_kitów18"/>
      <sheetName val="Arkusz_pomiaru18"/>
      <sheetName val="Tabela_sekwencji18"/>
      <sheetName val="MATRIX_(2)18"/>
      <sheetName val="Dane_podstawowe19"/>
      <sheetName val="drzewo_kitów19"/>
      <sheetName val="Arkusz_pomiaru19"/>
      <sheetName val="Tabela_sekwencji19"/>
      <sheetName val="MATRIX_(2)19"/>
      <sheetName val="Dane_podstawowe20"/>
      <sheetName val="drzewo_kitów20"/>
      <sheetName val="Arkusz_pomiaru20"/>
      <sheetName val="Tabela_sekwencji20"/>
      <sheetName val="MATRIX_(2)20"/>
      <sheetName val="Dane_podstawowe22"/>
      <sheetName val="drzewo_kitów22"/>
      <sheetName val="Arkusz_pomiaru22"/>
      <sheetName val="Tabela_sekwencji22"/>
      <sheetName val="MATRIX_(2)22"/>
      <sheetName val="Dane_podstawowe21"/>
      <sheetName val="drzewo_kitów21"/>
      <sheetName val="Arkusz_pomiaru21"/>
      <sheetName val="Tabela_sekwencji21"/>
      <sheetName val="MATRIX_(2)21"/>
      <sheetName val="Dane_podstawowe23"/>
      <sheetName val="drzewo_kitów23"/>
      <sheetName val="Arkusz_pomiaru23"/>
      <sheetName val="Tabela_sekwencji23"/>
      <sheetName val="MATRIX_(2)23"/>
      <sheetName val="Dane_podstawowe24"/>
      <sheetName val="drzewo_kitów24"/>
      <sheetName val="Arkusz_pomiaru24"/>
      <sheetName val="Tabela_sekwencji24"/>
      <sheetName val="MATRIX_(2)24"/>
      <sheetName val="Dane_podstawowe25"/>
      <sheetName val="drzewo_kitów25"/>
      <sheetName val="Arkusz_pomiaru25"/>
      <sheetName val="Tabela_sekwencji25"/>
      <sheetName val="MATRIX_(2)25"/>
      <sheetName val="Dane_podstawowe26"/>
      <sheetName val="drzewo_kitów26"/>
      <sheetName val="Arkusz_pomiaru26"/>
      <sheetName val="Tabela_sekwencji26"/>
      <sheetName val="MATRIX_(2)26"/>
      <sheetName val="Dane_podstawowe27"/>
      <sheetName val="drzewo_kitów27"/>
      <sheetName val="Arkusz_pomiaru27"/>
      <sheetName val="Tabela_sekwencji27"/>
      <sheetName val="MATRIX_(2)27"/>
      <sheetName val="Dane_podstawowe28"/>
      <sheetName val="drzewo_kitów28"/>
      <sheetName val="Arkusz_pomiaru28"/>
      <sheetName val="Tabela_sekwencji28"/>
      <sheetName val="MATRIX_(2)28"/>
      <sheetName val="Dane_podstawowe29"/>
      <sheetName val="drzewo_kitów29"/>
      <sheetName val="Arkusz_pomiaru29"/>
      <sheetName val="Tabela_sekwencji29"/>
      <sheetName val="MATRIX_(2)29"/>
      <sheetName val="Dane_podstawowe30"/>
      <sheetName val="drzewo_kitów30"/>
      <sheetName val="Arkusz_pomiaru30"/>
      <sheetName val="Tabela_sekwencji30"/>
      <sheetName val="MATRIX_(2)30"/>
      <sheetName val="Dane_podstawowe31"/>
      <sheetName val="drzewo_kitów31"/>
      <sheetName val="Arkusz_pomiaru31"/>
      <sheetName val="Tabela_sekwencji31"/>
      <sheetName val="MATRIX_(2)31"/>
      <sheetName val="Dane_podstawowe33"/>
      <sheetName val="drzewo_kitów33"/>
      <sheetName val="Arkusz_pomiaru33"/>
      <sheetName val="Tabela_sekwencji33"/>
      <sheetName val="MATRIX_(2)33"/>
      <sheetName val="Dane_podstawowe32"/>
      <sheetName val="drzewo_kitów32"/>
      <sheetName val="Arkusz_pomiaru32"/>
      <sheetName val="Tabela_sekwencji32"/>
      <sheetName val="MATRIX_(2)32"/>
      <sheetName val="Dane_podstawowe34"/>
      <sheetName val="drzewo_kitów34"/>
      <sheetName val="Arkusz_pomiaru34"/>
      <sheetName val="Tabela_sekwencji34"/>
      <sheetName val="MATRIX_(2)34"/>
      <sheetName val="Dane_podstawowe35"/>
      <sheetName val="drzewo_kitów35"/>
      <sheetName val="Arkusz_pomiaru35"/>
      <sheetName val="Tabela_sekwencji35"/>
      <sheetName val="MATRIX_(2)35"/>
      <sheetName val="Dane_podstawowe36"/>
      <sheetName val="drzewo_kitów36"/>
      <sheetName val="Arkusz_pomiaru36"/>
      <sheetName val="Tabela_sekwencji36"/>
      <sheetName val="MATRIX_(2)36"/>
      <sheetName val="Dane_podstawowe37"/>
      <sheetName val="drzewo_kitów37"/>
      <sheetName val="Arkusz_pomiaru37"/>
      <sheetName val="Tabela_sekwencji37"/>
      <sheetName val="MATRIX_(2)37"/>
      <sheetName val="Dane_podstawowe38"/>
      <sheetName val="drzewo_kitów38"/>
      <sheetName val="Arkusz_pomiaru38"/>
      <sheetName val="Tabela_sekwencji38"/>
      <sheetName val="MATRIX_(2)38"/>
      <sheetName val="Dane_podstawowe39"/>
      <sheetName val="drzewo_kitów39"/>
      <sheetName val="Arkusz_pomiaru39"/>
      <sheetName val="Tabela_sekwencji39"/>
      <sheetName val="MATRIX_(2)39"/>
      <sheetName val="Dane_podstawowe56"/>
      <sheetName val="drzewo_kitów56"/>
      <sheetName val="Arkusz_pomiaru56"/>
      <sheetName val="Tabela_sekwencji56"/>
      <sheetName val="MATRIX_(2)56"/>
      <sheetName val="Dane_podstawowe40"/>
      <sheetName val="drzewo_kitów40"/>
      <sheetName val="Arkusz_pomiaru40"/>
      <sheetName val="Tabela_sekwencji40"/>
      <sheetName val="MATRIX_(2)40"/>
      <sheetName val="Dane_podstawowe41"/>
      <sheetName val="drzewo_kitów41"/>
      <sheetName val="Arkusz_pomiaru41"/>
      <sheetName val="Tabela_sekwencji41"/>
      <sheetName val="MATRIX_(2)41"/>
      <sheetName val="Dane_podstawowe42"/>
      <sheetName val="drzewo_kitów42"/>
      <sheetName val="Arkusz_pomiaru42"/>
      <sheetName val="Tabela_sekwencji42"/>
      <sheetName val="MATRIX_(2)42"/>
      <sheetName val="Dane_podstawowe44"/>
      <sheetName val="drzewo_kitów44"/>
      <sheetName val="Arkusz_pomiaru44"/>
      <sheetName val="Tabela_sekwencji44"/>
      <sheetName val="MATRIX_(2)44"/>
      <sheetName val="Dane_podstawowe43"/>
      <sheetName val="drzewo_kitów43"/>
      <sheetName val="Arkusz_pomiaru43"/>
      <sheetName val="Tabela_sekwencji43"/>
      <sheetName val="MATRIX_(2)43"/>
      <sheetName val="Dane_podstawowe45"/>
      <sheetName val="drzewo_kitów45"/>
      <sheetName val="Arkusz_pomiaru45"/>
      <sheetName val="Tabela_sekwencji45"/>
      <sheetName val="MATRIX_(2)45"/>
      <sheetName val="Dane_podstawowe46"/>
      <sheetName val="drzewo_kitów46"/>
      <sheetName val="Arkusz_pomiaru46"/>
      <sheetName val="Tabela_sekwencji46"/>
      <sheetName val="MATRIX_(2)46"/>
      <sheetName val="Dane_podstawowe47"/>
      <sheetName val="drzewo_kitów47"/>
      <sheetName val="Arkusz_pomiaru47"/>
      <sheetName val="Tabela_sekwencji47"/>
      <sheetName val="MATRIX_(2)47"/>
      <sheetName val="Dane_podstawowe48"/>
      <sheetName val="drzewo_kitów48"/>
      <sheetName val="Arkusz_pomiaru48"/>
      <sheetName val="Tabela_sekwencji48"/>
      <sheetName val="MATRIX_(2)48"/>
      <sheetName val="Dane_podstawowe49"/>
      <sheetName val="drzewo_kitów49"/>
      <sheetName val="Arkusz_pomiaru49"/>
      <sheetName val="Tabela_sekwencji49"/>
      <sheetName val="MATRIX_(2)49"/>
      <sheetName val="Dane_podstawowe50"/>
      <sheetName val="drzewo_kitów50"/>
      <sheetName val="Arkusz_pomiaru50"/>
      <sheetName val="Tabela_sekwencji50"/>
      <sheetName val="MATRIX_(2)50"/>
      <sheetName val="Dane_podstawowe51"/>
      <sheetName val="drzewo_kitów51"/>
      <sheetName val="Arkusz_pomiaru51"/>
      <sheetName val="Tabela_sekwencji51"/>
      <sheetName val="MATRIX_(2)51"/>
      <sheetName val="Dane_podstawowe52"/>
      <sheetName val="drzewo_kitów52"/>
      <sheetName val="Arkusz_pomiaru52"/>
      <sheetName val="Tabela_sekwencji52"/>
      <sheetName val="MATRIX_(2)52"/>
      <sheetName val="Dane_podstawowe53"/>
      <sheetName val="drzewo_kitów53"/>
      <sheetName val="Arkusz_pomiaru53"/>
      <sheetName val="Tabela_sekwencji53"/>
      <sheetName val="MATRIX_(2)53"/>
      <sheetName val="Dane_podstawowe54"/>
      <sheetName val="drzewo_kitów54"/>
      <sheetName val="Arkusz_pomiaru54"/>
      <sheetName val="Tabela_sekwencji54"/>
      <sheetName val="MATRIX_(2)54"/>
      <sheetName val="Dane_podstawowe55"/>
      <sheetName val="drzewo_kitów55"/>
      <sheetName val="Arkusz_pomiaru55"/>
      <sheetName val="Tabela_sekwencji55"/>
      <sheetName val="MATRIX_(2)55"/>
      <sheetName val="Dane_podstawowe58"/>
      <sheetName val="drzewo_kitów58"/>
      <sheetName val="Arkusz_pomiaru58"/>
      <sheetName val="Tabela_sekwencji58"/>
      <sheetName val="MATRIX_(2)58"/>
      <sheetName val="Dane_podstawowe57"/>
      <sheetName val="drzewo_kitów57"/>
      <sheetName val="Arkusz_pomiaru57"/>
      <sheetName val="Tabela_sekwencji57"/>
      <sheetName val="MATRIX_(2)57"/>
      <sheetName val="Dane_podstawowe59"/>
      <sheetName val="drzewo_kitów59"/>
      <sheetName val="Arkusz_pomiaru59"/>
      <sheetName val="Tabela_sekwencji59"/>
      <sheetName val="MATRIX_(2)59"/>
      <sheetName val="Dane_podstawowe60"/>
      <sheetName val="drzewo_kitów60"/>
      <sheetName val="Arkusz_pomiaru60"/>
      <sheetName val="Tabela_sekwencji60"/>
      <sheetName val="MATRIX_(2)60"/>
      <sheetName val="BOM"/>
      <sheetName val="Dane_podstawowe69"/>
      <sheetName val="drzewo_kitów69"/>
      <sheetName val="Arkusz_pomiaru69"/>
      <sheetName val="Tabela_sekwencji69"/>
      <sheetName val="MATRIX_(2)69"/>
      <sheetName val="Dane_podstawowe67"/>
      <sheetName val="drzewo_kitów67"/>
      <sheetName val="Arkusz_pomiaru67"/>
      <sheetName val="Tabela_sekwencji67"/>
      <sheetName val="MATRIX_(2)67"/>
      <sheetName val="Dane_podstawowe63"/>
      <sheetName val="drzewo_kitów63"/>
      <sheetName val="Arkusz_pomiaru63"/>
      <sheetName val="Tabela_sekwencji63"/>
      <sheetName val="MATRIX_(2)63"/>
      <sheetName val="Dane_podstawowe61"/>
      <sheetName val="drzewo_kitów61"/>
      <sheetName val="Arkusz_pomiaru61"/>
      <sheetName val="Tabela_sekwencji61"/>
      <sheetName val="MATRIX_(2)61"/>
      <sheetName val="Dane_podstawowe62"/>
      <sheetName val="drzewo_kitów62"/>
      <sheetName val="Arkusz_pomiaru62"/>
      <sheetName val="Tabela_sekwencji62"/>
      <sheetName val="MATRIX_(2)62"/>
      <sheetName val="Dane_podstawowe64"/>
      <sheetName val="drzewo_kitów64"/>
      <sheetName val="Arkusz_pomiaru64"/>
      <sheetName val="Tabela_sekwencji64"/>
      <sheetName val="MATRIX_(2)64"/>
      <sheetName val="Dane_podstawowe65"/>
      <sheetName val="drzewo_kitów65"/>
      <sheetName val="Arkusz_pomiaru65"/>
      <sheetName val="Tabela_sekwencji65"/>
      <sheetName val="MATRIX_(2)65"/>
      <sheetName val="Dane_podstawowe66"/>
      <sheetName val="drzewo_kitów66"/>
      <sheetName val="Arkusz_pomiaru66"/>
      <sheetName val="Tabela_sekwencji66"/>
      <sheetName val="MATRIX_(2)66"/>
      <sheetName val="Dane_podstawowe68"/>
      <sheetName val="drzewo_kitów68"/>
      <sheetName val="Arkusz_pomiaru68"/>
      <sheetName val="Tabela_sekwencji68"/>
      <sheetName val="MATRIX_(2)68"/>
      <sheetName val="Dane_podstawowe70"/>
      <sheetName val="drzewo_kitów70"/>
      <sheetName val="Arkusz_pomiaru70"/>
      <sheetName val="Tabela_sekwencji70"/>
      <sheetName val="MATRIX_(2)70"/>
      <sheetName val="Dane_podstawowe71"/>
      <sheetName val="drzewo_kitów71"/>
      <sheetName val="Arkusz_pomiaru71"/>
      <sheetName val="Tabela_sekwencji71"/>
      <sheetName val="MATRIX_(2)71"/>
      <sheetName val="Dane_podstawowe72"/>
      <sheetName val="drzewo_kitów72"/>
      <sheetName val="Arkusz_pomiaru72"/>
      <sheetName val="Tabela_sekwencji72"/>
      <sheetName val="MATRIX_(2)72"/>
      <sheetName val="Dane_podstawowe73"/>
      <sheetName val="drzewo_kitów73"/>
      <sheetName val="Arkusz_pomiaru73"/>
      <sheetName val="Tabela_sekwencji73"/>
      <sheetName val="MATRIX_(2)73"/>
      <sheetName val="Dane_podstawowe74"/>
      <sheetName val="drzewo_kitów74"/>
      <sheetName val="Arkusz_pomiaru74"/>
      <sheetName val="Tabela_sekwencji74"/>
      <sheetName val="MATRIX_(2)7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pageSetUpPr fitToPage="1"/>
  </sheetPr>
  <dimension ref="B1:N49"/>
  <sheetViews>
    <sheetView tabSelected="1" zoomScale="80" zoomScaleNormal="80" workbookViewId="0">
      <selection activeCell="H13" sqref="H13"/>
    </sheetView>
  </sheetViews>
  <sheetFormatPr defaultColWidth="9.33203125" defaultRowHeight="13.2"/>
  <cols>
    <col min="1" max="1" width="9.33203125" style="156"/>
    <col min="2" max="2" width="31.33203125" style="156" customWidth="1"/>
    <col min="3" max="3" width="21.6640625" style="156" customWidth="1"/>
    <col min="4" max="4" width="18.6640625" style="157" customWidth="1"/>
    <col min="5" max="5" width="13.6640625" style="156" customWidth="1"/>
    <col min="6" max="6" width="11.33203125" style="156" customWidth="1"/>
    <col min="7" max="9" width="9.33203125" style="156"/>
    <col min="10" max="10" width="29.6640625" style="156" customWidth="1"/>
    <col min="11" max="14" width="18" style="156" customWidth="1"/>
    <col min="15" max="16384" width="9.33203125" style="156"/>
  </cols>
  <sheetData>
    <row r="1" spans="2:14" ht="30">
      <c r="B1" s="1166" t="s">
        <v>698</v>
      </c>
      <c r="C1" s="1166"/>
      <c r="D1" s="1166"/>
      <c r="E1" s="1166"/>
      <c r="F1" s="1166"/>
    </row>
    <row r="2" spans="2:14" ht="13.8" thickBot="1"/>
    <row r="3" spans="2:14" ht="30.75" customHeight="1" thickBot="1">
      <c r="B3" s="158" t="s">
        <v>539</v>
      </c>
      <c r="C3" s="159" t="s">
        <v>624</v>
      </c>
      <c r="D3" s="160" t="s">
        <v>540</v>
      </c>
      <c r="E3" s="161" t="s">
        <v>541</v>
      </c>
      <c r="F3" s="162"/>
    </row>
    <row r="4" spans="2:14" ht="18" customHeight="1">
      <c r="B4" s="163" t="s">
        <v>542</v>
      </c>
      <c r="C4" s="164" t="s">
        <v>543</v>
      </c>
      <c r="D4" s="165" t="s">
        <v>544</v>
      </c>
      <c r="E4" s="166" t="s">
        <v>543</v>
      </c>
      <c r="F4" s="167"/>
    </row>
    <row r="5" spans="2:14" ht="18" customHeight="1">
      <c r="B5" s="168" t="s">
        <v>545</v>
      </c>
      <c r="C5" s="169"/>
      <c r="D5" s="170"/>
      <c r="E5" s="171"/>
      <c r="F5" s="172"/>
      <c r="M5" s="1094"/>
      <c r="N5" s="1095"/>
    </row>
    <row r="6" spans="2:14" ht="16.5" customHeight="1">
      <c r="B6" s="173" t="s">
        <v>546</v>
      </c>
      <c r="C6" s="174">
        <f>(CUTTING!J685)/60</f>
        <v>3.6935524242424265</v>
      </c>
      <c r="D6" s="175">
        <v>1.4430000000000001</v>
      </c>
      <c r="E6" s="176">
        <f t="shared" ref="E6:E12" si="0">C6*D6</f>
        <v>5.3297961481818215</v>
      </c>
      <c r="F6" s="177"/>
      <c r="M6" s="1094" t="s">
        <v>1465</v>
      </c>
      <c r="N6" s="1096"/>
    </row>
    <row r="7" spans="2:14" ht="16.5" customHeight="1">
      <c r="B7" s="263" t="s">
        <v>34</v>
      </c>
      <c r="C7" s="174">
        <f>(CUTTING!L685-CUTTING!J685)/60</f>
        <v>0</v>
      </c>
      <c r="D7" s="175">
        <v>1.4430000000000001</v>
      </c>
      <c r="E7" s="176">
        <f t="shared" si="0"/>
        <v>0</v>
      </c>
      <c r="F7" s="177"/>
      <c r="M7" s="1094" t="s">
        <v>1466</v>
      </c>
      <c r="N7" s="1097">
        <f>ROUND(M19+M20+M21,3)</f>
        <v>7.0010000000000003</v>
      </c>
    </row>
    <row r="8" spans="2:14" ht="16.5" customHeight="1">
      <c r="B8" s="178" t="s">
        <v>547</v>
      </c>
      <c r="C8" s="179">
        <f>(CUTTING!L687)/60</f>
        <v>1.1582166666666667</v>
      </c>
      <c r="D8" s="180">
        <v>1.4430000000000001</v>
      </c>
      <c r="E8" s="181">
        <f t="shared" si="0"/>
        <v>1.67130665</v>
      </c>
      <c r="F8" s="182"/>
      <c r="M8" s="1094" t="s">
        <v>1467</v>
      </c>
      <c r="N8" s="1098">
        <f>ROUND(M22,3)</f>
        <v>21.707000000000001</v>
      </c>
    </row>
    <row r="9" spans="2:14" ht="16.5" customHeight="1">
      <c r="B9" s="178" t="s">
        <v>648</v>
      </c>
      <c r="C9" s="183">
        <f>(('LEAD PREP'!K347)/60)+(CUTTING!L689/60)</f>
        <v>19.074666666666666</v>
      </c>
      <c r="D9" s="184">
        <v>1.1379999999999999</v>
      </c>
      <c r="E9" s="185">
        <f t="shared" si="0"/>
        <v>21.706970666666663</v>
      </c>
      <c r="F9" s="186"/>
      <c r="M9" s="1111" t="s">
        <v>1471</v>
      </c>
      <c r="N9" s="1098">
        <f>ROUND(M23,3)</f>
        <v>2.7309999999999999</v>
      </c>
    </row>
    <row r="10" spans="2:14" ht="16.5" customHeight="1">
      <c r="B10" s="449" t="s">
        <v>549</v>
      </c>
      <c r="C10" s="448">
        <f>(('FA Conns and wires'!T112+'FA Taping'!J81+'FA Miscellaneos'!K141)/60+('LEAD PREP'!K349+'LEAD PREP FA'!K340)/60)</f>
        <v>59.401187499999999</v>
      </c>
      <c r="D10" s="184">
        <v>1.0780000000000001</v>
      </c>
      <c r="E10" s="450">
        <f t="shared" si="0"/>
        <v>64.034480125000002</v>
      </c>
      <c r="F10" s="451"/>
      <c r="M10" s="1094" t="s">
        <v>1468</v>
      </c>
      <c r="N10" s="1098">
        <f>ROUND(M24+M25+M26,3)</f>
        <v>74.477999999999994</v>
      </c>
    </row>
    <row r="11" spans="2:14" ht="16.5" customHeight="1">
      <c r="B11" s="449" t="s">
        <v>747</v>
      </c>
      <c r="C11" s="448">
        <f>('FA Miscellaneos'!K142)/60</f>
        <v>6.7641</v>
      </c>
      <c r="D11" s="184">
        <v>1.0780000000000001</v>
      </c>
      <c r="E11" s="452">
        <f t="shared" si="0"/>
        <v>7.2916998000000008</v>
      </c>
      <c r="F11" s="453"/>
      <c r="M11" s="1099" t="s">
        <v>296</v>
      </c>
      <c r="N11" s="1100">
        <f>ROUND(N10+N8+N7+N9,3)</f>
        <v>105.917</v>
      </c>
    </row>
    <row r="12" spans="2:14" ht="16.5" customHeight="1" thickBot="1">
      <c r="B12" s="449" t="s">
        <v>748</v>
      </c>
      <c r="C12" s="187">
        <f>(('FA Taping'!J82)+('FA Miscellaneos'!K143))/60</f>
        <v>2.9237500000000001</v>
      </c>
      <c r="D12" s="184">
        <v>1.0780000000000001</v>
      </c>
      <c r="E12" s="454">
        <f t="shared" si="0"/>
        <v>3.1518025000000001</v>
      </c>
      <c r="F12" s="455"/>
      <c r="J12" s="39"/>
      <c r="K12" s="39"/>
      <c r="L12" s="39"/>
      <c r="M12" s="39"/>
      <c r="N12" s="39"/>
    </row>
    <row r="13" spans="2:14" ht="27" customHeight="1" thickBot="1">
      <c r="B13" s="188" t="s">
        <v>296</v>
      </c>
      <c r="C13" s="189">
        <f>SUM(C6:C12)</f>
        <v>93.015473257575763</v>
      </c>
      <c r="D13" s="190"/>
      <c r="E13" s="191">
        <f>SUM(E6:E12)</f>
        <v>103.18605588984849</v>
      </c>
      <c r="F13" s="192"/>
      <c r="J13" s="39"/>
      <c r="K13" s="39"/>
      <c r="L13" s="39"/>
      <c r="M13" s="39"/>
      <c r="N13" s="39"/>
    </row>
    <row r="14" spans="2:14" ht="52.5" customHeight="1">
      <c r="J14" s="1167" t="s">
        <v>1469</v>
      </c>
      <c r="K14" s="1168"/>
      <c r="L14" s="1168"/>
      <c r="M14" s="1168"/>
      <c r="N14" s="1169"/>
    </row>
    <row r="15" spans="2:14" ht="21.6" thickBot="1">
      <c r="B15" s="53" t="s">
        <v>1021</v>
      </c>
      <c r="J15" s="39"/>
      <c r="K15" s="39"/>
      <c r="L15" s="39"/>
      <c r="M15" s="39"/>
      <c r="N15" s="39"/>
    </row>
    <row r="16" spans="2:14" ht="30.75" customHeight="1" thickBot="1">
      <c r="B16" s="158" t="s">
        <v>539</v>
      </c>
      <c r="C16" s="159" t="s">
        <v>624</v>
      </c>
      <c r="D16" s="160" t="s">
        <v>540</v>
      </c>
      <c r="E16" s="161" t="s">
        <v>541</v>
      </c>
      <c r="F16" s="193"/>
      <c r="J16" s="1101" t="s">
        <v>539</v>
      </c>
      <c r="K16" s="1102" t="s">
        <v>624</v>
      </c>
      <c r="L16" s="1103" t="s">
        <v>540</v>
      </c>
      <c r="M16" s="1104" t="s">
        <v>541</v>
      </c>
      <c r="N16" s="1105"/>
    </row>
    <row r="17" spans="2:14" ht="18" customHeight="1">
      <c r="B17" s="644" t="s">
        <v>542</v>
      </c>
      <c r="C17" s="645" t="s">
        <v>543</v>
      </c>
      <c r="D17" s="646" t="s">
        <v>544</v>
      </c>
      <c r="E17" s="647" t="s">
        <v>543</v>
      </c>
      <c r="F17" s="648"/>
      <c r="J17" s="163" t="s">
        <v>542</v>
      </c>
      <c r="K17" s="164" t="s">
        <v>543</v>
      </c>
      <c r="L17" s="165" t="s">
        <v>544</v>
      </c>
      <c r="M17" s="166" t="s">
        <v>543</v>
      </c>
      <c r="N17" s="167"/>
    </row>
    <row r="18" spans="2:14" ht="18" customHeight="1">
      <c r="B18" s="649" t="s">
        <v>545</v>
      </c>
      <c r="C18" s="650"/>
      <c r="D18" s="651"/>
      <c r="E18" s="652"/>
      <c r="F18" s="653"/>
      <c r="J18" s="168" t="s">
        <v>545</v>
      </c>
      <c r="K18" s="1106"/>
      <c r="L18" s="1107"/>
      <c r="M18" s="1108"/>
      <c r="N18" s="1109"/>
    </row>
    <row r="19" spans="2:14" ht="16.5" customHeight="1">
      <c r="B19" s="194" t="s">
        <v>546</v>
      </c>
      <c r="C19" s="174">
        <f>(CUTTING!J685)/60</f>
        <v>3.6935524242424265</v>
      </c>
      <c r="D19" s="175">
        <v>1.4430000000000001</v>
      </c>
      <c r="E19" s="176">
        <f>C19*D19</f>
        <v>5.3297961481818215</v>
      </c>
      <c r="F19" s="177"/>
      <c r="J19" s="1119" t="s">
        <v>546</v>
      </c>
      <c r="K19" s="1125">
        <f>C6</f>
        <v>3.6935524242424265</v>
      </c>
      <c r="L19" s="1110">
        <v>1.4430000000000001</v>
      </c>
      <c r="M19" s="1117">
        <f t="shared" ref="M19:M22" si="1">K19*L19</f>
        <v>5.3297961481818215</v>
      </c>
      <c r="N19" s="1120"/>
    </row>
    <row r="20" spans="2:14" ht="16.5" customHeight="1">
      <c r="B20" s="659" t="s">
        <v>547</v>
      </c>
      <c r="C20" s="179">
        <f>(CUTTING!L687)/60</f>
        <v>1.1582166666666667</v>
      </c>
      <c r="D20" s="175">
        <v>1.4430000000000001</v>
      </c>
      <c r="E20" s="176">
        <f>C20*D20</f>
        <v>1.67130665</v>
      </c>
      <c r="F20" s="177"/>
      <c r="J20" s="1121" t="s">
        <v>34</v>
      </c>
      <c r="K20" s="1125">
        <f>(CUTTING!L685-CUTTING!J685)/60</f>
        <v>0</v>
      </c>
      <c r="L20" s="1110">
        <v>1.4430000000000001</v>
      </c>
      <c r="M20" s="1117">
        <f t="shared" si="1"/>
        <v>0</v>
      </c>
      <c r="N20" s="1120"/>
    </row>
    <row r="21" spans="2:14" ht="16.5" customHeight="1">
      <c r="B21" s="194" t="s">
        <v>548</v>
      </c>
      <c r="C21" s="174">
        <f>C9</f>
        <v>19.074666666666666</v>
      </c>
      <c r="D21" s="175">
        <v>1.1379999999999999</v>
      </c>
      <c r="E21" s="176">
        <f>C21*D21</f>
        <v>21.706970666666663</v>
      </c>
      <c r="F21" s="177"/>
      <c r="J21" s="1119" t="s">
        <v>547</v>
      </c>
      <c r="K21" s="1125">
        <f>(CUTTING!L687)/60</f>
        <v>1.1582166666666667</v>
      </c>
      <c r="L21" s="1110">
        <v>1.4430000000000001</v>
      </c>
      <c r="M21" s="1117">
        <f t="shared" si="1"/>
        <v>1.67130665</v>
      </c>
      <c r="N21" s="1120"/>
    </row>
    <row r="22" spans="2:14" ht="18" customHeight="1" thickBot="1">
      <c r="B22" s="194" t="s">
        <v>549</v>
      </c>
      <c r="C22" s="174">
        <f>('High Voltage'!K111+'FA Conns and wires'!T112+'FA Taping'!J81+'FA Miscellaneos'!K141)/60</f>
        <v>58.601187500000002</v>
      </c>
      <c r="D22" s="175">
        <v>1.0780000000000001</v>
      </c>
      <c r="E22" s="176">
        <f>C22*D22</f>
        <v>63.172080125000008</v>
      </c>
      <c r="F22" s="177"/>
      <c r="J22" s="1119" t="s">
        <v>648</v>
      </c>
      <c r="K22" s="1125">
        <f>C9</f>
        <v>19.074666666666666</v>
      </c>
      <c r="L22" s="1110">
        <v>1.1379999999999999</v>
      </c>
      <c r="M22" s="1117">
        <f t="shared" si="1"/>
        <v>21.706970666666663</v>
      </c>
      <c r="N22" s="1120"/>
    </row>
    <row r="23" spans="2:14" ht="18" customHeight="1" thickBot="1">
      <c r="B23" s="654" t="s">
        <v>296</v>
      </c>
      <c r="C23" s="655">
        <f>SUM(C19:C22)</f>
        <v>82.527623257575755</v>
      </c>
      <c r="D23" s="656"/>
      <c r="E23" s="657">
        <f>SUM(E19:E22)</f>
        <v>91.88015358984849</v>
      </c>
      <c r="F23" s="658"/>
      <c r="J23" s="1122" t="s">
        <v>1470</v>
      </c>
      <c r="K23" s="1125">
        <f>'LEAD PREP'!K352/60</f>
        <v>2.4</v>
      </c>
      <c r="L23" s="1110">
        <v>1.1379999999999999</v>
      </c>
      <c r="M23" s="1117">
        <f>K23*L23</f>
        <v>2.7311999999999999</v>
      </c>
      <c r="N23" s="1120"/>
    </row>
    <row r="24" spans="2:14">
      <c r="J24" s="1123" t="s">
        <v>549</v>
      </c>
      <c r="K24" s="1125">
        <f>C10</f>
        <v>59.401187499999999</v>
      </c>
      <c r="L24" s="1110">
        <v>1.0780000000000001</v>
      </c>
      <c r="M24" s="1118">
        <f>K24*L24</f>
        <v>64.034480125000002</v>
      </c>
      <c r="N24" s="1124"/>
    </row>
    <row r="25" spans="2:14" ht="30.75" customHeight="1">
      <c r="J25" s="1123" t="s">
        <v>747</v>
      </c>
      <c r="K25" s="1125">
        <f>('FA Miscellaneos'!K142)/60</f>
        <v>6.7641</v>
      </c>
      <c r="L25" s="1110">
        <v>1.0780000000000001</v>
      </c>
      <c r="M25" s="1118">
        <f>K25*L25</f>
        <v>7.2916998000000008</v>
      </c>
      <c r="N25" s="1124"/>
    </row>
    <row r="26" spans="2:14" ht="18" customHeight="1">
      <c r="J26" s="1123" t="s">
        <v>748</v>
      </c>
      <c r="K26" s="1125">
        <f>(('FA Taping'!J82)+('FA Miscellaneos'!K143))/60</f>
        <v>2.9237500000000001</v>
      </c>
      <c r="L26" s="1110">
        <v>1.0780000000000001</v>
      </c>
      <c r="M26" s="1118">
        <f>K26*L26</f>
        <v>3.1518025000000001</v>
      </c>
      <c r="N26" s="1124"/>
    </row>
    <row r="27" spans="2:14" ht="18" customHeight="1" thickBot="1">
      <c r="J27" s="1112" t="s">
        <v>296</v>
      </c>
      <c r="K27" s="1113">
        <f>SUM(K19:K26)</f>
        <v>95.415473257575755</v>
      </c>
      <c r="L27" s="1114"/>
      <c r="M27" s="1115">
        <f>SUM(M19:M26)</f>
        <v>105.91725588984849</v>
      </c>
      <c r="N27" s="1116"/>
    </row>
    <row r="28" spans="2:14" ht="16.5" customHeight="1"/>
    <row r="29" spans="2:14" ht="16.5" customHeight="1"/>
    <row r="30" spans="2:14" ht="21" customHeight="1"/>
    <row r="49" spans="9:9">
      <c r="I49" s="461"/>
    </row>
  </sheetData>
  <mergeCells count="2">
    <mergeCell ref="B1:F1"/>
    <mergeCell ref="J14:N14"/>
  </mergeCells>
  <phoneticPr fontId="6" type="noConversion"/>
  <printOptions horizontalCentered="1"/>
  <pageMargins left="0" right="0" top="0.6" bottom="0.42" header="0.3" footer="0.17"/>
  <pageSetup scale="96" orientation="portrait" r:id="rId1"/>
  <headerFooter alignWithMargins="0">
    <oddFooter xml:space="preserve">&amp;R&amp;P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Q908"/>
  <sheetViews>
    <sheetView topLeftCell="A657" zoomScale="70" zoomScaleNormal="70" workbookViewId="0">
      <selection activeCell="F2" sqref="F2"/>
    </sheetView>
  </sheetViews>
  <sheetFormatPr defaultColWidth="9.33203125" defaultRowHeight="13.2"/>
  <cols>
    <col min="1" max="1" width="24.6640625" style="2" customWidth="1"/>
    <col min="2" max="2" width="23.33203125" style="1" customWidth="1"/>
    <col min="3" max="3" width="15.33203125" style="1" customWidth="1"/>
    <col min="4" max="4" width="9.33203125" style="1"/>
    <col min="5" max="5" width="8.44140625" style="1" customWidth="1"/>
    <col min="6" max="6" width="10" style="1" customWidth="1"/>
    <col min="7" max="7" width="10.33203125" style="1" customWidth="1"/>
    <col min="8" max="8" width="10.5546875" style="90" customWidth="1"/>
    <col min="9" max="9" width="9.6640625" style="1" customWidth="1"/>
    <col min="10" max="10" width="11.5546875" style="4" customWidth="1"/>
    <col min="11" max="11" width="9.6640625" style="1" customWidth="1"/>
    <col min="12" max="12" width="11.5546875" style="4" customWidth="1"/>
    <col min="13" max="13" width="9.33203125" style="1"/>
    <col min="14" max="14" width="13.6640625" style="1128" customWidth="1"/>
    <col min="15" max="15" width="17.5546875" style="1128" bestFit="1" customWidth="1"/>
    <col min="16" max="16" width="19.5546875" style="1128" bestFit="1" customWidth="1"/>
    <col min="17" max="17" width="35.6640625" style="1128" bestFit="1" customWidth="1"/>
    <col min="18" max="16384" width="9.33203125" style="1"/>
  </cols>
  <sheetData>
    <row r="1" spans="1:17" ht="13.8" thickBot="1"/>
    <row r="2" spans="1:17" ht="53.25" customHeight="1">
      <c r="A2" s="126" t="s">
        <v>95</v>
      </c>
      <c r="B2" s="127" t="s">
        <v>96</v>
      </c>
      <c r="C2" s="127" t="s">
        <v>685</v>
      </c>
      <c r="D2" s="127" t="s">
        <v>99</v>
      </c>
      <c r="E2" s="127" t="s">
        <v>100</v>
      </c>
      <c r="F2" s="127" t="s">
        <v>101</v>
      </c>
      <c r="G2" s="127" t="s">
        <v>102</v>
      </c>
      <c r="H2" s="218" t="s">
        <v>318</v>
      </c>
      <c r="I2" s="221" t="s">
        <v>2</v>
      </c>
      <c r="J2" s="150" t="s">
        <v>3</v>
      </c>
      <c r="K2" s="224" t="s">
        <v>0</v>
      </c>
      <c r="L2" s="225" t="s">
        <v>1</v>
      </c>
    </row>
    <row r="3" spans="1:17" s="4" customFormat="1" ht="12.75" customHeight="1">
      <c r="A3" s="1196" t="s">
        <v>871</v>
      </c>
      <c r="B3" s="1197" t="s">
        <v>872</v>
      </c>
      <c r="C3" s="1197" t="s">
        <v>873</v>
      </c>
      <c r="D3" s="406">
        <v>0.3</v>
      </c>
      <c r="E3" s="406">
        <v>5</v>
      </c>
      <c r="F3" s="406">
        <v>50</v>
      </c>
      <c r="G3" s="406">
        <v>1000</v>
      </c>
      <c r="H3" s="237">
        <v>1.2301000000000002</v>
      </c>
      <c r="I3" s="579"/>
      <c r="J3" s="11">
        <f t="shared" ref="J3:J25" si="0">+I3*H3</f>
        <v>0</v>
      </c>
      <c r="K3" s="584"/>
      <c r="L3" s="582">
        <f>J3</f>
        <v>0</v>
      </c>
      <c r="M3" s="772" t="s">
        <v>1146</v>
      </c>
      <c r="N3" s="1128"/>
      <c r="O3" s="1128"/>
      <c r="P3" s="1128"/>
      <c r="Q3" s="1129"/>
    </row>
    <row r="4" spans="1:17" s="4" customFormat="1" ht="12.75" customHeight="1">
      <c r="A4" s="1171"/>
      <c r="B4" s="1189"/>
      <c r="C4" s="1189"/>
      <c r="D4" s="406">
        <v>0.3</v>
      </c>
      <c r="E4" s="406">
        <v>5</v>
      </c>
      <c r="F4" s="10">
        <v>1001</v>
      </c>
      <c r="G4" s="10">
        <v>1500</v>
      </c>
      <c r="H4" s="237">
        <v>1.7050999999999998</v>
      </c>
      <c r="I4" s="579"/>
      <c r="J4" s="11">
        <f t="shared" si="0"/>
        <v>0</v>
      </c>
      <c r="K4" s="584"/>
      <c r="L4" s="582">
        <f t="shared" ref="L4:L25" si="1">J4</f>
        <v>0</v>
      </c>
      <c r="M4" s="772" t="s">
        <v>1146</v>
      </c>
      <c r="N4" s="1128"/>
      <c r="O4" s="1128"/>
      <c r="P4" s="1128"/>
      <c r="Q4" s="1129"/>
    </row>
    <row r="5" spans="1:17" s="4" customFormat="1" ht="12.75" customHeight="1">
      <c r="A5" s="1171"/>
      <c r="B5" s="1189"/>
      <c r="C5" s="1189"/>
      <c r="D5" s="406">
        <v>0.3</v>
      </c>
      <c r="E5" s="406">
        <v>5</v>
      </c>
      <c r="F5" s="10">
        <v>1501</v>
      </c>
      <c r="G5" s="10">
        <v>2000</v>
      </c>
      <c r="H5" s="237">
        <v>2.2101000000000002</v>
      </c>
      <c r="I5" s="579"/>
      <c r="J5" s="11">
        <f t="shared" si="0"/>
        <v>0</v>
      </c>
      <c r="K5" s="584"/>
      <c r="L5" s="582">
        <f t="shared" si="1"/>
        <v>0</v>
      </c>
      <c r="M5" s="772" t="s">
        <v>1146</v>
      </c>
      <c r="N5" s="1128"/>
      <c r="O5" s="1128"/>
      <c r="P5" s="1128"/>
      <c r="Q5" s="1129"/>
    </row>
    <row r="6" spans="1:17" s="4" customFormat="1" ht="12.75" customHeight="1">
      <c r="A6" s="1171"/>
      <c r="B6" s="1189"/>
      <c r="C6" s="1189"/>
      <c r="D6" s="406">
        <v>0.3</v>
      </c>
      <c r="E6" s="406">
        <v>5</v>
      </c>
      <c r="F6" s="10">
        <v>2001</v>
      </c>
      <c r="G6" s="10">
        <v>2500</v>
      </c>
      <c r="H6" s="237">
        <v>2.7450999999999999</v>
      </c>
      <c r="I6" s="579"/>
      <c r="J6" s="11">
        <f t="shared" si="0"/>
        <v>0</v>
      </c>
      <c r="K6" s="584"/>
      <c r="L6" s="582">
        <f t="shared" si="1"/>
        <v>0</v>
      </c>
      <c r="M6" s="772" t="s">
        <v>1146</v>
      </c>
      <c r="N6" s="1128"/>
      <c r="O6" s="1128"/>
      <c r="P6" s="1128"/>
      <c r="Q6" s="1129"/>
    </row>
    <row r="7" spans="1:17" s="4" customFormat="1" ht="12.75" customHeight="1">
      <c r="A7" s="1171"/>
      <c r="B7" s="1189"/>
      <c r="C7" s="1189"/>
      <c r="D7" s="406">
        <v>0.3</v>
      </c>
      <c r="E7" s="406">
        <v>5</v>
      </c>
      <c r="F7" s="10">
        <v>2501</v>
      </c>
      <c r="G7" s="10">
        <v>3000</v>
      </c>
      <c r="H7" s="237">
        <v>3.3100999999999998</v>
      </c>
      <c r="I7" s="579"/>
      <c r="J7" s="11">
        <f t="shared" si="0"/>
        <v>0</v>
      </c>
      <c r="K7" s="584"/>
      <c r="L7" s="582">
        <f t="shared" si="1"/>
        <v>0</v>
      </c>
      <c r="M7" s="772" t="s">
        <v>1146</v>
      </c>
      <c r="N7" s="1128"/>
      <c r="O7" s="1128"/>
      <c r="P7" s="1128"/>
      <c r="Q7" s="1129"/>
    </row>
    <row r="8" spans="1:17" s="4" customFormat="1" ht="12.75" customHeight="1">
      <c r="A8" s="1171"/>
      <c r="B8" s="1189"/>
      <c r="C8" s="1189"/>
      <c r="D8" s="406">
        <v>0.3</v>
      </c>
      <c r="E8" s="406">
        <v>5</v>
      </c>
      <c r="F8" s="10">
        <v>3001</v>
      </c>
      <c r="G8" s="10">
        <v>3500</v>
      </c>
      <c r="H8" s="237">
        <v>3.9051</v>
      </c>
      <c r="I8" s="579"/>
      <c r="J8" s="11">
        <f t="shared" si="0"/>
        <v>0</v>
      </c>
      <c r="K8" s="584"/>
      <c r="L8" s="582">
        <f t="shared" si="1"/>
        <v>0</v>
      </c>
      <c r="M8" s="772" t="s">
        <v>1146</v>
      </c>
      <c r="N8" s="1128"/>
      <c r="O8" s="1128"/>
      <c r="P8" s="1128"/>
      <c r="Q8" s="1129"/>
    </row>
    <row r="9" spans="1:17" s="4" customFormat="1" ht="12.75" customHeight="1">
      <c r="A9" s="1171"/>
      <c r="B9" s="1189"/>
      <c r="C9" s="1189"/>
      <c r="D9" s="406">
        <v>0.3</v>
      </c>
      <c r="E9" s="406">
        <v>5</v>
      </c>
      <c r="F9" s="10">
        <v>3501</v>
      </c>
      <c r="G9" s="10">
        <v>4000</v>
      </c>
      <c r="H9" s="237">
        <v>4.5301</v>
      </c>
      <c r="I9" s="579"/>
      <c r="J9" s="11">
        <f t="shared" si="0"/>
        <v>0</v>
      </c>
      <c r="K9" s="584"/>
      <c r="L9" s="582">
        <f t="shared" si="1"/>
        <v>0</v>
      </c>
      <c r="M9" s="772" t="s">
        <v>1146</v>
      </c>
      <c r="N9" s="1128"/>
      <c r="O9" s="1128"/>
      <c r="P9" s="1128"/>
      <c r="Q9" s="1129"/>
    </row>
    <row r="10" spans="1:17" s="4" customFormat="1" ht="12.75" customHeight="1">
      <c r="A10" s="1171"/>
      <c r="B10" s="1189"/>
      <c r="C10" s="1189"/>
      <c r="D10" s="406">
        <v>0.3</v>
      </c>
      <c r="E10" s="406">
        <v>5</v>
      </c>
      <c r="F10" s="10">
        <v>4001</v>
      </c>
      <c r="G10" s="10">
        <v>4500</v>
      </c>
      <c r="H10" s="237">
        <v>5.1850999999999994</v>
      </c>
      <c r="I10" s="579"/>
      <c r="J10" s="11">
        <f t="shared" si="0"/>
        <v>0</v>
      </c>
      <c r="K10" s="584"/>
      <c r="L10" s="582">
        <f t="shared" si="1"/>
        <v>0</v>
      </c>
      <c r="M10" s="772" t="s">
        <v>1146</v>
      </c>
      <c r="N10" s="1128"/>
      <c r="O10" s="1128"/>
      <c r="P10" s="1128"/>
      <c r="Q10" s="1129"/>
    </row>
    <row r="11" spans="1:17" s="4" customFormat="1" ht="12.75" customHeight="1">
      <c r="A11" s="1171"/>
      <c r="B11" s="1189"/>
      <c r="C11" s="1189"/>
      <c r="D11" s="406">
        <v>0.3</v>
      </c>
      <c r="E11" s="406">
        <v>5</v>
      </c>
      <c r="F11" s="10">
        <v>4501</v>
      </c>
      <c r="G11" s="10">
        <v>5000</v>
      </c>
      <c r="H11" s="237">
        <v>5.8700999999999999</v>
      </c>
      <c r="I11" s="579"/>
      <c r="J11" s="11">
        <f t="shared" si="0"/>
        <v>0</v>
      </c>
      <c r="K11" s="584"/>
      <c r="L11" s="582">
        <f t="shared" si="1"/>
        <v>0</v>
      </c>
      <c r="M11" s="772" t="s">
        <v>1146</v>
      </c>
      <c r="N11" s="1128"/>
      <c r="O11" s="1128"/>
      <c r="P11" s="1128"/>
      <c r="Q11" s="1129"/>
    </row>
    <row r="12" spans="1:17" s="4" customFormat="1" ht="12.75" customHeight="1">
      <c r="A12" s="1171"/>
      <c r="B12" s="1189"/>
      <c r="C12" s="1189"/>
      <c r="D12" s="406">
        <v>0.3</v>
      </c>
      <c r="E12" s="406">
        <v>5</v>
      </c>
      <c r="F12" s="10">
        <v>5001</v>
      </c>
      <c r="G12" s="10">
        <v>5500</v>
      </c>
      <c r="H12" s="237">
        <v>6.5850999999999997</v>
      </c>
      <c r="I12" s="579"/>
      <c r="J12" s="11">
        <f t="shared" si="0"/>
        <v>0</v>
      </c>
      <c r="K12" s="584"/>
      <c r="L12" s="582">
        <f t="shared" si="1"/>
        <v>0</v>
      </c>
      <c r="M12" s="772" t="s">
        <v>1146</v>
      </c>
      <c r="N12" s="1128"/>
      <c r="O12" s="1128"/>
      <c r="P12" s="1128"/>
      <c r="Q12" s="1129"/>
    </row>
    <row r="13" spans="1:17" s="4" customFormat="1" ht="12.75" customHeight="1">
      <c r="A13" s="1171"/>
      <c r="B13" s="1189"/>
      <c r="C13" s="1189"/>
      <c r="D13" s="406">
        <v>0.3</v>
      </c>
      <c r="E13" s="406">
        <v>5</v>
      </c>
      <c r="F13" s="10">
        <v>5501</v>
      </c>
      <c r="G13" s="10">
        <v>6000</v>
      </c>
      <c r="H13" s="237">
        <v>7.3050999999999995</v>
      </c>
      <c r="I13" s="579"/>
      <c r="J13" s="11">
        <f t="shared" si="0"/>
        <v>0</v>
      </c>
      <c r="K13" s="584"/>
      <c r="L13" s="582">
        <f t="shared" si="1"/>
        <v>0</v>
      </c>
      <c r="M13" s="772" t="s">
        <v>1146</v>
      </c>
      <c r="N13" s="1128"/>
      <c r="O13" s="1128"/>
      <c r="P13" s="1128"/>
      <c r="Q13" s="1129"/>
    </row>
    <row r="14" spans="1:17" s="4" customFormat="1" ht="12.75" customHeight="1">
      <c r="A14" s="1171"/>
      <c r="B14" s="1189"/>
      <c r="C14" s="1189"/>
      <c r="D14" s="406">
        <v>0.3</v>
      </c>
      <c r="E14" s="406">
        <v>5</v>
      </c>
      <c r="F14" s="10">
        <v>6001</v>
      </c>
      <c r="G14" s="10">
        <v>6500</v>
      </c>
      <c r="H14" s="237">
        <v>8.0251000000000001</v>
      </c>
      <c r="I14" s="579"/>
      <c r="J14" s="11">
        <f t="shared" si="0"/>
        <v>0</v>
      </c>
      <c r="K14" s="584"/>
      <c r="L14" s="582">
        <f t="shared" si="1"/>
        <v>0</v>
      </c>
      <c r="M14" s="772" t="s">
        <v>1146</v>
      </c>
      <c r="N14" s="1128"/>
      <c r="O14" s="1128"/>
      <c r="P14" s="1128"/>
      <c r="Q14" s="1129"/>
    </row>
    <row r="15" spans="1:17" s="4" customFormat="1" ht="12.75" customHeight="1">
      <c r="A15" s="1171"/>
      <c r="B15" s="1189"/>
      <c r="C15" s="1189"/>
      <c r="D15" s="406">
        <v>0.3</v>
      </c>
      <c r="E15" s="406">
        <v>5</v>
      </c>
      <c r="F15" s="406">
        <v>6501</v>
      </c>
      <c r="G15" s="406">
        <v>7000</v>
      </c>
      <c r="H15" s="237">
        <v>8.7451000000000008</v>
      </c>
      <c r="I15" s="579"/>
      <c r="J15" s="11">
        <f t="shared" si="0"/>
        <v>0</v>
      </c>
      <c r="K15" s="584"/>
      <c r="L15" s="582">
        <f t="shared" si="1"/>
        <v>0</v>
      </c>
      <c r="M15" s="772" t="s">
        <v>1146</v>
      </c>
      <c r="N15" s="1128"/>
      <c r="O15" s="1128"/>
      <c r="P15" s="1128"/>
      <c r="Q15" s="1129"/>
    </row>
    <row r="16" spans="1:17" s="4" customFormat="1" ht="12.75" customHeight="1">
      <c r="A16" s="1171"/>
      <c r="B16" s="1189"/>
      <c r="C16" s="1189"/>
      <c r="D16" s="406">
        <v>0.3</v>
      </c>
      <c r="E16" s="406">
        <v>5</v>
      </c>
      <c r="F16" s="10">
        <v>7001</v>
      </c>
      <c r="G16" s="10">
        <v>7500</v>
      </c>
      <c r="H16" s="237">
        <v>9.4651000000000014</v>
      </c>
      <c r="I16" s="579"/>
      <c r="J16" s="11">
        <f t="shared" si="0"/>
        <v>0</v>
      </c>
      <c r="K16" s="584"/>
      <c r="L16" s="582">
        <f t="shared" si="1"/>
        <v>0</v>
      </c>
      <c r="M16" s="772" t="s">
        <v>1146</v>
      </c>
      <c r="N16" s="1128"/>
      <c r="O16" s="1128"/>
      <c r="P16" s="1128"/>
      <c r="Q16" s="1129"/>
    </row>
    <row r="17" spans="1:17" s="4" customFormat="1" ht="12.75" customHeight="1">
      <c r="A17" s="1171"/>
      <c r="B17" s="1189"/>
      <c r="C17" s="1189"/>
      <c r="D17" s="406">
        <v>0.3</v>
      </c>
      <c r="E17" s="406">
        <v>5</v>
      </c>
      <c r="F17" s="10">
        <v>7501</v>
      </c>
      <c r="G17" s="10">
        <v>8000</v>
      </c>
      <c r="H17" s="237">
        <v>10.185100000000002</v>
      </c>
      <c r="I17" s="579"/>
      <c r="J17" s="11">
        <f t="shared" si="0"/>
        <v>0</v>
      </c>
      <c r="K17" s="584"/>
      <c r="L17" s="582">
        <f t="shared" si="1"/>
        <v>0</v>
      </c>
      <c r="M17" s="772" t="s">
        <v>1146</v>
      </c>
      <c r="N17" s="1128"/>
      <c r="O17" s="1128"/>
      <c r="P17" s="1128"/>
      <c r="Q17" s="1129"/>
    </row>
    <row r="18" spans="1:17" s="4" customFormat="1" ht="12.75" customHeight="1">
      <c r="A18" s="1171"/>
      <c r="B18" s="1189"/>
      <c r="C18" s="1189"/>
      <c r="D18" s="406">
        <v>0.3</v>
      </c>
      <c r="E18" s="406">
        <v>5</v>
      </c>
      <c r="F18" s="10">
        <v>8001</v>
      </c>
      <c r="G18" s="10">
        <v>8500</v>
      </c>
      <c r="H18" s="237">
        <v>10.905100000000003</v>
      </c>
      <c r="I18" s="579"/>
      <c r="J18" s="11">
        <f t="shared" si="0"/>
        <v>0</v>
      </c>
      <c r="K18" s="584"/>
      <c r="L18" s="582">
        <f t="shared" si="1"/>
        <v>0</v>
      </c>
      <c r="M18" s="772" t="s">
        <v>1146</v>
      </c>
      <c r="N18" s="1128"/>
      <c r="O18" s="1128"/>
      <c r="P18" s="1128"/>
      <c r="Q18" s="1129"/>
    </row>
    <row r="19" spans="1:17" s="4" customFormat="1" ht="12.75" customHeight="1">
      <c r="A19" s="1171"/>
      <c r="B19" s="1189"/>
      <c r="C19" s="1189"/>
      <c r="D19" s="406">
        <v>0.3</v>
      </c>
      <c r="E19" s="406">
        <v>5</v>
      </c>
      <c r="F19" s="10">
        <v>8501</v>
      </c>
      <c r="G19" s="10">
        <v>9000</v>
      </c>
      <c r="H19" s="237">
        <v>11.625100000000003</v>
      </c>
      <c r="I19" s="579"/>
      <c r="J19" s="11">
        <f t="shared" si="0"/>
        <v>0</v>
      </c>
      <c r="K19" s="584"/>
      <c r="L19" s="582">
        <f t="shared" si="1"/>
        <v>0</v>
      </c>
      <c r="M19" s="772" t="s">
        <v>1146</v>
      </c>
      <c r="N19" s="1128"/>
      <c r="O19" s="1128"/>
      <c r="P19" s="1128"/>
      <c r="Q19" s="1129"/>
    </row>
    <row r="20" spans="1:17" s="4" customFormat="1" ht="12.75" customHeight="1">
      <c r="A20" s="1171"/>
      <c r="B20" s="1189"/>
      <c r="C20" s="1189"/>
      <c r="D20" s="406">
        <v>0.3</v>
      </c>
      <c r="E20" s="406">
        <v>5</v>
      </c>
      <c r="F20" s="10">
        <v>9001</v>
      </c>
      <c r="G20" s="10">
        <v>9500</v>
      </c>
      <c r="H20" s="237">
        <v>12.345100000000004</v>
      </c>
      <c r="I20" s="579"/>
      <c r="J20" s="11">
        <f t="shared" si="0"/>
        <v>0</v>
      </c>
      <c r="K20" s="584"/>
      <c r="L20" s="582">
        <f t="shared" si="1"/>
        <v>0</v>
      </c>
      <c r="M20" s="772" t="s">
        <v>1146</v>
      </c>
      <c r="N20" s="1128"/>
      <c r="O20" s="1128"/>
      <c r="P20" s="1128"/>
      <c r="Q20" s="1129"/>
    </row>
    <row r="21" spans="1:17" s="4" customFormat="1" ht="12.75" customHeight="1">
      <c r="A21" s="1171"/>
      <c r="B21" s="1189"/>
      <c r="C21" s="1189"/>
      <c r="D21" s="406">
        <v>0.3</v>
      </c>
      <c r="E21" s="406">
        <v>5</v>
      </c>
      <c r="F21" s="10">
        <v>9501</v>
      </c>
      <c r="G21" s="10">
        <v>10000</v>
      </c>
      <c r="H21" s="237">
        <v>13.065099999999999</v>
      </c>
      <c r="I21" s="579"/>
      <c r="J21" s="11">
        <f>+I21*H21</f>
        <v>0</v>
      </c>
      <c r="K21" s="584"/>
      <c r="L21" s="582">
        <f>J21</f>
        <v>0</v>
      </c>
      <c r="M21" s="772" t="s">
        <v>1146</v>
      </c>
      <c r="N21" s="1128"/>
      <c r="O21" s="1128"/>
      <c r="P21" s="1128"/>
      <c r="Q21" s="1129"/>
    </row>
    <row r="22" spans="1:17" s="4" customFormat="1" ht="12.75" customHeight="1">
      <c r="A22" s="1171"/>
      <c r="B22" s="1189"/>
      <c r="C22" s="1189"/>
      <c r="D22" s="406"/>
      <c r="E22" s="406"/>
      <c r="F22" s="10"/>
      <c r="G22" s="10"/>
      <c r="H22" s="237"/>
      <c r="I22" s="579"/>
      <c r="J22" s="11">
        <f>+I22*H22</f>
        <v>0</v>
      </c>
      <c r="K22" s="584"/>
      <c r="L22" s="582">
        <f>J22</f>
        <v>0</v>
      </c>
      <c r="N22" s="1128"/>
      <c r="O22" s="1128"/>
      <c r="P22" s="1128"/>
      <c r="Q22" s="1129"/>
    </row>
    <row r="23" spans="1:17" s="4" customFormat="1" ht="12.75" customHeight="1">
      <c r="A23" s="1171"/>
      <c r="B23" s="1189"/>
      <c r="C23" s="1189"/>
      <c r="D23" s="406"/>
      <c r="E23" s="406"/>
      <c r="F23" s="10"/>
      <c r="G23" s="10"/>
      <c r="H23" s="237"/>
      <c r="I23" s="579"/>
      <c r="J23" s="11">
        <f>+I23*H23</f>
        <v>0</v>
      </c>
      <c r="K23" s="584"/>
      <c r="L23" s="582">
        <f>J23</f>
        <v>0</v>
      </c>
      <c r="N23" s="1128"/>
      <c r="O23" s="1128"/>
      <c r="P23" s="1128"/>
      <c r="Q23" s="1129"/>
    </row>
    <row r="24" spans="1:17" s="4" customFormat="1" ht="12.75" customHeight="1">
      <c r="A24" s="1171"/>
      <c r="B24" s="1189"/>
      <c r="C24" s="1189"/>
      <c r="D24" s="406"/>
      <c r="E24" s="406"/>
      <c r="F24" s="10"/>
      <c r="G24" s="10"/>
      <c r="H24" s="237"/>
      <c r="I24" s="579"/>
      <c r="J24" s="11">
        <f>+I24*H24</f>
        <v>0</v>
      </c>
      <c r="K24" s="584"/>
      <c r="L24" s="582">
        <f>J24</f>
        <v>0</v>
      </c>
      <c r="N24" s="1128"/>
      <c r="O24" s="1128"/>
      <c r="P24" s="1128"/>
      <c r="Q24" s="1129"/>
    </row>
    <row r="25" spans="1:17" s="4" customFormat="1" ht="12.75" customHeight="1" thickBot="1">
      <c r="A25" s="1172"/>
      <c r="B25" s="1198"/>
      <c r="C25" s="1198"/>
      <c r="D25" s="12"/>
      <c r="E25" s="12"/>
      <c r="F25" s="12"/>
      <c r="G25" s="12"/>
      <c r="H25" s="238"/>
      <c r="I25" s="581"/>
      <c r="J25" s="13">
        <f t="shared" si="0"/>
        <v>0</v>
      </c>
      <c r="K25" s="585"/>
      <c r="L25" s="583">
        <f t="shared" si="1"/>
        <v>0</v>
      </c>
      <c r="N25" s="1128"/>
      <c r="O25" s="1128"/>
      <c r="P25" s="1128"/>
      <c r="Q25" s="1129"/>
    </row>
    <row r="26" spans="1:17" ht="12.75" customHeight="1">
      <c r="A26" s="1213" t="s">
        <v>1160</v>
      </c>
      <c r="B26" s="1207" t="s">
        <v>559</v>
      </c>
      <c r="C26" s="1207" t="s">
        <v>1163</v>
      </c>
      <c r="D26" s="406">
        <v>0.2</v>
      </c>
      <c r="E26" s="406">
        <v>10</v>
      </c>
      <c r="F26" s="406">
        <v>60</v>
      </c>
      <c r="G26" s="406">
        <v>100</v>
      </c>
      <c r="H26" s="580">
        <v>4.16</v>
      </c>
      <c r="I26" s="219"/>
      <c r="J26" s="220">
        <f t="shared" ref="J26:J58" si="2">+I26*H26</f>
        <v>0</v>
      </c>
      <c r="K26" s="223"/>
      <c r="L26" s="220">
        <f>IF(K26&gt;I26,"ERROR",(K26*H26)*0.1+J26)</f>
        <v>0</v>
      </c>
      <c r="M26" s="772" t="s">
        <v>1146</v>
      </c>
      <c r="Q26" s="1129"/>
    </row>
    <row r="27" spans="1:17" ht="12.75" customHeight="1">
      <c r="A27" s="1213"/>
      <c r="B27" s="1207"/>
      <c r="C27" s="1207"/>
      <c r="D27" s="10">
        <v>0.2</v>
      </c>
      <c r="E27" s="10">
        <v>10</v>
      </c>
      <c r="F27" s="406">
        <v>101</v>
      </c>
      <c r="G27" s="406">
        <v>1000</v>
      </c>
      <c r="H27" s="237">
        <v>4.16</v>
      </c>
      <c r="I27" s="219">
        <v>1</v>
      </c>
      <c r="J27" s="220">
        <f t="shared" si="2"/>
        <v>4.16</v>
      </c>
      <c r="K27" s="223"/>
      <c r="L27" s="220">
        <f>IF(K27&gt;I27,"ERROR",(K27*H27)*0.1+J27)</f>
        <v>4.16</v>
      </c>
      <c r="M27" s="772" t="s">
        <v>1146</v>
      </c>
      <c r="Q27" s="1129"/>
    </row>
    <row r="28" spans="1:17" ht="12.75" customHeight="1">
      <c r="A28" s="1214"/>
      <c r="B28" s="1216"/>
      <c r="C28" s="1208"/>
      <c r="D28" s="10">
        <v>0.2</v>
      </c>
      <c r="E28" s="10">
        <v>10</v>
      </c>
      <c r="F28" s="10">
        <v>1001</v>
      </c>
      <c r="G28" s="10">
        <v>2000</v>
      </c>
      <c r="H28" s="237">
        <v>5.43</v>
      </c>
      <c r="I28" s="74"/>
      <c r="J28" s="11">
        <f t="shared" si="2"/>
        <v>0</v>
      </c>
      <c r="K28" s="209"/>
      <c r="L28" s="11">
        <f>IF(K28&gt;I28,"ERROR",(K28*H28)*0.15+J28)</f>
        <v>0</v>
      </c>
      <c r="M28" s="772" t="s">
        <v>1146</v>
      </c>
      <c r="Q28" s="1129"/>
    </row>
    <row r="29" spans="1:17" ht="12.75" customHeight="1">
      <c r="A29" s="1214"/>
      <c r="B29" s="1216"/>
      <c r="C29" s="1208"/>
      <c r="D29" s="10">
        <v>0.2</v>
      </c>
      <c r="E29" s="10">
        <v>10</v>
      </c>
      <c r="F29" s="10">
        <v>2001</v>
      </c>
      <c r="G29" s="10">
        <v>3000</v>
      </c>
      <c r="H29" s="237">
        <v>6.6</v>
      </c>
      <c r="I29" s="74"/>
      <c r="J29" s="11">
        <f t="shared" si="2"/>
        <v>0</v>
      </c>
      <c r="K29" s="209"/>
      <c r="L29" s="11">
        <f>IF(K29&gt;I29,"ERROR",(K29*H29)*0.2+J29)</f>
        <v>0</v>
      </c>
      <c r="M29" s="772" t="s">
        <v>1146</v>
      </c>
      <c r="Q29" s="1129"/>
    </row>
    <row r="30" spans="1:17" ht="12.75" customHeight="1">
      <c r="A30" s="1214"/>
      <c r="B30" s="1216"/>
      <c r="C30" s="1208"/>
      <c r="D30" s="10">
        <v>0.2</v>
      </c>
      <c r="E30" s="10">
        <v>10</v>
      </c>
      <c r="F30" s="10">
        <v>3001</v>
      </c>
      <c r="G30" s="10">
        <v>4000</v>
      </c>
      <c r="H30" s="237">
        <v>7.74</v>
      </c>
      <c r="I30" s="74"/>
      <c r="J30" s="11">
        <f t="shared" si="2"/>
        <v>0</v>
      </c>
      <c r="K30" s="209"/>
      <c r="L30" s="11">
        <f>IF(K30&gt;I30,"ERROR",(K30*H30)*0.25+J30)</f>
        <v>0</v>
      </c>
      <c r="M30" s="772" t="s">
        <v>1146</v>
      </c>
      <c r="Q30" s="1129"/>
    </row>
    <row r="31" spans="1:17" ht="12.75" customHeight="1">
      <c r="A31" s="1214"/>
      <c r="B31" s="1216"/>
      <c r="C31" s="1208"/>
      <c r="D31" s="10">
        <v>0.2</v>
      </c>
      <c r="E31" s="10">
        <v>10</v>
      </c>
      <c r="F31" s="10">
        <v>4001</v>
      </c>
      <c r="G31" s="10">
        <v>5000</v>
      </c>
      <c r="H31" s="237">
        <v>8.9</v>
      </c>
      <c r="I31" s="74"/>
      <c r="J31" s="11">
        <f t="shared" si="2"/>
        <v>0</v>
      </c>
      <c r="K31" s="209"/>
      <c r="L31" s="11">
        <f t="shared" ref="L31:L44" si="3">IF(K31&gt;I31,"ERROR",(K31*H31)*0.3+J31)</f>
        <v>0</v>
      </c>
      <c r="M31" s="772" t="s">
        <v>1146</v>
      </c>
      <c r="Q31" s="1129"/>
    </row>
    <row r="32" spans="1:17" ht="12.75" customHeight="1">
      <c r="A32" s="1214"/>
      <c r="B32" s="1216"/>
      <c r="C32" s="1208"/>
      <c r="D32" s="10">
        <v>0.2</v>
      </c>
      <c r="E32" s="10">
        <v>10</v>
      </c>
      <c r="F32" s="10">
        <v>5001</v>
      </c>
      <c r="G32" s="10">
        <v>6000</v>
      </c>
      <c r="H32" s="237">
        <v>9.99</v>
      </c>
      <c r="I32" s="74"/>
      <c r="J32" s="11">
        <f t="shared" si="2"/>
        <v>0</v>
      </c>
      <c r="K32" s="209"/>
      <c r="L32" s="11">
        <f t="shared" si="3"/>
        <v>0</v>
      </c>
      <c r="M32" s="772" t="s">
        <v>1146</v>
      </c>
      <c r="Q32" s="1129"/>
    </row>
    <row r="33" spans="1:17" s="4" customFormat="1" ht="12.75" customHeight="1">
      <c r="A33" s="1214"/>
      <c r="B33" s="1216"/>
      <c r="C33" s="1208"/>
      <c r="D33" s="10">
        <v>0.2</v>
      </c>
      <c r="E33" s="10">
        <v>10</v>
      </c>
      <c r="F33" s="10">
        <v>6001</v>
      </c>
      <c r="G33" s="10">
        <v>7000</v>
      </c>
      <c r="H33" s="237">
        <v>10.68</v>
      </c>
      <c r="I33" s="74"/>
      <c r="J33" s="11">
        <f t="shared" si="2"/>
        <v>0</v>
      </c>
      <c r="K33" s="209"/>
      <c r="L33" s="11">
        <f t="shared" si="3"/>
        <v>0</v>
      </c>
      <c r="M33" s="772" t="s">
        <v>1146</v>
      </c>
      <c r="N33" s="1128"/>
      <c r="O33" s="1128"/>
      <c r="P33" s="1128"/>
      <c r="Q33" s="1129"/>
    </row>
    <row r="34" spans="1:17" ht="12.75" customHeight="1">
      <c r="A34" s="1214"/>
      <c r="B34" s="1216"/>
      <c r="C34" s="1208"/>
      <c r="D34" s="10">
        <v>0.2</v>
      </c>
      <c r="E34" s="10">
        <v>10</v>
      </c>
      <c r="F34" s="10">
        <v>7001</v>
      </c>
      <c r="G34" s="10">
        <v>8000</v>
      </c>
      <c r="H34" s="237">
        <v>12.37</v>
      </c>
      <c r="I34" s="74"/>
      <c r="J34" s="11">
        <f t="shared" si="2"/>
        <v>0</v>
      </c>
      <c r="K34" s="209"/>
      <c r="L34" s="11">
        <f t="shared" si="3"/>
        <v>0</v>
      </c>
      <c r="M34" s="772" t="s">
        <v>1146</v>
      </c>
      <c r="Q34" s="1129"/>
    </row>
    <row r="35" spans="1:17" ht="12.75" customHeight="1">
      <c r="A35" s="1214"/>
      <c r="B35" s="1216"/>
      <c r="C35" s="1208"/>
      <c r="D35" s="10">
        <v>0.2</v>
      </c>
      <c r="E35" s="10">
        <v>10</v>
      </c>
      <c r="F35" s="10">
        <v>8001</v>
      </c>
      <c r="G35" s="10">
        <v>9000</v>
      </c>
      <c r="H35" s="237">
        <v>13.01</v>
      </c>
      <c r="I35" s="74"/>
      <c r="J35" s="11">
        <f t="shared" si="2"/>
        <v>0</v>
      </c>
      <c r="K35" s="209"/>
      <c r="L35" s="11">
        <f t="shared" si="3"/>
        <v>0</v>
      </c>
      <c r="M35" s="772" t="s">
        <v>1146</v>
      </c>
      <c r="Q35" s="1129"/>
    </row>
    <row r="36" spans="1:17" ht="12.75" customHeight="1">
      <c r="A36" s="1214"/>
      <c r="B36" s="1216"/>
      <c r="C36" s="1208"/>
      <c r="D36" s="10">
        <v>0.2</v>
      </c>
      <c r="E36" s="10">
        <v>10</v>
      </c>
      <c r="F36" s="10">
        <v>9001</v>
      </c>
      <c r="G36" s="10">
        <v>10000</v>
      </c>
      <c r="H36" s="237">
        <v>14.68</v>
      </c>
      <c r="I36" s="74"/>
      <c r="J36" s="11">
        <f t="shared" si="2"/>
        <v>0</v>
      </c>
      <c r="K36" s="209"/>
      <c r="L36" s="11">
        <f t="shared" si="3"/>
        <v>0</v>
      </c>
      <c r="M36" s="772" t="s">
        <v>1146</v>
      </c>
      <c r="Q36" s="1129"/>
    </row>
    <row r="37" spans="1:17" ht="12.75" customHeight="1">
      <c r="A37" s="1214"/>
      <c r="B37" s="1216"/>
      <c r="C37" s="1208"/>
      <c r="D37" s="10">
        <v>0.2</v>
      </c>
      <c r="E37" s="10">
        <v>10</v>
      </c>
      <c r="F37" s="10">
        <v>10001</v>
      </c>
      <c r="G37" s="10">
        <v>11000</v>
      </c>
      <c r="H37" s="237">
        <v>15.35</v>
      </c>
      <c r="I37" s="74"/>
      <c r="J37" s="11">
        <f t="shared" si="2"/>
        <v>0</v>
      </c>
      <c r="K37" s="209"/>
      <c r="L37" s="11">
        <f t="shared" si="3"/>
        <v>0</v>
      </c>
      <c r="M37" s="772" t="s">
        <v>1146</v>
      </c>
      <c r="Q37" s="1129"/>
    </row>
    <row r="38" spans="1:17" ht="12.75" customHeight="1">
      <c r="A38" s="1214"/>
      <c r="B38" s="1216"/>
      <c r="C38" s="1208"/>
      <c r="D38" s="10">
        <v>0.2</v>
      </c>
      <c r="E38" s="10">
        <v>10</v>
      </c>
      <c r="F38" s="10">
        <v>11001</v>
      </c>
      <c r="G38" s="10">
        <v>12000</v>
      </c>
      <c r="H38" s="237">
        <v>15.96</v>
      </c>
      <c r="I38" s="74"/>
      <c r="J38" s="11">
        <f t="shared" si="2"/>
        <v>0</v>
      </c>
      <c r="K38" s="209"/>
      <c r="L38" s="11">
        <f t="shared" si="3"/>
        <v>0</v>
      </c>
      <c r="M38" s="772" t="s">
        <v>1146</v>
      </c>
      <c r="Q38" s="1129"/>
    </row>
    <row r="39" spans="1:17" ht="12.75" customHeight="1">
      <c r="A39" s="1196"/>
      <c r="B39" s="1217"/>
      <c r="C39" s="1209"/>
      <c r="D39" s="10">
        <v>0.2</v>
      </c>
      <c r="E39" s="10">
        <v>10</v>
      </c>
      <c r="F39" s="10">
        <v>12001</v>
      </c>
      <c r="G39" s="10">
        <v>13000</v>
      </c>
      <c r="H39" s="237">
        <v>16.579999999999998</v>
      </c>
      <c r="I39" s="74"/>
      <c r="J39" s="11">
        <f>+I39*H39</f>
        <v>0</v>
      </c>
      <c r="K39" s="209"/>
      <c r="L39" s="11">
        <f>IF(K39&gt;I39,"ERROR",(K39*H39)*0.3+J39)</f>
        <v>0</v>
      </c>
      <c r="M39" s="772" t="s">
        <v>1146</v>
      </c>
      <c r="Q39" s="1129"/>
    </row>
    <row r="40" spans="1:17" ht="12.75" customHeight="1">
      <c r="A40" s="1196"/>
      <c r="B40" s="1217"/>
      <c r="C40" s="1209"/>
      <c r="D40" s="10">
        <v>0.2</v>
      </c>
      <c r="E40" s="10">
        <v>10</v>
      </c>
      <c r="F40" s="10">
        <v>13001</v>
      </c>
      <c r="G40" s="10">
        <v>14000</v>
      </c>
      <c r="H40" s="237">
        <v>17.22</v>
      </c>
      <c r="I40" s="74"/>
      <c r="J40" s="11">
        <f>+I40*H40</f>
        <v>0</v>
      </c>
      <c r="K40" s="209"/>
      <c r="L40" s="11">
        <f>IF(K40&gt;I40,"ERROR",(K40*H40)*0.3+J40)</f>
        <v>0</v>
      </c>
      <c r="M40" s="772" t="s">
        <v>1146</v>
      </c>
      <c r="Q40" s="1129"/>
    </row>
    <row r="41" spans="1:17" ht="12.75" customHeight="1">
      <c r="A41" s="1196"/>
      <c r="B41" s="1217"/>
      <c r="C41" s="1209"/>
      <c r="D41" s="10"/>
      <c r="E41" s="10"/>
      <c r="F41" s="10"/>
      <c r="G41" s="10"/>
      <c r="H41" s="237"/>
      <c r="I41" s="74"/>
      <c r="J41" s="11">
        <f>+I41*H41</f>
        <v>0</v>
      </c>
      <c r="K41" s="209"/>
      <c r="L41" s="11">
        <f>IF(K41&gt;I41,"ERROR",(K41*H41)*0.3+J41)</f>
        <v>0</v>
      </c>
      <c r="Q41" s="1129"/>
    </row>
    <row r="42" spans="1:17" ht="12.75" customHeight="1">
      <c r="A42" s="1196"/>
      <c r="B42" s="1217"/>
      <c r="C42" s="1209"/>
      <c r="D42" s="10"/>
      <c r="E42" s="10"/>
      <c r="F42" s="10"/>
      <c r="G42" s="10"/>
      <c r="H42" s="237"/>
      <c r="I42" s="74"/>
      <c r="J42" s="11">
        <f>+I42*H42</f>
        <v>0</v>
      </c>
      <c r="K42" s="209"/>
      <c r="L42" s="11">
        <f>IF(K42&gt;I42,"ERROR",(K42*H42)*0.3+J42)</f>
        <v>0</v>
      </c>
      <c r="Q42" s="1129"/>
    </row>
    <row r="43" spans="1:17" ht="12.75" customHeight="1">
      <c r="A43" s="1196"/>
      <c r="B43" s="1217"/>
      <c r="C43" s="1209"/>
      <c r="D43" s="10"/>
      <c r="E43" s="10"/>
      <c r="F43" s="10"/>
      <c r="G43" s="10"/>
      <c r="H43" s="237"/>
      <c r="I43" s="74"/>
      <c r="J43" s="11">
        <f>+I43*H43</f>
        <v>0</v>
      </c>
      <c r="K43" s="209"/>
      <c r="L43" s="11">
        <f>IF(K43&gt;I43,"ERROR",(K43*H43)*0.3+J43)</f>
        <v>0</v>
      </c>
      <c r="Q43" s="1129"/>
    </row>
    <row r="44" spans="1:17" ht="13.5" customHeight="1" thickBot="1">
      <c r="A44" s="1215"/>
      <c r="B44" s="1218"/>
      <c r="C44" s="1210"/>
      <c r="D44" s="12"/>
      <c r="E44" s="12"/>
      <c r="F44" s="12"/>
      <c r="G44" s="12"/>
      <c r="H44" s="238"/>
      <c r="I44" s="75"/>
      <c r="J44" s="13">
        <f t="shared" si="2"/>
        <v>0</v>
      </c>
      <c r="K44" s="210"/>
      <c r="L44" s="11">
        <f t="shared" si="3"/>
        <v>0</v>
      </c>
      <c r="Q44" s="1129"/>
    </row>
    <row r="45" spans="1:17" ht="12.75" customHeight="1">
      <c r="A45" s="1170" t="s">
        <v>105</v>
      </c>
      <c r="B45" s="1179" t="s">
        <v>118</v>
      </c>
      <c r="C45" s="1179" t="s">
        <v>1169</v>
      </c>
      <c r="D45" s="7">
        <v>6</v>
      </c>
      <c r="E45" s="7">
        <v>10</v>
      </c>
      <c r="F45" s="7">
        <v>60</v>
      </c>
      <c r="G45" s="7">
        <v>100</v>
      </c>
      <c r="H45" s="237">
        <v>3.34</v>
      </c>
      <c r="I45" s="73"/>
      <c r="J45" s="8">
        <f t="shared" si="2"/>
        <v>0</v>
      </c>
      <c r="K45" s="211"/>
      <c r="L45" s="8">
        <f>IF(K45&gt;I45,"ERROR",(K45*H45)*0.1+J45)</f>
        <v>0</v>
      </c>
      <c r="M45" s="772" t="s">
        <v>1146</v>
      </c>
      <c r="Q45" s="1129"/>
    </row>
    <row r="46" spans="1:17" ht="12.75" customHeight="1">
      <c r="A46" s="1171"/>
      <c r="B46" s="1180"/>
      <c r="C46" s="1180"/>
      <c r="D46" s="406">
        <v>6</v>
      </c>
      <c r="E46" s="406">
        <v>10</v>
      </c>
      <c r="F46" s="406">
        <v>101</v>
      </c>
      <c r="G46" s="406">
        <v>1000</v>
      </c>
      <c r="H46" s="237">
        <v>3.34</v>
      </c>
      <c r="I46" s="219">
        <v>2</v>
      </c>
      <c r="J46" s="220">
        <f t="shared" si="2"/>
        <v>6.68</v>
      </c>
      <c r="K46" s="223"/>
      <c r="L46" s="220">
        <f>IF(K46&gt;I46,"ERROR",(K46*H46)*0.1+J46)</f>
        <v>6.68</v>
      </c>
      <c r="M46" s="772" t="s">
        <v>1146</v>
      </c>
      <c r="Q46" s="1129"/>
    </row>
    <row r="47" spans="1:17" ht="12.75" customHeight="1">
      <c r="A47" s="1171"/>
      <c r="B47" s="1180"/>
      <c r="C47" s="1184"/>
      <c r="D47" s="10">
        <v>6</v>
      </c>
      <c r="E47" s="10">
        <v>10</v>
      </c>
      <c r="F47" s="10">
        <v>1001</v>
      </c>
      <c r="G47" s="10">
        <v>2000</v>
      </c>
      <c r="H47" s="237">
        <v>5.55</v>
      </c>
      <c r="I47" s="74">
        <v>1</v>
      </c>
      <c r="J47" s="11">
        <f t="shared" si="2"/>
        <v>5.55</v>
      </c>
      <c r="K47" s="209"/>
      <c r="L47" s="11">
        <f>IF(K47&gt;I47,"ERROR",(K47*H47)*0.15+J47)</f>
        <v>5.55</v>
      </c>
      <c r="M47" s="772" t="s">
        <v>1146</v>
      </c>
      <c r="Q47" s="1129"/>
    </row>
    <row r="48" spans="1:17" ht="12.75" customHeight="1">
      <c r="A48" s="1171"/>
      <c r="B48" s="1180"/>
      <c r="C48" s="1184"/>
      <c r="D48" s="10">
        <v>6</v>
      </c>
      <c r="E48" s="10">
        <v>10</v>
      </c>
      <c r="F48" s="10">
        <v>2001</v>
      </c>
      <c r="G48" s="10">
        <v>3000</v>
      </c>
      <c r="H48" s="237">
        <v>7.76</v>
      </c>
      <c r="I48" s="74"/>
      <c r="J48" s="11">
        <f t="shared" si="2"/>
        <v>0</v>
      </c>
      <c r="K48" s="209"/>
      <c r="L48" s="11">
        <f>IF(K48&gt;I48,"ERROR",(K48*H48)*0.2+J48)</f>
        <v>0</v>
      </c>
      <c r="M48" s="772" t="s">
        <v>1146</v>
      </c>
      <c r="Q48" s="1129"/>
    </row>
    <row r="49" spans="1:17" ht="12.75" customHeight="1">
      <c r="A49" s="1171"/>
      <c r="B49" s="1180"/>
      <c r="C49" s="1184"/>
      <c r="D49" s="10">
        <v>6</v>
      </c>
      <c r="E49" s="10">
        <v>10</v>
      </c>
      <c r="F49" s="10">
        <v>3001</v>
      </c>
      <c r="G49" s="10">
        <v>4000</v>
      </c>
      <c r="H49" s="237">
        <v>9.9700000000000006</v>
      </c>
      <c r="I49" s="74"/>
      <c r="J49" s="11">
        <f t="shared" si="2"/>
        <v>0</v>
      </c>
      <c r="K49" s="209"/>
      <c r="L49" s="11">
        <f>IF(K49&gt;I49,"ERROR",(K49*H49)*0.25+J49)</f>
        <v>0</v>
      </c>
      <c r="M49" s="772" t="s">
        <v>1146</v>
      </c>
      <c r="Q49" s="1129"/>
    </row>
    <row r="50" spans="1:17" ht="12.75" customHeight="1">
      <c r="A50" s="1171"/>
      <c r="B50" s="1180"/>
      <c r="C50" s="1184"/>
      <c r="D50" s="10">
        <v>6</v>
      </c>
      <c r="E50" s="10">
        <v>10</v>
      </c>
      <c r="F50" s="10">
        <v>4001</v>
      </c>
      <c r="G50" s="10">
        <v>5000</v>
      </c>
      <c r="H50" s="237">
        <v>12.19</v>
      </c>
      <c r="I50" s="74"/>
      <c r="J50" s="11">
        <f t="shared" si="2"/>
        <v>0</v>
      </c>
      <c r="K50" s="209"/>
      <c r="L50" s="11">
        <f t="shared" ref="L50:L58" si="4">IF(K50&gt;I50,"ERROR",(K50*H50)*0.3+J50)</f>
        <v>0</v>
      </c>
      <c r="M50" s="772" t="s">
        <v>1146</v>
      </c>
      <c r="Q50" s="1129"/>
    </row>
    <row r="51" spans="1:17" ht="12.75" customHeight="1">
      <c r="A51" s="1171"/>
      <c r="B51" s="1180"/>
      <c r="C51" s="1184"/>
      <c r="D51" s="10">
        <v>6</v>
      </c>
      <c r="E51" s="10">
        <v>10</v>
      </c>
      <c r="F51" s="10">
        <v>5001</v>
      </c>
      <c r="G51" s="10">
        <v>6000</v>
      </c>
      <c r="H51" s="237">
        <v>14.4</v>
      </c>
      <c r="I51" s="74"/>
      <c r="J51" s="11">
        <f t="shared" si="2"/>
        <v>0</v>
      </c>
      <c r="K51" s="209"/>
      <c r="L51" s="11">
        <f t="shared" si="4"/>
        <v>0</v>
      </c>
      <c r="M51" s="772" t="s">
        <v>1146</v>
      </c>
      <c r="Q51" s="1129"/>
    </row>
    <row r="52" spans="1:17" ht="12.75" customHeight="1">
      <c r="A52" s="1171"/>
      <c r="B52" s="1180"/>
      <c r="C52" s="1184"/>
      <c r="D52" s="10">
        <v>6</v>
      </c>
      <c r="E52" s="10">
        <v>10</v>
      </c>
      <c r="F52" s="10">
        <v>6001</v>
      </c>
      <c r="G52" s="10">
        <v>9000</v>
      </c>
      <c r="H52" s="237">
        <v>18.82</v>
      </c>
      <c r="I52" s="74"/>
      <c r="J52" s="11">
        <f t="shared" si="2"/>
        <v>0</v>
      </c>
      <c r="K52" s="209"/>
      <c r="L52" s="11">
        <f t="shared" si="4"/>
        <v>0</v>
      </c>
      <c r="M52" s="772" t="s">
        <v>1146</v>
      </c>
      <c r="Q52" s="1129"/>
    </row>
    <row r="53" spans="1:17" ht="12.75" customHeight="1">
      <c r="A53" s="1171"/>
      <c r="B53" s="1180"/>
      <c r="C53" s="1184"/>
      <c r="D53" s="10">
        <v>6</v>
      </c>
      <c r="E53" s="10">
        <v>10</v>
      </c>
      <c r="F53" s="10">
        <v>9001</v>
      </c>
      <c r="G53" s="10">
        <v>11000</v>
      </c>
      <c r="H53" s="237">
        <v>23.24</v>
      </c>
      <c r="I53" s="74"/>
      <c r="J53" s="11">
        <f>+I53*H53</f>
        <v>0</v>
      </c>
      <c r="K53" s="209"/>
      <c r="L53" s="11">
        <f t="shared" si="4"/>
        <v>0</v>
      </c>
      <c r="M53" s="772" t="s">
        <v>1146</v>
      </c>
      <c r="Q53" s="1129"/>
    </row>
    <row r="54" spans="1:17" ht="12.75" customHeight="1">
      <c r="A54" s="1171"/>
      <c r="B54" s="1180"/>
      <c r="C54" s="1184"/>
      <c r="D54" s="10">
        <v>6</v>
      </c>
      <c r="E54" s="10">
        <v>10</v>
      </c>
      <c r="F54" s="10">
        <v>11001</v>
      </c>
      <c r="G54" s="10">
        <v>13000</v>
      </c>
      <c r="H54" s="237">
        <v>28.69</v>
      </c>
      <c r="I54" s="74"/>
      <c r="J54" s="11">
        <f>+I54*H54</f>
        <v>0</v>
      </c>
      <c r="K54" s="209"/>
      <c r="L54" s="11">
        <f t="shared" si="4"/>
        <v>0</v>
      </c>
      <c r="M54" s="772" t="s">
        <v>1146</v>
      </c>
      <c r="Q54" s="1129"/>
    </row>
    <row r="55" spans="1:17" ht="12.75" customHeight="1">
      <c r="A55" s="1171"/>
      <c r="B55" s="1180"/>
      <c r="C55" s="1184"/>
      <c r="D55" s="10"/>
      <c r="E55" s="10"/>
      <c r="F55" s="10"/>
      <c r="G55" s="10"/>
      <c r="H55" s="237"/>
      <c r="I55" s="74"/>
      <c r="J55" s="11">
        <f>+I55*H55</f>
        <v>0</v>
      </c>
      <c r="K55" s="209"/>
      <c r="L55" s="11">
        <f t="shared" si="4"/>
        <v>0</v>
      </c>
      <c r="Q55" s="1129"/>
    </row>
    <row r="56" spans="1:17" ht="12.75" customHeight="1">
      <c r="A56" s="1171"/>
      <c r="B56" s="1180"/>
      <c r="C56" s="1184"/>
      <c r="D56" s="10"/>
      <c r="E56" s="10"/>
      <c r="F56" s="10"/>
      <c r="G56" s="10"/>
      <c r="H56" s="237"/>
      <c r="I56" s="74"/>
      <c r="J56" s="11">
        <f>+I56*H56</f>
        <v>0</v>
      </c>
      <c r="K56" s="209"/>
      <c r="L56" s="11">
        <f>IF(K56&gt;I56,"ERROR",(K56*H56)*0.3+J56)</f>
        <v>0</v>
      </c>
      <c r="Q56" s="1129"/>
    </row>
    <row r="57" spans="1:17" ht="12.75" customHeight="1">
      <c r="A57" s="1171"/>
      <c r="B57" s="1180"/>
      <c r="C57" s="1184"/>
      <c r="D57" s="10"/>
      <c r="E57" s="10"/>
      <c r="F57" s="10"/>
      <c r="G57" s="10"/>
      <c r="H57" s="237"/>
      <c r="I57" s="74"/>
      <c r="J57" s="11">
        <f>+I57*H57</f>
        <v>0</v>
      </c>
      <c r="K57" s="209"/>
      <c r="L57" s="11">
        <f t="shared" si="4"/>
        <v>0</v>
      </c>
      <c r="Q57" s="1129"/>
    </row>
    <row r="58" spans="1:17" ht="17.25" customHeight="1" thickBot="1">
      <c r="A58" s="1172"/>
      <c r="B58" s="1181"/>
      <c r="C58" s="1185"/>
      <c r="D58" s="12"/>
      <c r="E58" s="12"/>
      <c r="F58" s="12"/>
      <c r="G58" s="12"/>
      <c r="H58" s="238"/>
      <c r="I58" s="75"/>
      <c r="J58" s="13">
        <f t="shared" si="2"/>
        <v>0</v>
      </c>
      <c r="K58" s="210"/>
      <c r="L58" s="13">
        <f t="shared" si="4"/>
        <v>0</v>
      </c>
      <c r="Q58" s="1129"/>
    </row>
    <row r="59" spans="1:17" ht="12.75" customHeight="1">
      <c r="A59" s="1170" t="s">
        <v>105</v>
      </c>
      <c r="B59" s="1179" t="s">
        <v>853</v>
      </c>
      <c r="C59" s="1179" t="s">
        <v>862</v>
      </c>
      <c r="D59" s="7">
        <v>11</v>
      </c>
      <c r="E59" s="7">
        <v>35</v>
      </c>
      <c r="F59" s="7">
        <v>60</v>
      </c>
      <c r="G59" s="7">
        <v>100</v>
      </c>
      <c r="H59" s="237">
        <v>6.48</v>
      </c>
      <c r="I59" s="73"/>
      <c r="J59" s="8">
        <f t="shared" ref="J59:J72" si="5">+I59*H59</f>
        <v>0</v>
      </c>
      <c r="K59" s="211"/>
      <c r="L59" s="8">
        <f>IF(K59&gt;I59,"ERROR",(K59*H59)*0.1+J59)</f>
        <v>0</v>
      </c>
      <c r="M59" s="772" t="s">
        <v>1146</v>
      </c>
      <c r="Q59" s="1129"/>
    </row>
    <row r="60" spans="1:17" ht="12.75" customHeight="1">
      <c r="A60" s="1171"/>
      <c r="B60" s="1180"/>
      <c r="C60" s="1180"/>
      <c r="D60" s="406">
        <v>11</v>
      </c>
      <c r="E60" s="406">
        <v>35</v>
      </c>
      <c r="F60" s="406">
        <v>101</v>
      </c>
      <c r="G60" s="406">
        <v>1000</v>
      </c>
      <c r="H60" s="237">
        <v>6.48</v>
      </c>
      <c r="I60" s="219">
        <v>4</v>
      </c>
      <c r="J60" s="220">
        <f t="shared" si="5"/>
        <v>25.92</v>
      </c>
      <c r="K60" s="223"/>
      <c r="L60" s="220">
        <f>IF(K60&gt;I60,"ERROR",(K60*H60)*0.1+J60)</f>
        <v>25.92</v>
      </c>
      <c r="M60" s="772" t="s">
        <v>1146</v>
      </c>
      <c r="Q60" s="1129"/>
    </row>
    <row r="61" spans="1:17" ht="12.75" customHeight="1">
      <c r="A61" s="1171"/>
      <c r="B61" s="1180"/>
      <c r="C61" s="1184"/>
      <c r="D61" s="10">
        <v>11</v>
      </c>
      <c r="E61" s="10">
        <v>35</v>
      </c>
      <c r="F61" s="10">
        <v>1001</v>
      </c>
      <c r="G61" s="10">
        <v>2000</v>
      </c>
      <c r="H61" s="237">
        <v>7.44</v>
      </c>
      <c r="I61" s="74"/>
      <c r="J61" s="11">
        <f t="shared" si="5"/>
        <v>0</v>
      </c>
      <c r="K61" s="209"/>
      <c r="L61" s="11">
        <f>IF(K61&gt;I61,"ERROR",(K61*H61)*0.15+J61)</f>
        <v>0</v>
      </c>
      <c r="M61" s="772" t="s">
        <v>1146</v>
      </c>
      <c r="Q61" s="1129"/>
    </row>
    <row r="62" spans="1:17" ht="12.75" customHeight="1">
      <c r="A62" s="1171"/>
      <c r="B62" s="1180"/>
      <c r="C62" s="1184"/>
      <c r="D62" s="10">
        <v>11</v>
      </c>
      <c r="E62" s="10">
        <v>35</v>
      </c>
      <c r="F62" s="10">
        <v>2001</v>
      </c>
      <c r="G62" s="10">
        <v>3000</v>
      </c>
      <c r="H62" s="237">
        <v>8.4600000000000009</v>
      </c>
      <c r="I62" s="74"/>
      <c r="J62" s="11">
        <f t="shared" si="5"/>
        <v>0</v>
      </c>
      <c r="K62" s="209"/>
      <c r="L62" s="11">
        <f>IF(K62&gt;I62,"ERROR",(K62*H62)*0.2+J62)</f>
        <v>0</v>
      </c>
      <c r="M62" s="772" t="s">
        <v>1146</v>
      </c>
      <c r="Q62" s="1129"/>
    </row>
    <row r="63" spans="1:17" ht="12.75" customHeight="1">
      <c r="A63" s="1171"/>
      <c r="B63" s="1180"/>
      <c r="C63" s="1184"/>
      <c r="D63" s="10">
        <v>11</v>
      </c>
      <c r="E63" s="10">
        <v>35</v>
      </c>
      <c r="F63" s="10">
        <v>3001</v>
      </c>
      <c r="G63" s="10">
        <v>4000</v>
      </c>
      <c r="H63" s="237">
        <v>21.72</v>
      </c>
      <c r="I63" s="74"/>
      <c r="J63" s="11">
        <f t="shared" si="5"/>
        <v>0</v>
      </c>
      <c r="K63" s="209"/>
      <c r="L63" s="11">
        <f>IF(K63&gt;I63,"ERROR",(K63*H63)*0.25+J63)</f>
        <v>0</v>
      </c>
      <c r="M63" s="772" t="s">
        <v>1146</v>
      </c>
      <c r="Q63" s="1129"/>
    </row>
    <row r="64" spans="1:17" ht="12.75" customHeight="1">
      <c r="A64" s="1171"/>
      <c r="B64" s="1180"/>
      <c r="C64" s="1184"/>
      <c r="D64" s="10">
        <v>11</v>
      </c>
      <c r="E64" s="10">
        <v>35</v>
      </c>
      <c r="F64" s="10">
        <v>4001</v>
      </c>
      <c r="G64" s="10">
        <v>5000</v>
      </c>
      <c r="H64" s="237">
        <v>22.5</v>
      </c>
      <c r="I64" s="74"/>
      <c r="J64" s="11">
        <f t="shared" si="5"/>
        <v>0</v>
      </c>
      <c r="K64" s="209"/>
      <c r="L64" s="11">
        <f t="shared" ref="L64:L72" si="6">IF(K64&gt;I64,"ERROR",(K64*H64)*0.3+J64)</f>
        <v>0</v>
      </c>
      <c r="M64" s="772" t="s">
        <v>1146</v>
      </c>
      <c r="Q64" s="1129"/>
    </row>
    <row r="65" spans="1:17" ht="12.75" customHeight="1">
      <c r="A65" s="1171"/>
      <c r="B65" s="1180"/>
      <c r="C65" s="1184"/>
      <c r="D65" s="10">
        <v>11</v>
      </c>
      <c r="E65" s="10">
        <v>35</v>
      </c>
      <c r="F65" s="10">
        <v>5001</v>
      </c>
      <c r="G65" s="10">
        <v>6000</v>
      </c>
      <c r="H65" s="237">
        <v>24</v>
      </c>
      <c r="I65" s="74"/>
      <c r="J65" s="11">
        <f t="shared" si="5"/>
        <v>0</v>
      </c>
      <c r="K65" s="209"/>
      <c r="L65" s="11">
        <f t="shared" si="6"/>
        <v>0</v>
      </c>
      <c r="M65" s="772" t="s">
        <v>1146</v>
      </c>
      <c r="Q65" s="1129"/>
    </row>
    <row r="66" spans="1:17" ht="12.75" customHeight="1">
      <c r="A66" s="1171"/>
      <c r="B66" s="1180"/>
      <c r="C66" s="1184"/>
      <c r="D66" s="10">
        <v>11</v>
      </c>
      <c r="E66" s="10">
        <v>35</v>
      </c>
      <c r="F66" s="10">
        <v>6001</v>
      </c>
      <c r="G66" s="10">
        <v>9000</v>
      </c>
      <c r="H66" s="237">
        <v>27.72</v>
      </c>
      <c r="I66" s="74"/>
      <c r="J66" s="11">
        <f t="shared" si="5"/>
        <v>0</v>
      </c>
      <c r="K66" s="209"/>
      <c r="L66" s="11">
        <f t="shared" si="6"/>
        <v>0</v>
      </c>
      <c r="M66" s="772" t="s">
        <v>1146</v>
      </c>
      <c r="Q66" s="1129"/>
    </row>
    <row r="67" spans="1:17" ht="12.75" customHeight="1">
      <c r="A67" s="1171"/>
      <c r="B67" s="1180"/>
      <c r="C67" s="1184"/>
      <c r="D67" s="10">
        <v>11</v>
      </c>
      <c r="E67" s="10">
        <v>35</v>
      </c>
      <c r="F67" s="10">
        <v>9001</v>
      </c>
      <c r="G67" s="10">
        <v>11000</v>
      </c>
      <c r="H67" s="237">
        <v>29.88</v>
      </c>
      <c r="I67" s="74"/>
      <c r="J67" s="11">
        <f>+I67*H67</f>
        <v>0</v>
      </c>
      <c r="K67" s="209"/>
      <c r="L67" s="11">
        <f t="shared" si="6"/>
        <v>0</v>
      </c>
      <c r="M67" s="772" t="s">
        <v>1146</v>
      </c>
      <c r="Q67" s="1129"/>
    </row>
    <row r="68" spans="1:17" ht="12.75" customHeight="1">
      <c r="A68" s="1171"/>
      <c r="B68" s="1180"/>
      <c r="C68" s="1184"/>
      <c r="D68" s="10">
        <v>11</v>
      </c>
      <c r="E68" s="10">
        <v>35</v>
      </c>
      <c r="F68" s="10">
        <v>110001</v>
      </c>
      <c r="G68" s="10">
        <v>13000</v>
      </c>
      <c r="H68" s="237">
        <v>32.200000000000003</v>
      </c>
      <c r="I68" s="74"/>
      <c r="J68" s="11">
        <f>+I68*H68</f>
        <v>0</v>
      </c>
      <c r="K68" s="209"/>
      <c r="L68" s="11">
        <f t="shared" si="6"/>
        <v>0</v>
      </c>
      <c r="M68" s="772" t="s">
        <v>1146</v>
      </c>
      <c r="Q68" s="1129"/>
    </row>
    <row r="69" spans="1:17" ht="12.75" customHeight="1">
      <c r="A69" s="1171"/>
      <c r="B69" s="1180"/>
      <c r="C69" s="1184"/>
      <c r="D69" s="10"/>
      <c r="E69" s="10"/>
      <c r="F69" s="10"/>
      <c r="G69" s="10"/>
      <c r="H69" s="237"/>
      <c r="I69" s="74"/>
      <c r="J69" s="11">
        <f>+I69*H69</f>
        <v>0</v>
      </c>
      <c r="K69" s="209"/>
      <c r="L69" s="11">
        <f t="shared" si="6"/>
        <v>0</v>
      </c>
      <c r="Q69" s="1129"/>
    </row>
    <row r="70" spans="1:17" ht="12.75" customHeight="1">
      <c r="A70" s="1171"/>
      <c r="B70" s="1180"/>
      <c r="C70" s="1184"/>
      <c r="D70" s="10"/>
      <c r="E70" s="10"/>
      <c r="F70" s="10"/>
      <c r="G70" s="10"/>
      <c r="H70" s="237"/>
      <c r="I70" s="74"/>
      <c r="J70" s="11">
        <f>+I70*H70</f>
        <v>0</v>
      </c>
      <c r="K70" s="209"/>
      <c r="L70" s="11">
        <f>IF(K70&gt;I70,"ERROR",(K70*H70)*0.3+J70)</f>
        <v>0</v>
      </c>
      <c r="Q70" s="1129"/>
    </row>
    <row r="71" spans="1:17" ht="12.75" customHeight="1">
      <c r="A71" s="1171"/>
      <c r="B71" s="1180"/>
      <c r="C71" s="1184"/>
      <c r="D71" s="10"/>
      <c r="E71" s="10"/>
      <c r="F71" s="10"/>
      <c r="G71" s="10"/>
      <c r="H71" s="237"/>
      <c r="I71" s="74"/>
      <c r="J71" s="11">
        <f>+I71*H71</f>
        <v>0</v>
      </c>
      <c r="K71" s="209"/>
      <c r="L71" s="11">
        <f t="shared" si="6"/>
        <v>0</v>
      </c>
      <c r="Q71" s="1129"/>
    </row>
    <row r="72" spans="1:17" ht="13.5" customHeight="1" thickBot="1">
      <c r="A72" s="1172"/>
      <c r="B72" s="1181"/>
      <c r="C72" s="1185"/>
      <c r="D72" s="12"/>
      <c r="E72" s="12"/>
      <c r="F72" s="12"/>
      <c r="G72" s="12"/>
      <c r="H72" s="238"/>
      <c r="I72" s="75"/>
      <c r="J72" s="13">
        <f t="shared" si="5"/>
        <v>0</v>
      </c>
      <c r="K72" s="210"/>
      <c r="L72" s="13">
        <f t="shared" si="6"/>
        <v>0</v>
      </c>
      <c r="Q72" s="1129"/>
    </row>
    <row r="73" spans="1:17" ht="12.75" customHeight="1">
      <c r="A73" s="1170" t="s">
        <v>105</v>
      </c>
      <c r="B73" s="1179" t="s">
        <v>853</v>
      </c>
      <c r="C73" s="1179" t="s">
        <v>862</v>
      </c>
      <c r="D73" s="7">
        <v>36</v>
      </c>
      <c r="E73" s="7">
        <v>50</v>
      </c>
      <c r="F73" s="7">
        <v>60</v>
      </c>
      <c r="G73" s="7">
        <v>100</v>
      </c>
      <c r="H73" s="237">
        <v>6.84</v>
      </c>
      <c r="I73" s="73"/>
      <c r="J73" s="8">
        <f t="shared" ref="J73:J86" si="7">+I73*H73</f>
        <v>0</v>
      </c>
      <c r="K73" s="211"/>
      <c r="L73" s="8">
        <f>IF(K73&gt;I73,"ERROR",(K73*H73)*0.1+J73)</f>
        <v>0</v>
      </c>
      <c r="M73" s="772" t="s">
        <v>1146</v>
      </c>
      <c r="Q73" s="1129"/>
    </row>
    <row r="74" spans="1:17" ht="12.75" customHeight="1">
      <c r="A74" s="1171"/>
      <c r="B74" s="1180"/>
      <c r="C74" s="1180"/>
      <c r="D74" s="406">
        <v>36</v>
      </c>
      <c r="E74" s="406">
        <v>50</v>
      </c>
      <c r="F74" s="406">
        <v>101</v>
      </c>
      <c r="G74" s="406">
        <v>1000</v>
      </c>
      <c r="H74" s="237">
        <v>6.84</v>
      </c>
      <c r="I74" s="219"/>
      <c r="J74" s="220">
        <f t="shared" si="7"/>
        <v>0</v>
      </c>
      <c r="K74" s="223"/>
      <c r="L74" s="220">
        <f>IF(K74&gt;I74,"ERROR",(K74*H74)*0.1+J74)</f>
        <v>0</v>
      </c>
      <c r="M74" s="772" t="s">
        <v>1146</v>
      </c>
      <c r="Q74" s="1129"/>
    </row>
    <row r="75" spans="1:17" ht="12.75" customHeight="1">
      <c r="A75" s="1171"/>
      <c r="B75" s="1180"/>
      <c r="C75" s="1184"/>
      <c r="D75" s="10">
        <v>36</v>
      </c>
      <c r="E75" s="10">
        <v>50</v>
      </c>
      <c r="F75" s="10">
        <v>1001</v>
      </c>
      <c r="G75" s="10">
        <v>2000</v>
      </c>
      <c r="H75" s="237">
        <v>8.1</v>
      </c>
      <c r="I75" s="74"/>
      <c r="J75" s="11">
        <f t="shared" si="7"/>
        <v>0</v>
      </c>
      <c r="K75" s="209"/>
      <c r="L75" s="11">
        <f>IF(K75&gt;I75,"ERROR",(K75*H75)*0.15+J75)</f>
        <v>0</v>
      </c>
      <c r="M75" s="772" t="s">
        <v>1146</v>
      </c>
      <c r="Q75" s="1129"/>
    </row>
    <row r="76" spans="1:17" ht="12.75" customHeight="1">
      <c r="A76" s="1171"/>
      <c r="B76" s="1180"/>
      <c r="C76" s="1184"/>
      <c r="D76" s="10">
        <v>36</v>
      </c>
      <c r="E76" s="10">
        <v>50</v>
      </c>
      <c r="F76" s="10">
        <v>2001</v>
      </c>
      <c r="G76" s="10">
        <v>3000</v>
      </c>
      <c r="H76" s="237">
        <v>9.42</v>
      </c>
      <c r="I76" s="74"/>
      <c r="J76" s="11">
        <f t="shared" si="7"/>
        <v>0</v>
      </c>
      <c r="K76" s="209"/>
      <c r="L76" s="11">
        <f>IF(K76&gt;I76,"ERROR",(K76*H76)*0.2+J76)</f>
        <v>0</v>
      </c>
      <c r="M76" s="772" t="s">
        <v>1146</v>
      </c>
      <c r="Q76" s="1129"/>
    </row>
    <row r="77" spans="1:17" ht="12.75" customHeight="1">
      <c r="A77" s="1171"/>
      <c r="B77" s="1180"/>
      <c r="C77" s="1184"/>
      <c r="D77" s="10">
        <v>36</v>
      </c>
      <c r="E77" s="10">
        <v>50</v>
      </c>
      <c r="F77" s="10">
        <v>3001</v>
      </c>
      <c r="G77" s="10">
        <v>4000</v>
      </c>
      <c r="H77" s="237">
        <v>22.8</v>
      </c>
      <c r="I77" s="74"/>
      <c r="J77" s="11">
        <f t="shared" si="7"/>
        <v>0</v>
      </c>
      <c r="K77" s="209"/>
      <c r="L77" s="11">
        <f>IF(K77&gt;I77,"ERROR",(K77*H77)*0.25+J77)</f>
        <v>0</v>
      </c>
      <c r="M77" s="772" t="s">
        <v>1146</v>
      </c>
      <c r="Q77" s="1129"/>
    </row>
    <row r="78" spans="1:17" ht="12.75" customHeight="1">
      <c r="A78" s="1171"/>
      <c r="B78" s="1180"/>
      <c r="C78" s="1184"/>
      <c r="D78" s="10">
        <v>36</v>
      </c>
      <c r="E78" s="10">
        <v>50</v>
      </c>
      <c r="F78" s="10">
        <v>4001</v>
      </c>
      <c r="G78" s="10">
        <v>5000</v>
      </c>
      <c r="H78" s="237">
        <v>24.6</v>
      </c>
      <c r="I78" s="74"/>
      <c r="J78" s="11">
        <f t="shared" si="7"/>
        <v>0</v>
      </c>
      <c r="K78" s="209"/>
      <c r="L78" s="11">
        <f t="shared" ref="L78:L86" si="8">IF(K78&gt;I78,"ERROR",(K78*H78)*0.3+J78)</f>
        <v>0</v>
      </c>
      <c r="M78" s="772" t="s">
        <v>1146</v>
      </c>
      <c r="Q78" s="1129"/>
    </row>
    <row r="79" spans="1:17" ht="12.75" customHeight="1">
      <c r="A79" s="1171"/>
      <c r="B79" s="1180"/>
      <c r="C79" s="1184"/>
      <c r="D79" s="10">
        <v>36</v>
      </c>
      <c r="E79" s="10">
        <v>50</v>
      </c>
      <c r="F79" s="10">
        <v>5001</v>
      </c>
      <c r="G79" s="10">
        <v>6000</v>
      </c>
      <c r="H79" s="237">
        <v>26.1</v>
      </c>
      <c r="I79" s="74"/>
      <c r="J79" s="11">
        <f t="shared" si="7"/>
        <v>0</v>
      </c>
      <c r="K79" s="209"/>
      <c r="L79" s="11">
        <f t="shared" si="8"/>
        <v>0</v>
      </c>
      <c r="M79" s="772" t="s">
        <v>1146</v>
      </c>
      <c r="Q79" s="1129"/>
    </row>
    <row r="80" spans="1:17" ht="12.75" customHeight="1">
      <c r="A80" s="1171"/>
      <c r="B80" s="1180"/>
      <c r="C80" s="1184"/>
      <c r="D80" s="10">
        <v>36</v>
      </c>
      <c r="E80" s="10">
        <v>50</v>
      </c>
      <c r="F80" s="10">
        <v>6001</v>
      </c>
      <c r="G80" s="10">
        <v>9000</v>
      </c>
      <c r="H80" s="237">
        <v>29.4</v>
      </c>
      <c r="I80" s="74"/>
      <c r="J80" s="11">
        <f t="shared" si="7"/>
        <v>0</v>
      </c>
      <c r="K80" s="209"/>
      <c r="L80" s="11">
        <f t="shared" si="8"/>
        <v>0</v>
      </c>
      <c r="M80" s="772" t="s">
        <v>1146</v>
      </c>
      <c r="Q80" s="1129"/>
    </row>
    <row r="81" spans="1:17" ht="12.75" customHeight="1">
      <c r="A81" s="1171"/>
      <c r="B81" s="1180"/>
      <c r="C81" s="1184"/>
      <c r="D81" s="10">
        <v>36</v>
      </c>
      <c r="E81" s="10">
        <v>50</v>
      </c>
      <c r="F81" s="10">
        <v>9001</v>
      </c>
      <c r="G81" s="10">
        <v>11000</v>
      </c>
      <c r="H81" s="237">
        <v>32.520000000000003</v>
      </c>
      <c r="I81" s="74"/>
      <c r="J81" s="11">
        <f>+I81*H81</f>
        <v>0</v>
      </c>
      <c r="K81" s="209"/>
      <c r="L81" s="11">
        <f t="shared" si="8"/>
        <v>0</v>
      </c>
      <c r="M81" s="772" t="s">
        <v>1146</v>
      </c>
      <c r="Q81" s="1129"/>
    </row>
    <row r="82" spans="1:17" ht="12.75" customHeight="1">
      <c r="A82" s="1171"/>
      <c r="B82" s="1180"/>
      <c r="C82" s="1184"/>
      <c r="D82" s="10">
        <v>36</v>
      </c>
      <c r="E82" s="10">
        <v>50</v>
      </c>
      <c r="F82" s="10">
        <v>110001</v>
      </c>
      <c r="G82" s="10">
        <v>13000</v>
      </c>
      <c r="H82" s="237">
        <v>35.97</v>
      </c>
      <c r="I82" s="74"/>
      <c r="J82" s="11">
        <f>+I82*H82</f>
        <v>0</v>
      </c>
      <c r="K82" s="209"/>
      <c r="L82" s="11">
        <f t="shared" si="8"/>
        <v>0</v>
      </c>
      <c r="M82" s="772" t="s">
        <v>1146</v>
      </c>
      <c r="Q82" s="1129"/>
    </row>
    <row r="83" spans="1:17" ht="12.75" customHeight="1">
      <c r="A83" s="1171"/>
      <c r="B83" s="1180"/>
      <c r="C83" s="1184"/>
      <c r="D83" s="10"/>
      <c r="E83" s="10"/>
      <c r="F83" s="10"/>
      <c r="G83" s="10"/>
      <c r="H83" s="237"/>
      <c r="I83" s="74"/>
      <c r="J83" s="11">
        <f>+I83*H83</f>
        <v>0</v>
      </c>
      <c r="K83" s="209"/>
      <c r="L83" s="11">
        <f t="shared" si="8"/>
        <v>0</v>
      </c>
      <c r="Q83" s="1129"/>
    </row>
    <row r="84" spans="1:17" ht="12.75" customHeight="1">
      <c r="A84" s="1171"/>
      <c r="B84" s="1180"/>
      <c r="C84" s="1184"/>
      <c r="D84" s="10"/>
      <c r="E84" s="10"/>
      <c r="F84" s="10"/>
      <c r="G84" s="10"/>
      <c r="H84" s="237"/>
      <c r="I84" s="74"/>
      <c r="J84" s="11">
        <f>+I84*H84</f>
        <v>0</v>
      </c>
      <c r="K84" s="209"/>
      <c r="L84" s="11">
        <f>IF(K84&gt;I84,"ERROR",(K84*H84)*0.3+J84)</f>
        <v>0</v>
      </c>
      <c r="Q84" s="1129"/>
    </row>
    <row r="85" spans="1:17" ht="12.75" customHeight="1">
      <c r="A85" s="1171"/>
      <c r="B85" s="1180"/>
      <c r="C85" s="1184"/>
      <c r="D85" s="10"/>
      <c r="E85" s="10"/>
      <c r="F85" s="10"/>
      <c r="G85" s="10"/>
      <c r="H85" s="237"/>
      <c r="I85" s="74"/>
      <c r="J85" s="11">
        <f>+I85*H85</f>
        <v>0</v>
      </c>
      <c r="K85" s="209"/>
      <c r="L85" s="11">
        <f t="shared" si="8"/>
        <v>0</v>
      </c>
      <c r="Q85" s="1129"/>
    </row>
    <row r="86" spans="1:17" ht="13.5" customHeight="1" thickBot="1">
      <c r="A86" s="1172"/>
      <c r="B86" s="1181"/>
      <c r="C86" s="1185"/>
      <c r="D86" s="12"/>
      <c r="E86" s="12"/>
      <c r="F86" s="12"/>
      <c r="G86" s="12"/>
      <c r="H86" s="238"/>
      <c r="I86" s="75"/>
      <c r="J86" s="13">
        <f t="shared" si="7"/>
        <v>0</v>
      </c>
      <c r="K86" s="210"/>
      <c r="L86" s="13">
        <f t="shared" si="8"/>
        <v>0</v>
      </c>
      <c r="Q86" s="1129"/>
    </row>
    <row r="87" spans="1:17" ht="12.75" customHeight="1">
      <c r="A87" s="1170" t="s">
        <v>105</v>
      </c>
      <c r="B87" s="1179" t="s">
        <v>853</v>
      </c>
      <c r="C87" s="1179" t="s">
        <v>862</v>
      </c>
      <c r="D87" s="7">
        <v>51</v>
      </c>
      <c r="E87" s="7">
        <v>70</v>
      </c>
      <c r="F87" s="7">
        <v>60</v>
      </c>
      <c r="G87" s="7">
        <v>100</v>
      </c>
      <c r="H87" s="237">
        <v>7.38</v>
      </c>
      <c r="I87" s="73"/>
      <c r="J87" s="8">
        <f t="shared" ref="J87:J100" si="9">+I87*H87</f>
        <v>0</v>
      </c>
      <c r="K87" s="211"/>
      <c r="L87" s="8">
        <f>IF(K87&gt;I87,"ERROR",(K87*H87)*0.1+J87)</f>
        <v>0</v>
      </c>
      <c r="M87" s="772" t="s">
        <v>1146</v>
      </c>
      <c r="Q87" s="1129"/>
    </row>
    <row r="88" spans="1:17" ht="12.75" customHeight="1">
      <c r="A88" s="1171"/>
      <c r="B88" s="1180"/>
      <c r="C88" s="1180"/>
      <c r="D88" s="406">
        <v>51</v>
      </c>
      <c r="E88" s="406">
        <v>70</v>
      </c>
      <c r="F88" s="406">
        <v>101</v>
      </c>
      <c r="G88" s="406">
        <v>1000</v>
      </c>
      <c r="H88" s="237">
        <v>7.38</v>
      </c>
      <c r="I88" s="219"/>
      <c r="J88" s="220">
        <f t="shared" si="9"/>
        <v>0</v>
      </c>
      <c r="K88" s="223"/>
      <c r="L88" s="220">
        <f>IF(K88&gt;I88,"ERROR",(K88*H88)*0.1+J88)</f>
        <v>0</v>
      </c>
      <c r="M88" s="772" t="s">
        <v>1146</v>
      </c>
      <c r="Q88" s="1129"/>
    </row>
    <row r="89" spans="1:17" ht="12.75" customHeight="1">
      <c r="A89" s="1171"/>
      <c r="B89" s="1180"/>
      <c r="C89" s="1184"/>
      <c r="D89" s="10">
        <v>51</v>
      </c>
      <c r="E89" s="10">
        <v>70</v>
      </c>
      <c r="F89" s="10">
        <v>1001</v>
      </c>
      <c r="G89" s="10">
        <v>2000</v>
      </c>
      <c r="H89" s="237">
        <v>9.42</v>
      </c>
      <c r="I89" s="74"/>
      <c r="J89" s="11">
        <f t="shared" si="9"/>
        <v>0</v>
      </c>
      <c r="K89" s="209"/>
      <c r="L89" s="11">
        <f>IF(K89&gt;I89,"ERROR",(K89*H89)*0.15+J89)</f>
        <v>0</v>
      </c>
      <c r="M89" s="772" t="s">
        <v>1146</v>
      </c>
      <c r="Q89" s="1129"/>
    </row>
    <row r="90" spans="1:17" ht="12.75" customHeight="1">
      <c r="A90" s="1171"/>
      <c r="B90" s="1180"/>
      <c r="C90" s="1184"/>
      <c r="D90" s="10">
        <v>51</v>
      </c>
      <c r="E90" s="10">
        <v>70</v>
      </c>
      <c r="F90" s="10">
        <v>2001</v>
      </c>
      <c r="G90" s="10">
        <v>3000</v>
      </c>
      <c r="H90" s="237">
        <v>11.34</v>
      </c>
      <c r="I90" s="74"/>
      <c r="J90" s="11">
        <f t="shared" si="9"/>
        <v>0</v>
      </c>
      <c r="K90" s="209"/>
      <c r="L90" s="11">
        <f>IF(K90&gt;I90,"ERROR",(K90*H90)*0.2+J90)</f>
        <v>0</v>
      </c>
      <c r="M90" s="772" t="s">
        <v>1146</v>
      </c>
      <c r="Q90" s="1129"/>
    </row>
    <row r="91" spans="1:17" ht="12.75" customHeight="1">
      <c r="A91" s="1171"/>
      <c r="B91" s="1180"/>
      <c r="C91" s="1184"/>
      <c r="D91" s="10">
        <v>51</v>
      </c>
      <c r="E91" s="10">
        <v>70</v>
      </c>
      <c r="F91" s="10">
        <v>3001</v>
      </c>
      <c r="G91" s="10">
        <v>4000</v>
      </c>
      <c r="H91" s="237">
        <v>25.8</v>
      </c>
      <c r="I91" s="74"/>
      <c r="J91" s="11">
        <f t="shared" si="9"/>
        <v>0</v>
      </c>
      <c r="K91" s="209"/>
      <c r="L91" s="11">
        <f>IF(K91&gt;I91,"ERROR",(K91*H91)*0.25+J91)</f>
        <v>0</v>
      </c>
      <c r="M91" s="772" t="s">
        <v>1146</v>
      </c>
      <c r="Q91" s="1129"/>
    </row>
    <row r="92" spans="1:17" ht="12.75" customHeight="1">
      <c r="A92" s="1171"/>
      <c r="B92" s="1180"/>
      <c r="C92" s="1184"/>
      <c r="D92" s="10">
        <v>51</v>
      </c>
      <c r="E92" s="10">
        <v>70</v>
      </c>
      <c r="F92" s="10">
        <v>4001</v>
      </c>
      <c r="G92" s="10">
        <v>5000</v>
      </c>
      <c r="H92" s="237">
        <v>27.12</v>
      </c>
      <c r="I92" s="74"/>
      <c r="J92" s="11">
        <f t="shared" si="9"/>
        <v>0</v>
      </c>
      <c r="K92" s="209"/>
      <c r="L92" s="11">
        <f t="shared" ref="L92:L100" si="10">IF(K92&gt;I92,"ERROR",(K92*H92)*0.3+J92)</f>
        <v>0</v>
      </c>
      <c r="M92" s="772" t="s">
        <v>1146</v>
      </c>
      <c r="Q92" s="1129"/>
    </row>
    <row r="93" spans="1:17" ht="12.75" customHeight="1">
      <c r="A93" s="1171"/>
      <c r="B93" s="1180"/>
      <c r="C93" s="1184"/>
      <c r="D93" s="10">
        <v>51</v>
      </c>
      <c r="E93" s="10">
        <v>70</v>
      </c>
      <c r="F93" s="10">
        <v>5001</v>
      </c>
      <c r="G93" s="10">
        <v>6000</v>
      </c>
      <c r="H93" s="237">
        <v>29.28</v>
      </c>
      <c r="I93" s="74"/>
      <c r="J93" s="11">
        <f t="shared" si="9"/>
        <v>0</v>
      </c>
      <c r="K93" s="209"/>
      <c r="L93" s="11">
        <f t="shared" si="10"/>
        <v>0</v>
      </c>
      <c r="M93" s="772" t="s">
        <v>1146</v>
      </c>
      <c r="Q93" s="1129"/>
    </row>
    <row r="94" spans="1:17" ht="12.75" customHeight="1">
      <c r="A94" s="1171"/>
      <c r="B94" s="1180"/>
      <c r="C94" s="1184"/>
      <c r="D94" s="10">
        <v>51</v>
      </c>
      <c r="E94" s="10">
        <v>70</v>
      </c>
      <c r="F94" s="10">
        <v>6001</v>
      </c>
      <c r="G94" s="10">
        <v>9000</v>
      </c>
      <c r="H94" s="237">
        <v>34.92</v>
      </c>
      <c r="I94" s="74"/>
      <c r="J94" s="11">
        <f t="shared" si="9"/>
        <v>0</v>
      </c>
      <c r="K94" s="209"/>
      <c r="L94" s="11">
        <f t="shared" si="10"/>
        <v>0</v>
      </c>
      <c r="M94" s="772" t="s">
        <v>1146</v>
      </c>
      <c r="Q94" s="1129"/>
    </row>
    <row r="95" spans="1:17" ht="12.75" customHeight="1">
      <c r="A95" s="1171"/>
      <c r="B95" s="1180"/>
      <c r="C95" s="1184"/>
      <c r="D95" s="10">
        <v>51</v>
      </c>
      <c r="E95" s="10">
        <v>70</v>
      </c>
      <c r="F95" s="10">
        <v>9001</v>
      </c>
      <c r="G95" s="10">
        <v>11000</v>
      </c>
      <c r="H95" s="307">
        <v>39</v>
      </c>
      <c r="I95" s="308"/>
      <c r="J95" s="11">
        <f>+I95*H95</f>
        <v>0</v>
      </c>
      <c r="K95" s="209"/>
      <c r="L95" s="11">
        <f t="shared" si="10"/>
        <v>0</v>
      </c>
      <c r="M95" s="772" t="s">
        <v>1146</v>
      </c>
      <c r="Q95" s="1129"/>
    </row>
    <row r="96" spans="1:17" ht="12.75" customHeight="1">
      <c r="A96" s="1171"/>
      <c r="B96" s="1180"/>
      <c r="C96" s="1184"/>
      <c r="D96" s="10">
        <v>51</v>
      </c>
      <c r="E96" s="10">
        <v>70</v>
      </c>
      <c r="F96" s="10">
        <v>110001</v>
      </c>
      <c r="G96" s="10">
        <v>13000</v>
      </c>
      <c r="H96" s="307">
        <v>43.55</v>
      </c>
      <c r="I96" s="308"/>
      <c r="J96" s="11">
        <f>+I96*H96</f>
        <v>0</v>
      </c>
      <c r="K96" s="209"/>
      <c r="L96" s="11">
        <f t="shared" si="10"/>
        <v>0</v>
      </c>
      <c r="M96" s="772" t="s">
        <v>1146</v>
      </c>
      <c r="Q96" s="1129"/>
    </row>
    <row r="97" spans="1:17" ht="12.75" customHeight="1">
      <c r="A97" s="1171"/>
      <c r="B97" s="1180"/>
      <c r="C97" s="1184"/>
      <c r="D97" s="10"/>
      <c r="E97" s="10"/>
      <c r="F97" s="10"/>
      <c r="G97" s="10"/>
      <c r="H97" s="307"/>
      <c r="I97" s="308"/>
      <c r="J97" s="11">
        <f>+I97*H97</f>
        <v>0</v>
      </c>
      <c r="K97" s="209"/>
      <c r="L97" s="11">
        <f t="shared" si="10"/>
        <v>0</v>
      </c>
      <c r="Q97" s="1129"/>
    </row>
    <row r="98" spans="1:17" ht="12.75" customHeight="1">
      <c r="A98" s="1171"/>
      <c r="B98" s="1180"/>
      <c r="C98" s="1184"/>
      <c r="D98" s="10"/>
      <c r="E98" s="10"/>
      <c r="F98" s="10"/>
      <c r="G98" s="10"/>
      <c r="H98" s="307"/>
      <c r="I98" s="308"/>
      <c r="J98" s="11">
        <f>+I98*H98</f>
        <v>0</v>
      </c>
      <c r="K98" s="209"/>
      <c r="L98" s="11">
        <f>IF(K98&gt;I98,"ERROR",(K98*H98)*0.3+J98)</f>
        <v>0</v>
      </c>
      <c r="Q98" s="1129"/>
    </row>
    <row r="99" spans="1:17" ht="12.75" customHeight="1">
      <c r="A99" s="1171"/>
      <c r="B99" s="1180"/>
      <c r="C99" s="1184"/>
      <c r="D99" s="10"/>
      <c r="E99" s="10"/>
      <c r="F99" s="10"/>
      <c r="G99" s="10"/>
      <c r="H99" s="307"/>
      <c r="I99" s="308"/>
      <c r="J99" s="11">
        <f>+I99*H99</f>
        <v>0</v>
      </c>
      <c r="K99" s="209"/>
      <c r="L99" s="11">
        <f t="shared" si="10"/>
        <v>0</v>
      </c>
      <c r="Q99" s="1129"/>
    </row>
    <row r="100" spans="1:17" ht="13.5" customHeight="1" thickBot="1">
      <c r="A100" s="1172"/>
      <c r="B100" s="1181"/>
      <c r="C100" s="1185"/>
      <c r="D100" s="12"/>
      <c r="E100" s="12"/>
      <c r="F100" s="12"/>
      <c r="G100" s="12"/>
      <c r="H100" s="238"/>
      <c r="I100" s="75"/>
      <c r="J100" s="13">
        <f t="shared" si="9"/>
        <v>0</v>
      </c>
      <c r="K100" s="210"/>
      <c r="L100" s="13">
        <f t="shared" si="10"/>
        <v>0</v>
      </c>
      <c r="Q100" s="1129"/>
    </row>
    <row r="101" spans="1:17" ht="12.75" customHeight="1">
      <c r="A101" s="1170" t="s">
        <v>105</v>
      </c>
      <c r="B101" s="1179" t="s">
        <v>853</v>
      </c>
      <c r="C101" s="1179" t="s">
        <v>862</v>
      </c>
      <c r="D101" s="7">
        <v>71</v>
      </c>
      <c r="E101" s="7">
        <v>103</v>
      </c>
      <c r="F101" s="7">
        <v>60</v>
      </c>
      <c r="G101" s="7">
        <v>100</v>
      </c>
      <c r="H101" s="237">
        <v>9.6</v>
      </c>
      <c r="I101" s="73"/>
      <c r="J101" s="8">
        <f t="shared" ref="J101:J114" si="11">+I101*H101</f>
        <v>0</v>
      </c>
      <c r="K101" s="211"/>
      <c r="L101" s="8">
        <f>IF(K101&gt;I101,"ERROR",(K101*H101)*0.1+J101)</f>
        <v>0</v>
      </c>
      <c r="M101" s="772" t="s">
        <v>1146</v>
      </c>
      <c r="Q101" s="1129"/>
    </row>
    <row r="102" spans="1:17" ht="12.75" customHeight="1">
      <c r="A102" s="1171"/>
      <c r="B102" s="1180"/>
      <c r="C102" s="1180"/>
      <c r="D102" s="406">
        <v>71</v>
      </c>
      <c r="E102" s="406">
        <v>103</v>
      </c>
      <c r="F102" s="406">
        <v>101</v>
      </c>
      <c r="G102" s="406">
        <v>1000</v>
      </c>
      <c r="H102" s="237">
        <v>9.6</v>
      </c>
      <c r="I102" s="219"/>
      <c r="J102" s="220">
        <f t="shared" si="11"/>
        <v>0</v>
      </c>
      <c r="K102" s="223"/>
      <c r="L102" s="220">
        <f>IF(K102&gt;I102,"ERROR",(K102*H102)*0.1+J102)</f>
        <v>0</v>
      </c>
      <c r="M102" s="772" t="s">
        <v>1146</v>
      </c>
      <c r="Q102" s="1129"/>
    </row>
    <row r="103" spans="1:17" ht="12.75" customHeight="1">
      <c r="A103" s="1171"/>
      <c r="B103" s="1180"/>
      <c r="C103" s="1184"/>
      <c r="D103" s="10">
        <v>71</v>
      </c>
      <c r="E103" s="10">
        <v>103</v>
      </c>
      <c r="F103" s="10">
        <v>1001</v>
      </c>
      <c r="G103" s="10">
        <v>2000</v>
      </c>
      <c r="H103" s="237">
        <v>12.6</v>
      </c>
      <c r="I103" s="74"/>
      <c r="J103" s="11">
        <f t="shared" si="11"/>
        <v>0</v>
      </c>
      <c r="K103" s="209"/>
      <c r="L103" s="11">
        <f>IF(K103&gt;I103,"ERROR",(K103*H103)*0.15+J103)</f>
        <v>0</v>
      </c>
      <c r="M103" s="772" t="s">
        <v>1146</v>
      </c>
      <c r="Q103" s="1129"/>
    </row>
    <row r="104" spans="1:17" ht="12.75" customHeight="1">
      <c r="A104" s="1171"/>
      <c r="B104" s="1180"/>
      <c r="C104" s="1184"/>
      <c r="D104" s="10">
        <v>71</v>
      </c>
      <c r="E104" s="10">
        <v>103</v>
      </c>
      <c r="F104" s="10">
        <v>2001</v>
      </c>
      <c r="G104" s="10">
        <v>3000</v>
      </c>
      <c r="H104" s="237">
        <v>15.96</v>
      </c>
      <c r="I104" s="74"/>
      <c r="J104" s="11">
        <f t="shared" si="11"/>
        <v>0</v>
      </c>
      <c r="K104" s="209"/>
      <c r="L104" s="11">
        <f>IF(K104&gt;I104,"ERROR",(K104*H104)*0.2+J104)</f>
        <v>0</v>
      </c>
      <c r="M104" s="772" t="s">
        <v>1146</v>
      </c>
      <c r="Q104" s="1129"/>
    </row>
    <row r="105" spans="1:17" ht="12.75" customHeight="1">
      <c r="A105" s="1171"/>
      <c r="B105" s="1180"/>
      <c r="C105" s="1184"/>
      <c r="D105" s="10">
        <v>71</v>
      </c>
      <c r="E105" s="10">
        <v>103</v>
      </c>
      <c r="F105" s="10">
        <v>3001</v>
      </c>
      <c r="G105" s="10">
        <v>4000</v>
      </c>
      <c r="H105" s="237">
        <v>31.02</v>
      </c>
      <c r="I105" s="74"/>
      <c r="J105" s="11">
        <f t="shared" si="11"/>
        <v>0</v>
      </c>
      <c r="K105" s="209"/>
      <c r="L105" s="11">
        <f>IF(K105&gt;I105,"ERROR",(K105*H105)*0.25+J105)</f>
        <v>0</v>
      </c>
      <c r="M105" s="772" t="s">
        <v>1146</v>
      </c>
      <c r="Q105" s="1129"/>
    </row>
    <row r="106" spans="1:17" ht="12.75" customHeight="1">
      <c r="A106" s="1171"/>
      <c r="B106" s="1180"/>
      <c r="C106" s="1184"/>
      <c r="D106" s="10">
        <v>71</v>
      </c>
      <c r="E106" s="10">
        <v>103</v>
      </c>
      <c r="F106" s="10">
        <v>4001</v>
      </c>
      <c r="G106" s="10">
        <v>5000</v>
      </c>
      <c r="H106" s="237">
        <v>34.979999999999997</v>
      </c>
      <c r="I106" s="74"/>
      <c r="J106" s="11">
        <f t="shared" si="11"/>
        <v>0</v>
      </c>
      <c r="K106" s="209"/>
      <c r="L106" s="11">
        <f t="shared" ref="L106:L114" si="12">IF(K106&gt;I106,"ERROR",(K106*H106)*0.3+J106)</f>
        <v>0</v>
      </c>
      <c r="M106" s="772" t="s">
        <v>1146</v>
      </c>
      <c r="Q106" s="1129"/>
    </row>
    <row r="107" spans="1:17" ht="12.75" customHeight="1">
      <c r="A107" s="1171"/>
      <c r="B107" s="1180"/>
      <c r="C107" s="1184"/>
      <c r="D107" s="10">
        <v>71</v>
      </c>
      <c r="E107" s="10">
        <v>103</v>
      </c>
      <c r="F107" s="10">
        <v>5001</v>
      </c>
      <c r="G107" s="10">
        <v>6000</v>
      </c>
      <c r="H107" s="237">
        <v>40.020000000000003</v>
      </c>
      <c r="I107" s="74"/>
      <c r="J107" s="11">
        <f t="shared" si="11"/>
        <v>0</v>
      </c>
      <c r="K107" s="209"/>
      <c r="L107" s="11">
        <f t="shared" si="12"/>
        <v>0</v>
      </c>
      <c r="M107" s="772" t="s">
        <v>1146</v>
      </c>
      <c r="Q107" s="1129"/>
    </row>
    <row r="108" spans="1:17" ht="12.75" customHeight="1">
      <c r="A108" s="1171"/>
      <c r="B108" s="1180"/>
      <c r="C108" s="1184"/>
      <c r="D108" s="10">
        <v>71</v>
      </c>
      <c r="E108" s="10">
        <v>103</v>
      </c>
      <c r="F108" s="10">
        <v>6001</v>
      </c>
      <c r="G108" s="10">
        <v>9000</v>
      </c>
      <c r="H108" s="237">
        <v>48</v>
      </c>
      <c r="I108" s="74"/>
      <c r="J108" s="11">
        <f t="shared" si="11"/>
        <v>0</v>
      </c>
      <c r="K108" s="209"/>
      <c r="L108" s="11">
        <f t="shared" si="12"/>
        <v>0</v>
      </c>
      <c r="M108" s="772" t="s">
        <v>1146</v>
      </c>
      <c r="Q108" s="1129"/>
    </row>
    <row r="109" spans="1:17" ht="12.75" customHeight="1">
      <c r="A109" s="1171"/>
      <c r="B109" s="1180"/>
      <c r="C109" s="1184"/>
      <c r="D109" s="10">
        <v>71</v>
      </c>
      <c r="E109" s="10">
        <v>103</v>
      </c>
      <c r="F109" s="306">
        <v>9001</v>
      </c>
      <c r="G109" s="306">
        <v>11000</v>
      </c>
      <c r="H109" s="307">
        <v>55.98</v>
      </c>
      <c r="I109" s="308"/>
      <c r="J109" s="378">
        <f t="shared" si="11"/>
        <v>0</v>
      </c>
      <c r="K109" s="432"/>
      <c r="L109" s="11">
        <f t="shared" si="12"/>
        <v>0</v>
      </c>
      <c r="M109" s="772" t="s">
        <v>1146</v>
      </c>
      <c r="Q109" s="1129"/>
    </row>
    <row r="110" spans="1:17" ht="12.75" customHeight="1">
      <c r="A110" s="1171"/>
      <c r="B110" s="1180"/>
      <c r="C110" s="1184"/>
      <c r="D110" s="10">
        <v>71</v>
      </c>
      <c r="E110" s="10">
        <v>103</v>
      </c>
      <c r="F110" s="10">
        <v>110001</v>
      </c>
      <c r="G110" s="10">
        <v>13000</v>
      </c>
      <c r="H110" s="307">
        <v>65.28</v>
      </c>
      <c r="I110" s="308"/>
      <c r="J110" s="378">
        <f>+I110*H110</f>
        <v>0</v>
      </c>
      <c r="K110" s="432"/>
      <c r="L110" s="11">
        <f t="shared" si="12"/>
        <v>0</v>
      </c>
      <c r="M110" s="772" t="s">
        <v>1146</v>
      </c>
      <c r="Q110" s="1129"/>
    </row>
    <row r="111" spans="1:17" ht="12.75" customHeight="1">
      <c r="A111" s="1171"/>
      <c r="B111" s="1180"/>
      <c r="C111" s="1184"/>
      <c r="D111" s="10"/>
      <c r="E111" s="10"/>
      <c r="F111" s="306"/>
      <c r="G111" s="306"/>
      <c r="H111" s="307"/>
      <c r="I111" s="308"/>
      <c r="J111" s="378">
        <f>+I111*H111</f>
        <v>0</v>
      </c>
      <c r="K111" s="432"/>
      <c r="L111" s="11">
        <f t="shared" si="12"/>
        <v>0</v>
      </c>
      <c r="Q111" s="1129"/>
    </row>
    <row r="112" spans="1:17" ht="12.75" customHeight="1">
      <c r="A112" s="1171"/>
      <c r="B112" s="1180"/>
      <c r="C112" s="1184"/>
      <c r="D112" s="10"/>
      <c r="E112" s="10"/>
      <c r="F112" s="306"/>
      <c r="G112" s="306"/>
      <c r="H112" s="307"/>
      <c r="I112" s="308"/>
      <c r="J112" s="378">
        <f>+I112*H112</f>
        <v>0</v>
      </c>
      <c r="K112" s="432"/>
      <c r="L112" s="11">
        <f>IF(K112&gt;I112,"ERROR",(K112*H112)*0.3+J112)</f>
        <v>0</v>
      </c>
      <c r="Q112" s="1129"/>
    </row>
    <row r="113" spans="1:17" ht="12.75" customHeight="1">
      <c r="A113" s="1171"/>
      <c r="B113" s="1180"/>
      <c r="C113" s="1184"/>
      <c r="D113" s="10"/>
      <c r="E113" s="10"/>
      <c r="F113" s="306"/>
      <c r="G113" s="306"/>
      <c r="H113" s="307"/>
      <c r="I113" s="308"/>
      <c r="J113" s="378">
        <f>+I113*H113</f>
        <v>0</v>
      </c>
      <c r="K113" s="432"/>
      <c r="L113" s="11">
        <f t="shared" si="12"/>
        <v>0</v>
      </c>
      <c r="Q113" s="1129"/>
    </row>
    <row r="114" spans="1:17" ht="13.5" customHeight="1" thickBot="1">
      <c r="A114" s="1172"/>
      <c r="B114" s="1181"/>
      <c r="C114" s="1185"/>
      <c r="D114" s="12"/>
      <c r="E114" s="12"/>
      <c r="F114" s="12"/>
      <c r="G114" s="12"/>
      <c r="H114" s="238"/>
      <c r="I114" s="75"/>
      <c r="J114" s="13">
        <f t="shared" si="11"/>
        <v>0</v>
      </c>
      <c r="K114" s="210"/>
      <c r="L114" s="13">
        <f t="shared" si="12"/>
        <v>0</v>
      </c>
      <c r="Q114" s="1129"/>
    </row>
    <row r="115" spans="1:17" ht="12.75" customHeight="1">
      <c r="A115" s="1170" t="s">
        <v>91</v>
      </c>
      <c r="B115" s="1179" t="s">
        <v>120</v>
      </c>
      <c r="C115" s="1179" t="s">
        <v>391</v>
      </c>
      <c r="D115" s="7">
        <v>0.13</v>
      </c>
      <c r="E115" s="7">
        <v>0.13</v>
      </c>
      <c r="F115" s="7">
        <v>60</v>
      </c>
      <c r="G115" s="607">
        <v>100</v>
      </c>
      <c r="H115" s="546">
        <v>1.0909</v>
      </c>
      <c r="I115" s="73"/>
      <c r="J115" s="8">
        <f t="shared" ref="J115:J126" si="13">+I115*H115</f>
        <v>0</v>
      </c>
      <c r="K115" s="211"/>
      <c r="L115" s="8">
        <f>IF(K115&gt;I115,"ERROR",(K115*H115)*0.1+J115)</f>
        <v>0</v>
      </c>
      <c r="M115" s="772" t="s">
        <v>1146</v>
      </c>
      <c r="Q115" s="1129"/>
    </row>
    <row r="116" spans="1:17" ht="12.75" customHeight="1">
      <c r="A116" s="1171"/>
      <c r="B116" s="1180"/>
      <c r="C116" s="1180"/>
      <c r="D116" s="10">
        <v>0.13</v>
      </c>
      <c r="E116" s="10">
        <v>0.13</v>
      </c>
      <c r="F116" s="406">
        <v>101</v>
      </c>
      <c r="G116" s="586">
        <v>1000</v>
      </c>
      <c r="H116" s="546">
        <v>1.0909</v>
      </c>
      <c r="I116" s="219"/>
      <c r="J116" s="220">
        <f t="shared" si="13"/>
        <v>0</v>
      </c>
      <c r="K116" s="223"/>
      <c r="L116" s="220">
        <f>IF(K116&gt;I116,"ERROR",(K116*H116)*0.1+J116)</f>
        <v>0</v>
      </c>
      <c r="M116" s="772" t="s">
        <v>1146</v>
      </c>
      <c r="Q116" s="1129"/>
    </row>
    <row r="117" spans="1:17" ht="12.75" customHeight="1">
      <c r="A117" s="1171"/>
      <c r="B117" s="1180"/>
      <c r="C117" s="1180"/>
      <c r="D117" s="10">
        <v>0.13</v>
      </c>
      <c r="E117" s="10">
        <v>0.13</v>
      </c>
      <c r="F117" s="10">
        <v>1001</v>
      </c>
      <c r="G117" s="407">
        <v>2000</v>
      </c>
      <c r="H117" s="546">
        <v>1.2211000000000001</v>
      </c>
      <c r="I117" s="74"/>
      <c r="J117" s="11">
        <f t="shared" si="13"/>
        <v>0</v>
      </c>
      <c r="K117" s="209"/>
      <c r="L117" s="11">
        <f>IF(K117&gt;I117,"ERROR",(K117*H117)*0.15+J117)</f>
        <v>0</v>
      </c>
      <c r="M117" s="772" t="s">
        <v>1146</v>
      </c>
      <c r="Q117" s="1129"/>
    </row>
    <row r="118" spans="1:17" ht="12.75" customHeight="1">
      <c r="A118" s="1171"/>
      <c r="B118" s="1180"/>
      <c r="C118" s="1180"/>
      <c r="D118" s="10">
        <v>0.13</v>
      </c>
      <c r="E118" s="10">
        <v>0.13</v>
      </c>
      <c r="F118" s="10">
        <v>2001</v>
      </c>
      <c r="G118" s="407">
        <v>3000</v>
      </c>
      <c r="H118" s="546">
        <v>1.4218</v>
      </c>
      <c r="I118" s="74"/>
      <c r="J118" s="11">
        <f t="shared" si="13"/>
        <v>0</v>
      </c>
      <c r="K118" s="209"/>
      <c r="L118" s="11">
        <f>IF(K118&gt;I118,"ERROR",(K118*H118)*0.2+J118)</f>
        <v>0</v>
      </c>
      <c r="M118" s="772" t="s">
        <v>1146</v>
      </c>
      <c r="Q118" s="1129"/>
    </row>
    <row r="119" spans="1:17" ht="12.75" customHeight="1">
      <c r="A119" s="1171"/>
      <c r="B119" s="1180"/>
      <c r="C119" s="1180"/>
      <c r="D119" s="10">
        <v>0.13</v>
      </c>
      <c r="E119" s="10">
        <v>0.13</v>
      </c>
      <c r="F119" s="10">
        <v>3001</v>
      </c>
      <c r="G119" s="407">
        <v>4000</v>
      </c>
      <c r="H119" s="546">
        <v>1.6231</v>
      </c>
      <c r="I119" s="74"/>
      <c r="J119" s="11">
        <f t="shared" si="13"/>
        <v>0</v>
      </c>
      <c r="K119" s="209"/>
      <c r="L119" s="11">
        <f>IF(K119&gt;I119,"ERROR",(K119*H119)*0.25+J119)</f>
        <v>0</v>
      </c>
      <c r="M119" s="772" t="s">
        <v>1146</v>
      </c>
      <c r="Q119" s="1129"/>
    </row>
    <row r="120" spans="1:17" ht="12.75" customHeight="1">
      <c r="A120" s="1171"/>
      <c r="B120" s="1180"/>
      <c r="C120" s="1180"/>
      <c r="D120" s="10">
        <v>0.13</v>
      </c>
      <c r="E120" s="10">
        <v>0.13</v>
      </c>
      <c r="F120" s="10">
        <v>4001</v>
      </c>
      <c r="G120" s="407">
        <v>5000</v>
      </c>
      <c r="H120" s="546">
        <v>1.8246</v>
      </c>
      <c r="I120" s="74"/>
      <c r="J120" s="11">
        <f t="shared" si="13"/>
        <v>0</v>
      </c>
      <c r="K120" s="209"/>
      <c r="L120" s="11">
        <f t="shared" ref="L120:L125" si="14">IF(K120&gt;I120,"ERROR",(K120*H120)*0.3+J120)</f>
        <v>0</v>
      </c>
      <c r="M120" s="772" t="s">
        <v>1146</v>
      </c>
      <c r="Q120" s="1129"/>
    </row>
    <row r="121" spans="1:17" ht="12.75" customHeight="1">
      <c r="A121" s="1171"/>
      <c r="B121" s="1180"/>
      <c r="C121" s="1180"/>
      <c r="D121" s="10">
        <v>0.13</v>
      </c>
      <c r="E121" s="10">
        <v>0.13</v>
      </c>
      <c r="F121" s="10">
        <v>5001</v>
      </c>
      <c r="G121" s="407">
        <v>6000</v>
      </c>
      <c r="H121" s="546">
        <v>2.0224000000000002</v>
      </c>
      <c r="I121" s="74"/>
      <c r="J121" s="11">
        <f t="shared" si="13"/>
        <v>0</v>
      </c>
      <c r="K121" s="209"/>
      <c r="L121" s="11">
        <f t="shared" si="14"/>
        <v>0</v>
      </c>
      <c r="M121" s="772" t="s">
        <v>1146</v>
      </c>
      <c r="Q121" s="1129"/>
    </row>
    <row r="122" spans="1:17" ht="12.75" customHeight="1">
      <c r="A122" s="1171"/>
      <c r="B122" s="1180"/>
      <c r="C122" s="1180"/>
      <c r="D122" s="10">
        <v>0.13</v>
      </c>
      <c r="E122" s="10">
        <v>0.13</v>
      </c>
      <c r="F122" s="10">
        <v>6001</v>
      </c>
      <c r="G122" s="407">
        <v>7000</v>
      </c>
      <c r="H122" s="546">
        <v>2.2193999999999998</v>
      </c>
      <c r="I122" s="74"/>
      <c r="J122" s="11">
        <f t="shared" si="13"/>
        <v>0</v>
      </c>
      <c r="K122" s="209"/>
      <c r="L122" s="11">
        <f t="shared" si="14"/>
        <v>0</v>
      </c>
      <c r="M122" s="772" t="s">
        <v>1146</v>
      </c>
      <c r="Q122" s="1129"/>
    </row>
    <row r="123" spans="1:17" ht="12.75" customHeight="1">
      <c r="A123" s="1171"/>
      <c r="B123" s="1180"/>
      <c r="C123" s="1180"/>
      <c r="D123" s="10">
        <v>0.13</v>
      </c>
      <c r="E123" s="10">
        <v>0.13</v>
      </c>
      <c r="F123" s="10">
        <v>7001</v>
      </c>
      <c r="G123" s="407">
        <v>8000</v>
      </c>
      <c r="H123" s="546">
        <v>2.4241999999999999</v>
      </c>
      <c r="I123" s="74"/>
      <c r="J123" s="11">
        <f t="shared" si="13"/>
        <v>0</v>
      </c>
      <c r="K123" s="209"/>
      <c r="L123" s="11">
        <f t="shared" si="14"/>
        <v>0</v>
      </c>
      <c r="M123" s="772" t="s">
        <v>1146</v>
      </c>
      <c r="Q123" s="1129"/>
    </row>
    <row r="124" spans="1:17" ht="12.75" customHeight="1">
      <c r="A124" s="1171"/>
      <c r="B124" s="1180"/>
      <c r="C124" s="1180"/>
      <c r="D124" s="10">
        <v>0.13</v>
      </c>
      <c r="E124" s="10">
        <v>0.13</v>
      </c>
      <c r="F124" s="10">
        <v>8001</v>
      </c>
      <c r="G124" s="407">
        <v>9000</v>
      </c>
      <c r="H124" s="546">
        <v>2.6086</v>
      </c>
      <c r="I124" s="74"/>
      <c r="J124" s="11">
        <f t="shared" si="13"/>
        <v>0</v>
      </c>
      <c r="K124" s="209"/>
      <c r="L124" s="11">
        <f t="shared" si="14"/>
        <v>0</v>
      </c>
      <c r="M124" s="772" t="s">
        <v>1146</v>
      </c>
      <c r="Q124" s="1129"/>
    </row>
    <row r="125" spans="1:17" ht="12.75" customHeight="1">
      <c r="A125" s="1171"/>
      <c r="B125" s="1180"/>
      <c r="C125" s="1180"/>
      <c r="D125" s="10">
        <v>0.13</v>
      </c>
      <c r="E125" s="10">
        <v>0.13</v>
      </c>
      <c r="F125" s="10">
        <v>9001</v>
      </c>
      <c r="G125" s="407">
        <v>11000</v>
      </c>
      <c r="H125" s="546">
        <v>2.85</v>
      </c>
      <c r="I125" s="74"/>
      <c r="J125" s="11">
        <f t="shared" si="13"/>
        <v>0</v>
      </c>
      <c r="K125" s="209"/>
      <c r="L125" s="11">
        <f t="shared" si="14"/>
        <v>0</v>
      </c>
      <c r="M125" s="772" t="s">
        <v>1146</v>
      </c>
      <c r="Q125" s="1129"/>
    </row>
    <row r="126" spans="1:17" ht="12.75" customHeight="1">
      <c r="A126" s="1171"/>
      <c r="B126" s="1180"/>
      <c r="C126" s="1180"/>
      <c r="D126" s="10">
        <v>0.13</v>
      </c>
      <c r="E126" s="10">
        <v>0.13</v>
      </c>
      <c r="F126" s="10">
        <v>11001</v>
      </c>
      <c r="G126" s="407">
        <v>13000</v>
      </c>
      <c r="H126" s="546">
        <v>3.1577999999999999</v>
      </c>
      <c r="I126" s="74"/>
      <c r="J126" s="11">
        <f t="shared" si="13"/>
        <v>0</v>
      </c>
      <c r="K126" s="209"/>
      <c r="L126" s="11">
        <f t="shared" ref="L126:L131" si="15">IF(K126&gt;I126,"ERROR",(K126*H126)*0.3+J126)</f>
        <v>0</v>
      </c>
      <c r="M126" s="772" t="s">
        <v>1146</v>
      </c>
      <c r="Q126" s="1129"/>
    </row>
    <row r="127" spans="1:17" ht="12.75" customHeight="1">
      <c r="A127" s="1171"/>
      <c r="B127" s="1180"/>
      <c r="C127" s="1180"/>
      <c r="D127" s="10">
        <v>0.13</v>
      </c>
      <c r="E127" s="10">
        <v>0.13</v>
      </c>
      <c r="F127" s="10">
        <v>13001</v>
      </c>
      <c r="G127" s="407">
        <v>15000</v>
      </c>
      <c r="H127" s="546">
        <v>3.4285000000000001</v>
      </c>
      <c r="I127" s="74"/>
      <c r="J127" s="11">
        <f>+I127*H127</f>
        <v>0</v>
      </c>
      <c r="K127" s="209"/>
      <c r="L127" s="11">
        <f t="shared" si="15"/>
        <v>0</v>
      </c>
      <c r="M127" s="772" t="s">
        <v>1146</v>
      </c>
      <c r="Q127" s="1129"/>
    </row>
    <row r="128" spans="1:17" ht="12.75" customHeight="1">
      <c r="A128" s="1171"/>
      <c r="B128" s="1180"/>
      <c r="C128" s="1180"/>
      <c r="D128" s="10">
        <v>0.13</v>
      </c>
      <c r="E128" s="10">
        <v>0.13</v>
      </c>
      <c r="F128" s="10">
        <v>15001</v>
      </c>
      <c r="G128" s="407">
        <v>17000</v>
      </c>
      <c r="H128" s="547">
        <f>H127-H126+H127</f>
        <v>3.6992000000000003</v>
      </c>
      <c r="I128" s="308"/>
      <c r="J128" s="11">
        <f>+I128*H128</f>
        <v>0</v>
      </c>
      <c r="K128" s="209"/>
      <c r="L128" s="11">
        <f t="shared" si="15"/>
        <v>0</v>
      </c>
      <c r="M128" s="772" t="s">
        <v>1146</v>
      </c>
      <c r="Q128" s="1129"/>
    </row>
    <row r="129" spans="1:17" ht="12.75" customHeight="1">
      <c r="A129" s="1171"/>
      <c r="B129" s="1180"/>
      <c r="C129" s="1180"/>
      <c r="D129" s="10">
        <v>0.13</v>
      </c>
      <c r="E129" s="10">
        <v>0.13</v>
      </c>
      <c r="F129" s="10">
        <v>17001</v>
      </c>
      <c r="G129" s="407">
        <v>19000</v>
      </c>
      <c r="H129" s="547">
        <f>H128-H127+H128</f>
        <v>3.9699000000000004</v>
      </c>
      <c r="I129" s="308"/>
      <c r="J129" s="11">
        <f>+I129*H129</f>
        <v>0</v>
      </c>
      <c r="K129" s="209"/>
      <c r="L129" s="11">
        <f t="shared" si="15"/>
        <v>0</v>
      </c>
      <c r="M129" s="772" t="s">
        <v>1146</v>
      </c>
      <c r="Q129" s="1129"/>
    </row>
    <row r="130" spans="1:17" ht="12.75" customHeight="1">
      <c r="A130" s="1171"/>
      <c r="B130" s="1180"/>
      <c r="C130" s="1180"/>
      <c r="D130" s="306"/>
      <c r="E130" s="306"/>
      <c r="F130" s="306"/>
      <c r="G130" s="431"/>
      <c r="H130" s="547"/>
      <c r="I130" s="308"/>
      <c r="J130" s="11">
        <f>+I130*H130</f>
        <v>0</v>
      </c>
      <c r="K130" s="209"/>
      <c r="L130" s="11">
        <f t="shared" si="15"/>
        <v>0</v>
      </c>
      <c r="Q130" s="1129"/>
    </row>
    <row r="131" spans="1:17" ht="12.75" customHeight="1" thickBot="1">
      <c r="A131" s="1172"/>
      <c r="B131" s="1181"/>
      <c r="C131" s="1181"/>
      <c r="D131" s="12"/>
      <c r="E131" s="12"/>
      <c r="F131" s="12"/>
      <c r="G131" s="433"/>
      <c r="H131" s="548"/>
      <c r="I131" s="75"/>
      <c r="J131" s="13">
        <f>+I131*H131</f>
        <v>0</v>
      </c>
      <c r="K131" s="210"/>
      <c r="L131" s="13">
        <f t="shared" si="15"/>
        <v>0</v>
      </c>
      <c r="Q131" s="1129"/>
    </row>
    <row r="132" spans="1:17" ht="12.75" customHeight="1">
      <c r="A132" s="1170" t="s">
        <v>91</v>
      </c>
      <c r="B132" s="1179" t="s">
        <v>789</v>
      </c>
      <c r="C132" s="1179" t="s">
        <v>391</v>
      </c>
      <c r="D132" s="7">
        <v>0.13</v>
      </c>
      <c r="E132" s="7">
        <v>0.13</v>
      </c>
      <c r="F132" s="7">
        <v>60</v>
      </c>
      <c r="G132" s="607">
        <v>100</v>
      </c>
      <c r="H132" s="546">
        <v>1.2408999999999999</v>
      </c>
      <c r="I132" s="73"/>
      <c r="J132" s="8">
        <f t="shared" ref="J132:J144" si="16">+I132*H132</f>
        <v>0</v>
      </c>
      <c r="K132" s="211"/>
      <c r="L132" s="8">
        <f>IF(K132&gt;I132,"ERROR",(K132*H132)*0.1+J132)</f>
        <v>0</v>
      </c>
      <c r="M132" s="772" t="s">
        <v>1146</v>
      </c>
      <c r="Q132" s="1129"/>
    </row>
    <row r="133" spans="1:17" ht="12.75" customHeight="1">
      <c r="A133" s="1171"/>
      <c r="B133" s="1180"/>
      <c r="C133" s="1180"/>
      <c r="D133" s="10">
        <v>0.13</v>
      </c>
      <c r="E133" s="10">
        <v>0.13</v>
      </c>
      <c r="F133" s="406">
        <v>101</v>
      </c>
      <c r="G133" s="586">
        <v>1000</v>
      </c>
      <c r="H133" s="546">
        <v>1.2408999999999999</v>
      </c>
      <c r="I133" s="219"/>
      <c r="J133" s="220">
        <f t="shared" si="16"/>
        <v>0</v>
      </c>
      <c r="K133" s="223"/>
      <c r="L133" s="220">
        <f>IF(K133&gt;I133,"ERROR",(K133*H133)*0.1+J133)</f>
        <v>0</v>
      </c>
      <c r="M133" s="772" t="s">
        <v>1146</v>
      </c>
      <c r="Q133" s="1129"/>
    </row>
    <row r="134" spans="1:17" ht="12.75" customHeight="1">
      <c r="A134" s="1171"/>
      <c r="B134" s="1180"/>
      <c r="C134" s="1180"/>
      <c r="D134" s="10">
        <v>0.13</v>
      </c>
      <c r="E134" s="10">
        <v>0.13</v>
      </c>
      <c r="F134" s="10">
        <v>1001</v>
      </c>
      <c r="G134" s="407">
        <v>2000</v>
      </c>
      <c r="H134" s="546">
        <v>1.3711</v>
      </c>
      <c r="I134" s="74"/>
      <c r="J134" s="11">
        <f t="shared" si="16"/>
        <v>0</v>
      </c>
      <c r="K134" s="209"/>
      <c r="L134" s="11">
        <f>IF(K134&gt;I134,"ERROR",(K134*H134)*0.15+J134)</f>
        <v>0</v>
      </c>
      <c r="M134" s="772" t="s">
        <v>1146</v>
      </c>
      <c r="Q134" s="1129"/>
    </row>
    <row r="135" spans="1:17" ht="12.75" customHeight="1">
      <c r="A135" s="1171"/>
      <c r="B135" s="1180"/>
      <c r="C135" s="1180"/>
      <c r="D135" s="10">
        <v>0.13</v>
      </c>
      <c r="E135" s="10">
        <v>0.13</v>
      </c>
      <c r="F135" s="10">
        <v>2001</v>
      </c>
      <c r="G135" s="407">
        <v>3000</v>
      </c>
      <c r="H135" s="546">
        <v>1.5717999999999999</v>
      </c>
      <c r="I135" s="74"/>
      <c r="J135" s="11">
        <f t="shared" si="16"/>
        <v>0</v>
      </c>
      <c r="K135" s="209"/>
      <c r="L135" s="11">
        <f>IF(K135&gt;I135,"ERROR",(K135*H135)*0.2+J135)</f>
        <v>0</v>
      </c>
      <c r="M135" s="772" t="s">
        <v>1146</v>
      </c>
      <c r="Q135" s="1129"/>
    </row>
    <row r="136" spans="1:17" ht="12.75" customHeight="1">
      <c r="A136" s="1171"/>
      <c r="B136" s="1180"/>
      <c r="C136" s="1180"/>
      <c r="D136" s="10">
        <v>0.13</v>
      </c>
      <c r="E136" s="10">
        <v>0.13</v>
      </c>
      <c r="F136" s="10">
        <v>3001</v>
      </c>
      <c r="G136" s="407">
        <v>4000</v>
      </c>
      <c r="H136" s="546">
        <v>1.7730999999999999</v>
      </c>
      <c r="I136" s="74"/>
      <c r="J136" s="11">
        <f t="shared" si="16"/>
        <v>0</v>
      </c>
      <c r="K136" s="209"/>
      <c r="L136" s="11">
        <f>IF(K136&gt;I136,"ERROR",(K136*H136)*0.25+J136)</f>
        <v>0</v>
      </c>
      <c r="M136" s="772" t="s">
        <v>1146</v>
      </c>
      <c r="Q136" s="1129"/>
    </row>
    <row r="137" spans="1:17" ht="12.75" customHeight="1">
      <c r="A137" s="1171"/>
      <c r="B137" s="1180"/>
      <c r="C137" s="1180"/>
      <c r="D137" s="10">
        <v>0.13</v>
      </c>
      <c r="E137" s="10">
        <v>0.13</v>
      </c>
      <c r="F137" s="10">
        <v>4001</v>
      </c>
      <c r="G137" s="407">
        <v>5000</v>
      </c>
      <c r="H137" s="546">
        <v>1.9745999999999999</v>
      </c>
      <c r="I137" s="74"/>
      <c r="J137" s="11">
        <f t="shared" si="16"/>
        <v>0</v>
      </c>
      <c r="K137" s="209"/>
      <c r="L137" s="11">
        <f t="shared" ref="L137:L148" si="17">IF(K137&gt;I137,"ERROR",(K137*H137)*0.3+J137)</f>
        <v>0</v>
      </c>
      <c r="M137" s="772" t="s">
        <v>1146</v>
      </c>
      <c r="Q137" s="1129"/>
    </row>
    <row r="138" spans="1:17" ht="12.75" customHeight="1">
      <c r="A138" s="1171"/>
      <c r="B138" s="1180"/>
      <c r="C138" s="1180"/>
      <c r="D138" s="10">
        <v>0.13</v>
      </c>
      <c r="E138" s="10">
        <v>0.13</v>
      </c>
      <c r="F138" s="10">
        <v>5001</v>
      </c>
      <c r="G138" s="407">
        <v>6000</v>
      </c>
      <c r="H138" s="546">
        <v>2.1724000000000001</v>
      </c>
      <c r="I138" s="74"/>
      <c r="J138" s="11">
        <f t="shared" si="16"/>
        <v>0</v>
      </c>
      <c r="K138" s="209"/>
      <c r="L138" s="11">
        <f t="shared" si="17"/>
        <v>0</v>
      </c>
      <c r="M138" s="772" t="s">
        <v>1146</v>
      </c>
      <c r="Q138" s="1129"/>
    </row>
    <row r="139" spans="1:17" ht="12.75" customHeight="1">
      <c r="A139" s="1171"/>
      <c r="B139" s="1180"/>
      <c r="C139" s="1180"/>
      <c r="D139" s="10">
        <v>0.13</v>
      </c>
      <c r="E139" s="10">
        <v>0.13</v>
      </c>
      <c r="F139" s="10">
        <v>6001</v>
      </c>
      <c r="G139" s="407">
        <v>7000</v>
      </c>
      <c r="H139" s="546">
        <v>2.3693999999999997</v>
      </c>
      <c r="I139" s="74"/>
      <c r="J139" s="11">
        <f t="shared" si="16"/>
        <v>0</v>
      </c>
      <c r="K139" s="209"/>
      <c r="L139" s="11">
        <f t="shared" si="17"/>
        <v>0</v>
      </c>
      <c r="M139" s="772" t="s">
        <v>1146</v>
      </c>
      <c r="Q139" s="1129"/>
    </row>
    <row r="140" spans="1:17" ht="12.75" customHeight="1">
      <c r="A140" s="1171"/>
      <c r="B140" s="1180"/>
      <c r="C140" s="1180"/>
      <c r="D140" s="10">
        <v>0.13</v>
      </c>
      <c r="E140" s="10">
        <v>0.13</v>
      </c>
      <c r="F140" s="10">
        <v>7001</v>
      </c>
      <c r="G140" s="407">
        <v>8000</v>
      </c>
      <c r="H140" s="546">
        <v>2.5741999999999998</v>
      </c>
      <c r="I140" s="74"/>
      <c r="J140" s="11">
        <f t="shared" si="16"/>
        <v>0</v>
      </c>
      <c r="K140" s="209"/>
      <c r="L140" s="11">
        <f t="shared" si="17"/>
        <v>0</v>
      </c>
      <c r="M140" s="772" t="s">
        <v>1146</v>
      </c>
      <c r="Q140" s="1129"/>
    </row>
    <row r="141" spans="1:17" ht="12.75" customHeight="1">
      <c r="A141" s="1171"/>
      <c r="B141" s="1180"/>
      <c r="C141" s="1180"/>
      <c r="D141" s="10">
        <v>0.13</v>
      </c>
      <c r="E141" s="10">
        <v>0.13</v>
      </c>
      <c r="F141" s="10">
        <v>8001</v>
      </c>
      <c r="G141" s="407">
        <v>9000</v>
      </c>
      <c r="H141" s="546">
        <v>2.7585999999999999</v>
      </c>
      <c r="I141" s="74"/>
      <c r="J141" s="11">
        <f t="shared" si="16"/>
        <v>0</v>
      </c>
      <c r="K141" s="209"/>
      <c r="L141" s="11">
        <f t="shared" si="17"/>
        <v>0</v>
      </c>
      <c r="M141" s="772" t="s">
        <v>1146</v>
      </c>
      <c r="Q141" s="1129"/>
    </row>
    <row r="142" spans="1:17" ht="12.75" customHeight="1">
      <c r="A142" s="1171"/>
      <c r="B142" s="1180"/>
      <c r="C142" s="1180"/>
      <c r="D142" s="10">
        <v>0.13</v>
      </c>
      <c r="E142" s="10">
        <v>0.13</v>
      </c>
      <c r="F142" s="10">
        <v>9001</v>
      </c>
      <c r="G142" s="407">
        <v>11000</v>
      </c>
      <c r="H142" s="707">
        <v>3</v>
      </c>
      <c r="I142" s="74"/>
      <c r="J142" s="11">
        <f t="shared" si="16"/>
        <v>0</v>
      </c>
      <c r="K142" s="209"/>
      <c r="L142" s="11">
        <f t="shared" si="17"/>
        <v>0</v>
      </c>
      <c r="M142" s="772" t="s">
        <v>1146</v>
      </c>
      <c r="Q142" s="1129"/>
    </row>
    <row r="143" spans="1:17" ht="12.75" customHeight="1">
      <c r="A143" s="1171"/>
      <c r="B143" s="1180"/>
      <c r="C143" s="1180"/>
      <c r="D143" s="10">
        <v>0.13</v>
      </c>
      <c r="E143" s="10">
        <v>0.13</v>
      </c>
      <c r="F143" s="10">
        <v>11001</v>
      </c>
      <c r="G143" s="407">
        <v>13000</v>
      </c>
      <c r="H143" s="546">
        <v>3.3077999999999999</v>
      </c>
      <c r="I143" s="74"/>
      <c r="J143" s="11">
        <f t="shared" si="16"/>
        <v>0</v>
      </c>
      <c r="K143" s="209"/>
      <c r="L143" s="11">
        <f t="shared" si="17"/>
        <v>0</v>
      </c>
      <c r="M143" s="772" t="s">
        <v>1146</v>
      </c>
      <c r="Q143" s="1129"/>
    </row>
    <row r="144" spans="1:17" ht="12.75" customHeight="1">
      <c r="A144" s="1171"/>
      <c r="B144" s="1180"/>
      <c r="C144" s="1180"/>
      <c r="D144" s="10">
        <v>0.13</v>
      </c>
      <c r="E144" s="10">
        <v>0.13</v>
      </c>
      <c r="F144" s="10">
        <v>13001</v>
      </c>
      <c r="G144" s="407">
        <v>15000</v>
      </c>
      <c r="H144" s="546">
        <v>3.5785</v>
      </c>
      <c r="I144" s="74"/>
      <c r="J144" s="11">
        <f t="shared" si="16"/>
        <v>0</v>
      </c>
      <c r="K144" s="209"/>
      <c r="L144" s="11">
        <f t="shared" si="17"/>
        <v>0</v>
      </c>
      <c r="M144" s="772" t="s">
        <v>1146</v>
      </c>
      <c r="Q144" s="1129"/>
    </row>
    <row r="145" spans="1:17" ht="12.75" customHeight="1">
      <c r="A145" s="1171"/>
      <c r="B145" s="1180"/>
      <c r="C145" s="1180"/>
      <c r="D145" s="10">
        <v>0.13</v>
      </c>
      <c r="E145" s="10">
        <v>0.13</v>
      </c>
      <c r="F145" s="10">
        <v>15001</v>
      </c>
      <c r="G145" s="407">
        <v>17000</v>
      </c>
      <c r="H145" s="546">
        <f>H144-H143+H144</f>
        <v>3.8492000000000002</v>
      </c>
      <c r="I145" s="308"/>
      <c r="J145" s="11">
        <f t="shared" ref="J145:J165" si="18">+I145*H145</f>
        <v>0</v>
      </c>
      <c r="K145" s="209"/>
      <c r="L145" s="11">
        <f t="shared" si="17"/>
        <v>0</v>
      </c>
      <c r="M145" s="772" t="s">
        <v>1146</v>
      </c>
      <c r="Q145" s="1129"/>
    </row>
    <row r="146" spans="1:17" ht="12.75" customHeight="1">
      <c r="A146" s="1171"/>
      <c r="B146" s="1180"/>
      <c r="C146" s="1180"/>
      <c r="D146" s="10">
        <v>0.13</v>
      </c>
      <c r="E146" s="10">
        <v>0.13</v>
      </c>
      <c r="F146" s="10">
        <v>17001</v>
      </c>
      <c r="G146" s="407">
        <v>19000</v>
      </c>
      <c r="H146" s="546">
        <f>H145-H144+H145</f>
        <v>4.1199000000000003</v>
      </c>
      <c r="I146" s="308"/>
      <c r="J146" s="11">
        <f t="shared" si="18"/>
        <v>0</v>
      </c>
      <c r="K146" s="209"/>
      <c r="L146" s="11">
        <f t="shared" si="17"/>
        <v>0</v>
      </c>
      <c r="M146" s="772" t="s">
        <v>1146</v>
      </c>
      <c r="Q146" s="1129"/>
    </row>
    <row r="147" spans="1:17" ht="12.75" customHeight="1">
      <c r="A147" s="1171"/>
      <c r="B147" s="1180"/>
      <c r="C147" s="1180"/>
      <c r="D147" s="306"/>
      <c r="E147" s="306"/>
      <c r="F147" s="306"/>
      <c r="G147" s="431"/>
      <c r="H147" s="546"/>
      <c r="I147" s="308"/>
      <c r="J147" s="11">
        <f t="shared" si="18"/>
        <v>0</v>
      </c>
      <c r="K147" s="209"/>
      <c r="L147" s="11">
        <f t="shared" si="17"/>
        <v>0</v>
      </c>
      <c r="Q147" s="1129"/>
    </row>
    <row r="148" spans="1:17" ht="12.75" customHeight="1" thickBot="1">
      <c r="A148" s="1172"/>
      <c r="B148" s="1181"/>
      <c r="C148" s="1181"/>
      <c r="D148" s="12"/>
      <c r="E148" s="12"/>
      <c r="F148" s="12"/>
      <c r="G148" s="433"/>
      <c r="H148" s="548"/>
      <c r="I148" s="75"/>
      <c r="J148" s="13">
        <f t="shared" si="18"/>
        <v>0</v>
      </c>
      <c r="K148" s="210"/>
      <c r="L148" s="13">
        <f t="shared" si="17"/>
        <v>0</v>
      </c>
      <c r="Q148" s="1129"/>
    </row>
    <row r="149" spans="1:17" ht="12.75" customHeight="1">
      <c r="A149" s="1170" t="s">
        <v>740</v>
      </c>
      <c r="B149" s="1179" t="s">
        <v>120</v>
      </c>
      <c r="C149" s="1179" t="s">
        <v>560</v>
      </c>
      <c r="D149" s="7">
        <v>0.22</v>
      </c>
      <c r="E149" s="7">
        <v>6</v>
      </c>
      <c r="F149" s="7">
        <v>60</v>
      </c>
      <c r="G149" s="7">
        <v>100</v>
      </c>
      <c r="H149" s="580">
        <v>1.1200000000000001</v>
      </c>
      <c r="I149" s="73"/>
      <c r="J149" s="8">
        <f t="shared" si="18"/>
        <v>0</v>
      </c>
      <c r="K149" s="443"/>
      <c r="L149" s="444">
        <f>J149</f>
        <v>0</v>
      </c>
      <c r="M149" s="772" t="s">
        <v>1146</v>
      </c>
      <c r="Q149" s="1129"/>
    </row>
    <row r="150" spans="1:17" ht="12.75" customHeight="1">
      <c r="A150" s="1171"/>
      <c r="B150" s="1180"/>
      <c r="C150" s="1180"/>
      <c r="D150" s="406">
        <v>0.22</v>
      </c>
      <c r="E150" s="406">
        <v>6</v>
      </c>
      <c r="F150" s="406">
        <v>101</v>
      </c>
      <c r="G150" s="406">
        <v>1000</v>
      </c>
      <c r="H150" s="237">
        <v>1.1200000000000001</v>
      </c>
      <c r="I150" s="219">
        <v>19</v>
      </c>
      <c r="J150" s="11">
        <f t="shared" si="18"/>
        <v>21.28</v>
      </c>
      <c r="K150" s="587"/>
      <c r="L150" s="588">
        <f>J150</f>
        <v>21.28</v>
      </c>
      <c r="M150" s="772" t="s">
        <v>1146</v>
      </c>
      <c r="Q150" s="1129"/>
    </row>
    <row r="151" spans="1:17" ht="12.75" customHeight="1">
      <c r="A151" s="1171"/>
      <c r="B151" s="1180"/>
      <c r="C151" s="1180"/>
      <c r="D151" s="10">
        <v>0.22</v>
      </c>
      <c r="E151" s="10">
        <v>6</v>
      </c>
      <c r="F151" s="10">
        <v>1001</v>
      </c>
      <c r="G151" s="10">
        <v>2000</v>
      </c>
      <c r="H151" s="237">
        <v>1.3</v>
      </c>
      <c r="I151" s="74">
        <v>9</v>
      </c>
      <c r="J151" s="11">
        <f t="shared" si="18"/>
        <v>11.700000000000001</v>
      </c>
      <c r="K151" s="445"/>
      <c r="L151" s="446">
        <f>J151</f>
        <v>11.700000000000001</v>
      </c>
      <c r="M151" s="772" t="s">
        <v>1146</v>
      </c>
      <c r="Q151" s="1129"/>
    </row>
    <row r="152" spans="1:17" ht="12.75" customHeight="1">
      <c r="A152" s="1171"/>
      <c r="B152" s="1180"/>
      <c r="C152" s="1180"/>
      <c r="D152" s="10">
        <v>0.22</v>
      </c>
      <c r="E152" s="10">
        <v>6</v>
      </c>
      <c r="F152" s="10">
        <v>2001</v>
      </c>
      <c r="G152" s="10">
        <v>3000</v>
      </c>
      <c r="H152" s="237">
        <v>1.46</v>
      </c>
      <c r="I152" s="74"/>
      <c r="J152" s="11">
        <f t="shared" si="18"/>
        <v>0</v>
      </c>
      <c r="K152" s="445"/>
      <c r="L152" s="446">
        <f t="shared" ref="L152:L161" si="19">J152</f>
        <v>0</v>
      </c>
      <c r="M152" s="772" t="s">
        <v>1146</v>
      </c>
      <c r="Q152" s="1129"/>
    </row>
    <row r="153" spans="1:17" ht="12.75" customHeight="1">
      <c r="A153" s="1171"/>
      <c r="B153" s="1180"/>
      <c r="C153" s="1180"/>
      <c r="D153" s="10">
        <v>0.22</v>
      </c>
      <c r="E153" s="10">
        <v>6</v>
      </c>
      <c r="F153" s="10">
        <v>3001</v>
      </c>
      <c r="G153" s="10">
        <v>4000</v>
      </c>
      <c r="H153" s="237">
        <v>1.6</v>
      </c>
      <c r="I153" s="74"/>
      <c r="J153" s="11">
        <f t="shared" si="18"/>
        <v>0</v>
      </c>
      <c r="K153" s="445"/>
      <c r="L153" s="446">
        <f t="shared" si="19"/>
        <v>0</v>
      </c>
      <c r="M153" s="772" t="s">
        <v>1146</v>
      </c>
      <c r="Q153" s="1129"/>
    </row>
    <row r="154" spans="1:17" ht="12.75" customHeight="1">
      <c r="A154" s="1171"/>
      <c r="B154" s="1180"/>
      <c r="C154" s="1180"/>
      <c r="D154" s="10">
        <v>0.22</v>
      </c>
      <c r="E154" s="10">
        <v>6</v>
      </c>
      <c r="F154" s="10">
        <v>4001</v>
      </c>
      <c r="G154" s="10">
        <v>5000</v>
      </c>
      <c r="H154" s="237">
        <v>1.74</v>
      </c>
      <c r="I154" s="74"/>
      <c r="J154" s="11">
        <f t="shared" si="18"/>
        <v>0</v>
      </c>
      <c r="K154" s="445"/>
      <c r="L154" s="446">
        <f t="shared" si="19"/>
        <v>0</v>
      </c>
      <c r="M154" s="772" t="s">
        <v>1146</v>
      </c>
      <c r="Q154" s="1129"/>
    </row>
    <row r="155" spans="1:17" ht="12.75" customHeight="1">
      <c r="A155" s="1171"/>
      <c r="B155" s="1180"/>
      <c r="C155" s="1180"/>
      <c r="D155" s="10">
        <v>0.22</v>
      </c>
      <c r="E155" s="10">
        <v>6</v>
      </c>
      <c r="F155" s="10">
        <v>5001</v>
      </c>
      <c r="G155" s="10">
        <v>6000</v>
      </c>
      <c r="H155" s="237">
        <v>1.9</v>
      </c>
      <c r="I155" s="74"/>
      <c r="J155" s="11">
        <f t="shared" si="18"/>
        <v>0</v>
      </c>
      <c r="K155" s="445"/>
      <c r="L155" s="446">
        <f t="shared" si="19"/>
        <v>0</v>
      </c>
      <c r="M155" s="772" t="s">
        <v>1146</v>
      </c>
      <c r="Q155" s="1129"/>
    </row>
    <row r="156" spans="1:17" ht="12.75" customHeight="1">
      <c r="A156" s="1171"/>
      <c r="B156" s="1180"/>
      <c r="C156" s="1180"/>
      <c r="D156" s="10">
        <v>0.22</v>
      </c>
      <c r="E156" s="10">
        <v>6</v>
      </c>
      <c r="F156" s="10">
        <v>6001</v>
      </c>
      <c r="G156" s="10">
        <v>7000</v>
      </c>
      <c r="H156" s="237">
        <v>2.02</v>
      </c>
      <c r="I156" s="74"/>
      <c r="J156" s="11">
        <f t="shared" si="18"/>
        <v>0</v>
      </c>
      <c r="K156" s="445"/>
      <c r="L156" s="446">
        <f t="shared" si="19"/>
        <v>0</v>
      </c>
      <c r="M156" s="772" t="s">
        <v>1146</v>
      </c>
      <c r="Q156" s="1129"/>
    </row>
    <row r="157" spans="1:17" ht="12.75" customHeight="1">
      <c r="A157" s="1171"/>
      <c r="B157" s="1180"/>
      <c r="C157" s="1180"/>
      <c r="D157" s="10">
        <v>0.22</v>
      </c>
      <c r="E157" s="10">
        <v>6</v>
      </c>
      <c r="F157" s="10">
        <v>7001</v>
      </c>
      <c r="G157" s="10">
        <v>8000</v>
      </c>
      <c r="H157" s="237">
        <v>2.1800000000000002</v>
      </c>
      <c r="I157" s="74"/>
      <c r="J157" s="11">
        <f t="shared" si="18"/>
        <v>0</v>
      </c>
      <c r="K157" s="445"/>
      <c r="L157" s="446">
        <f t="shared" si="19"/>
        <v>0</v>
      </c>
      <c r="M157" s="772" t="s">
        <v>1146</v>
      </c>
      <c r="Q157" s="1129"/>
    </row>
    <row r="158" spans="1:17" ht="12.75" customHeight="1">
      <c r="A158" s="1171"/>
      <c r="B158" s="1180"/>
      <c r="C158" s="1180"/>
      <c r="D158" s="10">
        <v>0.22</v>
      </c>
      <c r="E158" s="10">
        <v>6</v>
      </c>
      <c r="F158" s="10">
        <v>8001</v>
      </c>
      <c r="G158" s="10">
        <v>9000</v>
      </c>
      <c r="H158" s="237">
        <v>2.36</v>
      </c>
      <c r="I158" s="74"/>
      <c r="J158" s="11">
        <f t="shared" si="18"/>
        <v>0</v>
      </c>
      <c r="K158" s="445"/>
      <c r="L158" s="446">
        <f t="shared" si="19"/>
        <v>0</v>
      </c>
      <c r="M158" s="772" t="s">
        <v>1146</v>
      </c>
      <c r="Q158" s="1129"/>
    </row>
    <row r="159" spans="1:17" ht="12.75" customHeight="1">
      <c r="A159" s="1171"/>
      <c r="B159" s="1180"/>
      <c r="C159" s="1180"/>
      <c r="D159" s="10">
        <v>0.22</v>
      </c>
      <c r="E159" s="10">
        <v>6</v>
      </c>
      <c r="F159" s="10">
        <v>9001</v>
      </c>
      <c r="G159" s="10">
        <v>11000</v>
      </c>
      <c r="H159" s="237">
        <v>2.56</v>
      </c>
      <c r="I159" s="74"/>
      <c r="J159" s="11">
        <f t="shared" si="18"/>
        <v>0</v>
      </c>
      <c r="K159" s="445"/>
      <c r="L159" s="446">
        <f t="shared" si="19"/>
        <v>0</v>
      </c>
      <c r="M159" s="772" t="s">
        <v>1146</v>
      </c>
      <c r="Q159" s="1129"/>
    </row>
    <row r="160" spans="1:17" ht="12.75" customHeight="1">
      <c r="A160" s="1171"/>
      <c r="B160" s="1180"/>
      <c r="C160" s="1180"/>
      <c r="D160" s="10">
        <v>0.22</v>
      </c>
      <c r="E160" s="10">
        <v>6</v>
      </c>
      <c r="F160" s="10">
        <v>11001</v>
      </c>
      <c r="G160" s="10">
        <v>13000</v>
      </c>
      <c r="H160" s="237">
        <v>2.82</v>
      </c>
      <c r="I160" s="74"/>
      <c r="J160" s="11">
        <f t="shared" si="18"/>
        <v>0</v>
      </c>
      <c r="K160" s="445"/>
      <c r="L160" s="446">
        <f t="shared" si="19"/>
        <v>0</v>
      </c>
      <c r="M160" s="772" t="s">
        <v>1146</v>
      </c>
      <c r="Q160" s="1129"/>
    </row>
    <row r="161" spans="1:17" ht="12.75" customHeight="1">
      <c r="A161" s="1171"/>
      <c r="B161" s="1180"/>
      <c r="C161" s="1180"/>
      <c r="D161" s="306">
        <v>0.22</v>
      </c>
      <c r="E161" s="306">
        <v>6</v>
      </c>
      <c r="F161" s="306">
        <v>13001</v>
      </c>
      <c r="G161" s="306">
        <v>15000</v>
      </c>
      <c r="H161" s="307">
        <v>3.1</v>
      </c>
      <c r="I161" s="308"/>
      <c r="J161" s="378">
        <f t="shared" si="18"/>
        <v>0</v>
      </c>
      <c r="K161" s="447"/>
      <c r="L161" s="446">
        <f t="shared" si="19"/>
        <v>0</v>
      </c>
      <c r="M161" s="772" t="s">
        <v>1146</v>
      </c>
      <c r="Q161" s="1129"/>
    </row>
    <row r="162" spans="1:17" ht="12.75" customHeight="1">
      <c r="A162" s="1171"/>
      <c r="B162" s="1180"/>
      <c r="C162" s="1180"/>
      <c r="D162" s="306">
        <v>0.22</v>
      </c>
      <c r="E162" s="306">
        <v>6</v>
      </c>
      <c r="F162" s="306">
        <v>15001</v>
      </c>
      <c r="G162" s="306">
        <v>17000</v>
      </c>
      <c r="H162" s="307">
        <f>H161-H160+H161</f>
        <v>3.3800000000000003</v>
      </c>
      <c r="I162" s="308"/>
      <c r="J162" s="378">
        <f t="shared" si="18"/>
        <v>0</v>
      </c>
      <c r="K162" s="447"/>
      <c r="L162" s="446">
        <f t="shared" ref="L162:L168" si="20">J162</f>
        <v>0</v>
      </c>
      <c r="M162" s="772" t="s">
        <v>1146</v>
      </c>
      <c r="Q162" s="1129"/>
    </row>
    <row r="163" spans="1:17" ht="12.75" customHeight="1">
      <c r="A163" s="1171"/>
      <c r="B163" s="1180"/>
      <c r="C163" s="1180"/>
      <c r="D163" s="306">
        <v>0.22</v>
      </c>
      <c r="E163" s="306">
        <v>6</v>
      </c>
      <c r="F163" s="306">
        <v>17001</v>
      </c>
      <c r="G163" s="306">
        <v>19000</v>
      </c>
      <c r="H163" s="307">
        <f>H162-H161+H162</f>
        <v>3.6600000000000006</v>
      </c>
      <c r="I163" s="308"/>
      <c r="J163" s="378">
        <f t="shared" si="18"/>
        <v>0</v>
      </c>
      <c r="K163" s="447"/>
      <c r="L163" s="446">
        <f t="shared" si="20"/>
        <v>0</v>
      </c>
      <c r="M163" s="772" t="s">
        <v>1146</v>
      </c>
      <c r="Q163" s="1129"/>
    </row>
    <row r="164" spans="1:17" ht="12.75" customHeight="1">
      <c r="A164" s="1171"/>
      <c r="B164" s="1180"/>
      <c r="C164" s="1180"/>
      <c r="D164" s="306"/>
      <c r="E164" s="306"/>
      <c r="F164" s="306"/>
      <c r="G164" s="306"/>
      <c r="H164" s="307"/>
      <c r="I164" s="308"/>
      <c r="J164" s="378">
        <f t="shared" si="18"/>
        <v>0</v>
      </c>
      <c r="K164" s="447"/>
      <c r="L164" s="446">
        <f t="shared" si="20"/>
        <v>0</v>
      </c>
      <c r="Q164" s="1129"/>
    </row>
    <row r="165" spans="1:17" ht="12.75" customHeight="1" thickBot="1">
      <c r="A165" s="1172"/>
      <c r="B165" s="1181"/>
      <c r="C165" s="1181"/>
      <c r="D165" s="12"/>
      <c r="E165" s="12"/>
      <c r="F165" s="12"/>
      <c r="G165" s="12"/>
      <c r="H165" s="238"/>
      <c r="I165" s="75"/>
      <c r="J165" s="378">
        <f t="shared" si="18"/>
        <v>0</v>
      </c>
      <c r="K165" s="447"/>
      <c r="L165" s="446">
        <f t="shared" si="20"/>
        <v>0</v>
      </c>
      <c r="Q165" s="1129"/>
    </row>
    <row r="166" spans="1:17" ht="12.75" customHeight="1">
      <c r="A166" s="1170" t="s">
        <v>788</v>
      </c>
      <c r="B166" s="1179" t="s">
        <v>789</v>
      </c>
      <c r="C166" s="1179" t="s">
        <v>560</v>
      </c>
      <c r="D166" s="7">
        <v>0.22</v>
      </c>
      <c r="E166" s="7">
        <v>6</v>
      </c>
      <c r="F166" s="7">
        <v>60</v>
      </c>
      <c r="G166" s="7">
        <v>100</v>
      </c>
      <c r="H166" s="237">
        <v>1.2270000000000001</v>
      </c>
      <c r="I166" s="73"/>
      <c r="J166" s="8">
        <f t="shared" ref="J166:J178" si="21">+I166*H166</f>
        <v>0</v>
      </c>
      <c r="K166" s="443"/>
      <c r="L166" s="444">
        <f t="shared" si="20"/>
        <v>0</v>
      </c>
      <c r="M166" s="772" t="s">
        <v>1146</v>
      </c>
      <c r="Q166" s="1129"/>
    </row>
    <row r="167" spans="1:17" ht="12.75" customHeight="1">
      <c r="A167" s="1171"/>
      <c r="B167" s="1180"/>
      <c r="C167" s="1180"/>
      <c r="D167" s="406">
        <v>0.22</v>
      </c>
      <c r="E167" s="406">
        <v>6</v>
      </c>
      <c r="F167" s="406">
        <v>101</v>
      </c>
      <c r="G167" s="406">
        <v>1000</v>
      </c>
      <c r="H167" s="237">
        <v>1.2270000000000001</v>
      </c>
      <c r="I167" s="219">
        <v>5</v>
      </c>
      <c r="J167" s="220">
        <f t="shared" si="21"/>
        <v>6.1350000000000007</v>
      </c>
      <c r="K167" s="587"/>
      <c r="L167" s="588">
        <f t="shared" si="20"/>
        <v>6.1350000000000007</v>
      </c>
      <c r="M167" s="772" t="s">
        <v>1146</v>
      </c>
      <c r="Q167" s="1129"/>
    </row>
    <row r="168" spans="1:17" ht="12.75" customHeight="1">
      <c r="A168" s="1171"/>
      <c r="B168" s="1180"/>
      <c r="C168" s="1180"/>
      <c r="D168" s="10">
        <v>0.22</v>
      </c>
      <c r="E168" s="10">
        <v>6</v>
      </c>
      <c r="F168" s="10">
        <v>1001</v>
      </c>
      <c r="G168" s="10">
        <v>2000</v>
      </c>
      <c r="H168" s="237">
        <v>1.407</v>
      </c>
      <c r="I168" s="74">
        <v>2</v>
      </c>
      <c r="J168" s="11">
        <f t="shared" si="21"/>
        <v>2.8140000000000001</v>
      </c>
      <c r="K168" s="445"/>
      <c r="L168" s="446">
        <f t="shared" si="20"/>
        <v>2.8140000000000001</v>
      </c>
      <c r="M168" s="772" t="s">
        <v>1146</v>
      </c>
      <c r="Q168" s="1129"/>
    </row>
    <row r="169" spans="1:17" ht="12.75" customHeight="1">
      <c r="A169" s="1171"/>
      <c r="B169" s="1180"/>
      <c r="C169" s="1180"/>
      <c r="D169" s="10">
        <v>0.22</v>
      </c>
      <c r="E169" s="10">
        <v>6</v>
      </c>
      <c r="F169" s="10">
        <v>2001</v>
      </c>
      <c r="G169" s="10">
        <v>3000</v>
      </c>
      <c r="H169" s="237">
        <v>1.5669999999999999</v>
      </c>
      <c r="I169" s="74"/>
      <c r="J169" s="11">
        <f t="shared" si="21"/>
        <v>0</v>
      </c>
      <c r="K169" s="445"/>
      <c r="L169" s="446">
        <f t="shared" ref="L169:L178" si="22">J169</f>
        <v>0</v>
      </c>
      <c r="M169" s="772" t="s">
        <v>1146</v>
      </c>
      <c r="Q169" s="1129"/>
    </row>
    <row r="170" spans="1:17" ht="12.75" customHeight="1">
      <c r="A170" s="1171"/>
      <c r="B170" s="1180"/>
      <c r="C170" s="1180"/>
      <c r="D170" s="10">
        <v>0.22</v>
      </c>
      <c r="E170" s="10">
        <v>6</v>
      </c>
      <c r="F170" s="10">
        <v>3001</v>
      </c>
      <c r="G170" s="10">
        <v>4000</v>
      </c>
      <c r="H170" s="237">
        <v>1.7070000000000001</v>
      </c>
      <c r="I170" s="74"/>
      <c r="J170" s="11">
        <f t="shared" si="21"/>
        <v>0</v>
      </c>
      <c r="K170" s="445"/>
      <c r="L170" s="446">
        <f t="shared" si="22"/>
        <v>0</v>
      </c>
      <c r="M170" s="772" t="s">
        <v>1146</v>
      </c>
      <c r="Q170" s="1129"/>
    </row>
    <row r="171" spans="1:17" ht="12.75" customHeight="1">
      <c r="A171" s="1171"/>
      <c r="B171" s="1180"/>
      <c r="C171" s="1180"/>
      <c r="D171" s="10">
        <v>0.22</v>
      </c>
      <c r="E171" s="10">
        <v>6</v>
      </c>
      <c r="F171" s="10">
        <v>4001</v>
      </c>
      <c r="G171" s="10">
        <v>5000</v>
      </c>
      <c r="H171" s="237">
        <v>1.847</v>
      </c>
      <c r="I171" s="74"/>
      <c r="J171" s="11">
        <f t="shared" si="21"/>
        <v>0</v>
      </c>
      <c r="K171" s="445"/>
      <c r="L171" s="446">
        <f t="shared" si="22"/>
        <v>0</v>
      </c>
      <c r="M171" s="772" t="s">
        <v>1146</v>
      </c>
      <c r="Q171" s="1129"/>
    </row>
    <row r="172" spans="1:17" ht="12.75" customHeight="1">
      <c r="A172" s="1171"/>
      <c r="B172" s="1180"/>
      <c r="C172" s="1180"/>
      <c r="D172" s="10">
        <v>0.22</v>
      </c>
      <c r="E172" s="10">
        <v>6</v>
      </c>
      <c r="F172" s="10">
        <v>5001</v>
      </c>
      <c r="G172" s="10">
        <v>6000</v>
      </c>
      <c r="H172" s="237">
        <v>2.0070000000000001</v>
      </c>
      <c r="I172" s="74"/>
      <c r="J172" s="11">
        <f t="shared" si="21"/>
        <v>0</v>
      </c>
      <c r="K172" s="445"/>
      <c r="L172" s="446">
        <f t="shared" si="22"/>
        <v>0</v>
      </c>
      <c r="M172" s="772" t="s">
        <v>1146</v>
      </c>
      <c r="Q172" s="1129"/>
    </row>
    <row r="173" spans="1:17" ht="12.75" customHeight="1">
      <c r="A173" s="1171"/>
      <c r="B173" s="1180"/>
      <c r="C173" s="1180"/>
      <c r="D173" s="10">
        <v>0.22</v>
      </c>
      <c r="E173" s="10">
        <v>6</v>
      </c>
      <c r="F173" s="10">
        <v>6001</v>
      </c>
      <c r="G173" s="10">
        <v>7000</v>
      </c>
      <c r="H173" s="237">
        <v>2.1269999999999998</v>
      </c>
      <c r="I173" s="74"/>
      <c r="J173" s="11">
        <f t="shared" si="21"/>
        <v>0</v>
      </c>
      <c r="K173" s="445"/>
      <c r="L173" s="446">
        <f t="shared" si="22"/>
        <v>0</v>
      </c>
      <c r="M173" s="772" t="s">
        <v>1146</v>
      </c>
      <c r="Q173" s="1129"/>
    </row>
    <row r="174" spans="1:17" ht="12.75" customHeight="1">
      <c r="A174" s="1171"/>
      <c r="B174" s="1180"/>
      <c r="C174" s="1180"/>
      <c r="D174" s="10">
        <v>0.22</v>
      </c>
      <c r="E174" s="10">
        <v>6</v>
      </c>
      <c r="F174" s="10">
        <v>7001</v>
      </c>
      <c r="G174" s="10">
        <v>8000</v>
      </c>
      <c r="H174" s="237">
        <v>2.2869999999999999</v>
      </c>
      <c r="I174" s="74"/>
      <c r="J174" s="11">
        <f t="shared" si="21"/>
        <v>0</v>
      </c>
      <c r="K174" s="445"/>
      <c r="L174" s="446">
        <f t="shared" si="22"/>
        <v>0</v>
      </c>
      <c r="M174" s="772" t="s">
        <v>1146</v>
      </c>
      <c r="Q174" s="1129"/>
    </row>
    <row r="175" spans="1:17" ht="12.75" customHeight="1">
      <c r="A175" s="1171"/>
      <c r="B175" s="1180"/>
      <c r="C175" s="1180"/>
      <c r="D175" s="10">
        <v>0.22</v>
      </c>
      <c r="E175" s="10">
        <v>6</v>
      </c>
      <c r="F175" s="10">
        <v>8001</v>
      </c>
      <c r="G175" s="10">
        <v>9000</v>
      </c>
      <c r="H175" s="237">
        <v>2.4670000000000001</v>
      </c>
      <c r="I175" s="74"/>
      <c r="J175" s="11">
        <f t="shared" si="21"/>
        <v>0</v>
      </c>
      <c r="K175" s="445"/>
      <c r="L175" s="446">
        <f t="shared" si="22"/>
        <v>0</v>
      </c>
      <c r="M175" s="772" t="s">
        <v>1146</v>
      </c>
      <c r="Q175" s="1129"/>
    </row>
    <row r="176" spans="1:17" ht="12.75" customHeight="1">
      <c r="A176" s="1171"/>
      <c r="B176" s="1180"/>
      <c r="C176" s="1180"/>
      <c r="D176" s="10">
        <v>0.22</v>
      </c>
      <c r="E176" s="10">
        <v>6</v>
      </c>
      <c r="F176" s="10">
        <v>9001</v>
      </c>
      <c r="G176" s="10">
        <v>11000</v>
      </c>
      <c r="H176" s="237">
        <v>2.6669999999999998</v>
      </c>
      <c r="I176" s="74"/>
      <c r="J176" s="11">
        <f t="shared" si="21"/>
        <v>0</v>
      </c>
      <c r="K176" s="445"/>
      <c r="L176" s="446">
        <f t="shared" si="22"/>
        <v>0</v>
      </c>
      <c r="M176" s="772" t="s">
        <v>1146</v>
      </c>
      <c r="Q176" s="1129"/>
    </row>
    <row r="177" spans="1:17" ht="12.75" customHeight="1">
      <c r="A177" s="1171"/>
      <c r="B177" s="1180"/>
      <c r="C177" s="1180"/>
      <c r="D177" s="10">
        <v>0.22</v>
      </c>
      <c r="E177" s="10">
        <v>6</v>
      </c>
      <c r="F177" s="10">
        <v>11001</v>
      </c>
      <c r="G177" s="10">
        <v>13000</v>
      </c>
      <c r="H177" s="237">
        <v>2.927</v>
      </c>
      <c r="I177" s="74"/>
      <c r="J177" s="11">
        <f t="shared" si="21"/>
        <v>0</v>
      </c>
      <c r="K177" s="445"/>
      <c r="L177" s="446">
        <f t="shared" si="22"/>
        <v>0</v>
      </c>
      <c r="M177" s="772" t="s">
        <v>1146</v>
      </c>
      <c r="Q177" s="1129"/>
    </row>
    <row r="178" spans="1:17" ht="12.75" customHeight="1">
      <c r="A178" s="1171"/>
      <c r="B178" s="1180"/>
      <c r="C178" s="1180"/>
      <c r="D178" s="306">
        <v>0.22</v>
      </c>
      <c r="E178" s="306">
        <v>6</v>
      </c>
      <c r="F178" s="306">
        <v>13001</v>
      </c>
      <c r="G178" s="306">
        <v>15000</v>
      </c>
      <c r="H178" s="307">
        <v>3.2069999999999999</v>
      </c>
      <c r="I178" s="308"/>
      <c r="J178" s="378">
        <f t="shared" si="21"/>
        <v>0</v>
      </c>
      <c r="K178" s="447"/>
      <c r="L178" s="446">
        <f t="shared" si="22"/>
        <v>0</v>
      </c>
      <c r="M178" s="772" t="s">
        <v>1146</v>
      </c>
      <c r="Q178" s="1129"/>
    </row>
    <row r="179" spans="1:17" ht="12.75" customHeight="1">
      <c r="A179" s="1171"/>
      <c r="B179" s="1180"/>
      <c r="C179" s="1180"/>
      <c r="D179" s="306">
        <v>0.22</v>
      </c>
      <c r="E179" s="306">
        <v>6</v>
      </c>
      <c r="F179" s="306">
        <v>15001</v>
      </c>
      <c r="G179" s="306">
        <v>17000</v>
      </c>
      <c r="H179" s="307">
        <f>H178-H177+H178</f>
        <v>3.4869999999999997</v>
      </c>
      <c r="I179" s="308"/>
      <c r="J179" s="378">
        <f t="shared" ref="J179:J199" si="23">+I179*H179</f>
        <v>0</v>
      </c>
      <c r="K179" s="447"/>
      <c r="L179" s="446">
        <f>J179</f>
        <v>0</v>
      </c>
      <c r="M179" s="772" t="s">
        <v>1146</v>
      </c>
      <c r="Q179" s="1129"/>
    </row>
    <row r="180" spans="1:17" ht="12.75" customHeight="1">
      <c r="A180" s="1171"/>
      <c r="B180" s="1180"/>
      <c r="C180" s="1180"/>
      <c r="D180" s="306">
        <v>0.22</v>
      </c>
      <c r="E180" s="306">
        <v>6</v>
      </c>
      <c r="F180" s="306">
        <v>17001</v>
      </c>
      <c r="G180" s="306">
        <v>19000</v>
      </c>
      <c r="H180" s="307">
        <f>H179-H178+H179</f>
        <v>3.7669999999999995</v>
      </c>
      <c r="I180" s="308"/>
      <c r="J180" s="378">
        <f t="shared" si="23"/>
        <v>0</v>
      </c>
      <c r="K180" s="447"/>
      <c r="L180" s="446">
        <f>J180</f>
        <v>0</v>
      </c>
      <c r="M180" s="772" t="s">
        <v>1146</v>
      </c>
      <c r="Q180" s="1129"/>
    </row>
    <row r="181" spans="1:17" ht="12.75" customHeight="1">
      <c r="A181" s="1171"/>
      <c r="B181" s="1180"/>
      <c r="C181" s="1180"/>
      <c r="D181" s="306"/>
      <c r="E181" s="306"/>
      <c r="F181" s="306"/>
      <c r="G181" s="306"/>
      <c r="H181" s="307"/>
      <c r="I181" s="308"/>
      <c r="J181" s="378">
        <f t="shared" si="23"/>
        <v>0</v>
      </c>
      <c r="K181" s="447"/>
      <c r="L181" s="446">
        <f>J181</f>
        <v>0</v>
      </c>
      <c r="Q181" s="1129"/>
    </row>
    <row r="182" spans="1:17" ht="12.75" customHeight="1" thickBot="1">
      <c r="A182" s="1172"/>
      <c r="B182" s="1181"/>
      <c r="C182" s="1181"/>
      <c r="D182" s="12"/>
      <c r="E182" s="12"/>
      <c r="F182" s="12"/>
      <c r="G182" s="12"/>
      <c r="H182" s="238"/>
      <c r="I182" s="75"/>
      <c r="J182" s="378">
        <f t="shared" si="23"/>
        <v>0</v>
      </c>
      <c r="K182" s="447"/>
      <c r="L182" s="446">
        <f>J182</f>
        <v>0</v>
      </c>
      <c r="Q182" s="1129"/>
    </row>
    <row r="183" spans="1:17" ht="13.5" customHeight="1">
      <c r="A183" s="1170" t="s">
        <v>119</v>
      </c>
      <c r="B183" s="1179" t="s">
        <v>651</v>
      </c>
      <c r="C183" s="1179" t="s">
        <v>560</v>
      </c>
      <c r="D183" s="608">
        <v>0.13</v>
      </c>
      <c r="E183" s="608">
        <v>0.13</v>
      </c>
      <c r="F183" s="608">
        <v>60</v>
      </c>
      <c r="G183" s="608">
        <v>100</v>
      </c>
      <c r="H183" s="671">
        <v>1.5120000000000002</v>
      </c>
      <c r="I183" s="365"/>
      <c r="J183" s="366">
        <f t="shared" si="23"/>
        <v>0</v>
      </c>
      <c r="K183" s="362"/>
      <c r="L183" s="8">
        <f t="shared" ref="L183:L195" si="24">IF(K183&gt;I183,"ERROR",(K183*H183)*0.3+J183)</f>
        <v>0</v>
      </c>
      <c r="M183" s="772" t="s">
        <v>1146</v>
      </c>
      <c r="Q183" s="1129"/>
    </row>
    <row r="184" spans="1:17" ht="13.5" customHeight="1">
      <c r="A184" s="1171"/>
      <c r="B184" s="1180"/>
      <c r="C184" s="1180"/>
      <c r="D184" s="589">
        <v>0.13</v>
      </c>
      <c r="E184" s="589">
        <v>0.13</v>
      </c>
      <c r="F184" s="589">
        <v>101</v>
      </c>
      <c r="G184" s="589">
        <v>1000</v>
      </c>
      <c r="H184" s="367">
        <v>1.512</v>
      </c>
      <c r="I184" s="590"/>
      <c r="J184" s="369">
        <f t="shared" si="23"/>
        <v>0</v>
      </c>
      <c r="K184" s="363"/>
      <c r="L184" s="220">
        <f t="shared" si="24"/>
        <v>0</v>
      </c>
      <c r="M184" s="772" t="s">
        <v>1146</v>
      </c>
      <c r="Q184" s="1129"/>
    </row>
    <row r="185" spans="1:17" ht="13.5" customHeight="1">
      <c r="A185" s="1171"/>
      <c r="B185" s="1180"/>
      <c r="C185" s="1211"/>
      <c r="D185" s="408">
        <v>0.13</v>
      </c>
      <c r="E185" s="408">
        <v>0.13</v>
      </c>
      <c r="F185" s="408">
        <v>1001</v>
      </c>
      <c r="G185" s="408">
        <v>2000</v>
      </c>
      <c r="H185" s="367">
        <v>1.7549999999999999</v>
      </c>
      <c r="I185" s="368"/>
      <c r="J185" s="369">
        <f t="shared" si="23"/>
        <v>0</v>
      </c>
      <c r="K185" s="363"/>
      <c r="L185" s="220">
        <f t="shared" si="24"/>
        <v>0</v>
      </c>
      <c r="M185" s="772" t="s">
        <v>1146</v>
      </c>
      <c r="Q185" s="1129"/>
    </row>
    <row r="186" spans="1:17" ht="13.5" customHeight="1">
      <c r="A186" s="1171"/>
      <c r="B186" s="1180"/>
      <c r="C186" s="1211"/>
      <c r="D186" s="408">
        <v>0.13</v>
      </c>
      <c r="E186" s="408">
        <v>0.13</v>
      </c>
      <c r="F186" s="408">
        <v>2001</v>
      </c>
      <c r="G186" s="408">
        <v>3000</v>
      </c>
      <c r="H186" s="367">
        <v>1.9710000000000001</v>
      </c>
      <c r="I186" s="368"/>
      <c r="J186" s="370">
        <f t="shared" si="23"/>
        <v>0</v>
      </c>
      <c r="K186" s="364"/>
      <c r="L186" s="11">
        <f t="shared" si="24"/>
        <v>0</v>
      </c>
      <c r="M186" s="772" t="s">
        <v>1146</v>
      </c>
      <c r="Q186" s="1129"/>
    </row>
    <row r="187" spans="1:17" ht="13.5" customHeight="1">
      <c r="A187" s="1171"/>
      <c r="B187" s="1180"/>
      <c r="C187" s="1211"/>
      <c r="D187" s="408">
        <v>0.13</v>
      </c>
      <c r="E187" s="408">
        <v>0.13</v>
      </c>
      <c r="F187" s="408">
        <v>3001</v>
      </c>
      <c r="G187" s="408">
        <v>4000</v>
      </c>
      <c r="H187" s="367">
        <v>2.16</v>
      </c>
      <c r="I187" s="368"/>
      <c r="J187" s="370">
        <f t="shared" si="23"/>
        <v>0</v>
      </c>
      <c r="K187" s="364"/>
      <c r="L187" s="11">
        <f t="shared" si="24"/>
        <v>0</v>
      </c>
      <c r="M187" s="772" t="s">
        <v>1146</v>
      </c>
      <c r="Q187" s="1129"/>
    </row>
    <row r="188" spans="1:17" ht="13.5" customHeight="1">
      <c r="A188" s="1171"/>
      <c r="B188" s="1180"/>
      <c r="C188" s="1211"/>
      <c r="D188" s="408">
        <v>0.13</v>
      </c>
      <c r="E188" s="408">
        <v>0.13</v>
      </c>
      <c r="F188" s="408">
        <v>4001</v>
      </c>
      <c r="G188" s="408">
        <v>5000</v>
      </c>
      <c r="H188" s="367">
        <v>2.3490000000000002</v>
      </c>
      <c r="I188" s="368"/>
      <c r="J188" s="370">
        <f t="shared" si="23"/>
        <v>0</v>
      </c>
      <c r="K188" s="364"/>
      <c r="L188" s="11">
        <f t="shared" si="24"/>
        <v>0</v>
      </c>
      <c r="M188" s="772" t="s">
        <v>1146</v>
      </c>
      <c r="Q188" s="1129"/>
    </row>
    <row r="189" spans="1:17" ht="13.5" customHeight="1">
      <c r="A189" s="1171"/>
      <c r="B189" s="1180"/>
      <c r="C189" s="1211"/>
      <c r="D189" s="408">
        <v>0.13</v>
      </c>
      <c r="E189" s="408">
        <v>0.13</v>
      </c>
      <c r="F189" s="408">
        <v>5001</v>
      </c>
      <c r="G189" s="408">
        <v>6000</v>
      </c>
      <c r="H189" s="367">
        <v>2.5649999999999999</v>
      </c>
      <c r="I189" s="368"/>
      <c r="J189" s="370">
        <f t="shared" si="23"/>
        <v>0</v>
      </c>
      <c r="K189" s="364"/>
      <c r="L189" s="11">
        <f t="shared" si="24"/>
        <v>0</v>
      </c>
      <c r="M189" s="772" t="s">
        <v>1146</v>
      </c>
      <c r="Q189" s="1129"/>
    </row>
    <row r="190" spans="1:17" ht="13.5" customHeight="1">
      <c r="A190" s="1171"/>
      <c r="B190" s="1180"/>
      <c r="C190" s="1211"/>
      <c r="D190" s="408">
        <v>0.13</v>
      </c>
      <c r="E190" s="408">
        <v>0.13</v>
      </c>
      <c r="F190" s="408">
        <v>6001</v>
      </c>
      <c r="G190" s="408">
        <v>7000</v>
      </c>
      <c r="H190" s="367">
        <v>2.7270000000000003</v>
      </c>
      <c r="I190" s="368"/>
      <c r="J190" s="370">
        <f t="shared" si="23"/>
        <v>0</v>
      </c>
      <c r="K190" s="364"/>
      <c r="L190" s="11">
        <f t="shared" si="24"/>
        <v>0</v>
      </c>
      <c r="M190" s="772" t="s">
        <v>1146</v>
      </c>
      <c r="Q190" s="1129"/>
    </row>
    <row r="191" spans="1:17" ht="13.5" customHeight="1">
      <c r="A191" s="1171"/>
      <c r="B191" s="1180"/>
      <c r="C191" s="1211"/>
      <c r="D191" s="408">
        <v>0.13</v>
      </c>
      <c r="E191" s="408">
        <v>0.13</v>
      </c>
      <c r="F191" s="408">
        <v>7001</v>
      </c>
      <c r="G191" s="408">
        <v>8000</v>
      </c>
      <c r="H191" s="367">
        <v>2.9430000000000005</v>
      </c>
      <c r="I191" s="368"/>
      <c r="J191" s="370">
        <f t="shared" si="23"/>
        <v>0</v>
      </c>
      <c r="K191" s="364"/>
      <c r="L191" s="11">
        <f t="shared" si="24"/>
        <v>0</v>
      </c>
      <c r="M191" s="772" t="s">
        <v>1146</v>
      </c>
      <c r="Q191" s="1129"/>
    </row>
    <row r="192" spans="1:17" ht="13.5" customHeight="1">
      <c r="A192" s="1171"/>
      <c r="B192" s="1180"/>
      <c r="C192" s="1211"/>
      <c r="D192" s="408">
        <v>0.13</v>
      </c>
      <c r="E192" s="408">
        <v>0.13</v>
      </c>
      <c r="F192" s="408">
        <v>8001</v>
      </c>
      <c r="G192" s="408">
        <v>9000</v>
      </c>
      <c r="H192" s="367">
        <v>3.1859999999999999</v>
      </c>
      <c r="I192" s="368"/>
      <c r="J192" s="370">
        <f t="shared" si="23"/>
        <v>0</v>
      </c>
      <c r="K192" s="364"/>
      <c r="L192" s="11">
        <f t="shared" si="24"/>
        <v>0</v>
      </c>
      <c r="M192" s="772" t="s">
        <v>1146</v>
      </c>
      <c r="Q192" s="1129"/>
    </row>
    <row r="193" spans="1:17" ht="13.5" customHeight="1">
      <c r="A193" s="1171"/>
      <c r="B193" s="1180"/>
      <c r="C193" s="1211"/>
      <c r="D193" s="408">
        <v>0.13</v>
      </c>
      <c r="E193" s="408">
        <v>0.13</v>
      </c>
      <c r="F193" s="408">
        <v>9001</v>
      </c>
      <c r="G193" s="408">
        <v>11000</v>
      </c>
      <c r="H193" s="367">
        <v>3.4560000000000004</v>
      </c>
      <c r="I193" s="368"/>
      <c r="J193" s="370">
        <f t="shared" si="23"/>
        <v>0</v>
      </c>
      <c r="K193" s="364"/>
      <c r="L193" s="11">
        <f t="shared" si="24"/>
        <v>0</v>
      </c>
      <c r="M193" s="772" t="s">
        <v>1146</v>
      </c>
      <c r="Q193" s="1129"/>
    </row>
    <row r="194" spans="1:17" ht="13.5" customHeight="1">
      <c r="A194" s="1171"/>
      <c r="B194" s="1180"/>
      <c r="C194" s="1211"/>
      <c r="D194" s="408">
        <v>0.13</v>
      </c>
      <c r="E194" s="408">
        <v>0.13</v>
      </c>
      <c r="F194" s="408">
        <v>11001</v>
      </c>
      <c r="G194" s="408">
        <v>13000</v>
      </c>
      <c r="H194" s="367">
        <v>3.8069999999999999</v>
      </c>
      <c r="I194" s="368"/>
      <c r="J194" s="370">
        <f t="shared" si="23"/>
        <v>0</v>
      </c>
      <c r="K194" s="364"/>
      <c r="L194" s="11">
        <f t="shared" si="24"/>
        <v>0</v>
      </c>
      <c r="M194" s="772" t="s">
        <v>1146</v>
      </c>
      <c r="Q194" s="1129"/>
    </row>
    <row r="195" spans="1:17" ht="13.5" customHeight="1">
      <c r="A195" s="1171"/>
      <c r="B195" s="1180"/>
      <c r="C195" s="1211"/>
      <c r="D195" s="408">
        <v>0.13</v>
      </c>
      <c r="E195" s="408">
        <v>0.13</v>
      </c>
      <c r="F195" s="492">
        <v>13001</v>
      </c>
      <c r="G195" s="492">
        <v>15000</v>
      </c>
      <c r="H195" s="665">
        <v>4.1849999999999996</v>
      </c>
      <c r="I195" s="493"/>
      <c r="J195" s="666">
        <f t="shared" si="23"/>
        <v>0</v>
      </c>
      <c r="K195" s="364"/>
      <c r="L195" s="378">
        <f t="shared" si="24"/>
        <v>0</v>
      </c>
      <c r="M195" s="772" t="s">
        <v>1146</v>
      </c>
      <c r="Q195" s="1129"/>
    </row>
    <row r="196" spans="1:17" ht="13.5" customHeight="1">
      <c r="A196" s="1171"/>
      <c r="B196" s="1180"/>
      <c r="C196" s="1211"/>
      <c r="D196" s="408">
        <v>0.13</v>
      </c>
      <c r="E196" s="408">
        <v>0.13</v>
      </c>
      <c r="F196" s="306">
        <v>15001</v>
      </c>
      <c r="G196" s="306">
        <v>17000</v>
      </c>
      <c r="H196" s="708">
        <f>H195-H194+H195</f>
        <v>4.5629999999999988</v>
      </c>
      <c r="I196" s="493"/>
      <c r="J196" s="666">
        <f t="shared" si="23"/>
        <v>0</v>
      </c>
      <c r="K196" s="364"/>
      <c r="L196" s="378">
        <f>IF(K196&gt;I196,"ERROR",(K196*H196)*0.3+J196)</f>
        <v>0</v>
      </c>
      <c r="M196" s="772" t="s">
        <v>1146</v>
      </c>
      <c r="Q196" s="1129"/>
    </row>
    <row r="197" spans="1:17" ht="13.5" customHeight="1">
      <c r="A197" s="1171"/>
      <c r="B197" s="1180"/>
      <c r="C197" s="1211"/>
      <c r="D197" s="408">
        <v>0.13</v>
      </c>
      <c r="E197" s="408">
        <v>0.13</v>
      </c>
      <c r="F197" s="306">
        <v>17001</v>
      </c>
      <c r="G197" s="306">
        <v>19000</v>
      </c>
      <c r="H197" s="708">
        <f>H196-H195+H196</f>
        <v>4.9409999999999981</v>
      </c>
      <c r="I197" s="493"/>
      <c r="J197" s="666">
        <f t="shared" si="23"/>
        <v>0</v>
      </c>
      <c r="K197" s="364"/>
      <c r="L197" s="378">
        <f>IF(K197&gt;I197,"ERROR",(K197*H197)*0.3+J197)</f>
        <v>0</v>
      </c>
      <c r="M197" s="772" t="s">
        <v>1146</v>
      </c>
      <c r="Q197" s="1129"/>
    </row>
    <row r="198" spans="1:17" ht="13.5" customHeight="1">
      <c r="A198" s="1171"/>
      <c r="B198" s="1180"/>
      <c r="C198" s="1211"/>
      <c r="D198" s="492"/>
      <c r="E198" s="492"/>
      <c r="F198" s="492"/>
      <c r="G198" s="492"/>
      <c r="H198" s="665"/>
      <c r="I198" s="493"/>
      <c r="J198" s="666">
        <f t="shared" si="23"/>
        <v>0</v>
      </c>
      <c r="K198" s="364"/>
      <c r="L198" s="378">
        <f>IF(K198&gt;I198,"ERROR",(K198*H198)*0.3+J198)</f>
        <v>0</v>
      </c>
      <c r="Q198" s="1129"/>
    </row>
    <row r="199" spans="1:17" ht="13.5" customHeight="1" thickBot="1">
      <c r="A199" s="1172"/>
      <c r="B199" s="1181"/>
      <c r="C199" s="1212"/>
      <c r="D199" s="672"/>
      <c r="E199" s="672"/>
      <c r="F199" s="672"/>
      <c r="G199" s="672"/>
      <c r="H199" s="632"/>
      <c r="I199" s="371"/>
      <c r="J199" s="673">
        <f t="shared" si="23"/>
        <v>0</v>
      </c>
      <c r="K199" s="674"/>
      <c r="L199" s="13">
        <f>IF(K199&gt;I199,"ERROR",(K199*H199)*0.3+J199)</f>
        <v>0</v>
      </c>
      <c r="Q199" s="1129"/>
    </row>
    <row r="200" spans="1:17" ht="13.5" customHeight="1">
      <c r="A200" s="1170" t="s">
        <v>119</v>
      </c>
      <c r="B200" s="1179" t="s">
        <v>1038</v>
      </c>
      <c r="C200" s="1179" t="s">
        <v>560</v>
      </c>
      <c r="D200" s="608">
        <v>0.13</v>
      </c>
      <c r="E200" s="608">
        <v>0.13</v>
      </c>
      <c r="F200" s="608">
        <v>60</v>
      </c>
      <c r="G200" s="608">
        <v>100</v>
      </c>
      <c r="H200" s="665">
        <v>1.6632000000000005</v>
      </c>
      <c r="I200" s="365"/>
      <c r="J200" s="366">
        <f t="shared" ref="J200:J212" si="25">+I200*H200</f>
        <v>0</v>
      </c>
      <c r="K200" s="362"/>
      <c r="L200" s="8">
        <f t="shared" ref="L200:L212" si="26">IF(K200&gt;I200,"ERROR",(K200*H200)*0.3+J200)</f>
        <v>0</v>
      </c>
      <c r="M200" s="772" t="s">
        <v>1146</v>
      </c>
      <c r="Q200" s="1129"/>
    </row>
    <row r="201" spans="1:17" ht="13.5" customHeight="1">
      <c r="A201" s="1171"/>
      <c r="B201" s="1180"/>
      <c r="C201" s="1180"/>
      <c r="D201" s="589">
        <v>0.13</v>
      </c>
      <c r="E201" s="589">
        <v>0.13</v>
      </c>
      <c r="F201" s="589">
        <v>101</v>
      </c>
      <c r="G201" s="589">
        <v>1000</v>
      </c>
      <c r="H201" s="665">
        <v>1.6632000000000002</v>
      </c>
      <c r="I201" s="590"/>
      <c r="J201" s="369">
        <f t="shared" si="25"/>
        <v>0</v>
      </c>
      <c r="K201" s="363"/>
      <c r="L201" s="220">
        <f t="shared" si="26"/>
        <v>0</v>
      </c>
      <c r="M201" s="772" t="s">
        <v>1146</v>
      </c>
      <c r="Q201" s="1129"/>
    </row>
    <row r="202" spans="1:17" ht="13.5" customHeight="1">
      <c r="A202" s="1171"/>
      <c r="B202" s="1180"/>
      <c r="C202" s="1182"/>
      <c r="D202" s="408">
        <v>0.13</v>
      </c>
      <c r="E202" s="408">
        <v>0.13</v>
      </c>
      <c r="F202" s="408">
        <v>1001</v>
      </c>
      <c r="G202" s="408">
        <v>2000</v>
      </c>
      <c r="H202" s="665">
        <v>1.9305000000000001</v>
      </c>
      <c r="I202" s="368"/>
      <c r="J202" s="369">
        <f t="shared" si="25"/>
        <v>0</v>
      </c>
      <c r="K202" s="363"/>
      <c r="L202" s="220">
        <f t="shared" si="26"/>
        <v>0</v>
      </c>
      <c r="M202" s="772" t="s">
        <v>1146</v>
      </c>
      <c r="Q202" s="1129"/>
    </row>
    <row r="203" spans="1:17" ht="13.5" customHeight="1">
      <c r="A203" s="1171"/>
      <c r="B203" s="1180"/>
      <c r="C203" s="1182"/>
      <c r="D203" s="408">
        <v>0.13</v>
      </c>
      <c r="E203" s="408">
        <v>0.13</v>
      </c>
      <c r="F203" s="408">
        <v>2001</v>
      </c>
      <c r="G203" s="408">
        <v>3000</v>
      </c>
      <c r="H203" s="665">
        <v>2.1681000000000004</v>
      </c>
      <c r="I203" s="368"/>
      <c r="J203" s="370">
        <f t="shared" si="25"/>
        <v>0</v>
      </c>
      <c r="K203" s="364"/>
      <c r="L203" s="11">
        <f t="shared" si="26"/>
        <v>0</v>
      </c>
      <c r="M203" s="772" t="s">
        <v>1146</v>
      </c>
      <c r="Q203" s="1129"/>
    </row>
    <row r="204" spans="1:17" ht="13.5" customHeight="1">
      <c r="A204" s="1171"/>
      <c r="B204" s="1180"/>
      <c r="C204" s="1182"/>
      <c r="D204" s="408">
        <v>0.13</v>
      </c>
      <c r="E204" s="408">
        <v>0.13</v>
      </c>
      <c r="F204" s="408">
        <v>3001</v>
      </c>
      <c r="G204" s="408">
        <v>4000</v>
      </c>
      <c r="H204" s="665">
        <v>2.3760000000000003</v>
      </c>
      <c r="I204" s="368"/>
      <c r="J204" s="370">
        <f t="shared" si="25"/>
        <v>0</v>
      </c>
      <c r="K204" s="364"/>
      <c r="L204" s="11">
        <f t="shared" si="26"/>
        <v>0</v>
      </c>
      <c r="M204" s="772" t="s">
        <v>1146</v>
      </c>
      <c r="Q204" s="1129"/>
    </row>
    <row r="205" spans="1:17" ht="13.5" customHeight="1">
      <c r="A205" s="1171"/>
      <c r="B205" s="1180"/>
      <c r="C205" s="1182"/>
      <c r="D205" s="408">
        <v>0.13</v>
      </c>
      <c r="E205" s="408">
        <v>0.13</v>
      </c>
      <c r="F205" s="408">
        <v>4001</v>
      </c>
      <c r="G205" s="408">
        <v>5000</v>
      </c>
      <c r="H205" s="665">
        <v>2.5839000000000003</v>
      </c>
      <c r="I205" s="368"/>
      <c r="J205" s="370">
        <f t="shared" si="25"/>
        <v>0</v>
      </c>
      <c r="K205" s="364"/>
      <c r="L205" s="11">
        <f t="shared" si="26"/>
        <v>0</v>
      </c>
      <c r="M205" s="772" t="s">
        <v>1146</v>
      </c>
      <c r="Q205" s="1129"/>
    </row>
    <row r="206" spans="1:17" ht="13.5" customHeight="1">
      <c r="A206" s="1171"/>
      <c r="B206" s="1180"/>
      <c r="C206" s="1182"/>
      <c r="D206" s="408">
        <v>0.13</v>
      </c>
      <c r="E206" s="408">
        <v>0.13</v>
      </c>
      <c r="F206" s="408">
        <v>5001</v>
      </c>
      <c r="G206" s="408">
        <v>6000</v>
      </c>
      <c r="H206" s="665">
        <v>2.8215000000000003</v>
      </c>
      <c r="I206" s="368"/>
      <c r="J206" s="370">
        <f t="shared" si="25"/>
        <v>0</v>
      </c>
      <c r="K206" s="364"/>
      <c r="L206" s="11">
        <f t="shared" si="26"/>
        <v>0</v>
      </c>
      <c r="M206" s="772" t="s">
        <v>1146</v>
      </c>
      <c r="Q206" s="1129"/>
    </row>
    <row r="207" spans="1:17" ht="13.5" customHeight="1">
      <c r="A207" s="1171"/>
      <c r="B207" s="1180"/>
      <c r="C207" s="1182"/>
      <c r="D207" s="408">
        <v>0.13</v>
      </c>
      <c r="E207" s="408">
        <v>0.13</v>
      </c>
      <c r="F207" s="408">
        <v>6001</v>
      </c>
      <c r="G207" s="408">
        <v>7000</v>
      </c>
      <c r="H207" s="665">
        <v>2.9997000000000007</v>
      </c>
      <c r="I207" s="368"/>
      <c r="J207" s="370">
        <f t="shared" si="25"/>
        <v>0</v>
      </c>
      <c r="K207" s="364"/>
      <c r="L207" s="11">
        <f t="shared" si="26"/>
        <v>0</v>
      </c>
      <c r="M207" s="772" t="s">
        <v>1146</v>
      </c>
      <c r="Q207" s="1129"/>
    </row>
    <row r="208" spans="1:17" ht="13.5" customHeight="1">
      <c r="A208" s="1171"/>
      <c r="B208" s="1180"/>
      <c r="C208" s="1182"/>
      <c r="D208" s="408">
        <v>0.13</v>
      </c>
      <c r="E208" s="408">
        <v>0.13</v>
      </c>
      <c r="F208" s="408">
        <v>7001</v>
      </c>
      <c r="G208" s="408">
        <v>8000</v>
      </c>
      <c r="H208" s="665">
        <v>3.2373000000000007</v>
      </c>
      <c r="I208" s="368"/>
      <c r="J208" s="370">
        <f t="shared" si="25"/>
        <v>0</v>
      </c>
      <c r="K208" s="364"/>
      <c r="L208" s="11">
        <f t="shared" si="26"/>
        <v>0</v>
      </c>
      <c r="M208" s="772" t="s">
        <v>1146</v>
      </c>
      <c r="Q208" s="1129"/>
    </row>
    <row r="209" spans="1:17" ht="13.5" customHeight="1">
      <c r="A209" s="1171"/>
      <c r="B209" s="1180"/>
      <c r="C209" s="1182"/>
      <c r="D209" s="408">
        <v>0.13</v>
      </c>
      <c r="E209" s="408">
        <v>0.13</v>
      </c>
      <c r="F209" s="408">
        <v>8001</v>
      </c>
      <c r="G209" s="408">
        <v>9000</v>
      </c>
      <c r="H209" s="665">
        <v>3.5046000000000004</v>
      </c>
      <c r="I209" s="368"/>
      <c r="J209" s="370">
        <f t="shared" si="25"/>
        <v>0</v>
      </c>
      <c r="K209" s="364"/>
      <c r="L209" s="11">
        <f t="shared" si="26"/>
        <v>0</v>
      </c>
      <c r="M209" s="772" t="s">
        <v>1146</v>
      </c>
      <c r="Q209" s="1129"/>
    </row>
    <row r="210" spans="1:17" ht="13.5" customHeight="1">
      <c r="A210" s="1171"/>
      <c r="B210" s="1180"/>
      <c r="C210" s="1182"/>
      <c r="D210" s="408">
        <v>0.13</v>
      </c>
      <c r="E210" s="408">
        <v>0.13</v>
      </c>
      <c r="F210" s="408">
        <v>9001</v>
      </c>
      <c r="G210" s="408">
        <v>11000</v>
      </c>
      <c r="H210" s="665">
        <v>3.8016000000000005</v>
      </c>
      <c r="I210" s="368"/>
      <c r="J210" s="370">
        <f t="shared" si="25"/>
        <v>0</v>
      </c>
      <c r="K210" s="364"/>
      <c r="L210" s="11">
        <f t="shared" si="26"/>
        <v>0</v>
      </c>
      <c r="M210" s="772" t="s">
        <v>1146</v>
      </c>
      <c r="Q210" s="1129"/>
    </row>
    <row r="211" spans="1:17" ht="13.5" customHeight="1">
      <c r="A211" s="1171"/>
      <c r="B211" s="1180"/>
      <c r="C211" s="1182"/>
      <c r="D211" s="408">
        <v>0.13</v>
      </c>
      <c r="E211" s="408">
        <v>0.13</v>
      </c>
      <c r="F211" s="408">
        <v>11001</v>
      </c>
      <c r="G211" s="408">
        <v>13000</v>
      </c>
      <c r="H211" s="665">
        <v>4.1877000000000004</v>
      </c>
      <c r="I211" s="368"/>
      <c r="J211" s="370">
        <f t="shared" si="25"/>
        <v>0</v>
      </c>
      <c r="K211" s="364"/>
      <c r="L211" s="11">
        <f t="shared" si="26"/>
        <v>0</v>
      </c>
      <c r="M211" s="772" t="s">
        <v>1146</v>
      </c>
      <c r="Q211" s="1129"/>
    </row>
    <row r="212" spans="1:17" ht="13.5" customHeight="1">
      <c r="A212" s="1171"/>
      <c r="B212" s="1180"/>
      <c r="C212" s="1182"/>
      <c r="D212" s="408">
        <v>0.13</v>
      </c>
      <c r="E212" s="408">
        <v>0.13</v>
      </c>
      <c r="F212" s="492">
        <v>13001</v>
      </c>
      <c r="G212" s="492">
        <v>15000</v>
      </c>
      <c r="H212" s="665">
        <v>4.6035000000000004</v>
      </c>
      <c r="I212" s="493"/>
      <c r="J212" s="666">
        <f t="shared" si="25"/>
        <v>0</v>
      </c>
      <c r="K212" s="364"/>
      <c r="L212" s="378">
        <f t="shared" si="26"/>
        <v>0</v>
      </c>
      <c r="M212" s="772" t="s">
        <v>1146</v>
      </c>
      <c r="Q212" s="1129"/>
    </row>
    <row r="213" spans="1:17" ht="13.5" customHeight="1">
      <c r="A213" s="1171"/>
      <c r="B213" s="1180"/>
      <c r="C213" s="1182"/>
      <c r="D213" s="408">
        <v>0.13</v>
      </c>
      <c r="E213" s="408">
        <v>0.13</v>
      </c>
      <c r="F213" s="306">
        <v>15001</v>
      </c>
      <c r="G213" s="306">
        <v>17000</v>
      </c>
      <c r="H213" s="307">
        <f>H212-H211+H212</f>
        <v>5.0193000000000003</v>
      </c>
      <c r="I213" s="493"/>
      <c r="J213" s="666">
        <f t="shared" ref="J213:J223" si="27">+I213*H213</f>
        <v>0</v>
      </c>
      <c r="K213" s="364"/>
      <c r="L213" s="378">
        <f>IF(K213&gt;I213,"ERROR",(K213*H213)*0.3+J213)</f>
        <v>0</v>
      </c>
      <c r="M213" s="772" t="s">
        <v>1146</v>
      </c>
      <c r="Q213" s="1129"/>
    </row>
    <row r="214" spans="1:17" ht="13.5" customHeight="1">
      <c r="A214" s="1171"/>
      <c r="B214" s="1180"/>
      <c r="C214" s="1182"/>
      <c r="D214" s="408">
        <v>0.13</v>
      </c>
      <c r="E214" s="408">
        <v>0.13</v>
      </c>
      <c r="F214" s="306">
        <v>17001</v>
      </c>
      <c r="G214" s="306">
        <v>19000</v>
      </c>
      <c r="H214" s="307">
        <f>H213-H212+H213</f>
        <v>5.4351000000000003</v>
      </c>
      <c r="I214" s="493"/>
      <c r="J214" s="666">
        <f t="shared" si="27"/>
        <v>0</v>
      </c>
      <c r="K214" s="364"/>
      <c r="L214" s="378">
        <f>IF(K214&gt;I214,"ERROR",(K214*H214)*0.3+J214)</f>
        <v>0</v>
      </c>
      <c r="M214" s="772" t="s">
        <v>1146</v>
      </c>
      <c r="Q214" s="1129"/>
    </row>
    <row r="215" spans="1:17" ht="13.5" customHeight="1">
      <c r="A215" s="1171"/>
      <c r="B215" s="1180"/>
      <c r="C215" s="1182"/>
      <c r="D215" s="492"/>
      <c r="E215" s="492"/>
      <c r="F215" s="492"/>
      <c r="G215" s="492"/>
      <c r="H215" s="665"/>
      <c r="I215" s="493"/>
      <c r="J215" s="666">
        <f t="shared" si="27"/>
        <v>0</v>
      </c>
      <c r="K215" s="364"/>
      <c r="L215" s="378">
        <f>IF(K215&gt;I215,"ERROR",(K215*H215)*0.3+J215)</f>
        <v>0</v>
      </c>
      <c r="Q215" s="1129"/>
    </row>
    <row r="216" spans="1:17" ht="13.5" customHeight="1" thickBot="1">
      <c r="A216" s="1172"/>
      <c r="B216" s="1181"/>
      <c r="C216" s="1183"/>
      <c r="D216" s="672"/>
      <c r="E216" s="672"/>
      <c r="F216" s="672"/>
      <c r="G216" s="672"/>
      <c r="H216" s="632"/>
      <c r="I216" s="371"/>
      <c r="J216" s="673">
        <f t="shared" si="27"/>
        <v>0</v>
      </c>
      <c r="K216" s="674"/>
      <c r="L216" s="13">
        <f>IF(K216&gt;I216,"ERROR",(K216*H216)*0.3+J216)</f>
        <v>0</v>
      </c>
      <c r="Q216" s="1129"/>
    </row>
    <row r="217" spans="1:17" ht="12.75" customHeight="1">
      <c r="A217" s="1170" t="s">
        <v>121</v>
      </c>
      <c r="B217" s="1179" t="s">
        <v>122</v>
      </c>
      <c r="C217" s="1179" t="s">
        <v>561</v>
      </c>
      <c r="D217" s="7">
        <v>0.22</v>
      </c>
      <c r="E217" s="7">
        <v>6</v>
      </c>
      <c r="F217" s="7">
        <v>60</v>
      </c>
      <c r="G217" s="7">
        <v>100</v>
      </c>
      <c r="H217" s="580">
        <v>1.2088888888888891</v>
      </c>
      <c r="I217" s="73"/>
      <c r="J217" s="8">
        <f t="shared" si="27"/>
        <v>0</v>
      </c>
      <c r="K217" s="443"/>
      <c r="L217" s="444">
        <f>J217</f>
        <v>0</v>
      </c>
      <c r="M217" s="772" t="s">
        <v>1146</v>
      </c>
      <c r="Q217" s="1129"/>
    </row>
    <row r="218" spans="1:17" ht="12.75" customHeight="1">
      <c r="A218" s="1171"/>
      <c r="B218" s="1180"/>
      <c r="C218" s="1180"/>
      <c r="D218" s="406">
        <v>0.22</v>
      </c>
      <c r="E218" s="406">
        <v>6</v>
      </c>
      <c r="F218" s="406">
        <v>101</v>
      </c>
      <c r="G218" s="406">
        <v>1000</v>
      </c>
      <c r="H218" s="237">
        <v>1.2089000000000001</v>
      </c>
      <c r="I218" s="219">
        <v>14</v>
      </c>
      <c r="J218" s="220">
        <f t="shared" si="27"/>
        <v>16.924600000000002</v>
      </c>
      <c r="K218" s="587"/>
      <c r="L218" s="588">
        <f>J218</f>
        <v>16.924600000000002</v>
      </c>
      <c r="M218" s="772" t="s">
        <v>1146</v>
      </c>
      <c r="Q218" s="1129"/>
    </row>
    <row r="219" spans="1:17" ht="12.75" customHeight="1">
      <c r="A219" s="1171"/>
      <c r="B219" s="1180"/>
      <c r="C219" s="1180"/>
      <c r="D219" s="10">
        <v>0.22</v>
      </c>
      <c r="E219" s="10">
        <v>6</v>
      </c>
      <c r="F219" s="10">
        <v>1001</v>
      </c>
      <c r="G219" s="10">
        <v>2000</v>
      </c>
      <c r="H219" s="237">
        <v>1.3742857142857143</v>
      </c>
      <c r="I219" s="74">
        <v>24</v>
      </c>
      <c r="J219" s="11">
        <f t="shared" si="27"/>
        <v>32.982857142857142</v>
      </c>
      <c r="K219" s="445"/>
      <c r="L219" s="446">
        <f>J219</f>
        <v>32.982857142857142</v>
      </c>
      <c r="M219" s="772" t="s">
        <v>1146</v>
      </c>
      <c r="Q219" s="1129"/>
    </row>
    <row r="220" spans="1:17" ht="12.75" customHeight="1">
      <c r="A220" s="1171"/>
      <c r="B220" s="1180"/>
      <c r="C220" s="1180"/>
      <c r="D220" s="10">
        <v>0.22</v>
      </c>
      <c r="E220" s="10">
        <v>6</v>
      </c>
      <c r="F220" s="10">
        <v>2001</v>
      </c>
      <c r="G220" s="10">
        <v>3000</v>
      </c>
      <c r="H220" s="237">
        <v>1.5358441558441558</v>
      </c>
      <c r="I220" s="74">
        <v>2</v>
      </c>
      <c r="J220" s="11">
        <f t="shared" si="27"/>
        <v>3.0716883116883116</v>
      </c>
      <c r="K220" s="445"/>
      <c r="L220" s="446">
        <f t="shared" ref="L220:L229" si="28">J220</f>
        <v>3.0716883116883116</v>
      </c>
      <c r="M220" s="772" t="s">
        <v>1146</v>
      </c>
      <c r="Q220" s="1129"/>
    </row>
    <row r="221" spans="1:17" ht="12.75" customHeight="1">
      <c r="A221" s="1171"/>
      <c r="B221" s="1180"/>
      <c r="C221" s="1180"/>
      <c r="D221" s="10">
        <v>0.22</v>
      </c>
      <c r="E221" s="10">
        <v>6</v>
      </c>
      <c r="F221" s="10">
        <v>3001</v>
      </c>
      <c r="G221" s="10">
        <v>4000</v>
      </c>
      <c r="H221" s="237">
        <v>1.676190476190476</v>
      </c>
      <c r="I221" s="74"/>
      <c r="J221" s="11">
        <f t="shared" si="27"/>
        <v>0</v>
      </c>
      <c r="K221" s="445"/>
      <c r="L221" s="446">
        <f t="shared" si="28"/>
        <v>0</v>
      </c>
      <c r="M221" s="772" t="s">
        <v>1146</v>
      </c>
      <c r="Q221" s="1129"/>
    </row>
    <row r="222" spans="1:17" ht="12.75" customHeight="1">
      <c r="A222" s="1171"/>
      <c r="B222" s="1180"/>
      <c r="C222" s="1180"/>
      <c r="D222" s="10">
        <v>0.22</v>
      </c>
      <c r="E222" s="10">
        <v>6</v>
      </c>
      <c r="F222" s="10">
        <v>4001</v>
      </c>
      <c r="G222" s="10">
        <v>5000</v>
      </c>
      <c r="H222" s="237">
        <v>1.8164835164835167</v>
      </c>
      <c r="I222" s="74"/>
      <c r="J222" s="11">
        <f t="shared" si="27"/>
        <v>0</v>
      </c>
      <c r="K222" s="445"/>
      <c r="L222" s="446">
        <f t="shared" si="28"/>
        <v>0</v>
      </c>
      <c r="M222" s="772" t="s">
        <v>1146</v>
      </c>
      <c r="Q222" s="1129"/>
    </row>
    <row r="223" spans="1:17" ht="12.75" customHeight="1">
      <c r="A223" s="1171"/>
      <c r="B223" s="1180"/>
      <c r="C223" s="1180"/>
      <c r="D223" s="10">
        <v>0.22</v>
      </c>
      <c r="E223" s="10">
        <v>6</v>
      </c>
      <c r="F223" s="10">
        <v>5001</v>
      </c>
      <c r="G223" s="10">
        <v>6000</v>
      </c>
      <c r="H223" s="237">
        <v>1.9775510204081632</v>
      </c>
      <c r="I223" s="74"/>
      <c r="J223" s="11">
        <f t="shared" si="27"/>
        <v>0</v>
      </c>
      <c r="K223" s="445"/>
      <c r="L223" s="446">
        <f t="shared" si="28"/>
        <v>0</v>
      </c>
      <c r="M223" s="772" t="s">
        <v>1146</v>
      </c>
      <c r="Q223" s="1129"/>
    </row>
    <row r="224" spans="1:17" ht="12.75" customHeight="1">
      <c r="A224" s="1171"/>
      <c r="B224" s="1180"/>
      <c r="C224" s="1180"/>
      <c r="D224" s="10">
        <v>0.22</v>
      </c>
      <c r="E224" s="10">
        <v>6</v>
      </c>
      <c r="F224" s="10">
        <v>6001</v>
      </c>
      <c r="G224" s="10">
        <v>7000</v>
      </c>
      <c r="H224" s="237">
        <v>2.0969523809523811</v>
      </c>
      <c r="I224" s="74"/>
      <c r="J224" s="11">
        <f t="shared" ref="J224:J229" si="29">+I224*H224</f>
        <v>0</v>
      </c>
      <c r="K224" s="445"/>
      <c r="L224" s="446">
        <f t="shared" si="28"/>
        <v>0</v>
      </c>
      <c r="M224" s="772" t="s">
        <v>1146</v>
      </c>
      <c r="Q224" s="1129"/>
    </row>
    <row r="225" spans="1:17" ht="12.75" customHeight="1">
      <c r="A225" s="1171"/>
      <c r="B225" s="1180"/>
      <c r="C225" s="1180"/>
      <c r="D225" s="10">
        <v>0.22</v>
      </c>
      <c r="E225" s="10">
        <v>6</v>
      </c>
      <c r="F225" s="10">
        <v>7001</v>
      </c>
      <c r="G225" s="10">
        <v>8000</v>
      </c>
      <c r="H225" s="237">
        <v>2.2571681415929201</v>
      </c>
      <c r="I225" s="74"/>
      <c r="J225" s="11">
        <f t="shared" si="29"/>
        <v>0</v>
      </c>
      <c r="K225" s="445"/>
      <c r="L225" s="446">
        <f t="shared" si="28"/>
        <v>0</v>
      </c>
      <c r="M225" s="772" t="s">
        <v>1146</v>
      </c>
      <c r="Q225" s="1129"/>
    </row>
    <row r="226" spans="1:17" ht="12.75" customHeight="1">
      <c r="A226" s="1171"/>
      <c r="B226" s="1180"/>
      <c r="C226" s="1180"/>
      <c r="D226" s="10">
        <v>0.22</v>
      </c>
      <c r="E226" s="10">
        <v>6</v>
      </c>
      <c r="F226" s="10">
        <v>8001</v>
      </c>
      <c r="G226" s="10">
        <v>9000</v>
      </c>
      <c r="H226" s="237">
        <v>2.4386666666666668</v>
      </c>
      <c r="I226" s="74"/>
      <c r="J226" s="11">
        <f t="shared" si="29"/>
        <v>0</v>
      </c>
      <c r="K226" s="445"/>
      <c r="L226" s="446">
        <f t="shared" si="28"/>
        <v>0</v>
      </c>
      <c r="M226" s="772" t="s">
        <v>1146</v>
      </c>
      <c r="Q226" s="1129"/>
    </row>
    <row r="227" spans="1:17" ht="12.75" customHeight="1">
      <c r="A227" s="1171"/>
      <c r="B227" s="1180"/>
      <c r="C227" s="1180"/>
      <c r="D227" s="10">
        <v>0.22</v>
      </c>
      <c r="E227" s="10">
        <v>6</v>
      </c>
      <c r="F227" s="10">
        <v>9001</v>
      </c>
      <c r="G227" s="10">
        <v>11000</v>
      </c>
      <c r="H227" s="237">
        <v>2.6364179104477614</v>
      </c>
      <c r="I227" s="74"/>
      <c r="J227" s="11">
        <f t="shared" si="29"/>
        <v>0</v>
      </c>
      <c r="K227" s="445"/>
      <c r="L227" s="446">
        <f t="shared" si="28"/>
        <v>0</v>
      </c>
      <c r="M227" s="772" t="s">
        <v>1146</v>
      </c>
      <c r="Q227" s="1129"/>
    </row>
    <row r="228" spans="1:17" ht="12.75" customHeight="1">
      <c r="A228" s="1171"/>
      <c r="B228" s="1180"/>
      <c r="C228" s="1180"/>
      <c r="D228" s="10">
        <v>0.22</v>
      </c>
      <c r="E228" s="10">
        <v>6</v>
      </c>
      <c r="F228" s="10">
        <v>11001</v>
      </c>
      <c r="G228" s="10">
        <v>13000</v>
      </c>
      <c r="H228" s="237">
        <v>2.8962162162162164</v>
      </c>
      <c r="I228" s="74"/>
      <c r="J228" s="11">
        <f t="shared" si="29"/>
        <v>0</v>
      </c>
      <c r="K228" s="445"/>
      <c r="L228" s="446">
        <f t="shared" si="28"/>
        <v>0</v>
      </c>
      <c r="M228" s="772" t="s">
        <v>1146</v>
      </c>
      <c r="Q228" s="1129"/>
    </row>
    <row r="229" spans="1:17" ht="12.75" customHeight="1">
      <c r="A229" s="1171"/>
      <c r="B229" s="1180"/>
      <c r="C229" s="1180"/>
      <c r="D229" s="306">
        <v>0.22</v>
      </c>
      <c r="E229" s="306">
        <v>6</v>
      </c>
      <c r="F229" s="306">
        <v>13001</v>
      </c>
      <c r="G229" s="306">
        <v>15000</v>
      </c>
      <c r="H229" s="307">
        <v>3.1</v>
      </c>
      <c r="I229" s="308"/>
      <c r="J229" s="378">
        <f t="shared" si="29"/>
        <v>0</v>
      </c>
      <c r="K229" s="447"/>
      <c r="L229" s="446">
        <f t="shared" si="28"/>
        <v>0</v>
      </c>
      <c r="M229" s="772" t="s">
        <v>1146</v>
      </c>
      <c r="Q229" s="1129"/>
    </row>
    <row r="230" spans="1:17" ht="12.75" customHeight="1">
      <c r="A230" s="1171"/>
      <c r="B230" s="1180"/>
      <c r="C230" s="1180"/>
      <c r="D230" s="306">
        <v>0.22</v>
      </c>
      <c r="E230" s="306">
        <v>6</v>
      </c>
      <c r="F230" s="306">
        <v>15001</v>
      </c>
      <c r="G230" s="306">
        <v>17000</v>
      </c>
      <c r="H230" s="307">
        <f>H229-H228+H229</f>
        <v>3.3037837837837838</v>
      </c>
      <c r="I230" s="308"/>
      <c r="J230" s="378">
        <f>+I230*H230</f>
        <v>0</v>
      </c>
      <c r="K230" s="447"/>
      <c r="L230" s="446">
        <f>J230</f>
        <v>0</v>
      </c>
      <c r="M230" s="772" t="s">
        <v>1146</v>
      </c>
      <c r="Q230" s="1129"/>
    </row>
    <row r="231" spans="1:17" ht="12.75" customHeight="1">
      <c r="A231" s="1171"/>
      <c r="B231" s="1180"/>
      <c r="C231" s="1180"/>
      <c r="D231" s="306">
        <v>0.22</v>
      </c>
      <c r="E231" s="306">
        <v>6</v>
      </c>
      <c r="F231" s="306">
        <v>17001</v>
      </c>
      <c r="G231" s="306">
        <v>19000</v>
      </c>
      <c r="H231" s="307">
        <f>H230-H229+H230</f>
        <v>3.5075675675675675</v>
      </c>
      <c r="I231" s="308"/>
      <c r="J231" s="378">
        <f>+I231*H231</f>
        <v>0</v>
      </c>
      <c r="K231" s="447"/>
      <c r="L231" s="446">
        <f>J231</f>
        <v>0</v>
      </c>
      <c r="M231" s="772" t="s">
        <v>1146</v>
      </c>
      <c r="Q231" s="1129"/>
    </row>
    <row r="232" spans="1:17" ht="12.75" customHeight="1">
      <c r="A232" s="1171"/>
      <c r="B232" s="1180"/>
      <c r="C232" s="1180"/>
      <c r="D232" s="306"/>
      <c r="E232" s="306"/>
      <c r="F232" s="306"/>
      <c r="G232" s="306"/>
      <c r="H232" s="307"/>
      <c r="I232" s="308"/>
      <c r="J232" s="378">
        <f>+I232*H232</f>
        <v>0</v>
      </c>
      <c r="K232" s="447"/>
      <c r="L232" s="446">
        <f>J232</f>
        <v>0</v>
      </c>
      <c r="Q232" s="1129"/>
    </row>
    <row r="233" spans="1:17" ht="12.75" customHeight="1" thickBot="1">
      <c r="A233" s="1172"/>
      <c r="B233" s="1181"/>
      <c r="C233" s="1181"/>
      <c r="D233" s="12"/>
      <c r="E233" s="12"/>
      <c r="F233" s="12"/>
      <c r="G233" s="12"/>
      <c r="H233" s="238"/>
      <c r="I233" s="75"/>
      <c r="J233" s="378">
        <f>+I233*H233</f>
        <v>0</v>
      </c>
      <c r="K233" s="447"/>
      <c r="L233" s="446">
        <f>J233</f>
        <v>0</v>
      </c>
      <c r="Q233" s="1129"/>
    </row>
    <row r="234" spans="1:17" ht="12.75" customHeight="1">
      <c r="A234" s="1170" t="s">
        <v>790</v>
      </c>
      <c r="B234" s="1179" t="s">
        <v>791</v>
      </c>
      <c r="C234" s="1179" t="s">
        <v>561</v>
      </c>
      <c r="D234" s="7">
        <v>0.22</v>
      </c>
      <c r="E234" s="7">
        <v>6</v>
      </c>
      <c r="F234" s="7">
        <v>60</v>
      </c>
      <c r="G234" s="7">
        <v>100</v>
      </c>
      <c r="H234" s="237">
        <v>1.3169999999999999</v>
      </c>
      <c r="I234" s="73"/>
      <c r="J234" s="8">
        <f t="shared" ref="J234:J246" si="30">+I234*H234</f>
        <v>0</v>
      </c>
      <c r="K234" s="550"/>
      <c r="L234" s="8">
        <f t="shared" ref="L234:L246" si="31">IF(K234&gt;I234,"ERROR",(K234*H234)*0.3+J234)</f>
        <v>0</v>
      </c>
      <c r="M234" s="772" t="s">
        <v>1146</v>
      </c>
      <c r="Q234" s="1129"/>
    </row>
    <row r="235" spans="1:17" ht="12.75" customHeight="1">
      <c r="A235" s="1171"/>
      <c r="B235" s="1180"/>
      <c r="C235" s="1180"/>
      <c r="D235" s="406">
        <v>0.22</v>
      </c>
      <c r="E235" s="406">
        <v>6</v>
      </c>
      <c r="F235" s="406">
        <v>101</v>
      </c>
      <c r="G235" s="406">
        <v>1000</v>
      </c>
      <c r="H235" s="237">
        <v>1.3169999999999999</v>
      </c>
      <c r="I235" s="219">
        <v>5</v>
      </c>
      <c r="J235" s="220">
        <f t="shared" si="30"/>
        <v>6.585</v>
      </c>
      <c r="K235" s="591"/>
      <c r="L235" s="220">
        <f t="shared" si="31"/>
        <v>6.585</v>
      </c>
      <c r="M235" s="772" t="s">
        <v>1146</v>
      </c>
      <c r="Q235" s="1129"/>
    </row>
    <row r="236" spans="1:17" ht="12.75" customHeight="1">
      <c r="A236" s="1171"/>
      <c r="B236" s="1180"/>
      <c r="C236" s="1180"/>
      <c r="D236" s="10">
        <v>0.22</v>
      </c>
      <c r="E236" s="10">
        <v>6</v>
      </c>
      <c r="F236" s="10">
        <v>1001</v>
      </c>
      <c r="G236" s="10">
        <v>2000</v>
      </c>
      <c r="H236" s="237">
        <v>1.4770000000000001</v>
      </c>
      <c r="I236" s="74">
        <v>27</v>
      </c>
      <c r="J236" s="11">
        <f t="shared" si="30"/>
        <v>39.879000000000005</v>
      </c>
      <c r="K236" s="551"/>
      <c r="L236" s="220">
        <f t="shared" si="31"/>
        <v>39.879000000000005</v>
      </c>
      <c r="M236" s="772" t="s">
        <v>1146</v>
      </c>
      <c r="Q236" s="1129"/>
    </row>
    <row r="237" spans="1:17" ht="12.75" customHeight="1">
      <c r="A237" s="1171"/>
      <c r="B237" s="1180"/>
      <c r="C237" s="1180"/>
      <c r="D237" s="10">
        <v>0.22</v>
      </c>
      <c r="E237" s="10">
        <v>6</v>
      </c>
      <c r="F237" s="10">
        <v>2001</v>
      </c>
      <c r="G237" s="10">
        <v>3000</v>
      </c>
      <c r="H237" s="237">
        <v>1.647</v>
      </c>
      <c r="I237" s="74"/>
      <c r="J237" s="11">
        <f t="shared" si="30"/>
        <v>0</v>
      </c>
      <c r="K237" s="551"/>
      <c r="L237" s="11">
        <f t="shared" si="31"/>
        <v>0</v>
      </c>
      <c r="M237" s="772" t="s">
        <v>1146</v>
      </c>
      <c r="Q237" s="1129"/>
    </row>
    <row r="238" spans="1:17" ht="12.75" customHeight="1">
      <c r="A238" s="1171"/>
      <c r="B238" s="1180"/>
      <c r="C238" s="1180"/>
      <c r="D238" s="10">
        <v>0.22</v>
      </c>
      <c r="E238" s="10">
        <v>6</v>
      </c>
      <c r="F238" s="10">
        <v>3001</v>
      </c>
      <c r="G238" s="10">
        <v>4000</v>
      </c>
      <c r="H238" s="237">
        <v>1.7869999999999999</v>
      </c>
      <c r="I238" s="74"/>
      <c r="J238" s="11">
        <f t="shared" si="30"/>
        <v>0</v>
      </c>
      <c r="K238" s="551"/>
      <c r="L238" s="11">
        <f t="shared" si="31"/>
        <v>0</v>
      </c>
      <c r="M238" s="772" t="s">
        <v>1146</v>
      </c>
      <c r="Q238" s="1129"/>
    </row>
    <row r="239" spans="1:17" ht="12.75" customHeight="1">
      <c r="A239" s="1171"/>
      <c r="B239" s="1180"/>
      <c r="C239" s="1180"/>
      <c r="D239" s="10">
        <v>0.22</v>
      </c>
      <c r="E239" s="10">
        <v>6</v>
      </c>
      <c r="F239" s="10">
        <v>4001</v>
      </c>
      <c r="G239" s="10">
        <v>5000</v>
      </c>
      <c r="H239" s="237">
        <v>1.927</v>
      </c>
      <c r="I239" s="74"/>
      <c r="J239" s="11">
        <f t="shared" si="30"/>
        <v>0</v>
      </c>
      <c r="K239" s="551"/>
      <c r="L239" s="11">
        <f t="shared" si="31"/>
        <v>0</v>
      </c>
      <c r="M239" s="772" t="s">
        <v>1146</v>
      </c>
      <c r="Q239" s="1129"/>
    </row>
    <row r="240" spans="1:17" ht="12.75" customHeight="1">
      <c r="A240" s="1171"/>
      <c r="B240" s="1180"/>
      <c r="C240" s="1180"/>
      <c r="D240" s="10">
        <v>0.22</v>
      </c>
      <c r="E240" s="10">
        <v>6</v>
      </c>
      <c r="F240" s="10">
        <v>5001</v>
      </c>
      <c r="G240" s="10">
        <v>6000</v>
      </c>
      <c r="H240" s="237">
        <v>2.0870000000000002</v>
      </c>
      <c r="I240" s="74"/>
      <c r="J240" s="11">
        <f t="shared" si="30"/>
        <v>0</v>
      </c>
      <c r="K240" s="551"/>
      <c r="L240" s="11">
        <f t="shared" si="31"/>
        <v>0</v>
      </c>
      <c r="M240" s="772" t="s">
        <v>1146</v>
      </c>
      <c r="Q240" s="1129"/>
    </row>
    <row r="241" spans="1:17" ht="12.75" customHeight="1">
      <c r="A241" s="1171"/>
      <c r="B241" s="1180"/>
      <c r="C241" s="1180"/>
      <c r="D241" s="10">
        <v>0.22</v>
      </c>
      <c r="E241" s="10">
        <v>6</v>
      </c>
      <c r="F241" s="10">
        <v>6001</v>
      </c>
      <c r="G241" s="10">
        <v>7000</v>
      </c>
      <c r="H241" s="237">
        <v>2.2069999999999999</v>
      </c>
      <c r="I241" s="74"/>
      <c r="J241" s="11">
        <f t="shared" si="30"/>
        <v>0</v>
      </c>
      <c r="K241" s="551"/>
      <c r="L241" s="11">
        <f t="shared" si="31"/>
        <v>0</v>
      </c>
      <c r="M241" s="772" t="s">
        <v>1146</v>
      </c>
      <c r="Q241" s="1129"/>
    </row>
    <row r="242" spans="1:17" ht="12.75" customHeight="1">
      <c r="A242" s="1171"/>
      <c r="B242" s="1180"/>
      <c r="C242" s="1180"/>
      <c r="D242" s="10">
        <v>0.22</v>
      </c>
      <c r="E242" s="10">
        <v>6</v>
      </c>
      <c r="F242" s="10">
        <v>7001</v>
      </c>
      <c r="G242" s="10">
        <v>8000</v>
      </c>
      <c r="H242" s="237">
        <v>2.367</v>
      </c>
      <c r="I242" s="74"/>
      <c r="J242" s="11">
        <f t="shared" si="30"/>
        <v>0</v>
      </c>
      <c r="K242" s="551"/>
      <c r="L242" s="11">
        <f t="shared" si="31"/>
        <v>0</v>
      </c>
      <c r="M242" s="772" t="s">
        <v>1146</v>
      </c>
      <c r="Q242" s="1129"/>
    </row>
    <row r="243" spans="1:17" ht="12.75" customHeight="1">
      <c r="A243" s="1171"/>
      <c r="B243" s="1180"/>
      <c r="C243" s="1180"/>
      <c r="D243" s="10">
        <v>0.22</v>
      </c>
      <c r="E243" s="10">
        <v>6</v>
      </c>
      <c r="F243" s="10">
        <v>8001</v>
      </c>
      <c r="G243" s="10">
        <v>9000</v>
      </c>
      <c r="H243" s="237">
        <v>2.5470000000000002</v>
      </c>
      <c r="I243" s="74"/>
      <c r="J243" s="11">
        <f t="shared" si="30"/>
        <v>0</v>
      </c>
      <c r="K243" s="551"/>
      <c r="L243" s="11">
        <f t="shared" si="31"/>
        <v>0</v>
      </c>
      <c r="M243" s="772" t="s">
        <v>1146</v>
      </c>
      <c r="Q243" s="1129"/>
    </row>
    <row r="244" spans="1:17" ht="12.75" customHeight="1">
      <c r="A244" s="1171"/>
      <c r="B244" s="1180"/>
      <c r="C244" s="1180"/>
      <c r="D244" s="10">
        <v>0.22</v>
      </c>
      <c r="E244" s="10">
        <v>6</v>
      </c>
      <c r="F244" s="10">
        <v>9001</v>
      </c>
      <c r="G244" s="10">
        <v>11000</v>
      </c>
      <c r="H244" s="237">
        <v>2.7469999999999999</v>
      </c>
      <c r="I244" s="74"/>
      <c r="J244" s="11">
        <f t="shared" si="30"/>
        <v>0</v>
      </c>
      <c r="K244" s="551"/>
      <c r="L244" s="11">
        <f t="shared" si="31"/>
        <v>0</v>
      </c>
      <c r="M244" s="772" t="s">
        <v>1146</v>
      </c>
      <c r="Q244" s="1129"/>
    </row>
    <row r="245" spans="1:17" ht="12.75" customHeight="1">
      <c r="A245" s="1171"/>
      <c r="B245" s="1180"/>
      <c r="C245" s="1180"/>
      <c r="D245" s="10">
        <v>0.22</v>
      </c>
      <c r="E245" s="10">
        <v>6</v>
      </c>
      <c r="F245" s="10">
        <v>11001</v>
      </c>
      <c r="G245" s="10">
        <v>13000</v>
      </c>
      <c r="H245" s="237">
        <v>3.0070000000000001</v>
      </c>
      <c r="I245" s="74"/>
      <c r="J245" s="11">
        <f t="shared" si="30"/>
        <v>0</v>
      </c>
      <c r="K245" s="551"/>
      <c r="L245" s="11">
        <f t="shared" si="31"/>
        <v>0</v>
      </c>
      <c r="M245" s="772" t="s">
        <v>1146</v>
      </c>
      <c r="Q245" s="1129"/>
    </row>
    <row r="246" spans="1:17" ht="12.75" customHeight="1">
      <c r="A246" s="1171"/>
      <c r="B246" s="1180"/>
      <c r="C246" s="1180"/>
      <c r="D246" s="306">
        <v>0.22</v>
      </c>
      <c r="E246" s="306">
        <v>6</v>
      </c>
      <c r="F246" s="306">
        <v>13001</v>
      </c>
      <c r="G246" s="306">
        <v>15000</v>
      </c>
      <c r="H246" s="307">
        <v>3.2069999999999999</v>
      </c>
      <c r="I246" s="308"/>
      <c r="J246" s="378">
        <f t="shared" si="30"/>
        <v>0</v>
      </c>
      <c r="K246" s="552"/>
      <c r="L246" s="11">
        <f t="shared" si="31"/>
        <v>0</v>
      </c>
      <c r="M246" s="772" t="s">
        <v>1146</v>
      </c>
      <c r="Q246" s="1129"/>
    </row>
    <row r="247" spans="1:17" ht="12.75" customHeight="1">
      <c r="A247" s="1171"/>
      <c r="B247" s="1180"/>
      <c r="C247" s="1180"/>
      <c r="D247" s="306">
        <v>0.22</v>
      </c>
      <c r="E247" s="306">
        <v>6</v>
      </c>
      <c r="F247" s="306">
        <v>15001</v>
      </c>
      <c r="G247" s="306">
        <v>17000</v>
      </c>
      <c r="H247" s="307">
        <f>H246-H245+H246</f>
        <v>3.4069999999999996</v>
      </c>
      <c r="I247" s="308"/>
      <c r="J247" s="378">
        <f>+I247*H247</f>
        <v>0</v>
      </c>
      <c r="K247" s="552"/>
      <c r="L247" s="11">
        <f>IF(K247&gt;I247,"ERROR",(K247*H247)*0.3+J247)</f>
        <v>0</v>
      </c>
      <c r="M247" s="772" t="s">
        <v>1146</v>
      </c>
      <c r="Q247" s="1129"/>
    </row>
    <row r="248" spans="1:17" ht="12.75" customHeight="1">
      <c r="A248" s="1171"/>
      <c r="B248" s="1180"/>
      <c r="C248" s="1180"/>
      <c r="D248" s="306">
        <v>0.22</v>
      </c>
      <c r="E248" s="306">
        <v>6</v>
      </c>
      <c r="F248" s="306">
        <v>17001</v>
      </c>
      <c r="G248" s="306">
        <v>19000</v>
      </c>
      <c r="H248" s="307">
        <f>H247-H246+H247</f>
        <v>3.6069999999999993</v>
      </c>
      <c r="I248" s="308"/>
      <c r="J248" s="378">
        <f>+I248*H248</f>
        <v>0</v>
      </c>
      <c r="K248" s="552"/>
      <c r="L248" s="11">
        <f>IF(K248&gt;I248,"ERROR",(K248*H248)*0.3+J248)</f>
        <v>0</v>
      </c>
      <c r="M248" s="772" t="s">
        <v>1146</v>
      </c>
      <c r="Q248" s="1129"/>
    </row>
    <row r="249" spans="1:17" ht="12.75" customHeight="1">
      <c r="A249" s="1171"/>
      <c r="B249" s="1180"/>
      <c r="C249" s="1180"/>
      <c r="D249" s="306"/>
      <c r="E249" s="306"/>
      <c r="F249" s="306"/>
      <c r="G249" s="306"/>
      <c r="H249" s="307"/>
      <c r="I249" s="308"/>
      <c r="J249" s="378">
        <f>+I249*H249</f>
        <v>0</v>
      </c>
      <c r="K249" s="552"/>
      <c r="L249" s="11">
        <f>IF(K249&gt;I249,"ERROR",(K249*H249)*0.3+J249)</f>
        <v>0</v>
      </c>
      <c r="Q249" s="1129"/>
    </row>
    <row r="250" spans="1:17" ht="12.75" customHeight="1" thickBot="1">
      <c r="A250" s="1172"/>
      <c r="B250" s="1181"/>
      <c r="C250" s="1181"/>
      <c r="D250" s="12"/>
      <c r="E250" s="12"/>
      <c r="F250" s="12"/>
      <c r="G250" s="12"/>
      <c r="H250" s="238"/>
      <c r="I250" s="75"/>
      <c r="J250" s="378">
        <f>+I250*H250</f>
        <v>0</v>
      </c>
      <c r="K250" s="552"/>
      <c r="L250" s="11">
        <f>IF(K250&gt;I250,"ERROR",(K250*H250)*0.3+J250)</f>
        <v>0</v>
      </c>
      <c r="Q250" s="1129"/>
    </row>
    <row r="251" spans="1:17" ht="12.75" customHeight="1">
      <c r="A251" s="1170" t="s">
        <v>123</v>
      </c>
      <c r="B251" s="1179" t="s">
        <v>124</v>
      </c>
      <c r="C251" s="1179" t="s">
        <v>562</v>
      </c>
      <c r="D251" s="7">
        <v>0.22</v>
      </c>
      <c r="E251" s="7">
        <v>6</v>
      </c>
      <c r="F251" s="7">
        <v>60</v>
      </c>
      <c r="G251" s="7">
        <v>100</v>
      </c>
      <c r="H251" s="237">
        <v>1.38</v>
      </c>
      <c r="I251" s="73"/>
      <c r="J251" s="8">
        <f t="shared" ref="J251:J263" si="32">+I251*H251</f>
        <v>0</v>
      </c>
      <c r="K251" s="550"/>
      <c r="L251" s="8">
        <f>IF(K251&gt;I251,"ERROR",(K251*H251)*0.1+J251)</f>
        <v>0</v>
      </c>
      <c r="M251" s="772" t="s">
        <v>1146</v>
      </c>
      <c r="Q251" s="1129"/>
    </row>
    <row r="252" spans="1:17" ht="12.75" customHeight="1">
      <c r="A252" s="1171"/>
      <c r="B252" s="1180"/>
      <c r="C252" s="1180"/>
      <c r="D252" s="406">
        <v>0.22</v>
      </c>
      <c r="E252" s="406">
        <v>6</v>
      </c>
      <c r="F252" s="406">
        <v>101</v>
      </c>
      <c r="G252" s="406">
        <v>1000</v>
      </c>
      <c r="H252" s="237">
        <v>1.38</v>
      </c>
      <c r="I252" s="219"/>
      <c r="J252" s="220">
        <f t="shared" si="32"/>
        <v>0</v>
      </c>
      <c r="K252" s="591"/>
      <c r="L252" s="220">
        <f>IF(K252&gt;I252,"ERROR",(K252*H252)*0.1+J252)</f>
        <v>0</v>
      </c>
      <c r="M252" s="772" t="s">
        <v>1146</v>
      </c>
      <c r="Q252" s="1129"/>
    </row>
    <row r="253" spans="1:17" ht="12.75" customHeight="1">
      <c r="A253" s="1171"/>
      <c r="B253" s="1180"/>
      <c r="C253" s="1180"/>
      <c r="D253" s="10">
        <v>0.22</v>
      </c>
      <c r="E253" s="10">
        <v>6</v>
      </c>
      <c r="F253" s="10">
        <v>1001</v>
      </c>
      <c r="G253" s="10">
        <v>2000</v>
      </c>
      <c r="H253" s="237">
        <v>1.5</v>
      </c>
      <c r="I253" s="74"/>
      <c r="J253" s="11">
        <f t="shared" si="32"/>
        <v>0</v>
      </c>
      <c r="K253" s="551"/>
      <c r="L253" s="11">
        <f>IF(K253&gt;I253,"ERROR",(K253*H253)*0.15+J253)</f>
        <v>0</v>
      </c>
      <c r="M253" s="772" t="s">
        <v>1146</v>
      </c>
      <c r="Q253" s="1129"/>
    </row>
    <row r="254" spans="1:17" ht="12.75" customHeight="1">
      <c r="A254" s="1171"/>
      <c r="B254" s="1180"/>
      <c r="C254" s="1180"/>
      <c r="D254" s="10">
        <v>0.22</v>
      </c>
      <c r="E254" s="10">
        <v>6</v>
      </c>
      <c r="F254" s="10">
        <v>2001</v>
      </c>
      <c r="G254" s="10">
        <v>3000</v>
      </c>
      <c r="H254" s="237">
        <v>1.61</v>
      </c>
      <c r="I254" s="74"/>
      <c r="J254" s="11">
        <f t="shared" si="32"/>
        <v>0</v>
      </c>
      <c r="K254" s="551"/>
      <c r="L254" s="11">
        <f>IF(K254&gt;I254,"ERROR",(K254*H254)*0.2+J254)</f>
        <v>0</v>
      </c>
      <c r="M254" s="772" t="s">
        <v>1146</v>
      </c>
      <c r="Q254" s="1129"/>
    </row>
    <row r="255" spans="1:17" ht="12.75" customHeight="1">
      <c r="A255" s="1171"/>
      <c r="B255" s="1180"/>
      <c r="C255" s="1180"/>
      <c r="D255" s="10">
        <v>0.22</v>
      </c>
      <c r="E255" s="10">
        <v>6</v>
      </c>
      <c r="F255" s="10">
        <v>3001</v>
      </c>
      <c r="G255" s="10">
        <v>4000</v>
      </c>
      <c r="H255" s="237">
        <v>1.74</v>
      </c>
      <c r="I255" s="74"/>
      <c r="J255" s="11">
        <f t="shared" si="32"/>
        <v>0</v>
      </c>
      <c r="K255" s="551"/>
      <c r="L255" s="11">
        <f>IF(K255&gt;I255,"ERROR",(K255*H255)*0.25+J255)</f>
        <v>0</v>
      </c>
      <c r="M255" s="772" t="s">
        <v>1146</v>
      </c>
      <c r="Q255" s="1129"/>
    </row>
    <row r="256" spans="1:17" ht="12.75" customHeight="1">
      <c r="A256" s="1171"/>
      <c r="B256" s="1180"/>
      <c r="C256" s="1180"/>
      <c r="D256" s="10">
        <v>0.22</v>
      </c>
      <c r="E256" s="10">
        <v>6</v>
      </c>
      <c r="F256" s="10">
        <v>4001</v>
      </c>
      <c r="G256" s="10">
        <v>5000</v>
      </c>
      <c r="H256" s="237">
        <v>1.87</v>
      </c>
      <c r="I256" s="74"/>
      <c r="J256" s="11">
        <f t="shared" si="32"/>
        <v>0</v>
      </c>
      <c r="K256" s="551"/>
      <c r="L256" s="11">
        <f t="shared" ref="L256:L263" si="33">IF(K256&gt;I256,"ERROR",(K256*H256)*0.3+J256)</f>
        <v>0</v>
      </c>
      <c r="M256" s="772" t="s">
        <v>1146</v>
      </c>
      <c r="Q256" s="1129"/>
    </row>
    <row r="257" spans="1:17" ht="12.75" customHeight="1">
      <c r="A257" s="1171"/>
      <c r="B257" s="1180"/>
      <c r="C257" s="1180"/>
      <c r="D257" s="10">
        <v>0.22</v>
      </c>
      <c r="E257" s="10">
        <v>6</v>
      </c>
      <c r="F257" s="10">
        <v>5001</v>
      </c>
      <c r="G257" s="10">
        <v>6000</v>
      </c>
      <c r="H257" s="237">
        <v>2.0099999999999998</v>
      </c>
      <c r="I257" s="74"/>
      <c r="J257" s="11">
        <f t="shared" si="32"/>
        <v>0</v>
      </c>
      <c r="K257" s="551"/>
      <c r="L257" s="11">
        <f t="shared" si="33"/>
        <v>0</v>
      </c>
      <c r="M257" s="772" t="s">
        <v>1146</v>
      </c>
      <c r="Q257" s="1129"/>
    </row>
    <row r="258" spans="1:17" ht="12.75" customHeight="1">
      <c r="A258" s="1171"/>
      <c r="B258" s="1180"/>
      <c r="C258" s="1180"/>
      <c r="D258" s="10">
        <v>0.22</v>
      </c>
      <c r="E258" s="10">
        <v>6</v>
      </c>
      <c r="F258" s="10">
        <v>6001</v>
      </c>
      <c r="G258" s="10">
        <v>7000</v>
      </c>
      <c r="H258" s="237">
        <v>2.16</v>
      </c>
      <c r="I258" s="74"/>
      <c r="J258" s="11">
        <f t="shared" si="32"/>
        <v>0</v>
      </c>
      <c r="K258" s="551"/>
      <c r="L258" s="11">
        <f t="shared" si="33"/>
        <v>0</v>
      </c>
      <c r="M258" s="772" t="s">
        <v>1146</v>
      </c>
      <c r="Q258" s="1129"/>
    </row>
    <row r="259" spans="1:17" ht="12.75" customHeight="1">
      <c r="A259" s="1171"/>
      <c r="B259" s="1180"/>
      <c r="C259" s="1180"/>
      <c r="D259" s="10">
        <v>0.22</v>
      </c>
      <c r="E259" s="10">
        <v>6</v>
      </c>
      <c r="F259" s="10">
        <v>7001</v>
      </c>
      <c r="G259" s="10">
        <v>8000</v>
      </c>
      <c r="H259" s="237">
        <v>2.2999999999999998</v>
      </c>
      <c r="I259" s="74"/>
      <c r="J259" s="11">
        <f t="shared" si="32"/>
        <v>0</v>
      </c>
      <c r="K259" s="551"/>
      <c r="L259" s="11">
        <f t="shared" si="33"/>
        <v>0</v>
      </c>
      <c r="M259" s="772" t="s">
        <v>1146</v>
      </c>
      <c r="Q259" s="1129"/>
    </row>
    <row r="260" spans="1:17" ht="12.75" customHeight="1">
      <c r="A260" s="1171"/>
      <c r="B260" s="1180"/>
      <c r="C260" s="1180"/>
      <c r="D260" s="10">
        <v>0.22</v>
      </c>
      <c r="E260" s="10">
        <v>6</v>
      </c>
      <c r="F260" s="10">
        <v>8001</v>
      </c>
      <c r="G260" s="10">
        <v>9000</v>
      </c>
      <c r="H260" s="237">
        <v>2.4500000000000002</v>
      </c>
      <c r="I260" s="74"/>
      <c r="J260" s="11">
        <f t="shared" si="32"/>
        <v>0</v>
      </c>
      <c r="K260" s="551"/>
      <c r="L260" s="11">
        <f t="shared" si="33"/>
        <v>0</v>
      </c>
      <c r="M260" s="772" t="s">
        <v>1146</v>
      </c>
      <c r="Q260" s="1129"/>
    </row>
    <row r="261" spans="1:17" ht="12.75" customHeight="1">
      <c r="A261" s="1171"/>
      <c r="B261" s="1180"/>
      <c r="C261" s="1180"/>
      <c r="D261" s="10">
        <v>0.22</v>
      </c>
      <c r="E261" s="10">
        <v>6</v>
      </c>
      <c r="F261" s="10">
        <v>9001</v>
      </c>
      <c r="G261" s="10">
        <v>11000</v>
      </c>
      <c r="H261" s="237">
        <v>2.71</v>
      </c>
      <c r="I261" s="74"/>
      <c r="J261" s="11">
        <f t="shared" si="32"/>
        <v>0</v>
      </c>
      <c r="K261" s="551"/>
      <c r="L261" s="11">
        <f t="shared" si="33"/>
        <v>0</v>
      </c>
      <c r="M261" s="772" t="s">
        <v>1146</v>
      </c>
      <c r="Q261" s="1129"/>
    </row>
    <row r="262" spans="1:17" ht="12.75" customHeight="1">
      <c r="A262" s="1171"/>
      <c r="B262" s="1180"/>
      <c r="C262" s="1180"/>
      <c r="D262" s="10">
        <v>0.22</v>
      </c>
      <c r="E262" s="10">
        <v>6</v>
      </c>
      <c r="F262" s="10">
        <v>11001</v>
      </c>
      <c r="G262" s="10">
        <v>13000</v>
      </c>
      <c r="H262" s="237">
        <v>2.9</v>
      </c>
      <c r="I262" s="74"/>
      <c r="J262" s="11">
        <f t="shared" si="32"/>
        <v>0</v>
      </c>
      <c r="K262" s="551"/>
      <c r="L262" s="11">
        <f t="shared" si="33"/>
        <v>0</v>
      </c>
      <c r="M262" s="772" t="s">
        <v>1146</v>
      </c>
      <c r="Q262" s="1129"/>
    </row>
    <row r="263" spans="1:17" ht="12.75" customHeight="1">
      <c r="A263" s="1171"/>
      <c r="B263" s="1180"/>
      <c r="C263" s="1180"/>
      <c r="D263" s="306">
        <v>0.22</v>
      </c>
      <c r="E263" s="306">
        <v>6</v>
      </c>
      <c r="F263" s="306">
        <v>13001</v>
      </c>
      <c r="G263" s="306">
        <v>15000</v>
      </c>
      <c r="H263" s="307">
        <v>3.1</v>
      </c>
      <c r="I263" s="308"/>
      <c r="J263" s="378">
        <f t="shared" si="32"/>
        <v>0</v>
      </c>
      <c r="K263" s="552"/>
      <c r="L263" s="378">
        <f t="shared" si="33"/>
        <v>0</v>
      </c>
      <c r="M263" s="772" t="s">
        <v>1146</v>
      </c>
      <c r="Q263" s="1129"/>
    </row>
    <row r="264" spans="1:17" ht="12.75" customHeight="1">
      <c r="A264" s="1171"/>
      <c r="B264" s="1180"/>
      <c r="C264" s="1180"/>
      <c r="D264" s="306">
        <v>0.22</v>
      </c>
      <c r="E264" s="306">
        <v>6</v>
      </c>
      <c r="F264" s="306">
        <v>15001</v>
      </c>
      <c r="G264" s="306">
        <v>17000</v>
      </c>
      <c r="H264" s="307">
        <f>H263-H262+H263</f>
        <v>3.3000000000000003</v>
      </c>
      <c r="I264" s="308"/>
      <c r="J264" s="378">
        <f>+I264*H264</f>
        <v>0</v>
      </c>
      <c r="K264" s="552"/>
      <c r="L264" s="378">
        <f>IF(K264&gt;I264,"ERROR",(K264*H264)*0.3+J264)</f>
        <v>0</v>
      </c>
      <c r="M264" s="772" t="s">
        <v>1146</v>
      </c>
      <c r="Q264" s="1129"/>
    </row>
    <row r="265" spans="1:17" ht="12.75" customHeight="1">
      <c r="A265" s="1171"/>
      <c r="B265" s="1180"/>
      <c r="C265" s="1180"/>
      <c r="D265" s="306">
        <v>0.22</v>
      </c>
      <c r="E265" s="306">
        <v>6</v>
      </c>
      <c r="F265" s="306">
        <v>17001</v>
      </c>
      <c r="G265" s="306">
        <v>19000</v>
      </c>
      <c r="H265" s="307">
        <f>H264-H263+H264</f>
        <v>3.5000000000000004</v>
      </c>
      <c r="I265" s="308"/>
      <c r="J265" s="378">
        <f>+I265*H265</f>
        <v>0</v>
      </c>
      <c r="K265" s="552"/>
      <c r="L265" s="378">
        <f>IF(K265&gt;I265,"ERROR",(K265*H265)*0.3+J265)</f>
        <v>0</v>
      </c>
      <c r="M265" s="772" t="s">
        <v>1146</v>
      </c>
      <c r="Q265" s="1129"/>
    </row>
    <row r="266" spans="1:17" ht="12.75" customHeight="1">
      <c r="A266" s="1171"/>
      <c r="B266" s="1180"/>
      <c r="C266" s="1180"/>
      <c r="D266" s="306"/>
      <c r="E266" s="306"/>
      <c r="F266" s="306"/>
      <c r="G266" s="306"/>
      <c r="H266" s="307"/>
      <c r="I266" s="308"/>
      <c r="J266" s="378">
        <f>+I266*H266</f>
        <v>0</v>
      </c>
      <c r="K266" s="552"/>
      <c r="L266" s="378">
        <f>IF(K266&gt;I266,"ERROR",(K266*H266)*0.3+J266)</f>
        <v>0</v>
      </c>
      <c r="Q266" s="1129"/>
    </row>
    <row r="267" spans="1:17" ht="12.75" customHeight="1" thickBot="1">
      <c r="A267" s="1172"/>
      <c r="B267" s="1181"/>
      <c r="C267" s="1181"/>
      <c r="D267" s="12"/>
      <c r="E267" s="12"/>
      <c r="F267" s="12"/>
      <c r="G267" s="12"/>
      <c r="H267" s="238"/>
      <c r="I267" s="75"/>
      <c r="J267" s="378">
        <f>+I267*H267</f>
        <v>0</v>
      </c>
      <c r="K267" s="552"/>
      <c r="L267" s="378">
        <f>IF(K267&gt;I267,"ERROR",(K267*H267)*0.3+J267)</f>
        <v>0</v>
      </c>
      <c r="Q267" s="1129"/>
    </row>
    <row r="268" spans="1:17" ht="12.75" customHeight="1">
      <c r="A268" s="1219" t="s">
        <v>792</v>
      </c>
      <c r="B268" s="1179" t="s">
        <v>793</v>
      </c>
      <c r="C268" s="1179" t="s">
        <v>562</v>
      </c>
      <c r="D268" s="7">
        <v>0.22</v>
      </c>
      <c r="E268" s="7">
        <v>6</v>
      </c>
      <c r="F268" s="7">
        <v>60</v>
      </c>
      <c r="G268" s="7">
        <v>100</v>
      </c>
      <c r="H268" s="237">
        <v>1.4870000000000001</v>
      </c>
      <c r="I268" s="73"/>
      <c r="J268" s="8">
        <f t="shared" ref="J268:J280" si="34">+I268*H268</f>
        <v>0</v>
      </c>
      <c r="K268" s="550"/>
      <c r="L268" s="8">
        <f>IF(K268&gt;I268,"ERROR",(K268*H268)*0.1+J268)</f>
        <v>0</v>
      </c>
      <c r="M268" s="772" t="s">
        <v>1146</v>
      </c>
      <c r="Q268" s="1129"/>
    </row>
    <row r="269" spans="1:17" ht="12.75" customHeight="1">
      <c r="A269" s="1220"/>
      <c r="B269" s="1180"/>
      <c r="C269" s="1180"/>
      <c r="D269" s="406">
        <v>0.22</v>
      </c>
      <c r="E269" s="406">
        <v>6</v>
      </c>
      <c r="F269" s="406">
        <v>101</v>
      </c>
      <c r="G269" s="406">
        <v>1000</v>
      </c>
      <c r="H269" s="237">
        <v>1.4870000000000001</v>
      </c>
      <c r="I269" s="219">
        <v>4</v>
      </c>
      <c r="J269" s="11">
        <f t="shared" si="34"/>
        <v>5.9480000000000004</v>
      </c>
      <c r="K269" s="591"/>
      <c r="L269" s="220">
        <f>IF(K269&gt;I269,"ERROR",(K269*H269)*0.1+J269)</f>
        <v>5.9480000000000004</v>
      </c>
      <c r="M269" s="772" t="s">
        <v>1146</v>
      </c>
      <c r="Q269" s="1129"/>
    </row>
    <row r="270" spans="1:17" ht="12.75" customHeight="1">
      <c r="A270" s="1220"/>
      <c r="B270" s="1180"/>
      <c r="C270" s="1180"/>
      <c r="D270" s="10">
        <v>0.22</v>
      </c>
      <c r="E270" s="10">
        <v>6</v>
      </c>
      <c r="F270" s="10">
        <v>1001</v>
      </c>
      <c r="G270" s="10">
        <v>2000</v>
      </c>
      <c r="H270" s="237">
        <v>1.607</v>
      </c>
      <c r="I270" s="74">
        <v>1</v>
      </c>
      <c r="J270" s="11">
        <f t="shared" si="34"/>
        <v>1.607</v>
      </c>
      <c r="K270" s="551"/>
      <c r="L270" s="11">
        <f>IF(K270&gt;I270,"ERROR",(K270*H270)*0.15+J270)</f>
        <v>1.607</v>
      </c>
      <c r="M270" s="772" t="s">
        <v>1146</v>
      </c>
      <c r="Q270" s="1129"/>
    </row>
    <row r="271" spans="1:17" ht="12.75" customHeight="1">
      <c r="A271" s="1220"/>
      <c r="B271" s="1180"/>
      <c r="C271" s="1180"/>
      <c r="D271" s="10">
        <v>0.22</v>
      </c>
      <c r="E271" s="10">
        <v>6</v>
      </c>
      <c r="F271" s="10">
        <v>2001</v>
      </c>
      <c r="G271" s="10">
        <v>3000</v>
      </c>
      <c r="H271" s="237">
        <v>1.7170000000000001</v>
      </c>
      <c r="I271" s="74">
        <v>1</v>
      </c>
      <c r="J271" s="11">
        <f t="shared" si="34"/>
        <v>1.7170000000000001</v>
      </c>
      <c r="K271" s="551"/>
      <c r="L271" s="11">
        <f>IF(K271&gt;I271,"ERROR",(K271*H271)*0.2+J271)</f>
        <v>1.7170000000000001</v>
      </c>
      <c r="M271" s="772" t="s">
        <v>1146</v>
      </c>
      <c r="Q271" s="1129"/>
    </row>
    <row r="272" spans="1:17" ht="12.75" customHeight="1">
      <c r="A272" s="1220"/>
      <c r="B272" s="1180"/>
      <c r="C272" s="1180"/>
      <c r="D272" s="10">
        <v>0.22</v>
      </c>
      <c r="E272" s="10">
        <v>6</v>
      </c>
      <c r="F272" s="10">
        <v>3001</v>
      </c>
      <c r="G272" s="10">
        <v>4000</v>
      </c>
      <c r="H272" s="237">
        <v>1.847</v>
      </c>
      <c r="I272" s="74"/>
      <c r="J272" s="11">
        <f t="shared" si="34"/>
        <v>0</v>
      </c>
      <c r="K272" s="551"/>
      <c r="L272" s="11">
        <f>IF(K272&gt;I272,"ERROR",(K272*H272)*0.25+J272)</f>
        <v>0</v>
      </c>
      <c r="M272" s="772" t="s">
        <v>1146</v>
      </c>
      <c r="Q272" s="1129"/>
    </row>
    <row r="273" spans="1:17" ht="12.75" customHeight="1">
      <c r="A273" s="1220"/>
      <c r="B273" s="1180"/>
      <c r="C273" s="1180"/>
      <c r="D273" s="10">
        <v>0.22</v>
      </c>
      <c r="E273" s="10">
        <v>6</v>
      </c>
      <c r="F273" s="10">
        <v>4001</v>
      </c>
      <c r="G273" s="10">
        <v>5000</v>
      </c>
      <c r="H273" s="237">
        <v>1.9770000000000001</v>
      </c>
      <c r="I273" s="74"/>
      <c r="J273" s="11">
        <f t="shared" si="34"/>
        <v>0</v>
      </c>
      <c r="K273" s="551"/>
      <c r="L273" s="11">
        <f t="shared" ref="L273:L280" si="35">IF(K273&gt;I273,"ERROR",(K273*H273)*0.3+J273)</f>
        <v>0</v>
      </c>
      <c r="M273" s="772" t="s">
        <v>1146</v>
      </c>
      <c r="Q273" s="1129"/>
    </row>
    <row r="274" spans="1:17" ht="12.75" customHeight="1">
      <c r="A274" s="1220"/>
      <c r="B274" s="1180"/>
      <c r="C274" s="1180"/>
      <c r="D274" s="10">
        <v>0.22</v>
      </c>
      <c r="E274" s="10">
        <v>6</v>
      </c>
      <c r="F274" s="10">
        <v>5001</v>
      </c>
      <c r="G274" s="10">
        <v>6000</v>
      </c>
      <c r="H274" s="237">
        <v>2.117</v>
      </c>
      <c r="I274" s="74"/>
      <c r="J274" s="11">
        <f t="shared" si="34"/>
        <v>0</v>
      </c>
      <c r="K274" s="551"/>
      <c r="L274" s="11">
        <f t="shared" si="35"/>
        <v>0</v>
      </c>
      <c r="M274" s="772" t="s">
        <v>1146</v>
      </c>
      <c r="Q274" s="1129"/>
    </row>
    <row r="275" spans="1:17" ht="12.75" customHeight="1">
      <c r="A275" s="1220"/>
      <c r="B275" s="1180"/>
      <c r="C275" s="1180"/>
      <c r="D275" s="10">
        <v>0.22</v>
      </c>
      <c r="E275" s="10">
        <v>6</v>
      </c>
      <c r="F275" s="10">
        <v>6001</v>
      </c>
      <c r="G275" s="10">
        <v>7000</v>
      </c>
      <c r="H275" s="237">
        <v>2.2669999999999999</v>
      </c>
      <c r="I275" s="74"/>
      <c r="J275" s="11">
        <f t="shared" si="34"/>
        <v>0</v>
      </c>
      <c r="K275" s="551"/>
      <c r="L275" s="11">
        <f t="shared" si="35"/>
        <v>0</v>
      </c>
      <c r="M275" s="772" t="s">
        <v>1146</v>
      </c>
      <c r="Q275" s="1129"/>
    </row>
    <row r="276" spans="1:17" ht="12.75" customHeight="1">
      <c r="A276" s="1220"/>
      <c r="B276" s="1180"/>
      <c r="C276" s="1180"/>
      <c r="D276" s="10">
        <v>0.22</v>
      </c>
      <c r="E276" s="10">
        <v>6</v>
      </c>
      <c r="F276" s="10">
        <v>7001</v>
      </c>
      <c r="G276" s="10">
        <v>8000</v>
      </c>
      <c r="H276" s="237">
        <v>2.407</v>
      </c>
      <c r="I276" s="74"/>
      <c r="J276" s="11">
        <f t="shared" si="34"/>
        <v>0</v>
      </c>
      <c r="K276" s="551"/>
      <c r="L276" s="11">
        <f t="shared" si="35"/>
        <v>0</v>
      </c>
      <c r="M276" s="772" t="s">
        <v>1146</v>
      </c>
      <c r="Q276" s="1129"/>
    </row>
    <row r="277" spans="1:17" ht="12.75" customHeight="1">
      <c r="A277" s="1220"/>
      <c r="B277" s="1180"/>
      <c r="C277" s="1180"/>
      <c r="D277" s="10">
        <v>0.22</v>
      </c>
      <c r="E277" s="10">
        <v>6</v>
      </c>
      <c r="F277" s="10">
        <v>8001</v>
      </c>
      <c r="G277" s="10">
        <v>9000</v>
      </c>
      <c r="H277" s="237">
        <v>2.5569999999999999</v>
      </c>
      <c r="I277" s="74"/>
      <c r="J277" s="11">
        <f t="shared" si="34"/>
        <v>0</v>
      </c>
      <c r="K277" s="551"/>
      <c r="L277" s="11">
        <f t="shared" si="35"/>
        <v>0</v>
      </c>
      <c r="M277" s="772" t="s">
        <v>1146</v>
      </c>
      <c r="Q277" s="1129"/>
    </row>
    <row r="278" spans="1:17" ht="12.75" customHeight="1">
      <c r="A278" s="1220"/>
      <c r="B278" s="1180"/>
      <c r="C278" s="1180"/>
      <c r="D278" s="10">
        <v>0.22</v>
      </c>
      <c r="E278" s="10">
        <v>6</v>
      </c>
      <c r="F278" s="10">
        <v>9001</v>
      </c>
      <c r="G278" s="10">
        <v>11000</v>
      </c>
      <c r="H278" s="237">
        <v>2.8170000000000002</v>
      </c>
      <c r="I278" s="74"/>
      <c r="J278" s="11">
        <f t="shared" si="34"/>
        <v>0</v>
      </c>
      <c r="K278" s="551"/>
      <c r="L278" s="11">
        <f t="shared" si="35"/>
        <v>0</v>
      </c>
      <c r="M278" s="772" t="s">
        <v>1146</v>
      </c>
      <c r="Q278" s="1129"/>
    </row>
    <row r="279" spans="1:17" ht="12.75" customHeight="1">
      <c r="A279" s="1220"/>
      <c r="B279" s="1180"/>
      <c r="C279" s="1180"/>
      <c r="D279" s="10">
        <v>0.22</v>
      </c>
      <c r="E279" s="10">
        <v>6</v>
      </c>
      <c r="F279" s="10">
        <v>11001</v>
      </c>
      <c r="G279" s="10">
        <v>13000</v>
      </c>
      <c r="H279" s="237">
        <v>3.0070000000000001</v>
      </c>
      <c r="I279" s="74"/>
      <c r="J279" s="11">
        <f t="shared" si="34"/>
        <v>0</v>
      </c>
      <c r="K279" s="551"/>
      <c r="L279" s="11">
        <f t="shared" si="35"/>
        <v>0</v>
      </c>
      <c r="M279" s="772" t="s">
        <v>1146</v>
      </c>
      <c r="Q279" s="1129"/>
    </row>
    <row r="280" spans="1:17" ht="12.75" customHeight="1">
      <c r="A280" s="1220"/>
      <c r="B280" s="1180"/>
      <c r="C280" s="1180"/>
      <c r="D280" s="306">
        <v>0.22</v>
      </c>
      <c r="E280" s="306">
        <v>6</v>
      </c>
      <c r="F280" s="306">
        <v>13001</v>
      </c>
      <c r="G280" s="306">
        <v>15000</v>
      </c>
      <c r="H280" s="307">
        <v>3.2069999999999999</v>
      </c>
      <c r="I280" s="308"/>
      <c r="J280" s="378">
        <f t="shared" si="34"/>
        <v>0</v>
      </c>
      <c r="K280" s="552"/>
      <c r="L280" s="378">
        <f t="shared" si="35"/>
        <v>0</v>
      </c>
      <c r="M280" s="772" t="s">
        <v>1146</v>
      </c>
      <c r="Q280" s="1129"/>
    </row>
    <row r="281" spans="1:17" ht="12.75" customHeight="1">
      <c r="A281" s="1220"/>
      <c r="B281" s="1180"/>
      <c r="C281" s="1180"/>
      <c r="D281" s="306">
        <v>0.22</v>
      </c>
      <c r="E281" s="306">
        <v>6</v>
      </c>
      <c r="F281" s="306">
        <v>15001</v>
      </c>
      <c r="G281" s="306">
        <v>17000</v>
      </c>
      <c r="H281" s="307">
        <f>H280-H279+H280</f>
        <v>3.4069999999999996</v>
      </c>
      <c r="I281" s="360"/>
      <c r="J281" s="378">
        <f>+I281*H281</f>
        <v>0</v>
      </c>
      <c r="K281" s="552"/>
      <c r="L281" s="378">
        <f>IF(K281&gt;I281,"ERROR",(K281*H281)*0.3+J281)</f>
        <v>0</v>
      </c>
      <c r="M281" s="772" t="s">
        <v>1146</v>
      </c>
      <c r="Q281" s="1129"/>
    </row>
    <row r="282" spans="1:17" ht="12.75" customHeight="1">
      <c r="A282" s="1220"/>
      <c r="B282" s="1180"/>
      <c r="C282" s="1180"/>
      <c r="D282" s="306">
        <v>0.22</v>
      </c>
      <c r="E282" s="306">
        <v>6</v>
      </c>
      <c r="F282" s="306">
        <v>17001</v>
      </c>
      <c r="G282" s="306">
        <v>19000</v>
      </c>
      <c r="H282" s="307">
        <f>H281-H280+H281</f>
        <v>3.6069999999999993</v>
      </c>
      <c r="I282" s="360"/>
      <c r="J282" s="378">
        <f>+I282*H282</f>
        <v>0</v>
      </c>
      <c r="K282" s="552"/>
      <c r="L282" s="378">
        <f>IF(K282&gt;I282,"ERROR",(K282*H282)*0.3+J282)</f>
        <v>0</v>
      </c>
      <c r="M282" s="772" t="s">
        <v>1146</v>
      </c>
      <c r="Q282" s="1129"/>
    </row>
    <row r="283" spans="1:17" ht="12.75" customHeight="1">
      <c r="A283" s="1220"/>
      <c r="B283" s="1180"/>
      <c r="C283" s="1180"/>
      <c r="D283" s="422"/>
      <c r="E283" s="422"/>
      <c r="F283" s="422"/>
      <c r="G283" s="422"/>
      <c r="H283" s="307"/>
      <c r="I283" s="360"/>
      <c r="J283" s="378">
        <f>+I283*H283</f>
        <v>0</v>
      </c>
      <c r="K283" s="552"/>
      <c r="L283" s="378">
        <f>IF(K283&gt;I283,"ERROR",(K283*H283)*0.3+J283)</f>
        <v>0</v>
      </c>
      <c r="Q283" s="1129"/>
    </row>
    <row r="284" spans="1:17" ht="12.75" customHeight="1" thickBot="1">
      <c r="A284" s="1221"/>
      <c r="B284" s="1181"/>
      <c r="C284" s="1181"/>
      <c r="D284" s="422"/>
      <c r="E284" s="422"/>
      <c r="F284" s="422"/>
      <c r="G284" s="422"/>
      <c r="H284" s="238"/>
      <c r="I284" s="360"/>
      <c r="J284" s="378">
        <f>+I284*H284</f>
        <v>0</v>
      </c>
      <c r="K284" s="552"/>
      <c r="L284" s="378">
        <f>IF(K284&gt;I284,"ERROR",(K284*H284)*0.3+J284)</f>
        <v>0</v>
      </c>
      <c r="Q284" s="1129"/>
    </row>
    <row r="285" spans="1:17" s="4" customFormat="1">
      <c r="A285" s="1225" t="s">
        <v>741</v>
      </c>
      <c r="B285" s="1199" t="s">
        <v>120</v>
      </c>
      <c r="C285" s="1188" t="s">
        <v>560</v>
      </c>
      <c r="D285" s="7">
        <v>0.22</v>
      </c>
      <c r="E285" s="7">
        <v>6</v>
      </c>
      <c r="F285" s="7">
        <v>60</v>
      </c>
      <c r="G285" s="7">
        <v>100</v>
      </c>
      <c r="H285" s="633">
        <v>1.522</v>
      </c>
      <c r="I285" s="435"/>
      <c r="J285" s="8">
        <f t="shared" ref="J285:J315" si="36">+I285*H285</f>
        <v>0</v>
      </c>
      <c r="K285" s="437"/>
      <c r="L285" s="438">
        <f>J285</f>
        <v>0</v>
      </c>
      <c r="M285" s="772" t="s">
        <v>1146</v>
      </c>
      <c r="N285" s="1128"/>
      <c r="O285" s="1128"/>
      <c r="P285" s="1128"/>
      <c r="Q285" s="1129"/>
    </row>
    <row r="286" spans="1:17" s="4" customFormat="1">
      <c r="A286" s="1226"/>
      <c r="B286" s="1200"/>
      <c r="C286" s="1189"/>
      <c r="D286" s="406">
        <v>0.22</v>
      </c>
      <c r="E286" s="406">
        <v>6</v>
      </c>
      <c r="F286" s="406">
        <v>101</v>
      </c>
      <c r="G286" s="406">
        <v>1000</v>
      </c>
      <c r="H286" s="549">
        <v>1.522</v>
      </c>
      <c r="I286" s="436"/>
      <c r="J286" s="361">
        <f t="shared" si="36"/>
        <v>0</v>
      </c>
      <c r="K286" s="441"/>
      <c r="L286" s="442">
        <f>J286</f>
        <v>0</v>
      </c>
      <c r="M286" s="772" t="s">
        <v>1146</v>
      </c>
      <c r="N286" s="1128"/>
      <c r="O286" s="1128"/>
      <c r="P286" s="1128"/>
      <c r="Q286" s="1129"/>
    </row>
    <row r="287" spans="1:17" s="4" customFormat="1">
      <c r="A287" s="1227"/>
      <c r="B287" s="1201"/>
      <c r="C287" s="1189"/>
      <c r="D287" s="10">
        <v>0.22</v>
      </c>
      <c r="E287" s="10">
        <v>6</v>
      </c>
      <c r="F287" s="10">
        <v>1001</v>
      </c>
      <c r="G287" s="10">
        <v>2000</v>
      </c>
      <c r="H287" s="549">
        <v>1.7370000000000001</v>
      </c>
      <c r="I287" s="429"/>
      <c r="J287" s="378">
        <f t="shared" si="36"/>
        <v>0</v>
      </c>
      <c r="K287" s="439"/>
      <c r="L287" s="440">
        <f>J287</f>
        <v>0</v>
      </c>
      <c r="M287" s="772" t="s">
        <v>1146</v>
      </c>
      <c r="N287" s="1128"/>
      <c r="O287" s="1128"/>
      <c r="P287" s="1128"/>
      <c r="Q287" s="1129"/>
    </row>
    <row r="288" spans="1:17" s="4" customFormat="1">
      <c r="A288" s="1227"/>
      <c r="B288" s="1201"/>
      <c r="C288" s="1189"/>
      <c r="D288" s="10">
        <v>0.22</v>
      </c>
      <c r="E288" s="10">
        <v>6</v>
      </c>
      <c r="F288" s="10">
        <v>2001</v>
      </c>
      <c r="G288" s="10">
        <v>3000</v>
      </c>
      <c r="H288" s="549">
        <v>2.0019999999999998</v>
      </c>
      <c r="I288" s="429"/>
      <c r="J288" s="378">
        <f t="shared" si="36"/>
        <v>0</v>
      </c>
      <c r="K288" s="439"/>
      <c r="L288" s="440">
        <f t="shared" ref="L288:L297" si="37">J288</f>
        <v>0</v>
      </c>
      <c r="M288" s="772" t="s">
        <v>1146</v>
      </c>
      <c r="N288" s="1128"/>
      <c r="O288" s="1128"/>
      <c r="P288" s="1128"/>
      <c r="Q288" s="1129"/>
    </row>
    <row r="289" spans="1:17" s="4" customFormat="1">
      <c r="A289" s="1227"/>
      <c r="B289" s="1201"/>
      <c r="C289" s="1189"/>
      <c r="D289" s="10">
        <v>0.22</v>
      </c>
      <c r="E289" s="10">
        <v>6</v>
      </c>
      <c r="F289" s="10">
        <v>3001</v>
      </c>
      <c r="G289" s="10">
        <v>4000</v>
      </c>
      <c r="H289" s="549">
        <v>2.4380000000000002</v>
      </c>
      <c r="I289" s="429"/>
      <c r="J289" s="378">
        <f t="shared" si="36"/>
        <v>0</v>
      </c>
      <c r="K289" s="439"/>
      <c r="L289" s="440">
        <f t="shared" si="37"/>
        <v>0</v>
      </c>
      <c r="M289" s="772" t="s">
        <v>1146</v>
      </c>
      <c r="N289" s="1128"/>
      <c r="O289" s="1128"/>
      <c r="P289" s="1128"/>
      <c r="Q289" s="1129"/>
    </row>
    <row r="290" spans="1:17" s="4" customFormat="1">
      <c r="A290" s="1227"/>
      <c r="B290" s="1201"/>
      <c r="C290" s="1189"/>
      <c r="D290" s="10">
        <v>0.22</v>
      </c>
      <c r="E290" s="10">
        <v>6</v>
      </c>
      <c r="F290" s="10">
        <v>4001</v>
      </c>
      <c r="G290" s="10">
        <v>5000</v>
      </c>
      <c r="H290" s="549">
        <v>2.746</v>
      </c>
      <c r="I290" s="429"/>
      <c r="J290" s="378">
        <f t="shared" si="36"/>
        <v>0</v>
      </c>
      <c r="K290" s="439"/>
      <c r="L290" s="440">
        <f t="shared" si="37"/>
        <v>0</v>
      </c>
      <c r="M290" s="772" t="s">
        <v>1146</v>
      </c>
      <c r="N290" s="1128"/>
      <c r="O290" s="1128"/>
      <c r="P290" s="1128"/>
      <c r="Q290" s="1129"/>
    </row>
    <row r="291" spans="1:17" s="4" customFormat="1">
      <c r="A291" s="1227"/>
      <c r="B291" s="1201"/>
      <c r="C291" s="1189"/>
      <c r="D291" s="10">
        <v>0.22</v>
      </c>
      <c r="E291" s="10">
        <v>6</v>
      </c>
      <c r="F291" s="10">
        <v>5001</v>
      </c>
      <c r="G291" s="10">
        <v>6000</v>
      </c>
      <c r="H291" s="549">
        <v>2.9980000000000002</v>
      </c>
      <c r="I291" s="429"/>
      <c r="J291" s="378">
        <f t="shared" si="36"/>
        <v>0</v>
      </c>
      <c r="K291" s="439"/>
      <c r="L291" s="440">
        <f t="shared" si="37"/>
        <v>0</v>
      </c>
      <c r="M291" s="772" t="s">
        <v>1146</v>
      </c>
      <c r="N291" s="1128"/>
      <c r="O291" s="1128"/>
      <c r="P291" s="1128"/>
      <c r="Q291" s="1129"/>
    </row>
    <row r="292" spans="1:17" s="4" customFormat="1">
      <c r="A292" s="1227"/>
      <c r="B292" s="1201"/>
      <c r="C292" s="1189"/>
      <c r="D292" s="10">
        <v>0.22</v>
      </c>
      <c r="E292" s="10">
        <v>6</v>
      </c>
      <c r="F292" s="10">
        <v>6001</v>
      </c>
      <c r="G292" s="10">
        <v>7000</v>
      </c>
      <c r="H292" s="549">
        <v>3.234</v>
      </c>
      <c r="I292" s="429"/>
      <c r="J292" s="378">
        <f t="shared" si="36"/>
        <v>0</v>
      </c>
      <c r="K292" s="439"/>
      <c r="L292" s="440">
        <f t="shared" si="37"/>
        <v>0</v>
      </c>
      <c r="M292" s="772" t="s">
        <v>1146</v>
      </c>
      <c r="N292" s="1128"/>
      <c r="O292" s="1128"/>
      <c r="P292" s="1128"/>
      <c r="Q292" s="1129"/>
    </row>
    <row r="293" spans="1:17" s="4" customFormat="1">
      <c r="A293" s="1227"/>
      <c r="B293" s="1201"/>
      <c r="C293" s="1189"/>
      <c r="D293" s="10">
        <v>0.22</v>
      </c>
      <c r="E293" s="10">
        <v>6</v>
      </c>
      <c r="F293" s="10">
        <v>7001</v>
      </c>
      <c r="G293" s="10">
        <v>8000</v>
      </c>
      <c r="H293" s="549">
        <v>3.4849999999999999</v>
      </c>
      <c r="I293" s="429"/>
      <c r="J293" s="378">
        <f t="shared" si="36"/>
        <v>0</v>
      </c>
      <c r="K293" s="439"/>
      <c r="L293" s="440">
        <f t="shared" si="37"/>
        <v>0</v>
      </c>
      <c r="M293" s="772" t="s">
        <v>1146</v>
      </c>
      <c r="N293" s="1128"/>
      <c r="O293" s="1128"/>
      <c r="P293" s="1128"/>
      <c r="Q293" s="1129"/>
    </row>
    <row r="294" spans="1:17" s="4" customFormat="1">
      <c r="A294" s="1227"/>
      <c r="B294" s="1201"/>
      <c r="C294" s="1189"/>
      <c r="D294" s="10">
        <v>0.22</v>
      </c>
      <c r="E294" s="10">
        <v>6</v>
      </c>
      <c r="F294" s="10">
        <v>8001</v>
      </c>
      <c r="G294" s="10">
        <v>9000</v>
      </c>
      <c r="H294" s="549">
        <v>3.669</v>
      </c>
      <c r="I294" s="429"/>
      <c r="J294" s="378">
        <f t="shared" si="36"/>
        <v>0</v>
      </c>
      <c r="K294" s="439"/>
      <c r="L294" s="440">
        <f t="shared" si="37"/>
        <v>0</v>
      </c>
      <c r="M294" s="772" t="s">
        <v>1146</v>
      </c>
      <c r="N294" s="1128"/>
      <c r="O294" s="1128"/>
      <c r="P294" s="1128"/>
      <c r="Q294" s="1129"/>
    </row>
    <row r="295" spans="1:17" s="4" customFormat="1">
      <c r="A295" s="1227"/>
      <c r="B295" s="1201"/>
      <c r="C295" s="1189"/>
      <c r="D295" s="10">
        <v>0.22</v>
      </c>
      <c r="E295" s="10">
        <v>6</v>
      </c>
      <c r="F295" s="10">
        <v>9001</v>
      </c>
      <c r="G295" s="10">
        <v>11000</v>
      </c>
      <c r="H295" s="549">
        <v>4.0948000000000002</v>
      </c>
      <c r="I295" s="429"/>
      <c r="J295" s="378">
        <f t="shared" si="36"/>
        <v>0</v>
      </c>
      <c r="K295" s="439"/>
      <c r="L295" s="440">
        <f t="shared" si="37"/>
        <v>0</v>
      </c>
      <c r="M295" s="772" t="s">
        <v>1146</v>
      </c>
      <c r="N295" s="1128"/>
      <c r="O295" s="1128"/>
      <c r="P295" s="1128"/>
      <c r="Q295" s="1129"/>
    </row>
    <row r="296" spans="1:17" s="4" customFormat="1">
      <c r="A296" s="1227"/>
      <c r="B296" s="1201"/>
      <c r="C296" s="1189"/>
      <c r="D296" s="10">
        <v>0.22</v>
      </c>
      <c r="E296" s="10">
        <v>6</v>
      </c>
      <c r="F296" s="10">
        <v>11001</v>
      </c>
      <c r="G296" s="10">
        <v>13000</v>
      </c>
      <c r="H296" s="549">
        <v>4.6340000000000003</v>
      </c>
      <c r="I296" s="429"/>
      <c r="J296" s="378">
        <f t="shared" si="36"/>
        <v>0</v>
      </c>
      <c r="K296" s="439"/>
      <c r="L296" s="440">
        <f t="shared" si="37"/>
        <v>0</v>
      </c>
      <c r="M296" s="772" t="s">
        <v>1146</v>
      </c>
      <c r="N296" s="1128"/>
      <c r="O296" s="1128"/>
      <c r="P296" s="1128"/>
      <c r="Q296" s="1129"/>
    </row>
    <row r="297" spans="1:17" s="4" customFormat="1">
      <c r="A297" s="1227"/>
      <c r="B297" s="1201"/>
      <c r="C297" s="1189"/>
      <c r="D297" s="10">
        <v>0.22</v>
      </c>
      <c r="E297" s="10">
        <v>6</v>
      </c>
      <c r="F297" s="10">
        <v>13001</v>
      </c>
      <c r="G297" s="10">
        <v>15000</v>
      </c>
      <c r="H297" s="549">
        <v>5.3419999999999996</v>
      </c>
      <c r="I297" s="429"/>
      <c r="J297" s="378">
        <f t="shared" si="36"/>
        <v>0</v>
      </c>
      <c r="K297" s="439"/>
      <c r="L297" s="440">
        <f t="shared" si="37"/>
        <v>0</v>
      </c>
      <c r="M297" s="772" t="s">
        <v>1146</v>
      </c>
      <c r="N297" s="1128"/>
      <c r="O297" s="1128"/>
      <c r="P297" s="1128"/>
      <c r="Q297" s="1129"/>
    </row>
    <row r="298" spans="1:17" s="4" customFormat="1">
      <c r="A298" s="1228"/>
      <c r="B298" s="1202"/>
      <c r="C298" s="1189"/>
      <c r="D298" s="306">
        <v>0.22</v>
      </c>
      <c r="E298" s="306">
        <v>6</v>
      </c>
      <c r="F298" s="306">
        <v>15001</v>
      </c>
      <c r="G298" s="306">
        <v>17000</v>
      </c>
      <c r="H298" s="708">
        <f>H297-H296+H297</f>
        <v>6.0499999999999989</v>
      </c>
      <c r="I298" s="667"/>
      <c r="J298" s="378">
        <f>+I298*H298</f>
        <v>0</v>
      </c>
      <c r="K298" s="439"/>
      <c r="L298" s="440">
        <f t="shared" ref="L298:L305" si="38">J298</f>
        <v>0</v>
      </c>
      <c r="M298" s="772" t="s">
        <v>1146</v>
      </c>
      <c r="N298" s="1128"/>
      <c r="O298" s="1128"/>
      <c r="P298" s="1128"/>
      <c r="Q298" s="1129"/>
    </row>
    <row r="299" spans="1:17" s="4" customFormat="1">
      <c r="A299" s="1228"/>
      <c r="B299" s="1202"/>
      <c r="C299" s="1189"/>
      <c r="D299" s="306">
        <v>0.22</v>
      </c>
      <c r="E299" s="306">
        <v>6</v>
      </c>
      <c r="F299" s="306">
        <v>17001</v>
      </c>
      <c r="G299" s="306">
        <v>19000</v>
      </c>
      <c r="H299" s="708">
        <f>H298-H297+H298</f>
        <v>6.7579999999999982</v>
      </c>
      <c r="I299" s="667"/>
      <c r="J299" s="378">
        <f>+I299*H299</f>
        <v>0</v>
      </c>
      <c r="K299" s="439"/>
      <c r="L299" s="440">
        <f t="shared" si="38"/>
        <v>0</v>
      </c>
      <c r="M299" s="772" t="s">
        <v>1146</v>
      </c>
      <c r="N299" s="1128"/>
      <c r="O299" s="1128"/>
      <c r="P299" s="1128"/>
      <c r="Q299" s="1129"/>
    </row>
    <row r="300" spans="1:17" s="4" customFormat="1">
      <c r="A300" s="1228"/>
      <c r="B300" s="1202"/>
      <c r="C300" s="1189"/>
      <c r="D300" s="306"/>
      <c r="E300" s="306"/>
      <c r="F300" s="306"/>
      <c r="G300" s="306"/>
      <c r="H300" s="668"/>
      <c r="I300" s="667"/>
      <c r="J300" s="378">
        <f>+I300*H300</f>
        <v>0</v>
      </c>
      <c r="K300" s="439"/>
      <c r="L300" s="440">
        <f t="shared" si="38"/>
        <v>0</v>
      </c>
      <c r="M300" s="434"/>
      <c r="N300" s="1128"/>
      <c r="O300" s="1128"/>
      <c r="P300" s="1128"/>
      <c r="Q300" s="1129"/>
    </row>
    <row r="301" spans="1:17" s="4" customFormat="1">
      <c r="A301" s="1228"/>
      <c r="B301" s="1202"/>
      <c r="C301" s="1189"/>
      <c r="D301" s="306"/>
      <c r="E301" s="306"/>
      <c r="F301" s="306"/>
      <c r="G301" s="306"/>
      <c r="H301" s="668"/>
      <c r="I301" s="667"/>
      <c r="J301" s="378">
        <f>+I301*H301</f>
        <v>0</v>
      </c>
      <c r="K301" s="439"/>
      <c r="L301" s="440">
        <f t="shared" si="38"/>
        <v>0</v>
      </c>
      <c r="M301" s="434"/>
      <c r="N301" s="1128"/>
      <c r="O301" s="1128"/>
      <c r="P301" s="1128"/>
      <c r="Q301" s="1129"/>
    </row>
    <row r="302" spans="1:17" s="4" customFormat="1" ht="13.8" thickBot="1">
      <c r="A302" s="1229"/>
      <c r="B302" s="1203"/>
      <c r="C302" s="1198"/>
      <c r="D302" s="428"/>
      <c r="E302" s="428"/>
      <c r="F302" s="428"/>
      <c r="G302" s="428"/>
      <c r="H302" s="5"/>
      <c r="I302" s="428"/>
      <c r="J302" s="378">
        <f>+I302*H302</f>
        <v>0</v>
      </c>
      <c r="K302" s="439"/>
      <c r="L302" s="440">
        <f t="shared" si="38"/>
        <v>0</v>
      </c>
      <c r="M302" s="434"/>
      <c r="N302" s="1128"/>
      <c r="O302" s="1128"/>
      <c r="P302" s="1128"/>
      <c r="Q302" s="1129"/>
    </row>
    <row r="303" spans="1:17" s="4" customFormat="1" ht="12.75" customHeight="1">
      <c r="A303" s="1219" t="s">
        <v>742</v>
      </c>
      <c r="B303" s="1179" t="s">
        <v>122</v>
      </c>
      <c r="C303" s="1188" t="s">
        <v>560</v>
      </c>
      <c r="D303" s="406">
        <v>0.22</v>
      </c>
      <c r="E303" s="406">
        <v>6</v>
      </c>
      <c r="F303" s="406">
        <v>60</v>
      </c>
      <c r="G303" s="406">
        <v>100</v>
      </c>
      <c r="H303" s="549">
        <v>1.5580000000000001</v>
      </c>
      <c r="I303" s="436"/>
      <c r="J303" s="8">
        <f t="shared" si="36"/>
        <v>0</v>
      </c>
      <c r="K303" s="441"/>
      <c r="L303" s="442">
        <f t="shared" si="38"/>
        <v>0</v>
      </c>
      <c r="M303" s="772" t="s">
        <v>1146</v>
      </c>
      <c r="N303" s="1128"/>
      <c r="O303" s="1128"/>
      <c r="P303" s="1128"/>
      <c r="Q303" s="1129"/>
    </row>
    <row r="304" spans="1:17" s="4" customFormat="1" ht="12.75" customHeight="1">
      <c r="A304" s="1220"/>
      <c r="B304" s="1180"/>
      <c r="C304" s="1189"/>
      <c r="D304" s="406">
        <v>0.22</v>
      </c>
      <c r="E304" s="406">
        <v>6</v>
      </c>
      <c r="F304" s="406">
        <v>101</v>
      </c>
      <c r="G304" s="406">
        <v>1000</v>
      </c>
      <c r="H304" s="549">
        <v>1.5580000000000001</v>
      </c>
      <c r="I304" s="436"/>
      <c r="J304" s="361">
        <f t="shared" si="36"/>
        <v>0</v>
      </c>
      <c r="K304" s="441"/>
      <c r="L304" s="442">
        <f t="shared" si="38"/>
        <v>0</v>
      </c>
      <c r="M304" s="772" t="s">
        <v>1146</v>
      </c>
      <c r="N304" s="1128"/>
      <c r="O304" s="1128"/>
      <c r="P304" s="1128"/>
      <c r="Q304" s="1129"/>
    </row>
    <row r="305" spans="1:17" s="4" customFormat="1" ht="12.75" customHeight="1">
      <c r="A305" s="1220"/>
      <c r="B305" s="1180"/>
      <c r="C305" s="1189"/>
      <c r="D305" s="10">
        <v>0.22</v>
      </c>
      <c r="E305" s="10">
        <v>6</v>
      </c>
      <c r="F305" s="10">
        <v>1001</v>
      </c>
      <c r="G305" s="10">
        <v>2000</v>
      </c>
      <c r="H305" s="549">
        <v>1.788</v>
      </c>
      <c r="I305" s="429"/>
      <c r="J305" s="378">
        <f t="shared" si="36"/>
        <v>0</v>
      </c>
      <c r="K305" s="439"/>
      <c r="L305" s="440">
        <f t="shared" si="38"/>
        <v>0</v>
      </c>
      <c r="M305" s="772" t="s">
        <v>1146</v>
      </c>
      <c r="N305" s="1128"/>
      <c r="O305" s="1128"/>
      <c r="P305" s="1128"/>
      <c r="Q305" s="1129"/>
    </row>
    <row r="306" spans="1:17" s="4" customFormat="1">
      <c r="A306" s="1220"/>
      <c r="B306" s="1180"/>
      <c r="C306" s="1189"/>
      <c r="D306" s="10">
        <v>0.22</v>
      </c>
      <c r="E306" s="10">
        <v>6</v>
      </c>
      <c r="F306" s="10">
        <v>2001</v>
      </c>
      <c r="G306" s="10">
        <v>3000</v>
      </c>
      <c r="H306" s="549">
        <v>2.0299999999999998</v>
      </c>
      <c r="I306" s="429"/>
      <c r="J306" s="378">
        <f t="shared" si="36"/>
        <v>0</v>
      </c>
      <c r="K306" s="439"/>
      <c r="L306" s="440">
        <f t="shared" ref="L306:L315" si="39">J306</f>
        <v>0</v>
      </c>
      <c r="M306" s="772" t="s">
        <v>1146</v>
      </c>
      <c r="N306" s="1128"/>
      <c r="O306" s="1128"/>
      <c r="P306" s="1128"/>
      <c r="Q306" s="1129"/>
    </row>
    <row r="307" spans="1:17" s="4" customFormat="1" ht="12.75" customHeight="1">
      <c r="A307" s="1220"/>
      <c r="B307" s="1180"/>
      <c r="C307" s="1189"/>
      <c r="D307" s="10">
        <v>0.22</v>
      </c>
      <c r="E307" s="10">
        <v>6</v>
      </c>
      <c r="F307" s="10">
        <v>3001</v>
      </c>
      <c r="G307" s="10">
        <v>4000</v>
      </c>
      <c r="H307" s="549">
        <v>2.3559999999999999</v>
      </c>
      <c r="I307" s="429"/>
      <c r="J307" s="378">
        <f t="shared" si="36"/>
        <v>0</v>
      </c>
      <c r="K307" s="439"/>
      <c r="L307" s="440">
        <f t="shared" si="39"/>
        <v>0</v>
      </c>
      <c r="M307" s="772" t="s">
        <v>1146</v>
      </c>
      <c r="N307" s="1128"/>
      <c r="O307" s="1128"/>
      <c r="P307" s="1128"/>
      <c r="Q307" s="1129"/>
    </row>
    <row r="308" spans="1:17" s="4" customFormat="1">
      <c r="A308" s="1220"/>
      <c r="B308" s="1180"/>
      <c r="C308" s="1189"/>
      <c r="D308" s="10">
        <v>0.22</v>
      </c>
      <c r="E308" s="10">
        <v>6</v>
      </c>
      <c r="F308" s="10">
        <v>4001</v>
      </c>
      <c r="G308" s="10">
        <v>5000</v>
      </c>
      <c r="H308" s="549">
        <v>2.7160000000000002</v>
      </c>
      <c r="I308" s="429"/>
      <c r="J308" s="378">
        <f t="shared" si="36"/>
        <v>0</v>
      </c>
      <c r="K308" s="439"/>
      <c r="L308" s="440">
        <f t="shared" si="39"/>
        <v>0</v>
      </c>
      <c r="M308" s="772" t="s">
        <v>1146</v>
      </c>
      <c r="N308" s="1128"/>
      <c r="O308" s="1128"/>
      <c r="P308" s="1128"/>
      <c r="Q308" s="1129"/>
    </row>
    <row r="309" spans="1:17" s="4" customFormat="1" ht="12.75" customHeight="1">
      <c r="A309" s="1220"/>
      <c r="B309" s="1180"/>
      <c r="C309" s="1189"/>
      <c r="D309" s="10">
        <v>0.22</v>
      </c>
      <c r="E309" s="10">
        <v>6</v>
      </c>
      <c r="F309" s="10">
        <v>5001</v>
      </c>
      <c r="G309" s="10">
        <v>6000</v>
      </c>
      <c r="H309" s="549">
        <v>3.1160000000000001</v>
      </c>
      <c r="I309" s="429"/>
      <c r="J309" s="378">
        <f t="shared" si="36"/>
        <v>0</v>
      </c>
      <c r="K309" s="439"/>
      <c r="L309" s="440">
        <f t="shared" si="39"/>
        <v>0</v>
      </c>
      <c r="M309" s="772" t="s">
        <v>1146</v>
      </c>
      <c r="N309" s="1128"/>
      <c r="O309" s="1128"/>
      <c r="P309" s="1128"/>
      <c r="Q309" s="1129"/>
    </row>
    <row r="310" spans="1:17" s="4" customFormat="1">
      <c r="A310" s="1220"/>
      <c r="B310" s="1180"/>
      <c r="C310" s="1189"/>
      <c r="D310" s="10">
        <v>0.22</v>
      </c>
      <c r="E310" s="10">
        <v>6</v>
      </c>
      <c r="F310" s="10">
        <v>6001</v>
      </c>
      <c r="G310" s="10">
        <v>7000</v>
      </c>
      <c r="H310" s="549">
        <v>3.4060000000000001</v>
      </c>
      <c r="I310" s="429"/>
      <c r="J310" s="378">
        <f t="shared" si="36"/>
        <v>0</v>
      </c>
      <c r="K310" s="439"/>
      <c r="L310" s="440">
        <f t="shared" si="39"/>
        <v>0</v>
      </c>
      <c r="M310" s="772" t="s">
        <v>1146</v>
      </c>
      <c r="N310" s="1128"/>
      <c r="O310" s="1128"/>
      <c r="P310" s="1128"/>
      <c r="Q310" s="1129"/>
    </row>
    <row r="311" spans="1:17" s="4" customFormat="1" ht="12.75" customHeight="1">
      <c r="A311" s="1220"/>
      <c r="B311" s="1180"/>
      <c r="C311" s="1189"/>
      <c r="D311" s="10">
        <v>0.22</v>
      </c>
      <c r="E311" s="10">
        <v>6</v>
      </c>
      <c r="F311" s="10">
        <v>7001</v>
      </c>
      <c r="G311" s="10">
        <v>8000</v>
      </c>
      <c r="H311" s="549">
        <v>3.673</v>
      </c>
      <c r="I311" s="429"/>
      <c r="J311" s="378">
        <f t="shared" si="36"/>
        <v>0</v>
      </c>
      <c r="K311" s="439"/>
      <c r="L311" s="440">
        <f t="shared" si="39"/>
        <v>0</v>
      </c>
      <c r="M311" s="772" t="s">
        <v>1146</v>
      </c>
      <c r="N311" s="1128"/>
      <c r="O311" s="1128"/>
      <c r="P311" s="1128"/>
      <c r="Q311" s="1129"/>
    </row>
    <row r="312" spans="1:17" s="4" customFormat="1" ht="12.75" customHeight="1">
      <c r="A312" s="1220"/>
      <c r="B312" s="1180"/>
      <c r="C312" s="1189"/>
      <c r="D312" s="10">
        <v>0.22</v>
      </c>
      <c r="E312" s="10">
        <v>6</v>
      </c>
      <c r="F312" s="10">
        <v>8001</v>
      </c>
      <c r="G312" s="10">
        <v>9000</v>
      </c>
      <c r="H312" s="549">
        <v>3.9790000000000001</v>
      </c>
      <c r="I312" s="429"/>
      <c r="J312" s="378">
        <f t="shared" si="36"/>
        <v>0</v>
      </c>
      <c r="K312" s="439"/>
      <c r="L312" s="440">
        <f t="shared" si="39"/>
        <v>0</v>
      </c>
      <c r="M312" s="772" t="s">
        <v>1146</v>
      </c>
      <c r="N312" s="1128"/>
      <c r="O312" s="1128"/>
      <c r="P312" s="1128"/>
      <c r="Q312" s="1129"/>
    </row>
    <row r="313" spans="1:17" s="4" customFormat="1" ht="12.75" customHeight="1">
      <c r="A313" s="1220"/>
      <c r="B313" s="1180"/>
      <c r="C313" s="1189"/>
      <c r="D313" s="10">
        <v>0.22</v>
      </c>
      <c r="E313" s="10">
        <v>6</v>
      </c>
      <c r="F313" s="10">
        <v>9001</v>
      </c>
      <c r="G313" s="10">
        <v>11000</v>
      </c>
      <c r="H313" s="549">
        <v>4.4749999999999996</v>
      </c>
      <c r="I313" s="429"/>
      <c r="J313" s="378">
        <f t="shared" si="36"/>
        <v>0</v>
      </c>
      <c r="K313" s="439"/>
      <c r="L313" s="440">
        <f t="shared" si="39"/>
        <v>0</v>
      </c>
      <c r="M313" s="772" t="s">
        <v>1146</v>
      </c>
      <c r="N313" s="1128"/>
      <c r="O313" s="1128"/>
      <c r="P313" s="1128"/>
      <c r="Q313" s="1129"/>
    </row>
    <row r="314" spans="1:17" s="4" customFormat="1" ht="12.75" customHeight="1">
      <c r="A314" s="1220"/>
      <c r="B314" s="1180"/>
      <c r="C314" s="1189"/>
      <c r="D314" s="10">
        <v>0.22</v>
      </c>
      <c r="E314" s="10">
        <v>6</v>
      </c>
      <c r="F314" s="10">
        <v>11001</v>
      </c>
      <c r="G314" s="10">
        <v>13000</v>
      </c>
      <c r="H314" s="549">
        <v>5.1120000000000001</v>
      </c>
      <c r="I314" s="429"/>
      <c r="J314" s="378">
        <f t="shared" si="36"/>
        <v>0</v>
      </c>
      <c r="K314" s="439"/>
      <c r="L314" s="440">
        <f t="shared" si="39"/>
        <v>0</v>
      </c>
      <c r="M314" s="772" t="s">
        <v>1146</v>
      </c>
      <c r="N314" s="1128"/>
      <c r="O314" s="1128"/>
      <c r="P314" s="1128"/>
      <c r="Q314" s="1129"/>
    </row>
    <row r="315" spans="1:17" s="4" customFormat="1" ht="12.75" customHeight="1">
      <c r="A315" s="1220"/>
      <c r="B315" s="1180"/>
      <c r="C315" s="1189"/>
      <c r="D315" s="10">
        <v>0.22</v>
      </c>
      <c r="E315" s="10">
        <v>6</v>
      </c>
      <c r="F315" s="10">
        <v>13001</v>
      </c>
      <c r="G315" s="10">
        <v>15000</v>
      </c>
      <c r="H315" s="549">
        <v>5.9610000000000003</v>
      </c>
      <c r="I315" s="429"/>
      <c r="J315" s="378">
        <f t="shared" si="36"/>
        <v>0</v>
      </c>
      <c r="K315" s="439"/>
      <c r="L315" s="440">
        <f t="shared" si="39"/>
        <v>0</v>
      </c>
      <c r="M315" s="772" t="s">
        <v>1146</v>
      </c>
      <c r="N315" s="1128"/>
      <c r="O315" s="1128"/>
      <c r="P315" s="1128"/>
      <c r="Q315" s="1129"/>
    </row>
    <row r="316" spans="1:17" s="4" customFormat="1" ht="12.75" customHeight="1">
      <c r="A316" s="1220"/>
      <c r="B316" s="1180"/>
      <c r="C316" s="1189"/>
      <c r="D316" s="306">
        <v>0.22</v>
      </c>
      <c r="E316" s="306">
        <v>6</v>
      </c>
      <c r="F316" s="306">
        <v>15001</v>
      </c>
      <c r="G316" s="306">
        <v>17000</v>
      </c>
      <c r="H316" s="708">
        <f>H315-H314+H315</f>
        <v>6.8100000000000005</v>
      </c>
      <c r="I316" s="667"/>
      <c r="J316" s="378">
        <f>+I316*H316</f>
        <v>0</v>
      </c>
      <c r="K316" s="439"/>
      <c r="L316" s="440">
        <f t="shared" ref="L316:L329" si="40">J316</f>
        <v>0</v>
      </c>
      <c r="M316" s="772" t="s">
        <v>1146</v>
      </c>
      <c r="N316" s="1128"/>
      <c r="O316" s="1128"/>
      <c r="P316" s="1128"/>
      <c r="Q316" s="1129"/>
    </row>
    <row r="317" spans="1:17" s="4" customFormat="1" ht="12.75" customHeight="1">
      <c r="A317" s="1220"/>
      <c r="B317" s="1180"/>
      <c r="C317" s="1189"/>
      <c r="D317" s="306">
        <v>0.22</v>
      </c>
      <c r="E317" s="306">
        <v>6</v>
      </c>
      <c r="F317" s="306">
        <v>17001</v>
      </c>
      <c r="G317" s="306">
        <v>19000</v>
      </c>
      <c r="H317" s="708">
        <f>H316-H315+H316</f>
        <v>7.6590000000000007</v>
      </c>
      <c r="I317" s="667"/>
      <c r="J317" s="378">
        <f>+I317*H317</f>
        <v>0</v>
      </c>
      <c r="K317" s="439"/>
      <c r="L317" s="440">
        <f t="shared" si="40"/>
        <v>0</v>
      </c>
      <c r="M317" s="772" t="s">
        <v>1146</v>
      </c>
      <c r="N317" s="1128"/>
      <c r="O317" s="1128"/>
      <c r="P317" s="1128"/>
      <c r="Q317" s="1129"/>
    </row>
    <row r="318" spans="1:17" s="4" customFormat="1" ht="12.75" customHeight="1">
      <c r="A318" s="1220"/>
      <c r="B318" s="1180"/>
      <c r="C318" s="1189"/>
      <c r="D318" s="306"/>
      <c r="E318" s="306"/>
      <c r="F318" s="306"/>
      <c r="G318" s="306"/>
      <c r="H318" s="668"/>
      <c r="I318" s="667"/>
      <c r="J318" s="378">
        <f>+I318*H318</f>
        <v>0</v>
      </c>
      <c r="K318" s="439"/>
      <c r="L318" s="440">
        <f t="shared" si="40"/>
        <v>0</v>
      </c>
      <c r="M318" s="434"/>
      <c r="N318" s="1128"/>
      <c r="O318" s="1128"/>
      <c r="P318" s="1128"/>
      <c r="Q318" s="1129"/>
    </row>
    <row r="319" spans="1:17" s="4" customFormat="1" ht="12.75" customHeight="1">
      <c r="A319" s="1220"/>
      <c r="B319" s="1180"/>
      <c r="C319" s="1189"/>
      <c r="D319" s="306"/>
      <c r="E319" s="306"/>
      <c r="F319" s="306"/>
      <c r="G319" s="306"/>
      <c r="H319" s="668"/>
      <c r="I319" s="667"/>
      <c r="J319" s="378">
        <f>+I319*H319</f>
        <v>0</v>
      </c>
      <c r="K319" s="439"/>
      <c r="L319" s="440">
        <f t="shared" si="40"/>
        <v>0</v>
      </c>
      <c r="M319" s="434"/>
      <c r="N319" s="1128"/>
      <c r="O319" s="1128"/>
      <c r="P319" s="1128"/>
      <c r="Q319" s="1129"/>
    </row>
    <row r="320" spans="1:17" ht="11.25" customHeight="1" thickBot="1">
      <c r="A320" s="1221"/>
      <c r="B320" s="1181"/>
      <c r="C320" s="1198"/>
      <c r="D320" s="12"/>
      <c r="E320" s="12"/>
      <c r="F320" s="12"/>
      <c r="G320" s="12"/>
      <c r="H320" s="417"/>
      <c r="I320" s="75"/>
      <c r="J320" s="75">
        <f>+I320*H320</f>
        <v>0</v>
      </c>
      <c r="K320" s="439"/>
      <c r="L320" s="440">
        <f t="shared" si="40"/>
        <v>0</v>
      </c>
      <c r="Q320" s="1129"/>
    </row>
    <row r="321" spans="1:17" ht="12.6" customHeight="1">
      <c r="A321" s="1222" t="s">
        <v>780</v>
      </c>
      <c r="B321" s="1204" t="s">
        <v>830</v>
      </c>
      <c r="C321" s="1173" t="s">
        <v>783</v>
      </c>
      <c r="D321" s="553">
        <v>0.13</v>
      </c>
      <c r="E321" s="553">
        <v>6</v>
      </c>
      <c r="F321" s="553">
        <v>200</v>
      </c>
      <c r="G321" s="553">
        <v>500</v>
      </c>
      <c r="H321" s="498">
        <v>2.52</v>
      </c>
      <c r="I321" s="365"/>
      <c r="J321" s="491">
        <f t="shared" ref="J321:J335" si="41">+I321*H321</f>
        <v>0</v>
      </c>
      <c r="K321" s="503"/>
      <c r="L321" s="495">
        <f t="shared" si="40"/>
        <v>0</v>
      </c>
      <c r="M321" s="1" t="s">
        <v>1147</v>
      </c>
      <c r="Q321" s="1129"/>
    </row>
    <row r="322" spans="1:17" ht="12.6" customHeight="1">
      <c r="A322" s="1223"/>
      <c r="B322" s="1205"/>
      <c r="C322" s="1174"/>
      <c r="D322" s="306">
        <v>0.13</v>
      </c>
      <c r="E322" s="306">
        <v>6</v>
      </c>
      <c r="F322" s="306">
        <v>501</v>
      </c>
      <c r="G322" s="306">
        <v>1000</v>
      </c>
      <c r="H322" s="668">
        <v>2.44</v>
      </c>
      <c r="I322" s="667"/>
      <c r="J322" s="378">
        <f t="shared" si="41"/>
        <v>0</v>
      </c>
      <c r="K322" s="439"/>
      <c r="L322" s="440">
        <f t="shared" si="40"/>
        <v>0</v>
      </c>
      <c r="M322" s="1" t="s">
        <v>1147</v>
      </c>
      <c r="Q322" s="1129"/>
    </row>
    <row r="323" spans="1:17" ht="12.6" customHeight="1">
      <c r="A323" s="1223"/>
      <c r="B323" s="1205"/>
      <c r="C323" s="1174"/>
      <c r="D323" s="306">
        <v>0.13</v>
      </c>
      <c r="E323" s="306">
        <v>6</v>
      </c>
      <c r="F323" s="306">
        <v>1001</v>
      </c>
      <c r="G323" s="306">
        <v>1500</v>
      </c>
      <c r="H323" s="670">
        <v>2.6</v>
      </c>
      <c r="I323" s="667"/>
      <c r="J323" s="378">
        <f t="shared" si="41"/>
        <v>0</v>
      </c>
      <c r="K323" s="439"/>
      <c r="L323" s="440">
        <f t="shared" si="40"/>
        <v>0</v>
      </c>
      <c r="M323" s="1" t="s">
        <v>1147</v>
      </c>
      <c r="Q323" s="1129"/>
    </row>
    <row r="324" spans="1:17" ht="12.6" customHeight="1">
      <c r="A324" s="1223"/>
      <c r="B324" s="1205"/>
      <c r="C324" s="1174"/>
      <c r="D324" s="306"/>
      <c r="E324" s="306"/>
      <c r="F324" s="306"/>
      <c r="G324" s="306"/>
      <c r="H324" s="669"/>
      <c r="I324" s="667"/>
      <c r="J324" s="378">
        <f t="shared" si="41"/>
        <v>0</v>
      </c>
      <c r="K324" s="439"/>
      <c r="L324" s="440">
        <f t="shared" si="40"/>
        <v>0</v>
      </c>
      <c r="Q324" s="1129"/>
    </row>
    <row r="325" spans="1:17" ht="12.6" customHeight="1">
      <c r="A325" s="1223"/>
      <c r="B325" s="1205"/>
      <c r="C325" s="1174"/>
      <c r="D325" s="306"/>
      <c r="E325" s="306"/>
      <c r="F325" s="306"/>
      <c r="G325" s="306"/>
      <c r="H325" s="668"/>
      <c r="I325" s="667"/>
      <c r="J325" s="378">
        <f t="shared" si="41"/>
        <v>0</v>
      </c>
      <c r="K325" s="439"/>
      <c r="L325" s="440">
        <f t="shared" si="40"/>
        <v>0</v>
      </c>
      <c r="Q325" s="1129"/>
    </row>
    <row r="326" spans="1:17" ht="12.6" customHeight="1">
      <c r="A326" s="1223"/>
      <c r="B326" s="1205"/>
      <c r="C326" s="1174"/>
      <c r="D326" s="306"/>
      <c r="E326" s="306"/>
      <c r="F326" s="306"/>
      <c r="G326" s="306"/>
      <c r="H326" s="668"/>
      <c r="I326" s="667"/>
      <c r="J326" s="378">
        <f t="shared" si="41"/>
        <v>0</v>
      </c>
      <c r="K326" s="439"/>
      <c r="L326" s="440">
        <f t="shared" si="40"/>
        <v>0</v>
      </c>
      <c r="Q326" s="1129"/>
    </row>
    <row r="327" spans="1:17" ht="12.6" customHeight="1" thickBot="1">
      <c r="A327" s="1224"/>
      <c r="B327" s="1206"/>
      <c r="C327" s="1195"/>
      <c r="D327" s="554"/>
      <c r="E327" s="554"/>
      <c r="F327" s="554"/>
      <c r="G327" s="554"/>
      <c r="H327" s="518"/>
      <c r="I327" s="371"/>
      <c r="J327" s="371">
        <f t="shared" si="41"/>
        <v>0</v>
      </c>
      <c r="K327" s="504"/>
      <c r="L327" s="496">
        <f t="shared" si="40"/>
        <v>0</v>
      </c>
      <c r="Q327" s="1129"/>
    </row>
    <row r="328" spans="1:17" ht="15" customHeight="1">
      <c r="A328" s="1222" t="s">
        <v>781</v>
      </c>
      <c r="B328" s="1204" t="s">
        <v>831</v>
      </c>
      <c r="C328" s="1173" t="s">
        <v>783</v>
      </c>
      <c r="D328" s="553">
        <v>0.13</v>
      </c>
      <c r="E328" s="553">
        <v>6</v>
      </c>
      <c r="F328" s="553">
        <v>400</v>
      </c>
      <c r="G328" s="553">
        <v>1000</v>
      </c>
      <c r="H328" s="498">
        <v>3.38</v>
      </c>
      <c r="I328" s="365"/>
      <c r="J328" s="491">
        <f t="shared" si="41"/>
        <v>0</v>
      </c>
      <c r="K328" s="503"/>
      <c r="L328" s="495">
        <f t="shared" si="40"/>
        <v>0</v>
      </c>
      <c r="M328" s="1" t="s">
        <v>1147</v>
      </c>
      <c r="Q328" s="1129"/>
    </row>
    <row r="329" spans="1:17" ht="16.5" customHeight="1">
      <c r="A329" s="1223"/>
      <c r="B329" s="1205"/>
      <c r="C329" s="1194"/>
      <c r="D329" s="556">
        <v>0.13</v>
      </c>
      <c r="E329" s="556">
        <v>6</v>
      </c>
      <c r="F329" s="557">
        <v>1001</v>
      </c>
      <c r="G329" s="557">
        <v>1500</v>
      </c>
      <c r="H329" s="500">
        <v>3.48</v>
      </c>
      <c r="I329" s="493"/>
      <c r="J329" s="494">
        <f t="shared" si="41"/>
        <v>0</v>
      </c>
      <c r="K329" s="505"/>
      <c r="L329" s="497">
        <f t="shared" si="40"/>
        <v>0</v>
      </c>
      <c r="M329" s="1" t="s">
        <v>1147</v>
      </c>
      <c r="Q329" s="1129"/>
    </row>
    <row r="330" spans="1:17" ht="16.5" customHeight="1">
      <c r="A330" s="1223"/>
      <c r="B330" s="1205"/>
      <c r="C330" s="1194"/>
      <c r="D330" s="556">
        <v>0.13</v>
      </c>
      <c r="E330" s="556">
        <v>6</v>
      </c>
      <c r="F330" s="557">
        <v>1501</v>
      </c>
      <c r="G330" s="557">
        <v>2000</v>
      </c>
      <c r="H330" s="500">
        <v>3.78</v>
      </c>
      <c r="I330" s="493"/>
      <c r="J330" s="494">
        <f t="shared" si="41"/>
        <v>0</v>
      </c>
      <c r="K330" s="505"/>
      <c r="L330" s="497">
        <f t="shared" ref="L330:L335" si="42">J330</f>
        <v>0</v>
      </c>
      <c r="M330" s="1" t="s">
        <v>1147</v>
      </c>
      <c r="Q330" s="1129"/>
    </row>
    <row r="331" spans="1:17" ht="16.5" customHeight="1">
      <c r="A331" s="1223"/>
      <c r="B331" s="1205"/>
      <c r="C331" s="1194"/>
      <c r="D331" s="557"/>
      <c r="E331" s="557"/>
      <c r="F331" s="557"/>
      <c r="G331" s="557"/>
      <c r="H331" s="500"/>
      <c r="I331" s="493"/>
      <c r="J331" s="494">
        <f t="shared" si="41"/>
        <v>0</v>
      </c>
      <c r="K331" s="505"/>
      <c r="L331" s="497">
        <f t="shared" si="42"/>
        <v>0</v>
      </c>
      <c r="Q331" s="1129"/>
    </row>
    <row r="332" spans="1:17" ht="16.5" customHeight="1">
      <c r="A332" s="1223"/>
      <c r="B332" s="1205"/>
      <c r="C332" s="1194"/>
      <c r="D332" s="557"/>
      <c r="E332" s="557"/>
      <c r="F332" s="557"/>
      <c r="G332" s="557"/>
      <c r="H332" s="500"/>
      <c r="I332" s="493"/>
      <c r="J332" s="494">
        <f t="shared" si="41"/>
        <v>0</v>
      </c>
      <c r="K332" s="505"/>
      <c r="L332" s="497">
        <f t="shared" si="42"/>
        <v>0</v>
      </c>
      <c r="Q332" s="1129"/>
    </row>
    <row r="333" spans="1:17" ht="16.5" customHeight="1">
      <c r="A333" s="1223"/>
      <c r="B333" s="1205"/>
      <c r="C333" s="1194"/>
      <c r="D333" s="557"/>
      <c r="E333" s="557"/>
      <c r="F333" s="557"/>
      <c r="G333" s="557"/>
      <c r="H333" s="500"/>
      <c r="I333" s="493"/>
      <c r="J333" s="494">
        <f t="shared" si="41"/>
        <v>0</v>
      </c>
      <c r="K333" s="505"/>
      <c r="L333" s="497">
        <f t="shared" si="42"/>
        <v>0</v>
      </c>
      <c r="Q333" s="1129"/>
    </row>
    <row r="334" spans="1:17" ht="13.5" customHeight="1" thickBot="1">
      <c r="A334" s="1224"/>
      <c r="B334" s="1206"/>
      <c r="C334" s="1195"/>
      <c r="D334" s="554"/>
      <c r="E334" s="554"/>
      <c r="F334" s="554"/>
      <c r="G334" s="554"/>
      <c r="H334" s="499"/>
      <c r="I334" s="371"/>
      <c r="J334" s="371">
        <f t="shared" si="41"/>
        <v>0</v>
      </c>
      <c r="K334" s="504"/>
      <c r="L334" s="496">
        <f t="shared" si="42"/>
        <v>0</v>
      </c>
      <c r="Q334" s="1129"/>
    </row>
    <row r="335" spans="1:17" ht="45.75" customHeight="1" thickBot="1">
      <c r="A335" s="558" t="s">
        <v>815</v>
      </c>
      <c r="B335" s="559" t="s">
        <v>794</v>
      </c>
      <c r="C335" s="560" t="s">
        <v>795</v>
      </c>
      <c r="D335" s="561">
        <v>0.35</v>
      </c>
      <c r="E335" s="554">
        <v>5</v>
      </c>
      <c r="F335" s="554">
        <v>80</v>
      </c>
      <c r="G335" s="554">
        <v>1000</v>
      </c>
      <c r="H335" s="609">
        <v>1.5550999999999999</v>
      </c>
      <c r="I335" s="506"/>
      <c r="J335" s="491">
        <f t="shared" si="41"/>
        <v>0</v>
      </c>
      <c r="K335" s="502"/>
      <c r="L335" s="507">
        <f t="shared" si="42"/>
        <v>0</v>
      </c>
      <c r="M335" s="1" t="s">
        <v>1146</v>
      </c>
      <c r="Q335" s="1129"/>
    </row>
    <row r="336" spans="1:17" ht="12.75" customHeight="1">
      <c r="A336" s="1170" t="s">
        <v>125</v>
      </c>
      <c r="B336" s="1179" t="s">
        <v>126</v>
      </c>
      <c r="C336" s="1179" t="s">
        <v>563</v>
      </c>
      <c r="D336" s="7">
        <v>0.22</v>
      </c>
      <c r="E336" s="7">
        <v>6</v>
      </c>
      <c r="F336" s="7">
        <v>60</v>
      </c>
      <c r="G336" s="7">
        <v>100</v>
      </c>
      <c r="H336" s="580">
        <v>3.21</v>
      </c>
      <c r="I336" s="73"/>
      <c r="J336" s="8">
        <f t="shared" ref="J336:J353" si="43">+I336*H336</f>
        <v>0</v>
      </c>
      <c r="K336" s="211"/>
      <c r="L336" s="8">
        <f>IF(K336&gt;I336,"ERROR",(K336*H336)*0.1+J336)</f>
        <v>0</v>
      </c>
      <c r="M336" s="772" t="s">
        <v>1146</v>
      </c>
      <c r="Q336" s="1129"/>
    </row>
    <row r="337" spans="1:17" ht="12.75" customHeight="1">
      <c r="A337" s="1171"/>
      <c r="B337" s="1180"/>
      <c r="C337" s="1180"/>
      <c r="D337" s="406">
        <v>0.22</v>
      </c>
      <c r="E337" s="406">
        <v>6</v>
      </c>
      <c r="F337" s="406">
        <v>101</v>
      </c>
      <c r="G337" s="406">
        <v>1000</v>
      </c>
      <c r="H337" s="237">
        <v>3.21</v>
      </c>
      <c r="I337" s="219">
        <v>1</v>
      </c>
      <c r="J337" s="220">
        <f t="shared" si="43"/>
        <v>3.21</v>
      </c>
      <c r="K337" s="223"/>
      <c r="L337" s="220">
        <f>IF(K337&gt;I337,"ERROR",(K337*H337)*0.1+J337)</f>
        <v>3.21</v>
      </c>
      <c r="M337" s="772" t="s">
        <v>1146</v>
      </c>
      <c r="Q337" s="1129"/>
    </row>
    <row r="338" spans="1:17" ht="12.75" customHeight="1">
      <c r="A338" s="1171"/>
      <c r="B338" s="1180"/>
      <c r="C338" s="1186"/>
      <c r="D338" s="10">
        <v>0.22</v>
      </c>
      <c r="E338" s="10">
        <v>6</v>
      </c>
      <c r="F338" s="10">
        <v>1001</v>
      </c>
      <c r="G338" s="10">
        <v>2000</v>
      </c>
      <c r="H338" s="237">
        <v>3.35</v>
      </c>
      <c r="I338" s="74">
        <v>2</v>
      </c>
      <c r="J338" s="11">
        <f t="shared" si="43"/>
        <v>6.7</v>
      </c>
      <c r="K338" s="209"/>
      <c r="L338" s="11">
        <f>IF(K338&gt;I338,"ERROR",(K338*H338)*0.15+J338)</f>
        <v>6.7</v>
      </c>
      <c r="M338" s="772" t="s">
        <v>1146</v>
      </c>
      <c r="Q338" s="1129"/>
    </row>
    <row r="339" spans="1:17" ht="12.75" customHeight="1">
      <c r="A339" s="1171"/>
      <c r="B339" s="1180"/>
      <c r="C339" s="1186"/>
      <c r="D339" s="10">
        <v>0.22</v>
      </c>
      <c r="E339" s="10">
        <v>6</v>
      </c>
      <c r="F339" s="10">
        <v>2001</v>
      </c>
      <c r="G339" s="10">
        <v>3000</v>
      </c>
      <c r="H339" s="237">
        <v>3.44</v>
      </c>
      <c r="I339" s="74"/>
      <c r="J339" s="11">
        <f t="shared" si="43"/>
        <v>0</v>
      </c>
      <c r="K339" s="209"/>
      <c r="L339" s="11">
        <f>IF(K339&gt;I339,"ERROR",(K339*H339)*0.2+J339)</f>
        <v>0</v>
      </c>
      <c r="M339" s="772" t="s">
        <v>1146</v>
      </c>
      <c r="Q339" s="1129"/>
    </row>
    <row r="340" spans="1:17" ht="12.75" customHeight="1">
      <c r="A340" s="1171"/>
      <c r="B340" s="1180"/>
      <c r="C340" s="1186"/>
      <c r="D340" s="10">
        <v>0.22</v>
      </c>
      <c r="E340" s="10">
        <v>6</v>
      </c>
      <c r="F340" s="10">
        <v>3001</v>
      </c>
      <c r="G340" s="10">
        <v>4000</v>
      </c>
      <c r="H340" s="237">
        <v>3.5</v>
      </c>
      <c r="I340" s="74"/>
      <c r="J340" s="11">
        <f t="shared" si="43"/>
        <v>0</v>
      </c>
      <c r="K340" s="209"/>
      <c r="L340" s="11">
        <f>IF(K340&gt;I340,"ERROR",(K340*H340)*0.25+J340)</f>
        <v>0</v>
      </c>
      <c r="M340" s="772" t="s">
        <v>1146</v>
      </c>
      <c r="Q340" s="1129"/>
    </row>
    <row r="341" spans="1:17" ht="12.75" customHeight="1">
      <c r="A341" s="1171"/>
      <c r="B341" s="1180"/>
      <c r="C341" s="1186"/>
      <c r="D341" s="10">
        <v>0.22</v>
      </c>
      <c r="E341" s="10">
        <v>6</v>
      </c>
      <c r="F341" s="10">
        <v>4001</v>
      </c>
      <c r="G341" s="10">
        <v>5000</v>
      </c>
      <c r="H341" s="237">
        <v>3.55</v>
      </c>
      <c r="I341" s="74"/>
      <c r="J341" s="11">
        <f t="shared" si="43"/>
        <v>0</v>
      </c>
      <c r="K341" s="209"/>
      <c r="L341" s="11">
        <f t="shared" ref="L341:L353" si="44">IF(K341&gt;I341,"ERROR",(K341*H341)*0.3+J341)</f>
        <v>0</v>
      </c>
      <c r="M341" s="772" t="s">
        <v>1146</v>
      </c>
      <c r="Q341" s="1129"/>
    </row>
    <row r="342" spans="1:17" ht="12.75" customHeight="1">
      <c r="A342" s="1171"/>
      <c r="B342" s="1180"/>
      <c r="C342" s="1186"/>
      <c r="D342" s="10">
        <v>0.22</v>
      </c>
      <c r="E342" s="10">
        <v>6</v>
      </c>
      <c r="F342" s="10">
        <v>5001</v>
      </c>
      <c r="G342" s="10">
        <v>6000</v>
      </c>
      <c r="H342" s="237">
        <v>3.59</v>
      </c>
      <c r="I342" s="74"/>
      <c r="J342" s="11">
        <f t="shared" si="43"/>
        <v>0</v>
      </c>
      <c r="K342" s="209"/>
      <c r="L342" s="11">
        <f t="shared" si="44"/>
        <v>0</v>
      </c>
      <c r="M342" s="772" t="s">
        <v>1146</v>
      </c>
      <c r="Q342" s="1129"/>
    </row>
    <row r="343" spans="1:17" ht="12.75" customHeight="1">
      <c r="A343" s="1171"/>
      <c r="B343" s="1180"/>
      <c r="C343" s="1186"/>
      <c r="D343" s="10">
        <v>0.22</v>
      </c>
      <c r="E343" s="10">
        <v>6</v>
      </c>
      <c r="F343" s="10">
        <v>6001</v>
      </c>
      <c r="G343" s="10">
        <v>7000</v>
      </c>
      <c r="H343" s="237">
        <v>3.63</v>
      </c>
      <c r="I343" s="74"/>
      <c r="J343" s="11">
        <f t="shared" si="43"/>
        <v>0</v>
      </c>
      <c r="K343" s="209"/>
      <c r="L343" s="11">
        <f t="shared" si="44"/>
        <v>0</v>
      </c>
      <c r="M343" s="772" t="s">
        <v>1146</v>
      </c>
      <c r="Q343" s="1129"/>
    </row>
    <row r="344" spans="1:17" ht="12.75" customHeight="1">
      <c r="A344" s="1171"/>
      <c r="B344" s="1180"/>
      <c r="C344" s="1186"/>
      <c r="D344" s="10">
        <v>0.22</v>
      </c>
      <c r="E344" s="10">
        <v>6</v>
      </c>
      <c r="F344" s="10">
        <v>7001</v>
      </c>
      <c r="G344" s="10">
        <v>8000</v>
      </c>
      <c r="H344" s="237">
        <v>3.66</v>
      </c>
      <c r="I344" s="74"/>
      <c r="J344" s="11">
        <f t="shared" si="43"/>
        <v>0</v>
      </c>
      <c r="K344" s="209"/>
      <c r="L344" s="11">
        <f t="shared" si="44"/>
        <v>0</v>
      </c>
      <c r="M344" s="772" t="s">
        <v>1146</v>
      </c>
      <c r="Q344" s="1129"/>
    </row>
    <row r="345" spans="1:17" ht="12.75" customHeight="1">
      <c r="A345" s="1171"/>
      <c r="B345" s="1180"/>
      <c r="C345" s="1186"/>
      <c r="D345" s="10">
        <v>0.22</v>
      </c>
      <c r="E345" s="10">
        <v>6</v>
      </c>
      <c r="F345" s="10">
        <v>8001</v>
      </c>
      <c r="G345" s="10">
        <v>9000</v>
      </c>
      <c r="H345" s="237">
        <v>3.69</v>
      </c>
      <c r="I345" s="74"/>
      <c r="J345" s="11">
        <f t="shared" si="43"/>
        <v>0</v>
      </c>
      <c r="K345" s="209"/>
      <c r="L345" s="11">
        <f t="shared" si="44"/>
        <v>0</v>
      </c>
      <c r="M345" s="772" t="s">
        <v>1146</v>
      </c>
      <c r="Q345" s="1129"/>
    </row>
    <row r="346" spans="1:17" ht="12.75" customHeight="1">
      <c r="A346" s="1171"/>
      <c r="B346" s="1180"/>
      <c r="C346" s="1186"/>
      <c r="D346" s="10">
        <v>0.22</v>
      </c>
      <c r="E346" s="10">
        <v>6</v>
      </c>
      <c r="F346" s="10">
        <v>9001</v>
      </c>
      <c r="G346" s="10">
        <v>10000</v>
      </c>
      <c r="H346" s="237">
        <v>3.72</v>
      </c>
      <c r="I346" s="74"/>
      <c r="J346" s="11">
        <f t="shared" si="43"/>
        <v>0</v>
      </c>
      <c r="K346" s="209"/>
      <c r="L346" s="11">
        <f t="shared" si="44"/>
        <v>0</v>
      </c>
      <c r="M346" s="772" t="s">
        <v>1146</v>
      </c>
      <c r="Q346" s="1129"/>
    </row>
    <row r="347" spans="1:17" ht="12.75" customHeight="1">
      <c r="A347" s="1171"/>
      <c r="B347" s="1180"/>
      <c r="C347" s="1186"/>
      <c r="D347" s="10">
        <v>0.22</v>
      </c>
      <c r="E347" s="10">
        <v>6</v>
      </c>
      <c r="F347" s="10">
        <v>10001</v>
      </c>
      <c r="G347" s="10">
        <v>11000</v>
      </c>
      <c r="H347" s="237">
        <v>3.75</v>
      </c>
      <c r="I347" s="74"/>
      <c r="J347" s="11">
        <f t="shared" si="43"/>
        <v>0</v>
      </c>
      <c r="K347" s="209"/>
      <c r="L347" s="11">
        <f t="shared" si="44"/>
        <v>0</v>
      </c>
      <c r="M347" s="772" t="s">
        <v>1146</v>
      </c>
      <c r="Q347" s="1129"/>
    </row>
    <row r="348" spans="1:17" ht="12.75" customHeight="1">
      <c r="A348" s="1171"/>
      <c r="B348" s="1180"/>
      <c r="C348" s="1186"/>
      <c r="D348" s="10">
        <v>0.22</v>
      </c>
      <c r="E348" s="10">
        <v>6</v>
      </c>
      <c r="F348" s="10">
        <v>11001</v>
      </c>
      <c r="G348" s="10">
        <v>12000</v>
      </c>
      <c r="H348" s="237">
        <v>3.77</v>
      </c>
      <c r="I348" s="74"/>
      <c r="J348" s="11">
        <f t="shared" si="43"/>
        <v>0</v>
      </c>
      <c r="K348" s="209"/>
      <c r="L348" s="11">
        <f t="shared" si="44"/>
        <v>0</v>
      </c>
      <c r="M348" s="772" t="s">
        <v>1146</v>
      </c>
      <c r="Q348" s="1129"/>
    </row>
    <row r="349" spans="1:17" ht="12.75" customHeight="1">
      <c r="A349" s="1171"/>
      <c r="B349" s="1180"/>
      <c r="C349" s="1186"/>
      <c r="D349" s="10">
        <v>0.22</v>
      </c>
      <c r="E349" s="10">
        <v>6</v>
      </c>
      <c r="F349" s="306">
        <v>12001</v>
      </c>
      <c r="G349" s="306">
        <v>13000</v>
      </c>
      <c r="H349" s="307">
        <v>3.79</v>
      </c>
      <c r="I349" s="308"/>
      <c r="J349" s="11">
        <f t="shared" si="43"/>
        <v>0</v>
      </c>
      <c r="K349" s="209"/>
      <c r="L349" s="11">
        <f>IF(K349&gt;I349,"ERROR",(K349*H349)*0.3+J349)</f>
        <v>0</v>
      </c>
      <c r="M349" s="772" t="s">
        <v>1146</v>
      </c>
      <c r="Q349" s="1129"/>
    </row>
    <row r="350" spans="1:17" ht="12.75" customHeight="1">
      <c r="A350" s="1171"/>
      <c r="B350" s="1180"/>
      <c r="C350" s="1186"/>
      <c r="D350" s="306"/>
      <c r="E350" s="306"/>
      <c r="F350" s="306"/>
      <c r="G350" s="306"/>
      <c r="H350" s="307"/>
      <c r="I350" s="308"/>
      <c r="J350" s="11">
        <f t="shared" si="43"/>
        <v>0</v>
      </c>
      <c r="K350" s="209"/>
      <c r="L350" s="11">
        <f>IF(K350&gt;I350,"ERROR",(K350*H350)*0.3+J350)</f>
        <v>0</v>
      </c>
      <c r="Q350" s="1129"/>
    </row>
    <row r="351" spans="1:17" ht="12.75" customHeight="1">
      <c r="A351" s="1171"/>
      <c r="B351" s="1180"/>
      <c r="C351" s="1186"/>
      <c r="D351" s="306"/>
      <c r="E351" s="306"/>
      <c r="F351" s="306"/>
      <c r="G351" s="306"/>
      <c r="H351" s="307"/>
      <c r="I351" s="308"/>
      <c r="J351" s="11">
        <f t="shared" si="43"/>
        <v>0</v>
      </c>
      <c r="K351" s="209"/>
      <c r="L351" s="11">
        <f>IF(K351&gt;I351,"ERROR",(K351*H351)*0.3+J351)</f>
        <v>0</v>
      </c>
      <c r="Q351" s="1129"/>
    </row>
    <row r="352" spans="1:17" ht="12.75" customHeight="1">
      <c r="A352" s="1171"/>
      <c r="B352" s="1180"/>
      <c r="C352" s="1186"/>
      <c r="D352" s="306"/>
      <c r="E352" s="306"/>
      <c r="F352" s="306"/>
      <c r="G352" s="306"/>
      <c r="H352" s="307"/>
      <c r="I352" s="308"/>
      <c r="J352" s="11">
        <f t="shared" si="43"/>
        <v>0</v>
      </c>
      <c r="K352" s="209"/>
      <c r="L352" s="11">
        <f>IF(K352&gt;I352,"ERROR",(K352*H352)*0.3+J352)</f>
        <v>0</v>
      </c>
      <c r="Q352" s="1129"/>
    </row>
    <row r="353" spans="1:17" ht="13.5" customHeight="1" thickBot="1">
      <c r="A353" s="1172"/>
      <c r="B353" s="1181"/>
      <c r="C353" s="1187"/>
      <c r="D353" s="12"/>
      <c r="E353" s="12"/>
      <c r="F353" s="12"/>
      <c r="G353" s="12"/>
      <c r="H353" s="238"/>
      <c r="I353" s="75"/>
      <c r="J353" s="13">
        <f t="shared" si="43"/>
        <v>0</v>
      </c>
      <c r="K353" s="210"/>
      <c r="L353" s="13">
        <f t="shared" si="44"/>
        <v>0</v>
      </c>
      <c r="Q353" s="1129"/>
    </row>
    <row r="354" spans="1:17" ht="12.75" customHeight="1">
      <c r="A354" s="1170" t="s">
        <v>125</v>
      </c>
      <c r="B354" s="1179" t="s">
        <v>874</v>
      </c>
      <c r="C354" s="1179" t="s">
        <v>563</v>
      </c>
      <c r="D354" s="7">
        <v>0.22</v>
      </c>
      <c r="E354" s="7">
        <v>6</v>
      </c>
      <c r="F354" s="7">
        <v>60</v>
      </c>
      <c r="G354" s="7">
        <v>100</v>
      </c>
      <c r="H354" s="237">
        <v>3.5310000000000001</v>
      </c>
      <c r="I354" s="73"/>
      <c r="J354" s="8">
        <f t="shared" ref="J354:J371" si="45">+I354*H354</f>
        <v>0</v>
      </c>
      <c r="K354" s="211"/>
      <c r="L354" s="8">
        <f>IF(K354&gt;I354,"ERROR",(K354*H354)*0.1+J354)</f>
        <v>0</v>
      </c>
      <c r="M354" s="772" t="s">
        <v>1146</v>
      </c>
      <c r="Q354" s="1129"/>
    </row>
    <row r="355" spans="1:17" ht="12.75" customHeight="1">
      <c r="A355" s="1171"/>
      <c r="B355" s="1180"/>
      <c r="C355" s="1180"/>
      <c r="D355" s="406">
        <v>0.22</v>
      </c>
      <c r="E355" s="406">
        <v>6</v>
      </c>
      <c r="F355" s="406">
        <v>101</v>
      </c>
      <c r="G355" s="406">
        <v>1000</v>
      </c>
      <c r="H355" s="237">
        <v>3.5310000000000001</v>
      </c>
      <c r="I355" s="219"/>
      <c r="J355" s="220">
        <f t="shared" si="45"/>
        <v>0</v>
      </c>
      <c r="K355" s="223"/>
      <c r="L355" s="220">
        <f>IF(K355&gt;I355,"ERROR",(K355*H355)*0.1+J355)</f>
        <v>0</v>
      </c>
      <c r="M355" s="772" t="s">
        <v>1146</v>
      </c>
      <c r="Q355" s="1129"/>
    </row>
    <row r="356" spans="1:17" ht="12.75" customHeight="1">
      <c r="A356" s="1171"/>
      <c r="B356" s="1180"/>
      <c r="C356" s="1184"/>
      <c r="D356" s="10">
        <v>0.22</v>
      </c>
      <c r="E356" s="10">
        <v>6</v>
      </c>
      <c r="F356" s="10">
        <v>1001</v>
      </c>
      <c r="G356" s="10">
        <v>2000</v>
      </c>
      <c r="H356" s="237">
        <v>3.6850000000000005</v>
      </c>
      <c r="I356" s="74"/>
      <c r="J356" s="11">
        <f t="shared" si="45"/>
        <v>0</v>
      </c>
      <c r="K356" s="209"/>
      <c r="L356" s="11">
        <f>IF(K356&gt;I356,"ERROR",(K356*H356)*0.15+J356)</f>
        <v>0</v>
      </c>
      <c r="M356" s="772" t="s">
        <v>1146</v>
      </c>
      <c r="Q356" s="1129"/>
    </row>
    <row r="357" spans="1:17" ht="12.75" customHeight="1">
      <c r="A357" s="1171"/>
      <c r="B357" s="1180"/>
      <c r="C357" s="1184"/>
      <c r="D357" s="10">
        <v>0.22</v>
      </c>
      <c r="E357" s="10">
        <v>6</v>
      </c>
      <c r="F357" s="10">
        <v>2001</v>
      </c>
      <c r="G357" s="10">
        <v>3000</v>
      </c>
      <c r="H357" s="237">
        <v>3.7840000000000003</v>
      </c>
      <c r="I357" s="74"/>
      <c r="J357" s="11">
        <f t="shared" si="45"/>
        <v>0</v>
      </c>
      <c r="K357" s="209"/>
      <c r="L357" s="11">
        <f>IF(K357&gt;I357,"ERROR",(K357*H357)*0.2+J357)</f>
        <v>0</v>
      </c>
      <c r="M357" s="772" t="s">
        <v>1146</v>
      </c>
      <c r="Q357" s="1129"/>
    </row>
    <row r="358" spans="1:17" ht="12.75" customHeight="1">
      <c r="A358" s="1171"/>
      <c r="B358" s="1180"/>
      <c r="C358" s="1184"/>
      <c r="D358" s="10">
        <v>0.22</v>
      </c>
      <c r="E358" s="10">
        <v>6</v>
      </c>
      <c r="F358" s="10">
        <v>3001</v>
      </c>
      <c r="G358" s="10">
        <v>4000</v>
      </c>
      <c r="H358" s="237">
        <v>3.8500000000000005</v>
      </c>
      <c r="I358" s="74"/>
      <c r="J358" s="11">
        <f t="shared" si="45"/>
        <v>0</v>
      </c>
      <c r="K358" s="209"/>
      <c r="L358" s="11">
        <f>IF(K358&gt;I358,"ERROR",(K358*H358)*0.25+J358)</f>
        <v>0</v>
      </c>
      <c r="M358" s="772" t="s">
        <v>1146</v>
      </c>
      <c r="Q358" s="1129"/>
    </row>
    <row r="359" spans="1:17" ht="12.75" customHeight="1">
      <c r="A359" s="1171"/>
      <c r="B359" s="1180"/>
      <c r="C359" s="1184"/>
      <c r="D359" s="10">
        <v>0.22</v>
      </c>
      <c r="E359" s="10">
        <v>6</v>
      </c>
      <c r="F359" s="10">
        <v>4001</v>
      </c>
      <c r="G359" s="10">
        <v>5000</v>
      </c>
      <c r="H359" s="237">
        <v>3.9050000000000002</v>
      </c>
      <c r="I359" s="74"/>
      <c r="J359" s="11">
        <f t="shared" si="45"/>
        <v>0</v>
      </c>
      <c r="K359" s="209"/>
      <c r="L359" s="11">
        <f t="shared" ref="L359:L371" si="46">IF(K359&gt;I359,"ERROR",(K359*H359)*0.3+J359)</f>
        <v>0</v>
      </c>
      <c r="M359" s="772" t="s">
        <v>1146</v>
      </c>
      <c r="Q359" s="1129"/>
    </row>
    <row r="360" spans="1:17" ht="12.75" customHeight="1">
      <c r="A360" s="1171"/>
      <c r="B360" s="1180"/>
      <c r="C360" s="1184"/>
      <c r="D360" s="10">
        <v>0.22</v>
      </c>
      <c r="E360" s="10">
        <v>6</v>
      </c>
      <c r="F360" s="10">
        <v>5001</v>
      </c>
      <c r="G360" s="10">
        <v>6000</v>
      </c>
      <c r="H360" s="237">
        <v>3.9490000000000003</v>
      </c>
      <c r="I360" s="74"/>
      <c r="J360" s="11">
        <f t="shared" si="45"/>
        <v>0</v>
      </c>
      <c r="K360" s="209"/>
      <c r="L360" s="11">
        <f t="shared" si="46"/>
        <v>0</v>
      </c>
      <c r="M360" s="772" t="s">
        <v>1146</v>
      </c>
      <c r="Q360" s="1129"/>
    </row>
    <row r="361" spans="1:17" ht="12.75" customHeight="1">
      <c r="A361" s="1171"/>
      <c r="B361" s="1180"/>
      <c r="C361" s="1184"/>
      <c r="D361" s="10">
        <v>0.22</v>
      </c>
      <c r="E361" s="10">
        <v>6</v>
      </c>
      <c r="F361" s="10">
        <v>6001</v>
      </c>
      <c r="G361" s="10">
        <v>7000</v>
      </c>
      <c r="H361" s="237">
        <v>3.9930000000000003</v>
      </c>
      <c r="I361" s="74"/>
      <c r="J361" s="11">
        <f>+I361*H361</f>
        <v>0</v>
      </c>
      <c r="K361" s="209"/>
      <c r="L361" s="11">
        <f>IF(K361&gt;I361,"ERROR",(K361*H361)*0.3+J361)</f>
        <v>0</v>
      </c>
      <c r="M361" s="772" t="s">
        <v>1146</v>
      </c>
      <c r="Q361" s="1129"/>
    </row>
    <row r="362" spans="1:17" ht="12.75" customHeight="1">
      <c r="A362" s="1171"/>
      <c r="B362" s="1180"/>
      <c r="C362" s="1184"/>
      <c r="D362" s="10">
        <v>0.22</v>
      </c>
      <c r="E362" s="10">
        <v>6</v>
      </c>
      <c r="F362" s="10">
        <v>7001</v>
      </c>
      <c r="G362" s="10">
        <v>8000</v>
      </c>
      <c r="H362" s="237">
        <v>4.0260000000000007</v>
      </c>
      <c r="I362" s="74"/>
      <c r="J362" s="11">
        <f t="shared" si="45"/>
        <v>0</v>
      </c>
      <c r="K362" s="209"/>
      <c r="L362" s="11">
        <f t="shared" si="46"/>
        <v>0</v>
      </c>
      <c r="M362" s="772" t="s">
        <v>1146</v>
      </c>
      <c r="Q362" s="1129"/>
    </row>
    <row r="363" spans="1:17" ht="12.75" customHeight="1">
      <c r="A363" s="1171"/>
      <c r="B363" s="1180"/>
      <c r="C363" s="1184"/>
      <c r="D363" s="10">
        <v>0.22</v>
      </c>
      <c r="E363" s="10">
        <v>6</v>
      </c>
      <c r="F363" s="10">
        <v>8001</v>
      </c>
      <c r="G363" s="10">
        <v>9000</v>
      </c>
      <c r="H363" s="237">
        <v>4.0590000000000002</v>
      </c>
      <c r="I363" s="74"/>
      <c r="J363" s="11">
        <f t="shared" si="45"/>
        <v>0</v>
      </c>
      <c r="K363" s="209"/>
      <c r="L363" s="11">
        <f t="shared" si="46"/>
        <v>0</v>
      </c>
      <c r="M363" s="772" t="s">
        <v>1146</v>
      </c>
      <c r="Q363" s="1129"/>
    </row>
    <row r="364" spans="1:17" ht="12.75" customHeight="1">
      <c r="A364" s="1171"/>
      <c r="B364" s="1180"/>
      <c r="C364" s="1184"/>
      <c r="D364" s="10">
        <v>0.22</v>
      </c>
      <c r="E364" s="10">
        <v>6</v>
      </c>
      <c r="F364" s="10">
        <v>9001</v>
      </c>
      <c r="G364" s="10">
        <v>10000</v>
      </c>
      <c r="H364" s="237">
        <v>4.0920000000000005</v>
      </c>
      <c r="I364" s="74"/>
      <c r="J364" s="11">
        <f t="shared" si="45"/>
        <v>0</v>
      </c>
      <c r="K364" s="209"/>
      <c r="L364" s="11">
        <f t="shared" si="46"/>
        <v>0</v>
      </c>
      <c r="M364" s="772" t="s">
        <v>1146</v>
      </c>
      <c r="Q364" s="1129"/>
    </row>
    <row r="365" spans="1:17" ht="12.75" customHeight="1">
      <c r="A365" s="1171"/>
      <c r="B365" s="1180"/>
      <c r="C365" s="1184"/>
      <c r="D365" s="10">
        <v>0.22</v>
      </c>
      <c r="E365" s="10">
        <v>6</v>
      </c>
      <c r="F365" s="10">
        <v>10001</v>
      </c>
      <c r="G365" s="10">
        <v>11000</v>
      </c>
      <c r="H365" s="237">
        <v>4.125</v>
      </c>
      <c r="I365" s="74"/>
      <c r="J365" s="11">
        <f t="shared" si="45"/>
        <v>0</v>
      </c>
      <c r="K365" s="209"/>
      <c r="L365" s="11">
        <f t="shared" si="46"/>
        <v>0</v>
      </c>
      <c r="M365" s="772" t="s">
        <v>1146</v>
      </c>
      <c r="Q365" s="1129"/>
    </row>
    <row r="366" spans="1:17" ht="12.75" customHeight="1">
      <c r="A366" s="1171"/>
      <c r="B366" s="1180"/>
      <c r="C366" s="1184"/>
      <c r="D366" s="10">
        <v>0.22</v>
      </c>
      <c r="E366" s="10">
        <v>6</v>
      </c>
      <c r="F366" s="10">
        <v>11001</v>
      </c>
      <c r="G366" s="10">
        <v>12000</v>
      </c>
      <c r="H366" s="237">
        <v>4.1470000000000002</v>
      </c>
      <c r="I366" s="74"/>
      <c r="J366" s="11">
        <f t="shared" si="45"/>
        <v>0</v>
      </c>
      <c r="K366" s="209"/>
      <c r="L366" s="11">
        <f t="shared" si="46"/>
        <v>0</v>
      </c>
      <c r="M366" s="772" t="s">
        <v>1146</v>
      </c>
      <c r="Q366" s="1129"/>
    </row>
    <row r="367" spans="1:17" ht="12.75" customHeight="1">
      <c r="A367" s="1171"/>
      <c r="B367" s="1180"/>
      <c r="C367" s="1184"/>
      <c r="D367" s="10">
        <v>0.22</v>
      </c>
      <c r="E367" s="10">
        <v>6</v>
      </c>
      <c r="F367" s="306">
        <v>12001</v>
      </c>
      <c r="G367" s="306">
        <v>13000</v>
      </c>
      <c r="H367" s="307">
        <v>4.1689999999999996</v>
      </c>
      <c r="I367" s="308"/>
      <c r="J367" s="378">
        <f t="shared" si="45"/>
        <v>0</v>
      </c>
      <c r="K367" s="432"/>
      <c r="L367" s="378">
        <f t="shared" si="46"/>
        <v>0</v>
      </c>
      <c r="M367" s="772" t="s">
        <v>1146</v>
      </c>
      <c r="Q367" s="1129"/>
    </row>
    <row r="368" spans="1:17" ht="12.75" customHeight="1">
      <c r="A368" s="1171"/>
      <c r="B368" s="1180"/>
      <c r="C368" s="1184"/>
      <c r="D368" s="306"/>
      <c r="E368" s="306"/>
      <c r="F368" s="306"/>
      <c r="G368" s="306"/>
      <c r="H368" s="307"/>
      <c r="I368" s="308"/>
      <c r="J368" s="378">
        <f>+I368*H368</f>
        <v>0</v>
      </c>
      <c r="K368" s="432"/>
      <c r="L368" s="378">
        <f>IF(K368&gt;I368,"ERROR",(K368*H368)*0.3+J368)</f>
        <v>0</v>
      </c>
      <c r="Q368" s="1129"/>
    </row>
    <row r="369" spans="1:17" ht="12.75" customHeight="1">
      <c r="A369" s="1171"/>
      <c r="B369" s="1180"/>
      <c r="C369" s="1184"/>
      <c r="D369" s="306"/>
      <c r="E369" s="306"/>
      <c r="F369" s="306"/>
      <c r="G369" s="306"/>
      <c r="H369" s="307"/>
      <c r="I369" s="308"/>
      <c r="J369" s="378"/>
      <c r="K369" s="432"/>
      <c r="L369" s="378"/>
      <c r="Q369" s="1129"/>
    </row>
    <row r="370" spans="1:17" ht="12.75" customHeight="1">
      <c r="A370" s="1171"/>
      <c r="B370" s="1180"/>
      <c r="C370" s="1184"/>
      <c r="D370" s="306"/>
      <c r="E370" s="306"/>
      <c r="F370" s="306"/>
      <c r="G370" s="306"/>
      <c r="H370" s="307"/>
      <c r="I370" s="308"/>
      <c r="J370" s="378"/>
      <c r="K370" s="432"/>
      <c r="L370" s="378"/>
      <c r="Q370" s="1129"/>
    </row>
    <row r="371" spans="1:17" ht="13.5" customHeight="1" thickBot="1">
      <c r="A371" s="1172"/>
      <c r="B371" s="1181"/>
      <c r="C371" s="1185"/>
      <c r="D371" s="12"/>
      <c r="E371" s="12"/>
      <c r="F371" s="12"/>
      <c r="G371" s="12"/>
      <c r="H371" s="238"/>
      <c r="I371" s="75"/>
      <c r="J371" s="13">
        <f t="shared" si="45"/>
        <v>0</v>
      </c>
      <c r="K371" s="210"/>
      <c r="L371" s="13">
        <f t="shared" si="46"/>
        <v>0</v>
      </c>
      <c r="Q371" s="1129"/>
    </row>
    <row r="372" spans="1:17" ht="12.75" customHeight="1">
      <c r="A372" s="1170" t="s">
        <v>127</v>
      </c>
      <c r="B372" s="1179" t="s">
        <v>128</v>
      </c>
      <c r="C372" s="1179" t="s">
        <v>563</v>
      </c>
      <c r="D372" s="7">
        <v>0.22</v>
      </c>
      <c r="E372" s="7">
        <v>6</v>
      </c>
      <c r="F372" s="7">
        <v>60</v>
      </c>
      <c r="G372" s="7">
        <v>100</v>
      </c>
      <c r="H372" s="580">
        <v>3.72</v>
      </c>
      <c r="I372" s="73"/>
      <c r="J372" s="8">
        <f>+I372*H372</f>
        <v>0</v>
      </c>
      <c r="K372" s="211"/>
      <c r="L372" s="8">
        <f>IF(K372&gt;I372,"ERROR",(K372*H372)*0.1+J372)</f>
        <v>0</v>
      </c>
      <c r="M372" s="772" t="s">
        <v>1146</v>
      </c>
      <c r="Q372" s="1129"/>
    </row>
    <row r="373" spans="1:17" ht="12.75" customHeight="1">
      <c r="A373" s="1171"/>
      <c r="B373" s="1180"/>
      <c r="C373" s="1180"/>
      <c r="D373" s="406">
        <v>0.22</v>
      </c>
      <c r="E373" s="406">
        <v>6</v>
      </c>
      <c r="F373" s="406">
        <v>101</v>
      </c>
      <c r="G373" s="406">
        <v>1000</v>
      </c>
      <c r="H373" s="580">
        <v>3.72</v>
      </c>
      <c r="I373" s="219"/>
      <c r="J373" s="220">
        <f>+I373*H373</f>
        <v>0</v>
      </c>
      <c r="K373" s="223"/>
      <c r="L373" s="220">
        <f>IF(K373&gt;I373,"ERROR",(K373*H373)*0.1+J373)</f>
        <v>0</v>
      </c>
      <c r="M373" s="772" t="s">
        <v>1146</v>
      </c>
      <c r="Q373" s="1129"/>
    </row>
    <row r="374" spans="1:17" ht="12.75" customHeight="1">
      <c r="A374" s="1171"/>
      <c r="B374" s="1180"/>
      <c r="C374" s="1186"/>
      <c r="D374" s="10">
        <v>0.22</v>
      </c>
      <c r="E374" s="10">
        <v>6</v>
      </c>
      <c r="F374" s="10">
        <v>1001</v>
      </c>
      <c r="G374" s="10">
        <v>2000</v>
      </c>
      <c r="H374" s="237">
        <v>3.8</v>
      </c>
      <c r="I374" s="74">
        <v>1</v>
      </c>
      <c r="J374" s="11">
        <f t="shared" ref="J374:J441" si="47">+I374*H374</f>
        <v>3.8</v>
      </c>
      <c r="K374" s="209"/>
      <c r="L374" s="11">
        <f>IF(K374&gt;I374,"ERROR",(K374*H374)*0.15+J374)</f>
        <v>3.8</v>
      </c>
      <c r="M374" s="772" t="s">
        <v>1146</v>
      </c>
      <c r="Q374" s="1129"/>
    </row>
    <row r="375" spans="1:17" ht="12.75" customHeight="1">
      <c r="A375" s="1171"/>
      <c r="B375" s="1180"/>
      <c r="C375" s="1186"/>
      <c r="D375" s="10">
        <v>0.22</v>
      </c>
      <c r="E375" s="10">
        <v>6</v>
      </c>
      <c r="F375" s="10">
        <v>2001</v>
      </c>
      <c r="G375" s="10">
        <v>3000</v>
      </c>
      <c r="H375" s="237">
        <v>3.89</v>
      </c>
      <c r="I375" s="74"/>
      <c r="J375" s="11">
        <f t="shared" si="47"/>
        <v>0</v>
      </c>
      <c r="K375" s="209"/>
      <c r="L375" s="11">
        <f>IF(K375&gt;I375,"ERROR",(K375*H375)*0.2+J375)</f>
        <v>0</v>
      </c>
      <c r="M375" s="772" t="s">
        <v>1146</v>
      </c>
      <c r="Q375" s="1129"/>
    </row>
    <row r="376" spans="1:17" ht="12.75" customHeight="1">
      <c r="A376" s="1171"/>
      <c r="B376" s="1180"/>
      <c r="C376" s="1186"/>
      <c r="D376" s="10">
        <v>0.22</v>
      </c>
      <c r="E376" s="10">
        <v>6</v>
      </c>
      <c r="F376" s="10">
        <v>3001</v>
      </c>
      <c r="G376" s="10">
        <v>4000</v>
      </c>
      <c r="H376" s="237">
        <v>3.98</v>
      </c>
      <c r="I376" s="74"/>
      <c r="J376" s="11">
        <f t="shared" si="47"/>
        <v>0</v>
      </c>
      <c r="K376" s="209"/>
      <c r="L376" s="11">
        <f>IF(K376&gt;I376,"ERROR",(K376*H376)*0.25+J376)</f>
        <v>0</v>
      </c>
      <c r="M376" s="772" t="s">
        <v>1146</v>
      </c>
      <c r="Q376" s="1129"/>
    </row>
    <row r="377" spans="1:17" ht="12.75" customHeight="1">
      <c r="A377" s="1171"/>
      <c r="B377" s="1180"/>
      <c r="C377" s="1186"/>
      <c r="D377" s="10">
        <v>0.22</v>
      </c>
      <c r="E377" s="10">
        <v>6</v>
      </c>
      <c r="F377" s="10">
        <v>4001</v>
      </c>
      <c r="G377" s="10">
        <v>5000</v>
      </c>
      <c r="H377" s="237">
        <v>4.0999999999999996</v>
      </c>
      <c r="I377" s="74"/>
      <c r="J377" s="11">
        <f t="shared" si="47"/>
        <v>0</v>
      </c>
      <c r="K377" s="209"/>
      <c r="L377" s="11">
        <f t="shared" ref="L377:L389" si="48">IF(K377&gt;I377,"ERROR",(K377*H377)*0.3+J377)</f>
        <v>0</v>
      </c>
      <c r="M377" s="772" t="s">
        <v>1146</v>
      </c>
      <c r="Q377" s="1129"/>
    </row>
    <row r="378" spans="1:17" ht="12.75" customHeight="1">
      <c r="A378" s="1171"/>
      <c r="B378" s="1180"/>
      <c r="C378" s="1186"/>
      <c r="D378" s="10">
        <v>0.22</v>
      </c>
      <c r="E378" s="10">
        <v>6</v>
      </c>
      <c r="F378" s="10">
        <v>5001</v>
      </c>
      <c r="G378" s="10">
        <v>6000</v>
      </c>
      <c r="H378" s="237">
        <v>4.2300000000000004</v>
      </c>
      <c r="I378" s="74"/>
      <c r="J378" s="11">
        <f t="shared" si="47"/>
        <v>0</v>
      </c>
      <c r="K378" s="209"/>
      <c r="L378" s="11">
        <f t="shared" si="48"/>
        <v>0</v>
      </c>
      <c r="M378" s="772" t="s">
        <v>1146</v>
      </c>
      <c r="Q378" s="1129"/>
    </row>
    <row r="379" spans="1:17" ht="12.75" customHeight="1">
      <c r="A379" s="1171"/>
      <c r="B379" s="1180"/>
      <c r="C379" s="1186"/>
      <c r="D379" s="10">
        <v>0.22</v>
      </c>
      <c r="E379" s="10">
        <v>6</v>
      </c>
      <c r="F379" s="10">
        <v>6001</v>
      </c>
      <c r="G379" s="10">
        <v>7000</v>
      </c>
      <c r="H379" s="237">
        <v>4.38</v>
      </c>
      <c r="I379" s="74"/>
      <c r="J379" s="11">
        <f t="shared" si="47"/>
        <v>0</v>
      </c>
      <c r="K379" s="209"/>
      <c r="L379" s="11">
        <f t="shared" si="48"/>
        <v>0</v>
      </c>
      <c r="M379" s="772" t="s">
        <v>1146</v>
      </c>
      <c r="Q379" s="1129"/>
    </row>
    <row r="380" spans="1:17" ht="12.75" customHeight="1">
      <c r="A380" s="1171"/>
      <c r="B380" s="1180"/>
      <c r="C380" s="1186"/>
      <c r="D380" s="10">
        <v>0.22</v>
      </c>
      <c r="E380" s="10">
        <v>6</v>
      </c>
      <c r="F380" s="10">
        <v>7001</v>
      </c>
      <c r="G380" s="10">
        <v>8000</v>
      </c>
      <c r="H380" s="237">
        <v>4.5599999999999996</v>
      </c>
      <c r="I380" s="74"/>
      <c r="J380" s="11">
        <f t="shared" si="47"/>
        <v>0</v>
      </c>
      <c r="K380" s="209"/>
      <c r="L380" s="11">
        <f t="shared" si="48"/>
        <v>0</v>
      </c>
      <c r="M380" s="772" t="s">
        <v>1146</v>
      </c>
      <c r="Q380" s="1129"/>
    </row>
    <row r="381" spans="1:17" ht="12.75" customHeight="1">
      <c r="A381" s="1171"/>
      <c r="B381" s="1180"/>
      <c r="C381" s="1186"/>
      <c r="D381" s="10">
        <v>0.22</v>
      </c>
      <c r="E381" s="10">
        <v>6</v>
      </c>
      <c r="F381" s="10">
        <v>8001</v>
      </c>
      <c r="G381" s="10">
        <v>9000</v>
      </c>
      <c r="H381" s="237">
        <v>4.76</v>
      </c>
      <c r="I381" s="74"/>
      <c r="J381" s="11">
        <f t="shared" si="47"/>
        <v>0</v>
      </c>
      <c r="K381" s="209"/>
      <c r="L381" s="11">
        <f t="shared" si="48"/>
        <v>0</v>
      </c>
      <c r="M381" s="772" t="s">
        <v>1146</v>
      </c>
      <c r="Q381" s="1129"/>
    </row>
    <row r="382" spans="1:17" ht="12.75" customHeight="1">
      <c r="A382" s="1171"/>
      <c r="B382" s="1180"/>
      <c r="C382" s="1186"/>
      <c r="D382" s="10">
        <v>0.22</v>
      </c>
      <c r="E382" s="10">
        <v>6</v>
      </c>
      <c r="F382" s="10">
        <v>9001</v>
      </c>
      <c r="G382" s="10">
        <v>10000</v>
      </c>
      <c r="H382" s="237">
        <v>5</v>
      </c>
      <c r="I382" s="74"/>
      <c r="J382" s="11">
        <f t="shared" si="47"/>
        <v>0</v>
      </c>
      <c r="K382" s="209"/>
      <c r="L382" s="11">
        <f t="shared" si="48"/>
        <v>0</v>
      </c>
      <c r="M382" s="772" t="s">
        <v>1146</v>
      </c>
      <c r="Q382" s="1129"/>
    </row>
    <row r="383" spans="1:17" ht="12.75" customHeight="1">
      <c r="A383" s="1171"/>
      <c r="B383" s="1180"/>
      <c r="C383" s="1186"/>
      <c r="D383" s="10">
        <v>0.22</v>
      </c>
      <c r="E383" s="10">
        <v>6</v>
      </c>
      <c r="F383" s="10">
        <v>10001</v>
      </c>
      <c r="G383" s="10">
        <v>11000</v>
      </c>
      <c r="H383" s="237">
        <v>5.27</v>
      </c>
      <c r="I383" s="74"/>
      <c r="J383" s="11">
        <f t="shared" si="47"/>
        <v>0</v>
      </c>
      <c r="K383" s="209"/>
      <c r="L383" s="11">
        <f t="shared" si="48"/>
        <v>0</v>
      </c>
      <c r="M383" s="772" t="s">
        <v>1146</v>
      </c>
      <c r="Q383" s="1129"/>
    </row>
    <row r="384" spans="1:17" ht="12.75" customHeight="1">
      <c r="A384" s="1171"/>
      <c r="B384" s="1180"/>
      <c r="C384" s="1186"/>
      <c r="D384" s="10">
        <v>0.22</v>
      </c>
      <c r="E384" s="10">
        <v>6</v>
      </c>
      <c r="F384" s="10">
        <v>11001</v>
      </c>
      <c r="G384" s="10">
        <v>12000</v>
      </c>
      <c r="H384" s="237">
        <v>5.6</v>
      </c>
      <c r="I384" s="74"/>
      <c r="J384" s="11">
        <f t="shared" si="47"/>
        <v>0</v>
      </c>
      <c r="K384" s="209"/>
      <c r="L384" s="11">
        <f t="shared" si="48"/>
        <v>0</v>
      </c>
      <c r="M384" s="772" t="s">
        <v>1146</v>
      </c>
      <c r="Q384" s="1129"/>
    </row>
    <row r="385" spans="1:17" ht="12.75" customHeight="1">
      <c r="A385" s="1171"/>
      <c r="B385" s="1180"/>
      <c r="C385" s="1186"/>
      <c r="D385" s="10">
        <v>0.22</v>
      </c>
      <c r="E385" s="10">
        <v>6</v>
      </c>
      <c r="F385" s="306">
        <v>12001</v>
      </c>
      <c r="G385" s="306">
        <v>13000</v>
      </c>
      <c r="H385" s="307">
        <v>5.99</v>
      </c>
      <c r="I385" s="308"/>
      <c r="J385" s="11">
        <f>+I385*H385</f>
        <v>0</v>
      </c>
      <c r="K385" s="209"/>
      <c r="L385" s="11">
        <f>IF(K385&gt;I385,"ERROR",(K385*H385)*0.3+J385)</f>
        <v>0</v>
      </c>
      <c r="M385" s="772" t="s">
        <v>1146</v>
      </c>
      <c r="Q385" s="1129"/>
    </row>
    <row r="386" spans="1:17" ht="12.75" customHeight="1">
      <c r="A386" s="1171"/>
      <c r="B386" s="1180"/>
      <c r="C386" s="1186"/>
      <c r="D386" s="306"/>
      <c r="E386" s="306"/>
      <c r="F386" s="306"/>
      <c r="G386" s="306"/>
      <c r="H386" s="307"/>
      <c r="I386" s="308"/>
      <c r="J386" s="11">
        <f>+I386*H386</f>
        <v>0</v>
      </c>
      <c r="K386" s="209"/>
      <c r="L386" s="11">
        <f>IF(K386&gt;I386,"ERROR",(K386*H386)*0.3+J386)</f>
        <v>0</v>
      </c>
      <c r="Q386" s="1129"/>
    </row>
    <row r="387" spans="1:17" ht="12.75" customHeight="1">
      <c r="A387" s="1171"/>
      <c r="B387" s="1180"/>
      <c r="C387" s="1186"/>
      <c r="D387" s="306"/>
      <c r="E387" s="306"/>
      <c r="F387" s="306"/>
      <c r="G387" s="306"/>
      <c r="H387" s="307"/>
      <c r="I387" s="308"/>
      <c r="J387" s="11">
        <f>+I387*H387</f>
        <v>0</v>
      </c>
      <c r="K387" s="209"/>
      <c r="L387" s="11">
        <f>IF(K387&gt;I387,"ERROR",(K387*H387)*0.3+J387)</f>
        <v>0</v>
      </c>
      <c r="Q387" s="1129"/>
    </row>
    <row r="388" spans="1:17" ht="12.75" customHeight="1">
      <c r="A388" s="1171"/>
      <c r="B388" s="1180"/>
      <c r="C388" s="1186"/>
      <c r="D388" s="306"/>
      <c r="E388" s="306"/>
      <c r="F388" s="306"/>
      <c r="G388" s="306"/>
      <c r="H388" s="307"/>
      <c r="I388" s="308"/>
      <c r="J388" s="11">
        <f>+I388*H388</f>
        <v>0</v>
      </c>
      <c r="K388" s="209"/>
      <c r="L388" s="11">
        <f>IF(K388&gt;I388,"ERROR",(K388*H388)*0.3+J388)</f>
        <v>0</v>
      </c>
      <c r="Q388" s="1129"/>
    </row>
    <row r="389" spans="1:17" ht="13.5" customHeight="1" thickBot="1">
      <c r="A389" s="1172"/>
      <c r="B389" s="1181"/>
      <c r="C389" s="1187"/>
      <c r="D389" s="12"/>
      <c r="E389" s="12"/>
      <c r="F389" s="12"/>
      <c r="G389" s="12"/>
      <c r="H389" s="238"/>
      <c r="I389" s="75"/>
      <c r="J389" s="13">
        <f t="shared" si="47"/>
        <v>0</v>
      </c>
      <c r="K389" s="210"/>
      <c r="L389" s="13">
        <f t="shared" si="48"/>
        <v>0</v>
      </c>
      <c r="Q389" s="1129"/>
    </row>
    <row r="390" spans="1:17" ht="12.75" customHeight="1">
      <c r="A390" s="1170" t="s">
        <v>127</v>
      </c>
      <c r="B390" s="1179" t="s">
        <v>875</v>
      </c>
      <c r="C390" s="1179" t="s">
        <v>563</v>
      </c>
      <c r="D390" s="7">
        <v>0.22</v>
      </c>
      <c r="E390" s="7">
        <v>6</v>
      </c>
      <c r="F390" s="7">
        <v>60</v>
      </c>
      <c r="G390" s="7">
        <v>100</v>
      </c>
      <c r="H390" s="237">
        <v>4.0919999999999996</v>
      </c>
      <c r="I390" s="73"/>
      <c r="J390" s="8">
        <f t="shared" si="47"/>
        <v>0</v>
      </c>
      <c r="K390" s="211"/>
      <c r="L390" s="8">
        <f>IF(K390&gt;I390,"ERROR",(K390*H390)*0.1+J390)</f>
        <v>0</v>
      </c>
      <c r="M390" s="772" t="s">
        <v>1146</v>
      </c>
      <c r="Q390" s="1129"/>
    </row>
    <row r="391" spans="1:17" ht="12.75" customHeight="1">
      <c r="A391" s="1171"/>
      <c r="B391" s="1180"/>
      <c r="C391" s="1180"/>
      <c r="D391" s="406">
        <v>0.22</v>
      </c>
      <c r="E391" s="406">
        <v>6</v>
      </c>
      <c r="F391" s="406">
        <v>101</v>
      </c>
      <c r="G391" s="406">
        <v>1000</v>
      </c>
      <c r="H391" s="237">
        <v>4.0920000000000005</v>
      </c>
      <c r="I391" s="219"/>
      <c r="J391" s="220">
        <f t="shared" si="47"/>
        <v>0</v>
      </c>
      <c r="K391" s="223"/>
      <c r="L391" s="220">
        <f>IF(K391&gt;I391,"ERROR",(K391*H391)*0.1+J391)</f>
        <v>0</v>
      </c>
      <c r="M391" s="772" t="s">
        <v>1146</v>
      </c>
      <c r="Q391" s="1129"/>
    </row>
    <row r="392" spans="1:17" ht="12.75" customHeight="1">
      <c r="A392" s="1171"/>
      <c r="B392" s="1180"/>
      <c r="C392" s="1184"/>
      <c r="D392" s="10">
        <v>0.22</v>
      </c>
      <c r="E392" s="10">
        <v>6</v>
      </c>
      <c r="F392" s="10">
        <v>1001</v>
      </c>
      <c r="G392" s="10">
        <v>2000</v>
      </c>
      <c r="H392" s="237">
        <v>4.18</v>
      </c>
      <c r="I392" s="74"/>
      <c r="J392" s="11">
        <f t="shared" ref="J392:J407" si="49">+I392*H392</f>
        <v>0</v>
      </c>
      <c r="K392" s="209"/>
      <c r="L392" s="11">
        <f>IF(K392&gt;I392,"ERROR",(K392*H392)*0.15+J392)</f>
        <v>0</v>
      </c>
      <c r="M392" s="772" t="s">
        <v>1146</v>
      </c>
      <c r="Q392" s="1129"/>
    </row>
    <row r="393" spans="1:17" ht="12.75" customHeight="1">
      <c r="A393" s="1171"/>
      <c r="B393" s="1180"/>
      <c r="C393" s="1184"/>
      <c r="D393" s="10">
        <v>0.22</v>
      </c>
      <c r="E393" s="10">
        <v>6</v>
      </c>
      <c r="F393" s="10">
        <v>2001</v>
      </c>
      <c r="G393" s="10">
        <v>3000</v>
      </c>
      <c r="H393" s="237">
        <v>4.2790000000000008</v>
      </c>
      <c r="I393" s="74"/>
      <c r="J393" s="11">
        <f t="shared" si="49"/>
        <v>0</v>
      </c>
      <c r="K393" s="209"/>
      <c r="L393" s="11">
        <f>IF(K393&gt;I393,"ERROR",(K393*H393)*0.2+J393)</f>
        <v>0</v>
      </c>
      <c r="M393" s="772" t="s">
        <v>1146</v>
      </c>
      <c r="Q393" s="1129"/>
    </row>
    <row r="394" spans="1:17" ht="12.75" customHeight="1">
      <c r="A394" s="1171"/>
      <c r="B394" s="1180"/>
      <c r="C394" s="1184"/>
      <c r="D394" s="10">
        <v>0.22</v>
      </c>
      <c r="E394" s="10">
        <v>6</v>
      </c>
      <c r="F394" s="10">
        <v>3001</v>
      </c>
      <c r="G394" s="10">
        <v>4000</v>
      </c>
      <c r="H394" s="237">
        <v>4.3780000000000001</v>
      </c>
      <c r="I394" s="74"/>
      <c r="J394" s="11">
        <f t="shared" si="49"/>
        <v>0</v>
      </c>
      <c r="K394" s="209"/>
      <c r="L394" s="11">
        <f>IF(K394&gt;I394,"ERROR",(K394*H394)*0.25+J394)</f>
        <v>0</v>
      </c>
      <c r="M394" s="772" t="s">
        <v>1146</v>
      </c>
      <c r="Q394" s="1129"/>
    </row>
    <row r="395" spans="1:17" ht="12.75" customHeight="1">
      <c r="A395" s="1171"/>
      <c r="B395" s="1180"/>
      <c r="C395" s="1184"/>
      <c r="D395" s="10">
        <v>0.22</v>
      </c>
      <c r="E395" s="10">
        <v>6</v>
      </c>
      <c r="F395" s="10">
        <v>4001</v>
      </c>
      <c r="G395" s="10">
        <v>5000</v>
      </c>
      <c r="H395" s="237">
        <v>4.51</v>
      </c>
      <c r="I395" s="74"/>
      <c r="J395" s="11">
        <f t="shared" si="49"/>
        <v>0</v>
      </c>
      <c r="K395" s="209"/>
      <c r="L395" s="11">
        <f t="shared" ref="L395:L407" si="50">IF(K395&gt;I395,"ERROR",(K395*H395)*0.3+J395)</f>
        <v>0</v>
      </c>
      <c r="M395" s="772" t="s">
        <v>1146</v>
      </c>
      <c r="Q395" s="1129"/>
    </row>
    <row r="396" spans="1:17" ht="12.75" customHeight="1">
      <c r="A396" s="1171"/>
      <c r="B396" s="1180"/>
      <c r="C396" s="1184"/>
      <c r="D396" s="10">
        <v>0.22</v>
      </c>
      <c r="E396" s="10">
        <v>6</v>
      </c>
      <c r="F396" s="10">
        <v>5001</v>
      </c>
      <c r="G396" s="10">
        <v>6000</v>
      </c>
      <c r="H396" s="237">
        <v>4.6530000000000005</v>
      </c>
      <c r="I396" s="74"/>
      <c r="J396" s="11">
        <f t="shared" si="49"/>
        <v>0</v>
      </c>
      <c r="K396" s="209"/>
      <c r="L396" s="11">
        <f t="shared" si="50"/>
        <v>0</v>
      </c>
      <c r="M396" s="772" t="s">
        <v>1146</v>
      </c>
      <c r="Q396" s="1129"/>
    </row>
    <row r="397" spans="1:17" ht="12.75" customHeight="1">
      <c r="A397" s="1171"/>
      <c r="B397" s="1180"/>
      <c r="C397" s="1184"/>
      <c r="D397" s="10">
        <v>0.22</v>
      </c>
      <c r="E397" s="10">
        <v>6</v>
      </c>
      <c r="F397" s="10">
        <v>6001</v>
      </c>
      <c r="G397" s="10">
        <v>7000</v>
      </c>
      <c r="H397" s="237">
        <v>4.8180000000000005</v>
      </c>
      <c r="I397" s="74"/>
      <c r="J397" s="11">
        <f t="shared" si="49"/>
        <v>0</v>
      </c>
      <c r="K397" s="209"/>
      <c r="L397" s="11">
        <f t="shared" si="50"/>
        <v>0</v>
      </c>
      <c r="M397" s="772" t="s">
        <v>1146</v>
      </c>
      <c r="Q397" s="1129"/>
    </row>
    <row r="398" spans="1:17" ht="12.75" customHeight="1">
      <c r="A398" s="1171"/>
      <c r="B398" s="1180"/>
      <c r="C398" s="1184"/>
      <c r="D398" s="10">
        <v>0.22</v>
      </c>
      <c r="E398" s="10">
        <v>6</v>
      </c>
      <c r="F398" s="10">
        <v>7001</v>
      </c>
      <c r="G398" s="10">
        <v>8000</v>
      </c>
      <c r="H398" s="237">
        <v>5.016</v>
      </c>
      <c r="I398" s="74"/>
      <c r="J398" s="11">
        <f t="shared" si="49"/>
        <v>0</v>
      </c>
      <c r="K398" s="209"/>
      <c r="L398" s="11">
        <f t="shared" si="50"/>
        <v>0</v>
      </c>
      <c r="M398" s="772" t="s">
        <v>1146</v>
      </c>
      <c r="Q398" s="1129"/>
    </row>
    <row r="399" spans="1:17" ht="12.75" customHeight="1">
      <c r="A399" s="1171"/>
      <c r="B399" s="1180"/>
      <c r="C399" s="1184"/>
      <c r="D399" s="10">
        <v>0.22</v>
      </c>
      <c r="E399" s="10">
        <v>6</v>
      </c>
      <c r="F399" s="10">
        <v>8001</v>
      </c>
      <c r="G399" s="10">
        <v>9000</v>
      </c>
      <c r="H399" s="237">
        <v>5.2359999999999998</v>
      </c>
      <c r="I399" s="74"/>
      <c r="J399" s="11">
        <f t="shared" si="49"/>
        <v>0</v>
      </c>
      <c r="K399" s="209"/>
      <c r="L399" s="11">
        <f t="shared" si="50"/>
        <v>0</v>
      </c>
      <c r="M399" s="772" t="s">
        <v>1146</v>
      </c>
      <c r="Q399" s="1129"/>
    </row>
    <row r="400" spans="1:17" ht="12.75" customHeight="1">
      <c r="A400" s="1171"/>
      <c r="B400" s="1180"/>
      <c r="C400" s="1184"/>
      <c r="D400" s="10">
        <v>0.22</v>
      </c>
      <c r="E400" s="10">
        <v>6</v>
      </c>
      <c r="F400" s="10">
        <v>9001</v>
      </c>
      <c r="G400" s="10">
        <v>10000</v>
      </c>
      <c r="H400" s="237">
        <v>5.5</v>
      </c>
      <c r="I400" s="74"/>
      <c r="J400" s="11">
        <f t="shared" si="49"/>
        <v>0</v>
      </c>
      <c r="K400" s="209"/>
      <c r="L400" s="11">
        <f t="shared" si="50"/>
        <v>0</v>
      </c>
      <c r="M400" s="772" t="s">
        <v>1146</v>
      </c>
      <c r="Q400" s="1129"/>
    </row>
    <row r="401" spans="1:17" ht="12.75" customHeight="1">
      <c r="A401" s="1171"/>
      <c r="B401" s="1180"/>
      <c r="C401" s="1184"/>
      <c r="D401" s="10">
        <v>0.22</v>
      </c>
      <c r="E401" s="10">
        <v>6</v>
      </c>
      <c r="F401" s="10">
        <v>10001</v>
      </c>
      <c r="G401" s="10">
        <v>11000</v>
      </c>
      <c r="H401" s="237">
        <v>5.7969999999999997</v>
      </c>
      <c r="I401" s="74"/>
      <c r="J401" s="11">
        <f t="shared" si="49"/>
        <v>0</v>
      </c>
      <c r="K401" s="209"/>
      <c r="L401" s="11">
        <f t="shared" si="50"/>
        <v>0</v>
      </c>
      <c r="M401" s="772" t="s">
        <v>1146</v>
      </c>
      <c r="Q401" s="1129"/>
    </row>
    <row r="402" spans="1:17" ht="12.75" customHeight="1">
      <c r="A402" s="1171"/>
      <c r="B402" s="1180"/>
      <c r="C402" s="1184"/>
      <c r="D402" s="10">
        <v>0.22</v>
      </c>
      <c r="E402" s="10">
        <v>6</v>
      </c>
      <c r="F402" s="10">
        <v>11001</v>
      </c>
      <c r="G402" s="10">
        <v>12000</v>
      </c>
      <c r="H402" s="237">
        <v>6.16</v>
      </c>
      <c r="I402" s="74"/>
      <c r="J402" s="11">
        <f t="shared" si="49"/>
        <v>0</v>
      </c>
      <c r="K402" s="209"/>
      <c r="L402" s="11">
        <f t="shared" si="50"/>
        <v>0</v>
      </c>
      <c r="M402" s="772" t="s">
        <v>1146</v>
      </c>
      <c r="Q402" s="1129"/>
    </row>
    <row r="403" spans="1:17" ht="12.75" customHeight="1">
      <c r="A403" s="1171"/>
      <c r="B403" s="1180"/>
      <c r="C403" s="1184"/>
      <c r="D403" s="10">
        <v>0.22</v>
      </c>
      <c r="E403" s="10">
        <v>6</v>
      </c>
      <c r="F403" s="306">
        <v>12001</v>
      </c>
      <c r="G403" s="306">
        <v>13000</v>
      </c>
      <c r="H403" s="237">
        <v>6.5890000000000004</v>
      </c>
      <c r="I403" s="308"/>
      <c r="J403" s="11">
        <f>+I403*H403</f>
        <v>0</v>
      </c>
      <c r="K403" s="209"/>
      <c r="L403" s="11">
        <f>IF(K403&gt;I403,"ERROR",(K403*H403)*0.3+J403)</f>
        <v>0</v>
      </c>
      <c r="M403" s="772" t="s">
        <v>1146</v>
      </c>
      <c r="Q403" s="1129"/>
    </row>
    <row r="404" spans="1:17" ht="12.75" customHeight="1">
      <c r="A404" s="1171"/>
      <c r="B404" s="1180"/>
      <c r="C404" s="1184"/>
      <c r="D404" s="306"/>
      <c r="E404" s="306"/>
      <c r="F404" s="306"/>
      <c r="G404" s="306"/>
      <c r="H404" s="237"/>
      <c r="I404" s="308"/>
      <c r="J404" s="11">
        <f>+I404*H404</f>
        <v>0</v>
      </c>
      <c r="K404" s="209"/>
      <c r="L404" s="11">
        <f>IF(K404&gt;I404,"ERROR",(K404*H404)*0.3+J404)</f>
        <v>0</v>
      </c>
      <c r="Q404" s="1129"/>
    </row>
    <row r="405" spans="1:17" ht="12.75" customHeight="1">
      <c r="A405" s="1171"/>
      <c r="B405" s="1180"/>
      <c r="C405" s="1184"/>
      <c r="D405" s="306"/>
      <c r="E405" s="306"/>
      <c r="F405" s="306"/>
      <c r="G405" s="306"/>
      <c r="H405" s="237"/>
      <c r="I405" s="308"/>
      <c r="J405" s="11">
        <f>+I405*H405</f>
        <v>0</v>
      </c>
      <c r="K405" s="209"/>
      <c r="L405" s="11">
        <f>IF(K405&gt;I405,"ERROR",(K405*H405)*0.3+J405)</f>
        <v>0</v>
      </c>
      <c r="Q405" s="1129"/>
    </row>
    <row r="406" spans="1:17" ht="12.75" customHeight="1">
      <c r="A406" s="1171"/>
      <c r="B406" s="1180"/>
      <c r="C406" s="1184"/>
      <c r="D406" s="306"/>
      <c r="E406" s="306"/>
      <c r="F406" s="306"/>
      <c r="G406" s="306"/>
      <c r="H406" s="237"/>
      <c r="I406" s="308"/>
      <c r="J406" s="11">
        <f>+I406*H406</f>
        <v>0</v>
      </c>
      <c r="K406" s="209"/>
      <c r="L406" s="11">
        <f>IF(K406&gt;I406,"ERROR",(K406*H406)*0.3+J406)</f>
        <v>0</v>
      </c>
      <c r="Q406" s="1129"/>
    </row>
    <row r="407" spans="1:17" ht="13.5" customHeight="1" thickBot="1">
      <c r="A407" s="1172"/>
      <c r="B407" s="1181"/>
      <c r="C407" s="1185"/>
      <c r="D407" s="12"/>
      <c r="E407" s="12"/>
      <c r="F407" s="12"/>
      <c r="G407" s="12"/>
      <c r="H407" s="237"/>
      <c r="I407" s="75"/>
      <c r="J407" s="13">
        <f t="shared" si="49"/>
        <v>0</v>
      </c>
      <c r="K407" s="210"/>
      <c r="L407" s="13">
        <f t="shared" si="50"/>
        <v>0</v>
      </c>
      <c r="Q407" s="1129"/>
    </row>
    <row r="408" spans="1:17" ht="12.75" customHeight="1">
      <c r="A408" s="1170" t="s">
        <v>129</v>
      </c>
      <c r="B408" s="1179" t="s">
        <v>130</v>
      </c>
      <c r="C408" s="1179" t="s">
        <v>676</v>
      </c>
      <c r="D408" s="7">
        <v>0.22</v>
      </c>
      <c r="E408" s="7">
        <v>2.5</v>
      </c>
      <c r="F408" s="7">
        <v>700</v>
      </c>
      <c r="G408" s="7">
        <v>1000</v>
      </c>
      <c r="H408" s="239">
        <v>4.4800000000000004</v>
      </c>
      <c r="I408" s="73"/>
      <c r="J408" s="8">
        <f t="shared" si="47"/>
        <v>0</v>
      </c>
      <c r="K408" s="211"/>
      <c r="L408" s="8">
        <f>IF(K408&gt;I408,"ERROR",(K408*H408)*0.1+J408)</f>
        <v>0</v>
      </c>
      <c r="M408" s="772" t="s">
        <v>1146</v>
      </c>
      <c r="P408" s="1130"/>
      <c r="Q408" s="1127"/>
    </row>
    <row r="409" spans="1:17" ht="12.75" customHeight="1">
      <c r="A409" s="1171"/>
      <c r="B409" s="1180"/>
      <c r="C409" s="1184"/>
      <c r="D409" s="10">
        <v>0.22</v>
      </c>
      <c r="E409" s="10">
        <v>2.5</v>
      </c>
      <c r="F409" s="10">
        <v>1001</v>
      </c>
      <c r="G409" s="10">
        <v>2000</v>
      </c>
      <c r="H409" s="237">
        <v>6.41</v>
      </c>
      <c r="I409" s="74"/>
      <c r="J409" s="11">
        <f t="shared" si="47"/>
        <v>0</v>
      </c>
      <c r="K409" s="209"/>
      <c r="L409" s="11">
        <f>IF(K409&gt;I409,"ERROR",(K409*H409)*0.15+J409)</f>
        <v>0</v>
      </c>
      <c r="M409" s="772" t="s">
        <v>1146</v>
      </c>
      <c r="P409" s="1131"/>
      <c r="Q409" s="1129"/>
    </row>
    <row r="410" spans="1:17" ht="12.75" customHeight="1">
      <c r="A410" s="1171"/>
      <c r="B410" s="1180"/>
      <c r="C410" s="1184"/>
      <c r="D410" s="10">
        <v>0.22</v>
      </c>
      <c r="E410" s="10">
        <v>2.5</v>
      </c>
      <c r="F410" s="10">
        <v>2001</v>
      </c>
      <c r="G410" s="10">
        <v>3000</v>
      </c>
      <c r="H410" s="237">
        <v>8.5299999999999994</v>
      </c>
      <c r="I410" s="74"/>
      <c r="J410" s="11">
        <f t="shared" si="47"/>
        <v>0</v>
      </c>
      <c r="K410" s="209"/>
      <c r="L410" s="11">
        <f>IF(K410&gt;I410,"ERROR",(K410*H410)*0.2+J410)</f>
        <v>0</v>
      </c>
      <c r="M410" s="772" t="s">
        <v>1146</v>
      </c>
      <c r="P410" s="1131"/>
      <c r="Q410" s="1129"/>
    </row>
    <row r="411" spans="1:17" ht="12.75" customHeight="1">
      <c r="A411" s="1171"/>
      <c r="B411" s="1180"/>
      <c r="C411" s="1184"/>
      <c r="D411" s="10">
        <v>0.22</v>
      </c>
      <c r="E411" s="10">
        <v>2.5</v>
      </c>
      <c r="F411" s="10">
        <v>3001</v>
      </c>
      <c r="G411" s="10">
        <v>4000</v>
      </c>
      <c r="H411" s="237">
        <v>10.78</v>
      </c>
      <c r="I411" s="74"/>
      <c r="J411" s="11">
        <f t="shared" si="47"/>
        <v>0</v>
      </c>
      <c r="K411" s="209"/>
      <c r="L411" s="11">
        <f>IF(K411&gt;I411,"ERROR",(K411*H411)*0.25+J411)</f>
        <v>0</v>
      </c>
      <c r="M411" s="772" t="s">
        <v>1146</v>
      </c>
      <c r="Q411" s="1129"/>
    </row>
    <row r="412" spans="1:17" ht="12.75" customHeight="1">
      <c r="A412" s="1171"/>
      <c r="B412" s="1180"/>
      <c r="C412" s="1184"/>
      <c r="D412" s="10">
        <v>0.22</v>
      </c>
      <c r="E412" s="10">
        <v>2.5</v>
      </c>
      <c r="F412" s="10">
        <v>4001</v>
      </c>
      <c r="G412" s="10">
        <v>5000</v>
      </c>
      <c r="H412" s="237">
        <v>12.86</v>
      </c>
      <c r="I412" s="74"/>
      <c r="J412" s="11">
        <f t="shared" si="47"/>
        <v>0</v>
      </c>
      <c r="K412" s="209"/>
      <c r="L412" s="11">
        <f>IF(K412&gt;I412,"ERROR",(K412*H412)*0.3+J412)</f>
        <v>0</v>
      </c>
      <c r="M412" s="772" t="s">
        <v>1146</v>
      </c>
      <c r="Q412" s="1129"/>
    </row>
    <row r="413" spans="1:17" ht="12.75" customHeight="1">
      <c r="A413" s="1171"/>
      <c r="B413" s="1180"/>
      <c r="C413" s="1184"/>
      <c r="D413" s="10">
        <v>0.22</v>
      </c>
      <c r="E413" s="10">
        <v>2.5</v>
      </c>
      <c r="F413" s="10">
        <v>5001</v>
      </c>
      <c r="G413" s="10">
        <v>6000</v>
      </c>
      <c r="H413" s="237">
        <v>13.79</v>
      </c>
      <c r="I413" s="74"/>
      <c r="J413" s="11">
        <f t="shared" si="47"/>
        <v>0</v>
      </c>
      <c r="K413" s="209"/>
      <c r="L413" s="11">
        <f>IF(K413&gt;I413,"ERROR",(K413*H413)*0.3+J413)</f>
        <v>0</v>
      </c>
      <c r="M413" s="772" t="s">
        <v>1146</v>
      </c>
      <c r="Q413" s="1129"/>
    </row>
    <row r="414" spans="1:17" ht="13.5" customHeight="1" thickBot="1">
      <c r="A414" s="1172"/>
      <c r="B414" s="1181"/>
      <c r="C414" s="1185"/>
      <c r="D414" s="12">
        <v>0.22</v>
      </c>
      <c r="E414" s="12">
        <v>2.5</v>
      </c>
      <c r="F414" s="12">
        <v>6001</v>
      </c>
      <c r="G414" s="12">
        <v>7000</v>
      </c>
      <c r="H414" s="238">
        <v>16.670000000000002</v>
      </c>
      <c r="I414" s="75"/>
      <c r="J414" s="13">
        <f t="shared" si="47"/>
        <v>0</v>
      </c>
      <c r="K414" s="210"/>
      <c r="L414" s="13">
        <f>IF(K414&gt;I414,"ERROR",(K414*H414)*0.3+J414)</f>
        <v>0</v>
      </c>
      <c r="M414" s="772" t="s">
        <v>1146</v>
      </c>
      <c r="Q414" s="1129"/>
    </row>
    <row r="415" spans="1:17" ht="12.75" customHeight="1">
      <c r="A415" s="1170" t="s">
        <v>129</v>
      </c>
      <c r="B415" s="1179" t="s">
        <v>876</v>
      </c>
      <c r="C415" s="1179" t="s">
        <v>676</v>
      </c>
      <c r="D415" s="7">
        <v>0.22</v>
      </c>
      <c r="E415" s="7">
        <v>2.5</v>
      </c>
      <c r="F415" s="7">
        <v>700</v>
      </c>
      <c r="G415" s="7">
        <v>1000</v>
      </c>
      <c r="H415" s="237">
        <v>4.9280000000000008</v>
      </c>
      <c r="I415" s="73"/>
      <c r="J415" s="8">
        <f t="shared" ref="J415:J421" si="51">+I415*H415</f>
        <v>0</v>
      </c>
      <c r="K415" s="211"/>
      <c r="L415" s="8">
        <f>IF(K415&gt;I415,"ERROR",(K415*H415)*0.1+J415)</f>
        <v>0</v>
      </c>
      <c r="M415" s="772" t="s">
        <v>1146</v>
      </c>
      <c r="P415" s="1130"/>
      <c r="Q415" s="1127"/>
    </row>
    <row r="416" spans="1:17" ht="12.75" customHeight="1">
      <c r="A416" s="1171"/>
      <c r="B416" s="1180"/>
      <c r="C416" s="1184"/>
      <c r="D416" s="10">
        <v>0.22</v>
      </c>
      <c r="E416" s="10">
        <v>2.5</v>
      </c>
      <c r="F416" s="10">
        <v>1001</v>
      </c>
      <c r="G416" s="10">
        <v>2000</v>
      </c>
      <c r="H416" s="237">
        <v>7.051000000000001</v>
      </c>
      <c r="I416" s="74"/>
      <c r="J416" s="11">
        <f t="shared" si="51"/>
        <v>0</v>
      </c>
      <c r="K416" s="209"/>
      <c r="L416" s="11">
        <f>IF(K416&gt;I416,"ERROR",(K416*H416)*0.15+J416)</f>
        <v>0</v>
      </c>
      <c r="M416" s="772" t="s">
        <v>1146</v>
      </c>
      <c r="P416" s="1131"/>
      <c r="Q416" s="1129"/>
    </row>
    <row r="417" spans="1:17" ht="12.75" customHeight="1">
      <c r="A417" s="1171"/>
      <c r="B417" s="1180"/>
      <c r="C417" s="1184"/>
      <c r="D417" s="10">
        <v>0.22</v>
      </c>
      <c r="E417" s="10">
        <v>2.5</v>
      </c>
      <c r="F417" s="10">
        <v>2001</v>
      </c>
      <c r="G417" s="10">
        <v>3000</v>
      </c>
      <c r="H417" s="237">
        <v>9.3830000000000009</v>
      </c>
      <c r="I417" s="74"/>
      <c r="J417" s="11">
        <f t="shared" si="51"/>
        <v>0</v>
      </c>
      <c r="K417" s="209"/>
      <c r="L417" s="11">
        <f>IF(K417&gt;I417,"ERROR",(K417*H417)*0.2+J417)</f>
        <v>0</v>
      </c>
      <c r="M417" s="772" t="s">
        <v>1146</v>
      </c>
      <c r="P417" s="1131"/>
      <c r="Q417" s="1129"/>
    </row>
    <row r="418" spans="1:17" ht="12.75" customHeight="1">
      <c r="A418" s="1171"/>
      <c r="B418" s="1180"/>
      <c r="C418" s="1184"/>
      <c r="D418" s="10">
        <v>0.22</v>
      </c>
      <c r="E418" s="10">
        <v>2.5</v>
      </c>
      <c r="F418" s="10">
        <v>3001</v>
      </c>
      <c r="G418" s="10">
        <v>4000</v>
      </c>
      <c r="H418" s="237">
        <v>11.858000000000001</v>
      </c>
      <c r="I418" s="74"/>
      <c r="J418" s="11">
        <f t="shared" si="51"/>
        <v>0</v>
      </c>
      <c r="K418" s="209"/>
      <c r="L418" s="11">
        <f>IF(K418&gt;I418,"ERROR",(K418*H418)*0.25+J418)</f>
        <v>0</v>
      </c>
      <c r="M418" s="772" t="s">
        <v>1146</v>
      </c>
      <c r="Q418" s="1129"/>
    </row>
    <row r="419" spans="1:17" ht="12.75" customHeight="1">
      <c r="A419" s="1171"/>
      <c r="B419" s="1180"/>
      <c r="C419" s="1184"/>
      <c r="D419" s="10">
        <v>0.22</v>
      </c>
      <c r="E419" s="10">
        <v>2.5</v>
      </c>
      <c r="F419" s="10">
        <v>4001</v>
      </c>
      <c r="G419" s="10">
        <v>5000</v>
      </c>
      <c r="H419" s="237">
        <v>14.146000000000001</v>
      </c>
      <c r="I419" s="74"/>
      <c r="J419" s="11">
        <f t="shared" si="51"/>
        <v>0</v>
      </c>
      <c r="K419" s="209"/>
      <c r="L419" s="11">
        <f>IF(K419&gt;I419,"ERROR",(K419*H419)*0.3+J419)</f>
        <v>0</v>
      </c>
      <c r="M419" s="772" t="s">
        <v>1146</v>
      </c>
      <c r="Q419" s="1129"/>
    </row>
    <row r="420" spans="1:17" ht="12.75" customHeight="1">
      <c r="A420" s="1171"/>
      <c r="B420" s="1180"/>
      <c r="C420" s="1184"/>
      <c r="D420" s="10">
        <v>0.22</v>
      </c>
      <c r="E420" s="10">
        <v>2.5</v>
      </c>
      <c r="F420" s="10">
        <v>5001</v>
      </c>
      <c r="G420" s="10">
        <v>6000</v>
      </c>
      <c r="H420" s="237">
        <v>15.169</v>
      </c>
      <c r="I420" s="74"/>
      <c r="J420" s="11">
        <f t="shared" si="51"/>
        <v>0</v>
      </c>
      <c r="K420" s="209"/>
      <c r="L420" s="11">
        <f>IF(K420&gt;I420,"ERROR",(K420*H420)*0.3+J420)</f>
        <v>0</v>
      </c>
      <c r="M420" s="772" t="s">
        <v>1146</v>
      </c>
      <c r="Q420" s="1129"/>
    </row>
    <row r="421" spans="1:17" ht="13.5" customHeight="1" thickBot="1">
      <c r="A421" s="1172"/>
      <c r="B421" s="1181"/>
      <c r="C421" s="1185"/>
      <c r="D421" s="12">
        <v>0.22</v>
      </c>
      <c r="E421" s="12">
        <v>2.5</v>
      </c>
      <c r="F421" s="12">
        <v>6001</v>
      </c>
      <c r="G421" s="12">
        <v>7000</v>
      </c>
      <c r="H421" s="237">
        <v>18.337000000000003</v>
      </c>
      <c r="I421" s="75"/>
      <c r="J421" s="13">
        <f t="shared" si="51"/>
        <v>0</v>
      </c>
      <c r="K421" s="210"/>
      <c r="L421" s="13">
        <f>IF(K421&gt;I421,"ERROR",(K421*H421)*0.3+J421)</f>
        <v>0</v>
      </c>
      <c r="M421" s="772" t="s">
        <v>1146</v>
      </c>
      <c r="Q421" s="1129"/>
    </row>
    <row r="422" spans="1:17" ht="12.75" customHeight="1">
      <c r="A422" s="1170" t="s">
        <v>129</v>
      </c>
      <c r="B422" s="1179" t="s">
        <v>130</v>
      </c>
      <c r="C422" s="1179" t="s">
        <v>677</v>
      </c>
      <c r="D422" s="7">
        <v>0.22</v>
      </c>
      <c r="E422" s="7">
        <v>2.5</v>
      </c>
      <c r="F422" s="7">
        <v>700</v>
      </c>
      <c r="G422" s="7">
        <v>1000</v>
      </c>
      <c r="H422" s="239">
        <v>4.47</v>
      </c>
      <c r="I422" s="73"/>
      <c r="J422" s="8">
        <f t="shared" si="47"/>
        <v>0</v>
      </c>
      <c r="K422" s="211"/>
      <c r="L422" s="8">
        <f>IF(K422&gt;I422,"ERROR",(K422*H422)*0.1+J422)</f>
        <v>0</v>
      </c>
      <c r="M422" s="772" t="s">
        <v>1146</v>
      </c>
      <c r="P422" s="1130"/>
      <c r="Q422" s="1127"/>
    </row>
    <row r="423" spans="1:17" ht="12.75" customHeight="1">
      <c r="A423" s="1171"/>
      <c r="B423" s="1180"/>
      <c r="C423" s="1184"/>
      <c r="D423" s="10">
        <v>0.22</v>
      </c>
      <c r="E423" s="10">
        <v>2.5</v>
      </c>
      <c r="F423" s="10">
        <v>1001</v>
      </c>
      <c r="G423" s="10">
        <v>2000</v>
      </c>
      <c r="H423" s="237">
        <v>5.22</v>
      </c>
      <c r="I423" s="74"/>
      <c r="J423" s="11">
        <f t="shared" si="47"/>
        <v>0</v>
      </c>
      <c r="K423" s="209"/>
      <c r="L423" s="11">
        <f>IF(K423&gt;I423,"ERROR",(K423*H423)*0.15+J423)</f>
        <v>0</v>
      </c>
      <c r="M423" s="772" t="s">
        <v>1146</v>
      </c>
      <c r="P423" s="1131"/>
      <c r="Q423" s="1129"/>
    </row>
    <row r="424" spans="1:17" ht="12.75" customHeight="1">
      <c r="A424" s="1171"/>
      <c r="B424" s="1180"/>
      <c r="C424" s="1184"/>
      <c r="D424" s="10">
        <v>0.22</v>
      </c>
      <c r="E424" s="10">
        <v>2.5</v>
      </c>
      <c r="F424" s="10">
        <v>2001</v>
      </c>
      <c r="G424" s="10">
        <v>3000</v>
      </c>
      <c r="H424" s="237">
        <v>6.76</v>
      </c>
      <c r="I424" s="74"/>
      <c r="J424" s="11">
        <f t="shared" si="47"/>
        <v>0</v>
      </c>
      <c r="K424" s="209"/>
      <c r="L424" s="11">
        <f>IF(K424&gt;I424,"ERROR",(K424*H424)*0.2+J424)</f>
        <v>0</v>
      </c>
      <c r="M424" s="772" t="s">
        <v>1146</v>
      </c>
      <c r="P424" s="1131"/>
      <c r="Q424" s="1129"/>
    </row>
    <row r="425" spans="1:17" ht="12.75" customHeight="1">
      <c r="A425" s="1171"/>
      <c r="B425" s="1180"/>
      <c r="C425" s="1184"/>
      <c r="D425" s="10">
        <v>0.22</v>
      </c>
      <c r="E425" s="10">
        <v>2.5</v>
      </c>
      <c r="F425" s="10">
        <v>3001</v>
      </c>
      <c r="G425" s="10">
        <v>4000</v>
      </c>
      <c r="H425" s="237">
        <v>8.1199999999999992</v>
      </c>
      <c r="I425" s="74"/>
      <c r="J425" s="11">
        <f t="shared" si="47"/>
        <v>0</v>
      </c>
      <c r="K425" s="209"/>
      <c r="L425" s="11">
        <f>IF(K425&gt;I425,"ERROR",(K425*H425)*0.25+J425)</f>
        <v>0</v>
      </c>
      <c r="M425" s="772" t="s">
        <v>1146</v>
      </c>
      <c r="Q425" s="1129"/>
    </row>
    <row r="426" spans="1:17" ht="12.75" customHeight="1">
      <c r="A426" s="1171"/>
      <c r="B426" s="1180"/>
      <c r="C426" s="1184"/>
      <c r="D426" s="10">
        <v>0.22</v>
      </c>
      <c r="E426" s="10">
        <v>2.5</v>
      </c>
      <c r="F426" s="10">
        <v>4001</v>
      </c>
      <c r="G426" s="10">
        <v>5000</v>
      </c>
      <c r="H426" s="237">
        <v>9.48</v>
      </c>
      <c r="I426" s="74"/>
      <c r="J426" s="11">
        <f t="shared" si="47"/>
        <v>0</v>
      </c>
      <c r="K426" s="209"/>
      <c r="L426" s="11">
        <f>IF(K426&gt;I426,"ERROR",(K426*H426)*0.3+J426)</f>
        <v>0</v>
      </c>
      <c r="M426" s="772" t="s">
        <v>1146</v>
      </c>
      <c r="Q426" s="1129"/>
    </row>
    <row r="427" spans="1:17" ht="12.75" customHeight="1">
      <c r="A427" s="1171"/>
      <c r="B427" s="1180"/>
      <c r="C427" s="1184"/>
      <c r="D427" s="10">
        <v>0.22</v>
      </c>
      <c r="E427" s="10">
        <v>2.5</v>
      </c>
      <c r="F427" s="10">
        <v>5001</v>
      </c>
      <c r="G427" s="10">
        <v>6000</v>
      </c>
      <c r="H427" s="237">
        <v>10.91</v>
      </c>
      <c r="I427" s="74"/>
      <c r="J427" s="11">
        <f t="shared" si="47"/>
        <v>0</v>
      </c>
      <c r="K427" s="209"/>
      <c r="L427" s="11">
        <f>IF(K427&gt;I427,"ERROR",(K427*H427)*0.3+J427)</f>
        <v>0</v>
      </c>
      <c r="M427" s="772" t="s">
        <v>1146</v>
      </c>
      <c r="Q427" s="1129"/>
    </row>
    <row r="428" spans="1:17" ht="13.5" customHeight="1" thickBot="1">
      <c r="A428" s="1172"/>
      <c r="B428" s="1181"/>
      <c r="C428" s="1185"/>
      <c r="D428" s="12">
        <v>0.22</v>
      </c>
      <c r="E428" s="12">
        <v>2.5</v>
      </c>
      <c r="F428" s="12">
        <v>6001</v>
      </c>
      <c r="G428" s="12">
        <v>7000</v>
      </c>
      <c r="H428" s="238">
        <v>12.29</v>
      </c>
      <c r="I428" s="75"/>
      <c r="J428" s="13">
        <f t="shared" si="47"/>
        <v>0</v>
      </c>
      <c r="K428" s="210"/>
      <c r="L428" s="13">
        <f>IF(K428&gt;I428,"ERROR",(K428*H428)*0.3+J428)</f>
        <v>0</v>
      </c>
      <c r="M428" s="772" t="s">
        <v>1146</v>
      </c>
      <c r="Q428" s="1129"/>
    </row>
    <row r="429" spans="1:17" ht="12.75" customHeight="1">
      <c r="A429" s="1170" t="s">
        <v>129</v>
      </c>
      <c r="B429" s="1179" t="s">
        <v>876</v>
      </c>
      <c r="C429" s="1179" t="s">
        <v>677</v>
      </c>
      <c r="D429" s="7">
        <v>0.22</v>
      </c>
      <c r="E429" s="7">
        <v>2.5</v>
      </c>
      <c r="F429" s="7">
        <v>700</v>
      </c>
      <c r="G429" s="7">
        <v>1000</v>
      </c>
      <c r="H429" s="237">
        <v>4.9169999999999998</v>
      </c>
      <c r="I429" s="73"/>
      <c r="J429" s="8">
        <f t="shared" ref="J429:J435" si="52">+I429*H429</f>
        <v>0</v>
      </c>
      <c r="K429" s="211"/>
      <c r="L429" s="8">
        <f>IF(K429&gt;I429,"ERROR",(K429*H429)*0.1+J429)</f>
        <v>0</v>
      </c>
      <c r="M429" s="772" t="s">
        <v>1146</v>
      </c>
      <c r="P429" s="1130"/>
      <c r="Q429" s="1127"/>
    </row>
    <row r="430" spans="1:17" ht="12.75" customHeight="1">
      <c r="A430" s="1171"/>
      <c r="B430" s="1180"/>
      <c r="C430" s="1184"/>
      <c r="D430" s="10">
        <v>0.22</v>
      </c>
      <c r="E430" s="10">
        <v>2.5</v>
      </c>
      <c r="F430" s="10">
        <v>1001</v>
      </c>
      <c r="G430" s="10">
        <v>2000</v>
      </c>
      <c r="H430" s="237">
        <v>5.742</v>
      </c>
      <c r="I430" s="74"/>
      <c r="J430" s="11">
        <f t="shared" si="52"/>
        <v>0</v>
      </c>
      <c r="K430" s="209"/>
      <c r="L430" s="11">
        <f>IF(K430&gt;I430,"ERROR",(K430*H430)*0.15+J430)</f>
        <v>0</v>
      </c>
      <c r="M430" s="772" t="s">
        <v>1146</v>
      </c>
      <c r="P430" s="1131"/>
      <c r="Q430" s="1129"/>
    </row>
    <row r="431" spans="1:17" ht="12.75" customHeight="1">
      <c r="A431" s="1171"/>
      <c r="B431" s="1180"/>
      <c r="C431" s="1184"/>
      <c r="D431" s="10">
        <v>0.22</v>
      </c>
      <c r="E431" s="10">
        <v>2.5</v>
      </c>
      <c r="F431" s="10">
        <v>2001</v>
      </c>
      <c r="G431" s="10">
        <v>3000</v>
      </c>
      <c r="H431" s="237">
        <v>7.4359999999999999</v>
      </c>
      <c r="I431" s="74"/>
      <c r="J431" s="11">
        <f t="shared" si="52"/>
        <v>0</v>
      </c>
      <c r="K431" s="209"/>
      <c r="L431" s="11">
        <f>IF(K431&gt;I431,"ERROR",(K431*H431)*0.2+J431)</f>
        <v>0</v>
      </c>
      <c r="M431" s="772" t="s">
        <v>1146</v>
      </c>
      <c r="P431" s="1131"/>
      <c r="Q431" s="1129"/>
    </row>
    <row r="432" spans="1:17" ht="12.75" customHeight="1">
      <c r="A432" s="1171"/>
      <c r="B432" s="1180"/>
      <c r="C432" s="1184"/>
      <c r="D432" s="10">
        <v>0.22</v>
      </c>
      <c r="E432" s="10">
        <v>2.5</v>
      </c>
      <c r="F432" s="10">
        <v>3001</v>
      </c>
      <c r="G432" s="10">
        <v>4000</v>
      </c>
      <c r="H432" s="237">
        <v>8.9320000000000004</v>
      </c>
      <c r="I432" s="74"/>
      <c r="J432" s="11">
        <f t="shared" si="52"/>
        <v>0</v>
      </c>
      <c r="K432" s="209"/>
      <c r="L432" s="11">
        <f>IF(K432&gt;I432,"ERROR",(K432*H432)*0.25+J432)</f>
        <v>0</v>
      </c>
      <c r="M432" s="772" t="s">
        <v>1146</v>
      </c>
      <c r="Q432" s="1129"/>
    </row>
    <row r="433" spans="1:17" ht="12.75" customHeight="1">
      <c r="A433" s="1171"/>
      <c r="B433" s="1180"/>
      <c r="C433" s="1184"/>
      <c r="D433" s="10">
        <v>0.22</v>
      </c>
      <c r="E433" s="10">
        <v>2.5</v>
      </c>
      <c r="F433" s="10">
        <v>4001</v>
      </c>
      <c r="G433" s="10">
        <v>5000</v>
      </c>
      <c r="H433" s="237">
        <v>10.428000000000001</v>
      </c>
      <c r="I433" s="74"/>
      <c r="J433" s="11">
        <f t="shared" si="52"/>
        <v>0</v>
      </c>
      <c r="K433" s="209"/>
      <c r="L433" s="11">
        <f>IF(K433&gt;I433,"ERROR",(K433*H433)*0.3+J433)</f>
        <v>0</v>
      </c>
      <c r="M433" s="772" t="s">
        <v>1146</v>
      </c>
      <c r="Q433" s="1129"/>
    </row>
    <row r="434" spans="1:17" ht="12.75" customHeight="1">
      <c r="A434" s="1171"/>
      <c r="B434" s="1180"/>
      <c r="C434" s="1184"/>
      <c r="D434" s="10">
        <v>0.22</v>
      </c>
      <c r="E434" s="10">
        <v>2.5</v>
      </c>
      <c r="F434" s="10">
        <v>5001</v>
      </c>
      <c r="G434" s="10">
        <v>6000</v>
      </c>
      <c r="H434" s="237">
        <v>12.001000000000001</v>
      </c>
      <c r="I434" s="74"/>
      <c r="J434" s="11">
        <f t="shared" si="52"/>
        <v>0</v>
      </c>
      <c r="K434" s="209"/>
      <c r="L434" s="11">
        <f>IF(K434&gt;I434,"ERROR",(K434*H434)*0.3+J434)</f>
        <v>0</v>
      </c>
      <c r="M434" s="772" t="s">
        <v>1146</v>
      </c>
      <c r="Q434" s="1129"/>
    </row>
    <row r="435" spans="1:17" ht="13.5" customHeight="1" thickBot="1">
      <c r="A435" s="1172"/>
      <c r="B435" s="1181"/>
      <c r="C435" s="1185"/>
      <c r="D435" s="12">
        <v>0.22</v>
      </c>
      <c r="E435" s="12">
        <v>2.5</v>
      </c>
      <c r="F435" s="12">
        <v>6001</v>
      </c>
      <c r="G435" s="12">
        <v>7000</v>
      </c>
      <c r="H435" s="237">
        <v>13.519</v>
      </c>
      <c r="I435" s="75"/>
      <c r="J435" s="13">
        <f t="shared" si="52"/>
        <v>0</v>
      </c>
      <c r="K435" s="210"/>
      <c r="L435" s="13">
        <f>IF(K435&gt;I435,"ERROR",(K435*H435)*0.3+J435)</f>
        <v>0</v>
      </c>
      <c r="M435" s="772" t="s">
        <v>1146</v>
      </c>
      <c r="Q435" s="1129"/>
    </row>
    <row r="436" spans="1:17" ht="12.75" customHeight="1">
      <c r="A436" s="1170" t="s">
        <v>129</v>
      </c>
      <c r="B436" s="1179" t="s">
        <v>130</v>
      </c>
      <c r="C436" s="1179" t="s">
        <v>678</v>
      </c>
      <c r="D436" s="7">
        <v>0.22</v>
      </c>
      <c r="E436" s="7">
        <v>2.5</v>
      </c>
      <c r="F436" s="7">
        <v>700</v>
      </c>
      <c r="G436" s="7">
        <v>1000</v>
      </c>
      <c r="H436" s="239">
        <v>4.2699999999999996</v>
      </c>
      <c r="I436" s="73"/>
      <c r="J436" s="8">
        <f t="shared" si="47"/>
        <v>0</v>
      </c>
      <c r="K436" s="211"/>
      <c r="L436" s="8">
        <f>IF(K436&gt;I436,"ERROR",(K436*H436)*0.1+J436)</f>
        <v>0</v>
      </c>
      <c r="M436" s="772" t="s">
        <v>1146</v>
      </c>
      <c r="P436" s="1130"/>
      <c r="Q436" s="1127"/>
    </row>
    <row r="437" spans="1:17" ht="12.75" customHeight="1">
      <c r="A437" s="1171"/>
      <c r="B437" s="1180"/>
      <c r="C437" s="1184"/>
      <c r="D437" s="10">
        <v>0.22</v>
      </c>
      <c r="E437" s="10">
        <v>2.5</v>
      </c>
      <c r="F437" s="10">
        <v>1001</v>
      </c>
      <c r="G437" s="10">
        <v>2000</v>
      </c>
      <c r="H437" s="237">
        <v>4.7</v>
      </c>
      <c r="I437" s="74"/>
      <c r="J437" s="11">
        <f t="shared" si="47"/>
        <v>0</v>
      </c>
      <c r="K437" s="209"/>
      <c r="L437" s="11">
        <f>IF(K437&gt;I437,"ERROR",(K437*H437)*0.15+J437)</f>
        <v>0</v>
      </c>
      <c r="M437" s="772" t="s">
        <v>1146</v>
      </c>
      <c r="P437" s="1131"/>
      <c r="Q437" s="1129"/>
    </row>
    <row r="438" spans="1:17" ht="12.75" customHeight="1">
      <c r="A438" s="1171"/>
      <c r="B438" s="1180"/>
      <c r="C438" s="1184"/>
      <c r="D438" s="10">
        <v>0.22</v>
      </c>
      <c r="E438" s="10">
        <v>2.5</v>
      </c>
      <c r="F438" s="10">
        <v>2001</v>
      </c>
      <c r="G438" s="10">
        <v>3000</v>
      </c>
      <c r="H438" s="237">
        <v>5.95</v>
      </c>
      <c r="I438" s="74"/>
      <c r="J438" s="11">
        <f t="shared" si="47"/>
        <v>0</v>
      </c>
      <c r="K438" s="209"/>
      <c r="L438" s="11">
        <f>IF(K438&gt;I438,"ERROR",(K438*H438)*0.2+J438)</f>
        <v>0</v>
      </c>
      <c r="M438" s="772" t="s">
        <v>1146</v>
      </c>
      <c r="P438" s="1131"/>
      <c r="Q438" s="1129"/>
    </row>
    <row r="439" spans="1:17" ht="12.75" customHeight="1">
      <c r="A439" s="1171"/>
      <c r="B439" s="1180"/>
      <c r="C439" s="1184"/>
      <c r="D439" s="10">
        <v>0.22</v>
      </c>
      <c r="E439" s="10">
        <v>2.5</v>
      </c>
      <c r="F439" s="10">
        <v>3001</v>
      </c>
      <c r="G439" s="10">
        <v>4000</v>
      </c>
      <c r="H439" s="237">
        <v>6.92</v>
      </c>
      <c r="I439" s="74"/>
      <c r="J439" s="11">
        <f t="shared" si="47"/>
        <v>0</v>
      </c>
      <c r="K439" s="209"/>
      <c r="L439" s="11">
        <f>IF(K439&gt;I439,"ERROR",(K439*H439)*0.25+J439)</f>
        <v>0</v>
      </c>
      <c r="M439" s="772" t="s">
        <v>1146</v>
      </c>
      <c r="Q439" s="1129"/>
    </row>
    <row r="440" spans="1:17" ht="12.75" customHeight="1">
      <c r="A440" s="1171"/>
      <c r="B440" s="1180"/>
      <c r="C440" s="1184"/>
      <c r="D440" s="10">
        <v>0.22</v>
      </c>
      <c r="E440" s="10">
        <v>2.5</v>
      </c>
      <c r="F440" s="10">
        <v>4001</v>
      </c>
      <c r="G440" s="10">
        <v>5000</v>
      </c>
      <c r="H440" s="237">
        <v>7.98</v>
      </c>
      <c r="I440" s="74"/>
      <c r="J440" s="11">
        <f t="shared" si="47"/>
        <v>0</v>
      </c>
      <c r="K440" s="209"/>
      <c r="L440" s="11">
        <f>IF(K440&gt;I440,"ERROR",(K440*H440)*0.3+J440)</f>
        <v>0</v>
      </c>
      <c r="M440" s="772" t="s">
        <v>1146</v>
      </c>
      <c r="Q440" s="1129"/>
    </row>
    <row r="441" spans="1:17" ht="12.75" customHeight="1">
      <c r="A441" s="1171"/>
      <c r="B441" s="1180"/>
      <c r="C441" s="1184"/>
      <c r="D441" s="10">
        <v>0.22</v>
      </c>
      <c r="E441" s="10">
        <v>2.5</v>
      </c>
      <c r="F441" s="10">
        <v>5001</v>
      </c>
      <c r="G441" s="10">
        <v>6000</v>
      </c>
      <c r="H441" s="237">
        <v>9</v>
      </c>
      <c r="I441" s="74"/>
      <c r="J441" s="11">
        <f t="shared" si="47"/>
        <v>0</v>
      </c>
      <c r="K441" s="209"/>
      <c r="L441" s="11">
        <f>IF(K441&gt;I441,"ERROR",(K441*H441)*0.3+J441)</f>
        <v>0</v>
      </c>
      <c r="M441" s="772" t="s">
        <v>1146</v>
      </c>
      <c r="Q441" s="1129"/>
    </row>
    <row r="442" spans="1:17" ht="13.5" customHeight="1" thickBot="1">
      <c r="A442" s="1172"/>
      <c r="B442" s="1181"/>
      <c r="C442" s="1185"/>
      <c r="D442" s="12">
        <v>0.22</v>
      </c>
      <c r="E442" s="12">
        <v>2.5</v>
      </c>
      <c r="F442" s="12">
        <v>6001</v>
      </c>
      <c r="G442" s="12">
        <v>7000</v>
      </c>
      <c r="H442" s="238">
        <v>10.06</v>
      </c>
      <c r="I442" s="75"/>
      <c r="J442" s="13">
        <f t="shared" ref="J442:J492" si="53">+I442*H442</f>
        <v>0</v>
      </c>
      <c r="K442" s="210"/>
      <c r="L442" s="13">
        <f>IF(K442&gt;I442,"ERROR",(K442*H442)*0.3+J442)</f>
        <v>0</v>
      </c>
      <c r="M442" s="772" t="s">
        <v>1146</v>
      </c>
      <c r="Q442" s="1129"/>
    </row>
    <row r="443" spans="1:17" ht="12.75" customHeight="1">
      <c r="A443" s="1170" t="s">
        <v>129</v>
      </c>
      <c r="B443" s="1179" t="s">
        <v>876</v>
      </c>
      <c r="C443" s="1179" t="s">
        <v>678</v>
      </c>
      <c r="D443" s="7">
        <v>0.22</v>
      </c>
      <c r="E443" s="7">
        <v>2.5</v>
      </c>
      <c r="F443" s="7">
        <v>700</v>
      </c>
      <c r="G443" s="7">
        <v>1000</v>
      </c>
      <c r="H443" s="237">
        <v>4.6970000000000001</v>
      </c>
      <c r="I443" s="73"/>
      <c r="J443" s="8">
        <f t="shared" si="53"/>
        <v>0</v>
      </c>
      <c r="K443" s="211"/>
      <c r="L443" s="8">
        <f>IF(K443&gt;I443,"ERROR",(K443*H443)*0.1+J443)</f>
        <v>0</v>
      </c>
      <c r="M443" s="772" t="s">
        <v>1146</v>
      </c>
      <c r="P443" s="1130"/>
      <c r="Q443" s="1127"/>
    </row>
    <row r="444" spans="1:17" ht="12.75" customHeight="1">
      <c r="A444" s="1171"/>
      <c r="B444" s="1180"/>
      <c r="C444" s="1184"/>
      <c r="D444" s="10">
        <v>0.22</v>
      </c>
      <c r="E444" s="10">
        <v>2.5</v>
      </c>
      <c r="F444" s="10">
        <v>1001</v>
      </c>
      <c r="G444" s="10">
        <v>2000</v>
      </c>
      <c r="H444" s="237">
        <v>5.1700000000000008</v>
      </c>
      <c r="I444" s="74"/>
      <c r="J444" s="11">
        <f t="shared" si="53"/>
        <v>0</v>
      </c>
      <c r="K444" s="209"/>
      <c r="L444" s="11">
        <f>IF(K444&gt;I444,"ERROR",(K444*H444)*0.15+J444)</f>
        <v>0</v>
      </c>
      <c r="M444" s="772" t="s">
        <v>1146</v>
      </c>
      <c r="P444" s="1131"/>
      <c r="Q444" s="1129"/>
    </row>
    <row r="445" spans="1:17" ht="12.75" customHeight="1">
      <c r="A445" s="1171"/>
      <c r="B445" s="1180"/>
      <c r="C445" s="1184"/>
      <c r="D445" s="10">
        <v>0.22</v>
      </c>
      <c r="E445" s="10">
        <v>2.5</v>
      </c>
      <c r="F445" s="10">
        <v>2001</v>
      </c>
      <c r="G445" s="10">
        <v>3000</v>
      </c>
      <c r="H445" s="237">
        <v>6.5450000000000008</v>
      </c>
      <c r="I445" s="74"/>
      <c r="J445" s="11">
        <f t="shared" si="53"/>
        <v>0</v>
      </c>
      <c r="K445" s="209"/>
      <c r="L445" s="11">
        <f>IF(K445&gt;I445,"ERROR",(K445*H445)*0.2+J445)</f>
        <v>0</v>
      </c>
      <c r="M445" s="772" t="s">
        <v>1146</v>
      </c>
      <c r="P445" s="1131"/>
      <c r="Q445" s="1129"/>
    </row>
    <row r="446" spans="1:17" ht="12.75" customHeight="1">
      <c r="A446" s="1171"/>
      <c r="B446" s="1180"/>
      <c r="C446" s="1184"/>
      <c r="D446" s="10">
        <v>0.22</v>
      </c>
      <c r="E446" s="10">
        <v>2.5</v>
      </c>
      <c r="F446" s="10">
        <v>3001</v>
      </c>
      <c r="G446" s="10">
        <v>4000</v>
      </c>
      <c r="H446" s="237">
        <v>7.6120000000000001</v>
      </c>
      <c r="I446" s="74"/>
      <c r="J446" s="11">
        <f t="shared" si="53"/>
        <v>0</v>
      </c>
      <c r="K446" s="209"/>
      <c r="L446" s="11">
        <f>IF(K446&gt;I446,"ERROR",(K446*H446)*0.25+J446)</f>
        <v>0</v>
      </c>
      <c r="M446" s="772" t="s">
        <v>1146</v>
      </c>
      <c r="Q446" s="1129"/>
    </row>
    <row r="447" spans="1:17" ht="12.75" customHeight="1">
      <c r="A447" s="1171"/>
      <c r="B447" s="1180"/>
      <c r="C447" s="1184"/>
      <c r="D447" s="10">
        <v>0.22</v>
      </c>
      <c r="E447" s="10">
        <v>2.5</v>
      </c>
      <c r="F447" s="10">
        <v>4001</v>
      </c>
      <c r="G447" s="10">
        <v>5000</v>
      </c>
      <c r="H447" s="237">
        <v>8.7780000000000005</v>
      </c>
      <c r="I447" s="74"/>
      <c r="J447" s="11">
        <f t="shared" si="53"/>
        <v>0</v>
      </c>
      <c r="K447" s="209"/>
      <c r="L447" s="11">
        <f>IF(K447&gt;I447,"ERROR",(K447*H447)*0.3+J447)</f>
        <v>0</v>
      </c>
      <c r="M447" s="772" t="s">
        <v>1146</v>
      </c>
      <c r="Q447" s="1129"/>
    </row>
    <row r="448" spans="1:17" ht="12.75" customHeight="1">
      <c r="A448" s="1171"/>
      <c r="B448" s="1180"/>
      <c r="C448" s="1184"/>
      <c r="D448" s="10">
        <v>0.22</v>
      </c>
      <c r="E448" s="10">
        <v>2.5</v>
      </c>
      <c r="F448" s="10">
        <v>5001</v>
      </c>
      <c r="G448" s="10">
        <v>6000</v>
      </c>
      <c r="H448" s="237">
        <v>9.9</v>
      </c>
      <c r="I448" s="74"/>
      <c r="J448" s="11">
        <f t="shared" si="53"/>
        <v>0</v>
      </c>
      <c r="K448" s="209"/>
      <c r="L448" s="11">
        <f>IF(K448&gt;I448,"ERROR",(K448*H448)*0.3+J448)</f>
        <v>0</v>
      </c>
      <c r="M448" s="772" t="s">
        <v>1146</v>
      </c>
      <c r="Q448" s="1129"/>
    </row>
    <row r="449" spans="1:17" ht="13.5" customHeight="1" thickBot="1">
      <c r="A449" s="1172"/>
      <c r="B449" s="1181"/>
      <c r="C449" s="1185"/>
      <c r="D449" s="12">
        <v>0.22</v>
      </c>
      <c r="E449" s="12">
        <v>2.5</v>
      </c>
      <c r="F449" s="12">
        <v>6001</v>
      </c>
      <c r="G449" s="12">
        <v>7000</v>
      </c>
      <c r="H449" s="237">
        <v>11.066000000000001</v>
      </c>
      <c r="I449" s="75"/>
      <c r="J449" s="13">
        <f>+I449*H449</f>
        <v>0</v>
      </c>
      <c r="K449" s="210"/>
      <c r="L449" s="13">
        <f>IF(K449&gt;I449,"ERROR",(K449*H449)*0.3+J449)</f>
        <v>0</v>
      </c>
      <c r="M449" s="772" t="s">
        <v>1146</v>
      </c>
      <c r="Q449" s="1129"/>
    </row>
    <row r="450" spans="1:17" ht="12.75" customHeight="1">
      <c r="A450" s="1170" t="s">
        <v>129</v>
      </c>
      <c r="B450" s="1179" t="s">
        <v>130</v>
      </c>
      <c r="C450" s="1179" t="s">
        <v>1095</v>
      </c>
      <c r="D450" s="7">
        <v>0.22</v>
      </c>
      <c r="E450" s="7">
        <v>2.5</v>
      </c>
      <c r="F450" s="7">
        <v>700</v>
      </c>
      <c r="G450" s="7">
        <v>1000</v>
      </c>
      <c r="H450" s="739">
        <v>4.1900000000000004</v>
      </c>
      <c r="I450" s="722"/>
      <c r="J450" s="8">
        <f t="shared" ref="J450:J463" si="54">+I450*H450</f>
        <v>0</v>
      </c>
      <c r="K450" s="211"/>
      <c r="L450" s="8">
        <f>IF(K450&gt;I450,"ERROR",(K450*H450)*0.1+J450)</f>
        <v>0</v>
      </c>
      <c r="M450" s="772" t="s">
        <v>1146</v>
      </c>
      <c r="P450" s="1130"/>
      <c r="Q450" s="1127"/>
    </row>
    <row r="451" spans="1:17" ht="12.75" customHeight="1">
      <c r="A451" s="1171"/>
      <c r="B451" s="1180"/>
      <c r="C451" s="1184"/>
      <c r="D451" s="10">
        <v>0.22</v>
      </c>
      <c r="E451" s="10">
        <v>2.5</v>
      </c>
      <c r="F451" s="10">
        <v>1001</v>
      </c>
      <c r="G451" s="10">
        <v>2000</v>
      </c>
      <c r="H451" s="740">
        <v>4.49</v>
      </c>
      <c r="I451" s="723"/>
      <c r="J451" s="11">
        <f t="shared" si="54"/>
        <v>0</v>
      </c>
      <c r="K451" s="209"/>
      <c r="L451" s="11">
        <f>IF(K451&gt;I451,"ERROR",(K451*H451)*0.15+J451)</f>
        <v>0</v>
      </c>
      <c r="M451" s="772" t="s">
        <v>1146</v>
      </c>
      <c r="P451" s="1131"/>
      <c r="Q451" s="1129"/>
    </row>
    <row r="452" spans="1:17" ht="12.75" customHeight="1">
      <c r="A452" s="1171"/>
      <c r="B452" s="1180"/>
      <c r="C452" s="1184"/>
      <c r="D452" s="10">
        <v>0.22</v>
      </c>
      <c r="E452" s="10">
        <v>2.5</v>
      </c>
      <c r="F452" s="10">
        <v>2001</v>
      </c>
      <c r="G452" s="10">
        <v>3000</v>
      </c>
      <c r="H452" s="740">
        <v>5.49</v>
      </c>
      <c r="I452" s="723"/>
      <c r="J452" s="11">
        <f t="shared" si="54"/>
        <v>0</v>
      </c>
      <c r="K452" s="209"/>
      <c r="L452" s="11">
        <f>IF(K452&gt;I452,"ERROR",(K452*H452)*0.2+J452)</f>
        <v>0</v>
      </c>
      <c r="M452" s="772" t="s">
        <v>1146</v>
      </c>
      <c r="P452" s="1131"/>
      <c r="Q452" s="1129"/>
    </row>
    <row r="453" spans="1:17" ht="12.75" customHeight="1">
      <c r="A453" s="1171"/>
      <c r="B453" s="1180"/>
      <c r="C453" s="1184"/>
      <c r="D453" s="10">
        <v>0.22</v>
      </c>
      <c r="E453" s="10">
        <v>2.5</v>
      </c>
      <c r="F453" s="10">
        <v>3001</v>
      </c>
      <c r="G453" s="10">
        <v>4000</v>
      </c>
      <c r="H453" s="740">
        <v>6.375</v>
      </c>
      <c r="I453" s="723"/>
      <c r="J453" s="11">
        <f t="shared" si="54"/>
        <v>0</v>
      </c>
      <c r="K453" s="209"/>
      <c r="L453" s="11">
        <f>IF(K453&gt;I453,"ERROR",(K453*H453)*0.25+J453)</f>
        <v>0</v>
      </c>
      <c r="M453" s="772" t="s">
        <v>1146</v>
      </c>
      <c r="Q453" s="1129"/>
    </row>
    <row r="454" spans="1:17" ht="12.75" customHeight="1">
      <c r="A454" s="1171"/>
      <c r="B454" s="1180"/>
      <c r="C454" s="1184"/>
      <c r="D454" s="10">
        <v>0.22</v>
      </c>
      <c r="E454" s="10">
        <v>2.5</v>
      </c>
      <c r="F454" s="10">
        <v>4001</v>
      </c>
      <c r="G454" s="10">
        <v>5000</v>
      </c>
      <c r="H454" s="740">
        <v>7.2649999999999997</v>
      </c>
      <c r="I454" s="723"/>
      <c r="J454" s="11">
        <f t="shared" si="54"/>
        <v>0</v>
      </c>
      <c r="K454" s="209"/>
      <c r="L454" s="11">
        <f>IF(K454&gt;I454,"ERROR",(K454*H454)*0.3+J454)</f>
        <v>0</v>
      </c>
      <c r="M454" s="772" t="s">
        <v>1146</v>
      </c>
      <c r="Q454" s="1129"/>
    </row>
    <row r="455" spans="1:17" ht="12.75" customHeight="1">
      <c r="A455" s="1171"/>
      <c r="B455" s="1180"/>
      <c r="C455" s="1184"/>
      <c r="D455" s="10">
        <v>0.22</v>
      </c>
      <c r="E455" s="10">
        <v>2.5</v>
      </c>
      <c r="F455" s="10">
        <v>5001</v>
      </c>
      <c r="G455" s="10">
        <v>6000</v>
      </c>
      <c r="H455" s="740">
        <v>8.1300000000000008</v>
      </c>
      <c r="I455" s="723"/>
      <c r="J455" s="11">
        <f t="shared" si="54"/>
        <v>0</v>
      </c>
      <c r="K455" s="209"/>
      <c r="L455" s="11">
        <f>IF(K455&gt;I455,"ERROR",(K455*H455)*0.3+J455)</f>
        <v>0</v>
      </c>
      <c r="M455" s="772" t="s">
        <v>1146</v>
      </c>
      <c r="Q455" s="1129"/>
    </row>
    <row r="456" spans="1:17" ht="13.5" customHeight="1" thickBot="1">
      <c r="A456" s="1172"/>
      <c r="B456" s="1181"/>
      <c r="C456" s="1185"/>
      <c r="D456" s="12">
        <v>0.22</v>
      </c>
      <c r="E456" s="12">
        <v>2.5</v>
      </c>
      <c r="F456" s="12">
        <v>6001</v>
      </c>
      <c r="G456" s="12">
        <v>7000</v>
      </c>
      <c r="H456" s="741">
        <v>9.0749999999999993</v>
      </c>
      <c r="I456" s="724"/>
      <c r="J456" s="13">
        <f t="shared" si="54"/>
        <v>0</v>
      </c>
      <c r="K456" s="210"/>
      <c r="L456" s="13">
        <f>IF(K456&gt;I456,"ERROR",(K456*H456)*0.3+J456)</f>
        <v>0</v>
      </c>
      <c r="M456" s="772" t="s">
        <v>1146</v>
      </c>
      <c r="Q456" s="1129"/>
    </row>
    <row r="457" spans="1:17" ht="12.75" customHeight="1">
      <c r="A457" s="1170" t="s">
        <v>129</v>
      </c>
      <c r="B457" s="1179" t="s">
        <v>876</v>
      </c>
      <c r="C457" s="1179" t="s">
        <v>1095</v>
      </c>
      <c r="D457" s="7">
        <v>0.22</v>
      </c>
      <c r="E457" s="7">
        <v>2.5</v>
      </c>
      <c r="F457" s="7">
        <v>700</v>
      </c>
      <c r="G457" s="7">
        <v>1000</v>
      </c>
      <c r="H457" s="739">
        <v>4.609</v>
      </c>
      <c r="I457" s="722"/>
      <c r="J457" s="8">
        <f t="shared" si="54"/>
        <v>0</v>
      </c>
      <c r="K457" s="211"/>
      <c r="L457" s="8">
        <f>IF(K457&gt;I457,"ERROR",(K457*H457)*0.1+J457)</f>
        <v>0</v>
      </c>
      <c r="M457" s="772" t="s">
        <v>1146</v>
      </c>
      <c r="P457" s="1130"/>
      <c r="Q457" s="1127"/>
    </row>
    <row r="458" spans="1:17" ht="12.75" customHeight="1">
      <c r="A458" s="1171"/>
      <c r="B458" s="1180"/>
      <c r="C458" s="1184"/>
      <c r="D458" s="10">
        <v>0.22</v>
      </c>
      <c r="E458" s="10">
        <v>2.5</v>
      </c>
      <c r="F458" s="10">
        <v>1001</v>
      </c>
      <c r="G458" s="10">
        <v>2000</v>
      </c>
      <c r="H458" s="740">
        <v>4.9390000000000001</v>
      </c>
      <c r="I458" s="723"/>
      <c r="J458" s="11">
        <f t="shared" si="54"/>
        <v>0</v>
      </c>
      <c r="K458" s="209"/>
      <c r="L458" s="11">
        <f>IF(K458&gt;I458,"ERROR",(K458*H458)*0.15+J458)</f>
        <v>0</v>
      </c>
      <c r="M458" s="772" t="s">
        <v>1146</v>
      </c>
      <c r="P458" s="1131"/>
      <c r="Q458" s="1129"/>
    </row>
    <row r="459" spans="1:17" ht="12.75" customHeight="1">
      <c r="A459" s="1171"/>
      <c r="B459" s="1180"/>
      <c r="C459" s="1184"/>
      <c r="D459" s="10">
        <v>0.22</v>
      </c>
      <c r="E459" s="10">
        <v>2.5</v>
      </c>
      <c r="F459" s="10">
        <v>2001</v>
      </c>
      <c r="G459" s="10">
        <v>3000</v>
      </c>
      <c r="H459" s="740">
        <v>6.0389999999999997</v>
      </c>
      <c r="I459" s="723"/>
      <c r="J459" s="11">
        <f t="shared" si="54"/>
        <v>0</v>
      </c>
      <c r="K459" s="209"/>
      <c r="L459" s="11">
        <f>IF(K459&gt;I459,"ERROR",(K459*H459)*0.2+J459)</f>
        <v>0</v>
      </c>
      <c r="M459" s="772" t="s">
        <v>1146</v>
      </c>
      <c r="P459" s="1131"/>
      <c r="Q459" s="1129"/>
    </row>
    <row r="460" spans="1:17" ht="12.75" customHeight="1">
      <c r="A460" s="1171"/>
      <c r="B460" s="1180"/>
      <c r="C460" s="1184"/>
      <c r="D460" s="10">
        <v>0.22</v>
      </c>
      <c r="E460" s="10">
        <v>2.5</v>
      </c>
      <c r="F460" s="10">
        <v>3001</v>
      </c>
      <c r="G460" s="10">
        <v>4000</v>
      </c>
      <c r="H460" s="740">
        <v>7.0125000000000002</v>
      </c>
      <c r="I460" s="723"/>
      <c r="J460" s="11">
        <f t="shared" si="54"/>
        <v>0</v>
      </c>
      <c r="K460" s="209"/>
      <c r="L460" s="11">
        <f>IF(K460&gt;I460,"ERROR",(K460*H460)*0.25+J460)</f>
        <v>0</v>
      </c>
      <c r="M460" s="772" t="s">
        <v>1146</v>
      </c>
      <c r="Q460" s="1129"/>
    </row>
    <row r="461" spans="1:17" ht="12.75" customHeight="1">
      <c r="A461" s="1171"/>
      <c r="B461" s="1180"/>
      <c r="C461" s="1184"/>
      <c r="D461" s="10">
        <v>0.22</v>
      </c>
      <c r="E461" s="10">
        <v>2.5</v>
      </c>
      <c r="F461" s="10">
        <v>4001</v>
      </c>
      <c r="G461" s="10">
        <v>5000</v>
      </c>
      <c r="H461" s="740">
        <v>7.9915000000000003</v>
      </c>
      <c r="I461" s="723"/>
      <c r="J461" s="11">
        <f t="shared" si="54"/>
        <v>0</v>
      </c>
      <c r="K461" s="209"/>
      <c r="L461" s="11">
        <f>IF(K461&gt;I461,"ERROR",(K461*H461)*0.3+J461)</f>
        <v>0</v>
      </c>
      <c r="M461" s="772" t="s">
        <v>1146</v>
      </c>
      <c r="Q461" s="1129"/>
    </row>
    <row r="462" spans="1:17" ht="12.75" customHeight="1">
      <c r="A462" s="1171"/>
      <c r="B462" s="1180"/>
      <c r="C462" s="1184"/>
      <c r="D462" s="10">
        <v>0.22</v>
      </c>
      <c r="E462" s="10">
        <v>2.5</v>
      </c>
      <c r="F462" s="10">
        <v>5001</v>
      </c>
      <c r="G462" s="10">
        <v>6000</v>
      </c>
      <c r="H462" s="740">
        <v>8.9429999999999996</v>
      </c>
      <c r="I462" s="723"/>
      <c r="J462" s="11">
        <f t="shared" si="54"/>
        <v>0</v>
      </c>
      <c r="K462" s="209"/>
      <c r="L462" s="11">
        <f>IF(K462&gt;I462,"ERROR",(K462*H462)*0.3+J462)</f>
        <v>0</v>
      </c>
      <c r="M462" s="772" t="s">
        <v>1146</v>
      </c>
      <c r="Q462" s="1129"/>
    </row>
    <row r="463" spans="1:17" ht="13.5" customHeight="1" thickBot="1">
      <c r="A463" s="1172"/>
      <c r="B463" s="1181"/>
      <c r="C463" s="1185"/>
      <c r="D463" s="12">
        <v>0.22</v>
      </c>
      <c r="E463" s="12">
        <v>2.5</v>
      </c>
      <c r="F463" s="12">
        <v>6001</v>
      </c>
      <c r="G463" s="12">
        <v>7000</v>
      </c>
      <c r="H463" s="741">
        <v>9.9824999999999999</v>
      </c>
      <c r="I463" s="724"/>
      <c r="J463" s="13">
        <f t="shared" si="54"/>
        <v>0</v>
      </c>
      <c r="K463" s="210"/>
      <c r="L463" s="13">
        <f>IF(K463&gt;I463,"ERROR",(K463*H463)*0.3+J463)</f>
        <v>0</v>
      </c>
      <c r="M463" s="772" t="s">
        <v>1146</v>
      </c>
      <c r="Q463" s="1129"/>
    </row>
    <row r="464" spans="1:17" ht="12.75" customHeight="1">
      <c r="A464" s="1170" t="s">
        <v>129</v>
      </c>
      <c r="B464" s="1179" t="s">
        <v>130</v>
      </c>
      <c r="C464" s="1179" t="s">
        <v>679</v>
      </c>
      <c r="D464" s="7">
        <v>0.22</v>
      </c>
      <c r="E464" s="7">
        <v>2.5</v>
      </c>
      <c r="F464" s="7">
        <v>700</v>
      </c>
      <c r="G464" s="7">
        <v>1000</v>
      </c>
      <c r="H464" s="239">
        <v>4.1100000000000003</v>
      </c>
      <c r="I464" s="73"/>
      <c r="J464" s="8">
        <f t="shared" si="53"/>
        <v>0</v>
      </c>
      <c r="K464" s="211"/>
      <c r="L464" s="8">
        <f>IF(K464&gt;I464,"ERROR",(K464*H464)*0.1+J464)</f>
        <v>0</v>
      </c>
      <c r="M464" s="772" t="s">
        <v>1146</v>
      </c>
      <c r="P464" s="1130"/>
      <c r="Q464" s="1127"/>
    </row>
    <row r="465" spans="1:17" ht="12.75" customHeight="1">
      <c r="A465" s="1171"/>
      <c r="B465" s="1180"/>
      <c r="C465" s="1184"/>
      <c r="D465" s="10">
        <v>0.22</v>
      </c>
      <c r="E465" s="10">
        <v>2.5</v>
      </c>
      <c r="F465" s="10">
        <v>1001</v>
      </c>
      <c r="G465" s="10">
        <v>2000</v>
      </c>
      <c r="H465" s="237">
        <v>4.28</v>
      </c>
      <c r="I465" s="74"/>
      <c r="J465" s="11">
        <f t="shared" si="53"/>
        <v>0</v>
      </c>
      <c r="K465" s="209"/>
      <c r="L465" s="11">
        <f>IF(K465&gt;I465,"ERROR",(K465*H465)*0.15+J465)</f>
        <v>0</v>
      </c>
      <c r="M465" s="772" t="s">
        <v>1146</v>
      </c>
      <c r="P465" s="1131"/>
      <c r="Q465" s="1129"/>
    </row>
    <row r="466" spans="1:17" ht="12.75" customHeight="1">
      <c r="A466" s="1171"/>
      <c r="B466" s="1180"/>
      <c r="C466" s="1184"/>
      <c r="D466" s="10">
        <v>0.22</v>
      </c>
      <c r="E466" s="10">
        <v>2.5</v>
      </c>
      <c r="F466" s="10">
        <v>2001</v>
      </c>
      <c r="G466" s="10">
        <v>3000</v>
      </c>
      <c r="H466" s="237">
        <v>5.03</v>
      </c>
      <c r="I466" s="74"/>
      <c r="J466" s="11">
        <f t="shared" si="53"/>
        <v>0</v>
      </c>
      <c r="K466" s="209"/>
      <c r="L466" s="11">
        <f>IF(K466&gt;I466,"ERROR",(K466*H466)*0.2+J466)</f>
        <v>0</v>
      </c>
      <c r="M466" s="772" t="s">
        <v>1146</v>
      </c>
      <c r="P466" s="1131"/>
      <c r="Q466" s="1129"/>
    </row>
    <row r="467" spans="1:17" ht="12.75" customHeight="1">
      <c r="A467" s="1171"/>
      <c r="B467" s="1180"/>
      <c r="C467" s="1184"/>
      <c r="D467" s="10">
        <v>0.22</v>
      </c>
      <c r="E467" s="10">
        <v>2.5</v>
      </c>
      <c r="F467" s="10">
        <v>3001</v>
      </c>
      <c r="G467" s="10">
        <v>4000</v>
      </c>
      <c r="H467" s="237">
        <v>5.83</v>
      </c>
      <c r="I467" s="74"/>
      <c r="J467" s="11">
        <f t="shared" si="53"/>
        <v>0</v>
      </c>
      <c r="K467" s="209"/>
      <c r="L467" s="11">
        <f>IF(K467&gt;I467,"ERROR",(K467*H467)*0.25+J467)</f>
        <v>0</v>
      </c>
      <c r="M467" s="772" t="s">
        <v>1146</v>
      </c>
      <c r="Q467" s="1129"/>
    </row>
    <row r="468" spans="1:17" ht="12.75" customHeight="1">
      <c r="A468" s="1171"/>
      <c r="B468" s="1180"/>
      <c r="C468" s="1184"/>
      <c r="D468" s="10">
        <v>0.22</v>
      </c>
      <c r="E468" s="10">
        <v>2.5</v>
      </c>
      <c r="F468" s="10">
        <v>4001</v>
      </c>
      <c r="G468" s="10">
        <v>5000</v>
      </c>
      <c r="H468" s="237">
        <v>6.55</v>
      </c>
      <c r="I468" s="74"/>
      <c r="J468" s="11">
        <f t="shared" si="53"/>
        <v>0</v>
      </c>
      <c r="K468" s="209"/>
      <c r="L468" s="11">
        <f>IF(K468&gt;I468,"ERROR",(K468*H468)*0.3+J468)</f>
        <v>0</v>
      </c>
      <c r="M468" s="772" t="s">
        <v>1146</v>
      </c>
      <c r="Q468" s="1129"/>
    </row>
    <row r="469" spans="1:17" ht="12.75" customHeight="1">
      <c r="A469" s="1171"/>
      <c r="B469" s="1180"/>
      <c r="C469" s="1184"/>
      <c r="D469" s="10">
        <v>0.22</v>
      </c>
      <c r="E469" s="10">
        <v>2.5</v>
      </c>
      <c r="F469" s="10">
        <v>5001</v>
      </c>
      <c r="G469" s="10">
        <v>6000</v>
      </c>
      <c r="H469" s="237">
        <v>7.26</v>
      </c>
      <c r="I469" s="74"/>
      <c r="J469" s="11">
        <f t="shared" si="53"/>
        <v>0</v>
      </c>
      <c r="K469" s="209"/>
      <c r="L469" s="11">
        <f>IF(K469&gt;I469,"ERROR",(K469*H469)*0.3+J469)</f>
        <v>0</v>
      </c>
      <c r="M469" s="772" t="s">
        <v>1146</v>
      </c>
      <c r="Q469" s="1129"/>
    </row>
    <row r="470" spans="1:17" ht="13.5" customHeight="1" thickBot="1">
      <c r="A470" s="1172"/>
      <c r="B470" s="1181"/>
      <c r="C470" s="1185"/>
      <c r="D470" s="12">
        <v>0.22</v>
      </c>
      <c r="E470" s="12">
        <v>2.5</v>
      </c>
      <c r="F470" s="12">
        <v>6001</v>
      </c>
      <c r="G470" s="12">
        <v>7000</v>
      </c>
      <c r="H470" s="238">
        <v>8.09</v>
      </c>
      <c r="I470" s="75"/>
      <c r="J470" s="13">
        <f t="shared" si="53"/>
        <v>0</v>
      </c>
      <c r="K470" s="210"/>
      <c r="L470" s="13">
        <f>IF(K470&gt;I470,"ERROR",(K470*H470)*0.3+J470)</f>
        <v>0</v>
      </c>
      <c r="M470" s="772" t="s">
        <v>1146</v>
      </c>
      <c r="Q470" s="1129"/>
    </row>
    <row r="471" spans="1:17" ht="12.75" customHeight="1">
      <c r="A471" s="1170" t="s">
        <v>129</v>
      </c>
      <c r="B471" s="1179" t="s">
        <v>876</v>
      </c>
      <c r="C471" s="1179" t="s">
        <v>679</v>
      </c>
      <c r="D471" s="7">
        <v>0.22</v>
      </c>
      <c r="E471" s="7">
        <v>2.5</v>
      </c>
      <c r="F471" s="7">
        <v>700</v>
      </c>
      <c r="G471" s="7">
        <v>1000</v>
      </c>
      <c r="H471" s="237">
        <v>4.5210000000000008</v>
      </c>
      <c r="I471" s="73"/>
      <c r="J471" s="8">
        <f t="shared" ref="J471:J477" si="55">+I471*H471</f>
        <v>0</v>
      </c>
      <c r="K471" s="211"/>
      <c r="L471" s="8">
        <f>IF(K471&gt;I471,"ERROR",(K471*H471)*0.1+J471)</f>
        <v>0</v>
      </c>
      <c r="M471" s="772" t="s">
        <v>1146</v>
      </c>
      <c r="P471" s="1130"/>
      <c r="Q471" s="1127"/>
    </row>
    <row r="472" spans="1:17" ht="12.75" customHeight="1">
      <c r="A472" s="1171"/>
      <c r="B472" s="1180"/>
      <c r="C472" s="1184"/>
      <c r="D472" s="10">
        <v>0.22</v>
      </c>
      <c r="E472" s="10">
        <v>2.5</v>
      </c>
      <c r="F472" s="10">
        <v>1001</v>
      </c>
      <c r="G472" s="10">
        <v>2000</v>
      </c>
      <c r="H472" s="237">
        <v>4.7080000000000011</v>
      </c>
      <c r="I472" s="74">
        <v>2</v>
      </c>
      <c r="J472" s="11">
        <f t="shared" si="55"/>
        <v>9.4160000000000021</v>
      </c>
      <c r="K472" s="209"/>
      <c r="L472" s="11">
        <f>IF(K472&gt;I472,"ERROR",(K472*H472)*0.15+J472)</f>
        <v>9.4160000000000021</v>
      </c>
      <c r="M472" s="772" t="s">
        <v>1146</v>
      </c>
      <c r="P472" s="1131"/>
      <c r="Q472" s="1129"/>
    </row>
    <row r="473" spans="1:17" ht="12.75" customHeight="1">
      <c r="A473" s="1171"/>
      <c r="B473" s="1180"/>
      <c r="C473" s="1184"/>
      <c r="D473" s="10">
        <v>0.22</v>
      </c>
      <c r="E473" s="10">
        <v>2.5</v>
      </c>
      <c r="F473" s="10">
        <v>2001</v>
      </c>
      <c r="G473" s="10">
        <v>3000</v>
      </c>
      <c r="H473" s="237">
        <v>5.5330000000000004</v>
      </c>
      <c r="I473" s="74">
        <v>1</v>
      </c>
      <c r="J473" s="11">
        <f t="shared" si="55"/>
        <v>5.5330000000000004</v>
      </c>
      <c r="K473" s="209"/>
      <c r="L473" s="11">
        <f>IF(K473&gt;I473,"ERROR",(K473*H473)*0.2+J473)</f>
        <v>5.5330000000000004</v>
      </c>
      <c r="M473" s="772" t="s">
        <v>1146</v>
      </c>
      <c r="P473" s="1131"/>
      <c r="Q473" s="1129"/>
    </row>
    <row r="474" spans="1:17" ht="12.75" customHeight="1">
      <c r="A474" s="1171"/>
      <c r="B474" s="1180"/>
      <c r="C474" s="1184"/>
      <c r="D474" s="10">
        <v>0.22</v>
      </c>
      <c r="E474" s="10">
        <v>2.5</v>
      </c>
      <c r="F474" s="10">
        <v>3001</v>
      </c>
      <c r="G474" s="10">
        <v>4000</v>
      </c>
      <c r="H474" s="237">
        <v>6.4130000000000003</v>
      </c>
      <c r="I474" s="74"/>
      <c r="J474" s="11">
        <f t="shared" si="55"/>
        <v>0</v>
      </c>
      <c r="K474" s="209"/>
      <c r="L474" s="11">
        <f>IF(K474&gt;I474,"ERROR",(K474*H474)*0.25+J474)</f>
        <v>0</v>
      </c>
      <c r="M474" s="772" t="s">
        <v>1146</v>
      </c>
      <c r="Q474" s="1129"/>
    </row>
    <row r="475" spans="1:17" ht="12.75" customHeight="1">
      <c r="A475" s="1171"/>
      <c r="B475" s="1180"/>
      <c r="C475" s="1184"/>
      <c r="D475" s="10">
        <v>0.22</v>
      </c>
      <c r="E475" s="10">
        <v>2.5</v>
      </c>
      <c r="F475" s="10">
        <v>4001</v>
      </c>
      <c r="G475" s="10">
        <v>5000</v>
      </c>
      <c r="H475" s="237">
        <v>7.2050000000000001</v>
      </c>
      <c r="I475" s="74"/>
      <c r="J475" s="11">
        <f t="shared" si="55"/>
        <v>0</v>
      </c>
      <c r="K475" s="209"/>
      <c r="L475" s="11">
        <f>IF(K475&gt;I475,"ERROR",(K475*H475)*0.3+J475)</f>
        <v>0</v>
      </c>
      <c r="M475" s="772" t="s">
        <v>1146</v>
      </c>
      <c r="Q475" s="1129"/>
    </row>
    <row r="476" spans="1:17" ht="12.75" customHeight="1">
      <c r="A476" s="1171"/>
      <c r="B476" s="1180"/>
      <c r="C476" s="1184"/>
      <c r="D476" s="10">
        <v>0.22</v>
      </c>
      <c r="E476" s="10">
        <v>2.5</v>
      </c>
      <c r="F476" s="10">
        <v>5001</v>
      </c>
      <c r="G476" s="10">
        <v>6000</v>
      </c>
      <c r="H476" s="237">
        <v>7.9860000000000007</v>
      </c>
      <c r="I476" s="74"/>
      <c r="J476" s="11">
        <f t="shared" si="55"/>
        <v>0</v>
      </c>
      <c r="K476" s="209"/>
      <c r="L476" s="11">
        <f>IF(K476&gt;I476,"ERROR",(K476*H476)*0.3+J476)</f>
        <v>0</v>
      </c>
      <c r="M476" s="772" t="s">
        <v>1146</v>
      </c>
      <c r="Q476" s="1129"/>
    </row>
    <row r="477" spans="1:17" ht="13.5" customHeight="1" thickBot="1">
      <c r="A477" s="1172"/>
      <c r="B477" s="1181"/>
      <c r="C477" s="1185"/>
      <c r="D477" s="12">
        <v>0.22</v>
      </c>
      <c r="E477" s="12">
        <v>2.5</v>
      </c>
      <c r="F477" s="12">
        <v>6001</v>
      </c>
      <c r="G477" s="12">
        <v>7000</v>
      </c>
      <c r="H477" s="237">
        <v>8.8990000000000009</v>
      </c>
      <c r="I477" s="75"/>
      <c r="J477" s="13">
        <f t="shared" si="55"/>
        <v>0</v>
      </c>
      <c r="K477" s="210"/>
      <c r="L477" s="13">
        <f>IF(K477&gt;I477,"ERROR",(K477*H477)*0.3+J477)</f>
        <v>0</v>
      </c>
      <c r="M477" s="772" t="s">
        <v>1146</v>
      </c>
      <c r="Q477" s="1129"/>
    </row>
    <row r="478" spans="1:17" ht="12.75" customHeight="1">
      <c r="A478" s="1170" t="s">
        <v>171</v>
      </c>
      <c r="B478" s="1179" t="s">
        <v>172</v>
      </c>
      <c r="C478" s="1179" t="s">
        <v>564</v>
      </c>
      <c r="D478" s="7">
        <v>2.8</v>
      </c>
      <c r="E478" s="7">
        <v>40</v>
      </c>
      <c r="F478" s="7">
        <v>0</v>
      </c>
      <c r="G478" s="7">
        <v>200</v>
      </c>
      <c r="H478" s="239">
        <v>0.72</v>
      </c>
      <c r="I478" s="73"/>
      <c r="J478" s="8">
        <f t="shared" si="53"/>
        <v>0</v>
      </c>
      <c r="K478" s="212"/>
      <c r="L478" s="213">
        <f>J478</f>
        <v>0</v>
      </c>
      <c r="M478" s="772" t="s">
        <v>1146</v>
      </c>
      <c r="Q478" s="1129"/>
    </row>
    <row r="479" spans="1:17" ht="12.75" customHeight="1">
      <c r="A479" s="1171"/>
      <c r="B479" s="1180"/>
      <c r="C479" s="1186"/>
      <c r="D479" s="10">
        <v>2.8</v>
      </c>
      <c r="E479" s="10">
        <v>40</v>
      </c>
      <c r="F479" s="10">
        <v>201</v>
      </c>
      <c r="G479" s="10">
        <v>400</v>
      </c>
      <c r="H479" s="237">
        <v>0.78</v>
      </c>
      <c r="I479" s="74"/>
      <c r="J479" s="11">
        <f t="shared" si="53"/>
        <v>0</v>
      </c>
      <c r="K479" s="214"/>
      <c r="L479" s="215">
        <f t="shared" ref="L479:L598" si="56">J479</f>
        <v>0</v>
      </c>
      <c r="M479" s="772" t="s">
        <v>1146</v>
      </c>
      <c r="Q479" s="1129"/>
    </row>
    <row r="480" spans="1:17" ht="12.75" customHeight="1">
      <c r="A480" s="1171"/>
      <c r="B480" s="1180"/>
      <c r="C480" s="1186"/>
      <c r="D480" s="10">
        <v>2.8</v>
      </c>
      <c r="E480" s="10">
        <v>40</v>
      </c>
      <c r="F480" s="10">
        <v>401</v>
      </c>
      <c r="G480" s="10">
        <v>600</v>
      </c>
      <c r="H480" s="237">
        <v>0.96</v>
      </c>
      <c r="I480" s="74"/>
      <c r="J480" s="11">
        <f t="shared" si="53"/>
        <v>0</v>
      </c>
      <c r="K480" s="214"/>
      <c r="L480" s="215">
        <f t="shared" si="56"/>
        <v>0</v>
      </c>
      <c r="M480" s="772" t="s">
        <v>1146</v>
      </c>
      <c r="Q480" s="1129"/>
    </row>
    <row r="481" spans="1:17" ht="12.75" customHeight="1">
      <c r="A481" s="1171"/>
      <c r="B481" s="1180"/>
      <c r="C481" s="1186"/>
      <c r="D481" s="10">
        <v>2.8</v>
      </c>
      <c r="E481" s="10">
        <v>40</v>
      </c>
      <c r="F481" s="10">
        <v>601</v>
      </c>
      <c r="G481" s="10">
        <v>800</v>
      </c>
      <c r="H481" s="237">
        <v>1.1399999999999999</v>
      </c>
      <c r="I481" s="74"/>
      <c r="J481" s="11">
        <f t="shared" si="53"/>
        <v>0</v>
      </c>
      <c r="K481" s="214"/>
      <c r="L481" s="215">
        <f t="shared" si="56"/>
        <v>0</v>
      </c>
      <c r="M481" s="772" t="s">
        <v>1146</v>
      </c>
      <c r="Q481" s="1129"/>
    </row>
    <row r="482" spans="1:17" ht="12.75" customHeight="1">
      <c r="A482" s="1171"/>
      <c r="B482" s="1180"/>
      <c r="C482" s="1186"/>
      <c r="D482" s="10">
        <v>2.8</v>
      </c>
      <c r="E482" s="10">
        <v>40</v>
      </c>
      <c r="F482" s="10">
        <v>801</v>
      </c>
      <c r="G482" s="10">
        <v>1000</v>
      </c>
      <c r="H482" s="237">
        <v>1.26</v>
      </c>
      <c r="I482" s="74"/>
      <c r="J482" s="11">
        <f t="shared" si="53"/>
        <v>0</v>
      </c>
      <c r="K482" s="214"/>
      <c r="L482" s="215">
        <f t="shared" si="56"/>
        <v>0</v>
      </c>
      <c r="M482" s="772" t="s">
        <v>1146</v>
      </c>
      <c r="Q482" s="1129"/>
    </row>
    <row r="483" spans="1:17" ht="12.75" customHeight="1">
      <c r="A483" s="1171"/>
      <c r="B483" s="1180"/>
      <c r="C483" s="1186"/>
      <c r="D483" s="10">
        <v>2.8</v>
      </c>
      <c r="E483" s="10">
        <v>40</v>
      </c>
      <c r="F483" s="10">
        <v>1001</v>
      </c>
      <c r="G483" s="10">
        <v>1200</v>
      </c>
      <c r="H483" s="237">
        <v>1.5</v>
      </c>
      <c r="I483" s="74"/>
      <c r="J483" s="11">
        <f t="shared" si="53"/>
        <v>0</v>
      </c>
      <c r="K483" s="214"/>
      <c r="L483" s="215">
        <f t="shared" si="56"/>
        <v>0</v>
      </c>
      <c r="M483" s="772" t="s">
        <v>1146</v>
      </c>
      <c r="Q483" s="1129"/>
    </row>
    <row r="484" spans="1:17" ht="12.75" customHeight="1">
      <c r="A484" s="1171"/>
      <c r="B484" s="1180"/>
      <c r="C484" s="1186"/>
      <c r="D484" s="10">
        <v>2.8</v>
      </c>
      <c r="E484" s="10">
        <v>40</v>
      </c>
      <c r="F484" s="10">
        <v>1201</v>
      </c>
      <c r="G484" s="10">
        <v>1400</v>
      </c>
      <c r="H484" s="237">
        <v>1.74</v>
      </c>
      <c r="I484" s="74"/>
      <c r="J484" s="11">
        <f t="shared" si="53"/>
        <v>0</v>
      </c>
      <c r="K484" s="214"/>
      <c r="L484" s="215">
        <f t="shared" si="56"/>
        <v>0</v>
      </c>
      <c r="M484" s="772" t="s">
        <v>1146</v>
      </c>
      <c r="Q484" s="1129"/>
    </row>
    <row r="485" spans="1:17" ht="12.75" customHeight="1">
      <c r="A485" s="1171"/>
      <c r="B485" s="1180"/>
      <c r="C485" s="1186"/>
      <c r="D485" s="10">
        <v>2.8</v>
      </c>
      <c r="E485" s="10">
        <v>40</v>
      </c>
      <c r="F485" s="10">
        <v>1401</v>
      </c>
      <c r="G485" s="10">
        <v>1600</v>
      </c>
      <c r="H485" s="237">
        <v>1.98</v>
      </c>
      <c r="I485" s="74"/>
      <c r="J485" s="11">
        <f t="shared" si="53"/>
        <v>0</v>
      </c>
      <c r="K485" s="214"/>
      <c r="L485" s="215">
        <f t="shared" si="56"/>
        <v>0</v>
      </c>
      <c r="M485" s="772" t="s">
        <v>1146</v>
      </c>
      <c r="Q485" s="1129"/>
    </row>
    <row r="486" spans="1:17" ht="12.75" customHeight="1">
      <c r="A486" s="1171"/>
      <c r="B486" s="1180"/>
      <c r="C486" s="1186"/>
      <c r="D486" s="10">
        <v>2.8</v>
      </c>
      <c r="E486" s="10">
        <v>40</v>
      </c>
      <c r="F486" s="10">
        <v>1601</v>
      </c>
      <c r="G486" s="10">
        <v>1800</v>
      </c>
      <c r="H486" s="237">
        <v>2.2200000000000002</v>
      </c>
      <c r="I486" s="74"/>
      <c r="J486" s="11">
        <f t="shared" si="53"/>
        <v>0</v>
      </c>
      <c r="K486" s="214"/>
      <c r="L486" s="215">
        <f t="shared" si="56"/>
        <v>0</v>
      </c>
      <c r="M486" s="772" t="s">
        <v>1146</v>
      </c>
      <c r="Q486" s="1129"/>
    </row>
    <row r="487" spans="1:17" ht="12.75" customHeight="1">
      <c r="A487" s="1171"/>
      <c r="B487" s="1180"/>
      <c r="C487" s="1186"/>
      <c r="D487" s="10">
        <v>2.8</v>
      </c>
      <c r="E487" s="10">
        <v>40</v>
      </c>
      <c r="F487" s="10">
        <v>1801</v>
      </c>
      <c r="G487" s="10">
        <v>2000</v>
      </c>
      <c r="H487" s="237">
        <v>2.46</v>
      </c>
      <c r="I487" s="74"/>
      <c r="J487" s="11">
        <f t="shared" si="53"/>
        <v>0</v>
      </c>
      <c r="K487" s="214"/>
      <c r="L487" s="215">
        <f t="shared" si="56"/>
        <v>0</v>
      </c>
      <c r="M487" s="772" t="s">
        <v>1146</v>
      </c>
      <c r="Q487" s="1129"/>
    </row>
    <row r="488" spans="1:17" ht="12.75" customHeight="1">
      <c r="A488" s="1171"/>
      <c r="B488" s="1180"/>
      <c r="C488" s="1186"/>
      <c r="D488" s="10">
        <v>2.8</v>
      </c>
      <c r="E488" s="10">
        <v>40</v>
      </c>
      <c r="F488" s="10">
        <v>2001</v>
      </c>
      <c r="G488" s="10">
        <v>2200</v>
      </c>
      <c r="H488" s="237">
        <v>2.7</v>
      </c>
      <c r="I488" s="74"/>
      <c r="J488" s="11">
        <f t="shared" si="53"/>
        <v>0</v>
      </c>
      <c r="K488" s="214"/>
      <c r="L488" s="215">
        <f t="shared" si="56"/>
        <v>0</v>
      </c>
      <c r="M488" s="772" t="s">
        <v>1146</v>
      </c>
      <c r="Q488" s="1129"/>
    </row>
    <row r="489" spans="1:17" ht="12.75" customHeight="1">
      <c r="A489" s="1171"/>
      <c r="B489" s="1180"/>
      <c r="C489" s="1186"/>
      <c r="D489" s="10">
        <v>2.8</v>
      </c>
      <c r="E489" s="10">
        <v>40</v>
      </c>
      <c r="F489" s="10">
        <v>2201</v>
      </c>
      <c r="G489" s="10">
        <v>2400</v>
      </c>
      <c r="H489" s="237">
        <v>2.94</v>
      </c>
      <c r="I489" s="74"/>
      <c r="J489" s="11">
        <f t="shared" si="53"/>
        <v>0</v>
      </c>
      <c r="K489" s="214"/>
      <c r="L489" s="215">
        <f t="shared" si="56"/>
        <v>0</v>
      </c>
      <c r="M489" s="772" t="s">
        <v>1146</v>
      </c>
      <c r="Q489" s="1129"/>
    </row>
    <row r="490" spans="1:17" ht="12.75" customHeight="1">
      <c r="A490" s="1171"/>
      <c r="B490" s="1180"/>
      <c r="C490" s="1186"/>
      <c r="D490" s="10">
        <v>2.8</v>
      </c>
      <c r="E490" s="10">
        <v>40</v>
      </c>
      <c r="F490" s="10">
        <v>2401</v>
      </c>
      <c r="G490" s="10">
        <v>2600</v>
      </c>
      <c r="H490" s="237">
        <v>3.18</v>
      </c>
      <c r="I490" s="74"/>
      <c r="J490" s="11">
        <f t="shared" si="53"/>
        <v>0</v>
      </c>
      <c r="K490" s="214"/>
      <c r="L490" s="215">
        <f t="shared" si="56"/>
        <v>0</v>
      </c>
      <c r="M490" s="772" t="s">
        <v>1146</v>
      </c>
      <c r="Q490" s="1129"/>
    </row>
    <row r="491" spans="1:17" ht="12.75" customHeight="1">
      <c r="A491" s="1171"/>
      <c r="B491" s="1180"/>
      <c r="C491" s="1186"/>
      <c r="D491" s="10">
        <v>2.8</v>
      </c>
      <c r="E491" s="10">
        <v>40</v>
      </c>
      <c r="F491" s="10">
        <v>2601</v>
      </c>
      <c r="G491" s="10">
        <v>2800</v>
      </c>
      <c r="H491" s="237">
        <v>3.42</v>
      </c>
      <c r="I491" s="74"/>
      <c r="J491" s="11">
        <f t="shared" si="53"/>
        <v>0</v>
      </c>
      <c r="K491" s="214"/>
      <c r="L491" s="215">
        <f t="shared" si="56"/>
        <v>0</v>
      </c>
      <c r="M491" s="772" t="s">
        <v>1146</v>
      </c>
      <c r="Q491" s="1129"/>
    </row>
    <row r="492" spans="1:17" ht="12.75" customHeight="1">
      <c r="A492" s="1171"/>
      <c r="B492" s="1180"/>
      <c r="C492" s="1186"/>
      <c r="D492" s="10">
        <v>2.8</v>
      </c>
      <c r="E492" s="10">
        <v>40</v>
      </c>
      <c r="F492" s="306">
        <v>2801</v>
      </c>
      <c r="G492" s="306">
        <v>3000</v>
      </c>
      <c r="H492" s="307">
        <v>3.66</v>
      </c>
      <c r="I492" s="308"/>
      <c r="J492" s="378">
        <f t="shared" si="53"/>
        <v>0</v>
      </c>
      <c r="K492" s="309"/>
      <c r="L492" s="379">
        <f t="shared" si="56"/>
        <v>0</v>
      </c>
      <c r="M492" s="772" t="s">
        <v>1146</v>
      </c>
      <c r="Q492" s="1129"/>
    </row>
    <row r="493" spans="1:17" ht="12.75" customHeight="1">
      <c r="A493" s="1171"/>
      <c r="B493" s="1180"/>
      <c r="C493" s="1186"/>
      <c r="D493" s="10">
        <v>2.8</v>
      </c>
      <c r="E493" s="10">
        <v>40</v>
      </c>
      <c r="F493" s="10">
        <v>3001</v>
      </c>
      <c r="G493" s="10">
        <v>3200</v>
      </c>
      <c r="H493" s="307">
        <f>0.24+H492</f>
        <v>3.9000000000000004</v>
      </c>
      <c r="I493" s="308"/>
      <c r="J493" s="378">
        <f t="shared" ref="J493:J527" si="57">+I493*H493</f>
        <v>0</v>
      </c>
      <c r="K493" s="309"/>
      <c r="L493" s="379">
        <f t="shared" si="56"/>
        <v>0</v>
      </c>
      <c r="M493" s="772" t="s">
        <v>1146</v>
      </c>
      <c r="Q493" s="1129"/>
    </row>
    <row r="494" spans="1:17" ht="12.75" customHeight="1">
      <c r="A494" s="1171"/>
      <c r="B494" s="1180"/>
      <c r="C494" s="1186"/>
      <c r="D494" s="10">
        <v>2.8</v>
      </c>
      <c r="E494" s="10">
        <v>40</v>
      </c>
      <c r="F494" s="306">
        <v>3201</v>
      </c>
      <c r="G494" s="306">
        <v>3400</v>
      </c>
      <c r="H494" s="307">
        <f t="shared" ref="H494:H527" si="58">0.24+H493</f>
        <v>4.1400000000000006</v>
      </c>
      <c r="I494" s="308"/>
      <c r="J494" s="378">
        <f t="shared" si="57"/>
        <v>0</v>
      </c>
      <c r="K494" s="309"/>
      <c r="L494" s="379">
        <f t="shared" si="56"/>
        <v>0</v>
      </c>
      <c r="M494" s="772" t="s">
        <v>1146</v>
      </c>
      <c r="Q494" s="1129"/>
    </row>
    <row r="495" spans="1:17" ht="12.75" customHeight="1">
      <c r="A495" s="1171"/>
      <c r="B495" s="1180"/>
      <c r="C495" s="1186"/>
      <c r="D495" s="10">
        <v>2.8</v>
      </c>
      <c r="E495" s="10">
        <v>40</v>
      </c>
      <c r="F495" s="10">
        <v>3401</v>
      </c>
      <c r="G495" s="10">
        <v>3600</v>
      </c>
      <c r="H495" s="307">
        <f t="shared" si="58"/>
        <v>4.3800000000000008</v>
      </c>
      <c r="I495" s="308"/>
      <c r="J495" s="378">
        <f t="shared" si="57"/>
        <v>0</v>
      </c>
      <c r="K495" s="309"/>
      <c r="L495" s="379">
        <f t="shared" si="56"/>
        <v>0</v>
      </c>
      <c r="M495" s="772" t="s">
        <v>1146</v>
      </c>
      <c r="Q495" s="1129"/>
    </row>
    <row r="496" spans="1:17" ht="12.75" customHeight="1">
      <c r="A496" s="1171"/>
      <c r="B496" s="1180"/>
      <c r="C496" s="1186"/>
      <c r="D496" s="10">
        <v>2.8</v>
      </c>
      <c r="E496" s="10">
        <v>40</v>
      </c>
      <c r="F496" s="306">
        <v>3601</v>
      </c>
      <c r="G496" s="306">
        <v>3800</v>
      </c>
      <c r="H496" s="307">
        <f t="shared" si="58"/>
        <v>4.620000000000001</v>
      </c>
      <c r="I496" s="308"/>
      <c r="J496" s="378">
        <f t="shared" si="57"/>
        <v>0</v>
      </c>
      <c r="K496" s="309"/>
      <c r="L496" s="379">
        <f t="shared" si="56"/>
        <v>0</v>
      </c>
      <c r="M496" s="772" t="s">
        <v>1146</v>
      </c>
      <c r="Q496" s="1129"/>
    </row>
    <row r="497" spans="1:17" ht="12.75" customHeight="1">
      <c r="A497" s="1171"/>
      <c r="B497" s="1180"/>
      <c r="C497" s="1186"/>
      <c r="D497" s="10">
        <v>2.8</v>
      </c>
      <c r="E497" s="10">
        <v>40</v>
      </c>
      <c r="F497" s="10">
        <v>3801</v>
      </c>
      <c r="G497" s="10">
        <v>4000</v>
      </c>
      <c r="H497" s="307">
        <f t="shared" si="58"/>
        <v>4.8600000000000012</v>
      </c>
      <c r="I497" s="308"/>
      <c r="J497" s="378">
        <f t="shared" si="57"/>
        <v>0</v>
      </c>
      <c r="K497" s="309"/>
      <c r="L497" s="379">
        <f t="shared" si="56"/>
        <v>0</v>
      </c>
      <c r="M497" s="772" t="s">
        <v>1146</v>
      </c>
      <c r="Q497" s="1129"/>
    </row>
    <row r="498" spans="1:17" ht="12.75" customHeight="1">
      <c r="A498" s="1171"/>
      <c r="B498" s="1180"/>
      <c r="C498" s="1186"/>
      <c r="D498" s="10">
        <v>2.8</v>
      </c>
      <c r="E498" s="10">
        <v>40</v>
      </c>
      <c r="F498" s="306">
        <v>4001</v>
      </c>
      <c r="G498" s="306">
        <v>4200</v>
      </c>
      <c r="H498" s="307">
        <f t="shared" si="58"/>
        <v>5.1000000000000014</v>
      </c>
      <c r="I498" s="308"/>
      <c r="J498" s="378">
        <f t="shared" si="57"/>
        <v>0</v>
      </c>
      <c r="K498" s="309"/>
      <c r="L498" s="379">
        <f t="shared" si="56"/>
        <v>0</v>
      </c>
      <c r="M498" s="772" t="s">
        <v>1146</v>
      </c>
      <c r="Q498" s="1129"/>
    </row>
    <row r="499" spans="1:17" ht="12.75" customHeight="1">
      <c r="A499" s="1171"/>
      <c r="B499" s="1180"/>
      <c r="C499" s="1186"/>
      <c r="D499" s="10">
        <v>2.8</v>
      </c>
      <c r="E499" s="10">
        <v>40</v>
      </c>
      <c r="F499" s="10">
        <v>4201</v>
      </c>
      <c r="G499" s="10">
        <v>4400</v>
      </c>
      <c r="H499" s="307">
        <f t="shared" si="58"/>
        <v>5.3400000000000016</v>
      </c>
      <c r="I499" s="308"/>
      <c r="J499" s="378">
        <f t="shared" si="57"/>
        <v>0</v>
      </c>
      <c r="K499" s="309"/>
      <c r="L499" s="379">
        <f t="shared" si="56"/>
        <v>0</v>
      </c>
      <c r="M499" s="772" t="s">
        <v>1146</v>
      </c>
      <c r="Q499" s="1129"/>
    </row>
    <row r="500" spans="1:17" ht="12.75" customHeight="1">
      <c r="A500" s="1171"/>
      <c r="B500" s="1180"/>
      <c r="C500" s="1186"/>
      <c r="D500" s="10">
        <v>2.8</v>
      </c>
      <c r="E500" s="10">
        <v>40</v>
      </c>
      <c r="F500" s="306">
        <v>4401</v>
      </c>
      <c r="G500" s="306">
        <v>4600</v>
      </c>
      <c r="H500" s="307">
        <f t="shared" si="58"/>
        <v>5.5800000000000018</v>
      </c>
      <c r="I500" s="308"/>
      <c r="J500" s="378">
        <f t="shared" si="57"/>
        <v>0</v>
      </c>
      <c r="K500" s="309"/>
      <c r="L500" s="379">
        <f t="shared" si="56"/>
        <v>0</v>
      </c>
      <c r="M500" s="772" t="s">
        <v>1146</v>
      </c>
      <c r="Q500" s="1129"/>
    </row>
    <row r="501" spans="1:17" ht="12.75" customHeight="1">
      <c r="A501" s="1171"/>
      <c r="B501" s="1180"/>
      <c r="C501" s="1186"/>
      <c r="D501" s="10">
        <v>2.8</v>
      </c>
      <c r="E501" s="10">
        <v>40</v>
      </c>
      <c r="F501" s="10">
        <v>4601</v>
      </c>
      <c r="G501" s="10">
        <v>4800</v>
      </c>
      <c r="H501" s="307">
        <f t="shared" si="58"/>
        <v>5.8200000000000021</v>
      </c>
      <c r="I501" s="308"/>
      <c r="J501" s="378">
        <f t="shared" si="57"/>
        <v>0</v>
      </c>
      <c r="K501" s="309"/>
      <c r="L501" s="379">
        <f t="shared" si="56"/>
        <v>0</v>
      </c>
      <c r="M501" s="772" t="s">
        <v>1146</v>
      </c>
      <c r="Q501" s="1129"/>
    </row>
    <row r="502" spans="1:17" ht="12.75" customHeight="1">
      <c r="A502" s="1171"/>
      <c r="B502" s="1180"/>
      <c r="C502" s="1186"/>
      <c r="D502" s="10">
        <v>2.8</v>
      </c>
      <c r="E502" s="10">
        <v>40</v>
      </c>
      <c r="F502" s="306">
        <v>4801</v>
      </c>
      <c r="G502" s="306">
        <v>5000</v>
      </c>
      <c r="H502" s="307">
        <f t="shared" si="58"/>
        <v>6.0600000000000023</v>
      </c>
      <c r="I502" s="308"/>
      <c r="J502" s="378">
        <f t="shared" si="57"/>
        <v>0</v>
      </c>
      <c r="K502" s="309"/>
      <c r="L502" s="379">
        <f t="shared" si="56"/>
        <v>0</v>
      </c>
      <c r="M502" s="772" t="s">
        <v>1146</v>
      </c>
      <c r="Q502" s="1129"/>
    </row>
    <row r="503" spans="1:17" ht="12.75" customHeight="1">
      <c r="A503" s="1171"/>
      <c r="B503" s="1180"/>
      <c r="C503" s="1186"/>
      <c r="D503" s="10">
        <v>2.8</v>
      </c>
      <c r="E503" s="10">
        <v>40</v>
      </c>
      <c r="F503" s="10">
        <v>5001</v>
      </c>
      <c r="G503" s="10">
        <v>5200</v>
      </c>
      <c r="H503" s="307">
        <f t="shared" si="58"/>
        <v>6.3000000000000025</v>
      </c>
      <c r="I503" s="308"/>
      <c r="J503" s="378">
        <f t="shared" si="57"/>
        <v>0</v>
      </c>
      <c r="K503" s="309"/>
      <c r="L503" s="379">
        <f t="shared" si="56"/>
        <v>0</v>
      </c>
      <c r="M503" s="772" t="s">
        <v>1146</v>
      </c>
      <c r="Q503" s="1129"/>
    </row>
    <row r="504" spans="1:17" ht="12.75" customHeight="1">
      <c r="A504" s="1171"/>
      <c r="B504" s="1180"/>
      <c r="C504" s="1186"/>
      <c r="D504" s="10">
        <v>2.8</v>
      </c>
      <c r="E504" s="10">
        <v>40</v>
      </c>
      <c r="F504" s="306">
        <v>5201</v>
      </c>
      <c r="G504" s="306">
        <v>5400</v>
      </c>
      <c r="H504" s="307">
        <f t="shared" si="58"/>
        <v>6.5400000000000027</v>
      </c>
      <c r="I504" s="308"/>
      <c r="J504" s="378">
        <f t="shared" si="57"/>
        <v>0</v>
      </c>
      <c r="K504" s="309"/>
      <c r="L504" s="379">
        <f t="shared" si="56"/>
        <v>0</v>
      </c>
      <c r="M504" s="772" t="s">
        <v>1146</v>
      </c>
      <c r="Q504" s="1129"/>
    </row>
    <row r="505" spans="1:17" ht="12.75" customHeight="1">
      <c r="A505" s="1171"/>
      <c r="B505" s="1180"/>
      <c r="C505" s="1186"/>
      <c r="D505" s="10">
        <v>2.8</v>
      </c>
      <c r="E505" s="10">
        <v>40</v>
      </c>
      <c r="F505" s="10">
        <v>5401</v>
      </c>
      <c r="G505" s="10">
        <v>5600</v>
      </c>
      <c r="H505" s="307">
        <f t="shared" si="58"/>
        <v>6.7800000000000029</v>
      </c>
      <c r="I505" s="308"/>
      <c r="J505" s="378">
        <f t="shared" si="57"/>
        <v>0</v>
      </c>
      <c r="K505" s="309"/>
      <c r="L505" s="379">
        <f t="shared" si="56"/>
        <v>0</v>
      </c>
      <c r="M505" s="772" t="s">
        <v>1146</v>
      </c>
      <c r="Q505" s="1129"/>
    </row>
    <row r="506" spans="1:17" ht="12.75" customHeight="1">
      <c r="A506" s="1171"/>
      <c r="B506" s="1180"/>
      <c r="C506" s="1186"/>
      <c r="D506" s="10">
        <v>2.8</v>
      </c>
      <c r="E506" s="10">
        <v>40</v>
      </c>
      <c r="F506" s="306">
        <v>5601</v>
      </c>
      <c r="G506" s="306">
        <v>5800</v>
      </c>
      <c r="H506" s="307">
        <f t="shared" si="58"/>
        <v>7.0200000000000031</v>
      </c>
      <c r="I506" s="308"/>
      <c r="J506" s="378">
        <f t="shared" si="57"/>
        <v>0</v>
      </c>
      <c r="K506" s="309"/>
      <c r="L506" s="379">
        <f t="shared" si="56"/>
        <v>0</v>
      </c>
      <c r="M506" s="772" t="s">
        <v>1146</v>
      </c>
      <c r="Q506" s="1129"/>
    </row>
    <row r="507" spans="1:17" ht="12.75" customHeight="1">
      <c r="A507" s="1171"/>
      <c r="B507" s="1180"/>
      <c r="C507" s="1186"/>
      <c r="D507" s="10">
        <v>2.8</v>
      </c>
      <c r="E507" s="10">
        <v>40</v>
      </c>
      <c r="F507" s="10">
        <v>5801</v>
      </c>
      <c r="G507" s="10">
        <v>6000</v>
      </c>
      <c r="H507" s="307">
        <f t="shared" si="58"/>
        <v>7.2600000000000033</v>
      </c>
      <c r="I507" s="308"/>
      <c r="J507" s="378">
        <f t="shared" si="57"/>
        <v>0</v>
      </c>
      <c r="K507" s="309"/>
      <c r="L507" s="379">
        <f t="shared" si="56"/>
        <v>0</v>
      </c>
      <c r="M507" s="772" t="s">
        <v>1146</v>
      </c>
      <c r="Q507" s="1129"/>
    </row>
    <row r="508" spans="1:17" ht="12.75" customHeight="1">
      <c r="A508" s="1171"/>
      <c r="B508" s="1180"/>
      <c r="C508" s="1186"/>
      <c r="D508" s="10">
        <v>2.8</v>
      </c>
      <c r="E508" s="10">
        <v>40</v>
      </c>
      <c r="F508" s="306">
        <v>6001</v>
      </c>
      <c r="G508" s="306">
        <v>6200</v>
      </c>
      <c r="H508" s="307">
        <f t="shared" si="58"/>
        <v>7.5000000000000036</v>
      </c>
      <c r="I508" s="308"/>
      <c r="J508" s="378">
        <f t="shared" si="57"/>
        <v>0</v>
      </c>
      <c r="K508" s="309"/>
      <c r="L508" s="379">
        <f t="shared" si="56"/>
        <v>0</v>
      </c>
      <c r="M508" s="772" t="s">
        <v>1146</v>
      </c>
      <c r="Q508" s="1129"/>
    </row>
    <row r="509" spans="1:17" ht="12.75" customHeight="1">
      <c r="A509" s="1171"/>
      <c r="B509" s="1180"/>
      <c r="C509" s="1186"/>
      <c r="D509" s="10">
        <v>2.8</v>
      </c>
      <c r="E509" s="10">
        <v>40</v>
      </c>
      <c r="F509" s="10">
        <v>6201</v>
      </c>
      <c r="G509" s="10">
        <v>6400</v>
      </c>
      <c r="H509" s="307">
        <f t="shared" si="58"/>
        <v>7.7400000000000038</v>
      </c>
      <c r="I509" s="308"/>
      <c r="J509" s="378">
        <f t="shared" si="57"/>
        <v>0</v>
      </c>
      <c r="K509" s="309"/>
      <c r="L509" s="379">
        <f t="shared" si="56"/>
        <v>0</v>
      </c>
      <c r="M509" s="772" t="s">
        <v>1146</v>
      </c>
      <c r="Q509" s="1129"/>
    </row>
    <row r="510" spans="1:17" ht="12.75" customHeight="1">
      <c r="A510" s="1171"/>
      <c r="B510" s="1180"/>
      <c r="C510" s="1186"/>
      <c r="D510" s="10">
        <v>2.8</v>
      </c>
      <c r="E510" s="10">
        <v>40</v>
      </c>
      <c r="F510" s="306">
        <v>6401</v>
      </c>
      <c r="G510" s="306">
        <v>6600</v>
      </c>
      <c r="H510" s="307">
        <f t="shared" si="58"/>
        <v>7.980000000000004</v>
      </c>
      <c r="I510" s="308"/>
      <c r="J510" s="378">
        <f t="shared" si="57"/>
        <v>0</v>
      </c>
      <c r="K510" s="309"/>
      <c r="L510" s="379">
        <f t="shared" si="56"/>
        <v>0</v>
      </c>
      <c r="M510" s="772" t="s">
        <v>1146</v>
      </c>
      <c r="Q510" s="1129"/>
    </row>
    <row r="511" spans="1:17" ht="12.75" customHeight="1">
      <c r="A511" s="1171"/>
      <c r="B511" s="1180"/>
      <c r="C511" s="1186"/>
      <c r="D511" s="10">
        <v>2.8</v>
      </c>
      <c r="E511" s="10">
        <v>40</v>
      </c>
      <c r="F511" s="10">
        <v>6601</v>
      </c>
      <c r="G511" s="10">
        <v>6800</v>
      </c>
      <c r="H511" s="307">
        <f t="shared" si="58"/>
        <v>8.2200000000000042</v>
      </c>
      <c r="I511" s="308"/>
      <c r="J511" s="378">
        <f t="shared" si="57"/>
        <v>0</v>
      </c>
      <c r="K511" s="309"/>
      <c r="L511" s="379">
        <f t="shared" si="56"/>
        <v>0</v>
      </c>
      <c r="M511" s="772" t="s">
        <v>1146</v>
      </c>
      <c r="Q511" s="1129"/>
    </row>
    <row r="512" spans="1:17" ht="12.75" customHeight="1">
      <c r="A512" s="1171"/>
      <c r="B512" s="1180"/>
      <c r="C512" s="1186"/>
      <c r="D512" s="10">
        <v>2.8</v>
      </c>
      <c r="E512" s="10">
        <v>40</v>
      </c>
      <c r="F512" s="306">
        <v>6801</v>
      </c>
      <c r="G512" s="306">
        <v>7000</v>
      </c>
      <c r="H512" s="307">
        <f t="shared" si="58"/>
        <v>8.4600000000000044</v>
      </c>
      <c r="I512" s="308"/>
      <c r="J512" s="378">
        <f t="shared" si="57"/>
        <v>0</v>
      </c>
      <c r="K512" s="309"/>
      <c r="L512" s="379">
        <f t="shared" si="56"/>
        <v>0</v>
      </c>
      <c r="M512" s="772" t="s">
        <v>1146</v>
      </c>
      <c r="Q512" s="1129"/>
    </row>
    <row r="513" spans="1:17" ht="12.75" customHeight="1">
      <c r="A513" s="1171"/>
      <c r="B513" s="1180"/>
      <c r="C513" s="1186"/>
      <c r="D513" s="10">
        <v>2.8</v>
      </c>
      <c r="E513" s="10">
        <v>40</v>
      </c>
      <c r="F513" s="10">
        <v>7001</v>
      </c>
      <c r="G513" s="10">
        <v>7200</v>
      </c>
      <c r="H513" s="307">
        <f t="shared" si="58"/>
        <v>8.7000000000000046</v>
      </c>
      <c r="I513" s="308"/>
      <c r="J513" s="378">
        <f t="shared" si="57"/>
        <v>0</v>
      </c>
      <c r="K513" s="309"/>
      <c r="L513" s="379">
        <f t="shared" si="56"/>
        <v>0</v>
      </c>
      <c r="M513" s="772" t="s">
        <v>1146</v>
      </c>
      <c r="Q513" s="1129"/>
    </row>
    <row r="514" spans="1:17" ht="12.75" customHeight="1">
      <c r="A514" s="1171"/>
      <c r="B514" s="1180"/>
      <c r="C514" s="1186"/>
      <c r="D514" s="10">
        <v>2.8</v>
      </c>
      <c r="E514" s="10">
        <v>40</v>
      </c>
      <c r="F514" s="306">
        <v>7201</v>
      </c>
      <c r="G514" s="306">
        <v>7400</v>
      </c>
      <c r="H514" s="307">
        <f t="shared" si="58"/>
        <v>8.9400000000000048</v>
      </c>
      <c r="I514" s="308"/>
      <c r="J514" s="378">
        <f t="shared" si="57"/>
        <v>0</v>
      </c>
      <c r="K514" s="309"/>
      <c r="L514" s="379">
        <f t="shared" si="56"/>
        <v>0</v>
      </c>
      <c r="M514" s="772" t="s">
        <v>1146</v>
      </c>
      <c r="Q514" s="1129"/>
    </row>
    <row r="515" spans="1:17" ht="12.75" customHeight="1">
      <c r="A515" s="1171"/>
      <c r="B515" s="1180"/>
      <c r="C515" s="1186"/>
      <c r="D515" s="10">
        <v>2.8</v>
      </c>
      <c r="E515" s="10">
        <v>40</v>
      </c>
      <c r="F515" s="10">
        <v>7401</v>
      </c>
      <c r="G515" s="10">
        <v>7600</v>
      </c>
      <c r="H515" s="307">
        <f t="shared" si="58"/>
        <v>9.180000000000005</v>
      </c>
      <c r="I515" s="308"/>
      <c r="J515" s="378">
        <f t="shared" si="57"/>
        <v>0</v>
      </c>
      <c r="K515" s="309"/>
      <c r="L515" s="379">
        <f t="shared" si="56"/>
        <v>0</v>
      </c>
      <c r="M515" s="772" t="s">
        <v>1146</v>
      </c>
      <c r="Q515" s="1129"/>
    </row>
    <row r="516" spans="1:17" ht="12.75" customHeight="1">
      <c r="A516" s="1171"/>
      <c r="B516" s="1180"/>
      <c r="C516" s="1186"/>
      <c r="D516" s="10">
        <v>2.8</v>
      </c>
      <c r="E516" s="10">
        <v>40</v>
      </c>
      <c r="F516" s="306">
        <v>7601</v>
      </c>
      <c r="G516" s="306">
        <v>7800</v>
      </c>
      <c r="H516" s="307">
        <f t="shared" si="58"/>
        <v>9.4200000000000053</v>
      </c>
      <c r="I516" s="308"/>
      <c r="J516" s="378">
        <f t="shared" si="57"/>
        <v>0</v>
      </c>
      <c r="K516" s="309"/>
      <c r="L516" s="379">
        <f t="shared" si="56"/>
        <v>0</v>
      </c>
      <c r="M516" s="772" t="s">
        <v>1146</v>
      </c>
      <c r="Q516" s="1129"/>
    </row>
    <row r="517" spans="1:17" ht="12.75" customHeight="1">
      <c r="A517" s="1171"/>
      <c r="B517" s="1180"/>
      <c r="C517" s="1186"/>
      <c r="D517" s="10">
        <v>2.8</v>
      </c>
      <c r="E517" s="10">
        <v>40</v>
      </c>
      <c r="F517" s="10">
        <v>7801</v>
      </c>
      <c r="G517" s="10">
        <v>8000</v>
      </c>
      <c r="H517" s="307">
        <f t="shared" si="58"/>
        <v>9.6600000000000055</v>
      </c>
      <c r="I517" s="308"/>
      <c r="J517" s="378">
        <f t="shared" si="57"/>
        <v>0</v>
      </c>
      <c r="K517" s="309"/>
      <c r="L517" s="379">
        <f t="shared" si="56"/>
        <v>0</v>
      </c>
      <c r="M517" s="772" t="s">
        <v>1146</v>
      </c>
      <c r="Q517" s="1129"/>
    </row>
    <row r="518" spans="1:17" ht="12.75" customHeight="1">
      <c r="A518" s="1171"/>
      <c r="B518" s="1180"/>
      <c r="C518" s="1186"/>
      <c r="D518" s="10">
        <v>2.8</v>
      </c>
      <c r="E518" s="10">
        <v>40</v>
      </c>
      <c r="F518" s="306">
        <v>8001</v>
      </c>
      <c r="G518" s="306">
        <v>8200</v>
      </c>
      <c r="H518" s="307">
        <f t="shared" si="58"/>
        <v>9.9000000000000057</v>
      </c>
      <c r="I518" s="308"/>
      <c r="J518" s="378">
        <f t="shared" si="57"/>
        <v>0</v>
      </c>
      <c r="K518" s="309"/>
      <c r="L518" s="379">
        <f t="shared" si="56"/>
        <v>0</v>
      </c>
      <c r="M518" s="772" t="s">
        <v>1146</v>
      </c>
      <c r="Q518" s="1129"/>
    </row>
    <row r="519" spans="1:17" ht="12.75" customHeight="1">
      <c r="A519" s="1171"/>
      <c r="B519" s="1180"/>
      <c r="C519" s="1186"/>
      <c r="D519" s="10">
        <v>2.8</v>
      </c>
      <c r="E519" s="10">
        <v>40</v>
      </c>
      <c r="F519" s="10">
        <v>8201</v>
      </c>
      <c r="G519" s="10">
        <v>8400</v>
      </c>
      <c r="H519" s="307">
        <f t="shared" si="58"/>
        <v>10.140000000000006</v>
      </c>
      <c r="I519" s="308"/>
      <c r="J519" s="378">
        <f t="shared" si="57"/>
        <v>0</v>
      </c>
      <c r="K519" s="309"/>
      <c r="L519" s="379">
        <f t="shared" si="56"/>
        <v>0</v>
      </c>
      <c r="M519" s="772" t="s">
        <v>1146</v>
      </c>
      <c r="Q519" s="1129"/>
    </row>
    <row r="520" spans="1:17" ht="12.75" customHeight="1">
      <c r="A520" s="1171"/>
      <c r="B520" s="1180"/>
      <c r="C520" s="1186"/>
      <c r="D520" s="10">
        <v>2.8</v>
      </c>
      <c r="E520" s="10">
        <v>40</v>
      </c>
      <c r="F520" s="306">
        <v>8401</v>
      </c>
      <c r="G520" s="306">
        <v>8600</v>
      </c>
      <c r="H520" s="307">
        <f t="shared" si="58"/>
        <v>10.380000000000006</v>
      </c>
      <c r="I520" s="308"/>
      <c r="J520" s="378">
        <f t="shared" si="57"/>
        <v>0</v>
      </c>
      <c r="K520" s="309"/>
      <c r="L520" s="379">
        <f t="shared" si="56"/>
        <v>0</v>
      </c>
      <c r="M520" s="772" t="s">
        <v>1146</v>
      </c>
      <c r="Q520" s="1129"/>
    </row>
    <row r="521" spans="1:17" ht="12.75" customHeight="1">
      <c r="A521" s="1171"/>
      <c r="B521" s="1180"/>
      <c r="C521" s="1186"/>
      <c r="D521" s="10">
        <v>2.8</v>
      </c>
      <c r="E521" s="10">
        <v>40</v>
      </c>
      <c r="F521" s="10">
        <v>8601</v>
      </c>
      <c r="G521" s="10">
        <v>8800</v>
      </c>
      <c r="H521" s="307">
        <f t="shared" si="58"/>
        <v>10.620000000000006</v>
      </c>
      <c r="I521" s="308"/>
      <c r="J521" s="378">
        <f t="shared" si="57"/>
        <v>0</v>
      </c>
      <c r="K521" s="309"/>
      <c r="L521" s="379">
        <f t="shared" si="56"/>
        <v>0</v>
      </c>
      <c r="M521" s="772" t="s">
        <v>1146</v>
      </c>
      <c r="Q521" s="1129"/>
    </row>
    <row r="522" spans="1:17" ht="12.75" customHeight="1">
      <c r="A522" s="1171"/>
      <c r="B522" s="1180"/>
      <c r="C522" s="1186"/>
      <c r="D522" s="10">
        <v>2.8</v>
      </c>
      <c r="E522" s="10">
        <v>40</v>
      </c>
      <c r="F522" s="306">
        <v>8801</v>
      </c>
      <c r="G522" s="306">
        <v>9000</v>
      </c>
      <c r="H522" s="307">
        <f t="shared" si="58"/>
        <v>10.860000000000007</v>
      </c>
      <c r="I522" s="308"/>
      <c r="J522" s="378">
        <f t="shared" si="57"/>
        <v>0</v>
      </c>
      <c r="K522" s="309"/>
      <c r="L522" s="379">
        <f t="shared" si="56"/>
        <v>0</v>
      </c>
      <c r="M522" s="772" t="s">
        <v>1146</v>
      </c>
      <c r="Q522" s="1129"/>
    </row>
    <row r="523" spans="1:17" ht="12.75" customHeight="1">
      <c r="A523" s="1171"/>
      <c r="B523" s="1180"/>
      <c r="C523" s="1186"/>
      <c r="D523" s="10">
        <v>2.8</v>
      </c>
      <c r="E523" s="10">
        <v>40</v>
      </c>
      <c r="F523" s="10">
        <v>9001</v>
      </c>
      <c r="G523" s="10">
        <v>9200</v>
      </c>
      <c r="H523" s="307">
        <f t="shared" si="58"/>
        <v>11.100000000000007</v>
      </c>
      <c r="I523" s="308"/>
      <c r="J523" s="378">
        <f t="shared" si="57"/>
        <v>0</v>
      </c>
      <c r="K523" s="309"/>
      <c r="L523" s="379">
        <f t="shared" si="56"/>
        <v>0</v>
      </c>
      <c r="M523" s="772" t="s">
        <v>1146</v>
      </c>
      <c r="Q523" s="1129"/>
    </row>
    <row r="524" spans="1:17" ht="12.75" customHeight="1">
      <c r="A524" s="1171"/>
      <c r="B524" s="1180"/>
      <c r="C524" s="1186"/>
      <c r="D524" s="10">
        <v>2.8</v>
      </c>
      <c r="E524" s="10">
        <v>40</v>
      </c>
      <c r="F524" s="306">
        <v>9201</v>
      </c>
      <c r="G524" s="306">
        <v>9400</v>
      </c>
      <c r="H524" s="307">
        <f t="shared" si="58"/>
        <v>11.340000000000007</v>
      </c>
      <c r="I524" s="308"/>
      <c r="J524" s="378">
        <f t="shared" si="57"/>
        <v>0</v>
      </c>
      <c r="K524" s="309"/>
      <c r="L524" s="379">
        <f t="shared" si="56"/>
        <v>0</v>
      </c>
      <c r="M524" s="772" t="s">
        <v>1146</v>
      </c>
      <c r="Q524" s="1129"/>
    </row>
    <row r="525" spans="1:17" ht="12.75" customHeight="1">
      <c r="A525" s="1171"/>
      <c r="B525" s="1180"/>
      <c r="C525" s="1186"/>
      <c r="D525" s="10">
        <v>2.8</v>
      </c>
      <c r="E525" s="10">
        <v>40</v>
      </c>
      <c r="F525" s="10">
        <v>9401</v>
      </c>
      <c r="G525" s="10">
        <v>9600</v>
      </c>
      <c r="H525" s="307">
        <f t="shared" si="58"/>
        <v>11.580000000000007</v>
      </c>
      <c r="I525" s="308"/>
      <c r="J525" s="378">
        <f t="shared" si="57"/>
        <v>0</v>
      </c>
      <c r="K525" s="309"/>
      <c r="L525" s="379">
        <f t="shared" si="56"/>
        <v>0</v>
      </c>
      <c r="M525" s="772" t="s">
        <v>1146</v>
      </c>
      <c r="Q525" s="1129"/>
    </row>
    <row r="526" spans="1:17" ht="12.75" customHeight="1">
      <c r="A526" s="1171"/>
      <c r="B526" s="1180"/>
      <c r="C526" s="1186"/>
      <c r="D526" s="10">
        <v>2.8</v>
      </c>
      <c r="E526" s="10">
        <v>40</v>
      </c>
      <c r="F526" s="306">
        <v>9601</v>
      </c>
      <c r="G526" s="306">
        <v>9800</v>
      </c>
      <c r="H526" s="307">
        <f t="shared" si="58"/>
        <v>11.820000000000007</v>
      </c>
      <c r="I526" s="308"/>
      <c r="J526" s="378">
        <f t="shared" si="57"/>
        <v>0</v>
      </c>
      <c r="K526" s="309"/>
      <c r="L526" s="379">
        <f t="shared" si="56"/>
        <v>0</v>
      </c>
      <c r="M526" s="772" t="s">
        <v>1146</v>
      </c>
      <c r="Q526" s="1129"/>
    </row>
    <row r="527" spans="1:17" ht="12.75" customHeight="1">
      <c r="A527" s="1171"/>
      <c r="B527" s="1180"/>
      <c r="C527" s="1186"/>
      <c r="D527" s="306">
        <v>2.8</v>
      </c>
      <c r="E527" s="306">
        <v>40</v>
      </c>
      <c r="F527" s="10">
        <v>9801</v>
      </c>
      <c r="G527" s="10">
        <v>10000</v>
      </c>
      <c r="H527" s="307">
        <f t="shared" si="58"/>
        <v>12.060000000000008</v>
      </c>
      <c r="I527" s="308"/>
      <c r="J527" s="378">
        <f t="shared" si="57"/>
        <v>0</v>
      </c>
      <c r="K527" s="309"/>
      <c r="L527" s="379">
        <f t="shared" si="56"/>
        <v>0</v>
      </c>
      <c r="M527" s="772" t="s">
        <v>1146</v>
      </c>
      <c r="Q527" s="1129"/>
    </row>
    <row r="528" spans="1:17" ht="12.75" customHeight="1">
      <c r="A528" s="1171"/>
      <c r="B528" s="1180"/>
      <c r="C528" s="1186"/>
      <c r="D528" s="306"/>
      <c r="E528" s="306"/>
      <c r="F528" s="306"/>
      <c r="G528" s="306"/>
      <c r="H528" s="307"/>
      <c r="I528" s="308"/>
      <c r="J528" s="378">
        <f>+I528*H528</f>
        <v>0</v>
      </c>
      <c r="K528" s="309"/>
      <c r="L528" s="379">
        <f>J528</f>
        <v>0</v>
      </c>
      <c r="Q528" s="1129"/>
    </row>
    <row r="529" spans="1:17" ht="12.75" customHeight="1">
      <c r="A529" s="1171"/>
      <c r="B529" s="1180"/>
      <c r="C529" s="1186"/>
      <c r="D529" s="306"/>
      <c r="E529" s="306"/>
      <c r="F529" s="306"/>
      <c r="G529" s="306"/>
      <c r="H529" s="307"/>
      <c r="I529" s="308"/>
      <c r="J529" s="378">
        <f>+I529*H529</f>
        <v>0</v>
      </c>
      <c r="K529" s="309"/>
      <c r="L529" s="379">
        <f>J529</f>
        <v>0</v>
      </c>
      <c r="Q529" s="1129"/>
    </row>
    <row r="530" spans="1:17" ht="12.75" customHeight="1">
      <c r="A530" s="1171"/>
      <c r="B530" s="1180"/>
      <c r="C530" s="1186"/>
      <c r="D530" s="306"/>
      <c r="E530" s="306"/>
      <c r="F530" s="306"/>
      <c r="G530" s="306"/>
      <c r="H530" s="307"/>
      <c r="I530" s="308"/>
      <c r="J530" s="378">
        <f>+I530*H530</f>
        <v>0</v>
      </c>
      <c r="K530" s="309"/>
      <c r="L530" s="379">
        <f>J530</f>
        <v>0</v>
      </c>
      <c r="Q530" s="1129"/>
    </row>
    <row r="531" spans="1:17" ht="12.75" customHeight="1">
      <c r="A531" s="1171"/>
      <c r="B531" s="1180"/>
      <c r="C531" s="1186"/>
      <c r="D531" s="306"/>
      <c r="E531" s="306"/>
      <c r="F531" s="306"/>
      <c r="G531" s="306"/>
      <c r="H531" s="307"/>
      <c r="I531" s="308"/>
      <c r="J531" s="378">
        <f>+I531*H531</f>
        <v>0</v>
      </c>
      <c r="K531" s="309"/>
      <c r="L531" s="379">
        <f>J531</f>
        <v>0</v>
      </c>
      <c r="Q531" s="1129"/>
    </row>
    <row r="532" spans="1:17" ht="13.5" customHeight="1" thickBot="1">
      <c r="A532" s="1172"/>
      <c r="B532" s="1181"/>
      <c r="C532" s="1187"/>
      <c r="D532" s="12"/>
      <c r="E532" s="12"/>
      <c r="F532" s="12"/>
      <c r="G532" s="12"/>
      <c r="H532" s="238"/>
      <c r="I532" s="75"/>
      <c r="J532" s="13">
        <f t="shared" ref="J532:J564" si="59">+I532*H532</f>
        <v>0</v>
      </c>
      <c r="K532" s="216"/>
      <c r="L532" s="217">
        <f t="shared" si="56"/>
        <v>0</v>
      </c>
      <c r="Q532" s="1129"/>
    </row>
    <row r="533" spans="1:17" ht="12.75" customHeight="1">
      <c r="A533" s="1170" t="s">
        <v>173</v>
      </c>
      <c r="B533" s="1179" t="s">
        <v>174</v>
      </c>
      <c r="C533" s="1179" t="s">
        <v>686</v>
      </c>
      <c r="D533" s="7">
        <v>4.5</v>
      </c>
      <c r="E533" s="7">
        <v>60</v>
      </c>
      <c r="F533" s="7">
        <v>0</v>
      </c>
      <c r="G533" s="7">
        <v>100</v>
      </c>
      <c r="H533" s="239">
        <v>1.27</v>
      </c>
      <c r="I533" s="73">
        <v>13</v>
      </c>
      <c r="J533" s="8">
        <f t="shared" si="59"/>
        <v>16.510000000000002</v>
      </c>
      <c r="K533" s="212"/>
      <c r="L533" s="213">
        <f t="shared" si="56"/>
        <v>16.510000000000002</v>
      </c>
      <c r="M533" s="772" t="s">
        <v>1146</v>
      </c>
      <c r="Q533" s="1129"/>
    </row>
    <row r="534" spans="1:17" ht="12.75" customHeight="1">
      <c r="A534" s="1171"/>
      <c r="B534" s="1180"/>
      <c r="C534" s="1186"/>
      <c r="D534" s="10">
        <v>4.5</v>
      </c>
      <c r="E534" s="10">
        <v>60</v>
      </c>
      <c r="F534" s="10">
        <v>101</v>
      </c>
      <c r="G534" s="10">
        <v>200</v>
      </c>
      <c r="H534" s="237">
        <v>1.39</v>
      </c>
      <c r="I534" s="74">
        <v>14</v>
      </c>
      <c r="J534" s="11">
        <f t="shared" si="59"/>
        <v>19.459999999999997</v>
      </c>
      <c r="K534" s="214"/>
      <c r="L534" s="215">
        <f t="shared" si="56"/>
        <v>19.459999999999997</v>
      </c>
      <c r="M534" s="772" t="s">
        <v>1146</v>
      </c>
      <c r="Q534" s="1129"/>
    </row>
    <row r="535" spans="1:17" ht="12.75" customHeight="1">
      <c r="A535" s="1171"/>
      <c r="B535" s="1180"/>
      <c r="C535" s="1186"/>
      <c r="D535" s="10">
        <v>4.5</v>
      </c>
      <c r="E535" s="10">
        <v>60</v>
      </c>
      <c r="F535" s="10">
        <v>201</v>
      </c>
      <c r="G535" s="10">
        <v>300</v>
      </c>
      <c r="H535" s="237">
        <v>1.77</v>
      </c>
      <c r="I535" s="74">
        <v>5</v>
      </c>
      <c r="J535" s="11">
        <f t="shared" si="59"/>
        <v>8.85</v>
      </c>
      <c r="K535" s="214"/>
      <c r="L535" s="215">
        <f t="shared" si="56"/>
        <v>8.85</v>
      </c>
      <c r="M535" s="772" t="s">
        <v>1146</v>
      </c>
      <c r="Q535" s="1129"/>
    </row>
    <row r="536" spans="1:17" ht="12.75" customHeight="1">
      <c r="A536" s="1171"/>
      <c r="B536" s="1180"/>
      <c r="C536" s="1186"/>
      <c r="D536" s="10">
        <v>4.5</v>
      </c>
      <c r="E536" s="10">
        <v>60</v>
      </c>
      <c r="F536" s="10">
        <v>301</v>
      </c>
      <c r="G536" s="10">
        <v>400</v>
      </c>
      <c r="H536" s="237">
        <v>1.92</v>
      </c>
      <c r="I536" s="74">
        <v>2</v>
      </c>
      <c r="J536" s="11">
        <f t="shared" si="59"/>
        <v>3.84</v>
      </c>
      <c r="K536" s="214"/>
      <c r="L536" s="215">
        <f t="shared" si="56"/>
        <v>3.84</v>
      </c>
      <c r="M536" s="772" t="s">
        <v>1146</v>
      </c>
      <c r="Q536" s="1129"/>
    </row>
    <row r="537" spans="1:17" ht="12.75" customHeight="1">
      <c r="A537" s="1171"/>
      <c r="B537" s="1180"/>
      <c r="C537" s="1186"/>
      <c r="D537" s="10">
        <v>4.5</v>
      </c>
      <c r="E537" s="10">
        <v>60</v>
      </c>
      <c r="F537" s="10">
        <v>401</v>
      </c>
      <c r="G537" s="10">
        <v>500</v>
      </c>
      <c r="H537" s="237">
        <v>2.23</v>
      </c>
      <c r="I537" s="74"/>
      <c r="J537" s="11">
        <f t="shared" si="59"/>
        <v>0</v>
      </c>
      <c r="K537" s="214"/>
      <c r="L537" s="215">
        <f t="shared" si="56"/>
        <v>0</v>
      </c>
      <c r="M537" s="772" t="s">
        <v>1146</v>
      </c>
      <c r="Q537" s="1129"/>
    </row>
    <row r="538" spans="1:17" ht="12.75" customHeight="1">
      <c r="A538" s="1171"/>
      <c r="B538" s="1180"/>
      <c r="C538" s="1186"/>
      <c r="D538" s="10">
        <v>4.5</v>
      </c>
      <c r="E538" s="10">
        <v>60</v>
      </c>
      <c r="F538" s="10">
        <v>501</v>
      </c>
      <c r="G538" s="10">
        <v>600</v>
      </c>
      <c r="H538" s="237">
        <v>2.2799999999999998</v>
      </c>
      <c r="I538" s="74">
        <v>1</v>
      </c>
      <c r="J538" s="11">
        <f t="shared" si="59"/>
        <v>2.2799999999999998</v>
      </c>
      <c r="K538" s="214"/>
      <c r="L538" s="215">
        <f t="shared" si="56"/>
        <v>2.2799999999999998</v>
      </c>
      <c r="M538" s="772" t="s">
        <v>1146</v>
      </c>
      <c r="Q538" s="1129"/>
    </row>
    <row r="539" spans="1:17" ht="12.75" customHeight="1">
      <c r="A539" s="1171"/>
      <c r="B539" s="1180"/>
      <c r="C539" s="1186"/>
      <c r="D539" s="10">
        <v>4.5</v>
      </c>
      <c r="E539" s="10">
        <v>60</v>
      </c>
      <c r="F539" s="10">
        <v>601</v>
      </c>
      <c r="G539" s="10">
        <v>700</v>
      </c>
      <c r="H539" s="237">
        <v>2.41</v>
      </c>
      <c r="I539" s="74"/>
      <c r="J539" s="11">
        <f t="shared" si="59"/>
        <v>0</v>
      </c>
      <c r="K539" s="214"/>
      <c r="L539" s="215">
        <f t="shared" si="56"/>
        <v>0</v>
      </c>
      <c r="M539" s="772" t="s">
        <v>1146</v>
      </c>
      <c r="Q539" s="1129"/>
    </row>
    <row r="540" spans="1:17" ht="12.75" customHeight="1">
      <c r="A540" s="1171"/>
      <c r="B540" s="1180"/>
      <c r="C540" s="1186"/>
      <c r="D540" s="10">
        <v>4.5</v>
      </c>
      <c r="E540" s="10">
        <v>60</v>
      </c>
      <c r="F540" s="10">
        <v>701</v>
      </c>
      <c r="G540" s="10">
        <v>800</v>
      </c>
      <c r="H540" s="237">
        <v>2.6</v>
      </c>
      <c r="I540" s="74"/>
      <c r="J540" s="11">
        <f t="shared" si="59"/>
        <v>0</v>
      </c>
      <c r="K540" s="214"/>
      <c r="L540" s="215">
        <f t="shared" si="56"/>
        <v>0</v>
      </c>
      <c r="M540" s="772" t="s">
        <v>1146</v>
      </c>
      <c r="Q540" s="1129"/>
    </row>
    <row r="541" spans="1:17" ht="12.75" customHeight="1">
      <c r="A541" s="1171"/>
      <c r="B541" s="1180"/>
      <c r="C541" s="1186"/>
      <c r="D541" s="10">
        <v>4.5</v>
      </c>
      <c r="E541" s="10">
        <v>60</v>
      </c>
      <c r="F541" s="10">
        <v>801</v>
      </c>
      <c r="G541" s="10">
        <v>900</v>
      </c>
      <c r="H541" s="237">
        <v>2.79</v>
      </c>
      <c r="I541" s="74"/>
      <c r="J541" s="11">
        <f t="shared" si="59"/>
        <v>0</v>
      </c>
      <c r="K541" s="214"/>
      <c r="L541" s="215">
        <f t="shared" si="56"/>
        <v>0</v>
      </c>
      <c r="M541" s="772" t="s">
        <v>1146</v>
      </c>
      <c r="Q541" s="1129"/>
    </row>
    <row r="542" spans="1:17" ht="12.75" customHeight="1">
      <c r="A542" s="1171"/>
      <c r="B542" s="1180"/>
      <c r="C542" s="1186"/>
      <c r="D542" s="10">
        <v>4.5</v>
      </c>
      <c r="E542" s="10">
        <v>60</v>
      </c>
      <c r="F542" s="10">
        <v>901</v>
      </c>
      <c r="G542" s="10">
        <v>1000</v>
      </c>
      <c r="H542" s="237">
        <v>2.9</v>
      </c>
      <c r="I542" s="74"/>
      <c r="J542" s="11">
        <f t="shared" si="59"/>
        <v>0</v>
      </c>
      <c r="K542" s="214"/>
      <c r="L542" s="215">
        <f t="shared" si="56"/>
        <v>0</v>
      </c>
      <c r="M542" s="772" t="s">
        <v>1146</v>
      </c>
      <c r="Q542" s="1129"/>
    </row>
    <row r="543" spans="1:17" ht="12.75" customHeight="1">
      <c r="A543" s="1171"/>
      <c r="B543" s="1180"/>
      <c r="C543" s="1186"/>
      <c r="D543" s="10">
        <v>4.5</v>
      </c>
      <c r="E543" s="10">
        <v>60</v>
      </c>
      <c r="F543" s="10">
        <v>1001</v>
      </c>
      <c r="G543" s="10">
        <v>1250</v>
      </c>
      <c r="H543" s="237">
        <v>3.12</v>
      </c>
      <c r="I543" s="74"/>
      <c r="J543" s="11">
        <f t="shared" si="59"/>
        <v>0</v>
      </c>
      <c r="K543" s="214"/>
      <c r="L543" s="215">
        <f t="shared" si="56"/>
        <v>0</v>
      </c>
      <c r="M543" s="772" t="s">
        <v>1146</v>
      </c>
      <c r="Q543" s="1129"/>
    </row>
    <row r="544" spans="1:17" ht="12.75" customHeight="1">
      <c r="A544" s="1171"/>
      <c r="B544" s="1180"/>
      <c r="C544" s="1186"/>
      <c r="D544" s="10">
        <v>4.5</v>
      </c>
      <c r="E544" s="10">
        <v>60</v>
      </c>
      <c r="F544" s="10">
        <v>1251</v>
      </c>
      <c r="G544" s="10">
        <v>1500</v>
      </c>
      <c r="H544" s="237">
        <v>3.85</v>
      </c>
      <c r="I544" s="74"/>
      <c r="J544" s="11">
        <f t="shared" si="59"/>
        <v>0</v>
      </c>
      <c r="K544" s="214"/>
      <c r="L544" s="215">
        <f t="shared" si="56"/>
        <v>0</v>
      </c>
      <c r="M544" s="772" t="s">
        <v>1146</v>
      </c>
      <c r="Q544" s="1129"/>
    </row>
    <row r="545" spans="1:17" ht="12.75" customHeight="1">
      <c r="A545" s="1171"/>
      <c r="B545" s="1180"/>
      <c r="C545" s="1186"/>
      <c r="D545" s="10">
        <v>4.5</v>
      </c>
      <c r="E545" s="10">
        <v>60</v>
      </c>
      <c r="F545" s="10">
        <v>1501</v>
      </c>
      <c r="G545" s="10">
        <v>2000</v>
      </c>
      <c r="H545" s="237">
        <v>4.3</v>
      </c>
      <c r="I545" s="74"/>
      <c r="J545" s="11">
        <f t="shared" si="59"/>
        <v>0</v>
      </c>
      <c r="K545" s="214"/>
      <c r="L545" s="215">
        <f t="shared" si="56"/>
        <v>0</v>
      </c>
      <c r="M545" s="772" t="s">
        <v>1146</v>
      </c>
      <c r="Q545" s="1129"/>
    </row>
    <row r="546" spans="1:17" ht="12.75" customHeight="1">
      <c r="A546" s="1171"/>
      <c r="B546" s="1180"/>
      <c r="C546" s="1186"/>
      <c r="D546" s="10">
        <v>4.5</v>
      </c>
      <c r="E546" s="10">
        <v>60</v>
      </c>
      <c r="F546" s="10">
        <v>2001</v>
      </c>
      <c r="G546" s="10">
        <v>2500</v>
      </c>
      <c r="H546" s="237">
        <v>5.3</v>
      </c>
      <c r="I546" s="74"/>
      <c r="J546" s="11">
        <f t="shared" si="59"/>
        <v>0</v>
      </c>
      <c r="K546" s="214"/>
      <c r="L546" s="215">
        <f t="shared" si="56"/>
        <v>0</v>
      </c>
      <c r="M546" s="772" t="s">
        <v>1146</v>
      </c>
      <c r="Q546" s="1129"/>
    </row>
    <row r="547" spans="1:17" ht="12.75" customHeight="1">
      <c r="A547" s="1171"/>
      <c r="B547" s="1180"/>
      <c r="C547" s="1186"/>
      <c r="D547" s="10">
        <v>4.5</v>
      </c>
      <c r="E547" s="10">
        <v>60</v>
      </c>
      <c r="F547" s="10">
        <v>2501</v>
      </c>
      <c r="G547" s="10">
        <v>3000</v>
      </c>
      <c r="H547" s="237">
        <v>6.53</v>
      </c>
      <c r="I547" s="74"/>
      <c r="J547" s="11">
        <f t="shared" si="59"/>
        <v>0</v>
      </c>
      <c r="K547" s="214"/>
      <c r="L547" s="215">
        <f t="shared" si="56"/>
        <v>0</v>
      </c>
      <c r="M547" s="772" t="s">
        <v>1146</v>
      </c>
      <c r="Q547" s="1129"/>
    </row>
    <row r="548" spans="1:17" ht="12.75" customHeight="1">
      <c r="A548" s="1171"/>
      <c r="B548" s="1180"/>
      <c r="C548" s="1186"/>
      <c r="D548" s="10">
        <v>4.5</v>
      </c>
      <c r="E548" s="10">
        <v>60</v>
      </c>
      <c r="F548" s="10">
        <v>3001</v>
      </c>
      <c r="G548" s="10">
        <v>4000</v>
      </c>
      <c r="H548" s="237">
        <v>8.1</v>
      </c>
      <c r="I548" s="74"/>
      <c r="J548" s="11">
        <f t="shared" si="59"/>
        <v>0</v>
      </c>
      <c r="K548" s="214"/>
      <c r="L548" s="215">
        <f t="shared" si="56"/>
        <v>0</v>
      </c>
      <c r="M548" s="772" t="s">
        <v>1146</v>
      </c>
      <c r="Q548" s="1129"/>
    </row>
    <row r="549" spans="1:17" ht="12.75" customHeight="1">
      <c r="A549" s="1171"/>
      <c r="B549" s="1180"/>
      <c r="C549" s="1186"/>
      <c r="D549" s="10">
        <v>4.5</v>
      </c>
      <c r="E549" s="10">
        <v>60</v>
      </c>
      <c r="F549" s="10">
        <v>4001</v>
      </c>
      <c r="G549" s="10">
        <v>5000</v>
      </c>
      <c r="H549" s="237">
        <v>9.24</v>
      </c>
      <c r="I549" s="74"/>
      <c r="J549" s="11">
        <f t="shared" si="59"/>
        <v>0</v>
      </c>
      <c r="K549" s="214"/>
      <c r="L549" s="215">
        <f t="shared" si="56"/>
        <v>0</v>
      </c>
      <c r="M549" s="772" t="s">
        <v>1146</v>
      </c>
      <c r="Q549" s="1129"/>
    </row>
    <row r="550" spans="1:17" ht="12.75" customHeight="1">
      <c r="A550" s="1171"/>
      <c r="B550" s="1180"/>
      <c r="C550" s="1186"/>
      <c r="D550" s="10">
        <v>4.5</v>
      </c>
      <c r="E550" s="10">
        <v>60</v>
      </c>
      <c r="F550" s="10">
        <v>5001</v>
      </c>
      <c r="G550" s="10">
        <v>6000</v>
      </c>
      <c r="H550" s="237">
        <v>10.42</v>
      </c>
      <c r="I550" s="74"/>
      <c r="J550" s="11">
        <f t="shared" si="59"/>
        <v>0</v>
      </c>
      <c r="K550" s="214"/>
      <c r="L550" s="215">
        <f t="shared" si="56"/>
        <v>0</v>
      </c>
      <c r="M550" s="772" t="s">
        <v>1146</v>
      </c>
      <c r="Q550" s="1129"/>
    </row>
    <row r="551" spans="1:17" ht="12.75" customHeight="1">
      <c r="A551" s="1171"/>
      <c r="B551" s="1180"/>
      <c r="C551" s="1186"/>
      <c r="D551" s="10">
        <v>4.5</v>
      </c>
      <c r="E551" s="10">
        <v>60</v>
      </c>
      <c r="F551" s="10">
        <v>6001</v>
      </c>
      <c r="G551" s="10">
        <v>7000</v>
      </c>
      <c r="H551" s="237">
        <v>11.91</v>
      </c>
      <c r="I551" s="74"/>
      <c r="J551" s="11">
        <f t="shared" si="59"/>
        <v>0</v>
      </c>
      <c r="K551" s="214"/>
      <c r="L551" s="215">
        <f t="shared" si="56"/>
        <v>0</v>
      </c>
      <c r="M551" s="772" t="s">
        <v>1146</v>
      </c>
      <c r="Q551" s="1129"/>
    </row>
    <row r="552" spans="1:17" ht="12.75" customHeight="1">
      <c r="A552" s="1171"/>
      <c r="B552" s="1180"/>
      <c r="C552" s="1186"/>
      <c r="D552" s="10">
        <v>4.5</v>
      </c>
      <c r="E552" s="10">
        <v>60</v>
      </c>
      <c r="F552" s="10">
        <v>7001</v>
      </c>
      <c r="G552" s="10">
        <v>8000</v>
      </c>
      <c r="H552" s="237">
        <v>13.65</v>
      </c>
      <c r="I552" s="74"/>
      <c r="J552" s="11">
        <f t="shared" si="59"/>
        <v>0</v>
      </c>
      <c r="K552" s="214"/>
      <c r="L552" s="215">
        <f t="shared" si="56"/>
        <v>0</v>
      </c>
      <c r="M552" s="772" t="s">
        <v>1146</v>
      </c>
      <c r="Q552" s="1129"/>
    </row>
    <row r="553" spans="1:17" ht="12.75" customHeight="1">
      <c r="A553" s="1171"/>
      <c r="B553" s="1180"/>
      <c r="C553" s="1186"/>
      <c r="D553" s="10">
        <v>4.5</v>
      </c>
      <c r="E553" s="10">
        <v>60</v>
      </c>
      <c r="F553" s="10">
        <v>8001</v>
      </c>
      <c r="G553" s="10">
        <v>9000</v>
      </c>
      <c r="H553" s="237">
        <v>15.32</v>
      </c>
      <c r="I553" s="74"/>
      <c r="J553" s="11">
        <f t="shared" si="59"/>
        <v>0</v>
      </c>
      <c r="K553" s="214"/>
      <c r="L553" s="215">
        <f t="shared" si="56"/>
        <v>0</v>
      </c>
      <c r="M553" s="772" t="s">
        <v>1146</v>
      </c>
      <c r="Q553" s="1129"/>
    </row>
    <row r="554" spans="1:17" ht="12.75" customHeight="1">
      <c r="A554" s="1171"/>
      <c r="B554" s="1180"/>
      <c r="C554" s="1186"/>
      <c r="D554" s="10">
        <v>4.5</v>
      </c>
      <c r="E554" s="10">
        <v>60</v>
      </c>
      <c r="F554" s="10">
        <v>9001</v>
      </c>
      <c r="G554" s="10">
        <v>10000</v>
      </c>
      <c r="H554" s="237">
        <v>17.38</v>
      </c>
      <c r="I554" s="74"/>
      <c r="J554" s="11">
        <f t="shared" si="59"/>
        <v>0</v>
      </c>
      <c r="K554" s="214"/>
      <c r="L554" s="215">
        <f t="shared" si="56"/>
        <v>0</v>
      </c>
      <c r="M554" s="772" t="s">
        <v>1146</v>
      </c>
      <c r="Q554" s="1129"/>
    </row>
    <row r="555" spans="1:17" ht="12.75" customHeight="1">
      <c r="A555" s="1171"/>
      <c r="B555" s="1180"/>
      <c r="C555" s="1186"/>
      <c r="D555" s="10">
        <v>4.5</v>
      </c>
      <c r="E555" s="10">
        <v>60</v>
      </c>
      <c r="F555" s="10">
        <v>10001</v>
      </c>
      <c r="G555" s="10">
        <v>11000</v>
      </c>
      <c r="H555" s="237">
        <v>20.45</v>
      </c>
      <c r="I555" s="74"/>
      <c r="J555" s="11">
        <f t="shared" si="59"/>
        <v>0</v>
      </c>
      <c r="K555" s="214"/>
      <c r="L555" s="215">
        <f t="shared" si="56"/>
        <v>0</v>
      </c>
      <c r="M555" s="772" t="s">
        <v>1146</v>
      </c>
      <c r="Q555" s="1129"/>
    </row>
    <row r="556" spans="1:17" ht="12.75" customHeight="1">
      <c r="A556" s="1171"/>
      <c r="B556" s="1180"/>
      <c r="C556" s="1186"/>
      <c r="D556" s="10">
        <v>4.5</v>
      </c>
      <c r="E556" s="10">
        <v>60</v>
      </c>
      <c r="F556" s="10">
        <v>11001</v>
      </c>
      <c r="G556" s="10">
        <v>12000</v>
      </c>
      <c r="H556" s="237">
        <v>23.12</v>
      </c>
      <c r="I556" s="74"/>
      <c r="J556" s="11">
        <f t="shared" si="59"/>
        <v>0</v>
      </c>
      <c r="K556" s="214"/>
      <c r="L556" s="215">
        <f t="shared" si="56"/>
        <v>0</v>
      </c>
      <c r="M556" s="772" t="s">
        <v>1146</v>
      </c>
      <c r="Q556" s="1129"/>
    </row>
    <row r="557" spans="1:17" ht="12.75" customHeight="1">
      <c r="A557" s="1171"/>
      <c r="B557" s="1180"/>
      <c r="C557" s="1186"/>
      <c r="D557" s="10">
        <v>4.5</v>
      </c>
      <c r="E557" s="10">
        <v>60</v>
      </c>
      <c r="F557" s="10">
        <v>12001</v>
      </c>
      <c r="G557" s="10">
        <v>13000</v>
      </c>
      <c r="H557" s="237">
        <v>26.35</v>
      </c>
      <c r="I557" s="74"/>
      <c r="J557" s="11">
        <f t="shared" si="59"/>
        <v>0</v>
      </c>
      <c r="K557" s="214"/>
      <c r="L557" s="215">
        <f t="shared" si="56"/>
        <v>0</v>
      </c>
      <c r="M557" s="772" t="s">
        <v>1146</v>
      </c>
      <c r="Q557" s="1129"/>
    </row>
    <row r="558" spans="1:17" ht="12.75" customHeight="1">
      <c r="A558" s="1171"/>
      <c r="B558" s="1180"/>
      <c r="C558" s="1186"/>
      <c r="D558" s="10">
        <v>4.5</v>
      </c>
      <c r="E558" s="10">
        <v>60</v>
      </c>
      <c r="F558" s="10">
        <v>13001</v>
      </c>
      <c r="G558" s="10">
        <v>14000</v>
      </c>
      <c r="H558" s="237">
        <v>29.54</v>
      </c>
      <c r="I558" s="74"/>
      <c r="J558" s="11">
        <f t="shared" si="59"/>
        <v>0</v>
      </c>
      <c r="K558" s="214"/>
      <c r="L558" s="215">
        <f t="shared" si="56"/>
        <v>0</v>
      </c>
      <c r="M558" s="772" t="s">
        <v>1146</v>
      </c>
      <c r="Q558" s="1129"/>
    </row>
    <row r="559" spans="1:17" ht="12.75" customHeight="1">
      <c r="A559" s="1171"/>
      <c r="B559" s="1180"/>
      <c r="C559" s="1186"/>
      <c r="D559" s="10">
        <v>4.5</v>
      </c>
      <c r="E559" s="10">
        <v>60</v>
      </c>
      <c r="F559" s="10">
        <v>14001</v>
      </c>
      <c r="G559" s="10">
        <v>15000</v>
      </c>
      <c r="H559" s="237">
        <v>31.02</v>
      </c>
      <c r="I559" s="74"/>
      <c r="J559" s="11">
        <f t="shared" si="59"/>
        <v>0</v>
      </c>
      <c r="K559" s="214"/>
      <c r="L559" s="215">
        <f t="shared" si="56"/>
        <v>0</v>
      </c>
      <c r="M559" s="772" t="s">
        <v>1146</v>
      </c>
      <c r="Q559" s="1129"/>
    </row>
    <row r="560" spans="1:17" ht="12.75" customHeight="1">
      <c r="A560" s="1171"/>
      <c r="B560" s="1180"/>
      <c r="C560" s="1186"/>
      <c r="D560" s="10">
        <v>4.5</v>
      </c>
      <c r="E560" s="10">
        <v>60</v>
      </c>
      <c r="F560" s="10">
        <v>15001</v>
      </c>
      <c r="G560" s="10">
        <v>16000</v>
      </c>
      <c r="H560" s="237">
        <v>32.619999999999997</v>
      </c>
      <c r="I560" s="74"/>
      <c r="J560" s="11">
        <f t="shared" si="59"/>
        <v>0</v>
      </c>
      <c r="K560" s="214"/>
      <c r="L560" s="215">
        <f t="shared" si="56"/>
        <v>0</v>
      </c>
      <c r="M560" s="772" t="s">
        <v>1146</v>
      </c>
      <c r="Q560" s="1129"/>
    </row>
    <row r="561" spans="1:17" ht="12.75" customHeight="1">
      <c r="A561" s="1171"/>
      <c r="B561" s="1180"/>
      <c r="C561" s="1186"/>
      <c r="D561" s="10">
        <v>4.5</v>
      </c>
      <c r="E561" s="10">
        <v>60</v>
      </c>
      <c r="F561" s="10">
        <v>16001</v>
      </c>
      <c r="G561" s="10">
        <v>17000</v>
      </c>
      <c r="H561" s="237">
        <v>34.200000000000003</v>
      </c>
      <c r="I561" s="74"/>
      <c r="J561" s="11">
        <f t="shared" si="59"/>
        <v>0</v>
      </c>
      <c r="K561" s="214"/>
      <c r="L561" s="215">
        <f t="shared" si="56"/>
        <v>0</v>
      </c>
      <c r="M561" s="772" t="s">
        <v>1146</v>
      </c>
      <c r="Q561" s="1129"/>
    </row>
    <row r="562" spans="1:17" ht="12.75" customHeight="1">
      <c r="A562" s="1171"/>
      <c r="B562" s="1180"/>
      <c r="C562" s="1186"/>
      <c r="D562" s="10">
        <v>4.5</v>
      </c>
      <c r="E562" s="10">
        <v>60</v>
      </c>
      <c r="F562" s="10">
        <v>17001</v>
      </c>
      <c r="G562" s="10">
        <v>18000</v>
      </c>
      <c r="H562" s="237">
        <v>35.909999999999997</v>
      </c>
      <c r="I562" s="74"/>
      <c r="J562" s="11">
        <f t="shared" si="59"/>
        <v>0</v>
      </c>
      <c r="K562" s="214"/>
      <c r="L562" s="215">
        <f t="shared" si="56"/>
        <v>0</v>
      </c>
      <c r="M562" s="772" t="s">
        <v>1146</v>
      </c>
      <c r="Q562" s="1129"/>
    </row>
    <row r="563" spans="1:17" ht="12.75" customHeight="1">
      <c r="A563" s="1171"/>
      <c r="B563" s="1180"/>
      <c r="C563" s="1186"/>
      <c r="D563" s="10">
        <v>4.5</v>
      </c>
      <c r="E563" s="10">
        <v>60</v>
      </c>
      <c r="F563" s="10">
        <v>18001</v>
      </c>
      <c r="G563" s="10">
        <v>19000</v>
      </c>
      <c r="H563" s="237">
        <v>37.86</v>
      </c>
      <c r="I563" s="74"/>
      <c r="J563" s="11">
        <f t="shared" si="59"/>
        <v>0</v>
      </c>
      <c r="K563" s="214"/>
      <c r="L563" s="215">
        <f t="shared" si="56"/>
        <v>0</v>
      </c>
      <c r="M563" s="772" t="s">
        <v>1146</v>
      </c>
      <c r="Q563" s="1129"/>
    </row>
    <row r="564" spans="1:17" ht="12.75" customHeight="1">
      <c r="A564" s="1171"/>
      <c r="B564" s="1180"/>
      <c r="C564" s="1186"/>
      <c r="D564" s="10">
        <v>4.5</v>
      </c>
      <c r="E564" s="10">
        <v>60</v>
      </c>
      <c r="F564" s="306">
        <v>19001</v>
      </c>
      <c r="G564" s="306">
        <v>20000</v>
      </c>
      <c r="H564" s="307">
        <v>39.78</v>
      </c>
      <c r="I564" s="308"/>
      <c r="J564" s="378">
        <f t="shared" si="59"/>
        <v>0</v>
      </c>
      <c r="K564" s="309"/>
      <c r="L564" s="379">
        <f t="shared" si="56"/>
        <v>0</v>
      </c>
      <c r="M564" s="772" t="s">
        <v>1146</v>
      </c>
      <c r="Q564" s="1129"/>
    </row>
    <row r="565" spans="1:17" ht="12.75" customHeight="1">
      <c r="A565" s="1171"/>
      <c r="B565" s="1180"/>
      <c r="C565" s="1186"/>
      <c r="D565" s="306"/>
      <c r="E565" s="306"/>
      <c r="F565" s="306"/>
      <c r="G565" s="306"/>
      <c r="H565" s="307"/>
      <c r="I565" s="308"/>
      <c r="J565" s="378">
        <f>+I565*H565</f>
        <v>0</v>
      </c>
      <c r="K565" s="309"/>
      <c r="L565" s="379">
        <f>J565</f>
        <v>0</v>
      </c>
      <c r="Q565" s="1129"/>
    </row>
    <row r="566" spans="1:17" ht="12.75" customHeight="1">
      <c r="A566" s="1171"/>
      <c r="B566" s="1180"/>
      <c r="C566" s="1186"/>
      <c r="D566" s="306"/>
      <c r="E566" s="306"/>
      <c r="F566" s="306"/>
      <c r="G566" s="306"/>
      <c r="H566" s="307"/>
      <c r="I566" s="308"/>
      <c r="J566" s="378">
        <f>+I566*H566</f>
        <v>0</v>
      </c>
      <c r="K566" s="309"/>
      <c r="L566" s="379">
        <f>J566</f>
        <v>0</v>
      </c>
      <c r="Q566" s="1129"/>
    </row>
    <row r="567" spans="1:17" ht="12.75" customHeight="1">
      <c r="A567" s="1171"/>
      <c r="B567" s="1180"/>
      <c r="C567" s="1186"/>
      <c r="D567" s="306"/>
      <c r="E567" s="306"/>
      <c r="F567" s="306"/>
      <c r="G567" s="306"/>
      <c r="H567" s="307"/>
      <c r="I567" s="308"/>
      <c r="J567" s="378">
        <f>+I567*H567</f>
        <v>0</v>
      </c>
      <c r="K567" s="309"/>
      <c r="L567" s="379">
        <f>J567</f>
        <v>0</v>
      </c>
      <c r="Q567" s="1129"/>
    </row>
    <row r="568" spans="1:17" ht="12.75" customHeight="1">
      <c r="A568" s="1171"/>
      <c r="B568" s="1180"/>
      <c r="C568" s="1186"/>
      <c r="D568" s="306"/>
      <c r="E568" s="306"/>
      <c r="F568" s="306"/>
      <c r="G568" s="306"/>
      <c r="H568" s="307"/>
      <c r="I568" s="308"/>
      <c r="J568" s="378">
        <f>+I568*H568</f>
        <v>0</v>
      </c>
      <c r="K568" s="309"/>
      <c r="L568" s="379">
        <f>J568</f>
        <v>0</v>
      </c>
      <c r="Q568" s="1129"/>
    </row>
    <row r="569" spans="1:17" ht="13.5" customHeight="1" thickBot="1">
      <c r="A569" s="1172"/>
      <c r="B569" s="1181"/>
      <c r="C569" s="1187"/>
      <c r="D569" s="12"/>
      <c r="E569" s="12"/>
      <c r="F569" s="12"/>
      <c r="G569" s="12"/>
      <c r="H569" s="238"/>
      <c r="I569" s="75"/>
      <c r="J569" s="13">
        <f t="shared" ref="J569:J592" si="60">+I569*H569</f>
        <v>0</v>
      </c>
      <c r="K569" s="216"/>
      <c r="L569" s="217">
        <f t="shared" si="56"/>
        <v>0</v>
      </c>
      <c r="Q569" s="1129"/>
    </row>
    <row r="570" spans="1:17" ht="12.75" customHeight="1">
      <c r="A570" s="1170" t="s">
        <v>253</v>
      </c>
      <c r="B570" s="1179" t="s">
        <v>175</v>
      </c>
      <c r="C570" s="1179" t="s">
        <v>565</v>
      </c>
      <c r="D570" s="7"/>
      <c r="E570" s="7"/>
      <c r="F570" s="7">
        <v>0</v>
      </c>
      <c r="G570" s="7">
        <v>500</v>
      </c>
      <c r="H570" s="239">
        <v>11.03</v>
      </c>
      <c r="I570" s="73"/>
      <c r="J570" s="8">
        <f t="shared" si="60"/>
        <v>0</v>
      </c>
      <c r="K570" s="212"/>
      <c r="L570" s="213">
        <f t="shared" si="56"/>
        <v>0</v>
      </c>
      <c r="M570" s="772" t="s">
        <v>1151</v>
      </c>
      <c r="P570" s="1130"/>
      <c r="Q570" s="1127"/>
    </row>
    <row r="571" spans="1:17" ht="12.75" customHeight="1">
      <c r="A571" s="1171"/>
      <c r="B571" s="1180"/>
      <c r="C571" s="1186"/>
      <c r="D571" s="10"/>
      <c r="E571" s="10"/>
      <c r="F571" s="10">
        <v>501</v>
      </c>
      <c r="G571" s="10">
        <v>1000</v>
      </c>
      <c r="H571" s="237">
        <v>13.84</v>
      </c>
      <c r="I571" s="74"/>
      <c r="J571" s="11">
        <f t="shared" si="60"/>
        <v>0</v>
      </c>
      <c r="K571" s="214"/>
      <c r="L571" s="215">
        <f t="shared" si="56"/>
        <v>0</v>
      </c>
      <c r="M571" s="772" t="s">
        <v>1151</v>
      </c>
      <c r="P571" s="1131"/>
      <c r="Q571" s="1129"/>
    </row>
    <row r="572" spans="1:17" ht="12.75" customHeight="1">
      <c r="A572" s="1171"/>
      <c r="B572" s="1180"/>
      <c r="C572" s="1186"/>
      <c r="D572" s="10"/>
      <c r="E572" s="10"/>
      <c r="F572" s="10">
        <v>1001</v>
      </c>
      <c r="G572" s="10">
        <v>1500</v>
      </c>
      <c r="H572" s="237">
        <v>16.739999999999998</v>
      </c>
      <c r="I572" s="74"/>
      <c r="J572" s="11">
        <f t="shared" si="60"/>
        <v>0</v>
      </c>
      <c r="K572" s="214"/>
      <c r="L572" s="215">
        <f t="shared" si="56"/>
        <v>0</v>
      </c>
      <c r="M572" s="772" t="s">
        <v>1151</v>
      </c>
      <c r="P572" s="1131"/>
      <c r="Q572" s="1129"/>
    </row>
    <row r="573" spans="1:17" ht="12.75" customHeight="1">
      <c r="A573" s="1171"/>
      <c r="B573" s="1180"/>
      <c r="C573" s="1186"/>
      <c r="D573" s="10"/>
      <c r="E573" s="10"/>
      <c r="F573" s="10">
        <v>1501</v>
      </c>
      <c r="G573" s="10">
        <v>2000</v>
      </c>
      <c r="H573" s="237">
        <v>18.64</v>
      </c>
      <c r="I573" s="74"/>
      <c r="J573" s="11">
        <f t="shared" si="60"/>
        <v>0</v>
      </c>
      <c r="K573" s="214"/>
      <c r="L573" s="215">
        <f t="shared" si="56"/>
        <v>0</v>
      </c>
      <c r="M573" s="772" t="s">
        <v>1151</v>
      </c>
      <c r="Q573" s="1129"/>
    </row>
    <row r="574" spans="1:17" ht="12.75" customHeight="1">
      <c r="A574" s="1171"/>
      <c r="B574" s="1180"/>
      <c r="C574" s="1186"/>
      <c r="D574" s="10"/>
      <c r="E574" s="10"/>
      <c r="F574" s="10">
        <v>2001</v>
      </c>
      <c r="G574" s="10">
        <v>2500</v>
      </c>
      <c r="H574" s="237">
        <v>24.02</v>
      </c>
      <c r="I574" s="74"/>
      <c r="J574" s="11">
        <f t="shared" si="60"/>
        <v>0</v>
      </c>
      <c r="K574" s="214"/>
      <c r="L574" s="215">
        <f t="shared" si="56"/>
        <v>0</v>
      </c>
      <c r="M574" s="772" t="s">
        <v>1151</v>
      </c>
      <c r="Q574" s="1129"/>
    </row>
    <row r="575" spans="1:17" ht="12.75" customHeight="1">
      <c r="A575" s="1171"/>
      <c r="B575" s="1180"/>
      <c r="C575" s="1186"/>
      <c r="D575" s="10"/>
      <c r="E575" s="10"/>
      <c r="F575" s="10">
        <v>2501</v>
      </c>
      <c r="G575" s="10">
        <v>3500</v>
      </c>
      <c r="H575" s="237">
        <v>29.66</v>
      </c>
      <c r="I575" s="74"/>
      <c r="J575" s="11">
        <f t="shared" si="60"/>
        <v>0</v>
      </c>
      <c r="K575" s="214"/>
      <c r="L575" s="215">
        <f t="shared" si="56"/>
        <v>0</v>
      </c>
      <c r="M575" s="772" t="s">
        <v>1151</v>
      </c>
      <c r="Q575" s="1129"/>
    </row>
    <row r="576" spans="1:17" ht="12.75" customHeight="1">
      <c r="A576" s="1171"/>
      <c r="B576" s="1180"/>
      <c r="C576" s="1186"/>
      <c r="D576" s="10"/>
      <c r="E576" s="10"/>
      <c r="F576" s="10">
        <v>3501</v>
      </c>
      <c r="G576" s="10">
        <v>4500</v>
      </c>
      <c r="H576" s="237">
        <v>38.08</v>
      </c>
      <c r="I576" s="74"/>
      <c r="J576" s="11">
        <f t="shared" si="60"/>
        <v>0</v>
      </c>
      <c r="K576" s="214"/>
      <c r="L576" s="215">
        <f t="shared" si="56"/>
        <v>0</v>
      </c>
      <c r="M576" s="772" t="s">
        <v>1151</v>
      </c>
      <c r="Q576" s="1129"/>
    </row>
    <row r="577" spans="1:17" ht="12.75" customHeight="1">
      <c r="A577" s="1171"/>
      <c r="B577" s="1180"/>
      <c r="C577" s="1186"/>
      <c r="D577" s="10"/>
      <c r="E577" s="10"/>
      <c r="F577" s="10">
        <v>4501</v>
      </c>
      <c r="G577" s="10">
        <v>5500</v>
      </c>
      <c r="H577" s="237">
        <v>49.34</v>
      </c>
      <c r="I577" s="74"/>
      <c r="J577" s="11">
        <f t="shared" si="60"/>
        <v>0</v>
      </c>
      <c r="K577" s="214"/>
      <c r="L577" s="215">
        <f t="shared" si="56"/>
        <v>0</v>
      </c>
      <c r="M577" s="772" t="s">
        <v>1151</v>
      </c>
      <c r="Q577" s="1129"/>
    </row>
    <row r="578" spans="1:17" ht="12.75" customHeight="1">
      <c r="A578" s="1171"/>
      <c r="B578" s="1180"/>
      <c r="C578" s="1186"/>
      <c r="D578" s="10"/>
      <c r="E578" s="10"/>
      <c r="F578" s="10">
        <v>5501</v>
      </c>
      <c r="G578" s="10">
        <v>6500</v>
      </c>
      <c r="H578" s="237">
        <v>53.99</v>
      </c>
      <c r="I578" s="74"/>
      <c r="J578" s="11">
        <f t="shared" si="60"/>
        <v>0</v>
      </c>
      <c r="K578" s="214"/>
      <c r="L578" s="215">
        <f t="shared" si="56"/>
        <v>0</v>
      </c>
      <c r="M578" s="772" t="s">
        <v>1151</v>
      </c>
      <c r="Q578" s="1129"/>
    </row>
    <row r="579" spans="1:17" ht="12.75" customHeight="1">
      <c r="A579" s="1171"/>
      <c r="B579" s="1180"/>
      <c r="C579" s="1186"/>
      <c r="D579" s="10"/>
      <c r="E579" s="10"/>
      <c r="F579" s="10">
        <v>6501</v>
      </c>
      <c r="G579" s="10">
        <v>7000</v>
      </c>
      <c r="H579" s="237">
        <v>57.85</v>
      </c>
      <c r="I579" s="74"/>
      <c r="J579" s="11">
        <f t="shared" si="60"/>
        <v>0</v>
      </c>
      <c r="K579" s="214"/>
      <c r="L579" s="215">
        <f t="shared" si="56"/>
        <v>0</v>
      </c>
      <c r="M579" s="772" t="s">
        <v>1151</v>
      </c>
      <c r="Q579" s="1129"/>
    </row>
    <row r="580" spans="1:17" ht="12.75" customHeight="1">
      <c r="A580" s="1171"/>
      <c r="B580" s="1180"/>
      <c r="C580" s="1186"/>
      <c r="D580" s="10"/>
      <c r="E580" s="10"/>
      <c r="F580" s="10">
        <v>7001</v>
      </c>
      <c r="G580" s="10">
        <v>8500</v>
      </c>
      <c r="H580" s="237">
        <v>70.55</v>
      </c>
      <c r="I580" s="74"/>
      <c r="J580" s="11">
        <f t="shared" si="60"/>
        <v>0</v>
      </c>
      <c r="K580" s="214"/>
      <c r="L580" s="215">
        <f t="shared" si="56"/>
        <v>0</v>
      </c>
      <c r="M580" s="772" t="s">
        <v>1151</v>
      </c>
      <c r="Q580" s="1129"/>
    </row>
    <row r="581" spans="1:17" ht="12.75" customHeight="1">
      <c r="A581" s="1171"/>
      <c r="B581" s="1180"/>
      <c r="C581" s="1186"/>
      <c r="D581" s="10"/>
      <c r="E581" s="10"/>
      <c r="F581" s="10">
        <v>8501</v>
      </c>
      <c r="G581" s="10">
        <v>9500</v>
      </c>
      <c r="H581" s="237">
        <v>77.88</v>
      </c>
      <c r="I581" s="74"/>
      <c r="J581" s="11">
        <f t="shared" si="60"/>
        <v>0</v>
      </c>
      <c r="K581" s="214"/>
      <c r="L581" s="215">
        <f t="shared" si="56"/>
        <v>0</v>
      </c>
      <c r="M581" s="772" t="s">
        <v>1151</v>
      </c>
      <c r="Q581" s="1129"/>
    </row>
    <row r="582" spans="1:17" ht="13.5" customHeight="1" thickBot="1">
      <c r="A582" s="1172"/>
      <c r="B582" s="1181"/>
      <c r="C582" s="1187"/>
      <c r="D582" s="12"/>
      <c r="E582" s="12"/>
      <c r="F582" s="12"/>
      <c r="G582" s="12"/>
      <c r="H582" s="238">
        <v>80</v>
      </c>
      <c r="I582" s="75"/>
      <c r="J582" s="13">
        <f t="shared" si="60"/>
        <v>0</v>
      </c>
      <c r="K582" s="216"/>
      <c r="L582" s="217">
        <f t="shared" si="56"/>
        <v>0</v>
      </c>
      <c r="M582" s="772" t="s">
        <v>1151</v>
      </c>
      <c r="Q582" s="1129"/>
    </row>
    <row r="583" spans="1:17" ht="13.5" customHeight="1">
      <c r="A583" s="1170" t="s">
        <v>652</v>
      </c>
      <c r="B583" s="1179" t="s">
        <v>653</v>
      </c>
      <c r="C583" s="1193" t="s">
        <v>565</v>
      </c>
      <c r="D583" s="409">
        <v>0.13</v>
      </c>
      <c r="E583" s="409">
        <v>0.13</v>
      </c>
      <c r="F583" s="410">
        <v>0</v>
      </c>
      <c r="G583" s="410">
        <v>500</v>
      </c>
      <c r="H583" s="383">
        <v>12.71682</v>
      </c>
      <c r="I583" s="73"/>
      <c r="J583" s="375">
        <f t="shared" si="60"/>
        <v>0</v>
      </c>
      <c r="K583" s="376"/>
      <c r="L583" s="377">
        <f>J583</f>
        <v>0</v>
      </c>
      <c r="M583" s="772" t="s">
        <v>1146</v>
      </c>
      <c r="P583" s="1130"/>
      <c r="Q583" s="1127"/>
    </row>
    <row r="584" spans="1:17" ht="13.5" customHeight="1">
      <c r="A584" s="1171"/>
      <c r="B584" s="1180"/>
      <c r="C584" s="1186"/>
      <c r="D584" s="411">
        <v>0.13</v>
      </c>
      <c r="E584" s="411">
        <v>0.13</v>
      </c>
      <c r="F584" s="411">
        <v>501</v>
      </c>
      <c r="G584" s="411">
        <v>1000</v>
      </c>
      <c r="H584" s="383">
        <v>17.486820000000002</v>
      </c>
      <c r="I584" s="74"/>
      <c r="J584" s="378">
        <f t="shared" si="60"/>
        <v>0</v>
      </c>
      <c r="K584" s="309"/>
      <c r="L584" s="379">
        <f t="shared" ref="L584:L592" si="61">J584</f>
        <v>0</v>
      </c>
      <c r="M584" s="772" t="s">
        <v>1146</v>
      </c>
      <c r="P584" s="1131"/>
      <c r="Q584" s="1129"/>
    </row>
    <row r="585" spans="1:17" ht="13.5" customHeight="1">
      <c r="A585" s="1171"/>
      <c r="B585" s="1180"/>
      <c r="C585" s="1186"/>
      <c r="D585" s="411">
        <v>0.13</v>
      </c>
      <c r="E585" s="411">
        <v>0.13</v>
      </c>
      <c r="F585" s="411">
        <v>1001</v>
      </c>
      <c r="G585" s="411">
        <v>1500</v>
      </c>
      <c r="H585" s="383">
        <v>22.256819999999998</v>
      </c>
      <c r="I585" s="74"/>
      <c r="J585" s="11">
        <f t="shared" si="60"/>
        <v>0</v>
      </c>
      <c r="K585" s="214"/>
      <c r="L585" s="215">
        <f t="shared" si="61"/>
        <v>0</v>
      </c>
      <c r="M585" s="772" t="s">
        <v>1146</v>
      </c>
      <c r="P585" s="1131"/>
      <c r="Q585" s="1129"/>
    </row>
    <row r="586" spans="1:17" ht="13.5" customHeight="1">
      <c r="A586" s="1171"/>
      <c r="B586" s="1180"/>
      <c r="C586" s="1186"/>
      <c r="D586" s="411">
        <v>0.13</v>
      </c>
      <c r="E586" s="411">
        <v>0.13</v>
      </c>
      <c r="F586" s="411">
        <v>1501</v>
      </c>
      <c r="G586" s="411">
        <v>2000</v>
      </c>
      <c r="H586" s="383">
        <v>27.026820000000001</v>
      </c>
      <c r="I586" s="74"/>
      <c r="J586" s="11">
        <f t="shared" si="60"/>
        <v>0</v>
      </c>
      <c r="K586" s="214"/>
      <c r="L586" s="215">
        <f t="shared" si="61"/>
        <v>0</v>
      </c>
      <c r="M586" s="772" t="s">
        <v>1146</v>
      </c>
      <c r="Q586" s="1129"/>
    </row>
    <row r="587" spans="1:17" ht="13.5" customHeight="1">
      <c r="A587" s="1171"/>
      <c r="B587" s="1180"/>
      <c r="C587" s="1186"/>
      <c r="D587" s="411">
        <v>0.13</v>
      </c>
      <c r="E587" s="411">
        <v>0.13</v>
      </c>
      <c r="F587" s="411">
        <v>2001</v>
      </c>
      <c r="G587" s="411">
        <v>2500</v>
      </c>
      <c r="H587" s="383">
        <v>31.796820000000004</v>
      </c>
      <c r="I587" s="74"/>
      <c r="J587" s="11">
        <f t="shared" si="60"/>
        <v>0</v>
      </c>
      <c r="K587" s="214"/>
      <c r="L587" s="215">
        <f t="shared" si="61"/>
        <v>0</v>
      </c>
      <c r="M587" s="772" t="s">
        <v>1146</v>
      </c>
      <c r="Q587" s="1129"/>
    </row>
    <row r="588" spans="1:17" ht="13.5" customHeight="1">
      <c r="A588" s="1171"/>
      <c r="B588" s="1180"/>
      <c r="C588" s="1186"/>
      <c r="D588" s="411">
        <v>0.13</v>
      </c>
      <c r="E588" s="411">
        <v>0.13</v>
      </c>
      <c r="F588" s="411">
        <v>2501</v>
      </c>
      <c r="G588" s="411">
        <v>3500</v>
      </c>
      <c r="H588" s="383">
        <v>39.75318</v>
      </c>
      <c r="I588" s="74"/>
      <c r="J588" s="11">
        <f t="shared" si="60"/>
        <v>0</v>
      </c>
      <c r="K588" s="214"/>
      <c r="L588" s="215">
        <f t="shared" si="61"/>
        <v>0</v>
      </c>
      <c r="M588" s="772" t="s">
        <v>1146</v>
      </c>
      <c r="Q588" s="1129"/>
    </row>
    <row r="589" spans="1:17" ht="13.5" customHeight="1">
      <c r="A589" s="1171"/>
      <c r="B589" s="1180"/>
      <c r="C589" s="1186"/>
      <c r="D589" s="411">
        <v>0.13</v>
      </c>
      <c r="E589" s="411">
        <v>0.13</v>
      </c>
      <c r="F589" s="411">
        <v>3501</v>
      </c>
      <c r="G589" s="411">
        <v>4500</v>
      </c>
      <c r="H589" s="383">
        <v>49.293180000000007</v>
      </c>
      <c r="I589" s="74"/>
      <c r="J589" s="11">
        <f t="shared" si="60"/>
        <v>0</v>
      </c>
      <c r="K589" s="214"/>
      <c r="L589" s="215">
        <f t="shared" si="61"/>
        <v>0</v>
      </c>
      <c r="M589" s="772" t="s">
        <v>1146</v>
      </c>
      <c r="Q589" s="1129"/>
    </row>
    <row r="590" spans="1:17" ht="13.5" customHeight="1">
      <c r="A590" s="1171"/>
      <c r="B590" s="1180"/>
      <c r="C590" s="1186"/>
      <c r="D590" s="411">
        <v>0.13</v>
      </c>
      <c r="E590" s="411">
        <v>0.13</v>
      </c>
      <c r="F590" s="411">
        <v>4501</v>
      </c>
      <c r="G590" s="411">
        <v>5500</v>
      </c>
      <c r="H590" s="383">
        <v>58.833179999999999</v>
      </c>
      <c r="I590" s="74"/>
      <c r="J590" s="11">
        <f t="shared" si="60"/>
        <v>0</v>
      </c>
      <c r="K590" s="214"/>
      <c r="L590" s="215">
        <f t="shared" si="61"/>
        <v>0</v>
      </c>
      <c r="M590" s="772" t="s">
        <v>1146</v>
      </c>
      <c r="Q590" s="1129"/>
    </row>
    <row r="591" spans="1:17" ht="13.5" customHeight="1">
      <c r="A591" s="1171"/>
      <c r="B591" s="1180"/>
      <c r="C591" s="1186"/>
      <c r="D591" s="411">
        <v>0.13</v>
      </c>
      <c r="E591" s="411">
        <v>0.13</v>
      </c>
      <c r="F591" s="411">
        <v>5501</v>
      </c>
      <c r="G591" s="411">
        <v>6500</v>
      </c>
      <c r="H591" s="383">
        <v>68.373180000000005</v>
      </c>
      <c r="I591" s="74"/>
      <c r="J591" s="220">
        <f t="shared" si="60"/>
        <v>0</v>
      </c>
      <c r="K591" s="380"/>
      <c r="L591" s="381">
        <f t="shared" si="61"/>
        <v>0</v>
      </c>
      <c r="M591" s="772" t="s">
        <v>1146</v>
      </c>
      <c r="Q591" s="1129"/>
    </row>
    <row r="592" spans="1:17" ht="13.5" customHeight="1">
      <c r="A592" s="1171"/>
      <c r="B592" s="1180"/>
      <c r="C592" s="1186"/>
      <c r="D592" s="411">
        <v>0.13</v>
      </c>
      <c r="E592" s="411">
        <v>0.13</v>
      </c>
      <c r="F592" s="411">
        <v>6501</v>
      </c>
      <c r="G592" s="411">
        <v>7000</v>
      </c>
      <c r="H592" s="383">
        <v>73.143180000000015</v>
      </c>
      <c r="I592" s="74"/>
      <c r="J592" s="220">
        <f t="shared" si="60"/>
        <v>0</v>
      </c>
      <c r="K592" s="380"/>
      <c r="L592" s="381">
        <f t="shared" si="61"/>
        <v>0</v>
      </c>
      <c r="M592" s="772" t="s">
        <v>1146</v>
      </c>
      <c r="Q592" s="1129"/>
    </row>
    <row r="593" spans="1:17" ht="13.5" customHeight="1" thickBot="1">
      <c r="A593" s="1172"/>
      <c r="B593" s="1181"/>
      <c r="C593" s="1187"/>
      <c r="D593" s="374"/>
      <c r="E593" s="374"/>
      <c r="F593" s="374"/>
      <c r="G593" s="374"/>
      <c r="H593" s="382"/>
      <c r="I593" s="360"/>
      <c r="J593" s="361"/>
      <c r="K593" s="372"/>
      <c r="L593" s="373"/>
      <c r="M593" s="772"/>
      <c r="Q593" s="1129"/>
    </row>
    <row r="594" spans="1:17" ht="12.75" customHeight="1">
      <c r="A594" s="1170" t="s">
        <v>176</v>
      </c>
      <c r="B594" s="1179" t="s">
        <v>177</v>
      </c>
      <c r="C594" s="1179"/>
      <c r="D594" s="7"/>
      <c r="E594" s="7"/>
      <c r="F594" s="7">
        <v>0</v>
      </c>
      <c r="G594" s="7">
        <v>500</v>
      </c>
      <c r="H594" s="239">
        <v>13.73</v>
      </c>
      <c r="I594" s="73"/>
      <c r="J594" s="8">
        <f t="shared" ref="J594:J638" si="62">+I594*H594</f>
        <v>0</v>
      </c>
      <c r="K594" s="212"/>
      <c r="L594" s="213">
        <f t="shared" si="56"/>
        <v>0</v>
      </c>
      <c r="M594" s="772" t="s">
        <v>1148</v>
      </c>
      <c r="P594" s="1130"/>
      <c r="Q594" s="1127"/>
    </row>
    <row r="595" spans="1:17" ht="12.75" customHeight="1">
      <c r="A595" s="1171"/>
      <c r="B595" s="1180"/>
      <c r="C595" s="1186"/>
      <c r="D595" s="10"/>
      <c r="E595" s="10"/>
      <c r="F595" s="10">
        <v>501</v>
      </c>
      <c r="G595" s="10">
        <v>1000</v>
      </c>
      <c r="H595" s="237">
        <v>15</v>
      </c>
      <c r="I595" s="74"/>
      <c r="J595" s="11">
        <f t="shared" si="62"/>
        <v>0</v>
      </c>
      <c r="K595" s="214"/>
      <c r="L595" s="215">
        <f t="shared" si="56"/>
        <v>0</v>
      </c>
      <c r="M595" s="1" t="s">
        <v>1148</v>
      </c>
      <c r="P595" s="1131"/>
      <c r="Q595" s="1129"/>
    </row>
    <row r="596" spans="1:17" ht="12.75" customHeight="1">
      <c r="A596" s="1171"/>
      <c r="B596" s="1180"/>
      <c r="C596" s="1186"/>
      <c r="D596" s="10"/>
      <c r="E596" s="10"/>
      <c r="F596" s="10">
        <v>1001</v>
      </c>
      <c r="G596" s="10">
        <v>1500</v>
      </c>
      <c r="H596" s="237">
        <v>16.399999999999999</v>
      </c>
      <c r="I596" s="74"/>
      <c r="J596" s="11">
        <f t="shared" si="62"/>
        <v>0</v>
      </c>
      <c r="K596" s="214"/>
      <c r="L596" s="215">
        <f t="shared" si="56"/>
        <v>0</v>
      </c>
      <c r="M596" s="1" t="s">
        <v>1148</v>
      </c>
      <c r="P596" s="1131"/>
      <c r="Q596" s="1129"/>
    </row>
    <row r="597" spans="1:17" ht="12.75" customHeight="1">
      <c r="A597" s="1171"/>
      <c r="B597" s="1180"/>
      <c r="C597" s="1186"/>
      <c r="D597" s="10"/>
      <c r="E597" s="10"/>
      <c r="F597" s="10">
        <v>1501</v>
      </c>
      <c r="G597" s="10">
        <v>2000</v>
      </c>
      <c r="H597" s="237">
        <v>18</v>
      </c>
      <c r="I597" s="74"/>
      <c r="J597" s="11">
        <f t="shared" si="62"/>
        <v>0</v>
      </c>
      <c r="K597" s="214"/>
      <c r="L597" s="215">
        <f t="shared" si="56"/>
        <v>0</v>
      </c>
      <c r="M597" s="1" t="s">
        <v>1148</v>
      </c>
      <c r="Q597" s="1129"/>
    </row>
    <row r="598" spans="1:17" ht="12.75" customHeight="1">
      <c r="A598" s="1171"/>
      <c r="B598" s="1180"/>
      <c r="C598" s="1186"/>
      <c r="D598" s="10"/>
      <c r="E598" s="10"/>
      <c r="F598" s="10">
        <v>2001</v>
      </c>
      <c r="G598" s="10">
        <v>2500</v>
      </c>
      <c r="H598" s="237">
        <v>19.899999999999999</v>
      </c>
      <c r="I598" s="74"/>
      <c r="J598" s="11">
        <f t="shared" si="62"/>
        <v>0</v>
      </c>
      <c r="K598" s="214"/>
      <c r="L598" s="215">
        <f t="shared" si="56"/>
        <v>0</v>
      </c>
      <c r="M598" s="1" t="s">
        <v>1148</v>
      </c>
      <c r="Q598" s="1129"/>
    </row>
    <row r="599" spans="1:17" ht="12.75" customHeight="1">
      <c r="A599" s="1171"/>
      <c r="B599" s="1180"/>
      <c r="C599" s="1186"/>
      <c r="D599" s="10"/>
      <c r="E599" s="10"/>
      <c r="F599" s="10">
        <v>2501</v>
      </c>
      <c r="G599" s="10">
        <v>3500</v>
      </c>
      <c r="H599" s="237">
        <v>24.48</v>
      </c>
      <c r="I599" s="74"/>
      <c r="J599" s="11">
        <f t="shared" si="62"/>
        <v>0</v>
      </c>
      <c r="K599" s="214"/>
      <c r="L599" s="215">
        <f t="shared" ref="L599:L681" si="63">J599</f>
        <v>0</v>
      </c>
      <c r="M599" s="1" t="s">
        <v>1148</v>
      </c>
      <c r="Q599" s="1129"/>
    </row>
    <row r="600" spans="1:17" ht="12.75" customHeight="1">
      <c r="A600" s="1171"/>
      <c r="B600" s="1180"/>
      <c r="C600" s="1186"/>
      <c r="D600" s="10"/>
      <c r="E600" s="10"/>
      <c r="F600" s="10">
        <v>3501</v>
      </c>
      <c r="G600" s="10">
        <v>4500</v>
      </c>
      <c r="H600" s="237">
        <v>30.45</v>
      </c>
      <c r="I600" s="74"/>
      <c r="J600" s="11">
        <f t="shared" si="62"/>
        <v>0</v>
      </c>
      <c r="K600" s="214"/>
      <c r="L600" s="215">
        <f t="shared" si="63"/>
        <v>0</v>
      </c>
      <c r="M600" s="1" t="s">
        <v>1148</v>
      </c>
      <c r="Q600" s="1129"/>
    </row>
    <row r="601" spans="1:17" ht="12.75" customHeight="1">
      <c r="A601" s="1171"/>
      <c r="B601" s="1180"/>
      <c r="C601" s="1186"/>
      <c r="D601" s="10"/>
      <c r="E601" s="10"/>
      <c r="F601" s="10">
        <v>4501</v>
      </c>
      <c r="G601" s="10">
        <v>5500</v>
      </c>
      <c r="H601" s="237">
        <v>38.200000000000003</v>
      </c>
      <c r="I601" s="74"/>
      <c r="J601" s="11">
        <f t="shared" si="62"/>
        <v>0</v>
      </c>
      <c r="K601" s="214"/>
      <c r="L601" s="215">
        <f t="shared" si="63"/>
        <v>0</v>
      </c>
      <c r="M601" s="1" t="s">
        <v>1148</v>
      </c>
      <c r="Q601" s="1129"/>
    </row>
    <row r="602" spans="1:17" ht="12.75" customHeight="1">
      <c r="A602" s="1171"/>
      <c r="B602" s="1180"/>
      <c r="C602" s="1186"/>
      <c r="D602" s="10"/>
      <c r="E602" s="10"/>
      <c r="F602" s="10">
        <v>5501</v>
      </c>
      <c r="G602" s="10">
        <v>7000</v>
      </c>
      <c r="H602" s="237">
        <v>82.81</v>
      </c>
      <c r="I602" s="74"/>
      <c r="J602" s="11">
        <f t="shared" si="62"/>
        <v>0</v>
      </c>
      <c r="K602" s="214"/>
      <c r="L602" s="215">
        <f t="shared" si="63"/>
        <v>0</v>
      </c>
      <c r="M602" s="1" t="s">
        <v>1148</v>
      </c>
      <c r="Q602" s="1129"/>
    </row>
    <row r="603" spans="1:17" ht="12.75" customHeight="1">
      <c r="A603" s="1171"/>
      <c r="B603" s="1180"/>
      <c r="C603" s="1186"/>
      <c r="D603" s="10"/>
      <c r="E603" s="10"/>
      <c r="F603" s="10">
        <v>7001</v>
      </c>
      <c r="G603" s="10">
        <v>8000</v>
      </c>
      <c r="H603" s="237">
        <v>85.16</v>
      </c>
      <c r="I603" s="74"/>
      <c r="J603" s="11">
        <f t="shared" si="62"/>
        <v>0</v>
      </c>
      <c r="K603" s="214"/>
      <c r="L603" s="215">
        <f t="shared" si="63"/>
        <v>0</v>
      </c>
      <c r="M603" s="1" t="s">
        <v>1148</v>
      </c>
      <c r="Q603" s="1129"/>
    </row>
    <row r="604" spans="1:17" ht="12.75" customHeight="1">
      <c r="A604" s="1171"/>
      <c r="B604" s="1180"/>
      <c r="C604" s="1186"/>
      <c r="D604" s="10"/>
      <c r="E604" s="10"/>
      <c r="F604" s="10">
        <v>8001</v>
      </c>
      <c r="G604" s="10">
        <v>9000</v>
      </c>
      <c r="H604" s="237">
        <v>88.69</v>
      </c>
      <c r="I604" s="74"/>
      <c r="J604" s="11">
        <f t="shared" si="62"/>
        <v>0</v>
      </c>
      <c r="K604" s="214"/>
      <c r="L604" s="215">
        <f t="shared" si="63"/>
        <v>0</v>
      </c>
      <c r="M604" s="1" t="s">
        <v>1148</v>
      </c>
      <c r="Q604" s="1129"/>
    </row>
    <row r="605" spans="1:17" ht="12.75" customHeight="1">
      <c r="A605" s="1171"/>
      <c r="B605" s="1180"/>
      <c r="C605" s="1186"/>
      <c r="D605" s="10"/>
      <c r="E605" s="10"/>
      <c r="F605" s="10">
        <v>9001</v>
      </c>
      <c r="G605" s="10">
        <v>10000</v>
      </c>
      <c r="H605" s="237">
        <v>93.67</v>
      </c>
      <c r="I605" s="74"/>
      <c r="J605" s="11">
        <f t="shared" si="62"/>
        <v>0</v>
      </c>
      <c r="K605" s="214"/>
      <c r="L605" s="215">
        <f t="shared" si="63"/>
        <v>0</v>
      </c>
      <c r="M605" s="1" t="s">
        <v>1148</v>
      </c>
      <c r="Q605" s="1129"/>
    </row>
    <row r="606" spans="1:17" ht="12.75" customHeight="1">
      <c r="A606" s="1171"/>
      <c r="B606" s="1180"/>
      <c r="C606" s="1186"/>
      <c r="D606" s="10"/>
      <c r="E606" s="10"/>
      <c r="F606" s="10">
        <v>10001</v>
      </c>
      <c r="G606" s="10">
        <v>12000</v>
      </c>
      <c r="H606" s="237">
        <v>100.59</v>
      </c>
      <c r="I606" s="74"/>
      <c r="J606" s="11">
        <f t="shared" si="62"/>
        <v>0</v>
      </c>
      <c r="K606" s="214"/>
      <c r="L606" s="215">
        <f t="shared" si="63"/>
        <v>0</v>
      </c>
      <c r="M606" s="1" t="s">
        <v>1148</v>
      </c>
      <c r="Q606" s="1129"/>
    </row>
    <row r="607" spans="1:17" ht="13.5" customHeight="1" thickBot="1">
      <c r="A607" s="1172"/>
      <c r="B607" s="1181"/>
      <c r="C607" s="1187"/>
      <c r="D607" s="12"/>
      <c r="E607" s="12"/>
      <c r="F607" s="12"/>
      <c r="G607" s="12"/>
      <c r="H607" s="238">
        <v>110.3</v>
      </c>
      <c r="I607" s="75"/>
      <c r="J607" s="13">
        <f t="shared" si="62"/>
        <v>0</v>
      </c>
      <c r="K607" s="216"/>
      <c r="L607" s="217">
        <f t="shared" si="63"/>
        <v>0</v>
      </c>
      <c r="M607" s="1" t="s">
        <v>1148</v>
      </c>
      <c r="Q607" s="1129"/>
    </row>
    <row r="608" spans="1:17" ht="12.75" customHeight="1">
      <c r="A608" s="1190" t="s">
        <v>254</v>
      </c>
      <c r="B608" s="1179" t="s">
        <v>175</v>
      </c>
      <c r="C608" s="1179" t="s">
        <v>565</v>
      </c>
      <c r="D608" s="7"/>
      <c r="E608" s="7"/>
      <c r="F608" s="7">
        <v>0</v>
      </c>
      <c r="G608" s="7">
        <v>1000</v>
      </c>
      <c r="H608" s="239">
        <v>12.61</v>
      </c>
      <c r="I608" s="73">
        <v>1</v>
      </c>
      <c r="J608" s="8">
        <f t="shared" si="62"/>
        <v>12.61</v>
      </c>
      <c r="K608" s="212"/>
      <c r="L608" s="213">
        <f t="shared" si="63"/>
        <v>12.61</v>
      </c>
      <c r="M608" s="1" t="s">
        <v>1148</v>
      </c>
      <c r="P608" s="1130"/>
      <c r="Q608" s="1127"/>
    </row>
    <row r="609" spans="1:17" ht="12.75" customHeight="1">
      <c r="A609" s="1191"/>
      <c r="B609" s="1180"/>
      <c r="C609" s="1186"/>
      <c r="D609" s="10"/>
      <c r="E609" s="10"/>
      <c r="F609" s="10">
        <v>1001</v>
      </c>
      <c r="G609" s="10">
        <v>2000</v>
      </c>
      <c r="H609" s="237">
        <v>18.47</v>
      </c>
      <c r="I609" s="74">
        <v>3</v>
      </c>
      <c r="J609" s="11">
        <f t="shared" si="62"/>
        <v>55.41</v>
      </c>
      <c r="K609" s="214"/>
      <c r="L609" s="215">
        <f t="shared" si="63"/>
        <v>55.41</v>
      </c>
      <c r="M609" s="1" t="s">
        <v>1148</v>
      </c>
      <c r="P609" s="1131"/>
      <c r="Q609" s="1129"/>
    </row>
    <row r="610" spans="1:17" ht="12.75" customHeight="1">
      <c r="A610" s="1191"/>
      <c r="B610" s="1180"/>
      <c r="C610" s="1186"/>
      <c r="D610" s="10"/>
      <c r="E610" s="10"/>
      <c r="F610" s="10">
        <v>2001</v>
      </c>
      <c r="G610" s="10">
        <v>3000</v>
      </c>
      <c r="H610" s="237">
        <v>30.42</v>
      </c>
      <c r="I610" s="74"/>
      <c r="J610" s="11">
        <f t="shared" si="62"/>
        <v>0</v>
      </c>
      <c r="K610" s="214"/>
      <c r="L610" s="215">
        <f t="shared" si="63"/>
        <v>0</v>
      </c>
      <c r="M610" s="1" t="s">
        <v>1148</v>
      </c>
      <c r="P610" s="1131"/>
      <c r="Q610" s="1129"/>
    </row>
    <row r="611" spans="1:17" ht="12.75" customHeight="1">
      <c r="A611" s="1191"/>
      <c r="B611" s="1180"/>
      <c r="C611" s="1186"/>
      <c r="D611" s="10"/>
      <c r="E611" s="10"/>
      <c r="F611" s="10">
        <v>3001</v>
      </c>
      <c r="G611" s="10">
        <v>4000</v>
      </c>
      <c r="H611" s="237">
        <v>52.69</v>
      </c>
      <c r="I611" s="74"/>
      <c r="J611" s="11">
        <f t="shared" si="62"/>
        <v>0</v>
      </c>
      <c r="K611" s="214"/>
      <c r="L611" s="215">
        <f t="shared" si="63"/>
        <v>0</v>
      </c>
      <c r="M611" s="1" t="s">
        <v>1148</v>
      </c>
      <c r="Q611" s="1129"/>
    </row>
    <row r="612" spans="1:17" ht="12.75" customHeight="1">
      <c r="A612" s="1191"/>
      <c r="B612" s="1180"/>
      <c r="C612" s="1186"/>
      <c r="D612" s="306"/>
      <c r="E612" s="306"/>
      <c r="F612" s="306">
        <v>4001</v>
      </c>
      <c r="G612" s="306">
        <v>5000</v>
      </c>
      <c r="H612" s="307">
        <v>91.59</v>
      </c>
      <c r="I612" s="74"/>
      <c r="J612" s="11">
        <f>+I612*H612</f>
        <v>0</v>
      </c>
      <c r="K612" s="214"/>
      <c r="L612" s="215">
        <f>J612</f>
        <v>0</v>
      </c>
      <c r="M612" s="1" t="s">
        <v>1148</v>
      </c>
      <c r="Q612" s="1129"/>
    </row>
    <row r="613" spans="1:17" ht="12.75" customHeight="1">
      <c r="A613" s="1191"/>
      <c r="B613" s="1180"/>
      <c r="C613" s="1186"/>
      <c r="D613" s="306"/>
      <c r="E613" s="306"/>
      <c r="F613" s="306">
        <v>5001</v>
      </c>
      <c r="G613" s="306">
        <v>99999</v>
      </c>
      <c r="H613" s="307">
        <v>91.59</v>
      </c>
      <c r="I613" s="74"/>
      <c r="J613" s="11">
        <f>+I613*H613</f>
        <v>0</v>
      </c>
      <c r="K613" s="214"/>
      <c r="L613" s="215">
        <f>J613</f>
        <v>0</v>
      </c>
      <c r="M613" s="1" t="s">
        <v>1148</v>
      </c>
      <c r="Q613" s="1129"/>
    </row>
    <row r="614" spans="1:17" ht="13.5" customHeight="1" thickBot="1">
      <c r="A614" s="1192"/>
      <c r="B614" s="1181"/>
      <c r="C614" s="1187"/>
      <c r="D614" s="12"/>
      <c r="E614" s="12"/>
      <c r="F614" s="12"/>
      <c r="G614" s="12"/>
      <c r="H614" s="238"/>
      <c r="I614" s="75"/>
      <c r="J614" s="13">
        <f t="shared" si="62"/>
        <v>0</v>
      </c>
      <c r="K614" s="216"/>
      <c r="L614" s="217">
        <f t="shared" si="63"/>
        <v>0</v>
      </c>
      <c r="M614" s="772"/>
      <c r="Q614" s="1129"/>
    </row>
    <row r="615" spans="1:17" ht="12.75" customHeight="1">
      <c r="A615" s="1190" t="s">
        <v>255</v>
      </c>
      <c r="B615" s="1179" t="s">
        <v>175</v>
      </c>
      <c r="C615" s="1179" t="s">
        <v>565</v>
      </c>
      <c r="D615" s="7"/>
      <c r="E615" s="7"/>
      <c r="F615" s="7">
        <v>0</v>
      </c>
      <c r="G615" s="7">
        <v>1000</v>
      </c>
      <c r="H615" s="239">
        <v>17.2</v>
      </c>
      <c r="I615" s="73"/>
      <c r="J615" s="8">
        <f t="shared" si="62"/>
        <v>0</v>
      </c>
      <c r="K615" s="212"/>
      <c r="L615" s="213">
        <f t="shared" si="63"/>
        <v>0</v>
      </c>
      <c r="M615" s="772" t="s">
        <v>1148</v>
      </c>
      <c r="P615" s="1130"/>
      <c r="Q615" s="1127"/>
    </row>
    <row r="616" spans="1:17" ht="12.75" customHeight="1">
      <c r="A616" s="1191"/>
      <c r="B616" s="1180"/>
      <c r="C616" s="1186"/>
      <c r="D616" s="10"/>
      <c r="E616" s="10"/>
      <c r="F616" s="10">
        <v>1001</v>
      </c>
      <c r="G616" s="10">
        <v>2000</v>
      </c>
      <c r="H616" s="237">
        <v>24.76</v>
      </c>
      <c r="I616" s="74"/>
      <c r="J616" s="11">
        <f t="shared" si="62"/>
        <v>0</v>
      </c>
      <c r="K616" s="214"/>
      <c r="L616" s="215">
        <f t="shared" si="63"/>
        <v>0</v>
      </c>
      <c r="M616" s="772" t="s">
        <v>1148</v>
      </c>
      <c r="P616" s="1131"/>
      <c r="Q616" s="1129"/>
    </row>
    <row r="617" spans="1:17" ht="12.75" customHeight="1">
      <c r="A617" s="1191"/>
      <c r="B617" s="1180"/>
      <c r="C617" s="1186"/>
      <c r="D617" s="10"/>
      <c r="E617" s="10"/>
      <c r="F617" s="10">
        <v>2001</v>
      </c>
      <c r="G617" s="10">
        <v>3000</v>
      </c>
      <c r="H617" s="237">
        <v>42.88</v>
      </c>
      <c r="I617" s="74"/>
      <c r="J617" s="11">
        <f t="shared" si="62"/>
        <v>0</v>
      </c>
      <c r="K617" s="214"/>
      <c r="L617" s="215">
        <f t="shared" si="63"/>
        <v>0</v>
      </c>
      <c r="M617" s="772" t="s">
        <v>1148</v>
      </c>
      <c r="P617" s="1131"/>
      <c r="Q617" s="1129"/>
    </row>
    <row r="618" spans="1:17" ht="12.75" customHeight="1">
      <c r="A618" s="1191"/>
      <c r="B618" s="1180"/>
      <c r="C618" s="1186"/>
      <c r="D618" s="10"/>
      <c r="E618" s="10"/>
      <c r="F618" s="10">
        <v>3001</v>
      </c>
      <c r="G618" s="10">
        <v>4000</v>
      </c>
      <c r="H618" s="237">
        <v>76.69</v>
      </c>
      <c r="I618" s="74"/>
      <c r="J618" s="11">
        <f t="shared" si="62"/>
        <v>0</v>
      </c>
      <c r="K618" s="214"/>
      <c r="L618" s="215">
        <f t="shared" si="63"/>
        <v>0</v>
      </c>
      <c r="M618" s="772" t="s">
        <v>1148</v>
      </c>
      <c r="Q618" s="1129"/>
    </row>
    <row r="619" spans="1:17" ht="12.75" customHeight="1">
      <c r="A619" s="1191"/>
      <c r="B619" s="1180"/>
      <c r="C619" s="1186"/>
      <c r="D619" s="306"/>
      <c r="E619" s="306"/>
      <c r="F619" s="306">
        <v>4001</v>
      </c>
      <c r="G619" s="306">
        <v>5000</v>
      </c>
      <c r="H619" s="307">
        <v>129.30000000000001</v>
      </c>
      <c r="I619" s="308"/>
      <c r="J619" s="378">
        <f t="shared" si="62"/>
        <v>0</v>
      </c>
      <c r="K619" s="309"/>
      <c r="L619" s="379">
        <f t="shared" si="63"/>
        <v>0</v>
      </c>
      <c r="M619" s="772" t="s">
        <v>1148</v>
      </c>
      <c r="Q619" s="1129"/>
    </row>
    <row r="620" spans="1:17" ht="12.75" customHeight="1">
      <c r="A620" s="1191"/>
      <c r="B620" s="1180"/>
      <c r="C620" s="1186"/>
      <c r="D620" s="306"/>
      <c r="E620" s="306"/>
      <c r="F620" s="306">
        <v>5001</v>
      </c>
      <c r="G620" s="306">
        <v>99999</v>
      </c>
      <c r="H620" s="307">
        <v>129.30000000000001</v>
      </c>
      <c r="I620" s="308"/>
      <c r="J620" s="378">
        <f>+I620*H620</f>
        <v>0</v>
      </c>
      <c r="K620" s="309"/>
      <c r="L620" s="379">
        <f t="shared" si="63"/>
        <v>0</v>
      </c>
      <c r="M620" s="772" t="s">
        <v>1148</v>
      </c>
      <c r="Q620" s="1129"/>
    </row>
    <row r="621" spans="1:17" ht="13.5" customHeight="1" thickBot="1">
      <c r="A621" s="1192"/>
      <c r="B621" s="1181"/>
      <c r="C621" s="1187"/>
      <c r="D621" s="12"/>
      <c r="E621" s="12"/>
      <c r="F621" s="12"/>
      <c r="G621" s="12"/>
      <c r="H621" s="238"/>
      <c r="I621" s="75"/>
      <c r="J621" s="13">
        <f t="shared" si="62"/>
        <v>0</v>
      </c>
      <c r="K621" s="216"/>
      <c r="L621" s="217">
        <f t="shared" si="63"/>
        <v>0</v>
      </c>
      <c r="Q621" s="1129"/>
    </row>
    <row r="622" spans="1:17" ht="66.75" customHeight="1" thickBot="1">
      <c r="A622" s="562" t="s">
        <v>717</v>
      </c>
      <c r="B622" s="415" t="s">
        <v>716</v>
      </c>
      <c r="C622" s="414" t="s">
        <v>565</v>
      </c>
      <c r="D622" s="422"/>
      <c r="E622" s="422"/>
      <c r="F622" s="422">
        <v>0</v>
      </c>
      <c r="G622" s="422">
        <v>99999</v>
      </c>
      <c r="H622" s="423">
        <v>129.30000000000001</v>
      </c>
      <c r="I622" s="424"/>
      <c r="J622" s="426">
        <f>H622*I622</f>
        <v>0</v>
      </c>
      <c r="K622" s="425"/>
      <c r="L622" s="427">
        <f>J622</f>
        <v>0</v>
      </c>
      <c r="M622" s="772" t="s">
        <v>1147</v>
      </c>
      <c r="Q622" s="1129"/>
    </row>
    <row r="623" spans="1:17" ht="12.75" customHeight="1">
      <c r="A623" s="1230" t="s">
        <v>1118</v>
      </c>
      <c r="B623" s="1188" t="s">
        <v>204</v>
      </c>
      <c r="C623" s="1188" t="s">
        <v>564</v>
      </c>
      <c r="D623" s="7">
        <v>0</v>
      </c>
      <c r="E623" s="7">
        <v>40</v>
      </c>
      <c r="F623" s="7">
        <v>0</v>
      </c>
      <c r="G623" s="7">
        <v>100</v>
      </c>
      <c r="H623" s="239">
        <v>0.61</v>
      </c>
      <c r="I623" s="73">
        <v>5</v>
      </c>
      <c r="J623" s="8">
        <f t="shared" si="62"/>
        <v>3.05</v>
      </c>
      <c r="K623" s="212"/>
      <c r="L623" s="213">
        <f t="shared" si="63"/>
        <v>3.05</v>
      </c>
      <c r="M623" s="772" t="s">
        <v>1148</v>
      </c>
      <c r="Q623" s="1129"/>
    </row>
    <row r="624" spans="1:17" ht="12.75" customHeight="1">
      <c r="A624" s="1231"/>
      <c r="B624" s="1189"/>
      <c r="C624" s="1189"/>
      <c r="D624" s="10">
        <v>0</v>
      </c>
      <c r="E624" s="10">
        <v>40</v>
      </c>
      <c r="F624" s="10">
        <v>101</v>
      </c>
      <c r="G624" s="10">
        <v>200</v>
      </c>
      <c r="H624" s="237">
        <v>0.77</v>
      </c>
      <c r="I624" s="74">
        <v>3</v>
      </c>
      <c r="J624" s="11">
        <f t="shared" si="62"/>
        <v>2.31</v>
      </c>
      <c r="K624" s="214"/>
      <c r="L624" s="215">
        <f t="shared" si="63"/>
        <v>2.31</v>
      </c>
      <c r="M624" s="772" t="s">
        <v>1148</v>
      </c>
      <c r="Q624" s="1129"/>
    </row>
    <row r="625" spans="1:17" ht="12.75" customHeight="1">
      <c r="A625" s="1231"/>
      <c r="B625" s="1189"/>
      <c r="C625" s="1189"/>
      <c r="D625" s="10">
        <v>0</v>
      </c>
      <c r="E625" s="10">
        <v>40</v>
      </c>
      <c r="F625" s="10">
        <v>201</v>
      </c>
      <c r="G625" s="10">
        <v>300</v>
      </c>
      <c r="H625" s="237">
        <v>0.97</v>
      </c>
      <c r="I625" s="74">
        <v>1</v>
      </c>
      <c r="J625" s="11">
        <f t="shared" si="62"/>
        <v>0.97</v>
      </c>
      <c r="K625" s="214"/>
      <c r="L625" s="215">
        <f t="shared" si="63"/>
        <v>0.97</v>
      </c>
      <c r="M625" s="772" t="s">
        <v>1148</v>
      </c>
      <c r="Q625" s="1129"/>
    </row>
    <row r="626" spans="1:17" ht="12.75" customHeight="1">
      <c r="A626" s="1231"/>
      <c r="B626" s="1189"/>
      <c r="C626" s="1189"/>
      <c r="D626" s="10">
        <v>0</v>
      </c>
      <c r="E626" s="10">
        <v>40</v>
      </c>
      <c r="F626" s="10">
        <v>301</v>
      </c>
      <c r="G626" s="10">
        <v>400</v>
      </c>
      <c r="H626" s="237">
        <v>1.17</v>
      </c>
      <c r="I626" s="74"/>
      <c r="J626" s="11">
        <f t="shared" si="62"/>
        <v>0</v>
      </c>
      <c r="K626" s="214"/>
      <c r="L626" s="215">
        <f t="shared" si="63"/>
        <v>0</v>
      </c>
      <c r="M626" s="772" t="s">
        <v>1148</v>
      </c>
      <c r="Q626" s="1129"/>
    </row>
    <row r="627" spans="1:17" ht="12.75" customHeight="1">
      <c r="A627" s="1231"/>
      <c r="B627" s="1189"/>
      <c r="C627" s="1189"/>
      <c r="D627" s="10">
        <v>0</v>
      </c>
      <c r="E627" s="10">
        <v>40</v>
      </c>
      <c r="F627" s="10">
        <v>401</v>
      </c>
      <c r="G627" s="10">
        <v>500</v>
      </c>
      <c r="H627" s="237">
        <v>1.37</v>
      </c>
      <c r="I627" s="74"/>
      <c r="J627" s="11">
        <f t="shared" si="62"/>
        <v>0</v>
      </c>
      <c r="K627" s="214"/>
      <c r="L627" s="215">
        <f t="shared" si="63"/>
        <v>0</v>
      </c>
      <c r="M627" s="772" t="s">
        <v>1148</v>
      </c>
      <c r="Q627" s="1129"/>
    </row>
    <row r="628" spans="1:17" ht="12.75" customHeight="1">
      <c r="A628" s="1231"/>
      <c r="B628" s="1189"/>
      <c r="C628" s="1189"/>
      <c r="D628" s="10">
        <v>0</v>
      </c>
      <c r="E628" s="10">
        <v>40</v>
      </c>
      <c r="F628" s="10">
        <v>501</v>
      </c>
      <c r="G628" s="10">
        <v>600</v>
      </c>
      <c r="H628" s="237">
        <v>1.57</v>
      </c>
      <c r="I628" s="74"/>
      <c r="J628" s="11">
        <f t="shared" si="62"/>
        <v>0</v>
      </c>
      <c r="K628" s="214"/>
      <c r="L628" s="215">
        <f t="shared" si="63"/>
        <v>0</v>
      </c>
      <c r="M628" s="772" t="s">
        <v>1148</v>
      </c>
      <c r="Q628" s="1129"/>
    </row>
    <row r="629" spans="1:17" ht="12.75" customHeight="1">
      <c r="A629" s="1231"/>
      <c r="B629" s="1189"/>
      <c r="C629" s="1189"/>
      <c r="D629" s="10">
        <v>0</v>
      </c>
      <c r="E629" s="10">
        <v>40</v>
      </c>
      <c r="F629" s="10">
        <v>601</v>
      </c>
      <c r="G629" s="10">
        <v>700</v>
      </c>
      <c r="H629" s="237">
        <v>1.77</v>
      </c>
      <c r="I629" s="74"/>
      <c r="J629" s="11">
        <f t="shared" si="62"/>
        <v>0</v>
      </c>
      <c r="K629" s="214"/>
      <c r="L629" s="215">
        <f t="shared" si="63"/>
        <v>0</v>
      </c>
      <c r="M629" s="772" t="s">
        <v>1148</v>
      </c>
      <c r="Q629" s="1129"/>
    </row>
    <row r="630" spans="1:17" ht="12.75" customHeight="1">
      <c r="A630" s="1231"/>
      <c r="B630" s="1189"/>
      <c r="C630" s="1189"/>
      <c r="D630" s="10">
        <v>0</v>
      </c>
      <c r="E630" s="10">
        <v>40</v>
      </c>
      <c r="F630" s="10">
        <v>701</v>
      </c>
      <c r="G630" s="10">
        <v>800</v>
      </c>
      <c r="H630" s="237">
        <v>1.97</v>
      </c>
      <c r="I630" s="74"/>
      <c r="J630" s="11">
        <f t="shared" si="62"/>
        <v>0</v>
      </c>
      <c r="K630" s="214"/>
      <c r="L630" s="215">
        <f t="shared" si="63"/>
        <v>0</v>
      </c>
      <c r="M630" s="772" t="s">
        <v>1148</v>
      </c>
      <c r="Q630" s="1129"/>
    </row>
    <row r="631" spans="1:17" ht="12.75" customHeight="1">
      <c r="A631" s="1231"/>
      <c r="B631" s="1189"/>
      <c r="C631" s="1189"/>
      <c r="D631" s="10">
        <v>0</v>
      </c>
      <c r="E631" s="10">
        <v>40</v>
      </c>
      <c r="F631" s="10">
        <v>801</v>
      </c>
      <c r="G631" s="10">
        <v>900</v>
      </c>
      <c r="H631" s="237">
        <v>2.17</v>
      </c>
      <c r="I631" s="74"/>
      <c r="J631" s="11">
        <f t="shared" si="62"/>
        <v>0</v>
      </c>
      <c r="K631" s="214"/>
      <c r="L631" s="215">
        <f t="shared" si="63"/>
        <v>0</v>
      </c>
      <c r="M631" s="772" t="s">
        <v>1148</v>
      </c>
      <c r="Q631" s="1129"/>
    </row>
    <row r="632" spans="1:17" ht="12.75" customHeight="1">
      <c r="A632" s="1231"/>
      <c r="B632" s="1189"/>
      <c r="C632" s="1189"/>
      <c r="D632" s="10">
        <v>0</v>
      </c>
      <c r="E632" s="10">
        <v>40</v>
      </c>
      <c r="F632" s="10">
        <v>901</v>
      </c>
      <c r="G632" s="10">
        <v>1000</v>
      </c>
      <c r="H632" s="237">
        <v>2.37</v>
      </c>
      <c r="I632" s="74"/>
      <c r="J632" s="11">
        <f t="shared" si="62"/>
        <v>0</v>
      </c>
      <c r="K632" s="214"/>
      <c r="L632" s="215">
        <f t="shared" si="63"/>
        <v>0</v>
      </c>
      <c r="M632" s="772" t="s">
        <v>1148</v>
      </c>
      <c r="Q632" s="1129"/>
    </row>
    <row r="633" spans="1:17" ht="12.75" customHeight="1">
      <c r="A633" s="1231"/>
      <c r="B633" s="1189"/>
      <c r="C633" s="1189"/>
      <c r="D633" s="10">
        <v>0</v>
      </c>
      <c r="E633" s="10">
        <v>40</v>
      </c>
      <c r="F633" s="10">
        <v>1000</v>
      </c>
      <c r="G633" s="10">
        <v>1250</v>
      </c>
      <c r="H633" s="237">
        <v>2.73</v>
      </c>
      <c r="I633" s="74"/>
      <c r="J633" s="11">
        <f t="shared" si="62"/>
        <v>0</v>
      </c>
      <c r="K633" s="214"/>
      <c r="L633" s="215">
        <f t="shared" si="63"/>
        <v>0</v>
      </c>
      <c r="M633" s="772" t="s">
        <v>1148</v>
      </c>
      <c r="Q633" s="1129"/>
    </row>
    <row r="634" spans="1:17" ht="12.75" customHeight="1">
      <c r="A634" s="1231"/>
      <c r="B634" s="1189"/>
      <c r="C634" s="1189"/>
      <c r="D634" s="10">
        <v>0</v>
      </c>
      <c r="E634" s="10">
        <v>40</v>
      </c>
      <c r="F634" s="10">
        <v>1251</v>
      </c>
      <c r="G634" s="10">
        <v>1500</v>
      </c>
      <c r="H634" s="237">
        <v>3.23</v>
      </c>
      <c r="I634" s="74"/>
      <c r="J634" s="11">
        <f t="shared" si="62"/>
        <v>0</v>
      </c>
      <c r="K634" s="214"/>
      <c r="L634" s="215">
        <f t="shared" si="63"/>
        <v>0</v>
      </c>
      <c r="M634" s="772" t="s">
        <v>1148</v>
      </c>
      <c r="Q634" s="1129"/>
    </row>
    <row r="635" spans="1:17" ht="12.75" customHeight="1">
      <c r="A635" s="1231"/>
      <c r="B635" s="1189"/>
      <c r="C635" s="1189"/>
      <c r="D635" s="10">
        <v>0</v>
      </c>
      <c r="E635" s="10">
        <v>40</v>
      </c>
      <c r="F635" s="10">
        <v>1501</v>
      </c>
      <c r="G635" s="10">
        <v>1750</v>
      </c>
      <c r="H635" s="237">
        <v>3.73</v>
      </c>
      <c r="I635" s="74"/>
      <c r="J635" s="11">
        <f t="shared" si="62"/>
        <v>0</v>
      </c>
      <c r="K635" s="214"/>
      <c r="L635" s="215">
        <f t="shared" si="63"/>
        <v>0</v>
      </c>
      <c r="M635" s="772" t="s">
        <v>1148</v>
      </c>
      <c r="Q635" s="1129"/>
    </row>
    <row r="636" spans="1:17" ht="12.75" customHeight="1">
      <c r="A636" s="1231"/>
      <c r="B636" s="1189"/>
      <c r="C636" s="1189"/>
      <c r="D636" s="306">
        <v>0</v>
      </c>
      <c r="E636" s="306">
        <v>40</v>
      </c>
      <c r="F636" s="306">
        <v>1751</v>
      </c>
      <c r="G636" s="306">
        <v>2000</v>
      </c>
      <c r="H636" s="307">
        <v>4.1100000000000003</v>
      </c>
      <c r="I636" s="308"/>
      <c r="J636" s="11">
        <f t="shared" si="62"/>
        <v>0</v>
      </c>
      <c r="K636" s="309"/>
      <c r="L636" s="215">
        <f t="shared" si="63"/>
        <v>0</v>
      </c>
      <c r="M636" s="772" t="s">
        <v>1148</v>
      </c>
      <c r="Q636" s="1129"/>
    </row>
    <row r="637" spans="1:17" ht="12.75" customHeight="1">
      <c r="A637" s="1231"/>
      <c r="B637" s="1189"/>
      <c r="C637" s="1189"/>
      <c r="D637" s="306">
        <v>0</v>
      </c>
      <c r="E637" s="306">
        <v>40</v>
      </c>
      <c r="F637" s="306">
        <v>2001</v>
      </c>
      <c r="G637" s="306">
        <v>2250</v>
      </c>
      <c r="H637" s="307">
        <v>4.4800000000000004</v>
      </c>
      <c r="I637" s="308"/>
      <c r="J637" s="11">
        <f t="shared" si="62"/>
        <v>0</v>
      </c>
      <c r="K637" s="309"/>
      <c r="L637" s="215">
        <f t="shared" si="63"/>
        <v>0</v>
      </c>
      <c r="M637" s="772" t="s">
        <v>1148</v>
      </c>
      <c r="Q637" s="1129"/>
    </row>
    <row r="638" spans="1:17" ht="12.75" customHeight="1">
      <c r="A638" s="1231"/>
      <c r="B638" s="1189"/>
      <c r="C638" s="1189"/>
      <c r="D638" s="306">
        <v>0</v>
      </c>
      <c r="E638" s="306">
        <v>40</v>
      </c>
      <c r="F638" s="306">
        <v>2251</v>
      </c>
      <c r="G638" s="306">
        <v>2500</v>
      </c>
      <c r="H638" s="307">
        <v>4.88</v>
      </c>
      <c r="I638" s="308"/>
      <c r="J638" s="378">
        <f t="shared" si="62"/>
        <v>0</v>
      </c>
      <c r="K638" s="309"/>
      <c r="L638" s="379">
        <f t="shared" si="63"/>
        <v>0</v>
      </c>
      <c r="M638" s="772" t="s">
        <v>1148</v>
      </c>
      <c r="Q638" s="1129"/>
    </row>
    <row r="639" spans="1:17" ht="12.75" customHeight="1">
      <c r="A639" s="1231"/>
      <c r="B639" s="1189"/>
      <c r="C639" s="1189"/>
      <c r="D639" s="306">
        <v>0</v>
      </c>
      <c r="E639" s="306">
        <v>40</v>
      </c>
      <c r="F639" s="306">
        <v>2501</v>
      </c>
      <c r="G639" s="306">
        <v>2750</v>
      </c>
      <c r="H639" s="307">
        <f>0.38+H638</f>
        <v>5.26</v>
      </c>
      <c r="I639" s="308"/>
      <c r="J639" s="378">
        <f t="shared" ref="J639:J680" si="64">+I639*H639</f>
        <v>0</v>
      </c>
      <c r="K639" s="309"/>
      <c r="L639" s="379">
        <f t="shared" si="63"/>
        <v>0</v>
      </c>
      <c r="M639" s="772" t="s">
        <v>1148</v>
      </c>
      <c r="Q639" s="1129"/>
    </row>
    <row r="640" spans="1:17" ht="12.75" customHeight="1">
      <c r="A640" s="1231"/>
      <c r="B640" s="1189"/>
      <c r="C640" s="1189"/>
      <c r="D640" s="306">
        <v>0</v>
      </c>
      <c r="E640" s="306">
        <v>40</v>
      </c>
      <c r="F640" s="306">
        <v>2751</v>
      </c>
      <c r="G640" s="306">
        <v>3000</v>
      </c>
      <c r="H640" s="307">
        <f t="shared" ref="H640:H668" si="65">0.38+H639</f>
        <v>5.64</v>
      </c>
      <c r="I640" s="308"/>
      <c r="J640" s="378">
        <f t="shared" si="64"/>
        <v>0</v>
      </c>
      <c r="K640" s="309"/>
      <c r="L640" s="379">
        <f t="shared" si="63"/>
        <v>0</v>
      </c>
      <c r="M640" s="772" t="s">
        <v>1148</v>
      </c>
      <c r="Q640" s="1129"/>
    </row>
    <row r="641" spans="1:17" ht="12.75" customHeight="1">
      <c r="A641" s="1231"/>
      <c r="B641" s="1189"/>
      <c r="C641" s="1189"/>
      <c r="D641" s="306">
        <v>0</v>
      </c>
      <c r="E641" s="306">
        <v>40</v>
      </c>
      <c r="F641" s="306">
        <v>3001</v>
      </c>
      <c r="G641" s="306">
        <v>3250</v>
      </c>
      <c r="H641" s="307">
        <f t="shared" si="65"/>
        <v>6.02</v>
      </c>
      <c r="I641" s="308"/>
      <c r="J641" s="378">
        <f t="shared" si="64"/>
        <v>0</v>
      </c>
      <c r="K641" s="309"/>
      <c r="L641" s="379">
        <f t="shared" si="63"/>
        <v>0</v>
      </c>
      <c r="M641" s="772" t="s">
        <v>1148</v>
      </c>
      <c r="Q641" s="1129"/>
    </row>
    <row r="642" spans="1:17" ht="12.75" customHeight="1">
      <c r="A642" s="1231"/>
      <c r="B642" s="1189"/>
      <c r="C642" s="1189"/>
      <c r="D642" s="306">
        <v>0</v>
      </c>
      <c r="E642" s="306">
        <v>40</v>
      </c>
      <c r="F642" s="306">
        <v>3251</v>
      </c>
      <c r="G642" s="306">
        <v>3500</v>
      </c>
      <c r="H642" s="307">
        <f t="shared" si="65"/>
        <v>6.3999999999999995</v>
      </c>
      <c r="I642" s="308"/>
      <c r="J642" s="378">
        <f t="shared" si="64"/>
        <v>0</v>
      </c>
      <c r="K642" s="309"/>
      <c r="L642" s="379">
        <f t="shared" si="63"/>
        <v>0</v>
      </c>
      <c r="M642" s="772" t="s">
        <v>1148</v>
      </c>
      <c r="Q642" s="1129"/>
    </row>
    <row r="643" spans="1:17" ht="12.75" customHeight="1">
      <c r="A643" s="1231"/>
      <c r="B643" s="1189"/>
      <c r="C643" s="1189"/>
      <c r="D643" s="306">
        <v>0</v>
      </c>
      <c r="E643" s="306">
        <v>40</v>
      </c>
      <c r="F643" s="306">
        <v>3501</v>
      </c>
      <c r="G643" s="306">
        <v>3750</v>
      </c>
      <c r="H643" s="307">
        <f t="shared" si="65"/>
        <v>6.7799999999999994</v>
      </c>
      <c r="I643" s="308"/>
      <c r="J643" s="378">
        <f t="shared" si="64"/>
        <v>0</v>
      </c>
      <c r="K643" s="309"/>
      <c r="L643" s="379">
        <f t="shared" si="63"/>
        <v>0</v>
      </c>
      <c r="M643" s="772" t="s">
        <v>1148</v>
      </c>
      <c r="Q643" s="1129"/>
    </row>
    <row r="644" spans="1:17" ht="12.75" customHeight="1">
      <c r="A644" s="1231"/>
      <c r="B644" s="1189"/>
      <c r="C644" s="1189"/>
      <c r="D644" s="306">
        <v>0</v>
      </c>
      <c r="E644" s="306">
        <v>40</v>
      </c>
      <c r="F644" s="306">
        <v>3751</v>
      </c>
      <c r="G644" s="306">
        <v>4000</v>
      </c>
      <c r="H644" s="307">
        <f t="shared" si="65"/>
        <v>7.1599999999999993</v>
      </c>
      <c r="I644" s="308"/>
      <c r="J644" s="378">
        <f t="shared" si="64"/>
        <v>0</v>
      </c>
      <c r="K644" s="309"/>
      <c r="L644" s="379">
        <f t="shared" si="63"/>
        <v>0</v>
      </c>
      <c r="M644" s="772" t="s">
        <v>1148</v>
      </c>
      <c r="Q644" s="1129"/>
    </row>
    <row r="645" spans="1:17" ht="12.75" customHeight="1">
      <c r="A645" s="1231"/>
      <c r="B645" s="1189"/>
      <c r="C645" s="1189"/>
      <c r="D645" s="306">
        <v>0</v>
      </c>
      <c r="E645" s="306">
        <v>40</v>
      </c>
      <c r="F645" s="306">
        <v>4001</v>
      </c>
      <c r="G645" s="306">
        <v>4250</v>
      </c>
      <c r="H645" s="307">
        <f t="shared" si="65"/>
        <v>7.5399999999999991</v>
      </c>
      <c r="I645" s="308"/>
      <c r="J645" s="378">
        <f t="shared" si="64"/>
        <v>0</v>
      </c>
      <c r="K645" s="309"/>
      <c r="L645" s="379">
        <f t="shared" si="63"/>
        <v>0</v>
      </c>
      <c r="M645" s="772" t="s">
        <v>1148</v>
      </c>
      <c r="Q645" s="1129"/>
    </row>
    <row r="646" spans="1:17" ht="12.75" customHeight="1">
      <c r="A646" s="1231"/>
      <c r="B646" s="1189"/>
      <c r="C646" s="1189"/>
      <c r="D646" s="306">
        <v>0</v>
      </c>
      <c r="E646" s="306">
        <v>40</v>
      </c>
      <c r="F646" s="306">
        <v>4251</v>
      </c>
      <c r="G646" s="306">
        <v>4500</v>
      </c>
      <c r="H646" s="307">
        <f t="shared" si="65"/>
        <v>7.919999999999999</v>
      </c>
      <c r="I646" s="308"/>
      <c r="J646" s="378">
        <f t="shared" si="64"/>
        <v>0</v>
      </c>
      <c r="K646" s="309"/>
      <c r="L646" s="379">
        <f t="shared" si="63"/>
        <v>0</v>
      </c>
      <c r="M646" s="772" t="s">
        <v>1148</v>
      </c>
      <c r="Q646" s="1129"/>
    </row>
    <row r="647" spans="1:17" ht="12.75" customHeight="1">
      <c r="A647" s="1231"/>
      <c r="B647" s="1189"/>
      <c r="C647" s="1189"/>
      <c r="D647" s="306">
        <v>0</v>
      </c>
      <c r="E647" s="306">
        <v>40</v>
      </c>
      <c r="F647" s="306">
        <v>4501</v>
      </c>
      <c r="G647" s="306">
        <v>4750</v>
      </c>
      <c r="H647" s="307">
        <f t="shared" si="65"/>
        <v>8.2999999999999989</v>
      </c>
      <c r="I647" s="308"/>
      <c r="J647" s="378">
        <f t="shared" si="64"/>
        <v>0</v>
      </c>
      <c r="K647" s="309"/>
      <c r="L647" s="379">
        <f t="shared" si="63"/>
        <v>0</v>
      </c>
      <c r="M647" s="772" t="s">
        <v>1148</v>
      </c>
      <c r="Q647" s="1129"/>
    </row>
    <row r="648" spans="1:17" ht="12.75" customHeight="1">
      <c r="A648" s="1231"/>
      <c r="B648" s="1189"/>
      <c r="C648" s="1189"/>
      <c r="D648" s="306">
        <v>0</v>
      </c>
      <c r="E648" s="306">
        <v>40</v>
      </c>
      <c r="F648" s="306">
        <v>4751</v>
      </c>
      <c r="G648" s="306">
        <v>5000</v>
      </c>
      <c r="H648" s="307">
        <f t="shared" si="65"/>
        <v>8.68</v>
      </c>
      <c r="I648" s="308"/>
      <c r="J648" s="378">
        <f t="shared" si="64"/>
        <v>0</v>
      </c>
      <c r="K648" s="309"/>
      <c r="L648" s="379">
        <f t="shared" si="63"/>
        <v>0</v>
      </c>
      <c r="M648" s="772" t="s">
        <v>1148</v>
      </c>
      <c r="Q648" s="1129"/>
    </row>
    <row r="649" spans="1:17" ht="12.75" customHeight="1">
      <c r="A649" s="1231"/>
      <c r="B649" s="1189"/>
      <c r="C649" s="1189"/>
      <c r="D649" s="306">
        <v>0</v>
      </c>
      <c r="E649" s="306">
        <v>40</v>
      </c>
      <c r="F649" s="306">
        <v>5001</v>
      </c>
      <c r="G649" s="306">
        <v>5250</v>
      </c>
      <c r="H649" s="307">
        <f t="shared" si="65"/>
        <v>9.06</v>
      </c>
      <c r="I649" s="308"/>
      <c r="J649" s="378">
        <f t="shared" si="64"/>
        <v>0</v>
      </c>
      <c r="K649" s="309"/>
      <c r="L649" s="379">
        <f t="shared" si="63"/>
        <v>0</v>
      </c>
      <c r="M649" s="772" t="s">
        <v>1148</v>
      </c>
      <c r="Q649" s="1129"/>
    </row>
    <row r="650" spans="1:17" ht="12.75" customHeight="1">
      <c r="A650" s="1231"/>
      <c r="B650" s="1189"/>
      <c r="C650" s="1189"/>
      <c r="D650" s="306">
        <v>0</v>
      </c>
      <c r="E650" s="306">
        <v>40</v>
      </c>
      <c r="F650" s="306">
        <v>5251</v>
      </c>
      <c r="G650" s="306">
        <v>5500</v>
      </c>
      <c r="H650" s="307">
        <f t="shared" si="65"/>
        <v>9.4400000000000013</v>
      </c>
      <c r="I650" s="308"/>
      <c r="J650" s="378">
        <f t="shared" si="64"/>
        <v>0</v>
      </c>
      <c r="K650" s="309"/>
      <c r="L650" s="379">
        <f t="shared" si="63"/>
        <v>0</v>
      </c>
      <c r="M650" s="772" t="s">
        <v>1148</v>
      </c>
      <c r="Q650" s="1129"/>
    </row>
    <row r="651" spans="1:17" ht="12.75" customHeight="1">
      <c r="A651" s="1231"/>
      <c r="B651" s="1189"/>
      <c r="C651" s="1189"/>
      <c r="D651" s="306">
        <v>0</v>
      </c>
      <c r="E651" s="306">
        <v>40</v>
      </c>
      <c r="F651" s="306">
        <v>5501</v>
      </c>
      <c r="G651" s="306">
        <v>5750</v>
      </c>
      <c r="H651" s="307">
        <f t="shared" si="65"/>
        <v>9.8200000000000021</v>
      </c>
      <c r="I651" s="308"/>
      <c r="J651" s="378">
        <f t="shared" si="64"/>
        <v>0</v>
      </c>
      <c r="K651" s="309"/>
      <c r="L651" s="379">
        <f t="shared" si="63"/>
        <v>0</v>
      </c>
      <c r="M651" s="772" t="s">
        <v>1148</v>
      </c>
      <c r="Q651" s="1129"/>
    </row>
    <row r="652" spans="1:17" ht="12.75" customHeight="1">
      <c r="A652" s="1231"/>
      <c r="B652" s="1189"/>
      <c r="C652" s="1189"/>
      <c r="D652" s="306">
        <v>0</v>
      </c>
      <c r="E652" s="306">
        <v>40</v>
      </c>
      <c r="F652" s="306">
        <v>5751</v>
      </c>
      <c r="G652" s="306">
        <v>6000</v>
      </c>
      <c r="H652" s="307">
        <f t="shared" si="65"/>
        <v>10.200000000000003</v>
      </c>
      <c r="I652" s="308"/>
      <c r="J652" s="378">
        <f t="shared" si="64"/>
        <v>0</v>
      </c>
      <c r="K652" s="309"/>
      <c r="L652" s="379">
        <f t="shared" si="63"/>
        <v>0</v>
      </c>
      <c r="M652" s="772" t="s">
        <v>1148</v>
      </c>
      <c r="Q652" s="1129"/>
    </row>
    <row r="653" spans="1:17" ht="12.75" customHeight="1">
      <c r="A653" s="1231"/>
      <c r="B653" s="1189"/>
      <c r="C653" s="1189"/>
      <c r="D653" s="306">
        <v>0</v>
      </c>
      <c r="E653" s="306">
        <v>40</v>
      </c>
      <c r="F653" s="306">
        <v>6001</v>
      </c>
      <c r="G653" s="306">
        <v>6250</v>
      </c>
      <c r="H653" s="307">
        <f t="shared" si="65"/>
        <v>10.580000000000004</v>
      </c>
      <c r="I653" s="308"/>
      <c r="J653" s="378">
        <f t="shared" si="64"/>
        <v>0</v>
      </c>
      <c r="K653" s="309"/>
      <c r="L653" s="379">
        <f t="shared" si="63"/>
        <v>0</v>
      </c>
      <c r="M653" s="772" t="s">
        <v>1148</v>
      </c>
      <c r="Q653" s="1129"/>
    </row>
    <row r="654" spans="1:17" ht="12.75" customHeight="1">
      <c r="A654" s="1231"/>
      <c r="B654" s="1189"/>
      <c r="C654" s="1189"/>
      <c r="D654" s="306">
        <v>0</v>
      </c>
      <c r="E654" s="306">
        <v>40</v>
      </c>
      <c r="F654" s="306">
        <v>6251</v>
      </c>
      <c r="G654" s="306">
        <v>6500</v>
      </c>
      <c r="H654" s="307">
        <f t="shared" si="65"/>
        <v>10.960000000000004</v>
      </c>
      <c r="I654" s="308"/>
      <c r="J654" s="378">
        <f t="shared" si="64"/>
        <v>0</v>
      </c>
      <c r="K654" s="309"/>
      <c r="L654" s="379">
        <f t="shared" si="63"/>
        <v>0</v>
      </c>
      <c r="M654" s="772" t="s">
        <v>1148</v>
      </c>
      <c r="Q654" s="1129"/>
    </row>
    <row r="655" spans="1:17" ht="12.75" customHeight="1">
      <c r="A655" s="1231"/>
      <c r="B655" s="1189"/>
      <c r="C655" s="1189"/>
      <c r="D655" s="306">
        <v>0</v>
      </c>
      <c r="E655" s="306">
        <v>40</v>
      </c>
      <c r="F655" s="306">
        <v>6501</v>
      </c>
      <c r="G655" s="306">
        <v>6750</v>
      </c>
      <c r="H655" s="307">
        <f t="shared" si="65"/>
        <v>11.340000000000005</v>
      </c>
      <c r="I655" s="308"/>
      <c r="J655" s="378">
        <f t="shared" si="64"/>
        <v>0</v>
      </c>
      <c r="K655" s="309"/>
      <c r="L655" s="379">
        <f t="shared" si="63"/>
        <v>0</v>
      </c>
      <c r="M655" s="772" t="s">
        <v>1148</v>
      </c>
      <c r="Q655" s="1129"/>
    </row>
    <row r="656" spans="1:17" ht="12.75" customHeight="1">
      <c r="A656" s="1231"/>
      <c r="B656" s="1189"/>
      <c r="C656" s="1189"/>
      <c r="D656" s="306">
        <v>0</v>
      </c>
      <c r="E656" s="306">
        <v>40</v>
      </c>
      <c r="F656" s="306">
        <v>6751</v>
      </c>
      <c r="G656" s="306">
        <v>7000</v>
      </c>
      <c r="H656" s="307">
        <f t="shared" si="65"/>
        <v>11.720000000000006</v>
      </c>
      <c r="I656" s="308"/>
      <c r="J656" s="378">
        <f t="shared" si="64"/>
        <v>0</v>
      </c>
      <c r="K656" s="309"/>
      <c r="L656" s="379">
        <f t="shared" si="63"/>
        <v>0</v>
      </c>
      <c r="M656" s="772" t="s">
        <v>1148</v>
      </c>
      <c r="Q656" s="1129"/>
    </row>
    <row r="657" spans="1:17" ht="12.75" customHeight="1">
      <c r="A657" s="1231"/>
      <c r="B657" s="1189"/>
      <c r="C657" s="1189"/>
      <c r="D657" s="306">
        <v>0</v>
      </c>
      <c r="E657" s="306">
        <v>40</v>
      </c>
      <c r="F657" s="306">
        <v>7001</v>
      </c>
      <c r="G657" s="306">
        <v>7250</v>
      </c>
      <c r="H657" s="307">
        <f t="shared" si="65"/>
        <v>12.100000000000007</v>
      </c>
      <c r="I657" s="308"/>
      <c r="J657" s="378">
        <f t="shared" si="64"/>
        <v>0</v>
      </c>
      <c r="K657" s="309"/>
      <c r="L657" s="379">
        <f t="shared" si="63"/>
        <v>0</v>
      </c>
      <c r="M657" s="772" t="s">
        <v>1148</v>
      </c>
      <c r="Q657" s="1129"/>
    </row>
    <row r="658" spans="1:17" ht="12.75" customHeight="1">
      <c r="A658" s="1231"/>
      <c r="B658" s="1189"/>
      <c r="C658" s="1189"/>
      <c r="D658" s="306">
        <v>0</v>
      </c>
      <c r="E658" s="306">
        <v>40</v>
      </c>
      <c r="F658" s="306">
        <v>7251</v>
      </c>
      <c r="G658" s="306">
        <v>7500</v>
      </c>
      <c r="H658" s="307">
        <f t="shared" si="65"/>
        <v>12.480000000000008</v>
      </c>
      <c r="I658" s="308"/>
      <c r="J658" s="378">
        <f t="shared" si="64"/>
        <v>0</v>
      </c>
      <c r="K658" s="309"/>
      <c r="L658" s="379">
        <f t="shared" si="63"/>
        <v>0</v>
      </c>
      <c r="M658" s="772" t="s">
        <v>1148</v>
      </c>
      <c r="Q658" s="1129"/>
    </row>
    <row r="659" spans="1:17" ht="12.75" customHeight="1">
      <c r="A659" s="1231"/>
      <c r="B659" s="1189"/>
      <c r="C659" s="1189"/>
      <c r="D659" s="306">
        <v>0</v>
      </c>
      <c r="E659" s="306">
        <v>40</v>
      </c>
      <c r="F659" s="306">
        <v>7501</v>
      </c>
      <c r="G659" s="306">
        <v>7750</v>
      </c>
      <c r="H659" s="307">
        <f t="shared" si="65"/>
        <v>12.860000000000008</v>
      </c>
      <c r="I659" s="308"/>
      <c r="J659" s="378">
        <f t="shared" si="64"/>
        <v>0</v>
      </c>
      <c r="K659" s="309"/>
      <c r="L659" s="379">
        <f t="shared" si="63"/>
        <v>0</v>
      </c>
      <c r="M659" s="772" t="s">
        <v>1148</v>
      </c>
      <c r="Q659" s="1129"/>
    </row>
    <row r="660" spans="1:17" ht="12.75" customHeight="1">
      <c r="A660" s="1231"/>
      <c r="B660" s="1189"/>
      <c r="C660" s="1189"/>
      <c r="D660" s="306">
        <v>0</v>
      </c>
      <c r="E660" s="306">
        <v>40</v>
      </c>
      <c r="F660" s="306">
        <v>7751</v>
      </c>
      <c r="G660" s="306">
        <v>8000</v>
      </c>
      <c r="H660" s="307">
        <f t="shared" si="65"/>
        <v>13.240000000000009</v>
      </c>
      <c r="I660" s="308"/>
      <c r="J660" s="378">
        <f t="shared" si="64"/>
        <v>0</v>
      </c>
      <c r="K660" s="309"/>
      <c r="L660" s="379">
        <f t="shared" si="63"/>
        <v>0</v>
      </c>
      <c r="M660" s="772" t="s">
        <v>1148</v>
      </c>
      <c r="Q660" s="1129"/>
    </row>
    <row r="661" spans="1:17" ht="12.75" customHeight="1">
      <c r="A661" s="1231"/>
      <c r="B661" s="1189"/>
      <c r="C661" s="1189"/>
      <c r="D661" s="306">
        <v>0</v>
      </c>
      <c r="E661" s="306">
        <v>40</v>
      </c>
      <c r="F661" s="306">
        <v>8001</v>
      </c>
      <c r="G661" s="306">
        <v>8250</v>
      </c>
      <c r="H661" s="307">
        <f t="shared" si="65"/>
        <v>13.62000000000001</v>
      </c>
      <c r="I661" s="308"/>
      <c r="J661" s="378">
        <f t="shared" si="64"/>
        <v>0</v>
      </c>
      <c r="K661" s="309"/>
      <c r="L661" s="379">
        <f t="shared" si="63"/>
        <v>0</v>
      </c>
      <c r="M661" s="772" t="s">
        <v>1148</v>
      </c>
      <c r="Q661" s="1129"/>
    </row>
    <row r="662" spans="1:17" ht="12.75" customHeight="1">
      <c r="A662" s="1231"/>
      <c r="B662" s="1189"/>
      <c r="C662" s="1189"/>
      <c r="D662" s="306">
        <v>0</v>
      </c>
      <c r="E662" s="306">
        <v>40</v>
      </c>
      <c r="F662" s="306">
        <v>8251</v>
      </c>
      <c r="G662" s="306">
        <v>8500</v>
      </c>
      <c r="H662" s="307">
        <f t="shared" si="65"/>
        <v>14.000000000000011</v>
      </c>
      <c r="I662" s="308"/>
      <c r="J662" s="378">
        <f t="shared" si="64"/>
        <v>0</v>
      </c>
      <c r="K662" s="309"/>
      <c r="L662" s="379">
        <f t="shared" si="63"/>
        <v>0</v>
      </c>
      <c r="M662" s="772" t="s">
        <v>1148</v>
      </c>
      <c r="Q662" s="1129"/>
    </row>
    <row r="663" spans="1:17" ht="12.75" customHeight="1">
      <c r="A663" s="1231"/>
      <c r="B663" s="1189"/>
      <c r="C663" s="1189"/>
      <c r="D663" s="306">
        <v>0</v>
      </c>
      <c r="E663" s="306">
        <v>40</v>
      </c>
      <c r="F663" s="306">
        <v>8501</v>
      </c>
      <c r="G663" s="306">
        <v>8750</v>
      </c>
      <c r="H663" s="307">
        <f t="shared" si="65"/>
        <v>14.380000000000011</v>
      </c>
      <c r="I663" s="308"/>
      <c r="J663" s="378">
        <f t="shared" si="64"/>
        <v>0</v>
      </c>
      <c r="K663" s="309"/>
      <c r="L663" s="379">
        <f t="shared" si="63"/>
        <v>0</v>
      </c>
      <c r="M663" s="772" t="s">
        <v>1148</v>
      </c>
      <c r="Q663" s="1129"/>
    </row>
    <row r="664" spans="1:17" ht="12.75" customHeight="1">
      <c r="A664" s="1231"/>
      <c r="B664" s="1189"/>
      <c r="C664" s="1189"/>
      <c r="D664" s="306">
        <v>0</v>
      </c>
      <c r="E664" s="306">
        <v>40</v>
      </c>
      <c r="F664" s="306">
        <v>8751</v>
      </c>
      <c r="G664" s="306">
        <v>9000</v>
      </c>
      <c r="H664" s="307">
        <f t="shared" si="65"/>
        <v>14.760000000000012</v>
      </c>
      <c r="I664" s="308"/>
      <c r="J664" s="378">
        <f t="shared" si="64"/>
        <v>0</v>
      </c>
      <c r="K664" s="309"/>
      <c r="L664" s="379">
        <f t="shared" si="63"/>
        <v>0</v>
      </c>
      <c r="M664" s="772" t="s">
        <v>1148</v>
      </c>
      <c r="Q664" s="1129"/>
    </row>
    <row r="665" spans="1:17" ht="12.75" customHeight="1">
      <c r="A665" s="1231"/>
      <c r="B665" s="1189"/>
      <c r="C665" s="1189"/>
      <c r="D665" s="306">
        <v>0</v>
      </c>
      <c r="E665" s="306">
        <v>40</v>
      </c>
      <c r="F665" s="306">
        <v>9001</v>
      </c>
      <c r="G665" s="306">
        <v>9250</v>
      </c>
      <c r="H665" s="307">
        <f t="shared" si="65"/>
        <v>15.140000000000013</v>
      </c>
      <c r="I665" s="308"/>
      <c r="J665" s="378">
        <f t="shared" si="64"/>
        <v>0</v>
      </c>
      <c r="K665" s="309"/>
      <c r="L665" s="379">
        <f t="shared" si="63"/>
        <v>0</v>
      </c>
      <c r="M665" s="772" t="s">
        <v>1148</v>
      </c>
      <c r="Q665" s="1129"/>
    </row>
    <row r="666" spans="1:17" ht="12.75" customHeight="1">
      <c r="A666" s="1231"/>
      <c r="B666" s="1189"/>
      <c r="C666" s="1189"/>
      <c r="D666" s="306">
        <v>0</v>
      </c>
      <c r="E666" s="306">
        <v>40</v>
      </c>
      <c r="F666" s="306">
        <v>9251</v>
      </c>
      <c r="G666" s="306">
        <v>9500</v>
      </c>
      <c r="H666" s="307">
        <f t="shared" si="65"/>
        <v>15.520000000000014</v>
      </c>
      <c r="I666" s="308"/>
      <c r="J666" s="378">
        <f t="shared" si="64"/>
        <v>0</v>
      </c>
      <c r="K666" s="309"/>
      <c r="L666" s="379">
        <f t="shared" si="63"/>
        <v>0</v>
      </c>
      <c r="M666" s="772" t="s">
        <v>1148</v>
      </c>
      <c r="Q666" s="1129"/>
    </row>
    <row r="667" spans="1:17" ht="12.75" customHeight="1">
      <c r="A667" s="1231"/>
      <c r="B667" s="1189"/>
      <c r="C667" s="1189"/>
      <c r="D667" s="306">
        <v>0</v>
      </c>
      <c r="E667" s="306">
        <v>40</v>
      </c>
      <c r="F667" s="306">
        <v>9501</v>
      </c>
      <c r="G667" s="306">
        <v>9750</v>
      </c>
      <c r="H667" s="307">
        <f t="shared" si="65"/>
        <v>15.900000000000015</v>
      </c>
      <c r="I667" s="308"/>
      <c r="J667" s="378">
        <f t="shared" si="64"/>
        <v>0</v>
      </c>
      <c r="K667" s="309"/>
      <c r="L667" s="379">
        <f t="shared" si="63"/>
        <v>0</v>
      </c>
      <c r="M667" s="772" t="s">
        <v>1148</v>
      </c>
      <c r="Q667" s="1129"/>
    </row>
    <row r="668" spans="1:17" ht="12.75" customHeight="1">
      <c r="A668" s="1231"/>
      <c r="B668" s="1189"/>
      <c r="C668" s="1189"/>
      <c r="D668" s="306">
        <v>0</v>
      </c>
      <c r="E668" s="306">
        <v>40</v>
      </c>
      <c r="F668" s="306">
        <v>9751</v>
      </c>
      <c r="G668" s="306">
        <v>10000</v>
      </c>
      <c r="H668" s="307">
        <f t="shared" si="65"/>
        <v>16.280000000000015</v>
      </c>
      <c r="I668" s="308"/>
      <c r="J668" s="378">
        <f t="shared" si="64"/>
        <v>0</v>
      </c>
      <c r="K668" s="309"/>
      <c r="L668" s="379">
        <f t="shared" si="63"/>
        <v>0</v>
      </c>
      <c r="M668" s="772" t="s">
        <v>1148</v>
      </c>
      <c r="Q668" s="1129"/>
    </row>
    <row r="669" spans="1:17" ht="12.75" customHeight="1">
      <c r="A669" s="1231"/>
      <c r="B669" s="1189"/>
      <c r="C669" s="1189"/>
      <c r="D669" s="306"/>
      <c r="E669" s="306"/>
      <c r="F669" s="306"/>
      <c r="G669" s="306"/>
      <c r="H669" s="307"/>
      <c r="I669" s="308"/>
      <c r="J669" s="378">
        <f t="shared" ref="J669:J679" si="66">+I669*H669</f>
        <v>0</v>
      </c>
      <c r="K669" s="309"/>
      <c r="L669" s="379">
        <f t="shared" ref="L669:L679" si="67">J669</f>
        <v>0</v>
      </c>
      <c r="Q669" s="1129"/>
    </row>
    <row r="670" spans="1:17" ht="12.75" customHeight="1">
      <c r="A670" s="1231"/>
      <c r="B670" s="1189"/>
      <c r="C670" s="1189"/>
      <c r="D670" s="306"/>
      <c r="E670" s="306"/>
      <c r="F670" s="306"/>
      <c r="G670" s="306"/>
      <c r="H670" s="307"/>
      <c r="I670" s="308"/>
      <c r="J670" s="378">
        <f t="shared" si="66"/>
        <v>0</v>
      </c>
      <c r="K670" s="309"/>
      <c r="L670" s="379">
        <f t="shared" si="67"/>
        <v>0</v>
      </c>
      <c r="Q670" s="1129"/>
    </row>
    <row r="671" spans="1:17" ht="12.75" customHeight="1">
      <c r="A671" s="1231"/>
      <c r="B671" s="1189"/>
      <c r="C671" s="1189"/>
      <c r="D671" s="306"/>
      <c r="E671" s="306"/>
      <c r="F671" s="306"/>
      <c r="G671" s="306"/>
      <c r="H671" s="307"/>
      <c r="I671" s="308"/>
      <c r="J671" s="378">
        <f t="shared" si="66"/>
        <v>0</v>
      </c>
      <c r="K671" s="309"/>
      <c r="L671" s="379">
        <f t="shared" si="67"/>
        <v>0</v>
      </c>
      <c r="Q671" s="1129"/>
    </row>
    <row r="672" spans="1:17" ht="12.75" customHeight="1">
      <c r="A672" s="1231"/>
      <c r="B672" s="1189"/>
      <c r="C672" s="1189"/>
      <c r="D672" s="306"/>
      <c r="E672" s="306"/>
      <c r="F672" s="306"/>
      <c r="G672" s="306"/>
      <c r="H672" s="307"/>
      <c r="I672" s="308"/>
      <c r="J672" s="378">
        <f t="shared" si="66"/>
        <v>0</v>
      </c>
      <c r="K672" s="309"/>
      <c r="L672" s="379">
        <f t="shared" si="67"/>
        <v>0</v>
      </c>
      <c r="Q672" s="1129"/>
    </row>
    <row r="673" spans="1:17" ht="12.75" customHeight="1">
      <c r="A673" s="1231"/>
      <c r="B673" s="1189"/>
      <c r="C673" s="1189"/>
      <c r="D673" s="306"/>
      <c r="E673" s="306"/>
      <c r="F673" s="306"/>
      <c r="G673" s="306"/>
      <c r="H673" s="307"/>
      <c r="I673" s="308"/>
      <c r="J673" s="378">
        <f t="shared" si="66"/>
        <v>0</v>
      </c>
      <c r="K673" s="309"/>
      <c r="L673" s="379">
        <f t="shared" si="67"/>
        <v>0</v>
      </c>
      <c r="Q673" s="1129"/>
    </row>
    <row r="674" spans="1:17" ht="12.75" customHeight="1" thickBot="1">
      <c r="A674" s="1231"/>
      <c r="B674" s="1189"/>
      <c r="C674" s="1189"/>
      <c r="D674" s="306"/>
      <c r="E674" s="306"/>
      <c r="F674" s="306"/>
      <c r="G674" s="306"/>
      <c r="H674" s="307"/>
      <c r="I674" s="308"/>
      <c r="J674" s="378">
        <f t="shared" si="66"/>
        <v>0</v>
      </c>
      <c r="K674" s="309"/>
      <c r="L674" s="379">
        <f t="shared" si="67"/>
        <v>0</v>
      </c>
      <c r="Q674" s="1129"/>
    </row>
    <row r="675" spans="1:17" ht="12.75" customHeight="1">
      <c r="A675" s="1170" t="s">
        <v>1085</v>
      </c>
      <c r="B675" s="1173" t="s">
        <v>1084</v>
      </c>
      <c r="C675" s="1176" t="s">
        <v>1086</v>
      </c>
      <c r="D675" s="745">
        <v>0</v>
      </c>
      <c r="E675" s="745">
        <v>6</v>
      </c>
      <c r="F675" s="745">
        <v>1</v>
      </c>
      <c r="G675" s="745">
        <v>59</v>
      </c>
      <c r="H675" s="742">
        <v>1.1200000000000001</v>
      </c>
      <c r="I675" s="714"/>
      <c r="J675" s="375">
        <f t="shared" si="66"/>
        <v>0</v>
      </c>
      <c r="K675" s="376"/>
      <c r="L675" s="377">
        <f t="shared" si="67"/>
        <v>0</v>
      </c>
      <c r="M675" s="1" t="s">
        <v>1148</v>
      </c>
      <c r="Q675" s="1129"/>
    </row>
    <row r="676" spans="1:17" ht="12.75" customHeight="1">
      <c r="A676" s="1171"/>
      <c r="B676" s="1174"/>
      <c r="C676" s="1177"/>
      <c r="D676" s="306">
        <v>6.1</v>
      </c>
      <c r="E676" s="306">
        <v>103</v>
      </c>
      <c r="F676" s="306">
        <v>1</v>
      </c>
      <c r="G676" s="306">
        <v>59</v>
      </c>
      <c r="H676" s="743">
        <v>3.34</v>
      </c>
      <c r="I676" s="308"/>
      <c r="J676" s="378">
        <f t="shared" si="66"/>
        <v>0</v>
      </c>
      <c r="K676" s="309"/>
      <c r="L676" s="379">
        <f t="shared" si="67"/>
        <v>0</v>
      </c>
      <c r="M676" s="1" t="s">
        <v>1148</v>
      </c>
      <c r="Q676" s="1129"/>
    </row>
    <row r="677" spans="1:17" ht="12.75" customHeight="1">
      <c r="A677" s="1171"/>
      <c r="B677" s="1174"/>
      <c r="C677" s="1177"/>
      <c r="D677" s="306"/>
      <c r="E677" s="306"/>
      <c r="F677" s="306"/>
      <c r="G677" s="306"/>
      <c r="H677" s="743"/>
      <c r="I677" s="308"/>
      <c r="J677" s="378">
        <f t="shared" si="66"/>
        <v>0</v>
      </c>
      <c r="K677" s="309"/>
      <c r="L677" s="379">
        <f t="shared" si="67"/>
        <v>0</v>
      </c>
      <c r="Q677" s="1129"/>
    </row>
    <row r="678" spans="1:17" ht="12.75" customHeight="1">
      <c r="A678" s="1171"/>
      <c r="B678" s="1174"/>
      <c r="C678" s="1177"/>
      <c r="D678" s="306"/>
      <c r="E678" s="306"/>
      <c r="F678" s="306"/>
      <c r="G678" s="306"/>
      <c r="H678" s="743"/>
      <c r="I678" s="308"/>
      <c r="J678" s="378">
        <f t="shared" si="66"/>
        <v>0</v>
      </c>
      <c r="K678" s="309"/>
      <c r="L678" s="379">
        <f t="shared" si="67"/>
        <v>0</v>
      </c>
      <c r="Q678" s="1129"/>
    </row>
    <row r="679" spans="1:17" ht="12.75" customHeight="1">
      <c r="A679" s="1171"/>
      <c r="B679" s="1174"/>
      <c r="C679" s="1177"/>
      <c r="D679" s="306"/>
      <c r="E679" s="306"/>
      <c r="F679" s="306"/>
      <c r="G679" s="306"/>
      <c r="H679" s="743"/>
      <c r="I679" s="308"/>
      <c r="J679" s="378">
        <f t="shared" si="66"/>
        <v>0</v>
      </c>
      <c r="K679" s="309"/>
      <c r="L679" s="379">
        <f t="shared" si="67"/>
        <v>0</v>
      </c>
      <c r="Q679" s="1129"/>
    </row>
    <row r="680" spans="1:17" ht="12.75" customHeight="1">
      <c r="A680" s="1171"/>
      <c r="B680" s="1174"/>
      <c r="C680" s="1177"/>
      <c r="D680" s="306"/>
      <c r="E680" s="306"/>
      <c r="F680" s="306"/>
      <c r="G680" s="306"/>
      <c r="H680" s="743"/>
      <c r="I680" s="308"/>
      <c r="J680" s="378">
        <f t="shared" si="64"/>
        <v>0</v>
      </c>
      <c r="K680" s="309"/>
      <c r="L680" s="379">
        <f t="shared" si="63"/>
        <v>0</v>
      </c>
      <c r="Q680" s="1129"/>
    </row>
    <row r="681" spans="1:17" ht="13.5" customHeight="1" thickBot="1">
      <c r="A681" s="1172"/>
      <c r="B681" s="1175"/>
      <c r="C681" s="1178"/>
      <c r="D681" s="12"/>
      <c r="E681" s="12"/>
      <c r="F681" s="12"/>
      <c r="G681" s="12"/>
      <c r="H681" s="744"/>
      <c r="I681" s="75"/>
      <c r="J681" s="13">
        <f>+I681*H681</f>
        <v>0</v>
      </c>
      <c r="K681" s="216"/>
      <c r="L681" s="217">
        <f t="shared" si="63"/>
        <v>0</v>
      </c>
      <c r="Q681" s="1129"/>
    </row>
    <row r="682" spans="1:17" ht="49.5" customHeight="1">
      <c r="A682" s="14"/>
      <c r="B682" s="9"/>
      <c r="C682" s="9"/>
      <c r="D682" s="9"/>
      <c r="E682" s="9"/>
      <c r="F682" s="9"/>
      <c r="G682" s="9"/>
      <c r="H682" s="91" t="s">
        <v>296</v>
      </c>
      <c r="I682" s="9"/>
      <c r="J682" s="9">
        <f>SUM(J26:J681)+SUM('LEAD PREP'!K50:K66)+SUM('LEAD PREP FA'!K50:K66)</f>
        <v>359.12614545454556</v>
      </c>
      <c r="K682" s="9"/>
      <c r="L682" s="9">
        <f>SUM(L26:L681)+SUM('LEAD PREP'!K50:K66)+SUM('LEAD PREP FA'!K50:K66)</f>
        <v>359.12614545454556</v>
      </c>
    </row>
    <row r="683" spans="1:17">
      <c r="A683" s="14"/>
      <c r="B683" s="9"/>
      <c r="C683" s="9"/>
      <c r="D683" s="9"/>
      <c r="E683" s="9"/>
      <c r="F683" s="9"/>
      <c r="G683" s="9"/>
      <c r="H683" s="92"/>
      <c r="I683" s="86"/>
      <c r="J683" s="86"/>
      <c r="K683" s="86"/>
      <c r="L683" s="86"/>
    </row>
    <row r="684" spans="1:17" ht="14.25" customHeight="1">
      <c r="A684" s="14"/>
      <c r="B684" s="9"/>
      <c r="C684" s="9"/>
      <c r="D684" s="9"/>
      <c r="E684" s="9"/>
      <c r="F684" s="9"/>
      <c r="G684" s="9"/>
      <c r="H684" s="92"/>
      <c r="I684" s="86"/>
      <c r="J684" s="86"/>
      <c r="K684" s="86"/>
      <c r="L684" s="86"/>
    </row>
    <row r="685" spans="1:17" ht="23.25" customHeight="1">
      <c r="A685" s="14"/>
      <c r="B685" s="9"/>
      <c r="C685" s="9"/>
      <c r="D685" s="9"/>
      <c r="E685" s="9"/>
      <c r="F685" s="9"/>
      <c r="G685" s="9"/>
      <c r="H685" s="92" t="s">
        <v>687</v>
      </c>
      <c r="I685" s="85" t="s">
        <v>103</v>
      </c>
      <c r="J685" s="85">
        <f>J682-J687-J689</f>
        <v>221.61314545454559</v>
      </c>
      <c r="K685" s="85"/>
      <c r="L685" s="85">
        <f>L682-L687-L689</f>
        <v>221.61314545454559</v>
      </c>
    </row>
    <row r="686" spans="1:17">
      <c r="A686" s="14"/>
      <c r="B686" s="9"/>
      <c r="C686" s="9"/>
      <c r="D686" s="9"/>
      <c r="E686" s="9"/>
      <c r="F686" s="9"/>
      <c r="G686" s="9"/>
      <c r="H686" s="92"/>
      <c r="I686" s="86"/>
      <c r="J686" s="86"/>
      <c r="K686" s="86"/>
      <c r="L686" s="86"/>
    </row>
    <row r="687" spans="1:17" ht="23.25" customHeight="1">
      <c r="A687" s="14"/>
      <c r="B687" s="9"/>
      <c r="C687" s="9"/>
      <c r="D687" s="9"/>
      <c r="E687" s="9"/>
      <c r="F687" s="9"/>
      <c r="G687" s="9"/>
      <c r="H687" s="92" t="s">
        <v>296</v>
      </c>
      <c r="I687" s="85" t="s">
        <v>550</v>
      </c>
      <c r="J687" s="85">
        <f>SUM(J478:J569)+SUM(J623:J674)+SUM('LEAD PREP'!K50:K66)+SUM('LEAD PREP FA'!K50:K66)</f>
        <v>69.492999999999995</v>
      </c>
      <c r="K687" s="85"/>
      <c r="L687" s="85">
        <f>SUM(L478:L569)+SUM(L623:L674)+SUM('LEAD PREP'!K50:K66)+SUM('LEAD PREP FA'!K50:K66)</f>
        <v>69.492999999999995</v>
      </c>
    </row>
    <row r="688" spans="1:17">
      <c r="A688" s="14"/>
      <c r="B688" s="9"/>
      <c r="C688" s="9"/>
      <c r="D688" s="9"/>
      <c r="E688" s="9"/>
      <c r="F688" s="9"/>
      <c r="G688" s="9"/>
      <c r="H688" s="93"/>
      <c r="I688" s="86"/>
      <c r="J688" s="86"/>
      <c r="K688" s="86"/>
      <c r="L688" s="86"/>
    </row>
    <row r="689" spans="1:12" ht="23.25" customHeight="1">
      <c r="A689" s="14"/>
      <c r="B689" s="9"/>
      <c r="C689" s="9"/>
      <c r="D689" s="9"/>
      <c r="E689" s="9"/>
      <c r="F689" s="9"/>
      <c r="G689" s="9"/>
      <c r="H689" s="92" t="s">
        <v>296</v>
      </c>
      <c r="I689" s="85" t="s">
        <v>667</v>
      </c>
      <c r="J689" s="85">
        <f>J608+J609+J610+J611+J614+J615+J616+J617+J618+J621+J570+J571+J572+J573+J574+J575+J576+J577+J578+J579+J580+J581+J582+J620+J619+J613+J612+J592+J591+J590+J589+J588+J587+J586+J585+J584+J583+J622+SUM(J594:J607)</f>
        <v>68.02</v>
      </c>
      <c r="K689" s="85"/>
      <c r="L689" s="85">
        <f>SUM(L570:L593,L608:L622)+SUM(L594:L607)</f>
        <v>68.02</v>
      </c>
    </row>
    <row r="690" spans="1:12">
      <c r="A690" s="14"/>
      <c r="B690" s="9"/>
      <c r="C690" s="9"/>
      <c r="D690" s="9"/>
      <c r="E690" s="9"/>
      <c r="F690" s="9"/>
      <c r="G690" s="9"/>
      <c r="H690" s="93"/>
      <c r="I690" s="86"/>
      <c r="J690" s="86"/>
      <c r="K690" s="86"/>
      <c r="L690" s="86"/>
    </row>
    <row r="691" spans="1:12">
      <c r="A691" s="14"/>
      <c r="B691" s="9"/>
      <c r="C691" s="9"/>
      <c r="D691" s="9"/>
      <c r="E691" s="9"/>
      <c r="F691" s="9"/>
      <c r="G691" s="9"/>
      <c r="H691" s="93"/>
      <c r="I691" s="86"/>
      <c r="J691" s="86"/>
      <c r="K691" s="86"/>
      <c r="L691" s="86"/>
    </row>
    <row r="692" spans="1:12">
      <c r="A692" s="14"/>
      <c r="B692" s="9"/>
      <c r="C692" s="9"/>
      <c r="D692" s="9"/>
      <c r="E692" s="9"/>
      <c r="F692" s="9"/>
      <c r="G692" s="9"/>
      <c r="H692" s="93"/>
      <c r="I692" s="86"/>
      <c r="J692" s="86"/>
      <c r="K692" s="86"/>
      <c r="L692" s="86"/>
    </row>
    <row r="693" spans="1:12">
      <c r="A693" s="14"/>
      <c r="B693" s="9"/>
      <c r="C693" s="9"/>
      <c r="D693" s="9"/>
      <c r="E693" s="9"/>
      <c r="F693" s="9"/>
      <c r="G693" s="9"/>
      <c r="H693" s="94"/>
      <c r="I693" s="9"/>
      <c r="J693" s="9"/>
      <c r="K693" s="9"/>
      <c r="L693" s="9"/>
    </row>
    <row r="694" spans="1:12">
      <c r="A694" s="14"/>
      <c r="B694" s="9"/>
      <c r="C694" s="9"/>
      <c r="D694" s="9"/>
      <c r="E694" s="9"/>
      <c r="F694" s="9"/>
      <c r="G694" s="9"/>
      <c r="H694" s="94"/>
      <c r="I694" s="9"/>
      <c r="J694" s="9"/>
      <c r="K694" s="9"/>
      <c r="L694" s="9"/>
    </row>
    <row r="695" spans="1:12">
      <c r="A695" s="14"/>
      <c r="B695" s="9"/>
      <c r="C695" s="9"/>
      <c r="D695" s="9"/>
      <c r="E695" s="9"/>
      <c r="F695" s="9"/>
      <c r="G695" s="9"/>
      <c r="H695" s="94"/>
      <c r="I695" s="9"/>
      <c r="J695" s="9"/>
      <c r="K695" s="9"/>
      <c r="L695" s="9"/>
    </row>
    <row r="696" spans="1:12">
      <c r="A696" s="14"/>
      <c r="B696" s="9"/>
      <c r="C696" s="9"/>
      <c r="D696" s="9"/>
      <c r="E696" s="9"/>
      <c r="F696" s="9"/>
      <c r="G696" s="9"/>
      <c r="H696" s="94"/>
      <c r="I696" s="9"/>
      <c r="J696" s="9"/>
      <c r="K696" s="9"/>
      <c r="L696" s="9"/>
    </row>
    <row r="697" spans="1:12">
      <c r="A697" s="14"/>
      <c r="B697" s="9"/>
      <c r="C697" s="9"/>
      <c r="D697" s="9"/>
      <c r="E697" s="9"/>
      <c r="F697" s="9"/>
      <c r="G697" s="9"/>
      <c r="H697" s="94"/>
      <c r="I697" s="9"/>
      <c r="J697" s="9"/>
      <c r="K697" s="9"/>
      <c r="L697" s="9"/>
    </row>
    <row r="698" spans="1:12">
      <c r="A698" s="14"/>
      <c r="B698" s="9"/>
      <c r="C698" s="9"/>
      <c r="D698" s="9"/>
      <c r="E698" s="9"/>
      <c r="F698" s="9"/>
      <c r="G698" s="9"/>
      <c r="H698" s="94"/>
      <c r="I698" s="9"/>
      <c r="J698" s="9"/>
      <c r="K698" s="9"/>
      <c r="L698" s="9"/>
    </row>
    <row r="699" spans="1:12">
      <c r="A699" s="14"/>
      <c r="B699" s="9"/>
      <c r="C699" s="9"/>
      <c r="D699" s="9"/>
      <c r="E699" s="9"/>
      <c r="F699" s="9"/>
      <c r="G699" s="9"/>
      <c r="H699" s="94"/>
      <c r="I699" s="9"/>
      <c r="J699" s="9"/>
      <c r="K699" s="9"/>
      <c r="L699" s="9"/>
    </row>
    <row r="700" spans="1:12">
      <c r="A700" s="14"/>
      <c r="B700" s="9"/>
      <c r="C700" s="9"/>
      <c r="D700" s="9"/>
      <c r="E700" s="9"/>
      <c r="F700" s="9"/>
      <c r="G700" s="9"/>
      <c r="H700" s="94"/>
      <c r="I700" s="9"/>
      <c r="J700" s="9"/>
      <c r="K700" s="9"/>
      <c r="L700" s="9"/>
    </row>
    <row r="701" spans="1:12">
      <c r="A701" s="14"/>
      <c r="B701" s="9"/>
      <c r="C701" s="9"/>
      <c r="D701" s="9"/>
      <c r="E701" s="9"/>
      <c r="F701" s="9"/>
      <c r="G701" s="9"/>
      <c r="H701" s="94"/>
      <c r="I701" s="9"/>
      <c r="J701" s="9"/>
      <c r="K701" s="9"/>
      <c r="L701" s="9"/>
    </row>
    <row r="702" spans="1:12">
      <c r="A702" s="14"/>
      <c r="B702" s="9"/>
      <c r="C702" s="9"/>
      <c r="D702" s="9"/>
      <c r="E702" s="9"/>
      <c r="F702" s="9"/>
      <c r="G702" s="9"/>
      <c r="H702" s="94"/>
      <c r="I702" s="9"/>
      <c r="J702" s="9"/>
      <c r="K702" s="9"/>
      <c r="L702" s="9"/>
    </row>
    <row r="703" spans="1:12">
      <c r="A703" s="14"/>
      <c r="B703" s="9"/>
      <c r="C703" s="9"/>
      <c r="D703" s="9"/>
      <c r="E703" s="9"/>
      <c r="F703" s="9"/>
      <c r="G703" s="9"/>
      <c r="H703" s="94"/>
      <c r="I703" s="9"/>
      <c r="J703" s="9"/>
      <c r="K703" s="9"/>
      <c r="L703" s="9"/>
    </row>
    <row r="704" spans="1:12">
      <c r="A704" s="14"/>
      <c r="B704" s="9"/>
      <c r="C704" s="9"/>
      <c r="D704" s="9"/>
      <c r="E704" s="9"/>
      <c r="F704" s="9"/>
      <c r="G704" s="9"/>
      <c r="H704" s="94"/>
      <c r="I704" s="9"/>
      <c r="J704" s="9"/>
      <c r="K704" s="9"/>
      <c r="L704" s="9"/>
    </row>
    <row r="705" spans="1:12">
      <c r="A705" s="14"/>
      <c r="B705" s="9"/>
      <c r="C705" s="9"/>
      <c r="D705" s="9"/>
      <c r="E705" s="9"/>
      <c r="F705" s="9"/>
      <c r="G705" s="9"/>
      <c r="H705" s="94"/>
      <c r="I705" s="9"/>
      <c r="J705" s="9"/>
      <c r="K705" s="9"/>
      <c r="L705" s="9"/>
    </row>
    <row r="706" spans="1:12">
      <c r="A706" s="14"/>
      <c r="B706" s="9"/>
      <c r="C706" s="9"/>
      <c r="D706" s="9"/>
      <c r="E706" s="9"/>
      <c r="F706" s="9"/>
      <c r="G706" s="9"/>
      <c r="H706" s="94"/>
      <c r="I706" s="9"/>
      <c r="J706" s="9"/>
      <c r="K706" s="9"/>
      <c r="L706" s="9"/>
    </row>
    <row r="707" spans="1:12">
      <c r="A707" s="14"/>
      <c r="B707" s="9"/>
      <c r="C707" s="9"/>
      <c r="D707" s="9"/>
      <c r="E707" s="9"/>
      <c r="F707" s="9"/>
      <c r="G707" s="9"/>
      <c r="H707" s="94"/>
      <c r="I707" s="9"/>
      <c r="J707" s="9"/>
      <c r="K707" s="9"/>
      <c r="L707" s="9"/>
    </row>
    <row r="708" spans="1:12">
      <c r="A708" s="14"/>
      <c r="B708" s="9"/>
      <c r="C708" s="9"/>
      <c r="D708" s="9"/>
      <c r="E708" s="9"/>
      <c r="F708" s="9"/>
      <c r="G708" s="9"/>
      <c r="H708" s="94"/>
      <c r="I708" s="9"/>
      <c r="J708" s="9"/>
      <c r="K708" s="9"/>
      <c r="L708" s="9"/>
    </row>
    <row r="709" spans="1:12">
      <c r="A709" s="14"/>
      <c r="B709" s="9"/>
      <c r="C709" s="9"/>
      <c r="D709" s="9"/>
      <c r="E709" s="9"/>
      <c r="F709" s="9"/>
      <c r="G709" s="9"/>
      <c r="H709" s="94"/>
      <c r="I709" s="9"/>
      <c r="J709" s="9"/>
      <c r="K709" s="9"/>
      <c r="L709" s="9"/>
    </row>
    <row r="710" spans="1:12">
      <c r="A710" s="14"/>
      <c r="B710" s="9"/>
      <c r="C710" s="9"/>
      <c r="D710" s="9"/>
      <c r="E710" s="9"/>
      <c r="F710" s="9"/>
      <c r="G710" s="9"/>
      <c r="H710" s="94"/>
      <c r="I710" s="9"/>
      <c r="J710" s="9"/>
      <c r="K710" s="9"/>
      <c r="L710" s="9"/>
    </row>
    <row r="711" spans="1:12">
      <c r="A711" s="14"/>
      <c r="B711" s="9"/>
      <c r="C711" s="9"/>
      <c r="D711" s="9"/>
      <c r="E711" s="9"/>
      <c r="F711" s="9"/>
      <c r="G711" s="9"/>
      <c r="H711" s="94"/>
      <c r="I711" s="9"/>
      <c r="J711" s="9"/>
      <c r="K711" s="9"/>
      <c r="L711" s="9"/>
    </row>
    <row r="712" spans="1:12">
      <c r="A712" s="14"/>
      <c r="B712" s="9"/>
      <c r="C712" s="9"/>
      <c r="D712" s="9"/>
      <c r="E712" s="9"/>
      <c r="F712" s="9"/>
      <c r="G712" s="9"/>
      <c r="H712" s="94"/>
      <c r="I712" s="9"/>
      <c r="J712" s="9"/>
      <c r="K712" s="9"/>
      <c r="L712" s="9"/>
    </row>
    <row r="713" spans="1:12">
      <c r="A713" s="14"/>
      <c r="B713" s="9"/>
      <c r="C713" s="9"/>
      <c r="D713" s="9"/>
      <c r="E713" s="9"/>
      <c r="F713" s="9"/>
      <c r="G713" s="9"/>
      <c r="H713" s="94"/>
      <c r="I713" s="9"/>
      <c r="J713" s="9"/>
      <c r="K713" s="9"/>
      <c r="L713" s="9"/>
    </row>
    <row r="714" spans="1:12">
      <c r="A714" s="14"/>
      <c r="B714" s="9"/>
      <c r="C714" s="9"/>
      <c r="D714" s="9"/>
      <c r="E714" s="9"/>
      <c r="F714" s="9"/>
      <c r="G714" s="9"/>
      <c r="H714" s="94"/>
      <c r="I714" s="9"/>
      <c r="J714" s="9"/>
      <c r="K714" s="9"/>
      <c r="L714" s="9"/>
    </row>
    <row r="715" spans="1:12">
      <c r="A715" s="14"/>
      <c r="B715" s="9"/>
      <c r="C715" s="9"/>
      <c r="D715" s="9"/>
      <c r="E715" s="9"/>
      <c r="F715" s="9"/>
      <c r="G715" s="9"/>
      <c r="H715" s="94"/>
      <c r="I715" s="9"/>
      <c r="J715" s="9"/>
      <c r="K715" s="9"/>
      <c r="L715" s="9"/>
    </row>
    <row r="716" spans="1:12">
      <c r="A716" s="14"/>
      <c r="B716" s="9"/>
      <c r="C716" s="9"/>
      <c r="D716" s="9"/>
      <c r="E716" s="9"/>
      <c r="F716" s="9"/>
      <c r="G716" s="9"/>
      <c r="H716" s="94"/>
      <c r="I716" s="9"/>
      <c r="J716" s="9"/>
      <c r="K716" s="9"/>
      <c r="L716" s="9"/>
    </row>
    <row r="717" spans="1:12">
      <c r="A717" s="14"/>
      <c r="B717" s="9"/>
      <c r="C717" s="9"/>
      <c r="D717" s="9"/>
      <c r="E717" s="9"/>
      <c r="F717" s="9"/>
      <c r="G717" s="9"/>
      <c r="H717" s="94"/>
      <c r="I717" s="9"/>
      <c r="J717" s="9"/>
      <c r="K717" s="9"/>
      <c r="L717" s="9"/>
    </row>
    <row r="718" spans="1:12">
      <c r="A718" s="14"/>
      <c r="B718" s="9"/>
      <c r="C718" s="9"/>
      <c r="D718" s="9"/>
      <c r="E718" s="9"/>
      <c r="F718" s="9"/>
      <c r="G718" s="9"/>
      <c r="H718" s="94"/>
      <c r="I718" s="9"/>
      <c r="J718" s="9"/>
      <c r="K718" s="9"/>
      <c r="L718" s="9"/>
    </row>
    <row r="719" spans="1:12">
      <c r="A719" s="14"/>
      <c r="B719" s="9"/>
      <c r="C719" s="9"/>
      <c r="D719" s="9"/>
      <c r="E719" s="9"/>
      <c r="F719" s="9"/>
      <c r="G719" s="9"/>
      <c r="H719" s="94"/>
      <c r="I719" s="9"/>
      <c r="J719" s="9"/>
      <c r="K719" s="9"/>
      <c r="L719" s="9"/>
    </row>
    <row r="720" spans="1:12">
      <c r="A720" s="14"/>
      <c r="B720" s="9"/>
      <c r="C720" s="9"/>
      <c r="D720" s="9"/>
      <c r="E720" s="9"/>
      <c r="F720" s="9"/>
      <c r="G720" s="9"/>
      <c r="H720" s="94"/>
      <c r="I720" s="9"/>
      <c r="J720" s="9"/>
      <c r="K720" s="9"/>
      <c r="L720" s="9"/>
    </row>
    <row r="721" spans="1:12">
      <c r="A721" s="14"/>
      <c r="B721" s="9"/>
      <c r="C721" s="9"/>
      <c r="D721" s="9"/>
      <c r="E721" s="9"/>
      <c r="F721" s="9"/>
      <c r="G721" s="9"/>
      <c r="H721" s="94"/>
      <c r="I721" s="9"/>
      <c r="J721" s="9"/>
      <c r="K721" s="9"/>
      <c r="L721" s="9"/>
    </row>
    <row r="722" spans="1:12">
      <c r="A722" s="14"/>
      <c r="B722" s="9"/>
      <c r="C722" s="9"/>
      <c r="D722" s="9"/>
      <c r="E722" s="9"/>
      <c r="F722" s="9"/>
      <c r="G722" s="9"/>
      <c r="H722" s="94"/>
      <c r="I722" s="9"/>
      <c r="J722" s="9"/>
      <c r="K722" s="9"/>
      <c r="L722" s="9"/>
    </row>
    <row r="723" spans="1:12">
      <c r="A723" s="14"/>
      <c r="B723" s="9"/>
      <c r="C723" s="9"/>
      <c r="D723" s="9"/>
      <c r="E723" s="9"/>
      <c r="F723" s="9"/>
      <c r="G723" s="9"/>
      <c r="H723" s="94"/>
      <c r="I723" s="9"/>
      <c r="J723" s="9"/>
      <c r="K723" s="9"/>
      <c r="L723" s="9"/>
    </row>
    <row r="724" spans="1:12">
      <c r="A724" s="14"/>
      <c r="B724" s="9"/>
      <c r="C724" s="9"/>
      <c r="D724" s="9"/>
      <c r="E724" s="9"/>
      <c r="F724" s="9"/>
      <c r="G724" s="9"/>
      <c r="H724" s="94"/>
      <c r="I724" s="9"/>
      <c r="J724" s="9"/>
      <c r="K724" s="9"/>
      <c r="L724" s="9"/>
    </row>
    <row r="725" spans="1:12">
      <c r="A725" s="14"/>
      <c r="B725" s="9"/>
      <c r="C725" s="9"/>
      <c r="D725" s="9"/>
      <c r="E725" s="9"/>
      <c r="F725" s="9"/>
      <c r="G725" s="9"/>
      <c r="H725" s="94"/>
      <c r="I725" s="9"/>
      <c r="J725" s="9"/>
      <c r="K725" s="9"/>
      <c r="L725" s="9"/>
    </row>
    <row r="726" spans="1:12">
      <c r="A726" s="14"/>
      <c r="B726" s="9"/>
      <c r="C726" s="9"/>
      <c r="D726" s="9"/>
      <c r="E726" s="9"/>
      <c r="F726" s="9"/>
      <c r="G726" s="9"/>
      <c r="H726" s="94"/>
      <c r="I726" s="9"/>
      <c r="J726" s="9"/>
      <c r="K726" s="9"/>
      <c r="L726" s="9"/>
    </row>
    <row r="727" spans="1:12">
      <c r="A727" s="14"/>
      <c r="B727" s="9"/>
      <c r="C727" s="9"/>
      <c r="D727" s="9"/>
      <c r="E727" s="9"/>
      <c r="F727" s="9"/>
      <c r="G727" s="9"/>
      <c r="H727" s="94"/>
      <c r="I727" s="9"/>
      <c r="J727" s="9"/>
      <c r="K727" s="9"/>
      <c r="L727" s="9"/>
    </row>
    <row r="728" spans="1:12">
      <c r="A728" s="14"/>
      <c r="B728" s="9"/>
      <c r="C728" s="9"/>
      <c r="D728" s="9"/>
      <c r="E728" s="9"/>
      <c r="F728" s="9"/>
      <c r="G728" s="9"/>
      <c r="H728" s="94"/>
      <c r="I728" s="9"/>
      <c r="J728" s="9"/>
      <c r="K728" s="9"/>
      <c r="L728" s="9"/>
    </row>
    <row r="729" spans="1:12">
      <c r="A729" s="14"/>
      <c r="B729" s="9"/>
      <c r="C729" s="9"/>
      <c r="D729" s="9"/>
      <c r="E729" s="9"/>
      <c r="F729" s="9"/>
      <c r="G729" s="9"/>
      <c r="H729" s="94"/>
      <c r="I729" s="9"/>
      <c r="J729" s="9"/>
      <c r="K729" s="9"/>
      <c r="L729" s="9"/>
    </row>
    <row r="730" spans="1:12">
      <c r="A730" s="14"/>
      <c r="B730" s="9"/>
      <c r="C730" s="9"/>
      <c r="D730" s="9"/>
      <c r="E730" s="9"/>
      <c r="F730" s="9"/>
      <c r="G730" s="9"/>
      <c r="H730" s="94"/>
      <c r="I730" s="9"/>
      <c r="J730" s="9"/>
      <c r="K730" s="9"/>
      <c r="L730" s="9"/>
    </row>
    <row r="731" spans="1:12">
      <c r="A731" s="14"/>
      <c r="B731" s="9"/>
      <c r="C731" s="9"/>
      <c r="D731" s="9"/>
      <c r="E731" s="9"/>
      <c r="F731" s="9"/>
      <c r="G731" s="9"/>
      <c r="H731" s="94"/>
      <c r="I731" s="9"/>
      <c r="J731" s="9"/>
      <c r="K731" s="9"/>
      <c r="L731" s="9"/>
    </row>
    <row r="732" spans="1:12">
      <c r="A732" s="14"/>
      <c r="B732" s="9"/>
      <c r="C732" s="9"/>
      <c r="D732" s="9"/>
      <c r="E732" s="9"/>
      <c r="F732" s="9"/>
      <c r="G732" s="9"/>
      <c r="H732" s="94"/>
      <c r="I732" s="9"/>
      <c r="J732" s="9"/>
      <c r="K732" s="9"/>
      <c r="L732" s="9"/>
    </row>
    <row r="733" spans="1:12">
      <c r="A733" s="14"/>
      <c r="B733" s="9"/>
      <c r="C733" s="9"/>
      <c r="D733" s="9"/>
      <c r="E733" s="9"/>
      <c r="F733" s="9"/>
      <c r="G733" s="9"/>
      <c r="H733" s="94"/>
      <c r="I733" s="9"/>
      <c r="J733" s="9"/>
      <c r="K733" s="9"/>
      <c r="L733" s="9"/>
    </row>
    <row r="734" spans="1:12">
      <c r="A734" s="14"/>
      <c r="B734" s="9"/>
      <c r="C734" s="9"/>
      <c r="D734" s="9"/>
      <c r="E734" s="9"/>
      <c r="F734" s="9"/>
      <c r="G734" s="9"/>
      <c r="H734" s="94"/>
      <c r="I734" s="9"/>
      <c r="J734" s="9"/>
      <c r="K734" s="9"/>
      <c r="L734" s="9"/>
    </row>
    <row r="735" spans="1:12">
      <c r="A735" s="14"/>
      <c r="B735" s="9"/>
      <c r="C735" s="9"/>
      <c r="D735" s="9"/>
      <c r="E735" s="9"/>
      <c r="F735" s="9"/>
      <c r="G735" s="9"/>
      <c r="H735" s="94"/>
      <c r="I735" s="9"/>
      <c r="J735" s="9"/>
      <c r="K735" s="9"/>
      <c r="L735" s="9"/>
    </row>
    <row r="736" spans="1:12">
      <c r="A736" s="14"/>
      <c r="B736" s="9"/>
      <c r="C736" s="9"/>
      <c r="D736" s="9"/>
      <c r="E736" s="9"/>
      <c r="F736" s="9"/>
      <c r="G736" s="9"/>
      <c r="H736" s="94"/>
      <c r="I736" s="9"/>
      <c r="J736" s="9"/>
      <c r="K736" s="9"/>
      <c r="L736" s="9"/>
    </row>
    <row r="737" spans="1:12">
      <c r="A737" s="14"/>
      <c r="B737" s="9"/>
      <c r="C737" s="9"/>
      <c r="D737" s="9"/>
      <c r="E737" s="9"/>
      <c r="F737" s="9"/>
      <c r="G737" s="9"/>
      <c r="H737" s="94"/>
      <c r="I737" s="9"/>
      <c r="J737" s="9"/>
      <c r="K737" s="9"/>
      <c r="L737" s="9"/>
    </row>
    <row r="738" spans="1:12">
      <c r="A738" s="14"/>
      <c r="B738" s="9"/>
      <c r="C738" s="9"/>
      <c r="D738" s="9"/>
      <c r="E738" s="9"/>
      <c r="F738" s="9"/>
      <c r="G738" s="9"/>
      <c r="H738" s="94"/>
      <c r="I738" s="9"/>
      <c r="J738" s="9"/>
      <c r="K738" s="9"/>
      <c r="L738" s="9"/>
    </row>
    <row r="739" spans="1:12">
      <c r="A739" s="14"/>
      <c r="B739" s="9"/>
      <c r="C739" s="9"/>
      <c r="D739" s="9"/>
      <c r="E739" s="9"/>
      <c r="F739" s="9"/>
      <c r="G739" s="9"/>
      <c r="H739" s="94"/>
      <c r="I739" s="9"/>
      <c r="J739" s="9"/>
      <c r="K739" s="9"/>
      <c r="L739" s="9"/>
    </row>
    <row r="740" spans="1:12">
      <c r="A740" s="14"/>
      <c r="B740" s="9"/>
      <c r="C740" s="9"/>
      <c r="D740" s="9"/>
      <c r="E740" s="9"/>
      <c r="F740" s="9"/>
      <c r="G740" s="9"/>
      <c r="H740" s="94"/>
      <c r="I740" s="9"/>
      <c r="J740" s="9"/>
      <c r="K740" s="9"/>
      <c r="L740" s="9"/>
    </row>
    <row r="741" spans="1:12">
      <c r="A741" s="14"/>
      <c r="B741" s="9"/>
      <c r="C741" s="9"/>
      <c r="D741" s="9"/>
      <c r="E741" s="9"/>
      <c r="F741" s="9"/>
      <c r="G741" s="9"/>
      <c r="H741" s="94"/>
      <c r="I741" s="9"/>
      <c r="J741" s="9"/>
      <c r="K741" s="9"/>
      <c r="L741" s="9"/>
    </row>
    <row r="742" spans="1:12">
      <c r="A742" s="14"/>
      <c r="B742" s="9"/>
      <c r="C742" s="9"/>
      <c r="D742" s="9"/>
      <c r="E742" s="9"/>
      <c r="F742" s="9"/>
      <c r="G742" s="9"/>
      <c r="H742" s="94"/>
      <c r="I742" s="9"/>
      <c r="J742" s="9"/>
      <c r="K742" s="9"/>
      <c r="L742" s="9"/>
    </row>
    <row r="743" spans="1:12">
      <c r="A743" s="14"/>
      <c r="B743" s="9"/>
      <c r="C743" s="9"/>
      <c r="D743" s="9"/>
      <c r="E743" s="9"/>
      <c r="F743" s="9"/>
      <c r="G743" s="9"/>
      <c r="H743" s="94"/>
      <c r="I743" s="9"/>
      <c r="J743" s="9"/>
      <c r="K743" s="9"/>
      <c r="L743" s="9"/>
    </row>
    <row r="744" spans="1:12">
      <c r="A744" s="14"/>
      <c r="B744" s="9"/>
      <c r="C744" s="9"/>
      <c r="D744" s="9"/>
      <c r="E744" s="9"/>
      <c r="F744" s="9"/>
      <c r="G744" s="9"/>
      <c r="H744" s="94"/>
      <c r="I744" s="9"/>
      <c r="J744" s="9"/>
      <c r="K744" s="9"/>
      <c r="L744" s="9"/>
    </row>
    <row r="745" spans="1:12">
      <c r="A745" s="14"/>
      <c r="B745" s="9"/>
      <c r="C745" s="9"/>
      <c r="D745" s="9"/>
      <c r="E745" s="9"/>
      <c r="F745" s="9"/>
      <c r="G745" s="9"/>
      <c r="H745" s="94"/>
      <c r="I745" s="9"/>
      <c r="J745" s="9"/>
      <c r="K745" s="9"/>
      <c r="L745" s="9"/>
    </row>
    <row r="746" spans="1:12">
      <c r="A746" s="14"/>
      <c r="B746" s="9"/>
      <c r="C746" s="9"/>
      <c r="D746" s="9"/>
      <c r="E746" s="9"/>
      <c r="F746" s="9"/>
      <c r="G746" s="9"/>
      <c r="H746" s="94"/>
      <c r="I746" s="9"/>
      <c r="J746" s="9"/>
      <c r="K746" s="9"/>
      <c r="L746" s="9"/>
    </row>
    <row r="747" spans="1:12">
      <c r="A747" s="14"/>
      <c r="B747" s="9"/>
      <c r="C747" s="9"/>
      <c r="D747" s="9"/>
      <c r="E747" s="9"/>
      <c r="F747" s="9"/>
      <c r="G747" s="9"/>
      <c r="H747" s="94"/>
      <c r="I747" s="9"/>
      <c r="J747" s="9"/>
      <c r="K747" s="9"/>
      <c r="L747" s="9"/>
    </row>
    <row r="748" spans="1:12">
      <c r="A748" s="14"/>
      <c r="B748" s="9"/>
      <c r="C748" s="9"/>
      <c r="D748" s="9"/>
      <c r="E748" s="9"/>
      <c r="F748" s="9"/>
      <c r="G748" s="9"/>
      <c r="H748" s="94"/>
      <c r="I748" s="9"/>
      <c r="J748" s="9"/>
      <c r="K748" s="9"/>
      <c r="L748" s="9"/>
    </row>
    <row r="749" spans="1:12">
      <c r="A749" s="14"/>
      <c r="B749" s="9"/>
      <c r="C749" s="9"/>
      <c r="D749" s="9"/>
      <c r="E749" s="9"/>
      <c r="F749" s="9"/>
      <c r="G749" s="9"/>
      <c r="H749" s="94"/>
      <c r="I749" s="9"/>
      <c r="J749" s="9"/>
      <c r="K749" s="9"/>
      <c r="L749" s="9"/>
    </row>
    <row r="750" spans="1:12">
      <c r="A750" s="14"/>
      <c r="B750" s="9"/>
      <c r="C750" s="9"/>
      <c r="D750" s="9"/>
      <c r="E750" s="9"/>
      <c r="F750" s="9"/>
      <c r="G750" s="9"/>
      <c r="H750" s="94"/>
      <c r="I750" s="9"/>
      <c r="J750" s="9"/>
      <c r="K750" s="9"/>
      <c r="L750" s="9"/>
    </row>
    <row r="751" spans="1:12">
      <c r="A751" s="14"/>
      <c r="B751" s="9"/>
      <c r="C751" s="9"/>
      <c r="D751" s="9"/>
      <c r="E751" s="9"/>
      <c r="F751" s="9"/>
      <c r="G751" s="9"/>
      <c r="H751" s="94"/>
      <c r="I751" s="9"/>
      <c r="J751" s="9"/>
      <c r="K751" s="9"/>
      <c r="L751" s="9"/>
    </row>
    <row r="752" spans="1:12">
      <c r="A752" s="14"/>
      <c r="B752" s="9"/>
      <c r="C752" s="9"/>
      <c r="D752" s="9"/>
      <c r="E752" s="9"/>
      <c r="F752" s="9"/>
      <c r="G752" s="9"/>
      <c r="H752" s="94"/>
      <c r="I752" s="9"/>
      <c r="J752" s="9"/>
      <c r="K752" s="9"/>
      <c r="L752" s="9"/>
    </row>
    <row r="753" spans="1:12">
      <c r="A753" s="14"/>
      <c r="B753" s="9"/>
      <c r="C753" s="9"/>
      <c r="D753" s="9"/>
      <c r="E753" s="9"/>
      <c r="F753" s="9"/>
      <c r="G753" s="9"/>
      <c r="H753" s="94"/>
      <c r="I753" s="9"/>
      <c r="J753" s="9"/>
      <c r="K753" s="9"/>
      <c r="L753" s="9"/>
    </row>
    <row r="754" spans="1:12">
      <c r="A754" s="14"/>
      <c r="B754" s="9"/>
      <c r="C754" s="9"/>
      <c r="D754" s="9"/>
      <c r="E754" s="9"/>
      <c r="F754" s="9"/>
      <c r="G754" s="9"/>
      <c r="H754" s="94"/>
      <c r="I754" s="9"/>
      <c r="J754" s="9"/>
      <c r="K754" s="9"/>
      <c r="L754" s="9"/>
    </row>
    <row r="755" spans="1:12">
      <c r="A755" s="14"/>
      <c r="B755" s="9"/>
      <c r="C755" s="9"/>
      <c r="D755" s="9"/>
      <c r="E755" s="9"/>
      <c r="F755" s="9"/>
      <c r="G755" s="9"/>
      <c r="H755" s="94"/>
      <c r="I755" s="9"/>
      <c r="J755" s="9"/>
      <c r="K755" s="9"/>
      <c r="L755" s="9"/>
    </row>
    <row r="756" spans="1:12">
      <c r="A756" s="14"/>
      <c r="B756" s="9"/>
      <c r="C756" s="9"/>
      <c r="D756" s="9"/>
      <c r="E756" s="9"/>
      <c r="F756" s="9"/>
      <c r="G756" s="9"/>
      <c r="H756" s="94"/>
      <c r="I756" s="9"/>
      <c r="J756" s="9"/>
      <c r="K756" s="9"/>
      <c r="L756" s="9"/>
    </row>
    <row r="757" spans="1:12">
      <c r="A757" s="14"/>
      <c r="B757" s="9"/>
      <c r="C757" s="9"/>
      <c r="D757" s="9"/>
      <c r="E757" s="9"/>
      <c r="F757" s="9"/>
      <c r="G757" s="9"/>
      <c r="H757" s="94"/>
      <c r="I757" s="9"/>
      <c r="J757" s="9"/>
      <c r="K757" s="9"/>
      <c r="L757" s="9"/>
    </row>
    <row r="758" spans="1:12">
      <c r="A758" s="14"/>
      <c r="B758" s="9"/>
      <c r="C758" s="9"/>
      <c r="D758" s="9"/>
      <c r="E758" s="9"/>
      <c r="F758" s="9"/>
      <c r="G758" s="9"/>
      <c r="H758" s="94"/>
      <c r="I758" s="9"/>
      <c r="J758" s="9"/>
      <c r="K758" s="9"/>
      <c r="L758" s="9"/>
    </row>
    <row r="759" spans="1:12">
      <c r="A759" s="14"/>
      <c r="B759" s="9"/>
      <c r="C759" s="9"/>
      <c r="D759" s="9"/>
      <c r="E759" s="9"/>
      <c r="F759" s="9"/>
      <c r="G759" s="9"/>
      <c r="H759" s="94"/>
      <c r="I759" s="9"/>
      <c r="J759" s="9"/>
      <c r="K759" s="9"/>
      <c r="L759" s="9"/>
    </row>
    <row r="760" spans="1:12">
      <c r="A760" s="14"/>
      <c r="B760" s="9"/>
      <c r="C760" s="9"/>
      <c r="D760" s="9"/>
      <c r="E760" s="9"/>
      <c r="F760" s="9"/>
      <c r="G760" s="9"/>
      <c r="H760" s="94"/>
      <c r="I760" s="9"/>
      <c r="J760" s="9"/>
      <c r="K760" s="9"/>
      <c r="L760" s="9"/>
    </row>
    <row r="761" spans="1:12">
      <c r="A761" s="14"/>
      <c r="B761" s="9"/>
      <c r="C761" s="9"/>
      <c r="D761" s="9"/>
      <c r="E761" s="9"/>
      <c r="F761" s="9"/>
      <c r="G761" s="9"/>
      <c r="H761" s="94"/>
      <c r="I761" s="9"/>
      <c r="J761" s="9"/>
      <c r="K761" s="9"/>
      <c r="L761" s="9"/>
    </row>
    <row r="762" spans="1:12">
      <c r="A762" s="14"/>
      <c r="B762" s="9"/>
      <c r="C762" s="9"/>
      <c r="D762" s="9"/>
      <c r="E762" s="9"/>
      <c r="F762" s="9"/>
      <c r="G762" s="9"/>
      <c r="H762" s="94"/>
      <c r="I762" s="9"/>
      <c r="J762" s="9"/>
      <c r="K762" s="9"/>
      <c r="L762" s="9"/>
    </row>
    <row r="763" spans="1:12">
      <c r="A763" s="14"/>
      <c r="B763" s="9"/>
      <c r="C763" s="9"/>
      <c r="D763" s="9"/>
      <c r="E763" s="9"/>
      <c r="F763" s="9"/>
      <c r="G763" s="9"/>
      <c r="H763" s="94"/>
      <c r="I763" s="9"/>
      <c r="J763" s="9"/>
      <c r="K763" s="9"/>
      <c r="L763" s="9"/>
    </row>
    <row r="764" spans="1:12">
      <c r="A764" s="14"/>
      <c r="B764" s="9"/>
      <c r="C764" s="9"/>
      <c r="D764" s="9"/>
      <c r="E764" s="9"/>
      <c r="F764" s="9"/>
      <c r="G764" s="9"/>
      <c r="H764" s="94"/>
      <c r="I764" s="9"/>
      <c r="J764" s="9"/>
      <c r="K764" s="9"/>
      <c r="L764" s="9"/>
    </row>
    <row r="765" spans="1:12">
      <c r="A765" s="14"/>
      <c r="B765" s="9"/>
      <c r="C765" s="9"/>
      <c r="D765" s="9"/>
      <c r="E765" s="9"/>
      <c r="F765" s="9"/>
      <c r="G765" s="9"/>
      <c r="H765" s="94"/>
      <c r="I765" s="9"/>
      <c r="J765" s="9"/>
      <c r="K765" s="9"/>
      <c r="L765" s="9"/>
    </row>
    <row r="766" spans="1:12">
      <c r="A766" s="14"/>
      <c r="B766" s="9"/>
      <c r="C766" s="9"/>
      <c r="D766" s="9"/>
      <c r="E766" s="9"/>
      <c r="F766" s="9"/>
      <c r="G766" s="9"/>
      <c r="H766" s="94"/>
      <c r="I766" s="9"/>
      <c r="J766" s="9"/>
      <c r="K766" s="9"/>
      <c r="L766" s="9"/>
    </row>
    <row r="767" spans="1:12">
      <c r="A767" s="14"/>
      <c r="B767" s="9"/>
      <c r="C767" s="9"/>
      <c r="D767" s="9"/>
      <c r="E767" s="9"/>
      <c r="F767" s="9"/>
      <c r="G767" s="9"/>
      <c r="H767" s="94"/>
      <c r="I767" s="9"/>
      <c r="J767" s="9"/>
      <c r="K767" s="9"/>
      <c r="L767" s="9"/>
    </row>
    <row r="768" spans="1:12">
      <c r="A768" s="14"/>
      <c r="B768" s="9"/>
      <c r="C768" s="9"/>
      <c r="D768" s="9"/>
      <c r="E768" s="9"/>
      <c r="F768" s="9"/>
      <c r="G768" s="9"/>
      <c r="H768" s="94"/>
      <c r="I768" s="9"/>
      <c r="J768" s="9"/>
      <c r="K768" s="9"/>
      <c r="L768" s="9"/>
    </row>
    <row r="769" spans="1:12">
      <c r="A769" s="14"/>
      <c r="B769" s="9"/>
      <c r="C769" s="9"/>
      <c r="D769" s="9"/>
      <c r="E769" s="9"/>
      <c r="F769" s="9"/>
      <c r="G769" s="9"/>
      <c r="H769" s="94"/>
      <c r="I769" s="9"/>
      <c r="J769" s="9"/>
      <c r="K769" s="9"/>
      <c r="L769" s="9"/>
    </row>
    <row r="770" spans="1:12">
      <c r="A770" s="14"/>
      <c r="B770" s="9"/>
      <c r="C770" s="9"/>
      <c r="D770" s="9"/>
      <c r="E770" s="9"/>
      <c r="F770" s="9"/>
      <c r="G770" s="9"/>
      <c r="H770" s="94"/>
      <c r="I770" s="9"/>
      <c r="J770" s="9"/>
      <c r="K770" s="9"/>
      <c r="L770" s="9"/>
    </row>
    <row r="771" spans="1:12">
      <c r="A771" s="14"/>
      <c r="B771" s="9"/>
      <c r="C771" s="9"/>
      <c r="D771" s="9"/>
      <c r="E771" s="9"/>
      <c r="F771" s="9"/>
      <c r="G771" s="9"/>
      <c r="H771" s="94"/>
      <c r="I771" s="9"/>
      <c r="J771" s="9"/>
      <c r="K771" s="9"/>
      <c r="L771" s="9"/>
    </row>
    <row r="772" spans="1:12">
      <c r="A772" s="14"/>
      <c r="B772" s="9"/>
      <c r="C772" s="9"/>
      <c r="D772" s="9"/>
      <c r="E772" s="9"/>
      <c r="F772" s="9"/>
      <c r="G772" s="9"/>
      <c r="H772" s="94"/>
      <c r="I772" s="9"/>
      <c r="J772" s="9"/>
      <c r="K772" s="9"/>
      <c r="L772" s="9"/>
    </row>
    <row r="773" spans="1:12">
      <c r="A773" s="14"/>
      <c r="B773" s="9"/>
      <c r="C773" s="9"/>
      <c r="D773" s="9"/>
      <c r="E773" s="9"/>
      <c r="F773" s="9"/>
      <c r="G773" s="9"/>
      <c r="H773" s="94"/>
      <c r="I773" s="9"/>
      <c r="J773" s="9"/>
      <c r="K773" s="9"/>
      <c r="L773" s="9"/>
    </row>
    <row r="774" spans="1:12">
      <c r="A774" s="14"/>
      <c r="B774" s="9"/>
      <c r="C774" s="9"/>
      <c r="D774" s="9"/>
      <c r="E774" s="9"/>
      <c r="F774" s="9"/>
      <c r="G774" s="9"/>
      <c r="H774" s="94"/>
      <c r="I774" s="9"/>
      <c r="J774" s="9"/>
      <c r="K774" s="9"/>
      <c r="L774" s="9"/>
    </row>
    <row r="775" spans="1:12">
      <c r="A775" s="14"/>
      <c r="B775" s="9"/>
      <c r="C775" s="9"/>
      <c r="D775" s="9"/>
      <c r="E775" s="9"/>
      <c r="F775" s="9"/>
      <c r="G775" s="9"/>
      <c r="H775" s="94"/>
      <c r="I775" s="9"/>
      <c r="J775" s="9"/>
      <c r="K775" s="9"/>
      <c r="L775" s="9"/>
    </row>
    <row r="776" spans="1:12">
      <c r="A776" s="14"/>
      <c r="B776" s="9"/>
      <c r="C776" s="9"/>
      <c r="D776" s="9"/>
      <c r="E776" s="9"/>
      <c r="F776" s="9"/>
      <c r="G776" s="9"/>
      <c r="H776" s="94"/>
      <c r="I776" s="9"/>
      <c r="J776" s="9"/>
      <c r="K776" s="9"/>
      <c r="L776" s="9"/>
    </row>
    <row r="777" spans="1:12">
      <c r="A777" s="14"/>
      <c r="B777" s="9"/>
      <c r="C777" s="9"/>
      <c r="D777" s="9"/>
      <c r="E777" s="9"/>
      <c r="F777" s="9"/>
      <c r="G777" s="9"/>
      <c r="H777" s="94"/>
      <c r="I777" s="9"/>
      <c r="J777" s="9"/>
      <c r="K777" s="9"/>
      <c r="L777" s="9"/>
    </row>
    <row r="778" spans="1:12">
      <c r="A778" s="14"/>
      <c r="B778" s="9"/>
      <c r="C778" s="9"/>
      <c r="D778" s="9"/>
      <c r="E778" s="9"/>
      <c r="F778" s="9"/>
      <c r="G778" s="9"/>
      <c r="H778" s="94"/>
      <c r="I778" s="9"/>
      <c r="J778" s="9"/>
      <c r="K778" s="9"/>
      <c r="L778" s="9"/>
    </row>
    <row r="779" spans="1:12">
      <c r="A779" s="14"/>
      <c r="B779" s="9"/>
      <c r="C779" s="9"/>
      <c r="D779" s="9"/>
      <c r="E779" s="9"/>
      <c r="F779" s="9"/>
      <c r="G779" s="9"/>
      <c r="H779" s="94"/>
      <c r="I779" s="9"/>
      <c r="J779" s="9"/>
      <c r="K779" s="9"/>
      <c r="L779" s="9"/>
    </row>
    <row r="780" spans="1:12">
      <c r="A780" s="14"/>
      <c r="B780" s="9"/>
      <c r="C780" s="9"/>
      <c r="D780" s="9"/>
      <c r="E780" s="9"/>
      <c r="F780" s="9"/>
      <c r="G780" s="9"/>
      <c r="H780" s="94"/>
      <c r="I780" s="9"/>
      <c r="J780" s="9"/>
      <c r="K780" s="9"/>
      <c r="L780" s="9"/>
    </row>
    <row r="781" spans="1:12">
      <c r="A781" s="14"/>
      <c r="B781" s="9"/>
      <c r="C781" s="9"/>
      <c r="D781" s="9"/>
      <c r="E781" s="9"/>
      <c r="F781" s="9"/>
      <c r="G781" s="9"/>
      <c r="H781" s="94"/>
      <c r="I781" s="9"/>
      <c r="J781" s="9"/>
      <c r="K781" s="9"/>
      <c r="L781" s="9"/>
    </row>
    <row r="782" spans="1:12">
      <c r="A782" s="14"/>
      <c r="B782" s="9"/>
      <c r="C782" s="9"/>
      <c r="D782" s="9"/>
      <c r="E782" s="9"/>
      <c r="F782" s="9"/>
      <c r="G782" s="9"/>
      <c r="H782" s="94"/>
      <c r="I782" s="9"/>
      <c r="J782" s="9"/>
      <c r="K782" s="9"/>
      <c r="L782" s="9"/>
    </row>
    <row r="783" spans="1:12">
      <c r="A783" s="14"/>
      <c r="B783" s="9"/>
      <c r="C783" s="9"/>
      <c r="D783" s="9"/>
      <c r="E783" s="9"/>
      <c r="F783" s="9"/>
      <c r="G783" s="9"/>
      <c r="H783" s="94"/>
      <c r="I783" s="9"/>
      <c r="J783" s="9"/>
      <c r="K783" s="9"/>
      <c r="L783" s="9"/>
    </row>
    <row r="784" spans="1:12">
      <c r="A784" s="14"/>
      <c r="B784" s="9"/>
      <c r="C784" s="9"/>
      <c r="D784" s="9"/>
      <c r="E784" s="9"/>
      <c r="F784" s="9"/>
      <c r="G784" s="9"/>
      <c r="H784" s="94"/>
      <c r="I784" s="9"/>
      <c r="J784" s="9"/>
      <c r="K784" s="9"/>
      <c r="L784" s="9"/>
    </row>
    <row r="785" spans="1:12">
      <c r="A785" s="14"/>
      <c r="B785" s="9"/>
      <c r="C785" s="9"/>
      <c r="D785" s="9"/>
      <c r="E785" s="9"/>
      <c r="F785" s="9"/>
      <c r="G785" s="9"/>
      <c r="H785" s="94"/>
      <c r="I785" s="9"/>
      <c r="J785" s="9"/>
      <c r="K785" s="9"/>
      <c r="L785" s="9"/>
    </row>
    <row r="786" spans="1:12">
      <c r="A786" s="14"/>
      <c r="B786" s="9"/>
      <c r="C786" s="9"/>
      <c r="D786" s="9"/>
      <c r="E786" s="9"/>
      <c r="F786" s="9"/>
      <c r="G786" s="9"/>
      <c r="H786" s="94"/>
      <c r="I786" s="9"/>
      <c r="J786" s="9"/>
      <c r="K786" s="9"/>
      <c r="L786" s="9"/>
    </row>
    <row r="787" spans="1:12">
      <c r="A787" s="14"/>
      <c r="B787" s="9"/>
      <c r="C787" s="9"/>
      <c r="D787" s="9"/>
      <c r="E787" s="9"/>
      <c r="F787" s="9"/>
      <c r="G787" s="9"/>
      <c r="H787" s="94"/>
      <c r="I787" s="9"/>
      <c r="J787" s="9"/>
      <c r="K787" s="9"/>
      <c r="L787" s="9"/>
    </row>
    <row r="788" spans="1:12">
      <c r="A788" s="14"/>
      <c r="B788" s="9"/>
      <c r="C788" s="9"/>
      <c r="D788" s="9"/>
      <c r="E788" s="9"/>
      <c r="F788" s="9"/>
      <c r="G788" s="9"/>
      <c r="H788" s="94"/>
      <c r="I788" s="9"/>
      <c r="J788" s="9"/>
      <c r="K788" s="9"/>
      <c r="L788" s="9"/>
    </row>
    <row r="789" spans="1:12">
      <c r="A789" s="14"/>
      <c r="B789" s="9"/>
      <c r="C789" s="9"/>
      <c r="D789" s="9"/>
      <c r="E789" s="9"/>
      <c r="F789" s="9"/>
      <c r="G789" s="9"/>
      <c r="H789" s="94"/>
      <c r="I789" s="9"/>
      <c r="J789" s="9"/>
      <c r="K789" s="9"/>
      <c r="L789" s="9"/>
    </row>
    <row r="790" spans="1:12">
      <c r="A790" s="14"/>
      <c r="B790" s="9"/>
      <c r="C790" s="9"/>
      <c r="D790" s="9"/>
      <c r="E790" s="9"/>
      <c r="F790" s="9"/>
      <c r="G790" s="9"/>
      <c r="H790" s="94"/>
      <c r="I790" s="9"/>
      <c r="J790" s="9"/>
      <c r="K790" s="9"/>
      <c r="L790" s="9"/>
    </row>
    <row r="791" spans="1:12">
      <c r="A791" s="14"/>
      <c r="B791" s="9"/>
      <c r="C791" s="9"/>
      <c r="D791" s="9"/>
      <c r="E791" s="9"/>
      <c r="F791" s="9"/>
      <c r="G791" s="9"/>
      <c r="H791" s="94"/>
      <c r="I791" s="9"/>
      <c r="J791" s="9"/>
      <c r="K791" s="9"/>
      <c r="L791" s="9"/>
    </row>
    <row r="792" spans="1:12">
      <c r="A792" s="14"/>
      <c r="B792" s="9"/>
      <c r="C792" s="9"/>
      <c r="D792" s="9"/>
      <c r="E792" s="9"/>
      <c r="F792" s="9"/>
      <c r="G792" s="9"/>
      <c r="H792" s="94"/>
      <c r="I792" s="9"/>
      <c r="J792" s="9"/>
      <c r="K792" s="9"/>
      <c r="L792" s="9"/>
    </row>
    <row r="793" spans="1:12">
      <c r="A793" s="14"/>
      <c r="B793" s="9"/>
      <c r="C793" s="9"/>
      <c r="D793" s="9"/>
      <c r="E793" s="9"/>
      <c r="F793" s="9"/>
      <c r="G793" s="9"/>
      <c r="H793" s="94"/>
      <c r="I793" s="9"/>
      <c r="J793" s="9"/>
      <c r="K793" s="9"/>
      <c r="L793" s="9"/>
    </row>
    <row r="794" spans="1:12">
      <c r="A794" s="14"/>
      <c r="B794" s="9"/>
      <c r="C794" s="9"/>
      <c r="D794" s="9"/>
      <c r="E794" s="9"/>
      <c r="F794" s="9"/>
      <c r="G794" s="9"/>
      <c r="H794" s="94"/>
      <c r="I794" s="9"/>
      <c r="J794" s="9"/>
      <c r="K794" s="9"/>
      <c r="L794" s="9"/>
    </row>
    <row r="795" spans="1:12">
      <c r="A795" s="14"/>
      <c r="B795" s="9"/>
      <c r="C795" s="9"/>
      <c r="D795" s="9"/>
      <c r="E795" s="9"/>
      <c r="F795" s="9"/>
      <c r="G795" s="9"/>
      <c r="H795" s="94"/>
      <c r="I795" s="9"/>
      <c r="J795" s="9"/>
      <c r="K795" s="9"/>
      <c r="L795" s="9"/>
    </row>
    <row r="796" spans="1:12">
      <c r="A796" s="14"/>
      <c r="B796" s="9"/>
      <c r="C796" s="9"/>
      <c r="D796" s="9"/>
      <c r="E796" s="9"/>
      <c r="F796" s="9"/>
      <c r="G796" s="9"/>
      <c r="H796" s="94"/>
      <c r="I796" s="9"/>
      <c r="J796" s="9"/>
      <c r="K796" s="9"/>
      <c r="L796" s="9"/>
    </row>
    <row r="797" spans="1:12">
      <c r="A797" s="14"/>
      <c r="B797" s="9"/>
      <c r="C797" s="9"/>
      <c r="D797" s="9"/>
      <c r="E797" s="9"/>
      <c r="F797" s="9"/>
      <c r="G797" s="9"/>
      <c r="H797" s="94"/>
      <c r="I797" s="9"/>
      <c r="J797" s="9"/>
      <c r="K797" s="9"/>
      <c r="L797" s="9"/>
    </row>
    <row r="798" spans="1:12">
      <c r="A798" s="14"/>
      <c r="B798" s="9"/>
      <c r="C798" s="9"/>
      <c r="D798" s="9"/>
      <c r="E798" s="9"/>
      <c r="F798" s="9"/>
      <c r="G798" s="9"/>
      <c r="H798" s="94"/>
      <c r="I798" s="9"/>
      <c r="J798" s="9"/>
      <c r="K798" s="9"/>
      <c r="L798" s="9"/>
    </row>
    <row r="799" spans="1:12">
      <c r="A799" s="14"/>
      <c r="B799" s="9"/>
      <c r="C799" s="9"/>
      <c r="D799" s="9"/>
      <c r="E799" s="9"/>
      <c r="F799" s="9"/>
      <c r="G799" s="9"/>
      <c r="H799" s="94"/>
      <c r="I799" s="9"/>
      <c r="J799" s="9"/>
      <c r="K799" s="9"/>
      <c r="L799" s="9"/>
    </row>
    <row r="800" spans="1:12">
      <c r="A800" s="14"/>
      <c r="B800" s="9"/>
      <c r="C800" s="9"/>
      <c r="D800" s="9"/>
      <c r="E800" s="9"/>
      <c r="F800" s="9"/>
      <c r="G800" s="9"/>
      <c r="H800" s="94"/>
      <c r="I800" s="9"/>
      <c r="J800" s="9"/>
      <c r="K800" s="9"/>
      <c r="L800" s="9"/>
    </row>
    <row r="801" spans="1:12">
      <c r="A801" s="14"/>
      <c r="B801" s="9"/>
      <c r="C801" s="9"/>
      <c r="D801" s="9"/>
      <c r="E801" s="9"/>
      <c r="F801" s="9"/>
      <c r="G801" s="9"/>
      <c r="H801" s="94"/>
      <c r="I801" s="9"/>
      <c r="J801" s="9"/>
      <c r="K801" s="9"/>
      <c r="L801" s="9"/>
    </row>
    <row r="802" spans="1:12">
      <c r="A802" s="14"/>
      <c r="B802" s="9"/>
      <c r="C802" s="9"/>
      <c r="D802" s="9"/>
      <c r="E802" s="9"/>
      <c r="F802" s="9"/>
      <c r="G802" s="9"/>
      <c r="H802" s="94"/>
      <c r="I802" s="9"/>
      <c r="J802" s="9"/>
      <c r="K802" s="9"/>
      <c r="L802" s="9"/>
    </row>
    <row r="803" spans="1:12">
      <c r="A803" s="14"/>
      <c r="B803" s="9"/>
      <c r="C803" s="9"/>
      <c r="D803" s="9"/>
      <c r="E803" s="9"/>
      <c r="F803" s="9"/>
      <c r="G803" s="9"/>
      <c r="H803" s="94"/>
      <c r="I803" s="9"/>
      <c r="J803" s="9"/>
      <c r="K803" s="9"/>
      <c r="L803" s="9"/>
    </row>
    <row r="804" spans="1:12">
      <c r="A804" s="14"/>
      <c r="B804" s="9"/>
      <c r="C804" s="9"/>
      <c r="D804" s="9"/>
      <c r="E804" s="9"/>
      <c r="F804" s="9"/>
      <c r="G804" s="9"/>
      <c r="H804" s="94"/>
      <c r="I804" s="9"/>
      <c r="J804" s="9"/>
      <c r="K804" s="9"/>
      <c r="L804" s="9"/>
    </row>
    <row r="805" spans="1:12">
      <c r="A805" s="14"/>
      <c r="B805" s="9"/>
      <c r="C805" s="9"/>
      <c r="D805" s="9"/>
      <c r="E805" s="9"/>
      <c r="F805" s="9"/>
      <c r="G805" s="9"/>
      <c r="H805" s="94"/>
      <c r="I805" s="9"/>
      <c r="J805" s="9"/>
      <c r="K805" s="9"/>
      <c r="L805" s="9"/>
    </row>
    <row r="806" spans="1:12">
      <c r="A806" s="14"/>
      <c r="B806" s="9"/>
      <c r="C806" s="9"/>
      <c r="D806" s="9"/>
      <c r="E806" s="9"/>
      <c r="F806" s="9"/>
      <c r="G806" s="9"/>
      <c r="H806" s="94"/>
      <c r="I806" s="9"/>
      <c r="J806" s="9"/>
      <c r="K806" s="9"/>
      <c r="L806" s="9"/>
    </row>
    <row r="807" spans="1:12">
      <c r="A807" s="14"/>
      <c r="B807" s="9"/>
      <c r="C807" s="9"/>
      <c r="D807" s="9"/>
      <c r="E807" s="9"/>
      <c r="F807" s="9"/>
      <c r="G807" s="9"/>
      <c r="H807" s="94"/>
      <c r="I807" s="9"/>
      <c r="J807" s="9"/>
      <c r="K807" s="9"/>
      <c r="L807" s="9"/>
    </row>
    <row r="808" spans="1:12">
      <c r="A808" s="14"/>
      <c r="B808" s="9"/>
      <c r="C808" s="9"/>
      <c r="D808" s="9"/>
      <c r="E808" s="9"/>
      <c r="F808" s="9"/>
      <c r="G808" s="9"/>
      <c r="H808" s="94"/>
      <c r="I808" s="9"/>
      <c r="J808" s="9"/>
      <c r="K808" s="9"/>
      <c r="L808" s="9"/>
    </row>
    <row r="809" spans="1:12">
      <c r="A809" s="14"/>
      <c r="B809" s="9"/>
      <c r="C809" s="9"/>
      <c r="D809" s="9"/>
      <c r="E809" s="9"/>
      <c r="F809" s="9"/>
      <c r="G809" s="9"/>
      <c r="H809" s="94"/>
      <c r="I809" s="9"/>
      <c r="J809" s="9"/>
      <c r="K809" s="9"/>
      <c r="L809" s="9"/>
    </row>
    <row r="810" spans="1:12">
      <c r="A810" s="14"/>
      <c r="B810" s="9"/>
      <c r="C810" s="9"/>
      <c r="D810" s="9"/>
      <c r="E810" s="9"/>
      <c r="F810" s="9"/>
      <c r="G810" s="9"/>
      <c r="H810" s="94"/>
      <c r="I810" s="9"/>
      <c r="J810" s="9"/>
      <c r="K810" s="9"/>
      <c r="L810" s="9"/>
    </row>
    <row r="811" spans="1:12">
      <c r="A811" s="14"/>
      <c r="B811" s="9"/>
      <c r="C811" s="9"/>
      <c r="D811" s="9"/>
      <c r="E811" s="9"/>
      <c r="F811" s="9"/>
      <c r="G811" s="9"/>
      <c r="H811" s="94"/>
      <c r="I811" s="9"/>
      <c r="J811" s="9"/>
      <c r="K811" s="9"/>
      <c r="L811" s="9"/>
    </row>
    <row r="812" spans="1:12">
      <c r="A812" s="14"/>
      <c r="B812" s="9"/>
      <c r="C812" s="9"/>
      <c r="D812" s="9"/>
      <c r="E812" s="9"/>
      <c r="F812" s="9"/>
      <c r="G812" s="9"/>
      <c r="H812" s="94"/>
      <c r="I812" s="9"/>
      <c r="J812" s="9"/>
      <c r="K812" s="9"/>
      <c r="L812" s="9"/>
    </row>
    <row r="813" spans="1:12">
      <c r="A813" s="14"/>
      <c r="B813" s="9"/>
      <c r="C813" s="9"/>
      <c r="D813" s="9"/>
      <c r="E813" s="9"/>
      <c r="F813" s="9"/>
      <c r="G813" s="9"/>
      <c r="H813" s="94"/>
      <c r="I813" s="9"/>
      <c r="J813" s="9"/>
      <c r="K813" s="9"/>
      <c r="L813" s="9"/>
    </row>
    <row r="814" spans="1:12">
      <c r="A814" s="14"/>
      <c r="B814" s="9"/>
      <c r="C814" s="9"/>
      <c r="D814" s="9"/>
      <c r="E814" s="9"/>
      <c r="F814" s="9"/>
      <c r="G814" s="9"/>
      <c r="H814" s="94"/>
      <c r="I814" s="9"/>
      <c r="J814" s="9"/>
      <c r="K814" s="9"/>
      <c r="L814" s="9"/>
    </row>
    <row r="815" spans="1:12">
      <c r="A815" s="14"/>
      <c r="B815" s="9"/>
      <c r="C815" s="9"/>
      <c r="D815" s="9"/>
      <c r="E815" s="9"/>
      <c r="F815" s="9"/>
      <c r="G815" s="9"/>
      <c r="H815" s="94"/>
      <c r="I815" s="9"/>
      <c r="J815" s="9"/>
      <c r="K815" s="9"/>
      <c r="L815" s="9"/>
    </row>
    <row r="816" spans="1:12">
      <c r="A816" s="14"/>
      <c r="B816" s="9"/>
      <c r="C816" s="9"/>
      <c r="D816" s="9"/>
      <c r="E816" s="9"/>
      <c r="F816" s="9"/>
      <c r="G816" s="9"/>
      <c r="H816" s="94"/>
      <c r="I816" s="9"/>
      <c r="J816" s="9"/>
      <c r="K816" s="9"/>
      <c r="L816" s="9"/>
    </row>
    <row r="817" spans="1:12">
      <c r="A817" s="14"/>
      <c r="B817" s="9"/>
      <c r="C817" s="9"/>
      <c r="D817" s="9"/>
      <c r="E817" s="9"/>
      <c r="F817" s="9"/>
      <c r="G817" s="9"/>
      <c r="H817" s="94"/>
      <c r="I817" s="9"/>
      <c r="J817" s="9"/>
      <c r="K817" s="9"/>
      <c r="L817" s="9"/>
    </row>
    <row r="818" spans="1:12">
      <c r="A818" s="14"/>
      <c r="B818" s="9"/>
      <c r="C818" s="9"/>
      <c r="D818" s="9"/>
      <c r="E818" s="9"/>
      <c r="F818" s="9"/>
      <c r="G818" s="9"/>
      <c r="H818" s="94"/>
      <c r="I818" s="9"/>
      <c r="J818" s="9"/>
      <c r="K818" s="9"/>
      <c r="L818" s="9"/>
    </row>
    <row r="819" spans="1:12">
      <c r="A819" s="14"/>
      <c r="B819" s="9"/>
      <c r="C819" s="9"/>
      <c r="D819" s="9"/>
      <c r="E819" s="9"/>
      <c r="F819" s="9"/>
      <c r="G819" s="9"/>
      <c r="H819" s="94"/>
      <c r="I819" s="9"/>
      <c r="J819" s="9"/>
      <c r="K819" s="9"/>
      <c r="L819" s="9"/>
    </row>
    <row r="820" spans="1:12">
      <c r="A820" s="14"/>
      <c r="B820" s="9"/>
      <c r="C820" s="9"/>
      <c r="D820" s="9"/>
      <c r="E820" s="9"/>
      <c r="F820" s="9"/>
      <c r="G820" s="9"/>
      <c r="H820" s="94"/>
      <c r="I820" s="9"/>
      <c r="J820" s="9"/>
      <c r="K820" s="9"/>
      <c r="L820" s="9"/>
    </row>
    <row r="821" spans="1:12">
      <c r="A821" s="14"/>
      <c r="B821" s="9"/>
      <c r="C821" s="9"/>
      <c r="D821" s="9"/>
      <c r="E821" s="9"/>
      <c r="F821" s="9"/>
      <c r="G821" s="9"/>
      <c r="H821" s="94"/>
      <c r="I821" s="9"/>
      <c r="J821" s="9"/>
      <c r="K821" s="9"/>
      <c r="L821" s="9"/>
    </row>
    <row r="822" spans="1:12">
      <c r="A822" s="14"/>
      <c r="B822" s="9"/>
      <c r="C822" s="9"/>
      <c r="D822" s="9"/>
      <c r="E822" s="9"/>
      <c r="F822" s="9"/>
      <c r="G822" s="9"/>
      <c r="H822" s="94"/>
      <c r="I822" s="9"/>
      <c r="J822" s="9"/>
      <c r="K822" s="9"/>
      <c r="L822" s="9"/>
    </row>
    <row r="823" spans="1:12">
      <c r="A823" s="14"/>
      <c r="B823" s="9"/>
      <c r="C823" s="9"/>
      <c r="D823" s="9"/>
      <c r="E823" s="9"/>
      <c r="F823" s="9"/>
      <c r="G823" s="9"/>
      <c r="H823" s="94"/>
      <c r="I823" s="9"/>
      <c r="J823" s="9"/>
      <c r="K823" s="9"/>
      <c r="L823" s="9"/>
    </row>
    <row r="824" spans="1:12">
      <c r="A824" s="14"/>
      <c r="B824" s="9"/>
      <c r="C824" s="9"/>
      <c r="D824" s="9"/>
      <c r="E824" s="9"/>
      <c r="F824" s="9"/>
      <c r="G824" s="9"/>
      <c r="H824" s="94"/>
      <c r="I824" s="9"/>
      <c r="J824" s="9"/>
      <c r="K824" s="9"/>
      <c r="L824" s="9"/>
    </row>
    <row r="825" spans="1:12">
      <c r="A825" s="14"/>
      <c r="B825" s="9"/>
      <c r="C825" s="9"/>
      <c r="D825" s="9"/>
      <c r="E825" s="9"/>
      <c r="F825" s="9"/>
      <c r="G825" s="9"/>
      <c r="H825" s="94"/>
      <c r="I825" s="9"/>
      <c r="J825" s="9"/>
      <c r="K825" s="9"/>
      <c r="L825" s="9"/>
    </row>
    <row r="826" spans="1:12">
      <c r="A826" s="14"/>
      <c r="B826" s="9"/>
      <c r="C826" s="9"/>
      <c r="D826" s="9"/>
      <c r="E826" s="9"/>
      <c r="F826" s="9"/>
      <c r="G826" s="9"/>
      <c r="H826" s="94"/>
      <c r="I826" s="9"/>
      <c r="J826" s="9"/>
      <c r="K826" s="9"/>
      <c r="L826" s="9"/>
    </row>
    <row r="827" spans="1:12">
      <c r="A827" s="14"/>
      <c r="B827" s="9"/>
      <c r="C827" s="9"/>
      <c r="D827" s="9"/>
      <c r="E827" s="9"/>
      <c r="F827" s="9"/>
      <c r="G827" s="9"/>
      <c r="H827" s="94"/>
      <c r="I827" s="9"/>
      <c r="J827" s="9"/>
      <c r="K827" s="9"/>
      <c r="L827" s="9"/>
    </row>
    <row r="828" spans="1:12">
      <c r="A828" s="14"/>
      <c r="B828" s="9"/>
      <c r="C828" s="9"/>
      <c r="D828" s="9"/>
      <c r="E828" s="9"/>
      <c r="F828" s="9"/>
      <c r="G828" s="9"/>
      <c r="H828" s="94"/>
      <c r="I828" s="9"/>
      <c r="J828" s="9"/>
      <c r="K828" s="9"/>
      <c r="L828" s="9"/>
    </row>
    <row r="829" spans="1:12">
      <c r="A829" s="14"/>
      <c r="B829" s="9"/>
      <c r="C829" s="9"/>
      <c r="D829" s="9"/>
      <c r="E829" s="9"/>
      <c r="F829" s="9"/>
      <c r="G829" s="9"/>
      <c r="H829" s="94"/>
      <c r="I829" s="9"/>
      <c r="J829" s="9"/>
      <c r="K829" s="9"/>
      <c r="L829" s="9"/>
    </row>
    <row r="830" spans="1:12">
      <c r="A830" s="14"/>
      <c r="B830" s="9"/>
      <c r="C830" s="9"/>
      <c r="D830" s="9"/>
      <c r="E830" s="9"/>
      <c r="F830" s="9"/>
      <c r="G830" s="9"/>
      <c r="H830" s="94"/>
      <c r="I830" s="9"/>
      <c r="J830" s="9"/>
      <c r="K830" s="9"/>
      <c r="L830" s="9"/>
    </row>
    <row r="831" spans="1:12">
      <c r="A831" s="14"/>
      <c r="B831" s="9"/>
      <c r="C831" s="9"/>
      <c r="D831" s="9"/>
      <c r="E831" s="9"/>
      <c r="F831" s="9"/>
      <c r="G831" s="9"/>
      <c r="H831" s="94"/>
      <c r="I831" s="9"/>
      <c r="J831" s="9"/>
      <c r="K831" s="9"/>
      <c r="L831" s="9"/>
    </row>
    <row r="832" spans="1:12">
      <c r="A832" s="14"/>
      <c r="B832" s="9"/>
      <c r="C832" s="9"/>
      <c r="D832" s="9"/>
      <c r="E832" s="9"/>
      <c r="F832" s="9"/>
      <c r="G832" s="9"/>
      <c r="H832" s="94"/>
      <c r="I832" s="9"/>
      <c r="J832" s="9"/>
      <c r="K832" s="9"/>
      <c r="L832" s="9"/>
    </row>
    <row r="833" spans="1:12">
      <c r="A833" s="14"/>
      <c r="B833" s="9"/>
      <c r="C833" s="9"/>
      <c r="D833" s="9"/>
      <c r="E833" s="9"/>
      <c r="F833" s="9"/>
      <c r="G833" s="9"/>
      <c r="H833" s="94"/>
      <c r="I833" s="9"/>
      <c r="J833" s="9"/>
      <c r="K833" s="9"/>
      <c r="L833" s="9"/>
    </row>
    <row r="834" spans="1:12">
      <c r="A834" s="14"/>
      <c r="B834" s="9"/>
      <c r="C834" s="9"/>
      <c r="D834" s="9"/>
      <c r="E834" s="9"/>
      <c r="F834" s="9"/>
      <c r="G834" s="9"/>
      <c r="H834" s="94"/>
      <c r="I834" s="9"/>
      <c r="J834" s="9"/>
      <c r="K834" s="9"/>
      <c r="L834" s="9"/>
    </row>
    <row r="835" spans="1:12">
      <c r="A835" s="14"/>
      <c r="B835" s="9"/>
      <c r="C835" s="9"/>
      <c r="D835" s="9"/>
      <c r="E835" s="9"/>
      <c r="F835" s="9"/>
      <c r="G835" s="9"/>
      <c r="H835" s="94"/>
      <c r="I835" s="9"/>
      <c r="J835" s="9"/>
      <c r="K835" s="9"/>
      <c r="L835" s="9"/>
    </row>
    <row r="836" spans="1:12">
      <c r="A836" s="14"/>
      <c r="B836" s="9"/>
      <c r="C836" s="9"/>
      <c r="D836" s="9"/>
      <c r="E836" s="9"/>
      <c r="F836" s="9"/>
      <c r="G836" s="9"/>
      <c r="H836" s="94"/>
      <c r="I836" s="9"/>
      <c r="J836" s="9"/>
      <c r="K836" s="9"/>
      <c r="L836" s="9"/>
    </row>
    <row r="837" spans="1:12">
      <c r="A837" s="14"/>
      <c r="B837" s="9"/>
      <c r="C837" s="9"/>
      <c r="D837" s="9"/>
      <c r="E837" s="9"/>
      <c r="F837" s="9"/>
      <c r="G837" s="9"/>
      <c r="H837" s="94"/>
      <c r="I837" s="9"/>
      <c r="J837" s="9"/>
      <c r="K837" s="9"/>
      <c r="L837" s="9"/>
    </row>
    <row r="838" spans="1:12">
      <c r="A838" s="14"/>
      <c r="B838" s="9"/>
      <c r="C838" s="9"/>
      <c r="D838" s="9"/>
      <c r="E838" s="9"/>
      <c r="F838" s="9"/>
      <c r="G838" s="9"/>
      <c r="H838" s="94"/>
      <c r="I838" s="9"/>
      <c r="J838" s="9"/>
      <c r="K838" s="9"/>
      <c r="L838" s="9"/>
    </row>
    <row r="839" spans="1:12">
      <c r="A839" s="14"/>
      <c r="B839" s="9"/>
      <c r="C839" s="9"/>
      <c r="D839" s="9"/>
      <c r="E839" s="9"/>
      <c r="F839" s="9"/>
      <c r="G839" s="9"/>
      <c r="H839" s="94"/>
      <c r="I839" s="9"/>
      <c r="J839" s="9"/>
      <c r="K839" s="9"/>
      <c r="L839" s="9"/>
    </row>
    <row r="840" spans="1:12">
      <c r="A840" s="14"/>
      <c r="B840" s="9"/>
      <c r="C840" s="9"/>
      <c r="D840" s="9"/>
      <c r="E840" s="9"/>
      <c r="F840" s="9"/>
      <c r="G840" s="9"/>
      <c r="H840" s="94"/>
      <c r="I840" s="9"/>
      <c r="J840" s="9"/>
      <c r="K840" s="9"/>
      <c r="L840" s="9"/>
    </row>
    <row r="841" spans="1:12">
      <c r="A841" s="14"/>
      <c r="B841" s="9"/>
      <c r="C841" s="9"/>
      <c r="D841" s="9"/>
      <c r="E841" s="9"/>
      <c r="F841" s="9"/>
      <c r="G841" s="9"/>
      <c r="H841" s="94"/>
      <c r="I841" s="9"/>
      <c r="J841" s="9"/>
      <c r="K841" s="9"/>
      <c r="L841" s="9"/>
    </row>
    <row r="842" spans="1:12">
      <c r="A842" s="14"/>
      <c r="B842" s="9"/>
      <c r="C842" s="9"/>
      <c r="D842" s="9"/>
      <c r="E842" s="9"/>
      <c r="F842" s="9"/>
      <c r="G842" s="9"/>
      <c r="H842" s="94"/>
      <c r="I842" s="9"/>
      <c r="J842" s="9"/>
      <c r="K842" s="9"/>
      <c r="L842" s="9"/>
    </row>
    <row r="843" spans="1:12">
      <c r="A843" s="14"/>
      <c r="B843" s="9"/>
      <c r="C843" s="9"/>
      <c r="D843" s="9"/>
      <c r="E843" s="9"/>
      <c r="F843" s="9"/>
      <c r="G843" s="9"/>
      <c r="H843" s="94"/>
      <c r="I843" s="9"/>
      <c r="J843" s="9"/>
      <c r="K843" s="9"/>
      <c r="L843" s="9"/>
    </row>
    <row r="844" spans="1:12">
      <c r="A844" s="14"/>
      <c r="B844" s="9"/>
      <c r="C844" s="9"/>
      <c r="D844" s="9"/>
      <c r="E844" s="9"/>
      <c r="F844" s="9"/>
      <c r="G844" s="9"/>
      <c r="H844" s="94"/>
      <c r="I844" s="9"/>
      <c r="J844" s="9"/>
      <c r="K844" s="9"/>
      <c r="L844" s="9"/>
    </row>
    <row r="845" spans="1:12">
      <c r="A845" s="14"/>
      <c r="B845" s="9"/>
      <c r="C845" s="9"/>
      <c r="D845" s="9"/>
      <c r="E845" s="9"/>
      <c r="F845" s="9"/>
      <c r="G845" s="9"/>
      <c r="H845" s="94"/>
      <c r="I845" s="9"/>
      <c r="J845" s="9"/>
      <c r="K845" s="9"/>
      <c r="L845" s="9"/>
    </row>
    <row r="846" spans="1:12">
      <c r="A846" s="14"/>
      <c r="B846" s="9"/>
      <c r="C846" s="9"/>
      <c r="D846" s="9"/>
      <c r="E846" s="9"/>
      <c r="F846" s="9"/>
      <c r="G846" s="9"/>
      <c r="H846" s="94"/>
      <c r="I846" s="9"/>
      <c r="J846" s="9"/>
      <c r="K846" s="9"/>
      <c r="L846" s="9"/>
    </row>
    <row r="847" spans="1:12">
      <c r="A847" s="14"/>
      <c r="B847" s="9"/>
      <c r="C847" s="9"/>
      <c r="D847" s="9"/>
      <c r="E847" s="9"/>
      <c r="F847" s="9"/>
      <c r="G847" s="9"/>
      <c r="H847" s="94"/>
      <c r="I847" s="9"/>
      <c r="J847" s="9"/>
      <c r="K847" s="9"/>
      <c r="L847" s="9"/>
    </row>
    <row r="848" spans="1:12">
      <c r="A848" s="14"/>
      <c r="B848" s="9"/>
      <c r="C848" s="9"/>
      <c r="D848" s="9"/>
      <c r="E848" s="9"/>
      <c r="F848" s="9"/>
      <c r="G848" s="9"/>
      <c r="H848" s="94"/>
      <c r="I848" s="9"/>
      <c r="J848" s="9"/>
      <c r="K848" s="9"/>
      <c r="L848" s="9"/>
    </row>
    <row r="849" spans="1:12">
      <c r="A849" s="14"/>
      <c r="B849" s="9"/>
      <c r="C849" s="9"/>
      <c r="D849" s="9"/>
      <c r="E849" s="9"/>
      <c r="F849" s="9"/>
      <c r="G849" s="9"/>
      <c r="H849" s="94"/>
      <c r="I849" s="9"/>
      <c r="J849" s="9"/>
      <c r="K849" s="9"/>
      <c r="L849" s="9"/>
    </row>
    <row r="850" spans="1:12">
      <c r="A850" s="14"/>
      <c r="B850" s="9"/>
      <c r="C850" s="9"/>
      <c r="D850" s="9"/>
      <c r="E850" s="9"/>
      <c r="F850" s="9"/>
      <c r="G850" s="9"/>
      <c r="H850" s="94"/>
      <c r="I850" s="9"/>
      <c r="J850" s="9"/>
      <c r="K850" s="9"/>
      <c r="L850" s="9"/>
    </row>
    <row r="851" spans="1:12">
      <c r="A851" s="14"/>
      <c r="B851" s="9"/>
      <c r="C851" s="9"/>
      <c r="D851" s="9"/>
      <c r="E851" s="9"/>
      <c r="F851" s="9"/>
      <c r="G851" s="9"/>
      <c r="H851" s="94"/>
      <c r="I851" s="9"/>
      <c r="J851" s="9"/>
      <c r="K851" s="9"/>
      <c r="L851" s="9"/>
    </row>
    <row r="852" spans="1:12">
      <c r="A852" s="14"/>
      <c r="B852" s="9"/>
      <c r="C852" s="9"/>
      <c r="D852" s="9"/>
      <c r="E852" s="9"/>
      <c r="F852" s="9"/>
      <c r="G852" s="9"/>
      <c r="H852" s="94"/>
      <c r="I852" s="9"/>
      <c r="J852" s="9"/>
      <c r="K852" s="9"/>
      <c r="L852" s="9"/>
    </row>
    <row r="853" spans="1:12">
      <c r="A853" s="14"/>
      <c r="B853" s="9"/>
      <c r="C853" s="9"/>
      <c r="D853" s="9"/>
      <c r="E853" s="9"/>
      <c r="F853" s="9"/>
      <c r="G853" s="9"/>
      <c r="H853" s="94"/>
      <c r="I853" s="9"/>
      <c r="J853" s="9"/>
      <c r="K853" s="9"/>
      <c r="L853" s="9"/>
    </row>
    <row r="854" spans="1:12">
      <c r="A854" s="14"/>
      <c r="B854" s="9"/>
      <c r="C854" s="9"/>
      <c r="D854" s="9"/>
      <c r="E854" s="9"/>
      <c r="F854" s="9"/>
      <c r="G854" s="9"/>
      <c r="H854" s="94"/>
      <c r="I854" s="9"/>
      <c r="J854" s="9"/>
      <c r="K854" s="9"/>
      <c r="L854" s="9"/>
    </row>
    <row r="855" spans="1:12">
      <c r="A855" s="14"/>
      <c r="B855" s="9"/>
      <c r="C855" s="9"/>
      <c r="D855" s="9"/>
      <c r="E855" s="9"/>
      <c r="F855" s="9"/>
      <c r="G855" s="9"/>
      <c r="H855" s="94"/>
      <c r="I855" s="9"/>
      <c r="J855" s="9"/>
      <c r="K855" s="9"/>
      <c r="L855" s="9"/>
    </row>
    <row r="856" spans="1:12">
      <c r="A856" s="14"/>
      <c r="B856" s="9"/>
      <c r="C856" s="9"/>
      <c r="D856" s="9"/>
      <c r="E856" s="9"/>
      <c r="F856" s="9"/>
      <c r="G856" s="9"/>
      <c r="H856" s="94"/>
      <c r="I856" s="9"/>
      <c r="J856" s="9"/>
      <c r="K856" s="9"/>
      <c r="L856" s="9"/>
    </row>
    <row r="857" spans="1:12">
      <c r="A857" s="14"/>
      <c r="B857" s="9"/>
      <c r="C857" s="9"/>
      <c r="D857" s="9"/>
      <c r="E857" s="9"/>
      <c r="F857" s="9"/>
      <c r="G857" s="9"/>
      <c r="H857" s="94"/>
      <c r="I857" s="9"/>
      <c r="J857" s="9"/>
      <c r="K857" s="9"/>
      <c r="L857" s="9"/>
    </row>
    <row r="858" spans="1:12">
      <c r="A858" s="14"/>
      <c r="B858" s="9"/>
      <c r="C858" s="9"/>
      <c r="D858" s="9"/>
      <c r="E858" s="9"/>
      <c r="F858" s="9"/>
      <c r="G858" s="9"/>
      <c r="H858" s="94"/>
      <c r="I858" s="9"/>
      <c r="J858" s="9"/>
      <c r="K858" s="9"/>
      <c r="L858" s="9"/>
    </row>
    <row r="859" spans="1:12">
      <c r="A859" s="14"/>
      <c r="B859" s="9"/>
      <c r="C859" s="9"/>
      <c r="D859" s="9"/>
      <c r="E859" s="9"/>
      <c r="F859" s="9"/>
      <c r="G859" s="9"/>
      <c r="H859" s="94"/>
      <c r="I859" s="9"/>
      <c r="J859" s="9"/>
      <c r="K859" s="9"/>
      <c r="L859" s="9"/>
    </row>
    <row r="860" spans="1:12">
      <c r="A860" s="14"/>
      <c r="B860" s="9"/>
      <c r="C860" s="9"/>
      <c r="D860" s="9"/>
      <c r="E860" s="9"/>
      <c r="F860" s="9"/>
      <c r="G860" s="9"/>
      <c r="H860" s="94"/>
      <c r="I860" s="9"/>
      <c r="J860" s="9"/>
      <c r="K860" s="9"/>
      <c r="L860" s="9"/>
    </row>
    <row r="861" spans="1:12">
      <c r="A861" s="14"/>
      <c r="B861" s="9"/>
      <c r="C861" s="9"/>
      <c r="D861" s="9"/>
      <c r="E861" s="9"/>
      <c r="F861" s="9"/>
      <c r="G861" s="9"/>
      <c r="H861" s="94"/>
      <c r="I861" s="9"/>
      <c r="J861" s="9"/>
      <c r="K861" s="9"/>
      <c r="L861" s="9"/>
    </row>
    <row r="862" spans="1:12">
      <c r="A862" s="14"/>
      <c r="B862" s="9"/>
      <c r="C862" s="9"/>
      <c r="D862" s="9"/>
      <c r="E862" s="9"/>
      <c r="F862" s="9"/>
      <c r="G862" s="9"/>
      <c r="H862" s="94"/>
      <c r="I862" s="9"/>
      <c r="J862" s="9"/>
      <c r="K862" s="9"/>
      <c r="L862" s="9"/>
    </row>
    <row r="863" spans="1:12">
      <c r="A863" s="14"/>
      <c r="B863" s="9"/>
      <c r="C863" s="9"/>
      <c r="D863" s="9"/>
      <c r="E863" s="9"/>
      <c r="F863" s="9"/>
      <c r="G863" s="9"/>
      <c r="H863" s="94"/>
      <c r="I863" s="9"/>
      <c r="J863" s="9"/>
      <c r="K863" s="9"/>
      <c r="L863" s="9"/>
    </row>
    <row r="864" spans="1:12">
      <c r="A864" s="14"/>
      <c r="B864" s="9"/>
      <c r="C864" s="9"/>
      <c r="D864" s="9"/>
      <c r="E864" s="9"/>
      <c r="F864" s="9"/>
      <c r="G864" s="9"/>
      <c r="H864" s="94"/>
      <c r="I864" s="9"/>
      <c r="J864" s="9"/>
      <c r="K864" s="9"/>
      <c r="L864" s="9"/>
    </row>
    <row r="865" spans="1:12">
      <c r="A865" s="14"/>
      <c r="B865" s="9"/>
      <c r="C865" s="9"/>
      <c r="D865" s="9"/>
      <c r="E865" s="9"/>
      <c r="F865" s="9"/>
      <c r="G865" s="9"/>
      <c r="H865" s="94"/>
      <c r="I865" s="9"/>
      <c r="J865" s="9"/>
      <c r="K865" s="9"/>
      <c r="L865" s="9"/>
    </row>
    <row r="866" spans="1:12">
      <c r="A866" s="14"/>
      <c r="B866" s="9"/>
      <c r="C866" s="9"/>
      <c r="D866" s="9"/>
      <c r="E866" s="9"/>
      <c r="F866" s="9"/>
      <c r="G866" s="9"/>
      <c r="H866" s="94"/>
      <c r="I866" s="9"/>
      <c r="J866" s="9"/>
      <c r="K866" s="9"/>
      <c r="L866" s="9"/>
    </row>
    <row r="867" spans="1:12">
      <c r="A867" s="14"/>
      <c r="B867" s="9"/>
      <c r="C867" s="9"/>
      <c r="D867" s="9"/>
      <c r="E867" s="9"/>
      <c r="F867" s="9"/>
      <c r="G867" s="9"/>
      <c r="H867" s="94"/>
      <c r="I867" s="9"/>
      <c r="J867" s="9"/>
      <c r="K867" s="9"/>
      <c r="L867" s="9"/>
    </row>
    <row r="868" spans="1:12">
      <c r="A868" s="14"/>
      <c r="B868" s="9"/>
      <c r="C868" s="9"/>
      <c r="D868" s="9"/>
      <c r="E868" s="9"/>
      <c r="F868" s="9"/>
      <c r="G868" s="9"/>
      <c r="H868" s="94"/>
      <c r="I868" s="9"/>
      <c r="J868" s="9"/>
      <c r="K868" s="9"/>
      <c r="L868" s="9"/>
    </row>
    <row r="869" spans="1:12">
      <c r="A869" s="14"/>
      <c r="B869" s="9"/>
      <c r="C869" s="9"/>
      <c r="D869" s="9"/>
      <c r="E869" s="9"/>
      <c r="F869" s="9"/>
      <c r="G869" s="9"/>
      <c r="H869" s="94"/>
      <c r="I869" s="9"/>
      <c r="J869" s="9"/>
      <c r="K869" s="9"/>
      <c r="L869" s="9"/>
    </row>
    <row r="870" spans="1:12">
      <c r="A870" s="14"/>
      <c r="B870" s="9"/>
      <c r="C870" s="9"/>
      <c r="D870" s="9"/>
      <c r="E870" s="9"/>
      <c r="F870" s="9"/>
      <c r="G870" s="9"/>
      <c r="H870" s="94"/>
      <c r="I870" s="9"/>
      <c r="J870" s="9"/>
      <c r="K870" s="9"/>
      <c r="L870" s="9"/>
    </row>
    <row r="871" spans="1:12">
      <c r="A871" s="14"/>
      <c r="B871" s="9"/>
      <c r="C871" s="9"/>
      <c r="D871" s="9"/>
      <c r="E871" s="9"/>
      <c r="F871" s="9"/>
      <c r="G871" s="9"/>
      <c r="H871" s="94"/>
      <c r="I871" s="9"/>
      <c r="J871" s="9"/>
      <c r="K871" s="9"/>
      <c r="L871" s="9"/>
    </row>
    <row r="872" spans="1:12">
      <c r="A872" s="14"/>
      <c r="B872" s="9"/>
      <c r="C872" s="9"/>
      <c r="D872" s="9"/>
      <c r="E872" s="9"/>
      <c r="F872" s="9"/>
      <c r="G872" s="9"/>
      <c r="H872" s="94"/>
      <c r="I872" s="9"/>
      <c r="J872" s="9"/>
      <c r="K872" s="9"/>
      <c r="L872" s="9"/>
    </row>
    <row r="873" spans="1:12">
      <c r="A873" s="14"/>
      <c r="B873" s="9"/>
      <c r="C873" s="9"/>
      <c r="D873" s="9"/>
      <c r="E873" s="9"/>
      <c r="F873" s="9"/>
      <c r="G873" s="9"/>
      <c r="H873" s="94"/>
      <c r="I873" s="9"/>
      <c r="J873" s="9"/>
      <c r="K873" s="9"/>
      <c r="L873" s="9"/>
    </row>
    <row r="874" spans="1:12">
      <c r="A874" s="14"/>
      <c r="B874" s="9"/>
      <c r="C874" s="9"/>
      <c r="D874" s="9"/>
      <c r="E874" s="9"/>
      <c r="F874" s="9"/>
      <c r="G874" s="9"/>
      <c r="H874" s="94"/>
      <c r="I874" s="9"/>
      <c r="J874" s="9"/>
      <c r="K874" s="9"/>
      <c r="L874" s="9"/>
    </row>
    <row r="875" spans="1:12">
      <c r="A875" s="14"/>
      <c r="B875" s="9"/>
      <c r="C875" s="9"/>
      <c r="D875" s="9"/>
      <c r="E875" s="9"/>
      <c r="F875" s="9"/>
      <c r="G875" s="9"/>
      <c r="H875" s="94"/>
      <c r="I875" s="9"/>
      <c r="J875" s="9"/>
      <c r="K875" s="9"/>
      <c r="L875" s="9"/>
    </row>
    <row r="876" spans="1:12">
      <c r="A876" s="14"/>
      <c r="B876" s="9"/>
      <c r="C876" s="9"/>
      <c r="D876" s="9"/>
      <c r="E876" s="9"/>
      <c r="F876" s="9"/>
      <c r="G876" s="9"/>
      <c r="H876" s="94"/>
      <c r="I876" s="9"/>
      <c r="J876" s="9"/>
      <c r="K876" s="9"/>
      <c r="L876" s="9"/>
    </row>
    <row r="877" spans="1:12">
      <c r="A877" s="14"/>
      <c r="B877" s="9"/>
      <c r="C877" s="9"/>
      <c r="D877" s="9"/>
      <c r="E877" s="9"/>
      <c r="F877" s="9"/>
      <c r="G877" s="9"/>
      <c r="H877" s="94"/>
      <c r="I877" s="9"/>
      <c r="J877" s="9"/>
      <c r="K877" s="9"/>
      <c r="L877" s="9"/>
    </row>
    <row r="878" spans="1:12">
      <c r="A878" s="14"/>
      <c r="B878" s="9"/>
      <c r="C878" s="9"/>
      <c r="D878" s="9"/>
      <c r="E878" s="9"/>
      <c r="F878" s="9"/>
      <c r="G878" s="9"/>
      <c r="H878" s="94"/>
      <c r="I878" s="9"/>
      <c r="J878" s="9"/>
      <c r="K878" s="9"/>
      <c r="L878" s="9"/>
    </row>
    <row r="879" spans="1:12">
      <c r="A879" s="14"/>
      <c r="B879" s="9"/>
      <c r="C879" s="9"/>
      <c r="D879" s="9"/>
      <c r="E879" s="9"/>
      <c r="F879" s="9"/>
      <c r="G879" s="9"/>
      <c r="H879" s="94"/>
      <c r="I879" s="9"/>
      <c r="J879" s="9"/>
      <c r="K879" s="9"/>
      <c r="L879" s="9"/>
    </row>
    <row r="880" spans="1:12">
      <c r="A880" s="14"/>
      <c r="B880" s="9"/>
      <c r="C880" s="9"/>
      <c r="D880" s="9"/>
      <c r="E880" s="9"/>
      <c r="F880" s="9"/>
      <c r="G880" s="9"/>
      <c r="H880" s="94"/>
      <c r="I880" s="9"/>
      <c r="J880" s="9"/>
      <c r="K880" s="9"/>
      <c r="L880" s="9"/>
    </row>
    <row r="881" spans="1:12">
      <c r="A881" s="14"/>
      <c r="B881" s="9"/>
      <c r="C881" s="9"/>
      <c r="D881" s="9"/>
      <c r="E881" s="9"/>
      <c r="F881" s="9"/>
      <c r="G881" s="9"/>
      <c r="H881" s="94"/>
      <c r="I881" s="9"/>
      <c r="J881" s="9"/>
      <c r="K881" s="9"/>
      <c r="L881" s="9"/>
    </row>
    <row r="882" spans="1:12">
      <c r="A882" s="14"/>
      <c r="B882" s="9"/>
      <c r="C882" s="9"/>
      <c r="D882" s="9"/>
      <c r="E882" s="9"/>
      <c r="F882" s="9"/>
      <c r="G882" s="9"/>
      <c r="H882" s="94"/>
      <c r="I882" s="9"/>
      <c r="J882" s="9"/>
      <c r="K882" s="9"/>
      <c r="L882" s="9"/>
    </row>
    <row r="883" spans="1:12">
      <c r="A883" s="14"/>
      <c r="B883" s="9"/>
      <c r="C883" s="9"/>
      <c r="D883" s="9"/>
      <c r="E883" s="9"/>
      <c r="F883" s="9"/>
      <c r="G883" s="9"/>
      <c r="H883" s="94"/>
      <c r="I883" s="9"/>
      <c r="J883" s="9"/>
      <c r="K883" s="9"/>
      <c r="L883" s="9"/>
    </row>
    <row r="884" spans="1:12">
      <c r="A884" s="14"/>
      <c r="B884" s="9"/>
      <c r="C884" s="9"/>
      <c r="D884" s="9"/>
      <c r="E884" s="9"/>
      <c r="F884" s="9"/>
      <c r="G884" s="9"/>
      <c r="H884" s="94"/>
      <c r="I884" s="9"/>
      <c r="J884" s="9"/>
      <c r="K884" s="9"/>
      <c r="L884" s="9"/>
    </row>
    <row r="885" spans="1:12">
      <c r="A885" s="14"/>
      <c r="B885" s="9"/>
      <c r="C885" s="9"/>
      <c r="D885" s="9"/>
      <c r="E885" s="9"/>
      <c r="F885" s="9"/>
      <c r="G885" s="9"/>
      <c r="H885" s="94"/>
      <c r="I885" s="9"/>
      <c r="J885" s="9"/>
      <c r="K885" s="9"/>
      <c r="L885" s="9"/>
    </row>
    <row r="886" spans="1:12">
      <c r="A886" s="14"/>
      <c r="B886" s="9"/>
      <c r="C886" s="9"/>
      <c r="D886" s="9"/>
      <c r="E886" s="9"/>
      <c r="F886" s="9"/>
      <c r="G886" s="9"/>
      <c r="H886" s="94"/>
      <c r="I886" s="9"/>
      <c r="J886" s="9"/>
      <c r="K886" s="9"/>
      <c r="L886" s="9"/>
    </row>
    <row r="887" spans="1:12">
      <c r="A887" s="14"/>
      <c r="B887" s="9"/>
      <c r="C887" s="9"/>
      <c r="D887" s="9"/>
      <c r="E887" s="9"/>
      <c r="F887" s="9"/>
      <c r="G887" s="9"/>
      <c r="H887" s="94"/>
      <c r="I887" s="9"/>
      <c r="J887" s="9"/>
      <c r="K887" s="9"/>
      <c r="L887" s="9"/>
    </row>
    <row r="888" spans="1:12">
      <c r="A888" s="14"/>
      <c r="B888" s="9"/>
      <c r="C888" s="9"/>
      <c r="D888" s="9"/>
      <c r="E888" s="9"/>
      <c r="F888" s="9"/>
      <c r="G888" s="9"/>
      <c r="H888" s="94"/>
      <c r="I888" s="9"/>
      <c r="J888" s="9"/>
      <c r="K888" s="9"/>
      <c r="L888" s="9"/>
    </row>
    <row r="889" spans="1:12">
      <c r="A889" s="14"/>
      <c r="B889" s="9"/>
      <c r="C889" s="9"/>
      <c r="D889" s="9"/>
      <c r="E889" s="9"/>
      <c r="F889" s="9"/>
      <c r="G889" s="9"/>
      <c r="H889" s="94"/>
      <c r="I889" s="9"/>
      <c r="J889" s="9"/>
      <c r="K889" s="9"/>
      <c r="L889" s="9"/>
    </row>
    <row r="890" spans="1:12">
      <c r="A890" s="14"/>
      <c r="B890" s="9"/>
      <c r="C890" s="9"/>
      <c r="D890" s="9"/>
      <c r="E890" s="9"/>
      <c r="F890" s="9"/>
      <c r="G890" s="9"/>
      <c r="H890" s="94"/>
      <c r="I890" s="9"/>
      <c r="J890" s="9"/>
      <c r="K890" s="9"/>
      <c r="L890" s="9"/>
    </row>
    <row r="891" spans="1:12">
      <c r="A891" s="14"/>
      <c r="B891" s="9"/>
      <c r="C891" s="9"/>
      <c r="D891" s="9"/>
      <c r="E891" s="9"/>
      <c r="F891" s="9"/>
      <c r="G891" s="9"/>
      <c r="H891" s="94"/>
      <c r="I891" s="9"/>
      <c r="J891" s="9"/>
      <c r="K891" s="9"/>
      <c r="L891" s="9"/>
    </row>
    <row r="892" spans="1:12">
      <c r="A892" s="14"/>
      <c r="B892" s="9"/>
      <c r="C892" s="9"/>
      <c r="D892" s="9"/>
      <c r="E892" s="9"/>
      <c r="F892" s="9"/>
      <c r="G892" s="9"/>
      <c r="H892" s="94"/>
      <c r="I892" s="9"/>
      <c r="J892" s="9"/>
      <c r="K892" s="9"/>
      <c r="L892" s="9"/>
    </row>
    <row r="893" spans="1:12">
      <c r="A893" s="14"/>
      <c r="B893" s="9"/>
      <c r="C893" s="9"/>
      <c r="D893" s="9"/>
      <c r="E893" s="9"/>
      <c r="F893" s="9"/>
      <c r="G893" s="9"/>
      <c r="H893" s="94"/>
      <c r="I893" s="9"/>
      <c r="J893" s="9"/>
      <c r="K893" s="9"/>
      <c r="L893" s="9"/>
    </row>
    <row r="894" spans="1:12">
      <c r="A894" s="14"/>
      <c r="B894" s="9"/>
      <c r="C894" s="9"/>
      <c r="D894" s="9"/>
      <c r="E894" s="9"/>
      <c r="F894" s="9"/>
      <c r="G894" s="9"/>
      <c r="H894" s="94"/>
      <c r="I894" s="9"/>
      <c r="J894" s="9"/>
      <c r="K894" s="9"/>
      <c r="L894" s="9"/>
    </row>
    <row r="895" spans="1:12">
      <c r="A895" s="14"/>
      <c r="B895" s="9"/>
      <c r="C895" s="9"/>
      <c r="D895" s="9"/>
      <c r="E895" s="9"/>
      <c r="F895" s="9"/>
      <c r="G895" s="9"/>
      <c r="H895" s="94"/>
      <c r="I895" s="9"/>
      <c r="J895" s="9"/>
      <c r="K895" s="9"/>
      <c r="L895" s="9"/>
    </row>
    <row r="896" spans="1:12">
      <c r="A896" s="14"/>
      <c r="B896" s="9"/>
      <c r="C896" s="9"/>
      <c r="D896" s="9"/>
      <c r="E896" s="9"/>
      <c r="F896" s="9"/>
      <c r="G896" s="9"/>
      <c r="H896" s="94"/>
      <c r="I896" s="9"/>
      <c r="J896" s="9"/>
      <c r="K896" s="9"/>
      <c r="L896" s="9"/>
    </row>
    <row r="897" spans="1:12">
      <c r="A897" s="14"/>
      <c r="B897" s="9"/>
      <c r="C897" s="9"/>
      <c r="D897" s="9"/>
      <c r="E897" s="9"/>
      <c r="F897" s="9"/>
      <c r="G897" s="9"/>
      <c r="H897" s="94"/>
      <c r="I897" s="9"/>
      <c r="J897" s="9"/>
      <c r="K897" s="9"/>
      <c r="L897" s="9"/>
    </row>
    <row r="898" spans="1:12">
      <c r="A898" s="14"/>
      <c r="B898" s="9"/>
      <c r="C898" s="9"/>
      <c r="D898" s="9"/>
      <c r="E898" s="9"/>
      <c r="F898" s="9"/>
      <c r="G898" s="9"/>
      <c r="H898" s="94"/>
      <c r="I898" s="9"/>
      <c r="J898" s="9"/>
      <c r="K898" s="9"/>
      <c r="L898" s="9"/>
    </row>
    <row r="899" spans="1:12">
      <c r="A899" s="14"/>
      <c r="B899" s="9"/>
      <c r="C899" s="9"/>
      <c r="D899" s="9"/>
      <c r="E899" s="9"/>
      <c r="F899" s="9"/>
      <c r="G899" s="9"/>
      <c r="H899" s="94"/>
      <c r="I899" s="9"/>
      <c r="J899" s="9"/>
      <c r="K899" s="9"/>
      <c r="L899" s="9"/>
    </row>
    <row r="900" spans="1:12">
      <c r="A900" s="14"/>
      <c r="B900" s="9"/>
      <c r="C900" s="9"/>
      <c r="D900" s="9"/>
      <c r="E900" s="9"/>
      <c r="F900" s="9"/>
      <c r="G900" s="9"/>
      <c r="H900" s="94"/>
      <c r="I900" s="9"/>
      <c r="J900" s="9"/>
      <c r="K900" s="9"/>
      <c r="L900" s="9"/>
    </row>
    <row r="901" spans="1:12">
      <c r="A901" s="14"/>
      <c r="B901" s="9"/>
      <c r="C901" s="9"/>
      <c r="D901" s="9"/>
      <c r="E901" s="9"/>
      <c r="F901" s="9"/>
      <c r="G901" s="9"/>
      <c r="H901" s="94"/>
      <c r="I901" s="9"/>
      <c r="J901" s="9"/>
      <c r="K901" s="9"/>
      <c r="L901" s="9"/>
    </row>
    <row r="902" spans="1:12">
      <c r="A902" s="14"/>
      <c r="B902" s="9"/>
      <c r="C902" s="9"/>
      <c r="D902" s="9"/>
      <c r="E902" s="9"/>
      <c r="F902" s="9"/>
      <c r="G902" s="9"/>
      <c r="H902" s="94"/>
      <c r="I902" s="9"/>
      <c r="J902" s="9"/>
      <c r="K902" s="9"/>
      <c r="L902" s="9"/>
    </row>
    <row r="903" spans="1:12">
      <c r="A903" s="14"/>
      <c r="B903" s="9"/>
      <c r="C903" s="9"/>
      <c r="D903" s="9"/>
      <c r="E903" s="9"/>
      <c r="F903" s="9"/>
      <c r="G903" s="9"/>
      <c r="H903" s="94"/>
      <c r="I903" s="9"/>
      <c r="J903" s="9"/>
      <c r="K903" s="9"/>
      <c r="L903" s="9"/>
    </row>
    <row r="904" spans="1:12">
      <c r="A904" s="14"/>
      <c r="B904" s="9"/>
      <c r="C904" s="9"/>
      <c r="D904" s="9"/>
      <c r="E904" s="9"/>
      <c r="F904" s="9"/>
      <c r="G904" s="9"/>
      <c r="H904" s="94"/>
      <c r="I904" s="9"/>
      <c r="J904" s="9"/>
      <c r="K904" s="9"/>
      <c r="L904" s="9"/>
    </row>
    <row r="905" spans="1:12">
      <c r="A905" s="14"/>
      <c r="B905" s="9"/>
      <c r="C905" s="9"/>
      <c r="D905" s="9"/>
      <c r="E905" s="9"/>
      <c r="F905" s="9"/>
      <c r="G905" s="9"/>
      <c r="H905" s="94"/>
      <c r="I905" s="9"/>
      <c r="J905" s="9"/>
      <c r="K905" s="9"/>
      <c r="L905" s="9"/>
    </row>
    <row r="906" spans="1:12">
      <c r="A906" s="6"/>
      <c r="B906" s="4"/>
      <c r="C906" s="4"/>
      <c r="D906" s="4"/>
      <c r="E906" s="4"/>
      <c r="F906" s="4"/>
      <c r="G906" s="4"/>
      <c r="H906" s="95"/>
      <c r="I906" s="4"/>
      <c r="K906" s="4"/>
    </row>
    <row r="907" spans="1:12">
      <c r="A907" s="6"/>
      <c r="B907" s="4"/>
      <c r="C907" s="4"/>
      <c r="D907" s="4"/>
      <c r="E907" s="4"/>
      <c r="F907" s="4"/>
      <c r="G907" s="4"/>
      <c r="H907" s="95"/>
      <c r="I907" s="4"/>
      <c r="K907" s="4"/>
    </row>
    <row r="908" spans="1:12">
      <c r="A908" s="6"/>
      <c r="B908" s="4"/>
      <c r="C908" s="4"/>
      <c r="D908" s="4"/>
      <c r="E908" s="4"/>
      <c r="F908" s="4"/>
      <c r="G908" s="4"/>
      <c r="H908" s="95"/>
      <c r="I908" s="4"/>
      <c r="K908" s="4"/>
    </row>
  </sheetData>
  <protectedRanges>
    <protectedRange password="C915" sqref="I320 J285:J320 I1:L284 I321:L65536" name="Range1"/>
    <protectedRange password="C915" sqref="I285:I319 K285:L320" name="Range1_1"/>
  </protectedRanges>
  <mergeCells count="132">
    <mergeCell ref="A623:A674"/>
    <mergeCell ref="C443:C449"/>
    <mergeCell ref="B415:B421"/>
    <mergeCell ref="C415:C421"/>
    <mergeCell ref="B594:B607"/>
    <mergeCell ref="C608:C614"/>
    <mergeCell ref="A594:A607"/>
    <mergeCell ref="C594:C607"/>
    <mergeCell ref="C457:C463"/>
    <mergeCell ref="B436:B442"/>
    <mergeCell ref="B443:B449"/>
    <mergeCell ref="B450:B456"/>
    <mergeCell ref="B471:B477"/>
    <mergeCell ref="C422:C428"/>
    <mergeCell ref="C471:C477"/>
    <mergeCell ref="A429:A435"/>
    <mergeCell ref="B429:B435"/>
    <mergeCell ref="C429:C435"/>
    <mergeCell ref="C450:C456"/>
    <mergeCell ref="A457:A463"/>
    <mergeCell ref="B457:B463"/>
    <mergeCell ref="C234:C250"/>
    <mergeCell ref="B268:B284"/>
    <mergeCell ref="A321:A327"/>
    <mergeCell ref="C268:C284"/>
    <mergeCell ref="C285:C302"/>
    <mergeCell ref="C251:C267"/>
    <mergeCell ref="C303:C320"/>
    <mergeCell ref="C615:C621"/>
    <mergeCell ref="A608:A614"/>
    <mergeCell ref="B608:B614"/>
    <mergeCell ref="C390:C407"/>
    <mergeCell ref="C436:C442"/>
    <mergeCell ref="A443:A449"/>
    <mergeCell ref="A415:A421"/>
    <mergeCell ref="B478:B532"/>
    <mergeCell ref="C570:C582"/>
    <mergeCell ref="A583:A593"/>
    <mergeCell ref="A390:A407"/>
    <mergeCell ref="A422:A428"/>
    <mergeCell ref="B533:B569"/>
    <mergeCell ref="A464:A470"/>
    <mergeCell ref="B464:B470"/>
    <mergeCell ref="A471:A477"/>
    <mergeCell ref="A450:A456"/>
    <mergeCell ref="A372:A389"/>
    <mergeCell ref="B251:B267"/>
    <mergeCell ref="A251:A267"/>
    <mergeCell ref="A268:A284"/>
    <mergeCell ref="B328:B334"/>
    <mergeCell ref="A200:A216"/>
    <mergeCell ref="B372:B389"/>
    <mergeCell ref="A217:A233"/>
    <mergeCell ref="B217:B233"/>
    <mergeCell ref="A328:A334"/>
    <mergeCell ref="A285:A302"/>
    <mergeCell ref="A336:A353"/>
    <mergeCell ref="B336:B353"/>
    <mergeCell ref="A26:A44"/>
    <mergeCell ref="B303:B320"/>
    <mergeCell ref="A59:A72"/>
    <mergeCell ref="B26:B44"/>
    <mergeCell ref="A45:A58"/>
    <mergeCell ref="B45:B58"/>
    <mergeCell ref="A303:A320"/>
    <mergeCell ref="A115:A131"/>
    <mergeCell ref="A234:A250"/>
    <mergeCell ref="B234:B250"/>
    <mergeCell ref="A149:A165"/>
    <mergeCell ref="C45:C58"/>
    <mergeCell ref="B149:B165"/>
    <mergeCell ref="C183:C199"/>
    <mergeCell ref="C149:C165"/>
    <mergeCell ref="B59:B72"/>
    <mergeCell ref="B166:B182"/>
    <mergeCell ref="C166:C182"/>
    <mergeCell ref="C59:C72"/>
    <mergeCell ref="C73:C86"/>
    <mergeCell ref="B87:B100"/>
    <mergeCell ref="C87:C100"/>
    <mergeCell ref="B101:B114"/>
    <mergeCell ref="C115:C131"/>
    <mergeCell ref="B132:B148"/>
    <mergeCell ref="C132:C148"/>
    <mergeCell ref="B390:B407"/>
    <mergeCell ref="B422:B428"/>
    <mergeCell ref="C321:C327"/>
    <mergeCell ref="A3:A25"/>
    <mergeCell ref="B3:B25"/>
    <mergeCell ref="C3:C25"/>
    <mergeCell ref="A354:A371"/>
    <mergeCell ref="B354:B371"/>
    <mergeCell ref="C354:C371"/>
    <mergeCell ref="C336:C353"/>
    <mergeCell ref="B285:B302"/>
    <mergeCell ref="B321:B327"/>
    <mergeCell ref="B73:B86"/>
    <mergeCell ref="C217:C233"/>
    <mergeCell ref="B115:B131"/>
    <mergeCell ref="B183:B199"/>
    <mergeCell ref="A73:A86"/>
    <mergeCell ref="A87:A100"/>
    <mergeCell ref="A101:A114"/>
    <mergeCell ref="C101:C114"/>
    <mergeCell ref="A132:A148"/>
    <mergeCell ref="A183:A199"/>
    <mergeCell ref="A166:A182"/>
    <mergeCell ref="C26:C44"/>
    <mergeCell ref="A675:A681"/>
    <mergeCell ref="B675:B681"/>
    <mergeCell ref="C675:C681"/>
    <mergeCell ref="B200:B216"/>
    <mergeCell ref="C200:C216"/>
    <mergeCell ref="C464:C470"/>
    <mergeCell ref="A436:A442"/>
    <mergeCell ref="A408:A414"/>
    <mergeCell ref="B570:B582"/>
    <mergeCell ref="A478:A532"/>
    <mergeCell ref="C478:C532"/>
    <mergeCell ref="B623:B674"/>
    <mergeCell ref="C623:C674"/>
    <mergeCell ref="B583:B593"/>
    <mergeCell ref="C533:C569"/>
    <mergeCell ref="A533:A569"/>
    <mergeCell ref="A570:A582"/>
    <mergeCell ref="A615:A621"/>
    <mergeCell ref="B615:B621"/>
    <mergeCell ref="C583:C593"/>
    <mergeCell ref="C372:C389"/>
    <mergeCell ref="C408:C414"/>
    <mergeCell ref="B408:B414"/>
    <mergeCell ref="C328:C334"/>
  </mergeCells>
  <phoneticPr fontId="6" type="noConversion"/>
  <conditionalFormatting sqref="L690:L65536 L408:L414 L422:L428 L436:L442 L464:L470 L115:L131 L183:L199 L251:L267 L217:L233 L149:L165 L1:L58 L336:L353 L372:L389 L478:L681">
    <cfRule type="cellIs" dxfId="38" priority="23" stopIfTrue="1" operator="equal">
      <formula>"ERROR"</formula>
    </cfRule>
  </conditionalFormatting>
  <conditionalFormatting sqref="L101:L114">
    <cfRule type="cellIs" dxfId="37" priority="16" stopIfTrue="1" operator="equal">
      <formula>"ERROR"</formula>
    </cfRule>
  </conditionalFormatting>
  <conditionalFormatting sqref="L59:L72">
    <cfRule type="cellIs" dxfId="36" priority="19" stopIfTrue="1" operator="equal">
      <formula>"ERROR"</formula>
    </cfRule>
  </conditionalFormatting>
  <conditionalFormatting sqref="L73:L86">
    <cfRule type="cellIs" dxfId="35" priority="18" stopIfTrue="1" operator="equal">
      <formula>"ERROR"</formula>
    </cfRule>
  </conditionalFormatting>
  <conditionalFormatting sqref="L87:L100">
    <cfRule type="cellIs" dxfId="34" priority="17" stopIfTrue="1" operator="equal">
      <formula>"ERROR"</formula>
    </cfRule>
  </conditionalFormatting>
  <conditionalFormatting sqref="L166:L182">
    <cfRule type="cellIs" dxfId="33" priority="15" stopIfTrue="1" operator="equal">
      <formula>"ERROR"</formula>
    </cfRule>
  </conditionalFormatting>
  <conditionalFormatting sqref="L234:L250">
    <cfRule type="cellIs" dxfId="32" priority="13" stopIfTrue="1" operator="equal">
      <formula>"ERROR"</formula>
    </cfRule>
  </conditionalFormatting>
  <conditionalFormatting sqref="L268:L284">
    <cfRule type="cellIs" dxfId="31" priority="12" stopIfTrue="1" operator="equal">
      <formula>"ERROR"</formula>
    </cfRule>
  </conditionalFormatting>
  <conditionalFormatting sqref="L321 L327:L335">
    <cfRule type="cellIs" dxfId="30" priority="11" stopIfTrue="1" operator="equal">
      <formula>"ERROR"</formula>
    </cfRule>
  </conditionalFormatting>
  <conditionalFormatting sqref="L354:L371">
    <cfRule type="cellIs" dxfId="29" priority="10" stopIfTrue="1" operator="equal">
      <formula>"ERROR"</formula>
    </cfRule>
  </conditionalFormatting>
  <conditionalFormatting sqref="L390:L407">
    <cfRule type="cellIs" dxfId="28" priority="9" stopIfTrue="1" operator="equal">
      <formula>"ERROR"</formula>
    </cfRule>
  </conditionalFormatting>
  <conditionalFormatting sqref="L415:L421">
    <cfRule type="cellIs" dxfId="27" priority="8" stopIfTrue="1" operator="equal">
      <formula>"ERROR"</formula>
    </cfRule>
  </conditionalFormatting>
  <conditionalFormatting sqref="L429:L435">
    <cfRule type="cellIs" dxfId="26" priority="7" stopIfTrue="1" operator="equal">
      <formula>"ERROR"</formula>
    </cfRule>
  </conditionalFormatting>
  <conditionalFormatting sqref="L443:L449">
    <cfRule type="cellIs" dxfId="25" priority="6" stopIfTrue="1" operator="equal">
      <formula>"ERROR"</formula>
    </cfRule>
  </conditionalFormatting>
  <conditionalFormatting sqref="L471:L477">
    <cfRule type="cellIs" dxfId="24" priority="5" stopIfTrue="1" operator="equal">
      <formula>"ERROR"</formula>
    </cfRule>
  </conditionalFormatting>
  <conditionalFormatting sqref="L200:L216">
    <cfRule type="cellIs" dxfId="23" priority="4" stopIfTrue="1" operator="equal">
      <formula>"ERROR"</formula>
    </cfRule>
  </conditionalFormatting>
  <conditionalFormatting sqref="L132:L148">
    <cfRule type="cellIs" dxfId="22" priority="3" stopIfTrue="1" operator="equal">
      <formula>"ERROR"</formula>
    </cfRule>
  </conditionalFormatting>
  <conditionalFormatting sqref="L450:L456">
    <cfRule type="cellIs" dxfId="21" priority="2" stopIfTrue="1" operator="equal">
      <formula>"ERROR"</formula>
    </cfRule>
  </conditionalFormatting>
  <conditionalFormatting sqref="L457:L463">
    <cfRule type="cellIs" dxfId="20" priority="1" stopIfTrue="1" operator="equal">
      <formula>"ERROR"</formula>
    </cfRule>
  </conditionalFormatting>
  <pageMargins left="0.41" right="0" top="0.39" bottom="0.42" header="0.3" footer="0.17"/>
  <pageSetup scale="66" orientation="portrait" r:id="rId1"/>
  <headerFooter alignWithMargins="0">
    <oddFooter xml:space="preserve">&amp;R&amp;P
</oddFooter>
  </headerFooter>
  <rowBreaks count="3" manualBreakCount="3">
    <brk id="335" max="11" man="1"/>
    <brk id="532" max="11" man="1"/>
    <brk id="607" max="11"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CQ356"/>
  <sheetViews>
    <sheetView topLeftCell="A296" zoomScale="85" zoomScaleNormal="85" workbookViewId="0">
      <selection activeCell="M325" sqref="M325"/>
    </sheetView>
  </sheetViews>
  <sheetFormatPr defaultColWidth="9.33203125" defaultRowHeight="13.2"/>
  <cols>
    <col min="1" max="1" width="27" style="55" customWidth="1"/>
    <col min="2" max="2" width="29" style="56" customWidth="1"/>
    <col min="3" max="3" width="22.5546875" style="55" customWidth="1"/>
    <col min="4" max="4" width="18.44140625" style="55" customWidth="1"/>
    <col min="5" max="6" width="11.33203125" style="55" customWidth="1"/>
    <col min="7" max="7" width="7.6640625" style="55" customWidth="1"/>
    <col min="8" max="8" width="9.33203125" style="88" bestFit="1" customWidth="1"/>
    <col min="9" max="9" width="9.33203125" style="88"/>
    <col min="10" max="10" width="9.33203125" style="55"/>
    <col min="11" max="11" width="15.33203125" style="55" customWidth="1"/>
    <col min="12" max="12" width="3.5546875" style="55" customWidth="1"/>
    <col min="13" max="13" width="15.33203125" style="55" customWidth="1"/>
    <col min="14" max="14" width="16.33203125" style="65" bestFit="1" customWidth="1"/>
    <col min="15" max="15" width="19.44140625" style="1132" bestFit="1" customWidth="1"/>
    <col min="16" max="16" width="14.33203125" style="1133" bestFit="1" customWidth="1"/>
    <col min="17" max="17" width="43.88671875" style="1132" bestFit="1" customWidth="1"/>
    <col min="18" max="18" width="12.44140625" style="55" bestFit="1" customWidth="1"/>
    <col min="19" max="19" width="30.44140625" style="55" bestFit="1" customWidth="1"/>
    <col min="20" max="16384" width="9.33203125" style="55"/>
  </cols>
  <sheetData>
    <row r="1" spans="1:18" ht="24.6" customHeight="1" thickBot="1">
      <c r="A1" s="1334" t="s">
        <v>93</v>
      </c>
      <c r="B1" s="1334"/>
      <c r="C1" s="1334"/>
      <c r="D1" s="1334"/>
      <c r="E1" s="1334"/>
      <c r="F1" s="1334"/>
      <c r="G1" s="1334"/>
      <c r="H1" s="1334"/>
      <c r="I1" s="1334"/>
      <c r="J1" s="1334"/>
      <c r="K1" s="1334"/>
    </row>
    <row r="2" spans="1:18" s="58" customFormat="1" ht="45.6" customHeight="1">
      <c r="A2" s="101" t="s">
        <v>313</v>
      </c>
      <c r="B2" s="57" t="s">
        <v>321</v>
      </c>
      <c r="C2" s="57" t="s">
        <v>303</v>
      </c>
      <c r="D2" s="57" t="s">
        <v>98</v>
      </c>
      <c r="E2" s="57" t="s">
        <v>99</v>
      </c>
      <c r="F2" s="57" t="s">
        <v>100</v>
      </c>
      <c r="G2" s="57"/>
      <c r="H2" s="102" t="s">
        <v>318</v>
      </c>
      <c r="I2" s="102" t="s">
        <v>25</v>
      </c>
      <c r="J2" s="57" t="s">
        <v>308</v>
      </c>
      <c r="K2" s="104" t="s">
        <v>296</v>
      </c>
      <c r="N2" s="641"/>
      <c r="O2" s="1134"/>
      <c r="P2" s="1135"/>
      <c r="Q2" s="1134"/>
    </row>
    <row r="3" spans="1:18" ht="18" customHeight="1">
      <c r="A3" s="1323" t="s">
        <v>131</v>
      </c>
      <c r="B3" s="54" t="s">
        <v>132</v>
      </c>
      <c r="C3" s="1336" t="s">
        <v>456</v>
      </c>
      <c r="D3" s="59"/>
      <c r="E3" s="59">
        <v>0.13</v>
      </c>
      <c r="F3" s="59">
        <v>8</v>
      </c>
      <c r="G3" s="62"/>
      <c r="H3" s="881">
        <v>5.26</v>
      </c>
      <c r="I3" s="241" t="s">
        <v>26</v>
      </c>
      <c r="J3" s="76">
        <v>1</v>
      </c>
      <c r="K3" s="105">
        <f t="shared" ref="K3:K11" si="0">+J3*H3</f>
        <v>5.26</v>
      </c>
      <c r="L3" s="772" t="s">
        <v>26</v>
      </c>
      <c r="M3" s="772" t="s">
        <v>1146</v>
      </c>
      <c r="N3" s="791"/>
      <c r="O3" s="634"/>
      <c r="P3" s="1036"/>
      <c r="Q3" s="1037"/>
      <c r="R3" s="791"/>
    </row>
    <row r="4" spans="1:18" ht="35.25" customHeight="1">
      <c r="A4" s="1335"/>
      <c r="B4" s="54" t="s">
        <v>457</v>
      </c>
      <c r="C4" s="1298"/>
      <c r="D4" s="59" t="s">
        <v>104</v>
      </c>
      <c r="E4" s="59">
        <v>0.13</v>
      </c>
      <c r="F4" s="59">
        <v>8</v>
      </c>
      <c r="G4" s="62"/>
      <c r="H4" s="881">
        <v>6</v>
      </c>
      <c r="I4" s="241" t="s">
        <v>26</v>
      </c>
      <c r="J4" s="76">
        <v>2</v>
      </c>
      <c r="K4" s="105">
        <f t="shared" si="0"/>
        <v>12</v>
      </c>
      <c r="L4" s="772" t="s">
        <v>1159</v>
      </c>
      <c r="M4" s="772" t="s">
        <v>1146</v>
      </c>
      <c r="N4" s="791"/>
      <c r="O4" s="634"/>
      <c r="P4" s="1126"/>
      <c r="Q4" s="1127"/>
      <c r="R4" s="791"/>
    </row>
    <row r="5" spans="1:18" ht="35.25" customHeight="1">
      <c r="A5" s="845" t="s">
        <v>1356</v>
      </c>
      <c r="B5" s="846" t="s">
        <v>347</v>
      </c>
      <c r="C5" s="847" t="s">
        <v>1355</v>
      </c>
      <c r="D5" s="848"/>
      <c r="E5" s="848"/>
      <c r="F5" s="848"/>
      <c r="G5" s="848"/>
      <c r="H5" s="881">
        <v>4</v>
      </c>
      <c r="I5" s="241" t="s">
        <v>26</v>
      </c>
      <c r="J5" s="76">
        <v>30</v>
      </c>
      <c r="K5" s="105">
        <f t="shared" si="0"/>
        <v>120</v>
      </c>
      <c r="L5" s="772"/>
      <c r="M5" s="1035" t="s">
        <v>1464</v>
      </c>
      <c r="N5" s="791"/>
      <c r="O5" s="634"/>
      <c r="P5" s="1036"/>
      <c r="Q5" s="1136"/>
      <c r="R5" s="791"/>
    </row>
    <row r="6" spans="1:18" ht="33" customHeight="1">
      <c r="A6" s="98" t="s">
        <v>772</v>
      </c>
      <c r="B6" s="54" t="s">
        <v>773</v>
      </c>
      <c r="C6" s="54" t="s">
        <v>736</v>
      </c>
      <c r="D6" s="59"/>
      <c r="E6" s="59"/>
      <c r="F6" s="59"/>
      <c r="G6" s="62"/>
      <c r="H6" s="881">
        <v>9</v>
      </c>
      <c r="I6" s="241" t="s">
        <v>26</v>
      </c>
      <c r="J6" s="76"/>
      <c r="K6" s="105">
        <f t="shared" si="0"/>
        <v>0</v>
      </c>
      <c r="L6" s="772"/>
      <c r="M6" s="772" t="s">
        <v>1151</v>
      </c>
      <c r="N6" s="791"/>
      <c r="O6" s="634"/>
      <c r="P6" s="1036"/>
      <c r="Q6" s="1037"/>
      <c r="R6" s="791"/>
    </row>
    <row r="7" spans="1:18" ht="33" customHeight="1">
      <c r="A7" s="482" t="s">
        <v>735</v>
      </c>
      <c r="B7" s="475" t="s">
        <v>724</v>
      </c>
      <c r="C7" s="54" t="s">
        <v>736</v>
      </c>
      <c r="D7" s="59"/>
      <c r="E7" s="59"/>
      <c r="F7" s="59"/>
      <c r="G7" s="62"/>
      <c r="H7" s="881">
        <v>12.67</v>
      </c>
      <c r="I7" s="241" t="s">
        <v>26</v>
      </c>
      <c r="J7" s="76"/>
      <c r="K7" s="105">
        <f t="shared" si="0"/>
        <v>0</v>
      </c>
      <c r="L7" s="772"/>
      <c r="M7" s="772" t="s">
        <v>1146</v>
      </c>
      <c r="N7" s="791"/>
      <c r="O7" s="634"/>
      <c r="P7" s="1036"/>
      <c r="Q7" s="1037"/>
      <c r="R7" s="791"/>
    </row>
    <row r="8" spans="1:18" ht="24.75" customHeight="1">
      <c r="A8" s="98" t="s">
        <v>723</v>
      </c>
      <c r="B8" s="54" t="s">
        <v>733</v>
      </c>
      <c r="C8" s="54" t="s">
        <v>734</v>
      </c>
      <c r="D8" s="59"/>
      <c r="E8" s="59"/>
      <c r="F8" s="59"/>
      <c r="G8" s="62"/>
      <c r="H8" s="881">
        <v>10.4</v>
      </c>
      <c r="I8" s="241" t="s">
        <v>26</v>
      </c>
      <c r="J8" s="76"/>
      <c r="K8" s="105">
        <f t="shared" si="0"/>
        <v>0</v>
      </c>
      <c r="L8" s="776"/>
      <c r="M8" s="776" t="s">
        <v>1151</v>
      </c>
      <c r="N8" s="791"/>
      <c r="O8" s="634"/>
      <c r="P8" s="1036"/>
      <c r="Q8" s="1037"/>
      <c r="R8" s="791"/>
    </row>
    <row r="9" spans="1:18" ht="18" customHeight="1">
      <c r="A9" s="98" t="s">
        <v>279</v>
      </c>
      <c r="B9" s="54" t="s">
        <v>280</v>
      </c>
      <c r="C9" s="54" t="s">
        <v>285</v>
      </c>
      <c r="D9" s="59"/>
      <c r="E9" s="59"/>
      <c r="F9" s="59"/>
      <c r="G9" s="62"/>
      <c r="H9" s="881">
        <v>9.75</v>
      </c>
      <c r="I9" s="241" t="s">
        <v>26</v>
      </c>
      <c r="J9" s="76"/>
      <c r="K9" s="105">
        <f t="shared" si="0"/>
        <v>0</v>
      </c>
      <c r="L9" s="65"/>
      <c r="M9" s="55" t="s">
        <v>1146</v>
      </c>
      <c r="N9" s="791"/>
      <c r="O9" s="634"/>
      <c r="P9" s="1036"/>
      <c r="Q9" s="1037"/>
      <c r="R9" s="772"/>
    </row>
    <row r="10" spans="1:18" ht="23.25" customHeight="1">
      <c r="A10" s="70" t="s">
        <v>261</v>
      </c>
      <c r="B10" s="54" t="s">
        <v>262</v>
      </c>
      <c r="C10" s="61" t="s">
        <v>688</v>
      </c>
      <c r="D10" s="59"/>
      <c r="E10" s="59"/>
      <c r="F10" s="59"/>
      <c r="G10" s="62"/>
      <c r="H10" s="881">
        <v>17.399999999999999</v>
      </c>
      <c r="I10" s="241" t="s">
        <v>26</v>
      </c>
      <c r="J10" s="76"/>
      <c r="K10" s="105">
        <f t="shared" si="0"/>
        <v>0</v>
      </c>
      <c r="L10" s="65"/>
      <c r="M10" s="55" t="s">
        <v>1146</v>
      </c>
      <c r="N10" s="791"/>
      <c r="O10" s="634"/>
      <c r="P10" s="1036"/>
      <c r="Q10" s="1037"/>
      <c r="R10" s="772"/>
    </row>
    <row r="11" spans="1:18" ht="18" customHeight="1">
      <c r="A11" s="70" t="s">
        <v>185</v>
      </c>
      <c r="B11" s="54" t="s">
        <v>186</v>
      </c>
      <c r="C11" s="44" t="s">
        <v>187</v>
      </c>
      <c r="D11" s="3"/>
      <c r="E11" s="59"/>
      <c r="F11" s="59"/>
      <c r="G11" s="62"/>
      <c r="H11" s="881">
        <v>28.08</v>
      </c>
      <c r="I11" s="241" t="s">
        <v>26</v>
      </c>
      <c r="J11" s="76"/>
      <c r="K11" s="105">
        <f t="shared" si="0"/>
        <v>0</v>
      </c>
      <c r="L11" s="65"/>
      <c r="M11" s="55" t="s">
        <v>1147</v>
      </c>
      <c r="N11" s="791"/>
      <c r="O11" s="634"/>
      <c r="P11" s="1036"/>
      <c r="Q11" s="1037"/>
      <c r="R11" s="772"/>
    </row>
    <row r="12" spans="1:18" ht="31.95" customHeight="1">
      <c r="A12" s="857" t="s">
        <v>1360</v>
      </c>
      <c r="B12" s="846" t="s">
        <v>1361</v>
      </c>
      <c r="C12" s="847" t="s">
        <v>1362</v>
      </c>
      <c r="D12" s="858"/>
      <c r="E12" s="859"/>
      <c r="F12" s="859"/>
      <c r="G12" s="859"/>
      <c r="H12" s="883">
        <v>3</v>
      </c>
      <c r="I12" s="241" t="s">
        <v>26</v>
      </c>
      <c r="J12" s="76">
        <v>8</v>
      </c>
      <c r="K12" s="105">
        <f>+J12*H12</f>
        <v>24</v>
      </c>
      <c r="M12" s="1035" t="s">
        <v>1464</v>
      </c>
      <c r="N12" s="791"/>
      <c r="O12" s="634"/>
      <c r="P12" s="1036"/>
      <c r="Q12" s="1037"/>
      <c r="R12" s="772"/>
    </row>
    <row r="13" spans="1:18" ht="18" customHeight="1">
      <c r="A13" s="677"/>
      <c r="B13" s="475"/>
      <c r="C13" s="421"/>
      <c r="D13" s="682"/>
      <c r="E13" s="264"/>
      <c r="F13" s="264"/>
      <c r="G13" s="265"/>
      <c r="H13" s="266"/>
      <c r="I13" s="241"/>
      <c r="J13" s="76"/>
      <c r="K13" s="105">
        <f>+J13*H13</f>
        <v>0</v>
      </c>
      <c r="N13" s="791"/>
      <c r="O13" s="634"/>
      <c r="P13" s="1036"/>
      <c r="Q13" s="1037"/>
      <c r="R13" s="772"/>
    </row>
    <row r="14" spans="1:18" ht="18" customHeight="1">
      <c r="A14" s="677"/>
      <c r="B14" s="475"/>
      <c r="C14" s="421"/>
      <c r="D14" s="682"/>
      <c r="E14" s="264"/>
      <c r="F14" s="264"/>
      <c r="G14" s="265"/>
      <c r="H14" s="266"/>
      <c r="I14" s="241"/>
      <c r="J14" s="76"/>
      <c r="K14" s="105">
        <f>+J14*H14</f>
        <v>0</v>
      </c>
      <c r="N14" s="791"/>
      <c r="O14" s="634"/>
      <c r="P14" s="1036"/>
      <c r="Q14" s="1037"/>
      <c r="R14" s="772"/>
    </row>
    <row r="15" spans="1:18" ht="18" customHeight="1" thickBot="1">
      <c r="A15" s="106"/>
      <c r="B15" s="107"/>
      <c r="C15" s="108"/>
      <c r="D15" s="108"/>
      <c r="E15" s="69"/>
      <c r="F15" s="69"/>
      <c r="G15" s="109"/>
      <c r="H15" s="110"/>
      <c r="I15" s="110"/>
      <c r="J15" s="111"/>
      <c r="K15" s="112"/>
      <c r="N15" s="791"/>
      <c r="O15" s="634"/>
      <c r="P15" s="1036"/>
      <c r="Q15" s="1037"/>
      <c r="R15" s="772"/>
    </row>
    <row r="16" spans="1:18" s="58" customFormat="1" ht="53.25" customHeight="1">
      <c r="A16" s="101" t="s">
        <v>314</v>
      </c>
      <c r="B16" s="57" t="s">
        <v>321</v>
      </c>
      <c r="C16" s="57" t="s">
        <v>96</v>
      </c>
      <c r="D16" s="512" t="s">
        <v>99</v>
      </c>
      <c r="E16" s="512" t="s">
        <v>100</v>
      </c>
      <c r="F16" s="57" t="s">
        <v>101</v>
      </c>
      <c r="G16" s="57" t="s">
        <v>102</v>
      </c>
      <c r="H16" s="102" t="s">
        <v>318</v>
      </c>
      <c r="I16" s="102" t="s">
        <v>25</v>
      </c>
      <c r="J16" s="103" t="s">
        <v>308</v>
      </c>
      <c r="K16" s="104" t="s">
        <v>1366</v>
      </c>
      <c r="N16" s="791"/>
      <c r="O16" s="634"/>
      <c r="P16" s="1036"/>
      <c r="Q16" s="1037"/>
      <c r="R16" s="772"/>
    </row>
    <row r="17" spans="1:18" ht="41.25" customHeight="1">
      <c r="A17" s="1337" t="s">
        <v>1092</v>
      </c>
      <c r="B17" s="1325" t="s">
        <v>1087</v>
      </c>
      <c r="C17" s="1325" t="s">
        <v>1079</v>
      </c>
      <c r="D17" s="746" t="s">
        <v>1081</v>
      </c>
      <c r="E17" s="746" t="s">
        <v>1080</v>
      </c>
      <c r="F17" s="721"/>
      <c r="G17" s="721"/>
      <c r="H17" s="891">
        <v>13.5</v>
      </c>
      <c r="I17" s="241" t="s">
        <v>26</v>
      </c>
      <c r="J17" s="76">
        <v>5</v>
      </c>
      <c r="K17" s="105">
        <f t="shared" ref="K17:K38" si="1">+J17*H17</f>
        <v>67.5</v>
      </c>
      <c r="L17" s="725"/>
      <c r="M17" s="725" t="s">
        <v>1147</v>
      </c>
      <c r="N17" s="791"/>
      <c r="O17" s="634"/>
      <c r="P17" s="1036"/>
      <c r="Q17" s="1037"/>
      <c r="R17" s="772"/>
    </row>
    <row r="18" spans="1:18" ht="43.5" customHeight="1">
      <c r="A18" s="1337"/>
      <c r="B18" s="1325"/>
      <c r="C18" s="1325"/>
      <c r="D18" s="747" t="s">
        <v>1083</v>
      </c>
      <c r="E18" s="747" t="s">
        <v>1082</v>
      </c>
      <c r="F18" s="721"/>
      <c r="G18" s="721"/>
      <c r="H18" s="891">
        <v>24</v>
      </c>
      <c r="I18" s="241" t="s">
        <v>26</v>
      </c>
      <c r="J18" s="76">
        <v>2</v>
      </c>
      <c r="K18" s="105">
        <f t="shared" si="1"/>
        <v>48</v>
      </c>
      <c r="L18" s="725"/>
      <c r="M18" s="725" t="s">
        <v>1146</v>
      </c>
      <c r="N18" s="791"/>
      <c r="O18" s="634"/>
      <c r="P18" s="1036"/>
      <c r="Q18" s="1037"/>
      <c r="R18" s="772"/>
    </row>
    <row r="19" spans="1:18" ht="38.25" customHeight="1">
      <c r="A19" s="1322" t="s">
        <v>203</v>
      </c>
      <c r="B19" s="1325" t="s">
        <v>1109</v>
      </c>
      <c r="C19" s="1345" t="s">
        <v>205</v>
      </c>
      <c r="D19" s="279"/>
      <c r="E19" s="279"/>
      <c r="F19" s="62">
        <v>0</v>
      </c>
      <c r="G19" s="62">
        <v>80</v>
      </c>
      <c r="H19" s="881">
        <v>15.6</v>
      </c>
      <c r="I19" s="241" t="s">
        <v>26</v>
      </c>
      <c r="J19" s="76">
        <v>1</v>
      </c>
      <c r="K19" s="105">
        <f t="shared" si="1"/>
        <v>15.6</v>
      </c>
      <c r="L19" s="65"/>
      <c r="M19" s="65" t="s">
        <v>1146</v>
      </c>
      <c r="N19" s="791"/>
      <c r="O19" s="634"/>
      <c r="P19" s="1036"/>
      <c r="Q19" s="1037"/>
      <c r="R19" s="772"/>
    </row>
    <row r="20" spans="1:18" ht="30.75" customHeight="1" thickBot="1">
      <c r="A20" s="1323"/>
      <c r="B20" s="1313"/>
      <c r="C20" s="1346"/>
      <c r="D20" s="264"/>
      <c r="E20" s="264"/>
      <c r="F20" s="265">
        <v>81</v>
      </c>
      <c r="G20" s="265">
        <v>160</v>
      </c>
      <c r="H20" s="883">
        <v>18.61</v>
      </c>
      <c r="I20" s="267" t="s">
        <v>26</v>
      </c>
      <c r="J20" s="268"/>
      <c r="K20" s="269">
        <f t="shared" si="1"/>
        <v>0</v>
      </c>
      <c r="L20" s="65"/>
      <c r="M20" s="65" t="s">
        <v>1146</v>
      </c>
      <c r="N20" s="791"/>
      <c r="O20" s="634"/>
      <c r="P20" s="1036"/>
      <c r="Q20" s="1037"/>
      <c r="R20" s="772"/>
    </row>
    <row r="21" spans="1:18" ht="48" customHeight="1">
      <c r="A21" s="1340" t="s">
        <v>722</v>
      </c>
      <c r="B21" s="483" t="s">
        <v>731</v>
      </c>
      <c r="C21" s="357" t="s">
        <v>579</v>
      </c>
      <c r="D21" s="270"/>
      <c r="E21" s="270"/>
      <c r="F21" s="270"/>
      <c r="G21" s="270"/>
      <c r="H21" s="892">
        <v>49.13</v>
      </c>
      <c r="I21" s="271" t="s">
        <v>26</v>
      </c>
      <c r="J21" s="272"/>
      <c r="K21" s="273">
        <f>+J21*H21</f>
        <v>0</v>
      </c>
      <c r="L21" s="65"/>
      <c r="M21" s="65" t="s">
        <v>1147</v>
      </c>
      <c r="N21" s="791"/>
      <c r="O21" s="634"/>
      <c r="P21" s="1036"/>
      <c r="Q21" s="1037"/>
      <c r="R21" s="772"/>
    </row>
    <row r="22" spans="1:18" ht="51.75" customHeight="1" thickBot="1">
      <c r="A22" s="1341"/>
      <c r="B22" s="563" t="s">
        <v>807</v>
      </c>
      <c r="C22" s="274"/>
      <c r="D22" s="69"/>
      <c r="E22" s="69"/>
      <c r="F22" s="109">
        <v>1</v>
      </c>
      <c r="G22" s="109">
        <v>99999</v>
      </c>
      <c r="H22" s="893">
        <v>3.73</v>
      </c>
      <c r="I22" s="275" t="s">
        <v>26</v>
      </c>
      <c r="J22" s="111"/>
      <c r="K22" s="112">
        <f t="shared" si="1"/>
        <v>0</v>
      </c>
      <c r="L22" s="65"/>
      <c r="M22" s="65" t="s">
        <v>1146</v>
      </c>
      <c r="N22" s="791"/>
      <c r="O22" s="634"/>
      <c r="P22" s="1036"/>
      <c r="Q22" s="1037"/>
      <c r="R22" s="772"/>
    </row>
    <row r="23" spans="1:18" ht="43.5" customHeight="1">
      <c r="A23" s="748" t="s">
        <v>1088</v>
      </c>
      <c r="B23" s="749" t="s">
        <v>1090</v>
      </c>
      <c r="C23" s="749" t="s">
        <v>1089</v>
      </c>
      <c r="D23" s="750"/>
      <c r="E23" s="750"/>
      <c r="F23" s="750"/>
      <c r="G23" s="750"/>
      <c r="H23" s="894">
        <v>65</v>
      </c>
      <c r="I23" s="751" t="s">
        <v>26</v>
      </c>
      <c r="J23" s="752"/>
      <c r="K23" s="753">
        <f t="shared" si="1"/>
        <v>0</v>
      </c>
      <c r="L23" s="65"/>
      <c r="M23" s="65" t="s">
        <v>1147</v>
      </c>
      <c r="N23" s="791"/>
      <c r="O23" s="634"/>
      <c r="P23" s="1036"/>
      <c r="Q23" s="1037"/>
      <c r="R23" s="772"/>
    </row>
    <row r="24" spans="1:18" ht="30.75" customHeight="1" thickBot="1">
      <c r="A24" s="715"/>
      <c r="B24" s="716"/>
      <c r="C24" s="716"/>
      <c r="D24" s="717"/>
      <c r="E24" s="717"/>
      <c r="F24" s="717"/>
      <c r="G24" s="717"/>
      <c r="H24" s="895"/>
      <c r="I24" s="718"/>
      <c r="J24" s="719"/>
      <c r="K24" s="720">
        <f t="shared" si="1"/>
        <v>0</v>
      </c>
      <c r="L24" s="65"/>
      <c r="M24" s="65"/>
      <c r="N24" s="791"/>
      <c r="O24" s="634"/>
      <c r="P24" s="1036"/>
      <c r="Q24" s="1037"/>
      <c r="R24" s="772"/>
    </row>
    <row r="25" spans="1:18" ht="18" customHeight="1">
      <c r="A25" s="276" t="s">
        <v>203</v>
      </c>
      <c r="B25" s="277" t="s">
        <v>206</v>
      </c>
      <c r="C25" s="278"/>
      <c r="D25" s="279"/>
      <c r="E25" s="279"/>
      <c r="F25" s="280">
        <v>2</v>
      </c>
      <c r="G25" s="280">
        <v>99999</v>
      </c>
      <c r="H25" s="896">
        <v>20.74</v>
      </c>
      <c r="I25" s="282" t="s">
        <v>26</v>
      </c>
      <c r="J25" s="283"/>
      <c r="K25" s="284">
        <f t="shared" si="1"/>
        <v>0</v>
      </c>
      <c r="L25" s="65"/>
      <c r="M25" s="65" t="s">
        <v>1147</v>
      </c>
      <c r="N25" s="791"/>
      <c r="O25" s="634"/>
      <c r="P25" s="1036"/>
      <c r="Q25" s="1037"/>
      <c r="R25" s="772"/>
    </row>
    <row r="26" spans="1:18" ht="25.5" customHeight="1">
      <c r="A26" s="70" t="s">
        <v>207</v>
      </c>
      <c r="B26" s="61" t="s">
        <v>208</v>
      </c>
      <c r="C26" s="61" t="s">
        <v>209</v>
      </c>
      <c r="D26" s="59"/>
      <c r="E26" s="59"/>
      <c r="F26" s="59"/>
      <c r="G26" s="59"/>
      <c r="H26" s="881">
        <v>46.6</v>
      </c>
      <c r="I26" s="241" t="s">
        <v>26</v>
      </c>
      <c r="J26" s="76"/>
      <c r="K26" s="105">
        <f t="shared" si="1"/>
        <v>0</v>
      </c>
      <c r="L26" s="65"/>
      <c r="M26" s="65" t="s">
        <v>1147</v>
      </c>
      <c r="N26" s="791"/>
      <c r="O26" s="634"/>
      <c r="P26" s="1036"/>
      <c r="Q26" s="1037"/>
      <c r="R26" s="772"/>
    </row>
    <row r="27" spans="1:18" ht="24.75" customHeight="1">
      <c r="A27" s="70" t="s">
        <v>210</v>
      </c>
      <c r="B27" s="61" t="s">
        <v>211</v>
      </c>
      <c r="C27" s="61" t="s">
        <v>212</v>
      </c>
      <c r="D27" s="59"/>
      <c r="E27" s="59"/>
      <c r="F27" s="59"/>
      <c r="G27" s="59"/>
      <c r="H27" s="881">
        <v>69.819999999999993</v>
      </c>
      <c r="I27" s="241" t="s">
        <v>26</v>
      </c>
      <c r="J27" s="76"/>
      <c r="K27" s="105">
        <f t="shared" si="1"/>
        <v>0</v>
      </c>
      <c r="L27" s="65"/>
      <c r="M27" s="65" t="s">
        <v>1146</v>
      </c>
      <c r="N27" s="791"/>
      <c r="O27" s="634"/>
      <c r="P27" s="1036"/>
      <c r="Q27" s="1037"/>
      <c r="R27" s="772"/>
    </row>
    <row r="28" spans="1:18" ht="24" customHeight="1">
      <c r="A28" s="70" t="s">
        <v>213</v>
      </c>
      <c r="B28" s="61" t="s">
        <v>214</v>
      </c>
      <c r="C28" s="61" t="s">
        <v>215</v>
      </c>
      <c r="D28" s="59"/>
      <c r="E28" s="59"/>
      <c r="F28" s="59"/>
      <c r="G28" s="59"/>
      <c r="H28" s="881">
        <v>4.07</v>
      </c>
      <c r="I28" s="241" t="s">
        <v>26</v>
      </c>
      <c r="J28" s="76"/>
      <c r="K28" s="105">
        <f t="shared" si="1"/>
        <v>0</v>
      </c>
      <c r="L28" s="65"/>
      <c r="M28" s="65" t="s">
        <v>1147</v>
      </c>
      <c r="N28" s="791"/>
      <c r="O28" s="634"/>
      <c r="P28" s="1036"/>
      <c r="Q28" s="1037"/>
      <c r="R28" s="772"/>
    </row>
    <row r="29" spans="1:18" ht="20.25" customHeight="1">
      <c r="A29" s="1320" t="s">
        <v>997</v>
      </c>
      <c r="B29" s="1313" t="s">
        <v>998</v>
      </c>
      <c r="C29" s="1313" t="s">
        <v>1003</v>
      </c>
      <c r="D29" s="62" t="s">
        <v>999</v>
      </c>
      <c r="E29" s="62"/>
      <c r="F29" s="62"/>
      <c r="G29" s="62"/>
      <c r="H29" s="881">
        <v>33.020000000000003</v>
      </c>
      <c r="I29" s="241" t="s">
        <v>26</v>
      </c>
      <c r="J29" s="76"/>
      <c r="K29" s="105">
        <f t="shared" si="1"/>
        <v>0</v>
      </c>
      <c r="L29" s="791"/>
      <c r="M29" s="772" t="s">
        <v>1147</v>
      </c>
      <c r="N29" s="791"/>
      <c r="P29" s="1036"/>
      <c r="Q29" s="1037"/>
      <c r="R29" s="772"/>
    </row>
    <row r="30" spans="1:18" ht="19.5" customHeight="1">
      <c r="A30" s="1320"/>
      <c r="B30" s="1326"/>
      <c r="C30" s="1326"/>
      <c r="D30" s="62" t="s">
        <v>1000</v>
      </c>
      <c r="E30" s="62"/>
      <c r="F30" s="62"/>
      <c r="G30" s="62"/>
      <c r="H30" s="881">
        <v>49.53</v>
      </c>
      <c r="I30" s="241" t="s">
        <v>26</v>
      </c>
      <c r="J30" s="76"/>
      <c r="K30" s="105">
        <f t="shared" si="1"/>
        <v>0</v>
      </c>
      <c r="L30" s="791"/>
      <c r="M30" s="772" t="s">
        <v>1147</v>
      </c>
      <c r="N30" s="791"/>
      <c r="P30" s="1036"/>
      <c r="Q30" s="1037"/>
      <c r="R30" s="772"/>
    </row>
    <row r="31" spans="1:18" ht="17.25" customHeight="1">
      <c r="A31" s="1320"/>
      <c r="B31" s="1314"/>
      <c r="C31" s="1314"/>
      <c r="D31" s="62" t="s">
        <v>1001</v>
      </c>
      <c r="E31" s="62"/>
      <c r="F31" s="62"/>
      <c r="G31" s="62"/>
      <c r="H31" s="881">
        <v>66.040000000000006</v>
      </c>
      <c r="I31" s="241" t="s">
        <v>26</v>
      </c>
      <c r="J31" s="76"/>
      <c r="K31" s="105">
        <f t="shared" si="1"/>
        <v>0</v>
      </c>
      <c r="L31" s="791"/>
      <c r="M31" s="772" t="s">
        <v>1147</v>
      </c>
      <c r="N31" s="791"/>
      <c r="P31" s="1036"/>
      <c r="Q31" s="1037"/>
      <c r="R31" s="772"/>
    </row>
    <row r="32" spans="1:18" ht="26.25" customHeight="1">
      <c r="A32" s="1338"/>
      <c r="B32" s="663" t="s">
        <v>1002</v>
      </c>
      <c r="C32" s="54" t="s">
        <v>1006</v>
      </c>
      <c r="D32" s="62"/>
      <c r="E32" s="59"/>
      <c r="F32" s="59"/>
      <c r="G32" s="59"/>
      <c r="H32" s="881">
        <v>28.67</v>
      </c>
      <c r="I32" s="241" t="s">
        <v>26</v>
      </c>
      <c r="J32" s="76"/>
      <c r="K32" s="105">
        <f t="shared" si="1"/>
        <v>0</v>
      </c>
      <c r="L32" s="791"/>
      <c r="M32" s="772" t="s">
        <v>1147</v>
      </c>
      <c r="N32" s="791"/>
      <c r="P32" s="1036"/>
      <c r="Q32" s="1037"/>
      <c r="R32" s="772"/>
    </row>
    <row r="33" spans="1:18" ht="18" customHeight="1">
      <c r="A33" s="1338"/>
      <c r="B33" s="1313" t="s">
        <v>1017</v>
      </c>
      <c r="C33" s="1313" t="s">
        <v>1005</v>
      </c>
      <c r="D33" s="62" t="s">
        <v>1016</v>
      </c>
      <c r="E33" s="59"/>
      <c r="F33" s="59"/>
      <c r="G33" s="59"/>
      <c r="H33" s="881">
        <v>72</v>
      </c>
      <c r="I33" s="241" t="s">
        <v>26</v>
      </c>
      <c r="J33" s="76"/>
      <c r="K33" s="105">
        <f t="shared" si="1"/>
        <v>0</v>
      </c>
      <c r="L33" s="791"/>
      <c r="M33" s="772" t="s">
        <v>1147</v>
      </c>
      <c r="N33" s="791"/>
      <c r="P33" s="1036"/>
      <c r="Q33" s="1037"/>
      <c r="R33" s="772"/>
    </row>
    <row r="34" spans="1:18" ht="18" customHeight="1">
      <c r="A34" s="1338"/>
      <c r="B34" s="1326"/>
      <c r="C34" s="1326"/>
      <c r="D34" s="62" t="s">
        <v>1000</v>
      </c>
      <c r="E34" s="59"/>
      <c r="F34" s="59"/>
      <c r="G34" s="59"/>
      <c r="H34" s="881">
        <v>187</v>
      </c>
      <c r="I34" s="241" t="s">
        <v>26</v>
      </c>
      <c r="J34" s="76"/>
      <c r="K34" s="105">
        <f t="shared" si="1"/>
        <v>0</v>
      </c>
      <c r="L34" s="791"/>
      <c r="M34" s="772" t="s">
        <v>1147</v>
      </c>
      <c r="N34" s="791"/>
      <c r="P34" s="1036"/>
      <c r="Q34" s="1037"/>
      <c r="R34" s="772"/>
    </row>
    <row r="35" spans="1:18" ht="18" customHeight="1">
      <c r="A35" s="1338"/>
      <c r="B35" s="1314"/>
      <c r="C35" s="1314"/>
      <c r="D35" s="62" t="s">
        <v>1001</v>
      </c>
      <c r="E35" s="59"/>
      <c r="F35" s="59"/>
      <c r="G35" s="59"/>
      <c r="H35" s="881">
        <v>225</v>
      </c>
      <c r="I35" s="241" t="s">
        <v>26</v>
      </c>
      <c r="J35" s="76"/>
      <c r="K35" s="388">
        <f t="shared" si="1"/>
        <v>0</v>
      </c>
      <c r="L35" s="791"/>
      <c r="M35" s="772" t="s">
        <v>1147</v>
      </c>
      <c r="N35" s="791"/>
      <c r="P35" s="1036"/>
      <c r="Q35" s="1037"/>
      <c r="R35" s="772"/>
    </row>
    <row r="36" spans="1:18" ht="18" customHeight="1">
      <c r="A36" s="1329" t="s">
        <v>1363</v>
      </c>
      <c r="B36" s="866" t="s">
        <v>1300</v>
      </c>
      <c r="C36" s="866"/>
      <c r="D36" s="987" t="s">
        <v>1302</v>
      </c>
      <c r="E36" s="868"/>
      <c r="F36" s="868"/>
      <c r="G36" s="868"/>
      <c r="H36" s="888">
        <v>9.0399999999999991</v>
      </c>
      <c r="I36" s="282" t="s">
        <v>26</v>
      </c>
      <c r="J36" s="283"/>
      <c r="K36" s="865">
        <f t="shared" si="1"/>
        <v>0</v>
      </c>
      <c r="L36" s="791"/>
      <c r="M36" s="1035" t="s">
        <v>1464</v>
      </c>
      <c r="N36" s="791"/>
      <c r="O36" s="634"/>
      <c r="P36" s="1036"/>
      <c r="Q36" s="1037"/>
      <c r="R36" s="772"/>
    </row>
    <row r="37" spans="1:18" ht="24.45" customHeight="1">
      <c r="A37" s="1330"/>
      <c r="B37" s="866" t="s">
        <v>1417</v>
      </c>
      <c r="C37" s="866" t="s">
        <v>1418</v>
      </c>
      <c r="D37" s="867"/>
      <c r="E37" s="868"/>
      <c r="F37" s="868"/>
      <c r="G37" s="868"/>
      <c r="H37" s="888">
        <v>6.9160000000000004</v>
      </c>
      <c r="I37" s="282" t="s">
        <v>26</v>
      </c>
      <c r="J37" s="283"/>
      <c r="K37" s="865">
        <f t="shared" si="1"/>
        <v>0</v>
      </c>
      <c r="L37" s="791"/>
      <c r="M37" s="1035" t="s">
        <v>1464</v>
      </c>
      <c r="N37" s="791"/>
      <c r="O37" s="634"/>
      <c r="P37" s="1036"/>
      <c r="R37" s="772"/>
    </row>
    <row r="38" spans="1:18" ht="29.7" customHeight="1" thickBot="1">
      <c r="A38" s="1331"/>
      <c r="B38" s="866" t="s">
        <v>1419</v>
      </c>
      <c r="C38" s="866" t="s">
        <v>1006</v>
      </c>
      <c r="D38" s="867"/>
      <c r="E38" s="868"/>
      <c r="F38" s="868"/>
      <c r="G38" s="868"/>
      <c r="H38" s="888">
        <v>11.78</v>
      </c>
      <c r="I38" s="282" t="s">
        <v>26</v>
      </c>
      <c r="J38" s="283"/>
      <c r="K38" s="865">
        <f t="shared" si="1"/>
        <v>0</v>
      </c>
      <c r="L38" s="791"/>
      <c r="M38" s="1035" t="s">
        <v>1464</v>
      </c>
      <c r="N38" s="791"/>
      <c r="O38" s="634"/>
      <c r="P38" s="1036"/>
      <c r="R38" s="772"/>
    </row>
    <row r="39" spans="1:18" s="58" customFormat="1" ht="53.25" customHeight="1">
      <c r="A39" s="101" t="s">
        <v>304</v>
      </c>
      <c r="B39" s="57" t="s">
        <v>321</v>
      </c>
      <c r="C39" s="57" t="s">
        <v>303</v>
      </c>
      <c r="D39" s="57" t="s">
        <v>97</v>
      </c>
      <c r="E39" s="57"/>
      <c r="F39" s="57"/>
      <c r="G39" s="57"/>
      <c r="H39" s="102" t="s">
        <v>318</v>
      </c>
      <c r="I39" s="234" t="s">
        <v>25</v>
      </c>
      <c r="J39" s="103" t="s">
        <v>308</v>
      </c>
      <c r="K39" s="104" t="s">
        <v>1366</v>
      </c>
      <c r="L39" s="641"/>
      <c r="M39" s="641"/>
      <c r="N39" s="791"/>
      <c r="O39" s="641"/>
      <c r="P39" s="1135"/>
      <c r="Q39" s="1134"/>
      <c r="R39" s="772"/>
    </row>
    <row r="40" spans="1:18" ht="22.5" customHeight="1">
      <c r="A40" s="758" t="s">
        <v>297</v>
      </c>
      <c r="B40" s="759" t="s">
        <v>300</v>
      </c>
      <c r="C40" s="760" t="s">
        <v>183</v>
      </c>
      <c r="D40" s="59"/>
      <c r="E40" s="59"/>
      <c r="F40" s="59"/>
      <c r="G40" s="59"/>
      <c r="H40" s="881">
        <v>6</v>
      </c>
      <c r="I40" s="241" t="s">
        <v>26</v>
      </c>
      <c r="J40" s="76"/>
      <c r="K40" s="105">
        <f t="shared" ref="K40:K45" si="2">+J40*H40</f>
        <v>0</v>
      </c>
      <c r="L40" s="791"/>
      <c r="M40" s="772" t="s">
        <v>1146</v>
      </c>
      <c r="N40" s="791"/>
      <c r="O40" s="634"/>
      <c r="P40" s="1036"/>
      <c r="Q40" s="1037"/>
      <c r="R40" s="772"/>
    </row>
    <row r="41" spans="1:18" ht="22.5" customHeight="1">
      <c r="A41" s="758" t="s">
        <v>298</v>
      </c>
      <c r="B41" s="759" t="s">
        <v>301</v>
      </c>
      <c r="C41" s="760" t="s">
        <v>184</v>
      </c>
      <c r="D41" s="59"/>
      <c r="E41" s="59"/>
      <c r="F41" s="59"/>
      <c r="G41" s="59"/>
      <c r="H41" s="881">
        <v>10</v>
      </c>
      <c r="I41" s="241" t="s">
        <v>26</v>
      </c>
      <c r="J41" s="76"/>
      <c r="K41" s="105">
        <f t="shared" si="2"/>
        <v>0</v>
      </c>
      <c r="L41" s="791"/>
      <c r="M41" s="772" t="s">
        <v>1146</v>
      </c>
      <c r="N41" s="791"/>
      <c r="O41" s="634"/>
      <c r="P41" s="1036"/>
      <c r="Q41" s="1037"/>
      <c r="R41" s="772"/>
    </row>
    <row r="42" spans="1:18" s="60" customFormat="1" ht="22.5" customHeight="1">
      <c r="A42" s="758" t="s">
        <v>188</v>
      </c>
      <c r="B42" s="759" t="s">
        <v>189</v>
      </c>
      <c r="C42" s="760" t="s">
        <v>190</v>
      </c>
      <c r="D42" s="59"/>
      <c r="E42" s="59"/>
      <c r="F42" s="59"/>
      <c r="G42" s="59"/>
      <c r="H42" s="881">
        <v>6.9</v>
      </c>
      <c r="I42" s="241" t="s">
        <v>26</v>
      </c>
      <c r="J42" s="76"/>
      <c r="K42" s="105">
        <f t="shared" si="2"/>
        <v>0</v>
      </c>
      <c r="L42" s="791"/>
      <c r="M42" s="772" t="s">
        <v>1146</v>
      </c>
      <c r="N42" s="791"/>
      <c r="O42" s="634"/>
      <c r="P42" s="1036"/>
      <c r="Q42" s="1037"/>
      <c r="R42" s="772"/>
    </row>
    <row r="43" spans="1:18" ht="22.5" customHeight="1">
      <c r="A43" s="1339" t="s">
        <v>299</v>
      </c>
      <c r="B43" s="759" t="s">
        <v>302</v>
      </c>
      <c r="C43" s="760" t="s">
        <v>183</v>
      </c>
      <c r="D43" s="59">
        <v>12066325</v>
      </c>
      <c r="E43" s="59"/>
      <c r="F43" s="59"/>
      <c r="G43" s="59"/>
      <c r="H43" s="881">
        <v>14.8</v>
      </c>
      <c r="I43" s="241" t="s">
        <v>26</v>
      </c>
      <c r="J43" s="76"/>
      <c r="K43" s="105">
        <f t="shared" si="2"/>
        <v>0</v>
      </c>
      <c r="L43" s="791"/>
      <c r="M43" s="772" t="s">
        <v>1146</v>
      </c>
      <c r="N43" s="791"/>
      <c r="O43" s="634"/>
      <c r="P43" s="1036"/>
      <c r="Q43" s="1037"/>
      <c r="R43" s="772"/>
    </row>
    <row r="44" spans="1:18" ht="22.5" customHeight="1">
      <c r="A44" s="1339"/>
      <c r="B44" s="759" t="s">
        <v>302</v>
      </c>
      <c r="C44" s="760" t="s">
        <v>183</v>
      </c>
      <c r="D44" s="59">
        <v>12092218</v>
      </c>
      <c r="E44" s="59"/>
      <c r="F44" s="59"/>
      <c r="G44" s="59"/>
      <c r="H44" s="881">
        <v>14.8</v>
      </c>
      <c r="I44" s="241" t="s">
        <v>26</v>
      </c>
      <c r="J44" s="76"/>
      <c r="K44" s="105">
        <f t="shared" si="2"/>
        <v>0</v>
      </c>
      <c r="L44" s="791"/>
      <c r="M44" s="772" t="s">
        <v>1146</v>
      </c>
      <c r="N44" s="791"/>
      <c r="O44" s="634"/>
      <c r="P44" s="1036"/>
      <c r="Q44" s="1037"/>
      <c r="R44" s="772"/>
    </row>
    <row r="45" spans="1:18" ht="22.5" customHeight="1">
      <c r="A45" s="1339"/>
      <c r="B45" s="759" t="s">
        <v>302</v>
      </c>
      <c r="C45" s="760" t="s">
        <v>183</v>
      </c>
      <c r="D45" s="59"/>
      <c r="E45" s="59"/>
      <c r="F45" s="59"/>
      <c r="G45" s="59"/>
      <c r="H45" s="881">
        <v>5.8</v>
      </c>
      <c r="I45" s="241" t="s">
        <v>26</v>
      </c>
      <c r="J45" s="76"/>
      <c r="K45" s="105">
        <f t="shared" si="2"/>
        <v>0</v>
      </c>
      <c r="L45" s="791"/>
      <c r="M45" s="772" t="s">
        <v>1146</v>
      </c>
      <c r="N45" s="791"/>
      <c r="O45" s="634"/>
      <c r="P45" s="1036"/>
      <c r="Q45" s="1037"/>
      <c r="R45" s="772"/>
    </row>
    <row r="46" spans="1:18" ht="22.5" customHeight="1">
      <c r="A46" s="683"/>
      <c r="B46" s="684"/>
      <c r="C46" s="682"/>
      <c r="D46" s="264"/>
      <c r="E46" s="264"/>
      <c r="F46" s="264"/>
      <c r="G46" s="264"/>
      <c r="H46" s="881"/>
      <c r="I46" s="241"/>
      <c r="J46" s="76"/>
      <c r="K46" s="105">
        <f>+J46*H46</f>
        <v>0</v>
      </c>
      <c r="L46" s="773"/>
      <c r="M46" s="773" t="s">
        <v>1146</v>
      </c>
      <c r="N46" s="791"/>
      <c r="O46" s="634"/>
      <c r="P46" s="1036"/>
      <c r="Q46" s="1037"/>
      <c r="R46" s="772"/>
    </row>
    <row r="47" spans="1:18" ht="22.5" customHeight="1">
      <c r="A47" s="683"/>
      <c r="B47" s="684"/>
      <c r="C47" s="682"/>
      <c r="D47" s="264"/>
      <c r="E47" s="264"/>
      <c r="F47" s="264"/>
      <c r="G47" s="264"/>
      <c r="H47" s="240"/>
      <c r="I47" s="241"/>
      <c r="J47" s="76"/>
      <c r="K47" s="105">
        <f>+J47*H47</f>
        <v>0</v>
      </c>
      <c r="N47" s="791"/>
      <c r="O47" s="634"/>
      <c r="P47" s="1036"/>
      <c r="Q47" s="1037"/>
      <c r="R47" s="772"/>
    </row>
    <row r="48" spans="1:18" ht="22.5" customHeight="1" thickBot="1">
      <c r="A48" s="106"/>
      <c r="B48" s="115"/>
      <c r="C48" s="69"/>
      <c r="D48" s="69"/>
      <c r="E48" s="69"/>
      <c r="F48" s="69"/>
      <c r="G48" s="69"/>
      <c r="H48" s="235"/>
      <c r="I48" s="235"/>
      <c r="J48" s="111"/>
      <c r="K48" s="112"/>
      <c r="N48" s="791"/>
      <c r="O48" s="634"/>
      <c r="P48" s="1036"/>
      <c r="Q48" s="1037"/>
      <c r="R48" s="772"/>
    </row>
    <row r="49" spans="1:18" s="58" customFormat="1" ht="53.25" customHeight="1">
      <c r="A49" s="101" t="s">
        <v>714</v>
      </c>
      <c r="B49" s="57" t="s">
        <v>321</v>
      </c>
      <c r="C49" s="57" t="s">
        <v>96</v>
      </c>
      <c r="D49" s="57"/>
      <c r="E49" s="57"/>
      <c r="F49" s="57" t="s">
        <v>101</v>
      </c>
      <c r="G49" s="57" t="s">
        <v>102</v>
      </c>
      <c r="H49" s="102" t="s">
        <v>318</v>
      </c>
      <c r="I49" s="234" t="s">
        <v>25</v>
      </c>
      <c r="J49" s="103" t="s">
        <v>308</v>
      </c>
      <c r="K49" s="104" t="s">
        <v>1366</v>
      </c>
      <c r="N49" s="791"/>
      <c r="O49" s="634"/>
      <c r="P49" s="1036"/>
      <c r="Q49" s="1037"/>
      <c r="R49" s="791"/>
    </row>
    <row r="50" spans="1:18" ht="27" customHeight="1">
      <c r="A50" s="1327" t="s">
        <v>715</v>
      </c>
      <c r="B50" s="1324" t="s">
        <v>712</v>
      </c>
      <c r="C50" s="1347" t="s">
        <v>711</v>
      </c>
      <c r="D50" s="484"/>
      <c r="E50" s="62"/>
      <c r="F50" s="62">
        <v>0</v>
      </c>
      <c r="G50" s="62">
        <v>100</v>
      </c>
      <c r="H50" s="881">
        <v>2.9729999999999999</v>
      </c>
      <c r="I50" s="241" t="s">
        <v>26</v>
      </c>
      <c r="J50" s="76">
        <v>1</v>
      </c>
      <c r="K50" s="105">
        <f t="shared" ref="K50:K61" si="3">+J50*H50</f>
        <v>2.9729999999999999</v>
      </c>
      <c r="M50" s="55" t="s">
        <v>1146</v>
      </c>
      <c r="N50" s="791"/>
      <c r="O50" s="634"/>
      <c r="P50" s="1036"/>
      <c r="Q50" s="1037"/>
      <c r="R50" s="772"/>
    </row>
    <row r="51" spans="1:18" ht="18" customHeight="1">
      <c r="A51" s="1328"/>
      <c r="B51" s="1281"/>
      <c r="C51" s="1348"/>
      <c r="D51" s="62"/>
      <c r="E51" s="62"/>
      <c r="F51" s="62">
        <v>101</v>
      </c>
      <c r="G51" s="62">
        <v>200</v>
      </c>
      <c r="H51" s="881">
        <v>3.05</v>
      </c>
      <c r="I51" s="241" t="s">
        <v>26</v>
      </c>
      <c r="J51" s="76">
        <v>1</v>
      </c>
      <c r="K51" s="105">
        <f t="shared" si="3"/>
        <v>3.05</v>
      </c>
      <c r="M51" s="55" t="s">
        <v>1146</v>
      </c>
      <c r="N51" s="791"/>
      <c r="O51" s="634"/>
      <c r="P51" s="1036"/>
      <c r="Q51" s="1037"/>
      <c r="R51" s="772"/>
    </row>
    <row r="52" spans="1:18" ht="18" customHeight="1">
      <c r="A52" s="1328"/>
      <c r="B52" s="1281"/>
      <c r="C52" s="1348"/>
      <c r="D52" s="62"/>
      <c r="E52" s="62"/>
      <c r="F52" s="62">
        <v>201</v>
      </c>
      <c r="G52" s="62">
        <v>300</v>
      </c>
      <c r="H52" s="881">
        <v>3.1</v>
      </c>
      <c r="I52" s="241" t="s">
        <v>26</v>
      </c>
      <c r="J52" s="76">
        <v>2</v>
      </c>
      <c r="K52" s="105">
        <f t="shared" si="3"/>
        <v>6.2</v>
      </c>
      <c r="M52" s="55" t="s">
        <v>1146</v>
      </c>
      <c r="N52" s="791"/>
      <c r="O52" s="634"/>
      <c r="P52" s="1036"/>
      <c r="Q52" s="1037"/>
      <c r="R52" s="791"/>
    </row>
    <row r="53" spans="1:18" ht="28.5" customHeight="1">
      <c r="A53" s="1328"/>
      <c r="B53" s="1281"/>
      <c r="C53" s="1348"/>
      <c r="D53" s="62"/>
      <c r="E53" s="62"/>
      <c r="F53" s="62">
        <v>301</v>
      </c>
      <c r="G53" s="62">
        <v>400</v>
      </c>
      <c r="H53" s="881">
        <v>3.31</v>
      </c>
      <c r="I53" s="241" t="s">
        <v>26</v>
      </c>
      <c r="J53" s="76"/>
      <c r="K53" s="105">
        <f t="shared" si="3"/>
        <v>0</v>
      </c>
      <c r="M53" s="55" t="s">
        <v>1146</v>
      </c>
      <c r="N53" s="791"/>
      <c r="O53" s="634"/>
      <c r="P53" s="1036"/>
      <c r="Q53" s="1037"/>
      <c r="R53" s="791"/>
    </row>
    <row r="54" spans="1:18" ht="28.5" customHeight="1">
      <c r="A54" s="1328"/>
      <c r="B54" s="1281"/>
      <c r="C54" s="1348"/>
      <c r="D54" s="265"/>
      <c r="E54" s="265"/>
      <c r="F54" s="265">
        <v>401</v>
      </c>
      <c r="G54" s="265">
        <v>500</v>
      </c>
      <c r="H54" s="883">
        <v>3.569</v>
      </c>
      <c r="I54" s="267" t="s">
        <v>26</v>
      </c>
      <c r="J54" s="268"/>
      <c r="K54" s="105">
        <f t="shared" si="3"/>
        <v>0</v>
      </c>
      <c r="M54" s="55" t="s">
        <v>1146</v>
      </c>
      <c r="N54" s="791"/>
      <c r="O54" s="634"/>
      <c r="P54" s="1036"/>
      <c r="Q54" s="1037"/>
      <c r="R54" s="772"/>
    </row>
    <row r="55" spans="1:18" ht="28.5" customHeight="1">
      <c r="A55" s="1328"/>
      <c r="B55" s="1281"/>
      <c r="C55" s="1348"/>
      <c r="D55" s="265"/>
      <c r="E55" s="265"/>
      <c r="F55" s="265">
        <v>501</v>
      </c>
      <c r="G55" s="265">
        <v>600</v>
      </c>
      <c r="H55" s="883">
        <v>3.8279999999999998</v>
      </c>
      <c r="I55" s="267" t="s">
        <v>26</v>
      </c>
      <c r="J55" s="268"/>
      <c r="K55" s="105">
        <f t="shared" si="3"/>
        <v>0</v>
      </c>
      <c r="M55" s="55" t="s">
        <v>1146</v>
      </c>
      <c r="N55" s="791"/>
      <c r="O55" s="634"/>
      <c r="P55" s="1036"/>
      <c r="Q55" s="1037"/>
      <c r="R55" s="772"/>
    </row>
    <row r="56" spans="1:18" ht="28.5" customHeight="1">
      <c r="A56" s="1328"/>
      <c r="B56" s="1281"/>
      <c r="C56" s="1348"/>
      <c r="D56" s="265"/>
      <c r="E56" s="265"/>
      <c r="F56" s="265">
        <v>601</v>
      </c>
      <c r="G56" s="265">
        <v>700</v>
      </c>
      <c r="H56" s="883">
        <v>4.0869999999999997</v>
      </c>
      <c r="I56" s="267" t="s">
        <v>26</v>
      </c>
      <c r="J56" s="268"/>
      <c r="K56" s="105">
        <f t="shared" si="3"/>
        <v>0</v>
      </c>
      <c r="M56" s="55" t="s">
        <v>1146</v>
      </c>
      <c r="N56" s="791"/>
      <c r="O56" s="634"/>
      <c r="P56" s="1036"/>
      <c r="Q56" s="1037"/>
      <c r="R56" s="772"/>
    </row>
    <row r="57" spans="1:18" ht="28.5" customHeight="1">
      <c r="A57" s="1328"/>
      <c r="B57" s="1281"/>
      <c r="C57" s="1348"/>
      <c r="D57" s="265"/>
      <c r="E57" s="265"/>
      <c r="F57" s="265">
        <v>701</v>
      </c>
      <c r="G57" s="265">
        <v>800</v>
      </c>
      <c r="H57" s="883">
        <v>4.3460000000000001</v>
      </c>
      <c r="I57" s="267" t="s">
        <v>26</v>
      </c>
      <c r="J57" s="268"/>
      <c r="K57" s="105">
        <f t="shared" si="3"/>
        <v>0</v>
      </c>
      <c r="M57" s="55" t="s">
        <v>1146</v>
      </c>
      <c r="N57" s="791"/>
      <c r="O57" s="634"/>
      <c r="P57" s="1036"/>
      <c r="Q57" s="1037"/>
      <c r="R57" s="772"/>
    </row>
    <row r="58" spans="1:18" ht="28.5" customHeight="1">
      <c r="A58" s="1328"/>
      <c r="B58" s="1281"/>
      <c r="C58" s="1348"/>
      <c r="D58" s="265"/>
      <c r="E58" s="265"/>
      <c r="F58" s="265">
        <v>801</v>
      </c>
      <c r="G58" s="265">
        <v>900</v>
      </c>
      <c r="H58" s="883">
        <v>4.6050000000000004</v>
      </c>
      <c r="I58" s="267" t="s">
        <v>26</v>
      </c>
      <c r="J58" s="268"/>
      <c r="K58" s="105">
        <f t="shared" si="3"/>
        <v>0</v>
      </c>
      <c r="M58" s="55" t="s">
        <v>1146</v>
      </c>
      <c r="N58" s="791"/>
      <c r="O58" s="634"/>
      <c r="P58" s="1036"/>
      <c r="Q58" s="1037"/>
      <c r="R58" s="772"/>
    </row>
    <row r="59" spans="1:18" ht="21" customHeight="1">
      <c r="A59" s="1328"/>
      <c r="B59" s="1281"/>
      <c r="C59" s="1348"/>
      <c r="D59" s="265"/>
      <c r="E59" s="265"/>
      <c r="F59" s="62">
        <v>901</v>
      </c>
      <c r="G59" s="62">
        <v>1000</v>
      </c>
      <c r="H59" s="883">
        <v>4.8639999999999999</v>
      </c>
      <c r="I59" s="267" t="s">
        <v>26</v>
      </c>
      <c r="J59" s="268"/>
      <c r="K59" s="105">
        <f t="shared" si="3"/>
        <v>0</v>
      </c>
      <c r="M59" s="55" t="s">
        <v>1146</v>
      </c>
      <c r="N59" s="791"/>
      <c r="O59" s="634"/>
      <c r="P59" s="1036"/>
      <c r="Q59" s="1037"/>
      <c r="R59" s="772"/>
    </row>
    <row r="60" spans="1:18" ht="21" customHeight="1">
      <c r="A60" s="1328"/>
      <c r="B60" s="1281"/>
      <c r="C60" s="1348"/>
      <c r="D60" s="62"/>
      <c r="E60" s="62"/>
      <c r="F60" s="62">
        <v>1001</v>
      </c>
      <c r="G60" s="62">
        <v>1200</v>
      </c>
      <c r="H60" s="883">
        <v>5.3819999999999997</v>
      </c>
      <c r="I60" s="241" t="s">
        <v>26</v>
      </c>
      <c r="J60" s="76"/>
      <c r="K60" s="269">
        <f t="shared" si="3"/>
        <v>0</v>
      </c>
      <c r="M60" s="55" t="s">
        <v>1146</v>
      </c>
      <c r="N60" s="791"/>
      <c r="O60" s="634"/>
      <c r="P60" s="1036"/>
      <c r="Q60" s="1037"/>
      <c r="R60" s="772"/>
    </row>
    <row r="61" spans="1:18" ht="21" customHeight="1">
      <c r="A61" s="1328"/>
      <c r="B61" s="1281"/>
      <c r="C61" s="1348"/>
      <c r="D61" s="265"/>
      <c r="E61" s="265"/>
      <c r="F61" s="533">
        <v>1201</v>
      </c>
      <c r="G61" s="533">
        <v>1400</v>
      </c>
      <c r="H61" s="883">
        <v>5.9</v>
      </c>
      <c r="I61" s="267" t="s">
        <v>26</v>
      </c>
      <c r="J61" s="268"/>
      <c r="K61" s="269">
        <f t="shared" si="3"/>
        <v>0</v>
      </c>
      <c r="M61" s="55" t="s">
        <v>1146</v>
      </c>
      <c r="N61" s="791"/>
      <c r="O61" s="634"/>
      <c r="P61" s="1036"/>
      <c r="Q61" s="1037"/>
      <c r="R61" s="772"/>
    </row>
    <row r="62" spans="1:18" ht="21" customHeight="1">
      <c r="A62" s="685"/>
      <c r="B62" s="696"/>
      <c r="C62" s="676"/>
      <c r="D62" s="62"/>
      <c r="E62" s="62"/>
      <c r="F62" s="62"/>
      <c r="G62" s="62"/>
      <c r="H62" s="890"/>
      <c r="I62" s="241"/>
      <c r="J62" s="76"/>
      <c r="K62" s="105"/>
      <c r="N62" s="791"/>
      <c r="O62" s="634"/>
      <c r="P62" s="1036"/>
      <c r="Q62" s="1037"/>
      <c r="R62" s="772"/>
    </row>
    <row r="63" spans="1:18" ht="21" customHeight="1">
      <c r="A63" s="685"/>
      <c r="B63" s="696"/>
      <c r="C63" s="676"/>
      <c r="D63" s="62"/>
      <c r="E63" s="62"/>
      <c r="F63" s="62"/>
      <c r="G63" s="62"/>
      <c r="H63" s="709"/>
      <c r="I63" s="241"/>
      <c r="J63" s="76"/>
      <c r="K63" s="105"/>
      <c r="N63" s="791"/>
      <c r="O63" s="634"/>
      <c r="P63" s="1036"/>
      <c r="Q63" s="1037"/>
      <c r="R63" s="772"/>
    </row>
    <row r="64" spans="1:18" ht="21" customHeight="1">
      <c r="A64" s="685"/>
      <c r="B64" s="696"/>
      <c r="C64" s="676"/>
      <c r="D64" s="62"/>
      <c r="E64" s="62"/>
      <c r="F64" s="62"/>
      <c r="G64" s="62"/>
      <c r="H64" s="709"/>
      <c r="I64" s="241"/>
      <c r="J64" s="76"/>
      <c r="K64" s="105"/>
      <c r="N64" s="791"/>
      <c r="O64" s="634"/>
      <c r="P64" s="1036"/>
      <c r="Q64" s="1037"/>
      <c r="R64" s="772"/>
    </row>
    <row r="65" spans="1:18" ht="21" customHeight="1">
      <c r="A65" s="685"/>
      <c r="B65" s="696"/>
      <c r="C65" s="676"/>
      <c r="D65" s="62"/>
      <c r="E65" s="62"/>
      <c r="F65" s="62"/>
      <c r="G65" s="62"/>
      <c r="H65" s="709"/>
      <c r="I65" s="241"/>
      <c r="J65" s="76"/>
      <c r="K65" s="105"/>
      <c r="N65" s="791"/>
      <c r="O65" s="634"/>
      <c r="P65" s="1036"/>
      <c r="Q65" s="1037"/>
      <c r="R65" s="772"/>
    </row>
    <row r="66" spans="1:18" ht="22.5" customHeight="1" thickBot="1">
      <c r="A66" s="106"/>
      <c r="B66" s="115"/>
      <c r="C66" s="69"/>
      <c r="D66" s="69"/>
      <c r="E66" s="69"/>
      <c r="F66" s="69"/>
      <c r="G66" s="69"/>
      <c r="H66" s="69"/>
      <c r="I66" s="235"/>
      <c r="J66" s="111"/>
      <c r="K66" s="112"/>
      <c r="N66" s="791"/>
      <c r="O66" s="634"/>
      <c r="P66" s="1036"/>
      <c r="Q66" s="1037"/>
      <c r="R66" s="772"/>
    </row>
    <row r="67" spans="1:18" s="58" customFormat="1" ht="53.25" customHeight="1">
      <c r="A67" s="101" t="s">
        <v>305</v>
      </c>
      <c r="B67" s="57" t="s">
        <v>321</v>
      </c>
      <c r="C67" s="57" t="s">
        <v>96</v>
      </c>
      <c r="D67" s="57"/>
      <c r="E67" s="57"/>
      <c r="F67" s="57"/>
      <c r="G67" s="57"/>
      <c r="H67" s="102" t="s">
        <v>318</v>
      </c>
      <c r="I67" s="234" t="s">
        <v>25</v>
      </c>
      <c r="J67" s="103" t="s">
        <v>308</v>
      </c>
      <c r="K67" s="104" t="s">
        <v>1366</v>
      </c>
      <c r="N67" s="791"/>
      <c r="O67" s="634"/>
      <c r="P67" s="1036"/>
      <c r="Q67" s="1037"/>
      <c r="R67" s="772"/>
    </row>
    <row r="68" spans="1:18" ht="103.5" customHeight="1">
      <c r="A68" s="792" t="s">
        <v>1171</v>
      </c>
      <c r="B68" s="325" t="s">
        <v>1117</v>
      </c>
      <c r="C68" s="635" t="s">
        <v>1172</v>
      </c>
      <c r="D68" s="62"/>
      <c r="E68" s="62"/>
      <c r="F68" s="62"/>
      <c r="G68" s="62"/>
      <c r="H68" s="881">
        <v>2.7</v>
      </c>
      <c r="I68" s="241" t="s">
        <v>26</v>
      </c>
      <c r="J68" s="76"/>
      <c r="K68" s="105">
        <f>+J68*H68</f>
        <v>0</v>
      </c>
      <c r="M68" s="55" t="s">
        <v>1147</v>
      </c>
      <c r="N68" s="791"/>
      <c r="O68" s="634"/>
      <c r="P68" s="1036"/>
      <c r="Q68" s="1037"/>
      <c r="R68" s="772"/>
    </row>
    <row r="69" spans="1:18" ht="103.5" customHeight="1">
      <c r="A69" s="792" t="s">
        <v>1328</v>
      </c>
      <c r="B69" s="54" t="s">
        <v>1329</v>
      </c>
      <c r="C69" s="635" t="s">
        <v>1173</v>
      </c>
      <c r="D69" s="54" t="s">
        <v>1170</v>
      </c>
      <c r="E69" s="62"/>
      <c r="F69" s="62"/>
      <c r="G69" s="62"/>
      <c r="H69" s="881">
        <v>8</v>
      </c>
      <c r="I69" s="241" t="s">
        <v>26</v>
      </c>
      <c r="J69" s="793"/>
      <c r="K69" s="388">
        <f>+J69*H69</f>
        <v>0</v>
      </c>
      <c r="N69" s="791"/>
      <c r="O69" s="634"/>
      <c r="P69" s="1036"/>
      <c r="Q69" s="1037"/>
      <c r="R69" s="772"/>
    </row>
    <row r="70" spans="1:18" ht="42" hidden="1" customHeight="1">
      <c r="A70" s="792" t="s">
        <v>1166</v>
      </c>
      <c r="B70" s="54" t="s">
        <v>1167</v>
      </c>
      <c r="C70" s="635" t="s">
        <v>1165</v>
      </c>
      <c r="D70" s="62"/>
      <c r="E70" s="62"/>
      <c r="F70" s="62"/>
      <c r="G70" s="62"/>
      <c r="H70" s="881">
        <v>7</v>
      </c>
      <c r="I70" s="241" t="s">
        <v>26</v>
      </c>
      <c r="J70" s="793"/>
      <c r="K70" s="388"/>
      <c r="N70" s="791"/>
      <c r="O70" s="634"/>
      <c r="P70" s="1036"/>
      <c r="Q70" s="1037"/>
      <c r="R70" s="772"/>
    </row>
    <row r="71" spans="1:18" ht="18" customHeight="1">
      <c r="A71" s="114" t="s">
        <v>236</v>
      </c>
      <c r="B71" s="63" t="s">
        <v>237</v>
      </c>
      <c r="C71" s="63" t="s">
        <v>238</v>
      </c>
      <c r="D71" s="59"/>
      <c r="E71" s="59"/>
      <c r="F71" s="59"/>
      <c r="G71" s="59"/>
      <c r="H71" s="881">
        <v>10.51</v>
      </c>
      <c r="I71" s="241" t="s">
        <v>26</v>
      </c>
      <c r="J71" s="76"/>
      <c r="K71" s="105">
        <f>+J71*H71</f>
        <v>0</v>
      </c>
      <c r="M71" s="55" t="s">
        <v>1147</v>
      </c>
      <c r="N71" s="791"/>
      <c r="O71" s="634"/>
      <c r="P71" s="1036"/>
      <c r="Q71" s="1037"/>
      <c r="R71" s="772"/>
    </row>
    <row r="72" spans="1:18" ht="18" customHeight="1">
      <c r="A72" s="686"/>
      <c r="B72" s="687"/>
      <c r="C72" s="687"/>
      <c r="D72" s="264"/>
      <c r="E72" s="264"/>
      <c r="F72" s="264"/>
      <c r="G72" s="264"/>
      <c r="H72" s="266"/>
      <c r="I72" s="267"/>
      <c r="J72" s="268"/>
      <c r="K72" s="105">
        <f>+J72*H72</f>
        <v>0</v>
      </c>
      <c r="N72" s="791"/>
      <c r="O72" s="634"/>
      <c r="P72" s="1036"/>
      <c r="Q72" s="1037"/>
      <c r="R72" s="772"/>
    </row>
    <row r="73" spans="1:18" ht="18" customHeight="1" thickBot="1">
      <c r="A73" s="106"/>
      <c r="B73" s="115"/>
      <c r="C73" s="69"/>
      <c r="D73" s="69"/>
      <c r="E73" s="69"/>
      <c r="F73" s="69"/>
      <c r="G73" s="69"/>
      <c r="H73" s="69"/>
      <c r="I73" s="235"/>
      <c r="J73" s="111"/>
      <c r="K73" s="112"/>
      <c r="N73" s="791"/>
      <c r="O73" s="634"/>
      <c r="P73" s="1036"/>
      <c r="Q73" s="1037"/>
      <c r="R73" s="772"/>
    </row>
    <row r="74" spans="1:18" s="58" customFormat="1" ht="53.25" customHeight="1">
      <c r="A74" s="101" t="s">
        <v>133</v>
      </c>
      <c r="B74" s="57" t="s">
        <v>321</v>
      </c>
      <c r="C74" s="57" t="s">
        <v>96</v>
      </c>
      <c r="D74" s="57" t="s">
        <v>99</v>
      </c>
      <c r="E74" s="57" t="s">
        <v>100</v>
      </c>
      <c r="F74" s="57"/>
      <c r="G74" s="57"/>
      <c r="H74" s="102" t="s">
        <v>318</v>
      </c>
      <c r="I74" s="234" t="s">
        <v>25</v>
      </c>
      <c r="J74" s="103" t="s">
        <v>308</v>
      </c>
      <c r="K74" s="104" t="s">
        <v>1366</v>
      </c>
      <c r="N74" s="791"/>
      <c r="O74" s="634"/>
      <c r="P74" s="1036"/>
      <c r="Q74" s="1037"/>
      <c r="R74" s="772"/>
    </row>
    <row r="75" spans="1:18" ht="38.25" customHeight="1">
      <c r="A75" s="1342" t="s">
        <v>133</v>
      </c>
      <c r="B75" s="1313" t="s">
        <v>281</v>
      </c>
      <c r="C75" s="44" t="s">
        <v>1018</v>
      </c>
      <c r="D75" s="62">
        <v>0.22</v>
      </c>
      <c r="E75" s="62">
        <v>1.5</v>
      </c>
      <c r="F75" s="59"/>
      <c r="G75" s="59"/>
      <c r="H75" s="881">
        <v>2.62</v>
      </c>
      <c r="I75" s="241" t="s">
        <v>26</v>
      </c>
      <c r="J75" s="76"/>
      <c r="K75" s="105">
        <f>+J75*H75</f>
        <v>0</v>
      </c>
      <c r="L75" s="772"/>
      <c r="M75" s="772" t="s">
        <v>1146</v>
      </c>
      <c r="N75" s="791"/>
      <c r="O75" s="634"/>
      <c r="P75" s="1036"/>
      <c r="Q75" s="1037"/>
      <c r="R75" s="772"/>
    </row>
    <row r="76" spans="1:18" ht="48" customHeight="1">
      <c r="A76" s="1343"/>
      <c r="B76" s="1326"/>
      <c r="C76" s="44" t="s">
        <v>1004</v>
      </c>
      <c r="D76" s="62">
        <v>2</v>
      </c>
      <c r="E76" s="62">
        <v>7</v>
      </c>
      <c r="F76" s="59"/>
      <c r="G76" s="59"/>
      <c r="H76" s="881">
        <v>2.87</v>
      </c>
      <c r="I76" s="241" t="s">
        <v>26</v>
      </c>
      <c r="J76" s="76"/>
      <c r="K76" s="105">
        <f t="shared" ref="K76:K108" si="4">+J76*H76</f>
        <v>0</v>
      </c>
      <c r="L76" s="772"/>
      <c r="M76" s="772" t="s">
        <v>1151</v>
      </c>
      <c r="N76" s="791"/>
      <c r="O76" s="634"/>
      <c r="P76" s="1036"/>
      <c r="Q76" s="1037"/>
      <c r="R76" s="772"/>
    </row>
    <row r="77" spans="1:18" ht="27" customHeight="1">
      <c r="A77" s="1343"/>
      <c r="B77" s="1326"/>
      <c r="C77" s="54" t="s">
        <v>669</v>
      </c>
      <c r="D77" s="54" t="s">
        <v>235</v>
      </c>
      <c r="E77" s="62"/>
      <c r="F77" s="59"/>
      <c r="G77" s="59"/>
      <c r="H77" s="881">
        <v>1.08</v>
      </c>
      <c r="I77" s="241" t="s">
        <v>26</v>
      </c>
      <c r="J77" s="76"/>
      <c r="K77" s="105">
        <f>+J77*H77</f>
        <v>0</v>
      </c>
      <c r="L77" s="772"/>
      <c r="M77" s="772" t="s">
        <v>1147</v>
      </c>
      <c r="N77" s="791"/>
      <c r="O77" s="634"/>
      <c r="P77" s="1036"/>
      <c r="Q77" s="1037"/>
      <c r="R77" s="772"/>
    </row>
    <row r="78" spans="1:18" s="65" customFormat="1" ht="49.5" customHeight="1">
      <c r="A78" s="1343"/>
      <c r="B78" s="54" t="s">
        <v>1073</v>
      </c>
      <c r="C78" s="44" t="s">
        <v>453</v>
      </c>
      <c r="D78" s="62">
        <v>0</v>
      </c>
      <c r="E78" s="62">
        <v>6</v>
      </c>
      <c r="F78" s="62"/>
      <c r="G78" s="62"/>
      <c r="H78" s="881">
        <v>6.3</v>
      </c>
      <c r="I78" s="241" t="s">
        <v>26</v>
      </c>
      <c r="J78" s="76">
        <v>3</v>
      </c>
      <c r="K78" s="105">
        <f t="shared" si="4"/>
        <v>18.899999999999999</v>
      </c>
      <c r="L78" s="772"/>
      <c r="M78" s="772" t="s">
        <v>1151</v>
      </c>
      <c r="N78" s="791"/>
      <c r="O78" s="634"/>
      <c r="P78" s="1126"/>
      <c r="Q78" s="1127"/>
      <c r="R78" s="772"/>
    </row>
    <row r="79" spans="1:18" s="65" customFormat="1" ht="25.5" customHeight="1">
      <c r="A79" s="1343"/>
      <c r="B79" s="54" t="s">
        <v>1219</v>
      </c>
      <c r="C79" s="44" t="s">
        <v>1220</v>
      </c>
      <c r="D79" s="62">
        <v>8</v>
      </c>
      <c r="E79" s="62">
        <v>103</v>
      </c>
      <c r="F79" s="62"/>
      <c r="G79" s="62"/>
      <c r="H79" s="881">
        <v>6</v>
      </c>
      <c r="I79" s="241" t="s">
        <v>26</v>
      </c>
      <c r="J79" s="76"/>
      <c r="K79" s="105">
        <f t="shared" si="4"/>
        <v>0</v>
      </c>
      <c r="L79" s="772"/>
      <c r="M79" s="772"/>
      <c r="N79" s="791"/>
      <c r="O79" s="634"/>
      <c r="P79" s="1036"/>
      <c r="Q79" s="1037"/>
      <c r="R79" s="772"/>
    </row>
    <row r="80" spans="1:18" ht="25.2" customHeight="1">
      <c r="A80" s="1343"/>
      <c r="B80" s="54" t="s">
        <v>134</v>
      </c>
      <c r="C80" s="44" t="s">
        <v>454</v>
      </c>
      <c r="D80" s="62">
        <v>8</v>
      </c>
      <c r="E80" s="62">
        <v>103</v>
      </c>
      <c r="F80" s="59"/>
      <c r="G80" s="59"/>
      <c r="H80" s="881">
        <v>6.09</v>
      </c>
      <c r="I80" s="241" t="s">
        <v>26</v>
      </c>
      <c r="J80" s="76"/>
      <c r="K80" s="105">
        <f t="shared" si="4"/>
        <v>0</v>
      </c>
      <c r="L80" s="772"/>
      <c r="M80" s="772" t="s">
        <v>1147</v>
      </c>
      <c r="N80" s="791"/>
      <c r="O80" s="634"/>
      <c r="P80" s="1036"/>
      <c r="Q80" s="1037"/>
      <c r="R80" s="772"/>
    </row>
    <row r="81" spans="1:18" ht="63" customHeight="1">
      <c r="A81" s="1343"/>
      <c r="B81" s="54" t="s">
        <v>135</v>
      </c>
      <c r="C81" s="44" t="s">
        <v>861</v>
      </c>
      <c r="D81" s="62">
        <v>0</v>
      </c>
      <c r="E81" s="62">
        <v>10</v>
      </c>
      <c r="F81" s="59"/>
      <c r="G81" s="59"/>
      <c r="H81" s="881">
        <v>6.67</v>
      </c>
      <c r="I81" s="241" t="s">
        <v>26</v>
      </c>
      <c r="J81" s="76">
        <v>3</v>
      </c>
      <c r="K81" s="105">
        <f t="shared" si="4"/>
        <v>20.009999999999998</v>
      </c>
      <c r="L81" s="777"/>
      <c r="M81" s="777" t="s">
        <v>1147</v>
      </c>
      <c r="N81" s="791"/>
      <c r="O81" s="634"/>
      <c r="P81" s="1126"/>
      <c r="Q81" s="1127"/>
      <c r="R81" s="772"/>
    </row>
    <row r="82" spans="1:18" ht="25.2" customHeight="1">
      <c r="A82" s="1343"/>
      <c r="B82" s="1325" t="s">
        <v>136</v>
      </c>
      <c r="C82" s="1292" t="s">
        <v>453</v>
      </c>
      <c r="D82" s="62">
        <v>0.13</v>
      </c>
      <c r="E82" s="62">
        <v>0.35</v>
      </c>
      <c r="F82" s="59"/>
      <c r="G82" s="59"/>
      <c r="H82" s="881">
        <v>5.39</v>
      </c>
      <c r="I82" s="241" t="s">
        <v>26</v>
      </c>
      <c r="J82" s="76"/>
      <c r="K82" s="105">
        <f t="shared" si="4"/>
        <v>0</v>
      </c>
      <c r="L82" s="772"/>
      <c r="M82" s="772" t="s">
        <v>1147</v>
      </c>
      <c r="N82" s="791"/>
      <c r="O82" s="634"/>
      <c r="P82" s="1036"/>
      <c r="Q82" s="1037"/>
      <c r="R82" s="772"/>
    </row>
    <row r="83" spans="1:18" ht="25.2" customHeight="1">
      <c r="A83" s="1343"/>
      <c r="B83" s="1293"/>
      <c r="C83" s="1293"/>
      <c r="D83" s="62">
        <v>0.5</v>
      </c>
      <c r="E83" s="62">
        <v>0.85</v>
      </c>
      <c r="F83" s="59"/>
      <c r="G83" s="59"/>
      <c r="H83" s="881">
        <v>5.29</v>
      </c>
      <c r="I83" s="241" t="s">
        <v>26</v>
      </c>
      <c r="J83" s="76"/>
      <c r="K83" s="105">
        <f t="shared" si="4"/>
        <v>0</v>
      </c>
      <c r="L83" s="772"/>
      <c r="M83" s="772" t="s">
        <v>1146</v>
      </c>
      <c r="N83" s="791"/>
      <c r="O83" s="634"/>
      <c r="P83" s="1036"/>
      <c r="Q83" s="1037"/>
      <c r="R83" s="772"/>
    </row>
    <row r="84" spans="1:18" ht="25.2" customHeight="1">
      <c r="A84" s="1343"/>
      <c r="B84" s="1293"/>
      <c r="C84" s="1293"/>
      <c r="D84" s="62">
        <v>1</v>
      </c>
      <c r="E84" s="62">
        <v>2</v>
      </c>
      <c r="F84" s="59"/>
      <c r="G84" s="59"/>
      <c r="H84" s="881">
        <v>5.22</v>
      </c>
      <c r="I84" s="241" t="s">
        <v>26</v>
      </c>
      <c r="J84" s="76"/>
      <c r="K84" s="105">
        <f t="shared" si="4"/>
        <v>0</v>
      </c>
      <c r="L84" s="772"/>
      <c r="M84" s="772" t="s">
        <v>1146</v>
      </c>
      <c r="N84" s="791"/>
      <c r="O84" s="634"/>
      <c r="P84" s="1036"/>
      <c r="Q84" s="1037"/>
      <c r="R84" s="772"/>
    </row>
    <row r="85" spans="1:18" ht="25.2" customHeight="1">
      <c r="A85" s="1343"/>
      <c r="B85" s="1293"/>
      <c r="C85" s="1293"/>
      <c r="D85" s="62">
        <v>2.5</v>
      </c>
      <c r="E85" s="62">
        <v>7</v>
      </c>
      <c r="F85" s="59"/>
      <c r="G85" s="59"/>
      <c r="H85" s="881">
        <v>5.77</v>
      </c>
      <c r="I85" s="241" t="s">
        <v>26</v>
      </c>
      <c r="J85" s="76"/>
      <c r="K85" s="105">
        <f t="shared" si="4"/>
        <v>0</v>
      </c>
      <c r="L85" s="772"/>
      <c r="M85" s="772" t="s">
        <v>1146</v>
      </c>
      <c r="N85" s="791"/>
      <c r="O85" s="634"/>
      <c r="P85" s="1036"/>
      <c r="Q85" s="1037"/>
      <c r="R85" s="772"/>
    </row>
    <row r="86" spans="1:18" ht="25.2" customHeight="1">
      <c r="A86" s="1343"/>
      <c r="B86" s="54" t="s">
        <v>1035</v>
      </c>
      <c r="C86" s="662" t="s">
        <v>453</v>
      </c>
      <c r="D86" s="62">
        <v>0.13</v>
      </c>
      <c r="E86" s="62">
        <v>0.35</v>
      </c>
      <c r="F86" s="62"/>
      <c r="G86" s="62"/>
      <c r="H86" s="881">
        <v>14</v>
      </c>
      <c r="I86" s="241" t="s">
        <v>26</v>
      </c>
      <c r="J86" s="76"/>
      <c r="K86" s="105">
        <f t="shared" si="4"/>
        <v>0</v>
      </c>
      <c r="L86" s="772"/>
      <c r="M86" s="772" t="s">
        <v>1146</v>
      </c>
      <c r="N86" s="791"/>
      <c r="O86" s="634"/>
      <c r="P86" s="1036"/>
      <c r="Q86" s="1037"/>
      <c r="R86" s="772"/>
    </row>
    <row r="87" spans="1:18" ht="25.2" customHeight="1">
      <c r="A87" s="1343"/>
      <c r="B87" s="54" t="s">
        <v>137</v>
      </c>
      <c r="C87" s="662" t="s">
        <v>453</v>
      </c>
      <c r="D87" s="62">
        <v>0</v>
      </c>
      <c r="E87" s="62">
        <v>5</v>
      </c>
      <c r="F87" s="59"/>
      <c r="G87" s="59"/>
      <c r="H87" s="881">
        <v>8.1999999999999993</v>
      </c>
      <c r="I87" s="241" t="s">
        <v>26</v>
      </c>
      <c r="J87" s="76"/>
      <c r="K87" s="105">
        <f t="shared" si="4"/>
        <v>0</v>
      </c>
      <c r="L87" s="772"/>
      <c r="M87" s="772" t="s">
        <v>1146</v>
      </c>
      <c r="N87" s="791"/>
      <c r="O87" s="634"/>
      <c r="P87" s="1036"/>
      <c r="Q87" s="1037"/>
      <c r="R87" s="772"/>
    </row>
    <row r="88" spans="1:18" ht="25.2" customHeight="1">
      <c r="A88" s="1343"/>
      <c r="B88" s="54" t="s">
        <v>138</v>
      </c>
      <c r="C88" s="44" t="s">
        <v>454</v>
      </c>
      <c r="D88" s="62">
        <v>8</v>
      </c>
      <c r="E88" s="62">
        <v>103</v>
      </c>
      <c r="F88" s="59"/>
      <c r="G88" s="59"/>
      <c r="H88" s="881">
        <v>13.85</v>
      </c>
      <c r="I88" s="241" t="s">
        <v>26</v>
      </c>
      <c r="J88" s="76"/>
      <c r="K88" s="105">
        <f t="shared" si="4"/>
        <v>0</v>
      </c>
      <c r="L88" s="772"/>
      <c r="M88" s="772" t="s">
        <v>1146</v>
      </c>
      <c r="N88" s="791"/>
      <c r="O88" s="634"/>
      <c r="P88" s="1036"/>
      <c r="Q88" s="1037"/>
      <c r="R88" s="772"/>
    </row>
    <row r="89" spans="1:18" ht="25.2" customHeight="1">
      <c r="A89" s="1343"/>
      <c r="B89" s="54" t="s">
        <v>139</v>
      </c>
      <c r="C89" s="44" t="s">
        <v>453</v>
      </c>
      <c r="D89" s="62">
        <v>0.13</v>
      </c>
      <c r="E89" s="62">
        <v>7</v>
      </c>
      <c r="F89" s="59"/>
      <c r="G89" s="59"/>
      <c r="H89" s="881">
        <v>10.5</v>
      </c>
      <c r="I89" s="241" t="s">
        <v>26</v>
      </c>
      <c r="J89" s="76"/>
      <c r="K89" s="105">
        <f t="shared" si="4"/>
        <v>0</v>
      </c>
      <c r="L89" s="772"/>
      <c r="M89" s="772" t="s">
        <v>1146</v>
      </c>
      <c r="N89" s="791"/>
      <c r="O89" s="634"/>
      <c r="P89" s="1036"/>
      <c r="Q89" s="1037"/>
      <c r="R89" s="772"/>
    </row>
    <row r="90" spans="1:18" ht="25.2" customHeight="1">
      <c r="A90" s="1343"/>
      <c r="B90" s="54" t="s">
        <v>140</v>
      </c>
      <c r="C90" s="44" t="s">
        <v>454</v>
      </c>
      <c r="D90" s="62">
        <v>8</v>
      </c>
      <c r="E90" s="62">
        <v>103</v>
      </c>
      <c r="F90" s="59"/>
      <c r="G90" s="59"/>
      <c r="H90" s="881">
        <v>19.600000000000001</v>
      </c>
      <c r="I90" s="241" t="s">
        <v>26</v>
      </c>
      <c r="J90" s="76"/>
      <c r="K90" s="105">
        <f t="shared" si="4"/>
        <v>0</v>
      </c>
      <c r="L90" s="772"/>
      <c r="M90" s="772" t="s">
        <v>1146</v>
      </c>
      <c r="N90" s="791"/>
      <c r="O90" s="634"/>
      <c r="P90" s="1036"/>
      <c r="Q90" s="1037"/>
      <c r="R90" s="772"/>
    </row>
    <row r="91" spans="1:18" ht="25.2" customHeight="1">
      <c r="A91" s="1343"/>
      <c r="B91" s="54" t="s">
        <v>141</v>
      </c>
      <c r="C91" s="44" t="s">
        <v>455</v>
      </c>
      <c r="D91" s="62">
        <v>0.22</v>
      </c>
      <c r="E91" s="62">
        <v>8</v>
      </c>
      <c r="F91" s="59"/>
      <c r="G91" s="59"/>
      <c r="H91" s="881">
        <v>9.89</v>
      </c>
      <c r="I91" s="241" t="s">
        <v>26</v>
      </c>
      <c r="J91" s="76"/>
      <c r="K91" s="105">
        <f t="shared" si="4"/>
        <v>0</v>
      </c>
      <c r="L91" s="772"/>
      <c r="M91" s="772" t="s">
        <v>1147</v>
      </c>
      <c r="N91" s="791"/>
      <c r="O91" s="634"/>
      <c r="P91" s="1036"/>
      <c r="Q91" s="1037"/>
      <c r="R91" s="772"/>
    </row>
    <row r="92" spans="1:18" ht="57" customHeight="1">
      <c r="A92" s="1343"/>
      <c r="B92" s="54" t="s">
        <v>1064</v>
      </c>
      <c r="C92" s="1292" t="s">
        <v>142</v>
      </c>
      <c r="D92" s="712">
        <v>0.3</v>
      </c>
      <c r="E92" s="62">
        <v>103</v>
      </c>
      <c r="F92" s="59"/>
      <c r="G92" s="59"/>
      <c r="H92" s="881">
        <v>7.6</v>
      </c>
      <c r="I92" s="241" t="s">
        <v>26</v>
      </c>
      <c r="J92" s="76">
        <v>8</v>
      </c>
      <c r="K92" s="105">
        <f t="shared" si="4"/>
        <v>60.8</v>
      </c>
      <c r="L92" s="777"/>
      <c r="M92" s="777" t="s">
        <v>1146</v>
      </c>
      <c r="N92" s="791"/>
      <c r="O92" s="634"/>
      <c r="P92" s="1036"/>
      <c r="Q92" s="1037"/>
      <c r="R92" s="772"/>
    </row>
    <row r="93" spans="1:18" ht="25.2" customHeight="1">
      <c r="A93" s="1343"/>
      <c r="B93" s="54" t="s">
        <v>143</v>
      </c>
      <c r="C93" s="1293"/>
      <c r="D93" s="62">
        <v>8</v>
      </c>
      <c r="E93" s="62">
        <v>103</v>
      </c>
      <c r="F93" s="59"/>
      <c r="G93" s="59"/>
      <c r="H93" s="881">
        <v>9.6</v>
      </c>
      <c r="I93" s="241" t="s">
        <v>26</v>
      </c>
      <c r="J93" s="76"/>
      <c r="K93" s="105">
        <f t="shared" si="4"/>
        <v>0</v>
      </c>
      <c r="L93" s="772"/>
      <c r="M93" s="772" t="s">
        <v>1146</v>
      </c>
      <c r="N93" s="791"/>
      <c r="O93" s="634"/>
      <c r="P93" s="1036"/>
      <c r="Q93" s="1037"/>
      <c r="R93" s="772"/>
    </row>
    <row r="94" spans="1:18" ht="25.2" customHeight="1">
      <c r="A94" s="1343"/>
      <c r="B94" s="54" t="s">
        <v>144</v>
      </c>
      <c r="C94" s="1293"/>
      <c r="D94" s="62">
        <v>8</v>
      </c>
      <c r="E94" s="62">
        <v>103</v>
      </c>
      <c r="F94" s="59"/>
      <c r="G94" s="59"/>
      <c r="H94" s="881">
        <v>14.51</v>
      </c>
      <c r="I94" s="241" t="s">
        <v>26</v>
      </c>
      <c r="J94" s="76"/>
      <c r="K94" s="105">
        <f t="shared" si="4"/>
        <v>0</v>
      </c>
      <c r="L94" s="772"/>
      <c r="M94" s="772" t="s">
        <v>1146</v>
      </c>
      <c r="N94" s="791"/>
      <c r="O94" s="634"/>
      <c r="P94" s="1036"/>
      <c r="Q94" s="1037"/>
      <c r="R94" s="772"/>
    </row>
    <row r="95" spans="1:18" ht="25.2" customHeight="1">
      <c r="A95" s="1343"/>
      <c r="B95" s="54" t="s">
        <v>145</v>
      </c>
      <c r="C95" s="1293"/>
      <c r="D95" s="62">
        <v>8</v>
      </c>
      <c r="E95" s="62">
        <v>103</v>
      </c>
      <c r="F95" s="59"/>
      <c r="G95" s="59"/>
      <c r="H95" s="881">
        <v>16.399999999999999</v>
      </c>
      <c r="I95" s="241" t="s">
        <v>26</v>
      </c>
      <c r="J95" s="76"/>
      <c r="K95" s="105">
        <f t="shared" si="4"/>
        <v>0</v>
      </c>
      <c r="L95" s="772"/>
      <c r="M95" s="772" t="s">
        <v>1146</v>
      </c>
      <c r="N95" s="791"/>
      <c r="O95" s="634"/>
      <c r="P95" s="1036"/>
      <c r="Q95" s="1037"/>
      <c r="R95" s="772"/>
    </row>
    <row r="96" spans="1:18" ht="69.75" customHeight="1">
      <c r="A96" s="1343"/>
      <c r="B96" s="54" t="s">
        <v>1058</v>
      </c>
      <c r="C96" s="54" t="s">
        <v>1046</v>
      </c>
      <c r="D96" s="62">
        <v>0</v>
      </c>
      <c r="E96" s="62">
        <v>103</v>
      </c>
      <c r="F96" s="62"/>
      <c r="G96" s="62"/>
      <c r="H96" s="881">
        <v>0.8</v>
      </c>
      <c r="I96" s="241" t="s">
        <v>26</v>
      </c>
      <c r="J96" s="76"/>
      <c r="K96" s="105">
        <f t="shared" si="4"/>
        <v>0</v>
      </c>
      <c r="L96" s="777"/>
      <c r="M96" s="777" t="s">
        <v>1147</v>
      </c>
      <c r="N96" s="791"/>
      <c r="O96" s="634"/>
      <c r="P96" s="1036"/>
      <c r="Q96" s="1037"/>
      <c r="R96" s="772"/>
    </row>
    <row r="97" spans="1:18" ht="25.2" customHeight="1">
      <c r="A97" s="1344"/>
      <c r="B97" s="54" t="s">
        <v>833</v>
      </c>
      <c r="C97" s="54" t="s">
        <v>453</v>
      </c>
      <c r="D97" s="62">
        <v>0.22</v>
      </c>
      <c r="E97" s="62">
        <v>103</v>
      </c>
      <c r="F97" s="62"/>
      <c r="G97" s="59"/>
      <c r="H97" s="881">
        <v>30.7</v>
      </c>
      <c r="I97" s="241" t="s">
        <v>26</v>
      </c>
      <c r="J97" s="76"/>
      <c r="K97" s="105">
        <f t="shared" si="4"/>
        <v>0</v>
      </c>
      <c r="L97" s="772"/>
      <c r="M97" s="772" t="s">
        <v>1146</v>
      </c>
      <c r="N97" s="791"/>
      <c r="O97" s="634"/>
      <c r="P97" s="1036"/>
      <c r="Q97" s="1037"/>
      <c r="R97" s="772"/>
    </row>
    <row r="98" spans="1:18" ht="39" customHeight="1">
      <c r="A98" s="1318" t="s">
        <v>233</v>
      </c>
      <c r="B98" s="54" t="s">
        <v>782</v>
      </c>
      <c r="C98" s="54" t="s">
        <v>234</v>
      </c>
      <c r="D98" s="62"/>
      <c r="E98" s="62"/>
      <c r="F98" s="62"/>
      <c r="G98" s="62"/>
      <c r="H98" s="881">
        <v>24.49</v>
      </c>
      <c r="I98" s="241" t="s">
        <v>26</v>
      </c>
      <c r="J98" s="76"/>
      <c r="K98" s="105">
        <f t="shared" si="4"/>
        <v>0</v>
      </c>
      <c r="L98" s="772"/>
      <c r="M98" s="772" t="s">
        <v>1147</v>
      </c>
      <c r="N98" s="791"/>
      <c r="O98" s="634"/>
      <c r="P98" s="1036"/>
      <c r="Q98" s="1037"/>
      <c r="R98" s="772"/>
    </row>
    <row r="99" spans="1:18" ht="33.75" customHeight="1">
      <c r="A99" s="1319"/>
      <c r="B99" s="54" t="s">
        <v>469</v>
      </c>
      <c r="C99" s="54"/>
      <c r="D99" s="62"/>
      <c r="E99" s="62"/>
      <c r="F99" s="62"/>
      <c r="G99" s="62"/>
      <c r="H99" s="881">
        <v>2.68</v>
      </c>
      <c r="I99" s="241" t="s">
        <v>26</v>
      </c>
      <c r="J99" s="76"/>
      <c r="K99" s="105">
        <f t="shared" si="4"/>
        <v>0</v>
      </c>
      <c r="L99" s="772"/>
      <c r="M99" s="772" t="s">
        <v>1147</v>
      </c>
      <c r="N99" s="791"/>
      <c r="O99" s="634"/>
      <c r="P99" s="1036"/>
      <c r="Q99" s="1037"/>
      <c r="R99" s="772"/>
    </row>
    <row r="100" spans="1:18" ht="38.25" customHeight="1">
      <c r="A100" s="485" t="s">
        <v>732</v>
      </c>
      <c r="B100" s="54" t="s">
        <v>729</v>
      </c>
      <c r="C100" s="486" t="s">
        <v>730</v>
      </c>
      <c r="D100" s="62">
        <v>0</v>
      </c>
      <c r="E100" s="62">
        <v>103</v>
      </c>
      <c r="F100" s="59"/>
      <c r="G100" s="59"/>
      <c r="H100" s="881">
        <v>20</v>
      </c>
      <c r="I100" s="241" t="s">
        <v>26</v>
      </c>
      <c r="J100" s="76"/>
      <c r="K100" s="105">
        <f t="shared" si="4"/>
        <v>0</v>
      </c>
      <c r="L100" s="772"/>
      <c r="M100" s="772" t="s">
        <v>1147</v>
      </c>
      <c r="N100" s="791"/>
      <c r="O100" s="634"/>
      <c r="P100" s="1036"/>
      <c r="Q100" s="1037"/>
      <c r="R100" s="772"/>
    </row>
    <row r="101" spans="1:18" ht="27" customHeight="1">
      <c r="A101" s="1332" t="s">
        <v>146</v>
      </c>
      <c r="B101" s="1325" t="s">
        <v>147</v>
      </c>
      <c r="C101" s="1292" t="s">
        <v>148</v>
      </c>
      <c r="D101" s="62">
        <v>0.3</v>
      </c>
      <c r="E101" s="62">
        <v>6</v>
      </c>
      <c r="F101" s="59"/>
      <c r="G101" s="59"/>
      <c r="H101" s="881">
        <v>3.86</v>
      </c>
      <c r="I101" s="241" t="s">
        <v>26</v>
      </c>
      <c r="J101" s="76"/>
      <c r="K101" s="105">
        <f t="shared" si="4"/>
        <v>0</v>
      </c>
      <c r="L101" s="772"/>
      <c r="M101" s="772" t="s">
        <v>1146</v>
      </c>
      <c r="N101" s="791"/>
      <c r="O101" s="634"/>
      <c r="P101" s="1036"/>
      <c r="Q101" s="1037"/>
      <c r="R101" s="772"/>
    </row>
    <row r="102" spans="1:18" ht="27" customHeight="1">
      <c r="A102" s="1333"/>
      <c r="B102" s="1293"/>
      <c r="C102" s="1293"/>
      <c r="D102" s="62">
        <v>6</v>
      </c>
      <c r="E102" s="62">
        <v>103</v>
      </c>
      <c r="F102" s="59"/>
      <c r="G102" s="59"/>
      <c r="H102" s="881">
        <v>4.4400000000000004</v>
      </c>
      <c r="I102" s="241" t="s">
        <v>26</v>
      </c>
      <c r="J102" s="76"/>
      <c r="K102" s="105">
        <f t="shared" si="4"/>
        <v>0</v>
      </c>
      <c r="L102" s="772"/>
      <c r="M102" s="772" t="s">
        <v>1146</v>
      </c>
      <c r="N102" s="791"/>
      <c r="O102" s="634"/>
      <c r="P102" s="1036"/>
      <c r="Q102" s="1037"/>
      <c r="R102" s="791"/>
    </row>
    <row r="103" spans="1:18" ht="27" customHeight="1">
      <c r="A103" s="487" t="s">
        <v>727</v>
      </c>
      <c r="B103" s="486" t="s">
        <v>728</v>
      </c>
      <c r="C103" s="476"/>
      <c r="D103" s="62">
        <v>7</v>
      </c>
      <c r="E103" s="62">
        <v>103</v>
      </c>
      <c r="F103" s="59"/>
      <c r="G103" s="59"/>
      <c r="H103" s="881">
        <v>11.74</v>
      </c>
      <c r="I103" s="241" t="s">
        <v>26</v>
      </c>
      <c r="J103" s="76"/>
      <c r="K103" s="105">
        <f t="shared" si="4"/>
        <v>0</v>
      </c>
      <c r="L103" s="772"/>
      <c r="M103" s="772" t="s">
        <v>1147</v>
      </c>
      <c r="N103" s="791"/>
      <c r="O103" s="634"/>
      <c r="P103" s="1036"/>
      <c r="Q103" s="1037"/>
      <c r="R103" s="791"/>
    </row>
    <row r="104" spans="1:18" ht="27" customHeight="1">
      <c r="A104" s="98" t="s">
        <v>227</v>
      </c>
      <c r="B104" s="54" t="s">
        <v>228</v>
      </c>
      <c r="C104" s="54" t="s">
        <v>229</v>
      </c>
      <c r="D104" s="62"/>
      <c r="E104" s="62"/>
      <c r="F104" s="59"/>
      <c r="G104" s="59"/>
      <c r="H104" s="881">
        <v>0.91</v>
      </c>
      <c r="I104" s="241" t="s">
        <v>26</v>
      </c>
      <c r="J104" s="76"/>
      <c r="K104" s="105">
        <f t="shared" si="4"/>
        <v>0</v>
      </c>
      <c r="L104" s="772"/>
      <c r="M104" s="772" t="s">
        <v>1147</v>
      </c>
      <c r="N104" s="791"/>
      <c r="O104" s="634"/>
      <c r="P104" s="1036"/>
      <c r="Q104" s="1037"/>
      <c r="R104" s="791"/>
    </row>
    <row r="105" spans="1:18" ht="50.25" customHeight="1">
      <c r="A105" s="790" t="s">
        <v>856</v>
      </c>
      <c r="B105" s="54" t="s">
        <v>857</v>
      </c>
      <c r="C105" s="44" t="s">
        <v>858</v>
      </c>
      <c r="D105" s="62">
        <v>0.22</v>
      </c>
      <c r="E105" s="62">
        <v>6</v>
      </c>
      <c r="F105" s="62"/>
      <c r="G105" s="62"/>
      <c r="H105" s="881">
        <v>4.49</v>
      </c>
      <c r="I105" s="241" t="s">
        <v>26</v>
      </c>
      <c r="J105" s="76"/>
      <c r="K105" s="105">
        <f t="shared" si="4"/>
        <v>0</v>
      </c>
      <c r="L105" s="777"/>
      <c r="M105" s="777" t="s">
        <v>1147</v>
      </c>
      <c r="N105" s="791"/>
      <c r="O105" s="634"/>
      <c r="P105" s="1036"/>
      <c r="Q105" s="1037"/>
      <c r="R105" s="791"/>
    </row>
    <row r="106" spans="1:18" ht="51" customHeight="1">
      <c r="A106" s="790" t="s">
        <v>1161</v>
      </c>
      <c r="B106" s="475" t="s">
        <v>1162</v>
      </c>
      <c r="C106" s="475" t="s">
        <v>1164</v>
      </c>
      <c r="D106" s="265">
        <v>0.22</v>
      </c>
      <c r="E106" s="265">
        <v>6</v>
      </c>
      <c r="F106" s="265"/>
      <c r="G106" s="265"/>
      <c r="H106" s="883">
        <v>3.6</v>
      </c>
      <c r="I106" s="267" t="s">
        <v>26</v>
      </c>
      <c r="J106" s="268"/>
      <c r="K106" s="269">
        <f t="shared" si="4"/>
        <v>0</v>
      </c>
      <c r="L106" s="777"/>
      <c r="M106" s="777" t="s">
        <v>1147</v>
      </c>
      <c r="N106" s="791"/>
      <c r="O106" s="634"/>
      <c r="P106" s="1036"/>
      <c r="Q106" s="1037"/>
      <c r="R106" s="791"/>
    </row>
    <row r="107" spans="1:18" ht="18.75" customHeight="1">
      <c r="A107" s="98"/>
      <c r="B107" s="54"/>
      <c r="C107" s="54"/>
      <c r="D107" s="62"/>
      <c r="E107" s="62"/>
      <c r="F107" s="62"/>
      <c r="G107" s="62"/>
      <c r="H107" s="240"/>
      <c r="I107" s="241"/>
      <c r="J107" s="76"/>
      <c r="K107" s="269">
        <f t="shared" si="4"/>
        <v>0</v>
      </c>
      <c r="L107" s="65"/>
      <c r="M107" s="65"/>
      <c r="N107" s="791"/>
      <c r="O107" s="634"/>
      <c r="P107" s="1036"/>
      <c r="Q107" s="1037"/>
      <c r="R107" s="791"/>
    </row>
    <row r="108" spans="1:18" ht="21" customHeight="1">
      <c r="A108" s="98"/>
      <c r="B108" s="54"/>
      <c r="C108" s="54"/>
      <c r="D108" s="62"/>
      <c r="E108" s="62"/>
      <c r="F108" s="62"/>
      <c r="G108" s="62"/>
      <c r="H108" s="240"/>
      <c r="I108" s="241"/>
      <c r="J108" s="76"/>
      <c r="K108" s="269">
        <f t="shared" si="4"/>
        <v>0</v>
      </c>
      <c r="L108" s="65"/>
      <c r="M108" s="65"/>
      <c r="N108" s="791"/>
      <c r="O108" s="634"/>
      <c r="P108" s="1036"/>
      <c r="Q108" s="1037"/>
      <c r="R108" s="791"/>
    </row>
    <row r="109" spans="1:18" ht="20.25" customHeight="1" thickBot="1">
      <c r="A109" s="525"/>
      <c r="B109" s="678"/>
      <c r="C109" s="678"/>
      <c r="D109" s="533"/>
      <c r="E109" s="533"/>
      <c r="F109" s="533"/>
      <c r="G109" s="533"/>
      <c r="H109" s="281"/>
      <c r="I109" s="282"/>
      <c r="J109" s="283"/>
      <c r="K109" s="290"/>
      <c r="L109" s="65"/>
      <c r="M109" s="65"/>
      <c r="N109" s="791"/>
      <c r="O109" s="634"/>
      <c r="P109" s="1036"/>
      <c r="Q109" s="1037"/>
      <c r="R109" s="791"/>
    </row>
    <row r="110" spans="1:18" s="58" customFormat="1" ht="53.25" customHeight="1">
      <c r="A110" s="101" t="s">
        <v>674</v>
      </c>
      <c r="B110" s="57" t="s">
        <v>321</v>
      </c>
      <c r="C110" s="57" t="s">
        <v>96</v>
      </c>
      <c r="D110" s="57" t="s">
        <v>99</v>
      </c>
      <c r="E110" s="57" t="s">
        <v>100</v>
      </c>
      <c r="F110" s="57" t="s">
        <v>101</v>
      </c>
      <c r="G110" s="57" t="s">
        <v>102</v>
      </c>
      <c r="H110" s="102" t="s">
        <v>318</v>
      </c>
      <c r="I110" s="234" t="s">
        <v>25</v>
      </c>
      <c r="J110" s="103" t="s">
        <v>308</v>
      </c>
      <c r="K110" s="104" t="s">
        <v>1366</v>
      </c>
      <c r="N110" s="791"/>
      <c r="O110" s="634"/>
      <c r="P110" s="1036"/>
      <c r="Q110" s="1037"/>
      <c r="R110" s="791"/>
    </row>
    <row r="111" spans="1:18" ht="60" customHeight="1">
      <c r="A111" s="1321" t="s">
        <v>674</v>
      </c>
      <c r="B111" s="54" t="s">
        <v>850</v>
      </c>
      <c r="C111" s="1313" t="s">
        <v>713</v>
      </c>
      <c r="D111" s="62">
        <v>0.22</v>
      </c>
      <c r="E111" s="62">
        <v>5</v>
      </c>
      <c r="F111" s="62">
        <v>0</v>
      </c>
      <c r="G111" s="62">
        <v>99999</v>
      </c>
      <c r="H111" s="881">
        <v>8.6</v>
      </c>
      <c r="I111" s="241" t="s">
        <v>26</v>
      </c>
      <c r="J111" s="76"/>
      <c r="K111" s="105">
        <f>+J111*H111</f>
        <v>0</v>
      </c>
      <c r="M111" s="55" t="s">
        <v>1147</v>
      </c>
      <c r="N111" s="791"/>
      <c r="O111" s="634"/>
      <c r="P111" s="1036"/>
      <c r="Q111" s="1037"/>
      <c r="R111" s="791"/>
    </row>
    <row r="112" spans="1:18" ht="75.75" customHeight="1" thickBot="1">
      <c r="A112" s="1321"/>
      <c r="B112" s="54" t="s">
        <v>825</v>
      </c>
      <c r="C112" s="1314"/>
      <c r="D112" s="62">
        <v>0.22</v>
      </c>
      <c r="E112" s="62">
        <v>5</v>
      </c>
      <c r="F112" s="62">
        <v>0</v>
      </c>
      <c r="G112" s="62">
        <v>99999</v>
      </c>
      <c r="H112" s="881">
        <v>13.5</v>
      </c>
      <c r="I112" s="241" t="s">
        <v>26</v>
      </c>
      <c r="J112" s="76"/>
      <c r="K112" s="105">
        <f>+J112*H112</f>
        <v>0</v>
      </c>
      <c r="M112" s="55" t="s">
        <v>1147</v>
      </c>
      <c r="N112" s="791"/>
      <c r="O112" s="634"/>
      <c r="P112" s="1036"/>
      <c r="Q112" s="1037"/>
      <c r="R112" s="791"/>
    </row>
    <row r="113" spans="1:18" s="58" customFormat="1" ht="53.25" customHeight="1">
      <c r="A113" s="101" t="s">
        <v>556</v>
      </c>
      <c r="B113" s="57" t="s">
        <v>321</v>
      </c>
      <c r="C113" s="57" t="s">
        <v>96</v>
      </c>
      <c r="D113" s="57" t="s">
        <v>97</v>
      </c>
      <c r="E113" s="57"/>
      <c r="F113" s="57"/>
      <c r="G113" s="57"/>
      <c r="H113" s="102" t="s">
        <v>318</v>
      </c>
      <c r="I113" s="234" t="s">
        <v>25</v>
      </c>
      <c r="J113" s="103" t="s">
        <v>308</v>
      </c>
      <c r="K113" s="104" t="s">
        <v>1366</v>
      </c>
      <c r="N113" s="791"/>
      <c r="O113" s="634"/>
      <c r="P113" s="1036"/>
      <c r="Q113" s="1037"/>
      <c r="R113" s="791"/>
    </row>
    <row r="114" spans="1:18" ht="22.5" customHeight="1">
      <c r="A114" s="1320" t="s">
        <v>240</v>
      </c>
      <c r="B114" s="64" t="s">
        <v>241</v>
      </c>
      <c r="C114" s="63" t="s">
        <v>242</v>
      </c>
      <c r="D114" s="59"/>
      <c r="E114" s="59"/>
      <c r="F114" s="59"/>
      <c r="G114" s="59"/>
      <c r="H114" s="881">
        <v>2.94</v>
      </c>
      <c r="I114" s="241" t="s">
        <v>26</v>
      </c>
      <c r="J114" s="76"/>
      <c r="K114" s="105">
        <f>+J114*H114</f>
        <v>0</v>
      </c>
      <c r="L114" s="772"/>
      <c r="M114" s="772" t="s">
        <v>1146</v>
      </c>
      <c r="N114" s="791"/>
      <c r="P114" s="1036"/>
      <c r="Q114" s="1037"/>
      <c r="R114" s="791"/>
    </row>
    <row r="115" spans="1:18" ht="22.5" customHeight="1">
      <c r="A115" s="1320"/>
      <c r="B115" s="325" t="s">
        <v>645</v>
      </c>
      <c r="C115" s="63" t="s">
        <v>243</v>
      </c>
      <c r="D115" s="59"/>
      <c r="E115" s="59"/>
      <c r="F115" s="59"/>
      <c r="G115" s="59"/>
      <c r="H115" s="881">
        <v>17.25</v>
      </c>
      <c r="I115" s="241" t="s">
        <v>26</v>
      </c>
      <c r="J115" s="76"/>
      <c r="K115" s="105">
        <f>+J115*H115</f>
        <v>0</v>
      </c>
      <c r="L115" s="772"/>
      <c r="M115" s="772" t="s">
        <v>1146</v>
      </c>
      <c r="N115" s="791"/>
      <c r="P115" s="1036"/>
      <c r="Q115" s="1037"/>
      <c r="R115" s="791"/>
    </row>
    <row r="116" spans="1:18" ht="22.5" customHeight="1">
      <c r="A116" s="114" t="s">
        <v>671</v>
      </c>
      <c r="B116" s="63" t="s">
        <v>244</v>
      </c>
      <c r="C116" s="66" t="s">
        <v>245</v>
      </c>
      <c r="D116" s="59">
        <v>12110145</v>
      </c>
      <c r="E116" s="59"/>
      <c r="F116" s="59"/>
      <c r="G116" s="59"/>
      <c r="H116" s="881">
        <v>18.11</v>
      </c>
      <c r="I116" s="241" t="s">
        <v>26</v>
      </c>
      <c r="J116" s="76"/>
      <c r="K116" s="105">
        <f>+J116*H116</f>
        <v>0</v>
      </c>
      <c r="L116" s="772"/>
      <c r="M116" s="772" t="s">
        <v>1146</v>
      </c>
      <c r="N116" s="791"/>
      <c r="P116" s="1036"/>
      <c r="Q116" s="1037"/>
      <c r="R116" s="791"/>
    </row>
    <row r="117" spans="1:18" ht="22.5" customHeight="1" thickBot="1">
      <c r="A117" s="116"/>
      <c r="B117" s="107"/>
      <c r="C117" s="117"/>
      <c r="D117" s="109"/>
      <c r="E117" s="109"/>
      <c r="F117" s="109"/>
      <c r="G117" s="69"/>
      <c r="H117" s="889"/>
      <c r="I117" s="235"/>
      <c r="J117" s="111"/>
      <c r="K117" s="112"/>
      <c r="L117" s="772"/>
      <c r="M117" s="772"/>
      <c r="N117" s="791"/>
      <c r="O117" s="634"/>
      <c r="P117" s="1036"/>
      <c r="Q117" s="1037"/>
      <c r="R117" s="791"/>
    </row>
    <row r="118" spans="1:18" s="58" customFormat="1" ht="53.25" customHeight="1">
      <c r="A118" s="101" t="s">
        <v>191</v>
      </c>
      <c r="B118" s="57" t="s">
        <v>321</v>
      </c>
      <c r="C118" s="57" t="s">
        <v>96</v>
      </c>
      <c r="D118" s="57"/>
      <c r="E118" s="57"/>
      <c r="F118" s="57"/>
      <c r="G118" s="57"/>
      <c r="H118" s="102" t="s">
        <v>318</v>
      </c>
      <c r="I118" s="234" t="s">
        <v>25</v>
      </c>
      <c r="J118" s="103" t="s">
        <v>308</v>
      </c>
      <c r="K118" s="104" t="s">
        <v>1366</v>
      </c>
      <c r="N118" s="791"/>
      <c r="O118" s="634"/>
      <c r="P118" s="1036"/>
      <c r="Q118" s="1037"/>
      <c r="R118" s="791"/>
    </row>
    <row r="119" spans="1:18" ht="22.5" customHeight="1">
      <c r="A119" s="1339" t="s">
        <v>191</v>
      </c>
      <c r="B119" s="61" t="s">
        <v>192</v>
      </c>
      <c r="C119" s="67" t="s">
        <v>190</v>
      </c>
      <c r="D119" s="59"/>
      <c r="E119" s="59"/>
      <c r="F119" s="59"/>
      <c r="G119" s="59"/>
      <c r="H119" s="881">
        <v>6</v>
      </c>
      <c r="I119" s="241" t="s">
        <v>26</v>
      </c>
      <c r="J119" s="76"/>
      <c r="K119" s="105">
        <f>+J119*H119</f>
        <v>0</v>
      </c>
      <c r="L119" s="776"/>
      <c r="M119" s="776" t="s">
        <v>1153</v>
      </c>
      <c r="N119" s="791"/>
      <c r="O119" s="634"/>
      <c r="P119" s="1036"/>
      <c r="Q119" s="1037"/>
      <c r="R119" s="791"/>
    </row>
    <row r="120" spans="1:18" ht="22.5" customHeight="1">
      <c r="A120" s="1339"/>
      <c r="B120" s="54" t="s">
        <v>704</v>
      </c>
      <c r="C120" s="67" t="s">
        <v>239</v>
      </c>
      <c r="D120" s="59"/>
      <c r="E120" s="59"/>
      <c r="F120" s="59"/>
      <c r="G120" s="59"/>
      <c r="H120" s="881">
        <v>3.89</v>
      </c>
      <c r="I120" s="241" t="s">
        <v>26</v>
      </c>
      <c r="J120" s="76"/>
      <c r="K120" s="105">
        <f>+J120*H120</f>
        <v>0</v>
      </c>
      <c r="L120" s="776"/>
      <c r="M120" s="776" t="s">
        <v>1147</v>
      </c>
      <c r="N120" s="791"/>
      <c r="O120" s="634"/>
      <c r="P120" s="1036"/>
      <c r="Q120" s="1037"/>
      <c r="R120" s="791"/>
    </row>
    <row r="121" spans="1:18" ht="13.8" thickBot="1">
      <c r="A121" s="116"/>
      <c r="B121" s="107"/>
      <c r="C121" s="109"/>
      <c r="D121" s="109"/>
      <c r="E121" s="109"/>
      <c r="F121" s="109"/>
      <c r="G121" s="69"/>
      <c r="H121" s="69"/>
      <c r="I121" s="235"/>
      <c r="J121" s="111"/>
      <c r="K121" s="112"/>
      <c r="N121" s="791"/>
      <c r="O121" s="634"/>
      <c r="P121" s="1036"/>
      <c r="Q121" s="1037"/>
      <c r="R121" s="791"/>
    </row>
    <row r="122" spans="1:18" s="58" customFormat="1" ht="53.25" customHeight="1">
      <c r="A122" s="101" t="s">
        <v>312</v>
      </c>
      <c r="B122" s="57" t="s">
        <v>321</v>
      </c>
      <c r="C122" s="57" t="s">
        <v>96</v>
      </c>
      <c r="D122" s="57"/>
      <c r="E122" s="57"/>
      <c r="F122" s="57"/>
      <c r="G122" s="57"/>
      <c r="H122" s="102" t="s">
        <v>318</v>
      </c>
      <c r="I122" s="234" t="s">
        <v>25</v>
      </c>
      <c r="J122" s="103" t="s">
        <v>308</v>
      </c>
      <c r="K122" s="104" t="s">
        <v>1366</v>
      </c>
      <c r="N122" s="791"/>
      <c r="O122" s="634"/>
      <c r="P122" s="1036"/>
      <c r="Q122" s="1037"/>
      <c r="R122" s="791"/>
    </row>
    <row r="123" spans="1:18" ht="22.5" customHeight="1">
      <c r="A123" s="98" t="s">
        <v>163</v>
      </c>
      <c r="B123" s="54" t="s">
        <v>164</v>
      </c>
      <c r="C123" s="44" t="s">
        <v>165</v>
      </c>
      <c r="D123" s="62" t="s">
        <v>392</v>
      </c>
      <c r="E123" s="59"/>
      <c r="F123" s="59"/>
      <c r="G123" s="59"/>
      <c r="H123" s="881">
        <v>5.0533000000000001</v>
      </c>
      <c r="I123" s="241" t="s">
        <v>26</v>
      </c>
      <c r="J123" s="76"/>
      <c r="K123" s="105">
        <f>+J123*H123</f>
        <v>0</v>
      </c>
      <c r="M123" s="1035" t="s">
        <v>1464</v>
      </c>
      <c r="N123" s="791"/>
      <c r="O123" s="634"/>
      <c r="P123" s="1126"/>
      <c r="Q123" s="1127"/>
      <c r="R123" s="791"/>
    </row>
    <row r="124" spans="1:18" s="65" customFormat="1" ht="22.5" customHeight="1">
      <c r="A124" s="118" t="s">
        <v>166</v>
      </c>
      <c r="B124" s="54" t="s">
        <v>167</v>
      </c>
      <c r="C124" s="54" t="s">
        <v>168</v>
      </c>
      <c r="D124" s="62" t="s">
        <v>393</v>
      </c>
      <c r="E124" s="62"/>
      <c r="F124" s="62"/>
      <c r="G124" s="62"/>
      <c r="H124" s="881">
        <v>11.24</v>
      </c>
      <c r="I124" s="241" t="s">
        <v>26</v>
      </c>
      <c r="J124" s="76"/>
      <c r="K124" s="105">
        <f>+J124*H124</f>
        <v>0</v>
      </c>
      <c r="M124" s="1035" t="s">
        <v>1464</v>
      </c>
      <c r="N124" s="791"/>
      <c r="O124" s="634"/>
      <c r="P124" s="1036"/>
      <c r="Q124" s="1037"/>
      <c r="R124" s="791"/>
    </row>
    <row r="125" spans="1:18" s="65" customFormat="1" ht="21.75" customHeight="1">
      <c r="A125" s="770"/>
      <c r="B125" s="475"/>
      <c r="C125" s="475"/>
      <c r="D125" s="265"/>
      <c r="E125" s="265"/>
      <c r="F125" s="265"/>
      <c r="G125" s="265"/>
      <c r="H125" s="266"/>
      <c r="I125" s="267"/>
      <c r="J125" s="268"/>
      <c r="K125" s="269"/>
      <c r="N125" s="791"/>
      <c r="O125" s="775"/>
      <c r="P125" s="1036"/>
      <c r="Q125" s="1037"/>
      <c r="R125" s="791"/>
    </row>
    <row r="126" spans="1:18" ht="13.8" thickBot="1">
      <c r="A126" s="106"/>
      <c r="B126" s="115"/>
      <c r="C126" s="69"/>
      <c r="D126" s="69"/>
      <c r="E126" s="69"/>
      <c r="F126" s="69"/>
      <c r="G126" s="69"/>
      <c r="H126" s="69"/>
      <c r="I126" s="235"/>
      <c r="J126" s="111"/>
      <c r="K126" s="112"/>
      <c r="N126" s="791"/>
      <c r="P126" s="1036"/>
      <c r="Q126" s="1037"/>
      <c r="R126" s="791"/>
    </row>
    <row r="127" spans="1:18" s="58" customFormat="1" ht="53.25" customHeight="1">
      <c r="A127" s="101" t="s">
        <v>306</v>
      </c>
      <c r="B127" s="57" t="s">
        <v>321</v>
      </c>
      <c r="C127" s="57" t="s">
        <v>96</v>
      </c>
      <c r="D127" s="57" t="s">
        <v>101</v>
      </c>
      <c r="E127" s="57" t="s">
        <v>102</v>
      </c>
      <c r="F127" s="57"/>
      <c r="G127" s="57"/>
      <c r="H127" s="102" t="s">
        <v>318</v>
      </c>
      <c r="I127" s="234" t="s">
        <v>25</v>
      </c>
      <c r="J127" s="103" t="s">
        <v>308</v>
      </c>
      <c r="K127" s="104" t="s">
        <v>1366</v>
      </c>
      <c r="N127" s="791"/>
      <c r="O127" s="634"/>
      <c r="P127" s="1036"/>
      <c r="Q127" s="1037"/>
      <c r="R127" s="791"/>
    </row>
    <row r="128" spans="1:18" ht="22.5" customHeight="1">
      <c r="A128" s="1323" t="s">
        <v>193</v>
      </c>
      <c r="B128" s="1313" t="s">
        <v>194</v>
      </c>
      <c r="C128" s="643" t="s">
        <v>195</v>
      </c>
      <c r="D128" s="62">
        <v>0</v>
      </c>
      <c r="E128" s="62">
        <v>80</v>
      </c>
      <c r="F128" s="62"/>
      <c r="G128" s="62"/>
      <c r="H128" s="881">
        <v>5.3</v>
      </c>
      <c r="I128" s="241" t="s">
        <v>26</v>
      </c>
      <c r="J128" s="76"/>
      <c r="K128" s="105">
        <f>+J128*H128</f>
        <v>0</v>
      </c>
      <c r="L128" s="772"/>
      <c r="M128" s="772" t="s">
        <v>1151</v>
      </c>
      <c r="N128" s="791"/>
      <c r="O128" s="634"/>
      <c r="P128" s="1126"/>
      <c r="Q128" s="1127"/>
      <c r="R128" s="791"/>
    </row>
    <row r="129" spans="1:19" ht="22.5" customHeight="1">
      <c r="A129" s="1353"/>
      <c r="B129" s="1326"/>
      <c r="C129" s="1297" t="s">
        <v>1020</v>
      </c>
      <c r="D129" s="62">
        <v>81</v>
      </c>
      <c r="E129" s="62">
        <v>200</v>
      </c>
      <c r="F129" s="62"/>
      <c r="G129" s="62"/>
      <c r="H129" s="881">
        <v>8.4</v>
      </c>
      <c r="I129" s="241" t="s">
        <v>26</v>
      </c>
      <c r="J129" s="76"/>
      <c r="K129" s="105">
        <f>+J129*H129</f>
        <v>0</v>
      </c>
      <c r="L129" s="772"/>
      <c r="M129" s="772" t="s">
        <v>1147</v>
      </c>
      <c r="N129" s="791"/>
      <c r="O129" s="634"/>
      <c r="P129" s="1036"/>
      <c r="Q129" s="1037"/>
      <c r="R129" s="791"/>
    </row>
    <row r="130" spans="1:19" ht="22.5" customHeight="1">
      <c r="A130" s="1335"/>
      <c r="B130" s="1314"/>
      <c r="C130" s="1298"/>
      <c r="D130" s="62">
        <v>201</v>
      </c>
      <c r="E130" s="62" t="s">
        <v>1019</v>
      </c>
      <c r="F130" s="62"/>
      <c r="G130" s="62"/>
      <c r="H130" s="881">
        <v>35.840000000000003</v>
      </c>
      <c r="I130" s="241" t="s">
        <v>26</v>
      </c>
      <c r="J130" s="76"/>
      <c r="K130" s="105">
        <f>+J130*H130</f>
        <v>0</v>
      </c>
      <c r="L130" s="772"/>
      <c r="M130" s="772" t="s">
        <v>1147</v>
      </c>
      <c r="N130" s="791"/>
      <c r="O130" s="634"/>
      <c r="P130" s="1036"/>
      <c r="Q130" s="1037"/>
      <c r="R130" s="791"/>
    </row>
    <row r="131" spans="1:19" ht="22.5" customHeight="1">
      <c r="A131" s="565" t="s">
        <v>771</v>
      </c>
      <c r="B131" s="54" t="s">
        <v>796</v>
      </c>
      <c r="C131" s="44" t="s">
        <v>797</v>
      </c>
      <c r="D131" s="566"/>
      <c r="E131" s="566"/>
      <c r="F131" s="566"/>
      <c r="G131" s="566"/>
      <c r="H131" s="881">
        <v>2.23</v>
      </c>
      <c r="I131" s="241" t="s">
        <v>26</v>
      </c>
      <c r="J131" s="76">
        <v>2</v>
      </c>
      <c r="K131" s="105">
        <f t="shared" ref="K131:K144" si="5">+J131*H131</f>
        <v>4.46</v>
      </c>
      <c r="L131" s="772"/>
      <c r="M131" s="772" t="s">
        <v>1147</v>
      </c>
      <c r="N131" s="791"/>
      <c r="O131" s="634"/>
      <c r="P131" s="1126"/>
      <c r="Q131" s="1127"/>
      <c r="R131" s="791"/>
    </row>
    <row r="132" spans="1:19" ht="22.5" customHeight="1">
      <c r="A132" s="98" t="s">
        <v>196</v>
      </c>
      <c r="B132" s="54" t="s">
        <v>197</v>
      </c>
      <c r="C132" s="54" t="s">
        <v>802</v>
      </c>
      <c r="D132" s="62"/>
      <c r="E132" s="62"/>
      <c r="F132" s="62"/>
      <c r="G132" s="62"/>
      <c r="H132" s="881">
        <v>4.46</v>
      </c>
      <c r="I132" s="241" t="s">
        <v>26</v>
      </c>
      <c r="J132" s="76">
        <v>1</v>
      </c>
      <c r="K132" s="105">
        <f t="shared" si="5"/>
        <v>4.46</v>
      </c>
      <c r="L132" s="772"/>
      <c r="M132" s="772" t="s">
        <v>1147</v>
      </c>
      <c r="N132" s="791"/>
      <c r="O132" s="634"/>
      <c r="P132" s="1036"/>
      <c r="Q132" s="1037"/>
      <c r="R132" s="791"/>
    </row>
    <row r="133" spans="1:19" ht="22.5" customHeight="1">
      <c r="A133" s="98" t="s">
        <v>198</v>
      </c>
      <c r="B133" s="54" t="s">
        <v>199</v>
      </c>
      <c r="C133" s="54" t="s">
        <v>451</v>
      </c>
      <c r="D133" s="62"/>
      <c r="E133" s="62"/>
      <c r="F133" s="62"/>
      <c r="G133" s="62"/>
      <c r="H133" s="881">
        <v>2.5</v>
      </c>
      <c r="I133" s="241" t="s">
        <v>26</v>
      </c>
      <c r="J133" s="76">
        <v>2</v>
      </c>
      <c r="K133" s="105">
        <f t="shared" si="5"/>
        <v>5</v>
      </c>
      <c r="L133" s="772"/>
      <c r="M133" s="772" t="s">
        <v>1147</v>
      </c>
      <c r="N133" s="791"/>
      <c r="O133" s="634"/>
      <c r="P133" s="1126"/>
      <c r="Q133" s="1127"/>
      <c r="R133" s="791"/>
    </row>
    <row r="134" spans="1:19" ht="22.5" customHeight="1">
      <c r="A134" s="98" t="s">
        <v>200</v>
      </c>
      <c r="B134" s="54" t="s">
        <v>800</v>
      </c>
      <c r="C134" s="54" t="s">
        <v>801</v>
      </c>
      <c r="D134" s="62"/>
      <c r="E134" s="62"/>
      <c r="F134" s="62"/>
      <c r="G134" s="62"/>
      <c r="H134" s="881">
        <v>6.7</v>
      </c>
      <c r="I134" s="241" t="s">
        <v>26</v>
      </c>
      <c r="J134" s="76"/>
      <c r="K134" s="105">
        <f t="shared" si="5"/>
        <v>0</v>
      </c>
      <c r="L134" s="772"/>
      <c r="M134" s="772" t="s">
        <v>1146</v>
      </c>
      <c r="N134" s="791"/>
      <c r="O134" s="634"/>
      <c r="P134" s="1126"/>
      <c r="Q134" s="1127"/>
      <c r="R134" s="772"/>
    </row>
    <row r="135" spans="1:19" ht="25.5" customHeight="1">
      <c r="A135" s="98" t="s">
        <v>798</v>
      </c>
      <c r="B135" s="54" t="s">
        <v>202</v>
      </c>
      <c r="C135" s="54" t="s">
        <v>799</v>
      </c>
      <c r="D135" s="62"/>
      <c r="E135" s="62"/>
      <c r="F135" s="62"/>
      <c r="G135" s="62"/>
      <c r="H135" s="881">
        <v>18.559999999999999</v>
      </c>
      <c r="I135" s="241" t="s">
        <v>26</v>
      </c>
      <c r="J135" s="76"/>
      <c r="K135" s="105">
        <f t="shared" si="5"/>
        <v>0</v>
      </c>
      <c r="L135" s="772"/>
      <c r="M135" s="772" t="s">
        <v>1146</v>
      </c>
      <c r="N135" s="791"/>
      <c r="O135" s="634"/>
      <c r="P135" s="1036"/>
      <c r="Q135" s="1037"/>
      <c r="R135" s="772"/>
    </row>
    <row r="136" spans="1:19" ht="22.5" customHeight="1">
      <c r="A136" s="70" t="s">
        <v>230</v>
      </c>
      <c r="B136" s="61" t="s">
        <v>231</v>
      </c>
      <c r="C136" s="61" t="s">
        <v>232</v>
      </c>
      <c r="D136" s="62">
        <v>0</v>
      </c>
      <c r="E136" s="62">
        <v>30</v>
      </c>
      <c r="F136" s="59"/>
      <c r="G136" s="59"/>
      <c r="H136" s="881">
        <v>16.559999999999999</v>
      </c>
      <c r="I136" s="241" t="s">
        <v>26</v>
      </c>
      <c r="J136" s="76"/>
      <c r="K136" s="105">
        <f t="shared" si="5"/>
        <v>0</v>
      </c>
      <c r="L136" s="772"/>
      <c r="M136" s="772" t="s">
        <v>1147</v>
      </c>
      <c r="N136" s="791"/>
      <c r="O136" s="634"/>
      <c r="P136" s="1036"/>
      <c r="Q136" s="1037"/>
      <c r="R136" s="772"/>
    </row>
    <row r="137" spans="1:19" ht="22.5" customHeight="1">
      <c r="A137" s="70"/>
      <c r="B137" s="61"/>
      <c r="C137" s="61"/>
      <c r="D137" s="62">
        <v>31</v>
      </c>
      <c r="E137" s="62">
        <v>60</v>
      </c>
      <c r="F137" s="59"/>
      <c r="G137" s="59"/>
      <c r="H137" s="881">
        <v>17.46</v>
      </c>
      <c r="I137" s="241" t="s">
        <v>26</v>
      </c>
      <c r="J137" s="76"/>
      <c r="K137" s="105">
        <f t="shared" si="5"/>
        <v>0</v>
      </c>
      <c r="L137" s="772"/>
      <c r="M137" s="772" t="s">
        <v>1147</v>
      </c>
      <c r="N137" s="791"/>
      <c r="O137" s="634"/>
      <c r="P137" s="1036"/>
      <c r="Q137" s="1037"/>
      <c r="R137" s="772"/>
    </row>
    <row r="138" spans="1:19" ht="22.5" customHeight="1">
      <c r="A138" s="70"/>
      <c r="B138" s="61"/>
      <c r="C138" s="61"/>
      <c r="D138" s="62">
        <v>61</v>
      </c>
      <c r="E138" s="62">
        <v>90</v>
      </c>
      <c r="F138" s="59"/>
      <c r="G138" s="59"/>
      <c r="H138" s="881">
        <v>18.399999999999999</v>
      </c>
      <c r="I138" s="241" t="s">
        <v>26</v>
      </c>
      <c r="J138" s="76"/>
      <c r="K138" s="105">
        <f t="shared" si="5"/>
        <v>0</v>
      </c>
      <c r="L138" s="772"/>
      <c r="M138" s="772" t="s">
        <v>1147</v>
      </c>
      <c r="N138" s="791"/>
      <c r="O138" s="634"/>
      <c r="P138" s="1036"/>
      <c r="Q138" s="1037"/>
      <c r="R138" s="772"/>
    </row>
    <row r="139" spans="1:19" s="60" customFormat="1" ht="24.75" customHeight="1">
      <c r="A139" s="70" t="s">
        <v>180</v>
      </c>
      <c r="B139" s="54" t="s">
        <v>181</v>
      </c>
      <c r="C139" s="501" t="s">
        <v>182</v>
      </c>
      <c r="D139" s="59"/>
      <c r="E139" s="59"/>
      <c r="F139" s="59"/>
      <c r="G139" s="59"/>
      <c r="H139" s="881">
        <v>8</v>
      </c>
      <c r="I139" s="241" t="s">
        <v>26</v>
      </c>
      <c r="J139" s="76"/>
      <c r="K139" s="105">
        <f t="shared" si="5"/>
        <v>0</v>
      </c>
      <c r="L139" s="772"/>
      <c r="M139" s="772" t="s">
        <v>1146</v>
      </c>
      <c r="N139" s="791"/>
      <c r="O139" s="634"/>
      <c r="P139" s="1036"/>
      <c r="Q139" s="1037"/>
      <c r="R139" s="772"/>
      <c r="S139" s="55"/>
    </row>
    <row r="140" spans="1:19" s="60" customFormat="1" ht="24.75" customHeight="1">
      <c r="A140" s="565" t="s">
        <v>808</v>
      </c>
      <c r="B140" s="54" t="s">
        <v>809</v>
      </c>
      <c r="C140" s="54" t="s">
        <v>810</v>
      </c>
      <c r="D140" s="59"/>
      <c r="E140" s="59"/>
      <c r="F140" s="59"/>
      <c r="G140" s="59"/>
      <c r="H140" s="881">
        <v>2.5</v>
      </c>
      <c r="I140" s="241" t="s">
        <v>26</v>
      </c>
      <c r="J140" s="76"/>
      <c r="K140" s="105">
        <f t="shared" si="5"/>
        <v>0</v>
      </c>
      <c r="L140" s="772"/>
      <c r="M140" s="772" t="s">
        <v>1147</v>
      </c>
      <c r="N140" s="791"/>
      <c r="O140" s="634"/>
      <c r="P140" s="1036"/>
      <c r="Q140" s="1037"/>
      <c r="R140" s="772"/>
      <c r="S140" s="55"/>
    </row>
    <row r="141" spans="1:19" s="60" customFormat="1" ht="24.75" customHeight="1">
      <c r="A141" s="485" t="s">
        <v>849</v>
      </c>
      <c r="B141" s="475" t="s">
        <v>832</v>
      </c>
      <c r="C141" s="475" t="s">
        <v>797</v>
      </c>
      <c r="D141" s="285"/>
      <c r="E141" s="285"/>
      <c r="F141" s="285"/>
      <c r="G141" s="285"/>
      <c r="H141" s="888">
        <v>4.2</v>
      </c>
      <c r="I141" s="241" t="s">
        <v>26</v>
      </c>
      <c r="J141" s="286"/>
      <c r="K141" s="105">
        <f t="shared" si="5"/>
        <v>0</v>
      </c>
      <c r="L141" s="772"/>
      <c r="M141" s="772" t="s">
        <v>1147</v>
      </c>
      <c r="N141" s="791"/>
      <c r="O141" s="634"/>
      <c r="P141" s="1036"/>
      <c r="Q141" s="1037"/>
      <c r="R141" s="791"/>
      <c r="S141" s="55"/>
    </row>
    <row r="142" spans="1:19" s="60" customFormat="1" ht="24.75" customHeight="1">
      <c r="A142" s="565"/>
      <c r="B142" s="54"/>
      <c r="C142" s="54"/>
      <c r="D142" s="54"/>
      <c r="E142" s="59"/>
      <c r="F142" s="59"/>
      <c r="G142" s="59"/>
      <c r="H142" s="240"/>
      <c r="I142" s="241"/>
      <c r="J142" s="76"/>
      <c r="K142" s="105">
        <f t="shared" si="5"/>
        <v>0</v>
      </c>
      <c r="N142" s="791"/>
      <c r="O142" s="1137"/>
      <c r="P142" s="1036"/>
      <c r="Q142" s="1037"/>
      <c r="R142" s="55"/>
      <c r="S142" s="55"/>
    </row>
    <row r="143" spans="1:19" s="60" customFormat="1" ht="24.75" customHeight="1">
      <c r="A143" s="565"/>
      <c r="B143" s="54"/>
      <c r="C143" s="54"/>
      <c r="D143" s="59"/>
      <c r="E143" s="59"/>
      <c r="F143" s="59"/>
      <c r="G143" s="59"/>
      <c r="H143" s="240"/>
      <c r="I143" s="241"/>
      <c r="J143" s="76"/>
      <c r="K143" s="105">
        <f t="shared" si="5"/>
        <v>0</v>
      </c>
      <c r="N143" s="791"/>
      <c r="O143" s="634"/>
      <c r="P143" s="1036"/>
      <c r="Q143" s="1037"/>
      <c r="R143" s="55"/>
      <c r="S143" s="55"/>
    </row>
    <row r="144" spans="1:19" s="60" customFormat="1" ht="24.75" customHeight="1">
      <c r="A144" s="565"/>
      <c r="B144" s="54"/>
      <c r="C144" s="54"/>
      <c r="D144" s="59"/>
      <c r="E144" s="59"/>
      <c r="F144" s="59"/>
      <c r="G144" s="59"/>
      <c r="H144" s="240"/>
      <c r="I144" s="241"/>
      <c r="J144" s="76"/>
      <c r="K144" s="105">
        <f t="shared" si="5"/>
        <v>0</v>
      </c>
      <c r="N144" s="791"/>
      <c r="O144" s="634"/>
      <c r="P144" s="1036"/>
      <c r="Q144" s="1037"/>
      <c r="R144" s="55"/>
      <c r="S144" s="55"/>
    </row>
    <row r="145" spans="1:95" s="60" customFormat="1" ht="24.75" customHeight="1" thickBot="1">
      <c r="A145" s="688"/>
      <c r="B145" s="277"/>
      <c r="C145" s="277"/>
      <c r="D145" s="285"/>
      <c r="E145" s="285"/>
      <c r="F145" s="285"/>
      <c r="G145" s="285"/>
      <c r="H145" s="508"/>
      <c r="I145" s="282"/>
      <c r="J145" s="283"/>
      <c r="K145" s="290"/>
      <c r="N145" s="791"/>
      <c r="O145" s="634"/>
      <c r="P145" s="1036"/>
      <c r="Q145" s="1037"/>
      <c r="R145" s="55"/>
      <c r="S145" s="55"/>
    </row>
    <row r="146" spans="1:95" s="58" customFormat="1" ht="53.25" customHeight="1">
      <c r="A146" s="101" t="s">
        <v>94</v>
      </c>
      <c r="B146" s="57" t="s">
        <v>321</v>
      </c>
      <c r="C146" s="57" t="s">
        <v>96</v>
      </c>
      <c r="D146" s="57" t="s">
        <v>99</v>
      </c>
      <c r="E146" s="57" t="s">
        <v>100</v>
      </c>
      <c r="F146" s="57"/>
      <c r="G146" s="57"/>
      <c r="H146" s="102" t="s">
        <v>318</v>
      </c>
      <c r="I146" s="234" t="s">
        <v>25</v>
      </c>
      <c r="J146" s="103" t="s">
        <v>308</v>
      </c>
      <c r="K146" s="104" t="s">
        <v>1366</v>
      </c>
      <c r="N146" s="791"/>
      <c r="O146" s="634"/>
      <c r="P146" s="1036"/>
      <c r="Q146" s="1037"/>
      <c r="R146" s="55"/>
      <c r="S146" s="55"/>
    </row>
    <row r="147" spans="1:95" s="65" customFormat="1" ht="22.5" customHeight="1">
      <c r="A147" s="1364" t="s">
        <v>283</v>
      </c>
      <c r="B147" s="635" t="s">
        <v>284</v>
      </c>
      <c r="C147" s="704"/>
      <c r="D147" s="62"/>
      <c r="E147" s="62"/>
      <c r="F147" s="62"/>
      <c r="G147" s="62"/>
      <c r="H147" s="886">
        <v>3.83</v>
      </c>
      <c r="I147" s="241" t="s">
        <v>26</v>
      </c>
      <c r="J147" s="62">
        <v>12</v>
      </c>
      <c r="K147" s="388">
        <f>+J147*H147</f>
        <v>45.96</v>
      </c>
      <c r="M147" s="1035"/>
      <c r="N147" s="791"/>
      <c r="O147" s="634"/>
      <c r="P147" s="1036"/>
      <c r="Q147" s="1037"/>
      <c r="R147" s="55"/>
      <c r="S147" s="55"/>
    </row>
    <row r="148" spans="1:95" s="65" customFormat="1" ht="22.5" customHeight="1">
      <c r="A148" s="1364"/>
      <c r="B148" s="635" t="s">
        <v>1052</v>
      </c>
      <c r="C148" s="1316"/>
      <c r="D148" s="1309"/>
      <c r="E148" s="1309"/>
      <c r="F148" s="1309"/>
      <c r="G148" s="1309"/>
      <c r="H148" s="1383">
        <v>3.53</v>
      </c>
      <c r="I148" s="1385" t="s">
        <v>26</v>
      </c>
      <c r="J148" s="1309">
        <v>50</v>
      </c>
      <c r="K148" s="1380">
        <f>+J148*H148</f>
        <v>176.5</v>
      </c>
      <c r="M148" s="1035"/>
      <c r="N148" s="791"/>
      <c r="O148" s="634"/>
      <c r="P148" s="1126"/>
      <c r="Q148" s="1127"/>
      <c r="R148" s="543"/>
      <c r="S148" s="1034"/>
    </row>
    <row r="149" spans="1:95" s="65" customFormat="1" ht="133.5" customHeight="1">
      <c r="A149" s="1365"/>
      <c r="B149" s="635" t="s">
        <v>1051</v>
      </c>
      <c r="C149" s="1317"/>
      <c r="D149" s="1310"/>
      <c r="E149" s="1310"/>
      <c r="F149" s="1310"/>
      <c r="G149" s="1310"/>
      <c r="H149" s="1384"/>
      <c r="I149" s="1386"/>
      <c r="J149" s="1310"/>
      <c r="K149" s="1381"/>
      <c r="L149" s="642"/>
      <c r="M149" s="1035"/>
      <c r="N149" s="791"/>
      <c r="O149" s="634"/>
      <c r="P149" s="1036"/>
      <c r="Q149" s="1037"/>
      <c r="R149" s="772"/>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43"/>
      <c r="AQ149" s="543"/>
      <c r="AR149" s="543"/>
      <c r="AS149" s="543"/>
      <c r="AT149" s="543"/>
      <c r="AU149" s="543"/>
      <c r="AV149" s="543"/>
      <c r="AW149" s="543"/>
      <c r="AX149" s="543"/>
      <c r="AY149" s="543"/>
      <c r="AZ149" s="543"/>
      <c r="BA149" s="543"/>
      <c r="BB149" s="543"/>
      <c r="BC149" s="543"/>
      <c r="BD149" s="543"/>
      <c r="BE149" s="543"/>
      <c r="BF149" s="543"/>
      <c r="BG149" s="543"/>
      <c r="BH149" s="543"/>
      <c r="BI149" s="543"/>
      <c r="BJ149" s="543"/>
      <c r="BK149" s="543"/>
      <c r="BL149" s="543"/>
      <c r="BM149" s="543"/>
      <c r="BN149" s="543"/>
      <c r="BO149" s="543"/>
      <c r="BP149" s="543"/>
      <c r="BQ149" s="543"/>
      <c r="BR149" s="543"/>
      <c r="BS149" s="543"/>
      <c r="BT149" s="543"/>
      <c r="BU149" s="543"/>
      <c r="BV149" s="543"/>
      <c r="BW149" s="543"/>
      <c r="BX149" s="543"/>
      <c r="BY149" s="543"/>
      <c r="BZ149" s="543"/>
      <c r="CA149" s="543"/>
      <c r="CB149" s="543"/>
      <c r="CC149" s="543"/>
      <c r="CD149" s="543"/>
      <c r="CE149" s="543"/>
      <c r="CF149" s="543"/>
      <c r="CG149" s="543"/>
      <c r="CH149" s="543"/>
      <c r="CI149" s="543"/>
      <c r="CJ149" s="543"/>
      <c r="CK149" s="543"/>
      <c r="CL149" s="543"/>
      <c r="CM149" s="543"/>
      <c r="CN149" s="543"/>
      <c r="CO149" s="543"/>
      <c r="CP149" s="543"/>
      <c r="CQ149" s="543"/>
    </row>
    <row r="150" spans="1:95" s="389" customFormat="1" ht="32.25" customHeight="1">
      <c r="A150" s="412" t="s">
        <v>1158</v>
      </c>
      <c r="B150" s="635" t="s">
        <v>670</v>
      </c>
      <c r="C150" s="44"/>
      <c r="D150" s="59"/>
      <c r="E150" s="59"/>
      <c r="F150" s="59"/>
      <c r="G150" s="59"/>
      <c r="H150" s="881">
        <v>6.3</v>
      </c>
      <c r="I150" s="241" t="s">
        <v>26</v>
      </c>
      <c r="J150" s="76"/>
      <c r="K150" s="388">
        <f t="shared" ref="K150:K161" si="6">+J150*H150</f>
        <v>0</v>
      </c>
      <c r="L150" s="642"/>
      <c r="M150" s="1035"/>
      <c r="N150" s="791"/>
      <c r="O150" s="634"/>
      <c r="P150" s="1036"/>
      <c r="Q150" s="1037"/>
      <c r="R150" s="772"/>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c r="CA150" s="60"/>
      <c r="CB150" s="60"/>
      <c r="CC150" s="60"/>
      <c r="CD150" s="60"/>
      <c r="CE150" s="60"/>
      <c r="CF150" s="60"/>
      <c r="CG150" s="60"/>
      <c r="CH150" s="60"/>
      <c r="CI150" s="60"/>
      <c r="CJ150" s="60"/>
      <c r="CK150" s="60"/>
      <c r="CL150" s="60"/>
      <c r="CM150" s="60"/>
      <c r="CN150" s="60"/>
      <c r="CO150" s="60"/>
      <c r="CP150" s="60"/>
      <c r="CQ150" s="60"/>
    </row>
    <row r="151" spans="1:95" ht="18" customHeight="1">
      <c r="A151" s="1360" t="s">
        <v>203</v>
      </c>
      <c r="B151" s="1363" t="s">
        <v>1093</v>
      </c>
      <c r="C151" s="1316" t="s">
        <v>282</v>
      </c>
      <c r="D151" s="59">
        <v>0</v>
      </c>
      <c r="E151" s="59">
        <v>6</v>
      </c>
      <c r="F151" s="59">
        <v>0</v>
      </c>
      <c r="G151" s="59">
        <v>99999</v>
      </c>
      <c r="H151" s="881">
        <v>13.01</v>
      </c>
      <c r="I151" s="241" t="s">
        <v>26</v>
      </c>
      <c r="J151" s="76">
        <v>7</v>
      </c>
      <c r="K151" s="105">
        <f t="shared" si="6"/>
        <v>91.07</v>
      </c>
      <c r="L151" s="774"/>
      <c r="M151" s="1035"/>
      <c r="N151" s="791"/>
      <c r="O151" s="634"/>
      <c r="P151" s="1126"/>
      <c r="Q151" s="1127"/>
      <c r="R151" s="772"/>
    </row>
    <row r="152" spans="1:95" ht="18" customHeight="1">
      <c r="A152" s="1360"/>
      <c r="B152" s="1363"/>
      <c r="C152" s="1382"/>
      <c r="D152" s="59">
        <v>7</v>
      </c>
      <c r="E152" s="59">
        <v>13</v>
      </c>
      <c r="F152" s="59">
        <v>0</v>
      </c>
      <c r="G152" s="59">
        <v>99999</v>
      </c>
      <c r="H152" s="881">
        <v>14.72</v>
      </c>
      <c r="I152" s="241" t="s">
        <v>26</v>
      </c>
      <c r="J152" s="76">
        <v>3</v>
      </c>
      <c r="K152" s="105">
        <f t="shared" si="6"/>
        <v>44.160000000000004</v>
      </c>
      <c r="L152" s="774"/>
      <c r="M152" s="1035"/>
      <c r="N152" s="791"/>
      <c r="O152" s="634"/>
      <c r="P152" s="1126"/>
      <c r="Q152" s="1127"/>
      <c r="R152" s="772"/>
    </row>
    <row r="153" spans="1:95" ht="18" customHeight="1">
      <c r="A153" s="1360"/>
      <c r="B153" s="1363"/>
      <c r="C153" s="1317"/>
      <c r="D153" s="59">
        <v>14</v>
      </c>
      <c r="E153" s="59">
        <v>103</v>
      </c>
      <c r="F153" s="59">
        <v>0</v>
      </c>
      <c r="G153" s="59">
        <v>99999</v>
      </c>
      <c r="H153" s="881">
        <v>26.39</v>
      </c>
      <c r="I153" s="241" t="s">
        <v>26</v>
      </c>
      <c r="J153" s="76">
        <v>2</v>
      </c>
      <c r="K153" s="105">
        <f t="shared" si="6"/>
        <v>52.78</v>
      </c>
      <c r="L153" s="774"/>
      <c r="M153" s="1035"/>
      <c r="N153" s="791"/>
      <c r="O153" s="634"/>
      <c r="P153" s="1126"/>
      <c r="Q153" s="1127"/>
      <c r="R153" s="772"/>
    </row>
    <row r="154" spans="1:95" ht="18" customHeight="1">
      <c r="A154" s="1351" t="s">
        <v>87</v>
      </c>
      <c r="B154" s="1361" t="s">
        <v>88</v>
      </c>
      <c r="C154" s="1315" t="s">
        <v>201</v>
      </c>
      <c r="D154" s="1306"/>
      <c r="E154" s="59"/>
      <c r="F154" s="59"/>
      <c r="G154" s="59"/>
      <c r="H154" s="881">
        <v>7.6</v>
      </c>
      <c r="I154" s="241" t="s">
        <v>26</v>
      </c>
      <c r="J154" s="76"/>
      <c r="K154" s="105">
        <f t="shared" si="6"/>
        <v>0</v>
      </c>
      <c r="L154" s="774"/>
      <c r="M154" s="1035"/>
      <c r="N154" s="791"/>
      <c r="O154" s="634"/>
      <c r="P154" s="1036"/>
      <c r="Q154" s="1037"/>
      <c r="R154" s="772"/>
    </row>
    <row r="155" spans="1:95" ht="45.75" customHeight="1">
      <c r="A155" s="1352"/>
      <c r="B155" s="1362"/>
      <c r="C155" s="1305" t="s">
        <v>1063</v>
      </c>
      <c r="D155" s="1306"/>
      <c r="E155" s="59"/>
      <c r="F155" s="59"/>
      <c r="G155" s="59"/>
      <c r="H155" s="881">
        <v>10.6</v>
      </c>
      <c r="I155" s="241" t="s">
        <v>26</v>
      </c>
      <c r="J155" s="76"/>
      <c r="K155" s="105">
        <f t="shared" si="6"/>
        <v>0</v>
      </c>
      <c r="L155" s="774"/>
      <c r="M155" s="1035"/>
      <c r="N155" s="791"/>
      <c r="O155" s="634"/>
      <c r="P155" s="1036"/>
      <c r="Q155" s="1037"/>
      <c r="R155" s="772"/>
    </row>
    <row r="156" spans="1:95" ht="54.75" customHeight="1">
      <c r="A156" s="564" t="s">
        <v>1047</v>
      </c>
      <c r="B156" s="635" t="s">
        <v>1045</v>
      </c>
      <c r="C156" s="664" t="s">
        <v>1044</v>
      </c>
      <c r="D156" s="786"/>
      <c r="E156" s="280"/>
      <c r="F156" s="280"/>
      <c r="G156" s="280"/>
      <c r="H156" s="881">
        <v>3.6</v>
      </c>
      <c r="I156" s="241" t="s">
        <v>26</v>
      </c>
      <c r="J156" s="283"/>
      <c r="K156" s="284">
        <f t="shared" si="6"/>
        <v>0</v>
      </c>
      <c r="L156" s="775"/>
      <c r="M156" s="1035"/>
      <c r="N156" s="791"/>
      <c r="O156" s="634"/>
      <c r="P156" s="1036"/>
      <c r="Q156" s="1037"/>
      <c r="R156" s="772"/>
    </row>
    <row r="157" spans="1:95" ht="76.5" customHeight="1">
      <c r="A157" s="564" t="s">
        <v>1067</v>
      </c>
      <c r="B157" s="661" t="s">
        <v>1066</v>
      </c>
      <c r="C157" s="664" t="s">
        <v>1062</v>
      </c>
      <c r="D157" s="711"/>
      <c r="E157" s="280"/>
      <c r="F157" s="280"/>
      <c r="G157" s="280"/>
      <c r="H157" s="881">
        <v>10</v>
      </c>
      <c r="I157" s="241" t="s">
        <v>26</v>
      </c>
      <c r="J157" s="283"/>
      <c r="K157" s="284">
        <f t="shared" si="6"/>
        <v>0</v>
      </c>
      <c r="L157" s="774"/>
      <c r="M157" s="1035"/>
      <c r="N157" s="791"/>
      <c r="O157" s="634"/>
      <c r="P157" s="1036"/>
      <c r="Q157" s="1037"/>
      <c r="R157" s="772"/>
    </row>
    <row r="158" spans="1:95" ht="48" customHeight="1">
      <c r="A158" s="564" t="s">
        <v>1010</v>
      </c>
      <c r="B158" s="661" t="s">
        <v>1015</v>
      </c>
      <c r="C158" s="664" t="s">
        <v>1036</v>
      </c>
      <c r="D158" s="787"/>
      <c r="E158" s="280"/>
      <c r="F158" s="280"/>
      <c r="G158" s="280"/>
      <c r="H158" s="881">
        <v>44</v>
      </c>
      <c r="I158" s="241" t="s">
        <v>26</v>
      </c>
      <c r="J158" s="283"/>
      <c r="K158" s="1162">
        <f>+J158*H158+N158*O158</f>
        <v>0</v>
      </c>
      <c r="L158" s="774"/>
      <c r="M158" s="1035"/>
      <c r="N158" s="1161"/>
      <c r="O158" s="1161">
        <v>22</v>
      </c>
      <c r="P158" s="1036"/>
      <c r="Q158" s="1138"/>
      <c r="R158" s="772"/>
    </row>
    <row r="159" spans="1:95" ht="43.5" customHeight="1">
      <c r="A159" s="1318" t="s">
        <v>1074</v>
      </c>
      <c r="B159" s="1347" t="s">
        <v>1091</v>
      </c>
      <c r="C159" s="1311" t="s">
        <v>1075</v>
      </c>
      <c r="D159" s="1370" t="s">
        <v>1076</v>
      </c>
      <c r="E159" s="1307" t="s">
        <v>1077</v>
      </c>
      <c r="F159" s="1308"/>
      <c r="G159" s="280"/>
      <c r="H159" s="887">
        <v>20</v>
      </c>
      <c r="I159" s="241" t="s">
        <v>26</v>
      </c>
      <c r="J159" s="754">
        <v>10</v>
      </c>
      <c r="K159" s="755">
        <f t="shared" si="6"/>
        <v>200</v>
      </c>
      <c r="L159" s="774"/>
      <c r="M159" s="1035"/>
      <c r="N159" s="791"/>
      <c r="O159" s="634"/>
      <c r="P159" s="1036"/>
      <c r="Q159" s="1037"/>
      <c r="R159" s="772"/>
    </row>
    <row r="160" spans="1:95" ht="37.5" customHeight="1">
      <c r="A160" s="1319"/>
      <c r="B160" s="1354"/>
      <c r="C160" s="1312"/>
      <c r="D160" s="1371"/>
      <c r="E160" s="1307" t="s">
        <v>1078</v>
      </c>
      <c r="F160" s="1308"/>
      <c r="G160" s="280"/>
      <c r="H160" s="887">
        <v>30</v>
      </c>
      <c r="I160" s="241" t="s">
        <v>26</v>
      </c>
      <c r="J160" s="754">
        <v>2</v>
      </c>
      <c r="K160" s="755">
        <f t="shared" si="6"/>
        <v>60</v>
      </c>
      <c r="L160" s="774"/>
      <c r="M160" s="1035"/>
      <c r="N160" s="791"/>
      <c r="O160" s="634"/>
      <c r="P160" s="1036"/>
      <c r="Q160" s="1037"/>
      <c r="R160" s="772"/>
    </row>
    <row r="161" spans="1:19" ht="37.5" customHeight="1" thickBot="1">
      <c r="A161" s="963" t="s">
        <v>1384</v>
      </c>
      <c r="B161" s="964" t="s">
        <v>1383</v>
      </c>
      <c r="C161" s="959"/>
      <c r="D161" s="960" t="s">
        <v>1381</v>
      </c>
      <c r="E161" s="960" t="s">
        <v>1382</v>
      </c>
      <c r="F161" s="961"/>
      <c r="G161" s="961"/>
      <c r="H161" s="962">
        <v>8.66</v>
      </c>
      <c r="I161" s="282" t="s">
        <v>26</v>
      </c>
      <c r="J161" s="976"/>
      <c r="K161" s="755">
        <f t="shared" si="6"/>
        <v>0</v>
      </c>
      <c r="L161" s="642"/>
      <c r="M161" s="1035" t="s">
        <v>1464</v>
      </c>
      <c r="N161" s="791"/>
      <c r="O161" s="634"/>
      <c r="P161" s="1036"/>
      <c r="Q161" s="1037"/>
      <c r="R161" s="772"/>
    </row>
    <row r="162" spans="1:19" s="58" customFormat="1" ht="53.25" customHeight="1">
      <c r="A162" s="101" t="s">
        <v>94</v>
      </c>
      <c r="B162" s="57" t="s">
        <v>321</v>
      </c>
      <c r="C162" s="57" t="s">
        <v>96</v>
      </c>
      <c r="D162" s="57" t="s">
        <v>99</v>
      </c>
      <c r="E162" s="57" t="s">
        <v>100</v>
      </c>
      <c r="F162" s="57"/>
      <c r="G162" s="57"/>
      <c r="H162" s="102" t="s">
        <v>318</v>
      </c>
      <c r="I162" s="234" t="s">
        <v>25</v>
      </c>
      <c r="J162" s="103" t="s">
        <v>308</v>
      </c>
      <c r="K162" s="104" t="s">
        <v>1366</v>
      </c>
      <c r="N162" s="791"/>
      <c r="O162" s="634"/>
      <c r="P162" s="1036"/>
      <c r="Q162" s="1037"/>
      <c r="R162" s="772"/>
      <c r="S162" s="55"/>
    </row>
    <row r="163" spans="1:19" ht="22.5" customHeight="1">
      <c r="A163" s="1320" t="s">
        <v>737</v>
      </c>
      <c r="B163" s="54" t="s">
        <v>149</v>
      </c>
      <c r="C163" s="54" t="s">
        <v>150</v>
      </c>
      <c r="D163" s="62">
        <v>0.35</v>
      </c>
      <c r="E163" s="62">
        <v>1.5</v>
      </c>
      <c r="F163" s="62"/>
      <c r="G163" s="59"/>
      <c r="H163" s="886">
        <v>5.52</v>
      </c>
      <c r="I163" s="241" t="s">
        <v>26</v>
      </c>
      <c r="J163" s="76"/>
      <c r="K163" s="105">
        <f>+J163*H163</f>
        <v>0</v>
      </c>
      <c r="L163" s="774"/>
      <c r="M163" s="774" t="s">
        <v>1147</v>
      </c>
      <c r="N163" s="791"/>
      <c r="O163" s="634"/>
      <c r="P163" s="1036"/>
      <c r="Q163" s="1037"/>
      <c r="R163" s="772"/>
      <c r="S163" s="58"/>
    </row>
    <row r="164" spans="1:19" ht="22.5" customHeight="1">
      <c r="A164" s="1320"/>
      <c r="B164" s="54" t="s">
        <v>149</v>
      </c>
      <c r="C164" s="54"/>
      <c r="D164" s="62">
        <v>1.75</v>
      </c>
      <c r="E164" s="62">
        <v>103</v>
      </c>
      <c r="F164" s="62"/>
      <c r="G164" s="59"/>
      <c r="H164" s="886">
        <v>6.28</v>
      </c>
      <c r="I164" s="241" t="s">
        <v>26</v>
      </c>
      <c r="J164" s="76"/>
      <c r="K164" s="105">
        <f t="shared" ref="K164:K183" si="7">+J164*H164</f>
        <v>0</v>
      </c>
      <c r="L164" s="774"/>
      <c r="M164" s="774" t="s">
        <v>1147</v>
      </c>
      <c r="N164" s="791"/>
      <c r="O164" s="634"/>
      <c r="P164" s="1036"/>
      <c r="Q164" s="1037"/>
      <c r="R164" s="772"/>
    </row>
    <row r="165" spans="1:19" ht="22.5" customHeight="1">
      <c r="A165" s="1320"/>
      <c r="B165" s="54" t="s">
        <v>803</v>
      </c>
      <c r="C165" s="54"/>
      <c r="D165" s="62">
        <v>0.7</v>
      </c>
      <c r="E165" s="62">
        <v>2</v>
      </c>
      <c r="F165" s="62"/>
      <c r="G165" s="59"/>
      <c r="H165" s="886">
        <v>12.24</v>
      </c>
      <c r="I165" s="241" t="s">
        <v>26</v>
      </c>
      <c r="J165" s="76"/>
      <c r="K165" s="105">
        <f t="shared" si="7"/>
        <v>0</v>
      </c>
      <c r="L165" s="542"/>
      <c r="M165" s="542" t="s">
        <v>1147</v>
      </c>
      <c r="N165" s="791"/>
      <c r="O165" s="634"/>
      <c r="P165" s="1036"/>
      <c r="Q165" s="1037"/>
      <c r="R165" s="772"/>
    </row>
    <row r="166" spans="1:19" ht="37.5" customHeight="1">
      <c r="A166" s="1320"/>
      <c r="B166" s="54" t="s">
        <v>805</v>
      </c>
      <c r="C166" s="54" t="s">
        <v>804</v>
      </c>
      <c r="D166" s="62">
        <v>0.08</v>
      </c>
      <c r="E166" s="62">
        <v>6</v>
      </c>
      <c r="F166" s="62"/>
      <c r="G166" s="62"/>
      <c r="H166" s="886">
        <v>24.3</v>
      </c>
      <c r="I166" s="241" t="s">
        <v>26</v>
      </c>
      <c r="J166" s="76"/>
      <c r="K166" s="105">
        <f t="shared" si="7"/>
        <v>0</v>
      </c>
      <c r="M166" s="55" t="s">
        <v>1147</v>
      </c>
      <c r="N166" s="791"/>
      <c r="O166" s="634"/>
      <c r="P166" s="1036"/>
      <c r="Q166" s="1037"/>
      <c r="R166" s="772"/>
    </row>
    <row r="167" spans="1:19" ht="45.75" customHeight="1">
      <c r="A167" s="1320"/>
      <c r="B167" s="54" t="s">
        <v>743</v>
      </c>
      <c r="C167" s="54" t="s">
        <v>738</v>
      </c>
      <c r="D167" s="62">
        <v>7</v>
      </c>
      <c r="E167" s="62">
        <v>103</v>
      </c>
      <c r="F167" s="62"/>
      <c r="G167" s="62"/>
      <c r="H167" s="886">
        <v>35</v>
      </c>
      <c r="I167" s="241" t="s">
        <v>26</v>
      </c>
      <c r="J167" s="76"/>
      <c r="K167" s="105">
        <f t="shared" si="7"/>
        <v>0</v>
      </c>
      <c r="M167" s="55" t="s">
        <v>1147</v>
      </c>
      <c r="N167" s="791"/>
      <c r="O167" s="634"/>
      <c r="P167" s="1036"/>
      <c r="Q167" s="1037"/>
      <c r="R167" s="772"/>
    </row>
    <row r="168" spans="1:19" ht="51.75" customHeight="1">
      <c r="A168" s="1320"/>
      <c r="B168" s="54" t="s">
        <v>739</v>
      </c>
      <c r="C168" s="54" t="s">
        <v>834</v>
      </c>
      <c r="D168" s="62">
        <v>7</v>
      </c>
      <c r="E168" s="62">
        <v>103</v>
      </c>
      <c r="F168" s="62"/>
      <c r="G168" s="62"/>
      <c r="H168" s="886">
        <v>17</v>
      </c>
      <c r="I168" s="241" t="s">
        <v>26</v>
      </c>
      <c r="J168" s="76"/>
      <c r="K168" s="105">
        <f t="shared" si="7"/>
        <v>0</v>
      </c>
      <c r="M168" s="55" t="s">
        <v>1147</v>
      </c>
      <c r="N168" s="791"/>
      <c r="O168" s="634"/>
      <c r="P168" s="1036"/>
      <c r="Q168" s="1037"/>
      <c r="R168" s="772"/>
    </row>
    <row r="169" spans="1:19" s="65" customFormat="1" ht="22.5" customHeight="1">
      <c r="A169" s="98" t="s">
        <v>151</v>
      </c>
      <c r="B169" s="54" t="s">
        <v>814</v>
      </c>
      <c r="C169" s="44" t="s">
        <v>152</v>
      </c>
      <c r="D169" s="62">
        <v>0.13</v>
      </c>
      <c r="E169" s="62">
        <v>103</v>
      </c>
      <c r="F169" s="62"/>
      <c r="G169" s="62"/>
      <c r="H169" s="886">
        <v>7</v>
      </c>
      <c r="I169" s="241" t="s">
        <v>26</v>
      </c>
      <c r="J169" s="76"/>
      <c r="K169" s="105">
        <f t="shared" si="7"/>
        <v>0</v>
      </c>
      <c r="L169" s="55"/>
      <c r="M169" s="55" t="s">
        <v>1147</v>
      </c>
      <c r="N169" s="791"/>
      <c r="O169" s="634"/>
      <c r="P169" s="1036"/>
      <c r="Q169" s="1037"/>
      <c r="R169" s="772"/>
      <c r="S169" s="55"/>
    </row>
    <row r="170" spans="1:19" ht="22.5" customHeight="1">
      <c r="A170" s="70" t="s">
        <v>587</v>
      </c>
      <c r="B170" s="54" t="s">
        <v>153</v>
      </c>
      <c r="C170" s="44" t="s">
        <v>154</v>
      </c>
      <c r="D170" s="59"/>
      <c r="E170" s="59"/>
      <c r="F170" s="59"/>
      <c r="G170" s="59"/>
      <c r="H170" s="886">
        <v>3.41</v>
      </c>
      <c r="I170" s="241" t="s">
        <v>26</v>
      </c>
      <c r="J170" s="76"/>
      <c r="K170" s="105">
        <f t="shared" si="7"/>
        <v>0</v>
      </c>
      <c r="L170" s="65"/>
      <c r="M170" s="55" t="s">
        <v>1147</v>
      </c>
      <c r="N170" s="791"/>
      <c r="O170" s="634"/>
      <c r="P170" s="1036"/>
      <c r="Q170" s="1037"/>
      <c r="R170" s="772"/>
      <c r="S170" s="65"/>
    </row>
    <row r="171" spans="1:19" ht="22.5" customHeight="1">
      <c r="A171" s="1322" t="s">
        <v>155</v>
      </c>
      <c r="B171" s="1325" t="s">
        <v>458</v>
      </c>
      <c r="C171" s="44" t="s">
        <v>152</v>
      </c>
      <c r="D171" s="59">
        <v>0.13</v>
      </c>
      <c r="E171" s="59">
        <v>6</v>
      </c>
      <c r="F171" s="59"/>
      <c r="G171" s="59"/>
      <c r="H171" s="886">
        <v>2.87</v>
      </c>
      <c r="I171" s="241" t="s">
        <v>26</v>
      </c>
      <c r="J171" s="76"/>
      <c r="K171" s="105">
        <f t="shared" si="7"/>
        <v>0</v>
      </c>
      <c r="L171" s="772"/>
      <c r="M171" s="772" t="s">
        <v>1147</v>
      </c>
      <c r="N171" s="791"/>
      <c r="O171" s="634"/>
      <c r="P171" s="1036"/>
      <c r="Q171" s="1037"/>
      <c r="R171" s="772"/>
    </row>
    <row r="172" spans="1:19" ht="22.5" customHeight="1">
      <c r="A172" s="1322"/>
      <c r="B172" s="1325"/>
      <c r="C172" s="44"/>
      <c r="D172" s="59">
        <v>7</v>
      </c>
      <c r="E172" s="59">
        <v>103</v>
      </c>
      <c r="F172" s="59"/>
      <c r="G172" s="59"/>
      <c r="H172" s="886">
        <v>3.99</v>
      </c>
      <c r="I172" s="241" t="s">
        <v>26</v>
      </c>
      <c r="J172" s="76"/>
      <c r="K172" s="105">
        <f t="shared" si="7"/>
        <v>0</v>
      </c>
      <c r="L172" s="772"/>
      <c r="M172" s="772" t="s">
        <v>1147</v>
      </c>
      <c r="N172" s="791"/>
      <c r="O172" s="634"/>
      <c r="P172" s="1036"/>
      <c r="Q172" s="1037"/>
      <c r="R172" s="772"/>
    </row>
    <row r="173" spans="1:19" ht="22.5" customHeight="1">
      <c r="A173" s="1322" t="s">
        <v>156</v>
      </c>
      <c r="B173" s="54" t="s">
        <v>157</v>
      </c>
      <c r="C173" s="1316" t="s">
        <v>158</v>
      </c>
      <c r="D173" s="62">
        <v>0.13</v>
      </c>
      <c r="E173" s="62">
        <v>7</v>
      </c>
      <c r="F173" s="59"/>
      <c r="G173" s="59"/>
      <c r="H173" s="886">
        <v>5</v>
      </c>
      <c r="I173" s="241" t="s">
        <v>26</v>
      </c>
      <c r="J173" s="76"/>
      <c r="K173" s="105">
        <f t="shared" si="7"/>
        <v>0</v>
      </c>
      <c r="L173" s="772"/>
      <c r="M173" s="772" t="s">
        <v>1147</v>
      </c>
      <c r="N173" s="791"/>
      <c r="O173" s="634"/>
      <c r="P173" s="1036"/>
      <c r="Q173" s="1037"/>
      <c r="R173" s="772"/>
    </row>
    <row r="174" spans="1:19" ht="22.5" customHeight="1">
      <c r="A174" s="1322"/>
      <c r="B174" s="54" t="s">
        <v>310</v>
      </c>
      <c r="C174" s="1382"/>
      <c r="D174" s="62">
        <v>0.13</v>
      </c>
      <c r="E174" s="62">
        <v>7</v>
      </c>
      <c r="F174" s="59"/>
      <c r="G174" s="59"/>
      <c r="H174" s="886">
        <v>5.5</v>
      </c>
      <c r="I174" s="241" t="s">
        <v>26</v>
      </c>
      <c r="J174" s="76"/>
      <c r="K174" s="105">
        <f t="shared" si="7"/>
        <v>0</v>
      </c>
      <c r="L174" s="772"/>
      <c r="M174" s="772" t="s">
        <v>1147</v>
      </c>
      <c r="N174" s="791"/>
      <c r="O174" s="634"/>
      <c r="P174" s="1036"/>
      <c r="Q174" s="1037"/>
      <c r="R174" s="772"/>
    </row>
    <row r="175" spans="1:19" ht="22.5" customHeight="1">
      <c r="A175" s="1322"/>
      <c r="B175" s="54" t="s">
        <v>311</v>
      </c>
      <c r="C175" s="1382"/>
      <c r="D175" s="62">
        <v>0.13</v>
      </c>
      <c r="E175" s="62">
        <v>7</v>
      </c>
      <c r="F175" s="59"/>
      <c r="G175" s="59"/>
      <c r="H175" s="886">
        <v>6.2</v>
      </c>
      <c r="I175" s="241" t="s">
        <v>26</v>
      </c>
      <c r="J175" s="76"/>
      <c r="K175" s="105">
        <f t="shared" si="7"/>
        <v>0</v>
      </c>
      <c r="L175" s="772"/>
      <c r="M175" s="772" t="s">
        <v>1147</v>
      </c>
      <c r="N175" s="791"/>
      <c r="O175" s="634"/>
      <c r="P175" s="1036"/>
      <c r="Q175" s="1037"/>
      <c r="R175" s="772"/>
    </row>
    <row r="176" spans="1:19" ht="22.5" customHeight="1">
      <c r="A176" s="1322"/>
      <c r="B176" s="1347" t="s">
        <v>1024</v>
      </c>
      <c r="C176" s="1382"/>
      <c r="D176" s="62">
        <v>8</v>
      </c>
      <c r="E176" s="62">
        <v>15</v>
      </c>
      <c r="F176" s="59"/>
      <c r="G176" s="59"/>
      <c r="H176" s="886">
        <v>8.75</v>
      </c>
      <c r="I176" s="241" t="s">
        <v>26</v>
      </c>
      <c r="J176" s="76"/>
      <c r="K176" s="105">
        <f t="shared" si="7"/>
        <v>0</v>
      </c>
      <c r="L176" s="772"/>
      <c r="M176" s="772" t="s">
        <v>1147</v>
      </c>
      <c r="N176" s="791"/>
      <c r="O176" s="634"/>
      <c r="P176" s="1036"/>
      <c r="Q176" s="1037"/>
      <c r="R176" s="772"/>
    </row>
    <row r="177" spans="1:19" ht="22.5" customHeight="1">
      <c r="A177" s="1322"/>
      <c r="B177" s="1348"/>
      <c r="C177" s="1382"/>
      <c r="D177" s="62">
        <v>16</v>
      </c>
      <c r="E177" s="62">
        <v>30</v>
      </c>
      <c r="F177" s="59"/>
      <c r="G177" s="59"/>
      <c r="H177" s="886">
        <v>11.5</v>
      </c>
      <c r="I177" s="241" t="s">
        <v>26</v>
      </c>
      <c r="J177" s="76"/>
      <c r="K177" s="105">
        <f t="shared" si="7"/>
        <v>0</v>
      </c>
      <c r="L177" s="772"/>
      <c r="M177" s="772" t="s">
        <v>1147</v>
      </c>
      <c r="N177" s="791"/>
      <c r="O177" s="634"/>
      <c r="P177" s="1036"/>
      <c r="Q177" s="1037"/>
      <c r="R177" s="772"/>
    </row>
    <row r="178" spans="1:19" ht="22.5" customHeight="1">
      <c r="A178" s="1322"/>
      <c r="B178" s="1348"/>
      <c r="C178" s="1382"/>
      <c r="D178" s="62">
        <v>31</v>
      </c>
      <c r="E178" s="62">
        <v>50</v>
      </c>
      <c r="F178" s="59"/>
      <c r="G178" s="59"/>
      <c r="H178" s="886">
        <v>14</v>
      </c>
      <c r="I178" s="241" t="s">
        <v>26</v>
      </c>
      <c r="J178" s="76"/>
      <c r="K178" s="105">
        <f t="shared" si="7"/>
        <v>0</v>
      </c>
      <c r="L178" s="772"/>
      <c r="M178" s="772" t="s">
        <v>1147</v>
      </c>
      <c r="N178" s="791"/>
      <c r="O178" s="634"/>
      <c r="P178" s="1036"/>
      <c r="Q178" s="1037"/>
      <c r="R178" s="772"/>
    </row>
    <row r="179" spans="1:19" ht="22.5" customHeight="1">
      <c r="A179" s="1322"/>
      <c r="B179" s="1354"/>
      <c r="C179" s="1317"/>
      <c r="D179" s="62">
        <v>51</v>
      </c>
      <c r="E179" s="62">
        <v>103</v>
      </c>
      <c r="F179" s="59"/>
      <c r="G179" s="59"/>
      <c r="H179" s="886">
        <v>21</v>
      </c>
      <c r="I179" s="241" t="s">
        <v>26</v>
      </c>
      <c r="J179" s="76"/>
      <c r="K179" s="105">
        <f t="shared" si="7"/>
        <v>0</v>
      </c>
      <c r="L179" s="772"/>
      <c r="M179" s="772" t="s">
        <v>1147</v>
      </c>
      <c r="N179" s="791"/>
      <c r="O179" s="634"/>
      <c r="P179" s="1036"/>
      <c r="Q179" s="1037"/>
      <c r="R179" s="772"/>
    </row>
    <row r="180" spans="1:19" ht="22.5" customHeight="1">
      <c r="A180" s="70" t="s">
        <v>169</v>
      </c>
      <c r="B180" s="54" t="s">
        <v>170</v>
      </c>
      <c r="C180" s="44" t="s">
        <v>158</v>
      </c>
      <c r="D180" s="59"/>
      <c r="E180" s="59"/>
      <c r="F180" s="59"/>
      <c r="G180" s="59"/>
      <c r="H180" s="886">
        <v>6.2</v>
      </c>
      <c r="I180" s="241" t="s">
        <v>26</v>
      </c>
      <c r="J180" s="76"/>
      <c r="K180" s="105">
        <f t="shared" si="7"/>
        <v>0</v>
      </c>
      <c r="L180" s="772"/>
      <c r="M180" s="772" t="s">
        <v>1147</v>
      </c>
      <c r="N180" s="791"/>
      <c r="O180" s="634"/>
      <c r="P180" s="1036"/>
      <c r="Q180" s="1037"/>
      <c r="R180" s="772"/>
    </row>
    <row r="181" spans="1:19" ht="22.5" customHeight="1">
      <c r="A181" s="1322" t="s">
        <v>159</v>
      </c>
      <c r="B181" s="54" t="s">
        <v>160</v>
      </c>
      <c r="C181" s="44" t="s">
        <v>161</v>
      </c>
      <c r="D181" s="59">
        <v>0.13</v>
      </c>
      <c r="E181" s="59">
        <v>103</v>
      </c>
      <c r="F181" s="59"/>
      <c r="G181" s="59"/>
      <c r="H181" s="886">
        <v>3.3</v>
      </c>
      <c r="I181" s="241" t="s">
        <v>26</v>
      </c>
      <c r="J181" s="76"/>
      <c r="K181" s="105">
        <f t="shared" si="7"/>
        <v>0</v>
      </c>
      <c r="L181" s="772"/>
      <c r="M181" s="772" t="s">
        <v>1147</v>
      </c>
      <c r="N181" s="791"/>
      <c r="O181" s="634"/>
      <c r="P181" s="1036"/>
      <c r="Q181" s="1037"/>
      <c r="R181" s="772"/>
    </row>
    <row r="182" spans="1:19" ht="22.5" customHeight="1">
      <c r="A182" s="1322"/>
      <c r="B182" s="54" t="s">
        <v>162</v>
      </c>
      <c r="C182" s="44"/>
      <c r="D182" s="59">
        <v>0.13</v>
      </c>
      <c r="E182" s="59">
        <v>103</v>
      </c>
      <c r="F182" s="59"/>
      <c r="G182" s="59"/>
      <c r="H182" s="886">
        <v>4.9000000000000004</v>
      </c>
      <c r="I182" s="241" t="s">
        <v>26</v>
      </c>
      <c r="J182" s="76"/>
      <c r="K182" s="105">
        <f t="shared" si="7"/>
        <v>0</v>
      </c>
      <c r="L182" s="772"/>
      <c r="M182" s="772" t="s">
        <v>1147</v>
      </c>
      <c r="N182" s="791"/>
      <c r="O182" s="634"/>
      <c r="P182" s="1036"/>
      <c r="Q182" s="1037"/>
      <c r="R182" s="772"/>
    </row>
    <row r="183" spans="1:19" ht="22.5" customHeight="1">
      <c r="A183" s="488" t="s">
        <v>725</v>
      </c>
      <c r="B183" s="489" t="s">
        <v>726</v>
      </c>
      <c r="C183" s="421"/>
      <c r="D183" s="264"/>
      <c r="E183" s="264"/>
      <c r="F183" s="264"/>
      <c r="G183" s="264"/>
      <c r="H183" s="885">
        <v>111</v>
      </c>
      <c r="I183" s="241" t="s">
        <v>26</v>
      </c>
      <c r="J183" s="76"/>
      <c r="K183" s="269">
        <f t="shared" si="7"/>
        <v>0</v>
      </c>
      <c r="M183" s="55" t="s">
        <v>1147</v>
      </c>
      <c r="N183" s="791"/>
      <c r="O183" s="634"/>
      <c r="P183" s="1036"/>
      <c r="Q183" s="1037"/>
      <c r="R183" s="772"/>
    </row>
    <row r="184" spans="1:19" ht="22.5" customHeight="1">
      <c r="A184" s="488"/>
      <c r="B184" s="489"/>
      <c r="C184" s="421"/>
      <c r="D184" s="264"/>
      <c r="E184" s="264"/>
      <c r="F184" s="264"/>
      <c r="G184" s="264"/>
      <c r="H184" s="885"/>
      <c r="I184" s="241"/>
      <c r="J184" s="76"/>
      <c r="K184" s="269"/>
      <c r="N184" s="791"/>
      <c r="O184" s="634"/>
      <c r="P184" s="1036"/>
      <c r="Q184" s="1037"/>
      <c r="R184" s="772"/>
    </row>
    <row r="185" spans="1:19" ht="22.5" customHeight="1">
      <c r="A185" s="488"/>
      <c r="B185" s="489"/>
      <c r="C185" s="421"/>
      <c r="D185" s="264"/>
      <c r="E185" s="264"/>
      <c r="F185" s="264"/>
      <c r="G185" s="264"/>
      <c r="H185" s="430"/>
      <c r="I185" s="241"/>
      <c r="J185" s="76"/>
      <c r="K185" s="269"/>
      <c r="N185" s="791"/>
      <c r="O185" s="634"/>
      <c r="P185" s="1036"/>
      <c r="Q185" s="1037"/>
      <c r="R185" s="772"/>
    </row>
    <row r="186" spans="1:19" ht="22.5" customHeight="1" thickBot="1">
      <c r="A186" s="119"/>
      <c r="B186" s="113"/>
      <c r="C186" s="120"/>
      <c r="D186" s="69"/>
      <c r="E186" s="69"/>
      <c r="F186" s="69"/>
      <c r="G186" s="69"/>
      <c r="H186" s="69"/>
      <c r="I186" s="233"/>
      <c r="J186" s="76"/>
      <c r="K186" s="112"/>
      <c r="N186" s="791"/>
      <c r="O186" s="634"/>
      <c r="P186" s="1036"/>
      <c r="Q186" s="1037"/>
      <c r="R186" s="772"/>
    </row>
    <row r="187" spans="1:19" s="58" customFormat="1" ht="53.25" customHeight="1">
      <c r="A187" s="101" t="s">
        <v>309</v>
      </c>
      <c r="B187" s="57" t="s">
        <v>321</v>
      </c>
      <c r="C187" s="57" t="s">
        <v>96</v>
      </c>
      <c r="D187" s="57" t="s">
        <v>1198</v>
      </c>
      <c r="E187" s="57"/>
      <c r="F187" s="57"/>
      <c r="G187" s="57"/>
      <c r="H187" s="102" t="s">
        <v>318</v>
      </c>
      <c r="I187" s="234" t="s">
        <v>25</v>
      </c>
      <c r="J187" s="103" t="s">
        <v>308</v>
      </c>
      <c r="K187" s="104" t="s">
        <v>1366</v>
      </c>
      <c r="N187" s="791"/>
      <c r="O187" s="634"/>
      <c r="P187" s="1036"/>
      <c r="Q187" s="1037"/>
      <c r="R187" s="772"/>
      <c r="S187" s="55"/>
    </row>
    <row r="188" spans="1:19" ht="25.2" customHeight="1">
      <c r="A188" s="1356" t="s">
        <v>649</v>
      </c>
      <c r="B188" s="676" t="s">
        <v>1197</v>
      </c>
      <c r="C188" s="1376" t="s">
        <v>646</v>
      </c>
      <c r="D188" s="838"/>
      <c r="E188" s="62"/>
      <c r="F188" s="62"/>
      <c r="G188" s="62"/>
      <c r="H188" s="885">
        <v>12.821999999999999</v>
      </c>
      <c r="I188" s="690" t="s">
        <v>26</v>
      </c>
      <c r="J188" s="691"/>
      <c r="K188" s="795">
        <f>+J188*H188</f>
        <v>0</v>
      </c>
      <c r="L188" s="1258"/>
      <c r="M188" s="1258" t="s">
        <v>1146</v>
      </c>
      <c r="N188" s="791"/>
      <c r="P188" s="1036"/>
      <c r="Q188" s="1037"/>
      <c r="R188" s="772"/>
      <c r="S188" s="58"/>
    </row>
    <row r="189" spans="1:19" ht="25.2" customHeight="1">
      <c r="A189" s="1357"/>
      <c r="B189" s="676" t="s">
        <v>1191</v>
      </c>
      <c r="C189" s="1376"/>
      <c r="D189" s="838"/>
      <c r="E189" s="62"/>
      <c r="F189" s="62"/>
      <c r="G189" s="62"/>
      <c r="H189" s="885">
        <v>8</v>
      </c>
      <c r="I189" s="690" t="s">
        <v>26</v>
      </c>
      <c r="J189" s="691"/>
      <c r="K189" s="795">
        <f>+J189*H189</f>
        <v>0</v>
      </c>
      <c r="L189" s="1258"/>
      <c r="M189" s="1258"/>
      <c r="N189" s="791"/>
      <c r="P189" s="1036"/>
      <c r="Q189" s="1037"/>
      <c r="R189" s="772"/>
      <c r="S189" s="58"/>
    </row>
    <row r="190" spans="1:19" ht="45.75" customHeight="1">
      <c r="A190" s="1357"/>
      <c r="B190" s="676" t="s">
        <v>1192</v>
      </c>
      <c r="C190" s="1376"/>
      <c r="D190" s="676" t="s">
        <v>1199</v>
      </c>
      <c r="E190" s="62"/>
      <c r="F190" s="62"/>
      <c r="G190" s="62"/>
      <c r="H190" s="885">
        <v>13</v>
      </c>
      <c r="I190" s="690" t="s">
        <v>26</v>
      </c>
      <c r="J190" s="691"/>
      <c r="K190" s="795">
        <f t="shared" ref="K190:K202" si="8">+J190*H190</f>
        <v>0</v>
      </c>
      <c r="L190" s="1258"/>
      <c r="M190" s="1258"/>
      <c r="N190" s="791"/>
      <c r="P190" s="1036"/>
      <c r="Q190" s="1037"/>
      <c r="R190" s="772"/>
      <c r="S190" s="58"/>
    </row>
    <row r="191" spans="1:19" ht="25.2" customHeight="1">
      <c r="A191" s="1357"/>
      <c r="B191" s="676" t="s">
        <v>1193</v>
      </c>
      <c r="C191" s="1376"/>
      <c r="D191" s="838"/>
      <c r="E191" s="62"/>
      <c r="F191" s="62"/>
      <c r="G191" s="62"/>
      <c r="H191" s="885">
        <v>6</v>
      </c>
      <c r="I191" s="690" t="s">
        <v>26</v>
      </c>
      <c r="J191" s="691"/>
      <c r="K191" s="795">
        <f t="shared" si="8"/>
        <v>0</v>
      </c>
      <c r="L191" s="1258"/>
      <c r="M191" s="1258"/>
      <c r="N191" s="791"/>
      <c r="P191" s="1036"/>
      <c r="Q191" s="1037"/>
      <c r="R191" s="772"/>
      <c r="S191" s="58"/>
    </row>
    <row r="192" spans="1:19" ht="25.2" customHeight="1">
      <c r="A192" s="1357"/>
      <c r="B192" s="676" t="s">
        <v>1194</v>
      </c>
      <c r="C192" s="1376"/>
      <c r="D192" s="676" t="s">
        <v>1200</v>
      </c>
      <c r="E192" s="62"/>
      <c r="F192" s="62"/>
      <c r="G192" s="62"/>
      <c r="H192" s="885">
        <v>26</v>
      </c>
      <c r="I192" s="690" t="s">
        <v>26</v>
      </c>
      <c r="J192" s="691"/>
      <c r="K192" s="795">
        <f t="shared" si="8"/>
        <v>0</v>
      </c>
      <c r="L192" s="1258"/>
      <c r="M192" s="1258"/>
      <c r="N192" s="791"/>
      <c r="P192" s="1036"/>
      <c r="Q192" s="1037"/>
      <c r="R192" s="772"/>
      <c r="S192" s="58"/>
    </row>
    <row r="193" spans="1:19" ht="25.2" customHeight="1">
      <c r="A193" s="1357"/>
      <c r="B193" s="676" t="s">
        <v>1195</v>
      </c>
      <c r="C193" s="1376"/>
      <c r="D193" s="838"/>
      <c r="E193" s="62"/>
      <c r="F193" s="62"/>
      <c r="G193" s="62"/>
      <c r="H193" s="885">
        <v>3</v>
      </c>
      <c r="I193" s="690" t="s">
        <v>26</v>
      </c>
      <c r="J193" s="691"/>
      <c r="K193" s="795">
        <f t="shared" si="8"/>
        <v>0</v>
      </c>
      <c r="L193" s="1258"/>
      <c r="M193" s="1258"/>
      <c r="N193" s="791"/>
      <c r="P193" s="1036"/>
      <c r="Q193" s="1037"/>
      <c r="R193" s="772"/>
      <c r="S193" s="58"/>
    </row>
    <row r="194" spans="1:19" ht="25.2" customHeight="1">
      <c r="A194" s="1358"/>
      <c r="B194" s="676" t="s">
        <v>1196</v>
      </c>
      <c r="C194" s="1376"/>
      <c r="D194" s="838"/>
      <c r="E194" s="62"/>
      <c r="F194" s="62"/>
      <c r="G194" s="62"/>
      <c r="H194" s="885">
        <v>18.690000000000001</v>
      </c>
      <c r="I194" s="690" t="s">
        <v>26</v>
      </c>
      <c r="J194" s="691"/>
      <c r="K194" s="795">
        <f t="shared" si="8"/>
        <v>0</v>
      </c>
      <c r="L194" s="1258"/>
      <c r="M194" s="1258"/>
      <c r="N194" s="791"/>
      <c r="P194" s="1036"/>
      <c r="Q194" s="1037"/>
      <c r="R194" s="772"/>
    </row>
    <row r="195" spans="1:19" ht="49.5" customHeight="1">
      <c r="A195" s="1358"/>
      <c r="B195" s="676" t="s">
        <v>1201</v>
      </c>
      <c r="C195" s="1376"/>
      <c r="D195" s="676" t="s">
        <v>1202</v>
      </c>
      <c r="E195" s="62"/>
      <c r="F195" s="62"/>
      <c r="G195" s="62"/>
      <c r="H195" s="885">
        <v>6</v>
      </c>
      <c r="I195" s="690" t="s">
        <v>26</v>
      </c>
      <c r="J195" s="691"/>
      <c r="K195" s="795">
        <f t="shared" si="8"/>
        <v>0</v>
      </c>
      <c r="L195" s="1258"/>
      <c r="M195" s="1258"/>
      <c r="N195" s="791"/>
      <c r="P195" s="1036"/>
      <c r="Q195" s="1037"/>
      <c r="R195" s="772"/>
    </row>
    <row r="196" spans="1:19" ht="45.75" customHeight="1">
      <c r="A196" s="1358"/>
      <c r="B196" s="839" t="s">
        <v>1304</v>
      </c>
      <c r="C196" s="1376"/>
      <c r="D196" s="676" t="s">
        <v>1203</v>
      </c>
      <c r="E196" s="62"/>
      <c r="F196" s="62"/>
      <c r="G196" s="62"/>
      <c r="H196" s="885">
        <v>21.379000000000001</v>
      </c>
      <c r="I196" s="690" t="s">
        <v>26</v>
      </c>
      <c r="J196" s="691"/>
      <c r="K196" s="795">
        <f t="shared" si="8"/>
        <v>0</v>
      </c>
      <c r="L196" s="1258"/>
      <c r="M196" s="1258"/>
      <c r="N196" s="791"/>
      <c r="P196" s="1036"/>
      <c r="Q196" s="1037"/>
      <c r="R196" s="772"/>
    </row>
    <row r="197" spans="1:19" ht="45.75" customHeight="1">
      <c r="A197" s="1358"/>
      <c r="B197" s="839" t="s">
        <v>1205</v>
      </c>
      <c r="C197" s="1376"/>
      <c r="D197" s="676" t="s">
        <v>1204</v>
      </c>
      <c r="E197" s="62"/>
      <c r="F197" s="62"/>
      <c r="G197" s="62"/>
      <c r="H197" s="885">
        <v>7</v>
      </c>
      <c r="I197" s="690" t="s">
        <v>26</v>
      </c>
      <c r="J197" s="691"/>
      <c r="K197" s="795">
        <f t="shared" si="8"/>
        <v>0</v>
      </c>
      <c r="L197" s="1258"/>
      <c r="M197" s="1258"/>
      <c r="N197" s="791"/>
      <c r="P197" s="1036"/>
      <c r="Q197" s="1037"/>
      <c r="R197" s="772"/>
    </row>
    <row r="198" spans="1:19" ht="25.2" customHeight="1">
      <c r="A198" s="1358"/>
      <c r="B198" s="839" t="s">
        <v>1206</v>
      </c>
      <c r="C198" s="1376"/>
      <c r="D198" s="676" t="s">
        <v>1207</v>
      </c>
      <c r="E198" s="62"/>
      <c r="F198" s="62"/>
      <c r="G198" s="62"/>
      <c r="H198" s="885">
        <v>180</v>
      </c>
      <c r="I198" s="690" t="s">
        <v>26</v>
      </c>
      <c r="J198" s="691"/>
      <c r="K198" s="795">
        <f t="shared" si="8"/>
        <v>0</v>
      </c>
      <c r="L198" s="1258"/>
      <c r="M198" s="1258"/>
      <c r="N198" s="791"/>
      <c r="P198" s="1036"/>
      <c r="Q198" s="1037"/>
      <c r="R198" s="772"/>
    </row>
    <row r="199" spans="1:19" ht="25.2" customHeight="1">
      <c r="A199" s="1358"/>
      <c r="B199" s="762" t="s">
        <v>1208</v>
      </c>
      <c r="C199" s="832"/>
      <c r="D199" s="676"/>
      <c r="E199" s="62"/>
      <c r="F199" s="62"/>
      <c r="G199" s="62"/>
      <c r="H199" s="885">
        <v>14.574</v>
      </c>
      <c r="I199" s="690" t="s">
        <v>26</v>
      </c>
      <c r="J199" s="691"/>
      <c r="K199" s="795">
        <f t="shared" si="8"/>
        <v>0</v>
      </c>
      <c r="L199" s="1258"/>
      <c r="M199" s="1258"/>
      <c r="N199" s="791"/>
      <c r="P199" s="1036"/>
      <c r="Q199" s="1037"/>
      <c r="R199" s="772"/>
    </row>
    <row r="200" spans="1:19" ht="69" customHeight="1">
      <c r="A200" s="1358"/>
      <c r="B200" s="762" t="s">
        <v>1209</v>
      </c>
      <c r="C200" s="832"/>
      <c r="D200" s="676" t="s">
        <v>1211</v>
      </c>
      <c r="E200" s="62"/>
      <c r="F200" s="62"/>
      <c r="G200" s="62"/>
      <c r="H200" s="885">
        <v>13</v>
      </c>
      <c r="I200" s="690" t="s">
        <v>26</v>
      </c>
      <c r="J200" s="691"/>
      <c r="K200" s="795">
        <f t="shared" si="8"/>
        <v>0</v>
      </c>
      <c r="L200" s="1258"/>
      <c r="M200" s="1258"/>
      <c r="N200" s="791"/>
      <c r="P200" s="1036"/>
      <c r="Q200" s="1037"/>
      <c r="R200" s="772"/>
    </row>
    <row r="201" spans="1:19" ht="25.2" customHeight="1">
      <c r="A201" s="1358"/>
      <c r="B201" s="762" t="s">
        <v>1195</v>
      </c>
      <c r="C201" s="832"/>
      <c r="D201" s="676"/>
      <c r="E201" s="62"/>
      <c r="F201" s="62"/>
      <c r="G201" s="62"/>
      <c r="H201" s="885">
        <v>3</v>
      </c>
      <c r="I201" s="690" t="s">
        <v>26</v>
      </c>
      <c r="J201" s="691"/>
      <c r="K201" s="795">
        <f t="shared" si="8"/>
        <v>0</v>
      </c>
      <c r="L201" s="1258"/>
      <c r="M201" s="1258"/>
      <c r="N201" s="791"/>
      <c r="P201" s="1036"/>
      <c r="Q201" s="1037"/>
      <c r="R201" s="772"/>
    </row>
    <row r="202" spans="1:19" ht="25.2" customHeight="1">
      <c r="A202" s="1359"/>
      <c r="B202" s="762" t="s">
        <v>1210</v>
      </c>
      <c r="C202" s="840" t="s">
        <v>647</v>
      </c>
      <c r="D202" s="62"/>
      <c r="E202" s="62"/>
      <c r="F202" s="62"/>
      <c r="G202" s="62"/>
      <c r="H202" s="885">
        <v>21.527999999999999</v>
      </c>
      <c r="I202" s="690" t="s">
        <v>26</v>
      </c>
      <c r="J202" s="691"/>
      <c r="K202" s="795">
        <f t="shared" si="8"/>
        <v>0</v>
      </c>
      <c r="L202" s="1258"/>
      <c r="M202" s="1258"/>
      <c r="N202" s="791"/>
      <c r="P202" s="1036"/>
      <c r="Q202" s="1037"/>
      <c r="R202" s="772"/>
    </row>
    <row r="203" spans="1:19" ht="22.5" customHeight="1">
      <c r="A203" s="1320" t="s">
        <v>774</v>
      </c>
      <c r="B203" s="1313" t="s">
        <v>775</v>
      </c>
      <c r="C203" s="1336" t="s">
        <v>178</v>
      </c>
      <c r="D203" s="62" t="s">
        <v>393</v>
      </c>
      <c r="E203" s="62"/>
      <c r="F203" s="62"/>
      <c r="G203" s="62"/>
      <c r="H203" s="881">
        <v>38.75</v>
      </c>
      <c r="I203" s="690" t="s">
        <v>26</v>
      </c>
      <c r="J203" s="76"/>
      <c r="K203" s="68">
        <f t="shared" ref="K203:K208" si="9">+J203*H203</f>
        <v>0</v>
      </c>
      <c r="L203" s="791"/>
      <c r="M203" s="772" t="s">
        <v>1146</v>
      </c>
      <c r="N203" s="791"/>
      <c r="O203" s="634"/>
      <c r="P203" s="1036"/>
      <c r="Q203" s="1037"/>
      <c r="R203" s="772"/>
    </row>
    <row r="204" spans="1:19" ht="22.5" customHeight="1">
      <c r="A204" s="1320"/>
      <c r="B204" s="1314"/>
      <c r="C204" s="1298"/>
      <c r="D204" s="62" t="s">
        <v>469</v>
      </c>
      <c r="E204" s="62"/>
      <c r="F204" s="62"/>
      <c r="G204" s="62"/>
      <c r="H204" s="881">
        <v>3.08</v>
      </c>
      <c r="I204" s="690" t="s">
        <v>26</v>
      </c>
      <c r="J204" s="76"/>
      <c r="K204" s="68">
        <f t="shared" si="9"/>
        <v>0</v>
      </c>
      <c r="L204" s="772"/>
      <c r="M204" s="772" t="s">
        <v>1146</v>
      </c>
      <c r="N204" s="791"/>
      <c r="O204" s="634"/>
      <c r="P204" s="1036"/>
      <c r="Q204" s="1037"/>
      <c r="R204" s="772"/>
    </row>
    <row r="205" spans="1:19" ht="22.5" customHeight="1">
      <c r="A205" s="98" t="s">
        <v>776</v>
      </c>
      <c r="B205" s="54" t="s">
        <v>179</v>
      </c>
      <c r="C205" s="44" t="s">
        <v>178</v>
      </c>
      <c r="D205" s="62"/>
      <c r="E205" s="62"/>
      <c r="F205" s="62"/>
      <c r="G205" s="62"/>
      <c r="H205" s="881">
        <v>85</v>
      </c>
      <c r="I205" s="690" t="s">
        <v>26</v>
      </c>
      <c r="J205" s="76"/>
      <c r="K205" s="68">
        <f t="shared" si="9"/>
        <v>0</v>
      </c>
      <c r="L205" s="772"/>
      <c r="M205" s="772" t="s">
        <v>1146</v>
      </c>
      <c r="N205" s="791"/>
      <c r="O205" s="634"/>
      <c r="P205" s="1036"/>
      <c r="Q205" s="1037"/>
      <c r="R205" s="772"/>
    </row>
    <row r="206" spans="1:19" ht="46.5" customHeight="1">
      <c r="A206" s="70" t="s">
        <v>266</v>
      </c>
      <c r="B206" s="61" t="s">
        <v>267</v>
      </c>
      <c r="C206" s="61" t="s">
        <v>268</v>
      </c>
      <c r="D206" s="59"/>
      <c r="E206" s="59"/>
      <c r="F206" s="59"/>
      <c r="G206" s="59"/>
      <c r="H206" s="881">
        <v>52.2</v>
      </c>
      <c r="I206" s="690" t="s">
        <v>26</v>
      </c>
      <c r="J206" s="76"/>
      <c r="K206" s="105">
        <f t="shared" si="9"/>
        <v>0</v>
      </c>
      <c r="L206" s="772"/>
      <c r="M206" s="772" t="s">
        <v>1146</v>
      </c>
      <c r="N206" s="791"/>
      <c r="O206" s="634"/>
      <c r="P206" s="1036"/>
      <c r="Q206" s="1037"/>
      <c r="R206" s="772"/>
    </row>
    <row r="207" spans="1:19" ht="31.5" customHeight="1">
      <c r="A207" s="70" t="s">
        <v>269</v>
      </c>
      <c r="B207" s="319" t="s">
        <v>270</v>
      </c>
      <c r="C207" s="319" t="s">
        <v>557</v>
      </c>
      <c r="D207" s="264"/>
      <c r="E207" s="59"/>
      <c r="F207" s="59"/>
      <c r="G207" s="59"/>
      <c r="H207" s="883">
        <v>87</v>
      </c>
      <c r="I207" s="690" t="s">
        <v>26</v>
      </c>
      <c r="J207" s="76"/>
      <c r="K207" s="105">
        <f t="shared" si="9"/>
        <v>0</v>
      </c>
      <c r="L207" s="772"/>
      <c r="M207" s="772" t="s">
        <v>1146</v>
      </c>
      <c r="N207" s="791"/>
      <c r="O207" s="634"/>
      <c r="P207" s="1036"/>
      <c r="Q207" s="1037"/>
      <c r="R207" s="772"/>
    </row>
    <row r="208" spans="1:19" ht="31.5" customHeight="1">
      <c r="A208" s="1332" t="s">
        <v>689</v>
      </c>
      <c r="B208" s="490" t="s">
        <v>752</v>
      </c>
      <c r="C208" s="321"/>
      <c r="D208" s="59"/>
      <c r="E208" s="264"/>
      <c r="F208" s="264"/>
      <c r="G208" s="322"/>
      <c r="H208" s="1377">
        <v>319.58</v>
      </c>
      <c r="I208" s="1266" t="s">
        <v>26</v>
      </c>
      <c r="J208" s="1263"/>
      <c r="K208" s="1372">
        <f t="shared" si="9"/>
        <v>0</v>
      </c>
      <c r="L208" s="1259"/>
      <c r="M208" s="1259" t="s">
        <v>1147</v>
      </c>
      <c r="N208" s="791"/>
      <c r="O208" s="634"/>
      <c r="P208" s="1036"/>
      <c r="Q208" s="1037"/>
      <c r="R208" s="772"/>
    </row>
    <row r="209" spans="1:19" ht="23.25" customHeight="1">
      <c r="A209" s="1369"/>
      <c r="B209" s="490" t="s">
        <v>257</v>
      </c>
      <c r="C209" s="321"/>
      <c r="D209" s="59"/>
      <c r="E209" s="264"/>
      <c r="F209" s="264"/>
      <c r="G209" s="322"/>
      <c r="H209" s="1378"/>
      <c r="I209" s="1267"/>
      <c r="J209" s="1264"/>
      <c r="K209" s="1373"/>
      <c r="L209" s="1259"/>
      <c r="M209" s="1259"/>
      <c r="N209" s="791"/>
      <c r="O209" s="634"/>
      <c r="P209" s="1036"/>
      <c r="Q209" s="1037"/>
      <c r="R209" s="772"/>
    </row>
    <row r="210" spans="1:19" ht="21" customHeight="1">
      <c r="A210" s="1369"/>
      <c r="B210" s="490" t="s">
        <v>256</v>
      </c>
      <c r="C210" s="321"/>
      <c r="D210" s="59"/>
      <c r="E210" s="264"/>
      <c r="F210" s="264"/>
      <c r="G210" s="322"/>
      <c r="H210" s="1378"/>
      <c r="I210" s="1267"/>
      <c r="J210" s="1264"/>
      <c r="K210" s="1373"/>
      <c r="L210" s="1259"/>
      <c r="M210" s="1259"/>
      <c r="N210" s="791"/>
      <c r="O210" s="634"/>
      <c r="P210" s="1036"/>
      <c r="Q210" s="1037"/>
      <c r="R210" s="772"/>
    </row>
    <row r="211" spans="1:19" ht="24.75" customHeight="1">
      <c r="A211" s="1369"/>
      <c r="B211" s="490" t="s">
        <v>258</v>
      </c>
      <c r="C211" s="1271" t="s">
        <v>82</v>
      </c>
      <c r="D211" s="59"/>
      <c r="E211" s="264"/>
      <c r="F211" s="264"/>
      <c r="G211" s="322"/>
      <c r="H211" s="1378"/>
      <c r="I211" s="1267"/>
      <c r="J211" s="1264"/>
      <c r="K211" s="1373"/>
      <c r="L211" s="1259"/>
      <c r="M211" s="1259"/>
      <c r="N211" s="791"/>
      <c r="O211" s="634"/>
      <c r="P211" s="1036"/>
      <c r="Q211" s="1037"/>
      <c r="R211" s="772"/>
    </row>
    <row r="212" spans="1:19" ht="21.75" customHeight="1">
      <c r="A212" s="1369"/>
      <c r="B212" s="490" t="s">
        <v>259</v>
      </c>
      <c r="C212" s="1272"/>
      <c r="D212" s="59"/>
      <c r="E212" s="264"/>
      <c r="F212" s="264"/>
      <c r="G212" s="322"/>
      <c r="H212" s="1378"/>
      <c r="I212" s="1267"/>
      <c r="J212" s="1264"/>
      <c r="K212" s="1373"/>
      <c r="L212" s="1259"/>
      <c r="M212" s="1259"/>
      <c r="N212" s="791"/>
      <c r="O212" s="634"/>
      <c r="P212" s="1036"/>
      <c r="Q212" s="1037"/>
      <c r="R212" s="772"/>
    </row>
    <row r="213" spans="1:19" ht="30" customHeight="1">
      <c r="A213" s="1333"/>
      <c r="B213" s="490" t="s">
        <v>260</v>
      </c>
      <c r="C213" s="99"/>
      <c r="D213" s="59"/>
      <c r="E213" s="59"/>
      <c r="F213" s="59"/>
      <c r="G213" s="529"/>
      <c r="H213" s="1379"/>
      <c r="I213" s="1268"/>
      <c r="J213" s="1265"/>
      <c r="K213" s="1374"/>
      <c r="L213" s="1259"/>
      <c r="M213" s="1259"/>
      <c r="N213" s="791"/>
      <c r="O213" s="634"/>
      <c r="P213" s="1036"/>
      <c r="Q213" s="1037"/>
      <c r="R213" s="791"/>
    </row>
    <row r="214" spans="1:19" ht="20.25" customHeight="1">
      <c r="A214" s="1041" t="s">
        <v>1454</v>
      </c>
      <c r="B214" s="1042"/>
      <c r="C214" s="1042"/>
      <c r="D214" s="1043"/>
      <c r="E214" s="1043"/>
      <c r="F214" s="1043"/>
      <c r="G214" s="1043"/>
      <c r="H214" s="689">
        <v>79.2</v>
      </c>
      <c r="I214" s="690" t="s">
        <v>26</v>
      </c>
      <c r="J214" s="691"/>
      <c r="K214" s="692">
        <f t="shared" ref="K214" si="10">+J214*H214</f>
        <v>0</v>
      </c>
      <c r="N214" s="791"/>
      <c r="O214" s="634"/>
      <c r="P214" s="1036"/>
      <c r="Q214" s="1037"/>
      <c r="R214" s="791"/>
    </row>
    <row r="215" spans="1:19" ht="15" customHeight="1">
      <c r="A215" s="98"/>
      <c r="B215" s="321"/>
      <c r="C215" s="99"/>
      <c r="D215" s="59"/>
      <c r="E215" s="59"/>
      <c r="F215" s="59"/>
      <c r="G215" s="59"/>
      <c r="H215" s="689"/>
      <c r="I215" s="690"/>
      <c r="J215" s="691"/>
      <c r="K215" s="692"/>
      <c r="N215" s="791"/>
      <c r="O215" s="634"/>
      <c r="P215" s="1036"/>
      <c r="Q215" s="1037"/>
      <c r="R215" s="791"/>
    </row>
    <row r="216" spans="1:19" ht="13.5" customHeight="1" thickBot="1">
      <c r="A216" s="525"/>
      <c r="B216" s="527"/>
      <c r="C216" s="528"/>
      <c r="D216" s="285"/>
      <c r="E216" s="285"/>
      <c r="F216" s="285"/>
      <c r="G216" s="519"/>
      <c r="H216" s="524"/>
      <c r="I216" s="523"/>
      <c r="J216" s="521"/>
      <c r="K216" s="522"/>
      <c r="N216" s="791"/>
      <c r="O216" s="634"/>
      <c r="P216" s="1036"/>
      <c r="Q216" s="1037"/>
      <c r="R216" s="791"/>
    </row>
    <row r="217" spans="1:19" ht="26.4">
      <c r="A217" s="511" t="s">
        <v>811</v>
      </c>
      <c r="B217" s="512" t="s">
        <v>95</v>
      </c>
      <c r="C217" s="512" t="s">
        <v>96</v>
      </c>
      <c r="D217" s="512" t="s">
        <v>838</v>
      </c>
      <c r="E217" s="1278" t="s">
        <v>839</v>
      </c>
      <c r="F217" s="1279"/>
      <c r="G217" s="1280"/>
      <c r="H217" s="513" t="s">
        <v>318</v>
      </c>
      <c r="I217" s="514" t="s">
        <v>25</v>
      </c>
      <c r="J217" s="515" t="s">
        <v>308</v>
      </c>
      <c r="K217" s="104" t="s">
        <v>1366</v>
      </c>
      <c r="N217" s="791"/>
      <c r="O217" s="634"/>
      <c r="P217" s="1036"/>
      <c r="Q217" s="1037"/>
    </row>
    <row r="218" spans="1:19" ht="31.5" customHeight="1">
      <c r="A218" s="567" t="s">
        <v>836</v>
      </c>
      <c r="B218" s="325" t="s">
        <v>837</v>
      </c>
      <c r="C218" s="62" t="s">
        <v>840</v>
      </c>
      <c r="D218" s="62">
        <v>0.13</v>
      </c>
      <c r="E218" s="1375">
        <v>6</v>
      </c>
      <c r="F218" s="1375"/>
      <c r="G218" s="1375"/>
      <c r="H218" s="884">
        <v>9</v>
      </c>
      <c r="I218" s="267" t="s">
        <v>26</v>
      </c>
      <c r="J218" s="76"/>
      <c r="K218" s="694">
        <f>+J218*H218</f>
        <v>0</v>
      </c>
      <c r="L218" s="65"/>
      <c r="M218" s="55" t="s">
        <v>1146</v>
      </c>
      <c r="N218" s="791"/>
      <c r="O218" s="634"/>
      <c r="P218" s="1036"/>
      <c r="Q218" s="1037"/>
      <c r="R218" s="772"/>
    </row>
    <row r="219" spans="1:19" ht="26.4">
      <c r="A219" s="405" t="s">
        <v>812</v>
      </c>
      <c r="B219" s="64" t="s">
        <v>835</v>
      </c>
      <c r="C219" s="62"/>
      <c r="D219" s="62">
        <v>0.13</v>
      </c>
      <c r="E219" s="1375">
        <v>6</v>
      </c>
      <c r="F219" s="1375"/>
      <c r="G219" s="1375"/>
      <c r="H219" s="884">
        <v>9.5</v>
      </c>
      <c r="I219" s="241" t="s">
        <v>26</v>
      </c>
      <c r="J219" s="76"/>
      <c r="K219" s="105">
        <f>+J219*H219</f>
        <v>0</v>
      </c>
      <c r="M219" s="55" t="s">
        <v>1146</v>
      </c>
      <c r="N219" s="791"/>
      <c r="O219" s="634"/>
      <c r="P219" s="1036"/>
      <c r="Q219" s="1037"/>
      <c r="R219" s="772"/>
    </row>
    <row r="220" spans="1:19">
      <c r="A220" s="693"/>
      <c r="B220" s="64"/>
      <c r="C220" s="62"/>
      <c r="D220" s="62"/>
      <c r="E220" s="680"/>
      <c r="F220" s="680"/>
      <c r="G220" s="680"/>
      <c r="H220" s="516"/>
      <c r="I220" s="241"/>
      <c r="J220" s="76"/>
      <c r="K220" s="105"/>
      <c r="N220" s="791"/>
      <c r="O220" s="634"/>
      <c r="P220" s="1036"/>
      <c r="Q220" s="1037"/>
      <c r="R220" s="772"/>
    </row>
    <row r="221" spans="1:19">
      <c r="A221" s="693"/>
      <c r="B221" s="64"/>
      <c r="C221" s="62"/>
      <c r="D221" s="62"/>
      <c r="E221" s="680"/>
      <c r="F221" s="680"/>
      <c r="G221" s="680"/>
      <c r="H221" s="516"/>
      <c r="I221" s="241"/>
      <c r="J221" s="76"/>
      <c r="K221" s="105"/>
      <c r="N221" s="791"/>
      <c r="O221" s="634"/>
      <c r="P221" s="1036"/>
      <c r="Q221" s="1037"/>
      <c r="R221" s="772"/>
    </row>
    <row r="222" spans="1:19">
      <c r="A222" s="693"/>
      <c r="B222" s="64"/>
      <c r="C222" s="62"/>
      <c r="D222" s="62"/>
      <c r="E222" s="680"/>
      <c r="F222" s="680"/>
      <c r="G222" s="680"/>
      <c r="H222" s="516"/>
      <c r="I222" s="241"/>
      <c r="J222" s="76"/>
      <c r="K222" s="105"/>
      <c r="N222" s="791"/>
      <c r="O222" s="634"/>
      <c r="P222" s="1036"/>
      <c r="Q222" s="1037"/>
      <c r="R222" s="772"/>
    </row>
    <row r="223" spans="1:19" ht="13.8" thickBot="1">
      <c r="A223" s="531"/>
      <c r="B223" s="532"/>
      <c r="C223" s="533"/>
      <c r="D223" s="533"/>
      <c r="E223" s="534"/>
      <c r="F223" s="534"/>
      <c r="G223" s="534"/>
      <c r="H223" s="520"/>
      <c r="I223" s="530"/>
      <c r="J223" s="286"/>
      <c r="K223" s="290"/>
      <c r="N223" s="791"/>
      <c r="O223" s="634"/>
      <c r="P223" s="1036"/>
      <c r="Q223" s="1037"/>
      <c r="R223" s="772"/>
    </row>
    <row r="224" spans="1:19" s="58" customFormat="1" ht="53.25" customHeight="1">
      <c r="A224" s="101" t="s">
        <v>316</v>
      </c>
      <c r="B224" s="57" t="s">
        <v>321</v>
      </c>
      <c r="C224" s="57" t="s">
        <v>96</v>
      </c>
      <c r="D224" s="57" t="s">
        <v>97</v>
      </c>
      <c r="E224" s="57"/>
      <c r="F224" s="57"/>
      <c r="G224" s="57"/>
      <c r="H224" s="102" t="s">
        <v>318</v>
      </c>
      <c r="I224" s="234" t="s">
        <v>25</v>
      </c>
      <c r="J224" s="103" t="s">
        <v>308</v>
      </c>
      <c r="K224" s="104" t="s">
        <v>1366</v>
      </c>
      <c r="N224" s="791"/>
      <c r="O224" s="634"/>
      <c r="P224" s="1036"/>
      <c r="Q224" s="1037"/>
      <c r="R224" s="772"/>
      <c r="S224" s="55"/>
    </row>
    <row r="225" spans="1:19" ht="22.5" customHeight="1">
      <c r="A225" s="114" t="s">
        <v>277</v>
      </c>
      <c r="B225" s="61" t="s">
        <v>586</v>
      </c>
      <c r="C225" s="63" t="s">
        <v>278</v>
      </c>
      <c r="D225" s="59"/>
      <c r="E225" s="59"/>
      <c r="F225" s="59"/>
      <c r="G225" s="59"/>
      <c r="H225" s="881">
        <v>7</v>
      </c>
      <c r="I225" s="241" t="s">
        <v>26</v>
      </c>
      <c r="J225" s="76"/>
      <c r="K225" s="105">
        <f t="shared" ref="K225:K255" si="11">+J225*H225</f>
        <v>0</v>
      </c>
      <c r="L225" s="65"/>
      <c r="M225" s="55" t="s">
        <v>1146</v>
      </c>
      <c r="N225" s="791"/>
      <c r="O225" s="634"/>
      <c r="P225" s="1036"/>
      <c r="Q225" s="1037"/>
      <c r="R225" s="772"/>
      <c r="S225" s="58"/>
    </row>
    <row r="226" spans="1:19" ht="22.5" customHeight="1">
      <c r="A226" s="114" t="s">
        <v>274</v>
      </c>
      <c r="B226" s="61" t="s">
        <v>275</v>
      </c>
      <c r="C226" s="63" t="s">
        <v>276</v>
      </c>
      <c r="D226" s="59" t="s">
        <v>273</v>
      </c>
      <c r="E226" s="59"/>
      <c r="F226" s="59"/>
      <c r="G226" s="59"/>
      <c r="H226" s="881">
        <v>6</v>
      </c>
      <c r="I226" s="241" t="s">
        <v>26</v>
      </c>
      <c r="J226" s="76"/>
      <c r="K226" s="105">
        <f t="shared" si="11"/>
        <v>0</v>
      </c>
      <c r="M226" s="55" t="s">
        <v>1147</v>
      </c>
      <c r="N226" s="791"/>
      <c r="O226" s="634"/>
      <c r="P226" s="1036"/>
      <c r="Q226" s="1037"/>
      <c r="R226" s="772"/>
    </row>
    <row r="227" spans="1:19" ht="22.5" customHeight="1" thickBot="1">
      <c r="A227" s="106"/>
      <c r="B227" s="115"/>
      <c r="C227" s="69"/>
      <c r="D227" s="69"/>
      <c r="E227" s="69"/>
      <c r="F227" s="69"/>
      <c r="G227" s="69"/>
      <c r="H227" s="69"/>
      <c r="I227" s="233"/>
      <c r="J227" s="76"/>
      <c r="K227" s="112"/>
      <c r="N227" s="791"/>
      <c r="O227" s="634"/>
      <c r="P227" s="1036"/>
      <c r="Q227" s="1037"/>
      <c r="R227" s="772"/>
    </row>
    <row r="228" spans="1:19" s="58" customFormat="1" ht="53.25" customHeight="1">
      <c r="A228" s="101" t="s">
        <v>315</v>
      </c>
      <c r="B228" s="57" t="s">
        <v>321</v>
      </c>
      <c r="C228" s="57" t="s">
        <v>96</v>
      </c>
      <c r="D228" s="57"/>
      <c r="E228" s="57"/>
      <c r="F228" s="57"/>
      <c r="G228" s="57"/>
      <c r="H228" s="102" t="s">
        <v>318</v>
      </c>
      <c r="I228" s="234" t="s">
        <v>25</v>
      </c>
      <c r="J228" s="103" t="s">
        <v>308</v>
      </c>
      <c r="K228" s="104" t="s">
        <v>1366</v>
      </c>
      <c r="N228" s="791"/>
      <c r="O228" s="634"/>
      <c r="P228" s="1036"/>
      <c r="Q228" s="1037"/>
      <c r="R228" s="772"/>
      <c r="S228" s="55"/>
    </row>
    <row r="229" spans="1:19" ht="22.5" customHeight="1">
      <c r="A229" s="114" t="s">
        <v>290</v>
      </c>
      <c r="B229" s="61" t="s">
        <v>291</v>
      </c>
      <c r="C229" s="63" t="s">
        <v>292</v>
      </c>
      <c r="D229" s="59"/>
      <c r="E229" s="59"/>
      <c r="F229" s="59"/>
      <c r="G229" s="59"/>
      <c r="H229" s="881">
        <v>10</v>
      </c>
      <c r="I229" s="241" t="s">
        <v>26</v>
      </c>
      <c r="J229" s="76"/>
      <c r="K229" s="105">
        <f t="shared" si="11"/>
        <v>0</v>
      </c>
      <c r="M229" s="55" t="s">
        <v>1146</v>
      </c>
      <c r="N229" s="791"/>
      <c r="O229" s="634"/>
      <c r="P229" s="1036"/>
      <c r="Q229" s="1037"/>
      <c r="R229" s="772"/>
      <c r="S229" s="58"/>
    </row>
    <row r="230" spans="1:19" ht="22.5" customHeight="1">
      <c r="A230" s="114" t="s">
        <v>293</v>
      </c>
      <c r="B230" s="61" t="s">
        <v>294</v>
      </c>
      <c r="C230" s="63" t="s">
        <v>452</v>
      </c>
      <c r="D230" s="59"/>
      <c r="E230" s="59"/>
      <c r="F230" s="59"/>
      <c r="G230" s="59"/>
      <c r="H230" s="881">
        <v>2.5</v>
      </c>
      <c r="I230" s="241" t="s">
        <v>26</v>
      </c>
      <c r="J230" s="76"/>
      <c r="K230" s="105">
        <f t="shared" si="11"/>
        <v>0</v>
      </c>
      <c r="M230" s="55" t="s">
        <v>1147</v>
      </c>
      <c r="N230" s="791"/>
      <c r="O230" s="634"/>
      <c r="P230" s="1036"/>
      <c r="Q230" s="1037"/>
      <c r="R230" s="772"/>
    </row>
    <row r="231" spans="1:19" ht="22.5" customHeight="1">
      <c r="A231" s="686"/>
      <c r="B231" s="319"/>
      <c r="C231" s="687"/>
      <c r="D231" s="264"/>
      <c r="E231" s="264"/>
      <c r="F231" s="264"/>
      <c r="G231" s="264"/>
      <c r="H231" s="883"/>
      <c r="I231" s="267"/>
      <c r="J231" s="268"/>
      <c r="K231" s="269"/>
      <c r="N231" s="791"/>
      <c r="O231" s="634"/>
      <c r="P231" s="1036"/>
      <c r="Q231" s="1037"/>
      <c r="R231" s="772"/>
    </row>
    <row r="232" spans="1:19" ht="22.5" customHeight="1" thickBot="1">
      <c r="A232" s="106"/>
      <c r="B232" s="115"/>
      <c r="C232" s="69"/>
      <c r="D232" s="69"/>
      <c r="E232" s="69"/>
      <c r="F232" s="69"/>
      <c r="G232" s="69"/>
      <c r="H232" s="69"/>
      <c r="I232" s="235"/>
      <c r="J232" s="111"/>
      <c r="K232" s="112"/>
      <c r="N232" s="791"/>
      <c r="O232" s="634"/>
      <c r="P232" s="1036"/>
      <c r="Q232" s="1037"/>
      <c r="R232" s="772"/>
    </row>
    <row r="233" spans="1:19" s="58" customFormat="1" ht="53.25" customHeight="1">
      <c r="A233" s="101" t="s">
        <v>315</v>
      </c>
      <c r="B233" s="57" t="s">
        <v>321</v>
      </c>
      <c r="C233" s="57" t="s">
        <v>96</v>
      </c>
      <c r="D233" s="57" t="s">
        <v>1031</v>
      </c>
      <c r="E233" s="57" t="s">
        <v>1032</v>
      </c>
      <c r="F233" s="57"/>
      <c r="G233" s="57"/>
      <c r="H233" s="102" t="s">
        <v>318</v>
      </c>
      <c r="I233" s="234" t="s">
        <v>25</v>
      </c>
      <c r="J233" s="103" t="s">
        <v>308</v>
      </c>
      <c r="K233" s="104" t="s">
        <v>1366</v>
      </c>
      <c r="N233" s="791"/>
      <c r="O233" s="634"/>
      <c r="P233" s="1036"/>
      <c r="Q233" s="1037"/>
      <c r="R233" s="772"/>
      <c r="S233" s="55"/>
    </row>
    <row r="234" spans="1:19" ht="30" customHeight="1">
      <c r="A234" s="564" t="s">
        <v>848</v>
      </c>
      <c r="B234" s="64" t="s">
        <v>806</v>
      </c>
      <c r="C234" s="568" t="s">
        <v>843</v>
      </c>
      <c r="D234" s="285"/>
      <c r="E234" s="285"/>
      <c r="F234" s="285"/>
      <c r="G234" s="285"/>
      <c r="H234" s="881">
        <f>7.22/100*60</f>
        <v>4.3319999999999999</v>
      </c>
      <c r="I234" s="241" t="s">
        <v>26</v>
      </c>
      <c r="J234" s="76"/>
      <c r="K234" s="105">
        <f t="shared" si="11"/>
        <v>0</v>
      </c>
      <c r="L234" s="772"/>
      <c r="M234" s="772" t="s">
        <v>1147</v>
      </c>
      <c r="N234" s="791"/>
      <c r="O234" s="634"/>
      <c r="P234" s="1036"/>
      <c r="Q234" s="1037"/>
      <c r="R234" s="772"/>
    </row>
    <row r="235" spans="1:19" ht="30" customHeight="1">
      <c r="A235" s="1318" t="s">
        <v>1033</v>
      </c>
      <c r="B235" s="1367" t="s">
        <v>1030</v>
      </c>
      <c r="C235" s="1281" t="s">
        <v>1034</v>
      </c>
      <c r="D235" s="533">
        <v>70</v>
      </c>
      <c r="E235" s="533">
        <v>500</v>
      </c>
      <c r="F235" s="533"/>
      <c r="G235" s="533"/>
      <c r="H235" s="881">
        <v>42.4</v>
      </c>
      <c r="I235" s="241" t="s">
        <v>26</v>
      </c>
      <c r="J235" s="76"/>
      <c r="K235" s="105">
        <f t="shared" si="11"/>
        <v>0</v>
      </c>
      <c r="L235" s="772"/>
      <c r="M235" s="772" t="s">
        <v>1147</v>
      </c>
      <c r="N235" s="791"/>
      <c r="O235" s="634"/>
      <c r="P235" s="1036"/>
      <c r="Q235" s="1037"/>
      <c r="R235" s="772"/>
      <c r="S235" s="58"/>
    </row>
    <row r="236" spans="1:19" ht="30" customHeight="1">
      <c r="A236" s="1355"/>
      <c r="B236" s="1368"/>
      <c r="C236" s="1281"/>
      <c r="D236" s="533">
        <v>501</v>
      </c>
      <c r="E236" s="533">
        <v>1000</v>
      </c>
      <c r="F236" s="533"/>
      <c r="G236" s="533"/>
      <c r="H236" s="881">
        <v>47.8</v>
      </c>
      <c r="I236" s="241" t="s">
        <v>26</v>
      </c>
      <c r="J236" s="76"/>
      <c r="K236" s="105">
        <f t="shared" si="11"/>
        <v>0</v>
      </c>
      <c r="L236" s="772"/>
      <c r="M236" s="772" t="s">
        <v>1147</v>
      </c>
      <c r="N236" s="791"/>
      <c r="O236" s="634"/>
      <c r="P236" s="1036"/>
      <c r="Q236" s="1037"/>
      <c r="R236" s="772"/>
    </row>
    <row r="237" spans="1:19" ht="30" customHeight="1">
      <c r="A237" s="1355"/>
      <c r="B237" s="1368"/>
      <c r="C237" s="1281"/>
      <c r="D237" s="533">
        <v>1001</v>
      </c>
      <c r="E237" s="533">
        <v>1500</v>
      </c>
      <c r="F237" s="533"/>
      <c r="G237" s="533"/>
      <c r="H237" s="881">
        <v>55.4</v>
      </c>
      <c r="I237" s="241" t="s">
        <v>26</v>
      </c>
      <c r="J237" s="76"/>
      <c r="K237" s="105">
        <f t="shared" si="11"/>
        <v>0</v>
      </c>
      <c r="L237" s="772"/>
      <c r="M237" s="772" t="s">
        <v>1147</v>
      </c>
      <c r="N237" s="791"/>
      <c r="O237" s="634"/>
      <c r="P237" s="1036"/>
      <c r="Q237" s="1037"/>
      <c r="R237" s="772"/>
    </row>
    <row r="238" spans="1:19" ht="30" customHeight="1">
      <c r="A238" s="1355"/>
      <c r="B238" s="1368"/>
      <c r="C238" s="1281"/>
      <c r="D238" s="533">
        <v>1501</v>
      </c>
      <c r="E238" s="533">
        <v>2000</v>
      </c>
      <c r="F238" s="533"/>
      <c r="G238" s="533"/>
      <c r="H238" s="883">
        <v>70</v>
      </c>
      <c r="I238" s="241" t="s">
        <v>26</v>
      </c>
      <c r="J238" s="268"/>
      <c r="K238" s="269">
        <f t="shared" si="11"/>
        <v>0</v>
      </c>
      <c r="L238" s="772"/>
      <c r="M238" s="772" t="s">
        <v>1147</v>
      </c>
      <c r="N238" s="791"/>
      <c r="O238" s="634"/>
      <c r="P238" s="1036"/>
      <c r="Q238" s="1037"/>
      <c r="R238" s="772"/>
    </row>
    <row r="239" spans="1:19" ht="48" customHeight="1">
      <c r="A239" s="679" t="s">
        <v>1049</v>
      </c>
      <c r="B239" s="695" t="s">
        <v>1050</v>
      </c>
      <c r="C239" s="696" t="s">
        <v>1039</v>
      </c>
      <c r="D239" s="62"/>
      <c r="E239" s="62"/>
      <c r="F239" s="62"/>
      <c r="G239" s="62"/>
      <c r="H239" s="883">
        <v>0.4</v>
      </c>
      <c r="I239" s="241" t="s">
        <v>26</v>
      </c>
      <c r="J239" s="76"/>
      <c r="K239" s="105">
        <f>+J239*H239</f>
        <v>0</v>
      </c>
      <c r="L239" s="777"/>
      <c r="M239" s="777" t="s">
        <v>1147</v>
      </c>
      <c r="N239" s="791"/>
      <c r="O239" s="634"/>
      <c r="P239" s="1036"/>
      <c r="Q239" s="1037"/>
      <c r="R239" s="772"/>
      <c r="S239" s="58"/>
    </row>
    <row r="240" spans="1:19" ht="23.25" customHeight="1">
      <c r="A240" s="679"/>
      <c r="B240" s="695"/>
      <c r="C240" s="696"/>
      <c r="D240" s="62"/>
      <c r="E240" s="62"/>
      <c r="F240" s="62"/>
      <c r="G240" s="62"/>
      <c r="H240" s="240"/>
      <c r="I240" s="241"/>
      <c r="J240" s="76"/>
      <c r="K240" s="105"/>
      <c r="L240" s="776"/>
      <c r="M240" s="776"/>
      <c r="N240" s="791"/>
      <c r="O240" s="634"/>
      <c r="P240" s="1036"/>
      <c r="Q240" s="1037"/>
      <c r="R240" s="772"/>
    </row>
    <row r="241" spans="1:19" ht="17.25" customHeight="1">
      <c r="A241" s="679"/>
      <c r="B241" s="695"/>
      <c r="C241" s="696"/>
      <c r="D241" s="62"/>
      <c r="E241" s="62"/>
      <c r="F241" s="62"/>
      <c r="G241" s="62"/>
      <c r="H241" s="240"/>
      <c r="I241" s="241"/>
      <c r="J241" s="76"/>
      <c r="K241" s="105"/>
      <c r="N241" s="791"/>
      <c r="O241" s="634"/>
      <c r="P241" s="1036"/>
      <c r="Q241" s="1037"/>
      <c r="R241" s="772"/>
    </row>
    <row r="242" spans="1:19" ht="22.5" customHeight="1" thickBot="1">
      <c r="A242" s="288"/>
      <c r="B242" s="287"/>
      <c r="C242" s="285"/>
      <c r="D242" s="285"/>
      <c r="E242" s="285"/>
      <c r="F242" s="285"/>
      <c r="G242" s="285"/>
      <c r="H242" s="285"/>
      <c r="I242" s="289"/>
      <c r="J242" s="286"/>
      <c r="K242" s="290"/>
      <c r="N242" s="791"/>
      <c r="O242" s="634"/>
      <c r="P242" s="1036"/>
      <c r="Q242" s="1037"/>
      <c r="R242" s="772"/>
    </row>
    <row r="243" spans="1:19" s="58" customFormat="1" ht="53.25" customHeight="1">
      <c r="A243" s="101" t="s">
        <v>317</v>
      </c>
      <c r="B243" s="57" t="s">
        <v>321</v>
      </c>
      <c r="C243" s="57" t="s">
        <v>96</v>
      </c>
      <c r="D243" s="57" t="s">
        <v>307</v>
      </c>
      <c r="E243" s="57"/>
      <c r="F243" s="57"/>
      <c r="G243" s="57"/>
      <c r="H243" s="102" t="s">
        <v>318</v>
      </c>
      <c r="I243" s="234" t="s">
        <v>25</v>
      </c>
      <c r="J243" s="103" t="s">
        <v>308</v>
      </c>
      <c r="K243" s="104" t="s">
        <v>1366</v>
      </c>
      <c r="N243" s="791"/>
      <c r="O243" s="634"/>
      <c r="P243" s="1036"/>
      <c r="Q243" s="1037"/>
      <c r="R243" s="772"/>
      <c r="S243" s="55"/>
    </row>
    <row r="244" spans="1:19" ht="22.5" customHeight="1">
      <c r="A244" s="114" t="s">
        <v>250</v>
      </c>
      <c r="B244" s="54" t="s">
        <v>251</v>
      </c>
      <c r="C244" s="44" t="s">
        <v>252</v>
      </c>
      <c r="D244" s="59"/>
      <c r="E244" s="59"/>
      <c r="F244" s="59"/>
      <c r="G244" s="59"/>
      <c r="H244" s="881">
        <v>4.62</v>
      </c>
      <c r="I244" s="241" t="s">
        <v>26</v>
      </c>
      <c r="J244" s="76"/>
      <c r="K244" s="105">
        <f t="shared" si="11"/>
        <v>0</v>
      </c>
      <c r="M244" s="55" t="s">
        <v>1147</v>
      </c>
      <c r="N244" s="791"/>
      <c r="O244" s="634"/>
      <c r="P244" s="1036"/>
      <c r="Q244" s="1037"/>
      <c r="R244" s="772"/>
    </row>
    <row r="245" spans="1:19" ht="22.5" customHeight="1">
      <c r="A245" s="114" t="s">
        <v>263</v>
      </c>
      <c r="B245" s="61" t="s">
        <v>264</v>
      </c>
      <c r="C245" s="61" t="s">
        <v>265</v>
      </c>
      <c r="D245" s="59"/>
      <c r="E245" s="59"/>
      <c r="F245" s="59"/>
      <c r="G245" s="59"/>
      <c r="H245" s="881">
        <v>8.86</v>
      </c>
      <c r="I245" s="241" t="s">
        <v>26</v>
      </c>
      <c r="J245" s="76"/>
      <c r="K245" s="105">
        <f t="shared" si="11"/>
        <v>0</v>
      </c>
      <c r="M245" s="55" t="s">
        <v>1146</v>
      </c>
      <c r="N245" s="791"/>
      <c r="O245" s="634"/>
      <c r="P245" s="1036"/>
      <c r="Q245" s="1037"/>
      <c r="R245" s="772"/>
    </row>
    <row r="246" spans="1:19" ht="55.5" customHeight="1">
      <c r="A246" s="98" t="s">
        <v>1179</v>
      </c>
      <c r="B246" s="54" t="s">
        <v>1178</v>
      </c>
      <c r="C246" s="54" t="s">
        <v>1174</v>
      </c>
      <c r="D246" s="62"/>
      <c r="E246" s="62"/>
      <c r="F246" s="62"/>
      <c r="G246" s="62"/>
      <c r="H246" s="881">
        <v>52</v>
      </c>
      <c r="I246" s="241" t="s">
        <v>26</v>
      </c>
      <c r="J246" s="76"/>
      <c r="K246" s="105">
        <f t="shared" si="11"/>
        <v>0</v>
      </c>
      <c r="N246" s="791"/>
      <c r="O246" s="634"/>
      <c r="P246" s="1036"/>
      <c r="Q246" s="1037"/>
      <c r="R246" s="772"/>
    </row>
    <row r="247" spans="1:19" ht="22.5" customHeight="1">
      <c r="A247" s="114" t="s">
        <v>216</v>
      </c>
      <c r="B247" s="61" t="s">
        <v>217</v>
      </c>
      <c r="C247" s="61" t="s">
        <v>218</v>
      </c>
      <c r="D247" s="59"/>
      <c r="E247" s="59"/>
      <c r="F247" s="59"/>
      <c r="G247" s="59"/>
      <c r="H247" s="881">
        <v>10.8</v>
      </c>
      <c r="I247" s="241" t="s">
        <v>26</v>
      </c>
      <c r="J247" s="76"/>
      <c r="K247" s="105">
        <f t="shared" si="11"/>
        <v>0</v>
      </c>
      <c r="M247" s="55" t="s">
        <v>1147</v>
      </c>
      <c r="N247" s="791"/>
      <c r="O247" s="634"/>
      <c r="P247" s="1036"/>
      <c r="Q247" s="1037"/>
      <c r="R247" s="772"/>
    </row>
    <row r="248" spans="1:19" ht="22.5" customHeight="1">
      <c r="A248" s="114" t="s">
        <v>219</v>
      </c>
      <c r="B248" s="61" t="s">
        <v>220</v>
      </c>
      <c r="C248" s="61" t="s">
        <v>221</v>
      </c>
      <c r="D248" s="59"/>
      <c r="E248" s="59"/>
      <c r="F248" s="59"/>
      <c r="G248" s="59"/>
      <c r="H248" s="881">
        <v>4.49</v>
      </c>
      <c r="I248" s="241" t="s">
        <v>26</v>
      </c>
      <c r="J248" s="76"/>
      <c r="K248" s="105">
        <f t="shared" si="11"/>
        <v>0</v>
      </c>
      <c r="L248" s="65"/>
      <c r="M248" s="55" t="s">
        <v>1147</v>
      </c>
      <c r="N248" s="791"/>
      <c r="O248" s="634"/>
      <c r="P248" s="1036"/>
      <c r="Q248" s="1037"/>
      <c r="R248" s="772"/>
    </row>
    <row r="249" spans="1:19" ht="22.5" customHeight="1">
      <c r="A249" s="114" t="s">
        <v>222</v>
      </c>
      <c r="B249" s="61" t="s">
        <v>223</v>
      </c>
      <c r="C249" s="61" t="s">
        <v>224</v>
      </c>
      <c r="D249" s="59"/>
      <c r="E249" s="59"/>
      <c r="F249" s="59"/>
      <c r="G249" s="59"/>
      <c r="H249" s="881">
        <v>4.5599999999999996</v>
      </c>
      <c r="I249" s="241" t="s">
        <v>26</v>
      </c>
      <c r="J249" s="76"/>
      <c r="K249" s="105">
        <f t="shared" si="11"/>
        <v>0</v>
      </c>
      <c r="M249" s="55" t="s">
        <v>1147</v>
      </c>
      <c r="N249" s="791"/>
      <c r="O249" s="634"/>
      <c r="P249" s="1036"/>
      <c r="Q249" s="1037"/>
      <c r="R249" s="772"/>
    </row>
    <row r="250" spans="1:19" ht="22.5" customHeight="1">
      <c r="A250" s="114" t="s">
        <v>225</v>
      </c>
      <c r="B250" s="54" t="s">
        <v>29</v>
      </c>
      <c r="C250" s="61" t="s">
        <v>226</v>
      </c>
      <c r="D250" s="59"/>
      <c r="E250" s="59"/>
      <c r="F250" s="59"/>
      <c r="G250" s="59"/>
      <c r="H250" s="881">
        <v>4.91</v>
      </c>
      <c r="I250" s="241" t="s">
        <v>26</v>
      </c>
      <c r="J250" s="76"/>
      <c r="K250" s="105">
        <f t="shared" si="11"/>
        <v>0</v>
      </c>
      <c r="M250" s="55" t="s">
        <v>1147</v>
      </c>
      <c r="N250" s="791"/>
      <c r="O250" s="634"/>
      <c r="P250" s="1036"/>
      <c r="Q250" s="1037"/>
      <c r="R250" s="772"/>
    </row>
    <row r="251" spans="1:19" ht="22.5" customHeight="1">
      <c r="A251" s="114" t="s">
        <v>690</v>
      </c>
      <c r="B251" s="61" t="s">
        <v>271</v>
      </c>
      <c r="C251" s="61" t="s">
        <v>272</v>
      </c>
      <c r="D251" s="59">
        <v>12160492</v>
      </c>
      <c r="E251" s="59"/>
      <c r="F251" s="59"/>
      <c r="G251" s="59"/>
      <c r="H251" s="881">
        <v>23.05</v>
      </c>
      <c r="I251" s="241" t="s">
        <v>26</v>
      </c>
      <c r="J251" s="76"/>
      <c r="K251" s="105">
        <f t="shared" si="11"/>
        <v>0</v>
      </c>
      <c r="M251" s="55" t="s">
        <v>1147</v>
      </c>
      <c r="N251" s="791"/>
      <c r="O251" s="634"/>
      <c r="P251" s="1036"/>
      <c r="Q251" s="1037"/>
      <c r="R251" s="772"/>
    </row>
    <row r="252" spans="1:19" ht="22.5" customHeight="1">
      <c r="A252" s="114" t="s">
        <v>247</v>
      </c>
      <c r="B252" s="61" t="s">
        <v>248</v>
      </c>
      <c r="C252" s="61" t="s">
        <v>249</v>
      </c>
      <c r="D252" s="59"/>
      <c r="E252" s="59"/>
      <c r="F252" s="59"/>
      <c r="G252" s="59"/>
      <c r="H252" s="881">
        <v>7.5</v>
      </c>
      <c r="I252" s="241" t="s">
        <v>26</v>
      </c>
      <c r="J252" s="76"/>
      <c r="K252" s="105">
        <f t="shared" si="11"/>
        <v>0</v>
      </c>
      <c r="M252" s="55" t="s">
        <v>1146</v>
      </c>
      <c r="N252" s="791"/>
      <c r="O252" s="634"/>
      <c r="P252" s="1036"/>
      <c r="Q252" s="1037"/>
      <c r="R252" s="772"/>
    </row>
    <row r="253" spans="1:19" ht="22.5" customHeight="1">
      <c r="A253" s="118" t="s">
        <v>286</v>
      </c>
      <c r="B253" s="61" t="s">
        <v>287</v>
      </c>
      <c r="C253" s="61" t="s">
        <v>288</v>
      </c>
      <c r="D253" s="59"/>
      <c r="E253" s="59"/>
      <c r="F253" s="59"/>
      <c r="G253" s="59"/>
      <c r="H253" s="881">
        <v>24.34</v>
      </c>
      <c r="I253" s="241" t="s">
        <v>26</v>
      </c>
      <c r="J253" s="76"/>
      <c r="K253" s="105">
        <f t="shared" si="11"/>
        <v>0</v>
      </c>
      <c r="L253" s="65"/>
      <c r="M253" s="65" t="s">
        <v>1147</v>
      </c>
      <c r="N253" s="791"/>
      <c r="O253" s="634"/>
      <c r="P253" s="1036"/>
      <c r="Q253" s="1037"/>
      <c r="R253" s="772"/>
    </row>
    <row r="254" spans="1:19" ht="22.5" customHeight="1">
      <c r="A254" s="118" t="s">
        <v>286</v>
      </c>
      <c r="B254" s="61" t="s">
        <v>289</v>
      </c>
      <c r="C254" s="61" t="s">
        <v>288</v>
      </c>
      <c r="D254" s="59"/>
      <c r="E254" s="59"/>
      <c r="F254" s="59"/>
      <c r="G254" s="59"/>
      <c r="H254" s="881">
        <v>3.76</v>
      </c>
      <c r="I254" s="241" t="s">
        <v>26</v>
      </c>
      <c r="J254" s="76"/>
      <c r="K254" s="105">
        <f t="shared" si="11"/>
        <v>0</v>
      </c>
      <c r="L254" s="65"/>
      <c r="M254" s="65" t="s">
        <v>1146</v>
      </c>
      <c r="N254" s="791"/>
      <c r="O254" s="634"/>
      <c r="P254" s="1036"/>
      <c r="Q254" s="1037"/>
      <c r="R254" s="772"/>
      <c r="S254" s="58"/>
    </row>
    <row r="255" spans="1:19" ht="177.45" customHeight="1">
      <c r="A255" s="98" t="s">
        <v>1175</v>
      </c>
      <c r="B255" s="475" t="s">
        <v>1176</v>
      </c>
      <c r="C255" s="475" t="s">
        <v>1168</v>
      </c>
      <c r="D255" s="265"/>
      <c r="E255" s="265"/>
      <c r="F255" s="265"/>
      <c r="G255" s="265"/>
      <c r="H255" s="882">
        <v>3.7</v>
      </c>
      <c r="I255" s="241" t="s">
        <v>26</v>
      </c>
      <c r="J255" s="756"/>
      <c r="K255" s="757">
        <f t="shared" si="11"/>
        <v>0</v>
      </c>
      <c r="L255" s="65"/>
      <c r="M255" s="65" t="s">
        <v>1147</v>
      </c>
      <c r="N255" s="791"/>
      <c r="O255" s="634"/>
      <c r="P255" s="1036"/>
      <c r="Q255" s="1037"/>
      <c r="R255" s="772"/>
    </row>
    <row r="256" spans="1:19" ht="22.5" customHeight="1">
      <c r="A256" s="318"/>
      <c r="B256" s="319"/>
      <c r="C256" s="319"/>
      <c r="D256" s="264"/>
      <c r="E256" s="264"/>
      <c r="F256" s="264"/>
      <c r="G256" s="264"/>
      <c r="H256" s="266"/>
      <c r="I256" s="267"/>
      <c r="J256" s="268"/>
      <c r="K256" s="269"/>
      <c r="L256" s="65"/>
      <c r="M256" s="65"/>
      <c r="N256" s="791"/>
      <c r="O256" s="634"/>
      <c r="P256" s="1036"/>
      <c r="Q256" s="1037"/>
      <c r="R256" s="772"/>
    </row>
    <row r="257" spans="1:19" ht="22.5" customHeight="1">
      <c r="A257" s="318"/>
      <c r="B257" s="319"/>
      <c r="C257" s="319"/>
      <c r="D257" s="264"/>
      <c r="E257" s="264"/>
      <c r="F257" s="264"/>
      <c r="G257" s="264"/>
      <c r="H257" s="266"/>
      <c r="I257" s="267"/>
      <c r="J257" s="268"/>
      <c r="K257" s="269"/>
      <c r="L257" s="65"/>
      <c r="M257" s="65"/>
      <c r="N257" s="791"/>
      <c r="O257" s="634"/>
      <c r="P257" s="1036"/>
      <c r="Q257" s="1037"/>
      <c r="R257" s="772"/>
    </row>
    <row r="258" spans="1:19" ht="9.75" customHeight="1" thickBot="1">
      <c r="A258" s="318"/>
      <c r="B258" s="319"/>
      <c r="C258" s="319"/>
      <c r="D258" s="264"/>
      <c r="E258" s="264"/>
      <c r="F258" s="264"/>
      <c r="G258" s="264"/>
      <c r="H258" s="266"/>
      <c r="I258" s="267"/>
      <c r="J258" s="268"/>
      <c r="K258" s="269"/>
      <c r="L258" s="65"/>
      <c r="M258" s="65"/>
      <c r="N258" s="791"/>
      <c r="O258" s="634"/>
      <c r="P258" s="1036"/>
      <c r="Q258" s="1037"/>
      <c r="R258" s="772"/>
    </row>
    <row r="259" spans="1:19" s="58" customFormat="1" ht="53.25" customHeight="1">
      <c r="A259" s="101" t="s">
        <v>9</v>
      </c>
      <c r="B259" s="57" t="s">
        <v>95</v>
      </c>
      <c r="C259" s="57" t="s">
        <v>322</v>
      </c>
      <c r="D259" s="57" t="s">
        <v>323</v>
      </c>
      <c r="E259" s="1289" t="s">
        <v>95</v>
      </c>
      <c r="F259" s="1290"/>
      <c r="G259" s="1291"/>
      <c r="H259" s="102" t="s">
        <v>318</v>
      </c>
      <c r="I259" s="234" t="s">
        <v>25</v>
      </c>
      <c r="J259" s="103" t="s">
        <v>308</v>
      </c>
      <c r="K259" s="104" t="s">
        <v>1366</v>
      </c>
      <c r="L259" s="641"/>
      <c r="M259" s="641"/>
      <c r="N259" s="791"/>
      <c r="O259" s="634"/>
      <c r="P259" s="1036"/>
      <c r="Q259" s="1037"/>
      <c r="R259" s="772"/>
      <c r="S259" s="55"/>
    </row>
    <row r="260" spans="1:19" ht="22.5" customHeight="1">
      <c r="A260" s="1366" t="s">
        <v>12</v>
      </c>
      <c r="B260" s="398" t="s">
        <v>10</v>
      </c>
      <c r="C260" s="320" t="s">
        <v>504</v>
      </c>
      <c r="D260" s="320" t="s">
        <v>13</v>
      </c>
      <c r="E260" s="330"/>
      <c r="F260" s="331"/>
      <c r="G260" s="332"/>
      <c r="H260" s="880">
        <f>2/100*60</f>
        <v>1.2</v>
      </c>
      <c r="I260" s="267" t="s">
        <v>26</v>
      </c>
      <c r="J260" s="268"/>
      <c r="K260" s="105">
        <f t="shared" ref="K260:K266" si="12">+J260*H260</f>
        <v>0</v>
      </c>
      <c r="M260" s="55" t="s">
        <v>1147</v>
      </c>
      <c r="N260" s="791"/>
      <c r="O260" s="634"/>
      <c r="P260" s="1036"/>
      <c r="Q260" s="1037"/>
      <c r="R260" s="772"/>
    </row>
    <row r="261" spans="1:19" ht="22.5" customHeight="1">
      <c r="A261" s="1358"/>
      <c r="B261" s="398" t="s">
        <v>11</v>
      </c>
      <c r="C261" s="320" t="s">
        <v>504</v>
      </c>
      <c r="D261" s="320" t="s">
        <v>13</v>
      </c>
      <c r="E261" s="330"/>
      <c r="F261" s="331"/>
      <c r="G261" s="332"/>
      <c r="H261" s="880">
        <f>10.97/100*60</f>
        <v>6.5820000000000007</v>
      </c>
      <c r="I261" s="267" t="s">
        <v>26</v>
      </c>
      <c r="J261" s="268"/>
      <c r="K261" s="105">
        <f t="shared" si="12"/>
        <v>0</v>
      </c>
      <c r="M261" s="55" t="s">
        <v>1147</v>
      </c>
      <c r="N261" s="791"/>
      <c r="O261" s="634"/>
      <c r="P261" s="1036"/>
      <c r="Q261" s="1037"/>
      <c r="R261" s="772"/>
    </row>
    <row r="262" spans="1:19" ht="22.5" customHeight="1">
      <c r="A262" s="1273" t="s">
        <v>19</v>
      </c>
      <c r="B262" s="398" t="s">
        <v>15</v>
      </c>
      <c r="C262" s="320"/>
      <c r="D262" s="320"/>
      <c r="E262" s="1294" t="s">
        <v>20</v>
      </c>
      <c r="F262" s="1295"/>
      <c r="G262" s="1296"/>
      <c r="H262" s="880">
        <f>16.6/100*60</f>
        <v>9.9600000000000009</v>
      </c>
      <c r="I262" s="267" t="s">
        <v>26</v>
      </c>
      <c r="J262" s="268"/>
      <c r="K262" s="105">
        <f t="shared" si="12"/>
        <v>0</v>
      </c>
      <c r="L262" s="772"/>
      <c r="M262" s="772" t="s">
        <v>1147</v>
      </c>
      <c r="N262" s="791"/>
      <c r="O262" s="634"/>
      <c r="P262" s="1036"/>
      <c r="Q262" s="1037"/>
      <c r="R262" s="772"/>
    </row>
    <row r="263" spans="1:19" ht="22.5" customHeight="1">
      <c r="A263" s="1274"/>
      <c r="B263" s="398" t="s">
        <v>14</v>
      </c>
      <c r="C263" s="320"/>
      <c r="D263" s="320"/>
      <c r="E263" s="1294"/>
      <c r="F263" s="1295"/>
      <c r="G263" s="1296"/>
      <c r="H263" s="880">
        <f>35.25/100*60</f>
        <v>21.15</v>
      </c>
      <c r="I263" s="267" t="s">
        <v>26</v>
      </c>
      <c r="J263" s="268"/>
      <c r="K263" s="105">
        <f t="shared" si="12"/>
        <v>0</v>
      </c>
      <c r="L263" s="772"/>
      <c r="M263" s="772" t="s">
        <v>1147</v>
      </c>
      <c r="N263" s="791"/>
      <c r="O263" s="634"/>
      <c r="P263" s="1036"/>
      <c r="Q263" s="1037"/>
      <c r="R263" s="772"/>
    </row>
    <row r="264" spans="1:19" ht="22.5" customHeight="1">
      <c r="A264" s="1274"/>
      <c r="B264" s="398" t="s">
        <v>16</v>
      </c>
      <c r="C264" s="320"/>
      <c r="D264" s="320"/>
      <c r="E264" s="1294" t="s">
        <v>21</v>
      </c>
      <c r="F264" s="1295"/>
      <c r="G264" s="1296"/>
      <c r="H264" s="880">
        <f>37.56/100*60</f>
        <v>22.536000000000001</v>
      </c>
      <c r="I264" s="267" t="s">
        <v>26</v>
      </c>
      <c r="J264" s="268"/>
      <c r="K264" s="105">
        <f t="shared" si="12"/>
        <v>0</v>
      </c>
      <c r="L264" s="772"/>
      <c r="M264" s="772" t="s">
        <v>1147</v>
      </c>
      <c r="N264" s="791"/>
      <c r="O264" s="634"/>
      <c r="P264" s="1036"/>
      <c r="Q264" s="1037"/>
      <c r="R264" s="772"/>
    </row>
    <row r="265" spans="1:19" ht="22.5" customHeight="1">
      <c r="A265" s="1274"/>
      <c r="B265" s="398" t="s">
        <v>17</v>
      </c>
      <c r="C265" s="320"/>
      <c r="D265" s="320"/>
      <c r="E265" s="1294"/>
      <c r="F265" s="1295"/>
      <c r="G265" s="1296"/>
      <c r="H265" s="880">
        <f>54.84/100*60</f>
        <v>32.903999999999996</v>
      </c>
      <c r="I265" s="267" t="s">
        <v>26</v>
      </c>
      <c r="J265" s="268"/>
      <c r="K265" s="105">
        <f t="shared" si="12"/>
        <v>0</v>
      </c>
      <c r="L265" s="772"/>
      <c r="M265" s="772" t="s">
        <v>1147</v>
      </c>
      <c r="N265" s="791"/>
      <c r="O265" s="634"/>
      <c r="P265" s="1036"/>
      <c r="Q265" s="1037"/>
      <c r="R265" s="772"/>
    </row>
    <row r="266" spans="1:19" ht="22.5" customHeight="1">
      <c r="A266" s="1274"/>
      <c r="B266" s="398" t="s">
        <v>18</v>
      </c>
      <c r="C266" s="320"/>
      <c r="D266" s="320"/>
      <c r="E266" s="1294"/>
      <c r="F266" s="1295"/>
      <c r="G266" s="1296"/>
      <c r="H266" s="880">
        <f>89.39/100*60</f>
        <v>53.634</v>
      </c>
      <c r="I266" s="267" t="s">
        <v>26</v>
      </c>
      <c r="J266" s="268"/>
      <c r="K266" s="105">
        <f t="shared" si="12"/>
        <v>0</v>
      </c>
      <c r="L266" s="772"/>
      <c r="M266" s="772" t="s">
        <v>1147</v>
      </c>
      <c r="N266" s="791"/>
      <c r="O266" s="634"/>
      <c r="P266" s="1036"/>
      <c r="Q266" s="1037"/>
      <c r="R266" s="772"/>
    </row>
    <row r="267" spans="1:19" ht="22.5" customHeight="1">
      <c r="A267" s="788"/>
      <c r="B267" s="398"/>
      <c r="C267" s="320"/>
      <c r="D267" s="320"/>
      <c r="E267" s="330"/>
      <c r="F267" s="331"/>
      <c r="G267" s="332"/>
      <c r="H267" s="346"/>
      <c r="I267" s="267"/>
      <c r="J267" s="268"/>
      <c r="K267" s="269"/>
      <c r="N267" s="791"/>
      <c r="O267" s="634"/>
      <c r="P267" s="1036"/>
      <c r="Q267" s="1037"/>
      <c r="R267" s="772"/>
    </row>
    <row r="268" spans="1:19" ht="12.75" customHeight="1" thickBot="1">
      <c r="A268" s="789"/>
      <c r="B268" s="398"/>
      <c r="C268" s="320"/>
      <c r="D268" s="320"/>
      <c r="E268" s="330"/>
      <c r="F268" s="331"/>
      <c r="G268" s="332"/>
      <c r="H268" s="346"/>
      <c r="I268" s="267"/>
      <c r="J268" s="268"/>
      <c r="K268" s="269"/>
      <c r="N268" s="791"/>
      <c r="O268" s="634"/>
      <c r="P268" s="1036"/>
      <c r="Q268" s="1037"/>
      <c r="R268" s="772"/>
    </row>
    <row r="269" spans="1:19" ht="26.4">
      <c r="A269" s="511" t="s">
        <v>813</v>
      </c>
      <c r="B269" s="512" t="s">
        <v>95</v>
      </c>
      <c r="C269" s="512" t="s">
        <v>322</v>
      </c>
      <c r="D269" s="512" t="s">
        <v>323</v>
      </c>
      <c r="E269" s="1278" t="s">
        <v>95</v>
      </c>
      <c r="F269" s="1279"/>
      <c r="G269" s="1280"/>
      <c r="H269" s="513" t="s">
        <v>318</v>
      </c>
      <c r="I269" s="514" t="s">
        <v>25</v>
      </c>
      <c r="J269" s="515" t="s">
        <v>308</v>
      </c>
      <c r="K269" s="104" t="s">
        <v>1366</v>
      </c>
      <c r="N269" s="791"/>
      <c r="O269" s="634"/>
      <c r="P269" s="1036"/>
      <c r="Q269" s="1037"/>
      <c r="R269" s="772"/>
      <c r="S269" s="58"/>
    </row>
    <row r="270" spans="1:19" ht="28.5" customHeight="1">
      <c r="A270" s="1269" t="s">
        <v>822</v>
      </c>
      <c r="B270" s="398" t="s">
        <v>824</v>
      </c>
      <c r="C270" s="398" t="s">
        <v>844</v>
      </c>
      <c r="D270" s="398" t="s">
        <v>846</v>
      </c>
      <c r="E270" s="1275"/>
      <c r="F270" s="1276"/>
      <c r="G270" s="1277"/>
      <c r="H270" s="879">
        <v>5</v>
      </c>
      <c r="I270" s="267" t="s">
        <v>26</v>
      </c>
      <c r="J270" s="268"/>
      <c r="K270" s="105">
        <f>+J270*H270</f>
        <v>0</v>
      </c>
      <c r="M270" s="55" t="s">
        <v>1147</v>
      </c>
      <c r="N270" s="791"/>
      <c r="O270" s="634"/>
      <c r="P270" s="1036"/>
      <c r="Q270" s="1037"/>
      <c r="R270" s="772"/>
    </row>
    <row r="271" spans="1:19" ht="33.75" customHeight="1">
      <c r="A271" s="1270"/>
      <c r="B271" s="398" t="s">
        <v>823</v>
      </c>
      <c r="C271" s="398" t="s">
        <v>845</v>
      </c>
      <c r="D271" s="398" t="s">
        <v>847</v>
      </c>
      <c r="E271" s="569"/>
      <c r="F271" s="570"/>
      <c r="G271" s="571"/>
      <c r="H271" s="872">
        <v>7</v>
      </c>
      <c r="I271" s="267" t="s">
        <v>26</v>
      </c>
      <c r="J271" s="268"/>
      <c r="K271" s="105">
        <f>+J271*H271</f>
        <v>0</v>
      </c>
      <c r="M271" s="55" t="s">
        <v>1147</v>
      </c>
      <c r="N271" s="791"/>
      <c r="O271" s="634"/>
      <c r="P271" s="1036"/>
      <c r="Q271" s="1037"/>
      <c r="R271" s="772"/>
    </row>
    <row r="272" spans="1:19" ht="13.8" thickBot="1">
      <c r="A272" s="106"/>
      <c r="B272" s="115"/>
      <c r="C272" s="69"/>
      <c r="D272" s="69"/>
      <c r="E272" s="69"/>
      <c r="F272" s="69"/>
      <c r="G272" s="69"/>
      <c r="H272" s="121"/>
      <c r="I272" s="236"/>
      <c r="J272" s="111"/>
      <c r="K272" s="112"/>
      <c r="N272" s="791"/>
      <c r="O272" s="634"/>
      <c r="P272" s="1036"/>
      <c r="Q272" s="1037"/>
      <c r="R272" s="772"/>
    </row>
    <row r="273" spans="1:18" ht="26.4">
      <c r="A273" s="511" t="s">
        <v>816</v>
      </c>
      <c r="B273" s="512" t="s">
        <v>95</v>
      </c>
      <c r="C273" s="512" t="s">
        <v>96</v>
      </c>
      <c r="D273" s="1289" t="s">
        <v>95</v>
      </c>
      <c r="E273" s="1290"/>
      <c r="F273" s="1290"/>
      <c r="G273" s="1291"/>
      <c r="H273" s="513" t="s">
        <v>318</v>
      </c>
      <c r="I273" s="514" t="s">
        <v>25</v>
      </c>
      <c r="J273" s="515" t="s">
        <v>308</v>
      </c>
      <c r="K273" s="104" t="s">
        <v>1366</v>
      </c>
      <c r="N273" s="791"/>
      <c r="O273" s="634"/>
      <c r="P273" s="1036"/>
      <c r="Q273" s="1037"/>
      <c r="R273" s="772"/>
    </row>
    <row r="274" spans="1:18" ht="50.25" customHeight="1">
      <c r="A274" s="1349" t="s">
        <v>817</v>
      </c>
      <c r="B274" s="398" t="s">
        <v>818</v>
      </c>
      <c r="C274" s="398"/>
      <c r="D274" s="398" t="s">
        <v>375</v>
      </c>
      <c r="E274" s="1260"/>
      <c r="F274" s="1261"/>
      <c r="G274" s="1262"/>
      <c r="H274" s="872">
        <v>22</v>
      </c>
      <c r="I274" s="241" t="s">
        <v>26</v>
      </c>
      <c r="J274" s="76"/>
      <c r="K274" s="105">
        <f>+J274*H274</f>
        <v>0</v>
      </c>
      <c r="L274" s="772"/>
      <c r="M274" s="772" t="s">
        <v>1147</v>
      </c>
      <c r="N274" s="791"/>
      <c r="O274" s="634"/>
      <c r="P274" s="1036"/>
      <c r="Q274" s="1037"/>
      <c r="R274" s="772"/>
    </row>
    <row r="275" spans="1:18" ht="35.25" customHeight="1">
      <c r="A275" s="1350"/>
      <c r="B275" s="398" t="s">
        <v>819</v>
      </c>
      <c r="C275" s="398" t="s">
        <v>860</v>
      </c>
      <c r="D275" s="398" t="s">
        <v>379</v>
      </c>
      <c r="E275" s="1260" t="s">
        <v>821</v>
      </c>
      <c r="F275" s="1261"/>
      <c r="G275" s="1262"/>
      <c r="H275" s="872">
        <v>0.01</v>
      </c>
      <c r="I275" s="241" t="s">
        <v>26</v>
      </c>
      <c r="J275" s="76"/>
      <c r="K275" s="105">
        <f>+J275*H275</f>
        <v>0</v>
      </c>
      <c r="L275" s="772"/>
      <c r="M275" s="772" t="s">
        <v>1147</v>
      </c>
      <c r="N275" s="791"/>
      <c r="O275" s="634"/>
      <c r="P275" s="1036"/>
      <c r="Q275" s="1037"/>
      <c r="R275" s="772"/>
    </row>
    <row r="276" spans="1:18" ht="48" customHeight="1">
      <c r="A276" s="1282" t="s">
        <v>859</v>
      </c>
      <c r="B276" s="398" t="s">
        <v>820</v>
      </c>
      <c r="C276" s="398"/>
      <c r="D276" s="398"/>
      <c r="E276" s="1260"/>
      <c r="F276" s="1261"/>
      <c r="G276" s="1262"/>
      <c r="H276" s="872">
        <v>48</v>
      </c>
      <c r="I276" s="241" t="s">
        <v>26</v>
      </c>
      <c r="J276" s="76"/>
      <c r="K276" s="105">
        <f>+J276*H276</f>
        <v>0</v>
      </c>
      <c r="L276" s="772"/>
      <c r="M276" s="772" t="s">
        <v>1147</v>
      </c>
      <c r="N276" s="791"/>
      <c r="O276" s="634"/>
      <c r="P276" s="1036"/>
      <c r="Q276" s="1037"/>
      <c r="R276" s="772"/>
    </row>
    <row r="277" spans="1:18" ht="20.399999999999999">
      <c r="A277" s="1194"/>
      <c r="B277" s="398" t="s">
        <v>819</v>
      </c>
      <c r="C277" s="398" t="s">
        <v>860</v>
      </c>
      <c r="D277" s="398" t="s">
        <v>379</v>
      </c>
      <c r="E277" s="1299" t="s">
        <v>821</v>
      </c>
      <c r="F277" s="1300"/>
      <c r="G277" s="1301"/>
      <c r="H277" s="872">
        <v>0.01</v>
      </c>
      <c r="I277" s="241" t="s">
        <v>26</v>
      </c>
      <c r="J277" s="268"/>
      <c r="K277" s="269">
        <f>+J277*H277</f>
        <v>0</v>
      </c>
      <c r="L277" s="772"/>
      <c r="M277" s="772" t="s">
        <v>1147</v>
      </c>
      <c r="N277" s="791"/>
      <c r="O277" s="634"/>
      <c r="P277" s="1036"/>
      <c r="Q277" s="1037"/>
      <c r="R277" s="772"/>
    </row>
    <row r="278" spans="1:18" ht="82.5" customHeight="1">
      <c r="A278" s="761" t="s">
        <v>1111</v>
      </c>
      <c r="B278" s="762"/>
      <c r="C278" s="762" t="s">
        <v>1112</v>
      </c>
      <c r="D278" s="762" t="s">
        <v>1113</v>
      </c>
      <c r="E278" s="1302" t="s">
        <v>1114</v>
      </c>
      <c r="F278" s="1303"/>
      <c r="G278" s="1304"/>
      <c r="H278" s="872">
        <v>25</v>
      </c>
      <c r="I278" s="241" t="s">
        <v>26</v>
      </c>
      <c r="J278" s="763"/>
      <c r="K278" s="764">
        <f>+J278*H278</f>
        <v>0</v>
      </c>
      <c r="L278" s="772"/>
      <c r="M278" s="772"/>
      <c r="N278" s="791"/>
      <c r="O278" s="634"/>
      <c r="P278" s="1036"/>
      <c r="Q278" s="1037"/>
      <c r="R278" s="772"/>
    </row>
    <row r="279" spans="1:18" ht="13.8" thickBot="1">
      <c r="A279" s="555"/>
      <c r="B279" s="544"/>
      <c r="C279" s="544"/>
      <c r="D279" s="544"/>
      <c r="E279" s="569"/>
      <c r="F279" s="570"/>
      <c r="G279" s="571"/>
      <c r="H279" s="697"/>
      <c r="I279" s="530"/>
      <c r="J279" s="286"/>
      <c r="K279" s="290"/>
      <c r="N279" s="791"/>
      <c r="O279" s="634"/>
      <c r="P279" s="1036"/>
      <c r="Q279" s="1037"/>
      <c r="R279" s="772"/>
    </row>
    <row r="280" spans="1:18" ht="39.6">
      <c r="A280" s="511" t="s">
        <v>863</v>
      </c>
      <c r="B280" s="512" t="s">
        <v>95</v>
      </c>
      <c r="C280" s="512" t="s">
        <v>96</v>
      </c>
      <c r="D280" s="513" t="s">
        <v>867</v>
      </c>
      <c r="E280" s="513" t="s">
        <v>868</v>
      </c>
      <c r="F280" s="513" t="s">
        <v>869</v>
      </c>
      <c r="G280" s="513" t="s">
        <v>870</v>
      </c>
      <c r="H280" s="513" t="s">
        <v>318</v>
      </c>
      <c r="I280" s="514" t="s">
        <v>25</v>
      </c>
      <c r="J280" s="515" t="s">
        <v>308</v>
      </c>
      <c r="K280" s="104" t="s">
        <v>1366</v>
      </c>
      <c r="N280" s="791"/>
      <c r="O280" s="634"/>
      <c r="P280" s="1036"/>
      <c r="Q280" s="1037"/>
      <c r="R280" s="772"/>
    </row>
    <row r="281" spans="1:18" ht="26.4">
      <c r="A281" s="597" t="s">
        <v>864</v>
      </c>
      <c r="B281" s="597" t="s">
        <v>865</v>
      </c>
      <c r="C281" s="597" t="s">
        <v>866</v>
      </c>
      <c r="D281" s="597">
        <v>0.3</v>
      </c>
      <c r="E281" s="597">
        <v>5</v>
      </c>
      <c r="F281" s="597">
        <v>50</v>
      </c>
      <c r="G281" s="597">
        <v>10000</v>
      </c>
      <c r="H281" s="878">
        <v>3.23</v>
      </c>
      <c r="I281" s="530" t="s">
        <v>26</v>
      </c>
      <c r="J281" s="286"/>
      <c r="K281" s="105">
        <f>+J281*H281</f>
        <v>0</v>
      </c>
      <c r="M281" s="55" t="s">
        <v>1147</v>
      </c>
      <c r="N281" s="791"/>
      <c r="O281" s="634"/>
      <c r="P281" s="1036"/>
      <c r="Q281" s="1037"/>
      <c r="R281" s="772"/>
    </row>
    <row r="282" spans="1:18" ht="13.8" thickBot="1">
      <c r="A282" s="640"/>
      <c r="B282" s="540"/>
      <c r="C282" s="535"/>
      <c r="D282" s="535"/>
      <c r="E282" s="535"/>
      <c r="F282" s="535"/>
      <c r="G282" s="535"/>
      <c r="H282" s="536"/>
      <c r="I282" s="537"/>
      <c r="J282" s="538"/>
      <c r="K282" s="539"/>
      <c r="N282" s="791"/>
      <c r="O282" s="634"/>
      <c r="P282" s="1036"/>
      <c r="Q282" s="1037"/>
      <c r="R282" s="772"/>
    </row>
    <row r="283" spans="1:18" ht="26.4">
      <c r="A283" s="101" t="s">
        <v>1364</v>
      </c>
      <c r="B283" s="57" t="s">
        <v>1365</v>
      </c>
      <c r="C283" s="198" t="s">
        <v>588</v>
      </c>
      <c r="D283" s="843" t="s">
        <v>322</v>
      </c>
      <c r="E283" s="843" t="s">
        <v>323</v>
      </c>
      <c r="F283" s="844"/>
      <c r="G283" s="102"/>
      <c r="H283" s="102" t="s">
        <v>318</v>
      </c>
      <c r="I283" s="234" t="s">
        <v>25</v>
      </c>
      <c r="J283" s="103" t="s">
        <v>308</v>
      </c>
      <c r="K283" s="104" t="s">
        <v>1366</v>
      </c>
      <c r="N283" s="791"/>
      <c r="O283" s="634"/>
      <c r="P283" s="1036"/>
      <c r="Q283" s="1037"/>
      <c r="R283" s="772"/>
    </row>
    <row r="284" spans="1:18" ht="12.45" customHeight="1">
      <c r="A284" s="1283" t="s">
        <v>1386</v>
      </c>
      <c r="B284" s="954" t="s">
        <v>67</v>
      </c>
      <c r="C284" s="1285" t="s">
        <v>79</v>
      </c>
      <c r="D284" s="1287" t="s">
        <v>80</v>
      </c>
      <c r="E284" s="1287" t="s">
        <v>81</v>
      </c>
      <c r="F284" s="955"/>
      <c r="G284" s="955"/>
      <c r="H284" s="877">
        <v>14.36</v>
      </c>
      <c r="I284" s="530" t="s">
        <v>26</v>
      </c>
      <c r="J284" s="510"/>
      <c r="K284" s="284">
        <f>+J284*H284</f>
        <v>0</v>
      </c>
      <c r="M284" s="1035" t="s">
        <v>1464</v>
      </c>
      <c r="N284" s="791"/>
      <c r="O284" s="634"/>
      <c r="P284" s="1126"/>
      <c r="Q284" s="1127"/>
      <c r="R284" s="772"/>
    </row>
    <row r="285" spans="1:18" ht="12.45" customHeight="1">
      <c r="A285" s="1283"/>
      <c r="B285" s="954" t="s">
        <v>68</v>
      </c>
      <c r="C285" s="1285"/>
      <c r="D285" s="1287"/>
      <c r="E285" s="1287"/>
      <c r="F285" s="955"/>
      <c r="G285" s="955"/>
      <c r="H285" s="872">
        <v>15.31</v>
      </c>
      <c r="I285" s="530" t="s">
        <v>26</v>
      </c>
      <c r="J285" s="510"/>
      <c r="K285" s="105">
        <f t="shared" ref="K285:K299" si="13">+J285*H285</f>
        <v>0</v>
      </c>
      <c r="M285" s="1035" t="s">
        <v>1464</v>
      </c>
      <c r="N285" s="791"/>
      <c r="O285" s="634"/>
      <c r="P285" s="1036"/>
      <c r="Q285" s="1037"/>
      <c r="R285" s="772"/>
    </row>
    <row r="286" spans="1:18" ht="12.45" customHeight="1">
      <c r="A286" s="1283"/>
      <c r="B286" s="954" t="s">
        <v>69</v>
      </c>
      <c r="C286" s="1285"/>
      <c r="D286" s="1287"/>
      <c r="E286" s="1287"/>
      <c r="F286" s="955"/>
      <c r="G286" s="955"/>
      <c r="H286" s="872">
        <v>17.2</v>
      </c>
      <c r="I286" s="530" t="s">
        <v>26</v>
      </c>
      <c r="J286" s="510"/>
      <c r="K286" s="105">
        <f t="shared" si="13"/>
        <v>0</v>
      </c>
      <c r="M286" s="1035" t="s">
        <v>1464</v>
      </c>
      <c r="N286" s="791"/>
      <c r="O286" s="634"/>
      <c r="P286" s="1036"/>
      <c r="Q286" s="1037"/>
      <c r="R286" s="772"/>
    </row>
    <row r="287" spans="1:18" ht="12.45" customHeight="1">
      <c r="A287" s="1283"/>
      <c r="B287" s="954" t="s">
        <v>70</v>
      </c>
      <c r="C287" s="1285"/>
      <c r="D287" s="1287"/>
      <c r="E287" s="1287"/>
      <c r="F287" s="955"/>
      <c r="G287" s="955"/>
      <c r="H287" s="872">
        <v>18.7</v>
      </c>
      <c r="I287" s="530" t="s">
        <v>26</v>
      </c>
      <c r="J287" s="510"/>
      <c r="K287" s="105">
        <f t="shared" si="13"/>
        <v>0</v>
      </c>
      <c r="M287" s="1035" t="s">
        <v>1464</v>
      </c>
      <c r="N287" s="791"/>
      <c r="O287" s="634"/>
      <c r="P287" s="1036"/>
      <c r="Q287" s="1037"/>
      <c r="R287" s="772"/>
    </row>
    <row r="288" spans="1:18" ht="12.45" customHeight="1">
      <c r="A288" s="1283"/>
      <c r="B288" s="954" t="s">
        <v>71</v>
      </c>
      <c r="C288" s="1285"/>
      <c r="D288" s="1287"/>
      <c r="E288" s="1287"/>
      <c r="F288" s="955"/>
      <c r="G288" s="955"/>
      <c r="H288" s="872">
        <v>20.399999999999999</v>
      </c>
      <c r="I288" s="530" t="s">
        <v>26</v>
      </c>
      <c r="J288" s="510"/>
      <c r="K288" s="105">
        <f t="shared" si="13"/>
        <v>0</v>
      </c>
      <c r="M288" s="1035" t="s">
        <v>1464</v>
      </c>
      <c r="N288" s="791"/>
      <c r="O288" s="634"/>
      <c r="P288" s="1036"/>
      <c r="Q288" s="1037"/>
      <c r="R288" s="772"/>
    </row>
    <row r="289" spans="1:18" ht="12.45" customHeight="1">
      <c r="A289" s="1283"/>
      <c r="B289" s="954" t="s">
        <v>72</v>
      </c>
      <c r="C289" s="1285"/>
      <c r="D289" s="1287"/>
      <c r="E289" s="1287"/>
      <c r="F289" s="955"/>
      <c r="G289" s="955"/>
      <c r="H289" s="872">
        <v>22.1</v>
      </c>
      <c r="I289" s="530" t="s">
        <v>26</v>
      </c>
      <c r="J289" s="510"/>
      <c r="K289" s="105">
        <f t="shared" si="13"/>
        <v>0</v>
      </c>
      <c r="M289" s="1035" t="s">
        <v>1464</v>
      </c>
      <c r="N289" s="791"/>
      <c r="O289" s="634"/>
      <c r="P289" s="1036"/>
      <c r="Q289" s="1037"/>
      <c r="R289" s="772"/>
    </row>
    <row r="290" spans="1:18" ht="12.45" customHeight="1">
      <c r="A290" s="1283"/>
      <c r="B290" s="954" t="s">
        <v>73</v>
      </c>
      <c r="C290" s="1285"/>
      <c r="D290" s="1287"/>
      <c r="E290" s="1287"/>
      <c r="F290" s="955"/>
      <c r="G290" s="955"/>
      <c r="H290" s="872">
        <v>23.8</v>
      </c>
      <c r="I290" s="530" t="s">
        <v>26</v>
      </c>
      <c r="J290" s="510"/>
      <c r="K290" s="105">
        <f t="shared" si="13"/>
        <v>0</v>
      </c>
      <c r="M290" s="1035" t="s">
        <v>1464</v>
      </c>
      <c r="N290" s="791"/>
      <c r="O290" s="634"/>
      <c r="P290" s="1036"/>
      <c r="Q290" s="1037"/>
      <c r="R290" s="772"/>
    </row>
    <row r="291" spans="1:18" ht="12.45" customHeight="1">
      <c r="A291" s="1283"/>
      <c r="B291" s="954" t="s">
        <v>74</v>
      </c>
      <c r="C291" s="1285"/>
      <c r="D291" s="1287"/>
      <c r="E291" s="1287"/>
      <c r="F291" s="955"/>
      <c r="G291" s="955"/>
      <c r="H291" s="872">
        <v>25.5</v>
      </c>
      <c r="I291" s="530" t="s">
        <v>26</v>
      </c>
      <c r="J291" s="510"/>
      <c r="K291" s="105">
        <f t="shared" si="13"/>
        <v>0</v>
      </c>
      <c r="M291" s="1035" t="s">
        <v>1464</v>
      </c>
      <c r="N291" s="791"/>
      <c r="O291" s="634"/>
      <c r="P291" s="1036"/>
      <c r="Q291" s="1037"/>
      <c r="R291" s="772"/>
    </row>
    <row r="292" spans="1:18" ht="12.45" customHeight="1">
      <c r="A292" s="1283"/>
      <c r="B292" s="954" t="s">
        <v>580</v>
      </c>
      <c r="C292" s="1285"/>
      <c r="D292" s="1287"/>
      <c r="E292" s="1287"/>
      <c r="F292" s="955"/>
      <c r="G292" s="955"/>
      <c r="H292" s="872">
        <v>27.2</v>
      </c>
      <c r="I292" s="530" t="s">
        <v>26</v>
      </c>
      <c r="J292" s="510"/>
      <c r="K292" s="105">
        <f t="shared" si="13"/>
        <v>0</v>
      </c>
      <c r="M292" s="1035" t="s">
        <v>1464</v>
      </c>
      <c r="N292" s="791"/>
      <c r="O292" s="634"/>
      <c r="P292" s="1036"/>
      <c r="Q292" s="1037"/>
      <c r="R292" s="772"/>
    </row>
    <row r="293" spans="1:18" ht="12.45" customHeight="1">
      <c r="A293" s="1283"/>
      <c r="B293" s="954" t="s">
        <v>581</v>
      </c>
      <c r="C293" s="1285"/>
      <c r="D293" s="1287"/>
      <c r="E293" s="1287"/>
      <c r="F293" s="955"/>
      <c r="G293" s="955"/>
      <c r="H293" s="872">
        <v>28.9</v>
      </c>
      <c r="I293" s="530" t="s">
        <v>26</v>
      </c>
      <c r="J293" s="510"/>
      <c r="K293" s="105">
        <f t="shared" si="13"/>
        <v>0</v>
      </c>
      <c r="M293" s="1035" t="s">
        <v>1464</v>
      </c>
      <c r="N293" s="791"/>
      <c r="O293" s="634"/>
      <c r="P293" s="1036"/>
      <c r="Q293" s="1037"/>
      <c r="R293" s="772"/>
    </row>
    <row r="294" spans="1:18" ht="12.45" customHeight="1">
      <c r="A294" s="1283"/>
      <c r="B294" s="954" t="s">
        <v>582</v>
      </c>
      <c r="C294" s="1285"/>
      <c r="D294" s="1287"/>
      <c r="E294" s="1287"/>
      <c r="F294" s="955"/>
      <c r="G294" s="955"/>
      <c r="H294" s="872">
        <v>30.6</v>
      </c>
      <c r="I294" s="530" t="s">
        <v>26</v>
      </c>
      <c r="J294" s="510"/>
      <c r="K294" s="105">
        <f t="shared" si="13"/>
        <v>0</v>
      </c>
      <c r="M294" s="1035" t="s">
        <v>1464</v>
      </c>
      <c r="N294" s="791"/>
      <c r="O294" s="634"/>
      <c r="P294" s="1036"/>
      <c r="Q294" s="1037"/>
      <c r="R294" s="772"/>
    </row>
    <row r="295" spans="1:18" ht="12.45" customHeight="1">
      <c r="A295" s="1283"/>
      <c r="B295" s="954" t="s">
        <v>765</v>
      </c>
      <c r="C295" s="1285"/>
      <c r="D295" s="1287"/>
      <c r="E295" s="1287"/>
      <c r="F295" s="955"/>
      <c r="G295" s="955"/>
      <c r="H295" s="872">
        <v>32.299999999999997</v>
      </c>
      <c r="I295" s="530" t="s">
        <v>26</v>
      </c>
      <c r="J295" s="510"/>
      <c r="K295" s="105">
        <f t="shared" si="13"/>
        <v>0</v>
      </c>
      <c r="M295" s="1035" t="s">
        <v>1464</v>
      </c>
      <c r="N295" s="791"/>
      <c r="O295" s="634"/>
      <c r="P295" s="1036"/>
      <c r="Q295" s="1037"/>
      <c r="R295" s="772"/>
    </row>
    <row r="296" spans="1:18" ht="12.45" customHeight="1">
      <c r="A296" s="1283"/>
      <c r="B296" s="954"/>
      <c r="C296" s="1285"/>
      <c r="D296" s="1287"/>
      <c r="E296" s="1287"/>
      <c r="F296" s="955"/>
      <c r="G296" s="955"/>
      <c r="H296" s="872"/>
      <c r="I296" s="530"/>
      <c r="J296" s="510"/>
      <c r="K296" s="105">
        <f t="shared" si="13"/>
        <v>0</v>
      </c>
      <c r="N296" s="791"/>
      <c r="O296" s="634"/>
      <c r="P296" s="1036"/>
      <c r="Q296" s="1037"/>
      <c r="R296" s="772"/>
    </row>
    <row r="297" spans="1:18" ht="12.45" customHeight="1">
      <c r="A297" s="1283"/>
      <c r="B297" s="954"/>
      <c r="C297" s="1285"/>
      <c r="D297" s="1287"/>
      <c r="E297" s="1287"/>
      <c r="F297" s="955"/>
      <c r="G297" s="955"/>
      <c r="H297" s="872"/>
      <c r="I297" s="530"/>
      <c r="J297" s="510"/>
      <c r="K297" s="105">
        <f t="shared" si="13"/>
        <v>0</v>
      </c>
      <c r="N297" s="791"/>
      <c r="O297" s="634"/>
      <c r="P297" s="1036"/>
      <c r="Q297" s="1037"/>
      <c r="R297" s="772"/>
    </row>
    <row r="298" spans="1:18" ht="12.45" customHeight="1">
      <c r="A298" s="1283"/>
      <c r="B298" s="954"/>
      <c r="C298" s="1285"/>
      <c r="D298" s="1287"/>
      <c r="E298" s="1287"/>
      <c r="F298" s="955"/>
      <c r="G298" s="955"/>
      <c r="H298" s="872"/>
      <c r="I298" s="530"/>
      <c r="J298" s="510"/>
      <c r="K298" s="105">
        <f t="shared" si="13"/>
        <v>0</v>
      </c>
      <c r="N298" s="791"/>
      <c r="O298" s="634"/>
      <c r="P298" s="1036"/>
      <c r="Q298" s="1037"/>
      <c r="R298" s="772"/>
    </row>
    <row r="299" spans="1:18" ht="13.2" customHeight="1" thickBot="1">
      <c r="A299" s="1284"/>
      <c r="B299" s="956"/>
      <c r="C299" s="1286"/>
      <c r="D299" s="1288"/>
      <c r="E299" s="1288"/>
      <c r="F299" s="957"/>
      <c r="G299" s="957"/>
      <c r="H299" s="874"/>
      <c r="I299" s="875"/>
      <c r="J299" s="876"/>
      <c r="K299" s="112">
        <f t="shared" si="13"/>
        <v>0</v>
      </c>
      <c r="N299" s="791"/>
      <c r="O299" s="634"/>
      <c r="P299" s="1036"/>
      <c r="Q299" s="1037"/>
      <c r="R299" s="772"/>
    </row>
    <row r="300" spans="1:18">
      <c r="A300" s="1283" t="s">
        <v>1387</v>
      </c>
      <c r="B300" s="954" t="s">
        <v>75</v>
      </c>
      <c r="C300" s="1285" t="s">
        <v>79</v>
      </c>
      <c r="D300" s="1287" t="s">
        <v>80</v>
      </c>
      <c r="E300" s="1287" t="s">
        <v>81</v>
      </c>
      <c r="F300" s="958"/>
      <c r="G300" s="958"/>
      <c r="H300" s="872">
        <v>10.5</v>
      </c>
      <c r="I300" s="530" t="s">
        <v>26</v>
      </c>
      <c r="J300" s="510"/>
      <c r="K300" s="105">
        <f t="shared" ref="K300:K315" si="14">+J300*H300</f>
        <v>0</v>
      </c>
      <c r="M300" s="1035" t="s">
        <v>1464</v>
      </c>
      <c r="N300" s="791"/>
      <c r="O300" s="1044"/>
      <c r="P300" s="1126"/>
      <c r="Q300" s="1127"/>
      <c r="R300" s="772"/>
    </row>
    <row r="301" spans="1:18">
      <c r="A301" s="1283"/>
      <c r="B301" s="954" t="s">
        <v>76</v>
      </c>
      <c r="C301" s="1285"/>
      <c r="D301" s="1287"/>
      <c r="E301" s="1287"/>
      <c r="F301" s="955"/>
      <c r="G301" s="955"/>
      <c r="H301" s="872">
        <v>12.6</v>
      </c>
      <c r="I301" s="530" t="s">
        <v>26</v>
      </c>
      <c r="J301" s="510"/>
      <c r="K301" s="105">
        <f t="shared" si="14"/>
        <v>0</v>
      </c>
      <c r="M301" s="1035" t="s">
        <v>1464</v>
      </c>
      <c r="N301" s="791"/>
      <c r="O301" s="634"/>
      <c r="P301" s="1036"/>
      <c r="Q301" s="1037"/>
      <c r="R301" s="772"/>
    </row>
    <row r="302" spans="1:18">
      <c r="A302" s="1283"/>
      <c r="B302" s="954" t="s">
        <v>77</v>
      </c>
      <c r="C302" s="1285"/>
      <c r="D302" s="1287"/>
      <c r="E302" s="1287"/>
      <c r="F302" s="955"/>
      <c r="G302" s="955"/>
      <c r="H302" s="872">
        <v>14.7</v>
      </c>
      <c r="I302" s="530" t="s">
        <v>26</v>
      </c>
      <c r="J302" s="510"/>
      <c r="K302" s="105">
        <f t="shared" si="14"/>
        <v>0</v>
      </c>
      <c r="M302" s="1035" t="s">
        <v>1464</v>
      </c>
      <c r="N302" s="791"/>
      <c r="O302" s="634"/>
      <c r="P302" s="1036"/>
      <c r="Q302" s="1037"/>
      <c r="R302" s="772"/>
    </row>
    <row r="303" spans="1:18">
      <c r="A303" s="1283"/>
      <c r="B303" s="954" t="s">
        <v>78</v>
      </c>
      <c r="C303" s="1285"/>
      <c r="D303" s="1287"/>
      <c r="E303" s="1287"/>
      <c r="F303" s="955"/>
      <c r="G303" s="955"/>
      <c r="H303" s="872">
        <v>15.2</v>
      </c>
      <c r="I303" s="530" t="s">
        <v>26</v>
      </c>
      <c r="J303" s="510"/>
      <c r="K303" s="105">
        <f t="shared" si="14"/>
        <v>0</v>
      </c>
      <c r="M303" s="1035" t="s">
        <v>1464</v>
      </c>
      <c r="N303" s="791"/>
      <c r="O303" s="634"/>
      <c r="P303" s="1036"/>
      <c r="Q303" s="1037"/>
      <c r="R303" s="772"/>
    </row>
    <row r="304" spans="1:18">
      <c r="A304" s="1283"/>
      <c r="B304" s="954" t="s">
        <v>68</v>
      </c>
      <c r="C304" s="1285"/>
      <c r="D304" s="1287"/>
      <c r="E304" s="1287"/>
      <c r="F304" s="955"/>
      <c r="G304" s="955"/>
      <c r="H304" s="872">
        <v>17.100000000000001</v>
      </c>
      <c r="I304" s="530" t="s">
        <v>26</v>
      </c>
      <c r="J304" s="510"/>
      <c r="K304" s="105">
        <f t="shared" si="14"/>
        <v>0</v>
      </c>
      <c r="M304" s="1035" t="s">
        <v>1464</v>
      </c>
      <c r="N304" s="791"/>
      <c r="O304" s="634"/>
      <c r="P304" s="1036"/>
      <c r="Q304" s="1037"/>
      <c r="R304" s="772"/>
    </row>
    <row r="305" spans="1:18">
      <c r="A305" s="1283"/>
      <c r="B305" s="954" t="s">
        <v>69</v>
      </c>
      <c r="C305" s="1285"/>
      <c r="D305" s="1287"/>
      <c r="E305" s="1287"/>
      <c r="F305" s="955"/>
      <c r="G305" s="955"/>
      <c r="H305" s="872">
        <v>19</v>
      </c>
      <c r="I305" s="530" t="s">
        <v>26</v>
      </c>
      <c r="J305" s="510"/>
      <c r="K305" s="105">
        <f t="shared" si="14"/>
        <v>0</v>
      </c>
      <c r="M305" s="1035" t="s">
        <v>1464</v>
      </c>
      <c r="N305" s="791"/>
      <c r="O305" s="634"/>
      <c r="P305" s="1036"/>
      <c r="Q305" s="1037"/>
      <c r="R305" s="772"/>
    </row>
    <row r="306" spans="1:18">
      <c r="A306" s="1283"/>
      <c r="B306" s="954" t="s">
        <v>70</v>
      </c>
      <c r="C306" s="1285"/>
      <c r="D306" s="1287"/>
      <c r="E306" s="1287"/>
      <c r="F306" s="955"/>
      <c r="G306" s="955"/>
      <c r="H306" s="872">
        <v>20.9</v>
      </c>
      <c r="I306" s="530" t="s">
        <v>26</v>
      </c>
      <c r="J306" s="510"/>
      <c r="K306" s="105">
        <f t="shared" si="14"/>
        <v>0</v>
      </c>
      <c r="M306" s="1035" t="s">
        <v>1464</v>
      </c>
      <c r="N306" s="791"/>
      <c r="R306" s="772"/>
    </row>
    <row r="307" spans="1:18">
      <c r="A307" s="1283"/>
      <c r="B307" s="954" t="s">
        <v>583</v>
      </c>
      <c r="C307" s="1285"/>
      <c r="D307" s="1287"/>
      <c r="E307" s="1287"/>
      <c r="F307" s="955"/>
      <c r="G307" s="955"/>
      <c r="H307" s="872">
        <v>22.8</v>
      </c>
      <c r="I307" s="530" t="s">
        <v>26</v>
      </c>
      <c r="J307" s="510"/>
      <c r="K307" s="105">
        <f t="shared" si="14"/>
        <v>0</v>
      </c>
      <c r="M307" s="1035" t="s">
        <v>1464</v>
      </c>
      <c r="N307" s="791"/>
      <c r="R307" s="772"/>
    </row>
    <row r="308" spans="1:18">
      <c r="A308" s="1283"/>
      <c r="B308" s="954" t="s">
        <v>72</v>
      </c>
      <c r="C308" s="1285"/>
      <c r="D308" s="1287"/>
      <c r="E308" s="1287"/>
      <c r="F308" s="955"/>
      <c r="G308" s="955"/>
      <c r="H308" s="872">
        <v>24.7</v>
      </c>
      <c r="I308" s="530" t="s">
        <v>26</v>
      </c>
      <c r="J308" s="510"/>
      <c r="K308" s="105">
        <f t="shared" si="14"/>
        <v>0</v>
      </c>
      <c r="M308" s="1035" t="s">
        <v>1464</v>
      </c>
      <c r="N308" s="791"/>
      <c r="R308" s="772"/>
    </row>
    <row r="309" spans="1:18">
      <c r="A309" s="1283"/>
      <c r="B309" s="954" t="s">
        <v>73</v>
      </c>
      <c r="C309" s="1285"/>
      <c r="D309" s="1287"/>
      <c r="E309" s="1287"/>
      <c r="F309" s="955"/>
      <c r="G309" s="955"/>
      <c r="H309" s="872">
        <v>26.6</v>
      </c>
      <c r="I309" s="530" t="s">
        <v>26</v>
      </c>
      <c r="J309" s="510"/>
      <c r="K309" s="105">
        <f t="shared" si="14"/>
        <v>0</v>
      </c>
      <c r="M309" s="1035" t="s">
        <v>1464</v>
      </c>
      <c r="N309" s="791"/>
      <c r="R309" s="772"/>
    </row>
    <row r="310" spans="1:18">
      <c r="A310" s="1283"/>
      <c r="B310" s="954" t="s">
        <v>74</v>
      </c>
      <c r="C310" s="1285"/>
      <c r="D310" s="1287"/>
      <c r="E310" s="1287"/>
      <c r="F310" s="955"/>
      <c r="G310" s="955"/>
      <c r="H310" s="872">
        <v>28.5</v>
      </c>
      <c r="I310" s="530" t="s">
        <v>26</v>
      </c>
      <c r="J310" s="510"/>
      <c r="K310" s="105">
        <f t="shared" si="14"/>
        <v>0</v>
      </c>
      <c r="M310" s="1035" t="s">
        <v>1464</v>
      </c>
      <c r="N310" s="791"/>
      <c r="R310" s="772"/>
    </row>
    <row r="311" spans="1:18">
      <c r="A311" s="1283"/>
      <c r="B311" s="954" t="s">
        <v>580</v>
      </c>
      <c r="C311" s="1285"/>
      <c r="D311" s="1287"/>
      <c r="E311" s="1287"/>
      <c r="F311" s="955"/>
      <c r="G311" s="955"/>
      <c r="H311" s="872">
        <v>30.4</v>
      </c>
      <c r="I311" s="530" t="s">
        <v>26</v>
      </c>
      <c r="J311" s="510"/>
      <c r="K311" s="105">
        <f t="shared" si="14"/>
        <v>0</v>
      </c>
      <c r="M311" s="1035" t="s">
        <v>1464</v>
      </c>
      <c r="N311" s="791"/>
      <c r="R311" s="772"/>
    </row>
    <row r="312" spans="1:18">
      <c r="A312" s="1283"/>
      <c r="B312" s="954" t="s">
        <v>581</v>
      </c>
      <c r="C312" s="1285"/>
      <c r="D312" s="1287"/>
      <c r="E312" s="1287"/>
      <c r="F312" s="955"/>
      <c r="G312" s="955"/>
      <c r="H312" s="872">
        <v>32.299999999999997</v>
      </c>
      <c r="I312" s="530" t="s">
        <v>26</v>
      </c>
      <c r="J312" s="510"/>
      <c r="K312" s="105">
        <f t="shared" si="14"/>
        <v>0</v>
      </c>
      <c r="M312" s="1035" t="s">
        <v>1464</v>
      </c>
      <c r="N312" s="791"/>
      <c r="R312" s="772"/>
    </row>
    <row r="313" spans="1:18">
      <c r="A313" s="1283"/>
      <c r="B313" s="954" t="s">
        <v>582</v>
      </c>
      <c r="C313" s="1285"/>
      <c r="D313" s="1287"/>
      <c r="E313" s="1287"/>
      <c r="F313" s="955"/>
      <c r="G313" s="955"/>
      <c r="H313" s="872">
        <v>34.200000000000003</v>
      </c>
      <c r="I313" s="530" t="s">
        <v>26</v>
      </c>
      <c r="J313" s="510"/>
      <c r="K313" s="105">
        <f t="shared" si="14"/>
        <v>0</v>
      </c>
      <c r="M313" s="1035" t="s">
        <v>1464</v>
      </c>
      <c r="N313" s="791"/>
      <c r="R313" s="772"/>
    </row>
    <row r="314" spans="1:18">
      <c r="A314" s="1283"/>
      <c r="B314" s="954" t="s">
        <v>765</v>
      </c>
      <c r="C314" s="1285"/>
      <c r="D314" s="1287"/>
      <c r="E314" s="1287"/>
      <c r="F314" s="955"/>
      <c r="G314" s="955"/>
      <c r="H314" s="872">
        <v>36.1</v>
      </c>
      <c r="I314" s="530" t="s">
        <v>26</v>
      </c>
      <c r="J314" s="510"/>
      <c r="K314" s="105">
        <f t="shared" si="14"/>
        <v>0</v>
      </c>
      <c r="M314" s="1035" t="s">
        <v>1464</v>
      </c>
      <c r="N314" s="791"/>
      <c r="R314" s="772"/>
    </row>
    <row r="315" spans="1:18" ht="13.8" thickBot="1">
      <c r="A315" s="1284"/>
      <c r="B315" s="956"/>
      <c r="C315" s="1286"/>
      <c r="D315" s="1288"/>
      <c r="E315" s="1288"/>
      <c r="F315" s="957"/>
      <c r="G315" s="957"/>
      <c r="H315" s="874"/>
      <c r="I315" s="875"/>
      <c r="J315" s="873"/>
      <c r="K315" s="112">
        <f t="shared" si="14"/>
        <v>0</v>
      </c>
      <c r="N315" s="791"/>
    </row>
    <row r="316" spans="1:18" ht="13.8" thickBot="1">
      <c r="A316" s="636"/>
      <c r="B316" s="637"/>
      <c r="C316" s="60"/>
      <c r="D316" s="60"/>
      <c r="E316" s="60"/>
      <c r="F316" s="60"/>
      <c r="G316" s="60"/>
      <c r="H316" s="60"/>
      <c r="I316" s="60"/>
      <c r="J316" s="510"/>
      <c r="K316" s="60"/>
      <c r="N316" s="791"/>
    </row>
    <row r="317" spans="1:18" ht="27" thickBot="1">
      <c r="A317" s="1238" t="s">
        <v>319</v>
      </c>
      <c r="B317" s="1239"/>
      <c r="C317" s="1045" t="s">
        <v>320</v>
      </c>
      <c r="D317" s="1045" t="s">
        <v>588</v>
      </c>
      <c r="E317" s="1046" t="s">
        <v>369</v>
      </c>
      <c r="F317" s="1046" t="s">
        <v>370</v>
      </c>
      <c r="G317" s="1047" t="s">
        <v>324</v>
      </c>
      <c r="H317" s="1045" t="s">
        <v>551</v>
      </c>
      <c r="I317" s="1048" t="s">
        <v>25</v>
      </c>
      <c r="J317" s="1049" t="s">
        <v>295</v>
      </c>
      <c r="K317" s="1050" t="s">
        <v>325</v>
      </c>
      <c r="N317" s="791"/>
    </row>
    <row r="318" spans="1:18" ht="39.6">
      <c r="A318" s="1240" t="s">
        <v>381</v>
      </c>
      <c r="B318" s="1241"/>
      <c r="C318" s="1051" t="s">
        <v>382</v>
      </c>
      <c r="D318" s="1052" t="s">
        <v>90</v>
      </c>
      <c r="E318" s="1052" t="s">
        <v>383</v>
      </c>
      <c r="F318" s="1052" t="s">
        <v>384</v>
      </c>
      <c r="G318" s="227" t="s">
        <v>331</v>
      </c>
      <c r="H318" s="1053">
        <v>4.2</v>
      </c>
      <c r="I318" s="530" t="s">
        <v>26</v>
      </c>
      <c r="J318" s="60"/>
      <c r="K318" s="1054">
        <f>+J318*H318</f>
        <v>0</v>
      </c>
      <c r="M318" s="1035" t="s">
        <v>1464</v>
      </c>
      <c r="N318" s="791"/>
    </row>
    <row r="319" spans="1:18" ht="66.599999999999994" thickBot="1">
      <c r="A319" s="1242" t="s">
        <v>429</v>
      </c>
      <c r="B319" s="1243"/>
      <c r="C319" s="1055" t="s">
        <v>574</v>
      </c>
      <c r="D319" s="1055" t="s">
        <v>1012</v>
      </c>
      <c r="E319" s="1032" t="s">
        <v>430</v>
      </c>
      <c r="F319" s="1032" t="s">
        <v>431</v>
      </c>
      <c r="G319" s="1032" t="s">
        <v>331</v>
      </c>
      <c r="H319" s="1056">
        <v>4.5999999999999996</v>
      </c>
      <c r="I319" s="875" t="s">
        <v>26</v>
      </c>
      <c r="J319" s="83"/>
      <c r="K319" s="84">
        <f>+J319*H319</f>
        <v>0</v>
      </c>
      <c r="M319" s="1035" t="s">
        <v>1464</v>
      </c>
      <c r="N319" s="791"/>
    </row>
    <row r="320" spans="1:18" ht="13.8" thickBot="1">
      <c r="A320" s="636"/>
      <c r="B320" s="637"/>
      <c r="C320" s="60"/>
      <c r="D320" s="60"/>
      <c r="E320" s="60"/>
      <c r="F320" s="60"/>
      <c r="G320" s="60"/>
      <c r="H320" s="60"/>
      <c r="I320" s="60"/>
      <c r="J320" s="510"/>
      <c r="K320" s="60"/>
      <c r="N320" s="791"/>
    </row>
    <row r="321" spans="1:14" ht="31.8" thickBot="1">
      <c r="A321" s="1057" t="s">
        <v>319</v>
      </c>
      <c r="B321" s="1244" t="s">
        <v>320</v>
      </c>
      <c r="C321" s="1244"/>
      <c r="D321" s="1058" t="s">
        <v>588</v>
      </c>
      <c r="E321" s="1058" t="s">
        <v>369</v>
      </c>
      <c r="F321" s="1058" t="s">
        <v>370</v>
      </c>
      <c r="G321" s="1059" t="s">
        <v>324</v>
      </c>
      <c r="H321" s="1060" t="s">
        <v>318</v>
      </c>
      <c r="I321" s="1048" t="s">
        <v>25</v>
      </c>
      <c r="J321" s="1061"/>
      <c r="K321" s="1062"/>
      <c r="N321" s="791"/>
    </row>
    <row r="322" spans="1:14" ht="25.95" customHeight="1">
      <c r="A322" s="1245" t="s">
        <v>767</v>
      </c>
      <c r="B322" s="1248" t="s">
        <v>769</v>
      </c>
      <c r="C322" s="1249"/>
      <c r="D322" s="1063" t="s">
        <v>631</v>
      </c>
      <c r="E322" s="1063" t="s">
        <v>436</v>
      </c>
      <c r="F322" s="1063" t="s">
        <v>22</v>
      </c>
      <c r="G322" s="142" t="s">
        <v>331</v>
      </c>
      <c r="H322" s="1064">
        <v>5.9409999999999998</v>
      </c>
      <c r="I322" s="1065" t="s">
        <v>26</v>
      </c>
      <c r="J322" s="1066"/>
      <c r="K322" s="273">
        <f>+J322*H322</f>
        <v>0</v>
      </c>
      <c r="M322" s="1035"/>
      <c r="N322" s="791"/>
    </row>
    <row r="323" spans="1:14" ht="25.95" customHeight="1">
      <c r="A323" s="1246"/>
      <c r="B323" s="1250" t="s">
        <v>770</v>
      </c>
      <c r="C323" s="1251"/>
      <c r="D323" s="60" t="s">
        <v>397</v>
      </c>
      <c r="E323" s="60" t="s">
        <v>23</v>
      </c>
      <c r="F323" s="60" t="s">
        <v>409</v>
      </c>
      <c r="G323" s="143" t="s">
        <v>380</v>
      </c>
      <c r="H323" s="1067">
        <v>1.213E-2</v>
      </c>
      <c r="I323" s="530" t="s">
        <v>26</v>
      </c>
      <c r="J323" s="510"/>
      <c r="K323" s="105">
        <f t="shared" ref="K323:K325" si="15">+J323*H323</f>
        <v>0</v>
      </c>
      <c r="M323" s="1035"/>
      <c r="N323" s="791"/>
    </row>
    <row r="324" spans="1:14" ht="60.6" customHeight="1">
      <c r="A324" s="1246"/>
      <c r="B324" s="1250" t="s">
        <v>1156</v>
      </c>
      <c r="C324" s="1251"/>
      <c r="D324" s="60" t="s">
        <v>768</v>
      </c>
      <c r="E324" s="60" t="s">
        <v>351</v>
      </c>
      <c r="F324" s="60" t="s">
        <v>409</v>
      </c>
      <c r="G324" s="143" t="s">
        <v>331</v>
      </c>
      <c r="H324" s="1067">
        <v>2.5950000000000002</v>
      </c>
      <c r="I324" s="530" t="s">
        <v>26</v>
      </c>
      <c r="J324" s="510"/>
      <c r="K324" s="105">
        <f>+J324*H324</f>
        <v>0</v>
      </c>
      <c r="M324" s="1035"/>
      <c r="N324" s="791"/>
    </row>
    <row r="325" spans="1:14" ht="54.6" customHeight="1" thickBot="1">
      <c r="A325" s="1247"/>
      <c r="B325" s="1252" t="s">
        <v>1157</v>
      </c>
      <c r="C325" s="1253"/>
      <c r="D325" s="873" t="s">
        <v>764</v>
      </c>
      <c r="E325" s="873" t="s">
        <v>351</v>
      </c>
      <c r="F325" s="873" t="s">
        <v>409</v>
      </c>
      <c r="G325" s="146" t="s">
        <v>331</v>
      </c>
      <c r="H325" s="1068">
        <v>6.48</v>
      </c>
      <c r="I325" s="875" t="s">
        <v>26</v>
      </c>
      <c r="J325" s="876"/>
      <c r="K325" s="112">
        <f t="shared" si="15"/>
        <v>0</v>
      </c>
      <c r="M325" s="1035"/>
      <c r="N325" s="791"/>
    </row>
    <row r="326" spans="1:14" ht="13.8" thickBot="1">
      <c r="A326" s="636"/>
      <c r="B326" s="637"/>
      <c r="C326" s="60"/>
      <c r="D326" s="60"/>
      <c r="E326" s="60"/>
      <c r="F326" s="60"/>
      <c r="G326" s="60"/>
      <c r="H326" s="60"/>
      <c r="I326" s="60"/>
      <c r="J326" s="510"/>
      <c r="K326" s="60"/>
      <c r="N326" s="791"/>
    </row>
    <row r="327" spans="1:14" ht="31.8" thickBot="1">
      <c r="A327" s="1057" t="s">
        <v>319</v>
      </c>
      <c r="B327" s="1232" t="s">
        <v>320</v>
      </c>
      <c r="C327" s="1232"/>
      <c r="D327" s="1058" t="s">
        <v>588</v>
      </c>
      <c r="E327" s="1058" t="s">
        <v>369</v>
      </c>
      <c r="F327" s="1058" t="s">
        <v>370</v>
      </c>
      <c r="G327" s="1059" t="s">
        <v>324</v>
      </c>
      <c r="H327" s="1060" t="s">
        <v>318</v>
      </c>
      <c r="I327" s="1048" t="s">
        <v>25</v>
      </c>
      <c r="J327" s="1061"/>
      <c r="K327" s="1062"/>
      <c r="N327" s="791"/>
    </row>
    <row r="328" spans="1:14" ht="26.4">
      <c r="A328" s="1233" t="s">
        <v>50</v>
      </c>
      <c r="B328" s="1235" t="s">
        <v>460</v>
      </c>
      <c r="C328" s="1235"/>
      <c r="D328" s="1031" t="s">
        <v>461</v>
      </c>
      <c r="E328" s="1031" t="s">
        <v>462</v>
      </c>
      <c r="F328" s="1031" t="s">
        <v>463</v>
      </c>
      <c r="G328" s="142" t="s">
        <v>331</v>
      </c>
      <c r="H328" s="1069">
        <v>26.292999999999999</v>
      </c>
      <c r="I328" s="1065" t="s">
        <v>26</v>
      </c>
      <c r="J328" s="1063"/>
      <c r="K328" s="1070">
        <f t="shared" ref="K328:K329" si="16">+J328*H328</f>
        <v>0</v>
      </c>
      <c r="M328" s="1035"/>
      <c r="N328" s="791"/>
    </row>
    <row r="329" spans="1:14" ht="53.4" thickBot="1">
      <c r="A329" s="1234"/>
      <c r="B329" s="1236" t="s">
        <v>1048</v>
      </c>
      <c r="C329" s="1237"/>
      <c r="D329" s="1032" t="s">
        <v>469</v>
      </c>
      <c r="E329" s="1032" t="s">
        <v>470</v>
      </c>
      <c r="F329" s="1032" t="s">
        <v>471</v>
      </c>
      <c r="G329" s="1071" t="s">
        <v>331</v>
      </c>
      <c r="H329" s="1072">
        <v>2.4129999999999998</v>
      </c>
      <c r="I329" s="1073" t="s">
        <v>26</v>
      </c>
      <c r="J329" s="873"/>
      <c r="K329" s="1074">
        <f t="shared" si="16"/>
        <v>0</v>
      </c>
      <c r="M329" s="1035"/>
      <c r="N329" s="791"/>
    </row>
    <row r="330" spans="1:14">
      <c r="A330" s="636"/>
      <c r="B330" s="637"/>
      <c r="C330" s="60"/>
      <c r="D330" s="60"/>
      <c r="E330" s="60"/>
      <c r="F330" s="60"/>
      <c r="G330" s="60"/>
      <c r="H330" s="60"/>
      <c r="I330" s="60"/>
      <c r="J330" s="510"/>
      <c r="K330" s="60"/>
      <c r="N330" s="791"/>
    </row>
    <row r="331" spans="1:14">
      <c r="A331" s="636"/>
      <c r="B331" s="637"/>
      <c r="C331" s="60"/>
      <c r="D331" s="60"/>
      <c r="E331" s="60"/>
      <c r="F331" s="60"/>
      <c r="G331" s="60"/>
      <c r="H331" s="60"/>
      <c r="I331" s="55"/>
      <c r="J331" s="510"/>
      <c r="K331" s="60"/>
      <c r="N331" s="791"/>
    </row>
    <row r="332" spans="1:14">
      <c r="A332" s="636"/>
      <c r="B332" s="637"/>
      <c r="C332" s="60"/>
      <c r="D332" s="60"/>
      <c r="E332" s="60"/>
      <c r="F332" s="60"/>
      <c r="G332" s="60"/>
      <c r="H332" s="60"/>
      <c r="I332" s="55"/>
      <c r="J332" s="510"/>
      <c r="K332" s="60"/>
      <c r="N332" s="791"/>
    </row>
    <row r="333" spans="1:14">
      <c r="A333" s="636"/>
      <c r="B333" s="637"/>
      <c r="C333" s="60"/>
      <c r="D333" s="60"/>
      <c r="E333" s="60"/>
      <c r="F333" s="60"/>
      <c r="G333" s="60"/>
      <c r="H333" s="60"/>
      <c r="I333" s="55"/>
      <c r="J333" s="510"/>
      <c r="K333" s="60"/>
      <c r="N333" s="791"/>
    </row>
    <row r="334" spans="1:14">
      <c r="A334" s="636"/>
      <c r="B334" s="637"/>
      <c r="C334" s="60"/>
      <c r="D334" s="60"/>
      <c r="E334" s="60"/>
      <c r="F334" s="60"/>
      <c r="G334" s="60"/>
      <c r="H334" s="60"/>
      <c r="I334" s="55"/>
      <c r="J334" s="510"/>
      <c r="K334" s="60"/>
      <c r="N334" s="791"/>
    </row>
    <row r="335" spans="1:14">
      <c r="A335" s="636"/>
      <c r="B335" s="637"/>
      <c r="C335" s="60"/>
      <c r="D335" s="60"/>
      <c r="E335" s="60"/>
      <c r="F335" s="60"/>
      <c r="G335" s="60"/>
      <c r="H335" s="60"/>
      <c r="I335" s="55"/>
      <c r="J335" s="510"/>
      <c r="K335" s="60"/>
      <c r="N335" s="791"/>
    </row>
    <row r="336" spans="1:14">
      <c r="A336" s="636"/>
      <c r="B336" s="637"/>
      <c r="C336" s="60"/>
      <c r="D336" s="60"/>
      <c r="E336" s="60"/>
      <c r="F336" s="60"/>
      <c r="G336" s="60"/>
      <c r="H336" s="60"/>
      <c r="I336" s="55"/>
      <c r="J336" s="510"/>
      <c r="K336" s="60"/>
      <c r="N336" s="791"/>
    </row>
    <row r="337" spans="1:17">
      <c r="A337" s="636"/>
      <c r="B337" s="637"/>
      <c r="C337" s="60"/>
      <c r="D337" s="60"/>
      <c r="E337" s="60"/>
      <c r="F337" s="60"/>
      <c r="G337" s="60"/>
      <c r="H337" s="60"/>
      <c r="I337" s="55"/>
      <c r="J337" s="510"/>
      <c r="K337" s="60"/>
      <c r="N337" s="791"/>
    </row>
    <row r="338" spans="1:17">
      <c r="A338" s="636"/>
      <c r="B338" s="637"/>
      <c r="C338" s="60"/>
      <c r="D338" s="60"/>
      <c r="E338" s="60"/>
      <c r="F338" s="60"/>
      <c r="G338" s="60"/>
      <c r="H338" s="60"/>
      <c r="I338" s="55"/>
      <c r="J338" s="510"/>
      <c r="K338" s="60"/>
      <c r="N338" s="791"/>
    </row>
    <row r="339" spans="1:17">
      <c r="A339" s="636"/>
      <c r="B339" s="637"/>
      <c r="C339" s="60"/>
      <c r="D339" s="60"/>
      <c r="E339" s="60"/>
      <c r="F339" s="60"/>
      <c r="G339" s="60"/>
      <c r="H339" s="60"/>
      <c r="I339" s="55"/>
      <c r="J339" s="510"/>
      <c r="K339" s="60"/>
      <c r="N339" s="791"/>
    </row>
    <row r="340" spans="1:17">
      <c r="A340" s="636"/>
      <c r="B340" s="637"/>
      <c r="C340" s="60"/>
      <c r="D340" s="60"/>
      <c r="E340" s="60"/>
      <c r="F340" s="60"/>
      <c r="G340" s="60"/>
      <c r="H340" s="60"/>
      <c r="I340" s="55"/>
      <c r="J340" s="510"/>
      <c r="K340" s="60"/>
      <c r="N340" s="791"/>
    </row>
    <row r="341" spans="1:17">
      <c r="A341" s="636"/>
      <c r="B341" s="637"/>
      <c r="C341" s="60"/>
      <c r="D341" s="60"/>
      <c r="E341" s="60"/>
      <c r="F341" s="60"/>
      <c r="G341" s="60"/>
      <c r="H341" s="60"/>
      <c r="I341" s="55"/>
      <c r="J341" s="510"/>
      <c r="K341" s="60"/>
      <c r="N341" s="791"/>
    </row>
    <row r="342" spans="1:17">
      <c r="A342" s="636"/>
      <c r="B342" s="637"/>
      <c r="C342" s="60"/>
      <c r="D342" s="60"/>
      <c r="E342" s="60"/>
      <c r="F342" s="60"/>
      <c r="G342" s="60"/>
      <c r="H342" s="60"/>
      <c r="I342" s="55"/>
      <c r="J342" s="510"/>
      <c r="K342" s="60"/>
      <c r="N342" s="791"/>
    </row>
    <row r="343" spans="1:17">
      <c r="A343" s="636"/>
      <c r="B343" s="637"/>
      <c r="C343" s="60"/>
      <c r="D343" s="60"/>
      <c r="E343" s="60"/>
      <c r="F343" s="60"/>
      <c r="G343" s="60"/>
      <c r="H343" s="60"/>
      <c r="I343" s="55"/>
      <c r="J343" s="510"/>
      <c r="K343" s="60"/>
      <c r="N343" s="791"/>
    </row>
    <row r="344" spans="1:17">
      <c r="A344" s="636"/>
      <c r="B344" s="637"/>
      <c r="C344" s="60"/>
      <c r="D344" s="60"/>
      <c r="E344" s="60"/>
      <c r="F344" s="60"/>
      <c r="G344" s="60"/>
      <c r="H344" s="60"/>
      <c r="I344" s="60"/>
      <c r="J344" s="510"/>
      <c r="K344" s="60"/>
      <c r="N344" s="791"/>
    </row>
    <row r="345" spans="1:17" ht="13.8" thickBot="1">
      <c r="A345" s="60"/>
      <c r="B345" s="509"/>
      <c r="C345" s="60"/>
      <c r="D345" s="60"/>
      <c r="E345" s="60"/>
      <c r="F345" s="60"/>
      <c r="G345" s="60"/>
      <c r="H345" s="60"/>
      <c r="I345" s="60"/>
      <c r="J345" s="510"/>
      <c r="K345" s="60"/>
      <c r="N345" s="791"/>
    </row>
    <row r="346" spans="1:17" ht="12.75" customHeight="1">
      <c r="F346" s="1256" t="s">
        <v>27</v>
      </c>
      <c r="G346" s="1257"/>
      <c r="H346" s="1257"/>
      <c r="I346" s="232"/>
      <c r="N346" s="791"/>
    </row>
    <row r="347" spans="1:17" ht="30" customHeight="1">
      <c r="A347" s="333"/>
      <c r="F347" s="1255"/>
      <c r="G347" s="1255"/>
      <c r="H347" s="1255"/>
      <c r="I347" s="231"/>
      <c r="K347" s="71">
        <f>SUMIF(I3:I345,"LP",K3:K345)-SUM(K50:K66)</f>
        <v>1076.46</v>
      </c>
      <c r="N347" s="791"/>
    </row>
    <row r="348" spans="1:17" ht="13.5" customHeight="1">
      <c r="N348" s="791"/>
      <c r="O348" s="634"/>
      <c r="P348" s="1036"/>
      <c r="Q348" s="781"/>
    </row>
    <row r="349" spans="1:17" ht="33" customHeight="1">
      <c r="F349" s="1254" t="s">
        <v>28</v>
      </c>
      <c r="G349" s="1255"/>
      <c r="H349" s="1255"/>
      <c r="I349" s="231"/>
      <c r="K349" s="71">
        <f>SUMIF(I3:I345,"FA",K3:K345)</f>
        <v>0</v>
      </c>
    </row>
    <row r="350" spans="1:17" ht="21.75" customHeight="1">
      <c r="F350" s="1255"/>
      <c r="G350" s="1255"/>
      <c r="H350" s="1255"/>
      <c r="I350" s="231"/>
    </row>
    <row r="351" spans="1:17">
      <c r="B351" s="55"/>
    </row>
    <row r="352" spans="1:17" ht="15.6">
      <c r="B352" s="55"/>
      <c r="F352" s="1077" t="s">
        <v>1455</v>
      </c>
      <c r="G352" s="1075"/>
      <c r="H352" s="1076"/>
      <c r="K352" s="1093">
        <f>SUMIFS(K:K,M:M,"R2*")</f>
        <v>144</v>
      </c>
    </row>
    <row r="353" spans="2:2">
      <c r="B353" s="55"/>
    </row>
    <row r="354" spans="2:2">
      <c r="B354" s="55"/>
    </row>
    <row r="355" spans="2:2">
      <c r="B355" s="55"/>
    </row>
    <row r="356" spans="2:2">
      <c r="B356" s="55"/>
    </row>
  </sheetData>
  <protectedRanges>
    <protectedRange password="C915" sqref="I208:J216 I346:K65564 I279:K279 J106:J160 I1:K104 K105:K148 K280 K283 J316:K316 J162:J207 K150:K212 I106:I148 I150:I207 I217:K275 J276:K277 I276:I278 J320:K320 J326:K326 J333:K345" name="Range1_4"/>
    <protectedRange password="C915" sqref="I105:J105" name="Range1_1_1"/>
    <protectedRange password="C915" sqref="I281:K282 I280:J280 I283:J283 I284:K315" name="Range1_2_1"/>
    <protectedRange password="C915" sqref="J278:K278" name="Range1_3_1"/>
    <protectedRange password="C915" sqref="J161" name="Range1_4_1"/>
    <protectedRange password="C915" sqref="J318 I317:I319" name="Range1_2_1_1"/>
    <protectedRange password="C915" sqref="J317:K317" name="Range1"/>
    <protectedRange password="C915" sqref="K318" name="Range1_1"/>
    <protectedRange password="C915" sqref="J319:K319" name="Range1_2"/>
    <protectedRange password="C915" sqref="I321" name="Range1_4_2"/>
    <protectedRange password="C915" sqref="I322:K325" name="Range1_2_1_2"/>
    <protectedRange password="C915" sqref="K332 F332 J330:K331" name="Range1_4_3"/>
    <protectedRange password="C915" sqref="I327" name="Range1_4_3_1"/>
    <protectedRange password="C915" sqref="I328:K329 I330" name="Range1_2_1_3_1"/>
  </protectedRanges>
  <mergeCells count="126">
    <mergeCell ref="M188:M202"/>
    <mergeCell ref="M208:M213"/>
    <mergeCell ref="A147:A149"/>
    <mergeCell ref="B128:B130"/>
    <mergeCell ref="A260:A261"/>
    <mergeCell ref="B235:B238"/>
    <mergeCell ref="A208:A213"/>
    <mergeCell ref="A203:A204"/>
    <mergeCell ref="E148:E149"/>
    <mergeCell ref="D159:D160"/>
    <mergeCell ref="K208:K213"/>
    <mergeCell ref="E218:G218"/>
    <mergeCell ref="C188:C198"/>
    <mergeCell ref="E219:G219"/>
    <mergeCell ref="C203:C204"/>
    <mergeCell ref="H208:H213"/>
    <mergeCell ref="K148:K149"/>
    <mergeCell ref="J148:J149"/>
    <mergeCell ref="C173:C179"/>
    <mergeCell ref="H148:H149"/>
    <mergeCell ref="I148:I149"/>
    <mergeCell ref="C151:C153"/>
    <mergeCell ref="F148:F149"/>
    <mergeCell ref="A119:A120"/>
    <mergeCell ref="A274:A275"/>
    <mergeCell ref="A154:A155"/>
    <mergeCell ref="A128:A130"/>
    <mergeCell ref="B159:B160"/>
    <mergeCell ref="A235:A238"/>
    <mergeCell ref="A163:A168"/>
    <mergeCell ref="A188:A202"/>
    <mergeCell ref="A159:A160"/>
    <mergeCell ref="A171:A172"/>
    <mergeCell ref="A173:A179"/>
    <mergeCell ref="B203:B204"/>
    <mergeCell ref="A181:A182"/>
    <mergeCell ref="A151:A153"/>
    <mergeCell ref="B154:B155"/>
    <mergeCell ref="B151:B153"/>
    <mergeCell ref="B171:B172"/>
    <mergeCell ref="B176:B179"/>
    <mergeCell ref="A1:K1"/>
    <mergeCell ref="A3:A4"/>
    <mergeCell ref="C3:C4"/>
    <mergeCell ref="A17:A18"/>
    <mergeCell ref="B17:B18"/>
    <mergeCell ref="C17:C18"/>
    <mergeCell ref="C33:C35"/>
    <mergeCell ref="B82:B85"/>
    <mergeCell ref="A29:A35"/>
    <mergeCell ref="A43:A45"/>
    <mergeCell ref="A21:A22"/>
    <mergeCell ref="B29:B31"/>
    <mergeCell ref="A75:A97"/>
    <mergeCell ref="C29:C31"/>
    <mergeCell ref="C82:C85"/>
    <mergeCell ref="B33:B35"/>
    <mergeCell ref="C19:C20"/>
    <mergeCell ref="C92:C95"/>
    <mergeCell ref="C50:C61"/>
    <mergeCell ref="A98:A99"/>
    <mergeCell ref="A114:A115"/>
    <mergeCell ref="A111:A112"/>
    <mergeCell ref="A19:A20"/>
    <mergeCell ref="B50:B61"/>
    <mergeCell ref="B19:B20"/>
    <mergeCell ref="B75:B77"/>
    <mergeCell ref="A50:A61"/>
    <mergeCell ref="A36:A38"/>
    <mergeCell ref="A101:A102"/>
    <mergeCell ref="B101:B102"/>
    <mergeCell ref="D273:G273"/>
    <mergeCell ref="C101:C102"/>
    <mergeCell ref="E259:G259"/>
    <mergeCell ref="E262:G263"/>
    <mergeCell ref="E264:G266"/>
    <mergeCell ref="C129:C130"/>
    <mergeCell ref="E277:G277"/>
    <mergeCell ref="E278:G278"/>
    <mergeCell ref="E274:G274"/>
    <mergeCell ref="C155:D155"/>
    <mergeCell ref="E160:F160"/>
    <mergeCell ref="G148:G149"/>
    <mergeCell ref="C159:C160"/>
    <mergeCell ref="C111:C112"/>
    <mergeCell ref="C154:D154"/>
    <mergeCell ref="D148:D149"/>
    <mergeCell ref="C148:C149"/>
    <mergeCell ref="E159:F159"/>
    <mergeCell ref="F349:H350"/>
    <mergeCell ref="F346:H347"/>
    <mergeCell ref="L188:L202"/>
    <mergeCell ref="L208:L213"/>
    <mergeCell ref="E275:G275"/>
    <mergeCell ref="J208:J213"/>
    <mergeCell ref="I208:I213"/>
    <mergeCell ref="A270:A271"/>
    <mergeCell ref="C211:C212"/>
    <mergeCell ref="A262:A266"/>
    <mergeCell ref="E270:G270"/>
    <mergeCell ref="E269:G269"/>
    <mergeCell ref="E217:G217"/>
    <mergeCell ref="C235:C238"/>
    <mergeCell ref="A276:A277"/>
    <mergeCell ref="A300:A315"/>
    <mergeCell ref="C300:C315"/>
    <mergeCell ref="D300:D315"/>
    <mergeCell ref="E300:E315"/>
    <mergeCell ref="D284:D299"/>
    <mergeCell ref="E284:E299"/>
    <mergeCell ref="C284:C299"/>
    <mergeCell ref="A284:A299"/>
    <mergeCell ref="E276:G276"/>
    <mergeCell ref="B327:C327"/>
    <mergeCell ref="A328:A329"/>
    <mergeCell ref="B328:C328"/>
    <mergeCell ref="B329:C329"/>
    <mergeCell ref="A317:B317"/>
    <mergeCell ref="A318:B318"/>
    <mergeCell ref="A319:B319"/>
    <mergeCell ref="B321:C321"/>
    <mergeCell ref="A322:A325"/>
    <mergeCell ref="B322:C322"/>
    <mergeCell ref="B323:C323"/>
    <mergeCell ref="B324:C324"/>
    <mergeCell ref="B325:C325"/>
  </mergeCells>
  <phoneticPr fontId="6" type="noConversion"/>
  <conditionalFormatting sqref="I114:I116 I119:I120 I229:I231 I225:I227 I123:I125 I50:I65 I111:I112 I270:I271 I106:I109 I17:I23 I147 I3:I14 I25:I38 I40:I47 I68:I72 I75:I104 I128:I145 I150:I161 I163:I186 I188:I216 I234:I241 I244:I258 I260:I268 I274:I279">
    <cfRule type="expression" dxfId="19" priority="17" stopIfTrue="1">
      <formula>AND($J3&gt;0,$I3=0)</formula>
    </cfRule>
  </conditionalFormatting>
  <conditionalFormatting sqref="I218:I223">
    <cfRule type="expression" dxfId="18" priority="15" stopIfTrue="1">
      <formula>AND($J218&gt;0,$I218=0)</formula>
    </cfRule>
  </conditionalFormatting>
  <conditionalFormatting sqref="I105">
    <cfRule type="expression" dxfId="17" priority="14" stopIfTrue="1">
      <formula>AND($J105&gt;0,$I105=0)</formula>
    </cfRule>
  </conditionalFormatting>
  <conditionalFormatting sqref="I281">
    <cfRule type="expression" dxfId="16" priority="13" stopIfTrue="1">
      <formula>AND($J281&gt;0,$I281=0)</formula>
    </cfRule>
  </conditionalFormatting>
  <conditionalFormatting sqref="I148">
    <cfRule type="expression" dxfId="15" priority="18" stopIfTrue="1">
      <formula>AND($J149&gt;0,$I148=0)</formula>
    </cfRule>
  </conditionalFormatting>
  <conditionalFormatting sqref="I24">
    <cfRule type="expression" dxfId="14" priority="11" stopIfTrue="1">
      <formula>AND($J24&gt;0,$I24=0)</formula>
    </cfRule>
  </conditionalFormatting>
  <conditionalFormatting sqref="I284:I299">
    <cfRule type="expression" dxfId="13" priority="9" stopIfTrue="1">
      <formula>AND($J284&gt;0,$I284=0)</formula>
    </cfRule>
  </conditionalFormatting>
  <conditionalFormatting sqref="I300:I315">
    <cfRule type="expression" dxfId="12" priority="8" stopIfTrue="1">
      <formula>AND($J300&gt;0,$I300=0)</formula>
    </cfRule>
  </conditionalFormatting>
  <conditionalFormatting sqref="J317">
    <cfRule type="expression" dxfId="11" priority="7" stopIfTrue="1">
      <formula>AND($K317&gt;0,$J317=0)</formula>
    </cfRule>
  </conditionalFormatting>
  <conditionalFormatting sqref="I318">
    <cfRule type="expression" dxfId="10" priority="6" stopIfTrue="1">
      <formula>AND($J318&gt;0,$I318=0)</formula>
    </cfRule>
  </conditionalFormatting>
  <conditionalFormatting sqref="I319">
    <cfRule type="expression" dxfId="9" priority="5" stopIfTrue="1">
      <formula>AND($J319&gt;0,$I319=0)</formula>
    </cfRule>
  </conditionalFormatting>
  <conditionalFormatting sqref="I322:I325">
    <cfRule type="expression" dxfId="8" priority="4" stopIfTrue="1">
      <formula>AND($J322&gt;0,$I322=0)</formula>
    </cfRule>
  </conditionalFormatting>
  <conditionalFormatting sqref="I328:I329">
    <cfRule type="expression" dxfId="7" priority="2" stopIfTrue="1">
      <formula>AND($J328&gt;0,$I328=0)</formula>
    </cfRule>
  </conditionalFormatting>
  <dataValidations count="1">
    <dataValidation type="list" allowBlank="1" showInputMessage="1" showErrorMessage="1" sqref="I3:I14 I50:I65 I68:I72 I111:I112 I114:I116 I119:I120 I123:I125 I225:I227 I229:I231 I260:I268 I128:I145 I150:I161 I244:I258 I270:I271 I218:I223 I163:I186 I188:I216 I17:I38 I281 I40:I47 I147:I148 I274:I279 I234:I241 I75:I109 I284:I315 J317 I318:I319 I322:I325 I328:I330" xr:uid="{00000000-0002-0000-0200-000000000000}">
      <formula1>$L$3:$L$4</formula1>
    </dataValidation>
  </dataValidations>
  <pageMargins left="0.49" right="0.64" top="0.55000000000000004" bottom="0.54" header="0.42" footer="0.44"/>
  <pageSetup paperSize="9" scale="56" fitToHeight="6" orientation="portrait" horizontalDpi="1200" verticalDpi="1200" r:id="rId1"/>
  <headerFooter alignWithMargins="0"/>
  <rowBreaks count="3" manualBreakCount="3">
    <brk id="73" max="9" man="1"/>
    <brk id="117" max="9" man="1"/>
    <brk id="186" max="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B73F-BFE4-4CE4-B484-8ACDAC71133E}">
  <sheetPr codeName="Sheet5">
    <tabColor rgb="FFFFC000"/>
  </sheetPr>
  <dimension ref="A1:CQ347"/>
  <sheetViews>
    <sheetView topLeftCell="D43" zoomScale="85" zoomScaleNormal="85" workbookViewId="0">
      <selection activeCell="J58" sqref="J58"/>
    </sheetView>
  </sheetViews>
  <sheetFormatPr defaultColWidth="9.33203125" defaultRowHeight="13.2"/>
  <cols>
    <col min="1" max="1" width="27" style="55" customWidth="1"/>
    <col min="2" max="2" width="29" style="56" customWidth="1"/>
    <col min="3" max="3" width="22.5546875" style="55" customWidth="1"/>
    <col min="4" max="4" width="18.44140625" style="55" customWidth="1"/>
    <col min="5" max="5" width="11.33203125" style="55" customWidth="1"/>
    <col min="6" max="6" width="8.5546875" style="55" customWidth="1"/>
    <col min="7" max="7" width="7.6640625" style="55" customWidth="1"/>
    <col min="8" max="8" width="9.33203125" style="88" bestFit="1" customWidth="1"/>
    <col min="9" max="9" width="9.33203125" style="88"/>
    <col min="10" max="10" width="9.33203125" style="55"/>
    <col min="11" max="11" width="15.33203125" style="55" customWidth="1"/>
    <col min="12" max="12" width="3.5546875" style="55" customWidth="1"/>
    <col min="13" max="13" width="15.33203125" style="55" customWidth="1"/>
    <col min="14" max="14" width="19.33203125" style="65" bestFit="1" customWidth="1"/>
    <col min="15" max="15" width="19.44140625" style="1132" bestFit="1" customWidth="1"/>
    <col min="16" max="16" width="14.6640625" style="1133" bestFit="1" customWidth="1"/>
    <col min="17" max="17" width="43.88671875" style="1132" bestFit="1" customWidth="1"/>
    <col min="18" max="18" width="10.33203125" style="55" bestFit="1" customWidth="1"/>
    <col min="19" max="19" width="28.109375" style="55" bestFit="1" customWidth="1"/>
    <col min="20" max="16384" width="9.33203125" style="55"/>
  </cols>
  <sheetData>
    <row r="1" spans="1:18" ht="25.95" customHeight="1" thickBot="1">
      <c r="A1" s="1334" t="s">
        <v>93</v>
      </c>
      <c r="B1" s="1334"/>
      <c r="C1" s="1334"/>
      <c r="D1" s="1334"/>
      <c r="E1" s="1334"/>
      <c r="F1" s="1334"/>
      <c r="G1" s="1334"/>
      <c r="H1" s="1334"/>
      <c r="I1" s="1334"/>
      <c r="J1" s="1334"/>
      <c r="K1" s="1334"/>
    </row>
    <row r="2" spans="1:18" s="58" customFormat="1" ht="43.2" customHeight="1">
      <c r="A2" s="101" t="s">
        <v>313</v>
      </c>
      <c r="B2" s="57" t="s">
        <v>321</v>
      </c>
      <c r="C2" s="57" t="s">
        <v>303</v>
      </c>
      <c r="D2" s="57" t="s">
        <v>98</v>
      </c>
      <c r="E2" s="57" t="s">
        <v>99</v>
      </c>
      <c r="F2" s="57" t="s">
        <v>100</v>
      </c>
      <c r="G2" s="57"/>
      <c r="H2" s="102" t="s">
        <v>318</v>
      </c>
      <c r="I2" s="102" t="s">
        <v>25</v>
      </c>
      <c r="J2" s="57" t="s">
        <v>308</v>
      </c>
      <c r="K2" s="104" t="s">
        <v>296</v>
      </c>
      <c r="N2" s="641"/>
      <c r="O2" s="1134"/>
      <c r="P2" s="1135"/>
      <c r="Q2" s="1134"/>
    </row>
    <row r="3" spans="1:18" ht="18" customHeight="1">
      <c r="A3" s="1323" t="s">
        <v>131</v>
      </c>
      <c r="B3" s="1008" t="s">
        <v>132</v>
      </c>
      <c r="C3" s="1336" t="s">
        <v>456</v>
      </c>
      <c r="D3" s="59"/>
      <c r="E3" s="59">
        <v>0.13</v>
      </c>
      <c r="F3" s="59">
        <v>8</v>
      </c>
      <c r="G3" s="62"/>
      <c r="H3" s="881">
        <v>5.26</v>
      </c>
      <c r="I3" s="241" t="s">
        <v>1159</v>
      </c>
      <c r="J3" s="76"/>
      <c r="K3" s="105">
        <f t="shared" ref="K3:K11" si="0">+J3*H3</f>
        <v>0</v>
      </c>
      <c r="L3" s="772" t="s">
        <v>26</v>
      </c>
      <c r="M3" s="772" t="s">
        <v>1146</v>
      </c>
      <c r="N3" s="791"/>
      <c r="O3" s="634"/>
      <c r="P3" s="1036"/>
      <c r="Q3" s="781"/>
      <c r="R3" s="791"/>
    </row>
    <row r="4" spans="1:18" ht="35.25" customHeight="1">
      <c r="A4" s="1335"/>
      <c r="B4" s="1008" t="s">
        <v>457</v>
      </c>
      <c r="C4" s="1298"/>
      <c r="D4" s="59" t="s">
        <v>104</v>
      </c>
      <c r="E4" s="59">
        <v>0.13</v>
      </c>
      <c r="F4" s="59">
        <v>8</v>
      </c>
      <c r="G4" s="62"/>
      <c r="H4" s="881">
        <v>6</v>
      </c>
      <c r="I4" s="241" t="s">
        <v>1159</v>
      </c>
      <c r="J4" s="76"/>
      <c r="K4" s="105">
        <f t="shared" si="0"/>
        <v>0</v>
      </c>
      <c r="L4" s="772" t="s">
        <v>1159</v>
      </c>
      <c r="M4" s="772" t="s">
        <v>1146</v>
      </c>
      <c r="N4" s="791"/>
      <c r="O4" s="634"/>
      <c r="P4" s="1036"/>
      <c r="Q4" s="781"/>
      <c r="R4" s="791"/>
    </row>
    <row r="5" spans="1:18" ht="35.25" customHeight="1">
      <c r="A5" s="845" t="s">
        <v>1356</v>
      </c>
      <c r="B5" s="846" t="s">
        <v>347</v>
      </c>
      <c r="C5" s="847" t="s">
        <v>1355</v>
      </c>
      <c r="D5" s="848"/>
      <c r="E5" s="848"/>
      <c r="F5" s="848"/>
      <c r="G5" s="848"/>
      <c r="H5" s="881">
        <v>4</v>
      </c>
      <c r="I5" s="241" t="s">
        <v>1159</v>
      </c>
      <c r="J5" s="76">
        <v>12</v>
      </c>
      <c r="K5" s="105">
        <f t="shared" si="0"/>
        <v>48</v>
      </c>
      <c r="L5" s="772"/>
      <c r="M5" s="772"/>
      <c r="N5" s="791"/>
      <c r="O5" s="634"/>
      <c r="P5" s="1036"/>
      <c r="Q5" s="1136"/>
      <c r="R5" s="791"/>
    </row>
    <row r="6" spans="1:18" ht="33" customHeight="1">
      <c r="A6" s="1005" t="s">
        <v>772</v>
      </c>
      <c r="B6" s="1008" t="s">
        <v>773</v>
      </c>
      <c r="C6" s="1008" t="s">
        <v>736</v>
      </c>
      <c r="D6" s="59"/>
      <c r="E6" s="59"/>
      <c r="F6" s="59"/>
      <c r="G6" s="62"/>
      <c r="H6" s="881">
        <v>9</v>
      </c>
      <c r="I6" s="241" t="s">
        <v>1159</v>
      </c>
      <c r="J6" s="76"/>
      <c r="K6" s="105">
        <f t="shared" si="0"/>
        <v>0</v>
      </c>
      <c r="L6" s="772"/>
      <c r="M6" s="772" t="s">
        <v>1151</v>
      </c>
      <c r="N6" s="791"/>
      <c r="O6" s="634"/>
      <c r="P6" s="1036"/>
      <c r="Q6" s="781"/>
      <c r="R6" s="791"/>
    </row>
    <row r="7" spans="1:18" ht="33" customHeight="1">
      <c r="A7" s="482" t="s">
        <v>735</v>
      </c>
      <c r="B7" s="1009" t="s">
        <v>724</v>
      </c>
      <c r="C7" s="1008" t="s">
        <v>736</v>
      </c>
      <c r="D7" s="59"/>
      <c r="E7" s="59"/>
      <c r="F7" s="59"/>
      <c r="G7" s="62"/>
      <c r="H7" s="881">
        <v>12.67</v>
      </c>
      <c r="I7" s="241" t="s">
        <v>1159</v>
      </c>
      <c r="J7" s="76"/>
      <c r="K7" s="105">
        <f t="shared" si="0"/>
        <v>0</v>
      </c>
      <c r="L7" s="772"/>
      <c r="M7" s="772" t="s">
        <v>1146</v>
      </c>
      <c r="N7" s="791"/>
      <c r="O7" s="634"/>
      <c r="P7" s="1036"/>
      <c r="Q7" s="781"/>
      <c r="R7" s="791"/>
    </row>
    <row r="8" spans="1:18" ht="24.75" customHeight="1">
      <c r="A8" s="1005" t="s">
        <v>723</v>
      </c>
      <c r="B8" s="1008" t="s">
        <v>733</v>
      </c>
      <c r="C8" s="1008" t="s">
        <v>734</v>
      </c>
      <c r="D8" s="59"/>
      <c r="E8" s="59"/>
      <c r="F8" s="59"/>
      <c r="G8" s="62"/>
      <c r="H8" s="881">
        <v>10.4</v>
      </c>
      <c r="I8" s="241" t="s">
        <v>1159</v>
      </c>
      <c r="J8" s="76"/>
      <c r="K8" s="105">
        <f t="shared" si="0"/>
        <v>0</v>
      </c>
      <c r="L8" s="776"/>
      <c r="M8" s="776" t="s">
        <v>1151</v>
      </c>
      <c r="N8" s="791"/>
      <c r="O8" s="634"/>
      <c r="P8" s="1036"/>
      <c r="Q8" s="781"/>
      <c r="R8" s="791"/>
    </row>
    <row r="9" spans="1:18" ht="18" customHeight="1">
      <c r="A9" s="1005" t="s">
        <v>279</v>
      </c>
      <c r="B9" s="1008" t="s">
        <v>280</v>
      </c>
      <c r="C9" s="1008" t="s">
        <v>285</v>
      </c>
      <c r="D9" s="59"/>
      <c r="E9" s="59"/>
      <c r="F9" s="59"/>
      <c r="G9" s="62"/>
      <c r="H9" s="881">
        <v>9.75</v>
      </c>
      <c r="I9" s="241" t="s">
        <v>1159</v>
      </c>
      <c r="J9" s="76"/>
      <c r="K9" s="105">
        <f t="shared" si="0"/>
        <v>0</v>
      </c>
      <c r="L9" s="65"/>
      <c r="M9" s="55" t="s">
        <v>1146</v>
      </c>
      <c r="N9" s="791"/>
      <c r="O9" s="634"/>
      <c r="P9" s="1036"/>
      <c r="Q9" s="781"/>
      <c r="R9" s="772"/>
    </row>
    <row r="10" spans="1:18" ht="23.25" customHeight="1">
      <c r="A10" s="1006" t="s">
        <v>261</v>
      </c>
      <c r="B10" s="1008" t="s">
        <v>262</v>
      </c>
      <c r="C10" s="61" t="s">
        <v>688</v>
      </c>
      <c r="D10" s="59"/>
      <c r="E10" s="59"/>
      <c r="F10" s="59"/>
      <c r="G10" s="62"/>
      <c r="H10" s="881">
        <v>17.399999999999999</v>
      </c>
      <c r="I10" s="241" t="s">
        <v>1159</v>
      </c>
      <c r="J10" s="76"/>
      <c r="K10" s="105">
        <f t="shared" si="0"/>
        <v>0</v>
      </c>
      <c r="L10" s="65"/>
      <c r="M10" s="55" t="s">
        <v>1146</v>
      </c>
      <c r="N10" s="791"/>
      <c r="O10" s="634"/>
      <c r="P10" s="1036"/>
      <c r="Q10" s="781"/>
      <c r="R10" s="772"/>
    </row>
    <row r="11" spans="1:18" ht="18" customHeight="1">
      <c r="A11" s="1006" t="s">
        <v>185</v>
      </c>
      <c r="B11" s="1008" t="s">
        <v>186</v>
      </c>
      <c r="C11" s="997" t="s">
        <v>187</v>
      </c>
      <c r="D11" s="3"/>
      <c r="E11" s="59"/>
      <c r="F11" s="59"/>
      <c r="G11" s="62"/>
      <c r="H11" s="881">
        <v>28.08</v>
      </c>
      <c r="I11" s="241" t="s">
        <v>1159</v>
      </c>
      <c r="J11" s="76"/>
      <c r="K11" s="105">
        <f t="shared" si="0"/>
        <v>0</v>
      </c>
      <c r="L11" s="65"/>
      <c r="M11" s="55" t="s">
        <v>1147</v>
      </c>
      <c r="N11" s="791"/>
      <c r="O11" s="634"/>
      <c r="P11" s="1036"/>
      <c r="Q11" s="781"/>
      <c r="R11" s="772"/>
    </row>
    <row r="12" spans="1:18" ht="31.95" customHeight="1">
      <c r="A12" s="857" t="s">
        <v>1360</v>
      </c>
      <c r="B12" s="846" t="s">
        <v>1361</v>
      </c>
      <c r="C12" s="847" t="s">
        <v>1362</v>
      </c>
      <c r="D12" s="858"/>
      <c r="E12" s="859"/>
      <c r="F12" s="859"/>
      <c r="G12" s="859"/>
      <c r="H12" s="883">
        <v>3</v>
      </c>
      <c r="I12" s="241" t="s">
        <v>1159</v>
      </c>
      <c r="J12" s="76"/>
      <c r="K12" s="105">
        <f>+J12*H12</f>
        <v>0</v>
      </c>
      <c r="N12" s="791"/>
      <c r="O12" s="634"/>
      <c r="P12" s="1126"/>
      <c r="Q12" s="1127"/>
      <c r="R12" s="772"/>
    </row>
    <row r="13" spans="1:18" ht="18" customHeight="1">
      <c r="A13" s="1007"/>
      <c r="B13" s="1009"/>
      <c r="C13" s="1003"/>
      <c r="D13" s="682"/>
      <c r="E13" s="264"/>
      <c r="F13" s="264"/>
      <c r="G13" s="265"/>
      <c r="H13" s="266"/>
      <c r="I13" s="241"/>
      <c r="J13" s="76"/>
      <c r="K13" s="105">
        <f>+J13*H13</f>
        <v>0</v>
      </c>
      <c r="N13" s="791"/>
      <c r="O13" s="634"/>
      <c r="P13" s="1036"/>
      <c r="Q13" s="781"/>
      <c r="R13" s="772"/>
    </row>
    <row r="14" spans="1:18" ht="18" customHeight="1">
      <c r="A14" s="1007"/>
      <c r="B14" s="1009"/>
      <c r="C14" s="1003"/>
      <c r="D14" s="682"/>
      <c r="E14" s="264"/>
      <c r="F14" s="264"/>
      <c r="G14" s="265"/>
      <c r="H14" s="266"/>
      <c r="I14" s="241"/>
      <c r="J14" s="76"/>
      <c r="K14" s="105">
        <f>+J14*H14</f>
        <v>0</v>
      </c>
      <c r="N14" s="791"/>
      <c r="O14" s="634"/>
      <c r="P14" s="1036"/>
      <c r="Q14" s="781"/>
      <c r="R14" s="772"/>
    </row>
    <row r="15" spans="1:18" ht="18" customHeight="1" thickBot="1">
      <c r="A15" s="106"/>
      <c r="B15" s="107"/>
      <c r="C15" s="108"/>
      <c r="D15" s="108"/>
      <c r="E15" s="69"/>
      <c r="F15" s="69"/>
      <c r="G15" s="109"/>
      <c r="H15" s="110"/>
      <c r="I15" s="110"/>
      <c r="J15" s="111"/>
      <c r="K15" s="112"/>
      <c r="N15" s="791"/>
      <c r="O15" s="634"/>
      <c r="P15" s="1036"/>
      <c r="Q15" s="781"/>
      <c r="R15" s="772"/>
    </row>
    <row r="16" spans="1:18" s="58" customFormat="1" ht="53.25" customHeight="1">
      <c r="A16" s="101" t="s">
        <v>314</v>
      </c>
      <c r="B16" s="57" t="s">
        <v>321</v>
      </c>
      <c r="C16" s="57" t="s">
        <v>96</v>
      </c>
      <c r="D16" s="512" t="s">
        <v>99</v>
      </c>
      <c r="E16" s="512" t="s">
        <v>100</v>
      </c>
      <c r="F16" s="57" t="s">
        <v>101</v>
      </c>
      <c r="G16" s="57" t="s">
        <v>102</v>
      </c>
      <c r="H16" s="102" t="s">
        <v>318</v>
      </c>
      <c r="I16" s="102" t="s">
        <v>25</v>
      </c>
      <c r="J16" s="103" t="s">
        <v>308</v>
      </c>
      <c r="K16" s="104" t="s">
        <v>1366</v>
      </c>
      <c r="N16" s="791"/>
      <c r="O16" s="634"/>
      <c r="P16" s="1036"/>
      <c r="Q16" s="781"/>
      <c r="R16" s="772"/>
    </row>
    <row r="17" spans="1:18" ht="41.25" customHeight="1">
      <c r="A17" s="1337" t="s">
        <v>1092</v>
      </c>
      <c r="B17" s="1325" t="s">
        <v>1087</v>
      </c>
      <c r="C17" s="1325" t="s">
        <v>1079</v>
      </c>
      <c r="D17" s="746" t="s">
        <v>1081</v>
      </c>
      <c r="E17" s="746" t="s">
        <v>1080</v>
      </c>
      <c r="F17" s="721"/>
      <c r="G17" s="721"/>
      <c r="H17" s="891">
        <v>13.5</v>
      </c>
      <c r="I17" s="241" t="s">
        <v>1159</v>
      </c>
      <c r="J17" s="76"/>
      <c r="K17" s="105">
        <f t="shared" ref="K17:K38" si="1">+J17*H17</f>
        <v>0</v>
      </c>
      <c r="L17" s="725"/>
      <c r="M17" s="725" t="s">
        <v>1147</v>
      </c>
      <c r="N17" s="791"/>
      <c r="O17" s="634"/>
      <c r="P17" s="1036"/>
      <c r="Q17" s="781"/>
      <c r="R17" s="772"/>
    </row>
    <row r="18" spans="1:18" ht="43.5" customHeight="1">
      <c r="A18" s="1337"/>
      <c r="B18" s="1325"/>
      <c r="C18" s="1325"/>
      <c r="D18" s="747" t="s">
        <v>1083</v>
      </c>
      <c r="E18" s="747" t="s">
        <v>1082</v>
      </c>
      <c r="F18" s="721"/>
      <c r="G18" s="721"/>
      <c r="H18" s="891">
        <v>24</v>
      </c>
      <c r="I18" s="241" t="s">
        <v>1159</v>
      </c>
      <c r="J18" s="76"/>
      <c r="K18" s="105">
        <f t="shared" si="1"/>
        <v>0</v>
      </c>
      <c r="L18" s="725"/>
      <c r="M18" s="725" t="s">
        <v>1146</v>
      </c>
      <c r="N18" s="791"/>
      <c r="O18" s="634"/>
      <c r="P18" s="1036"/>
      <c r="Q18" s="781"/>
      <c r="R18" s="772"/>
    </row>
    <row r="19" spans="1:18" ht="38.25" customHeight="1">
      <c r="A19" s="1322" t="s">
        <v>203</v>
      </c>
      <c r="B19" s="1325" t="s">
        <v>1109</v>
      </c>
      <c r="C19" s="1345" t="s">
        <v>205</v>
      </c>
      <c r="D19" s="279"/>
      <c r="E19" s="279"/>
      <c r="F19" s="62">
        <v>0</v>
      </c>
      <c r="G19" s="62">
        <v>80</v>
      </c>
      <c r="H19" s="881">
        <v>15.6</v>
      </c>
      <c r="I19" s="241" t="s">
        <v>1159</v>
      </c>
      <c r="J19" s="76"/>
      <c r="K19" s="105">
        <f t="shared" si="1"/>
        <v>0</v>
      </c>
      <c r="L19" s="65"/>
      <c r="M19" s="65" t="s">
        <v>1146</v>
      </c>
      <c r="N19" s="791"/>
      <c r="O19" s="634"/>
      <c r="P19" s="1036"/>
      <c r="Q19" s="781"/>
      <c r="R19" s="772"/>
    </row>
    <row r="20" spans="1:18" ht="30.75" customHeight="1" thickBot="1">
      <c r="A20" s="1323"/>
      <c r="B20" s="1313"/>
      <c r="C20" s="1346"/>
      <c r="D20" s="264"/>
      <c r="E20" s="264"/>
      <c r="F20" s="265">
        <v>81</v>
      </c>
      <c r="G20" s="265">
        <v>160</v>
      </c>
      <c r="H20" s="883">
        <v>18.61</v>
      </c>
      <c r="I20" s="267" t="s">
        <v>1159</v>
      </c>
      <c r="J20" s="268"/>
      <c r="K20" s="269">
        <f t="shared" si="1"/>
        <v>0</v>
      </c>
      <c r="L20" s="65"/>
      <c r="M20" s="65" t="s">
        <v>1146</v>
      </c>
      <c r="N20" s="791"/>
      <c r="O20" s="634"/>
      <c r="P20" s="1036"/>
      <c r="Q20" s="781"/>
      <c r="R20" s="772"/>
    </row>
    <row r="21" spans="1:18" ht="48" customHeight="1">
      <c r="A21" s="1340" t="s">
        <v>722</v>
      </c>
      <c r="B21" s="483" t="s">
        <v>731</v>
      </c>
      <c r="C21" s="357" t="s">
        <v>579</v>
      </c>
      <c r="D21" s="270"/>
      <c r="E21" s="270"/>
      <c r="F21" s="270"/>
      <c r="G21" s="270"/>
      <c r="H21" s="892">
        <v>49.13</v>
      </c>
      <c r="I21" s="271" t="s">
        <v>1159</v>
      </c>
      <c r="J21" s="272"/>
      <c r="K21" s="273">
        <f>+J21*H21</f>
        <v>0</v>
      </c>
      <c r="L21" s="65"/>
      <c r="M21" s="65" t="s">
        <v>1147</v>
      </c>
      <c r="N21" s="791"/>
      <c r="O21" s="634"/>
      <c r="P21" s="1036"/>
      <c r="Q21" s="781"/>
      <c r="R21" s="772"/>
    </row>
    <row r="22" spans="1:18" ht="51.75" customHeight="1" thickBot="1">
      <c r="A22" s="1341"/>
      <c r="B22" s="563" t="s">
        <v>807</v>
      </c>
      <c r="C22" s="274"/>
      <c r="D22" s="69"/>
      <c r="E22" s="69"/>
      <c r="F22" s="109">
        <v>1</v>
      </c>
      <c r="G22" s="109">
        <v>99999</v>
      </c>
      <c r="H22" s="893">
        <v>3.73</v>
      </c>
      <c r="I22" s="275" t="s">
        <v>1159</v>
      </c>
      <c r="J22" s="111"/>
      <c r="K22" s="112">
        <f t="shared" si="1"/>
        <v>0</v>
      </c>
      <c r="L22" s="65"/>
      <c r="M22" s="65" t="s">
        <v>1146</v>
      </c>
      <c r="N22" s="791"/>
      <c r="O22" s="634"/>
      <c r="P22" s="1036"/>
      <c r="Q22" s="781"/>
      <c r="R22" s="772"/>
    </row>
    <row r="23" spans="1:18" ht="43.5" customHeight="1">
      <c r="A23" s="748" t="s">
        <v>1088</v>
      </c>
      <c r="B23" s="749" t="s">
        <v>1090</v>
      </c>
      <c r="C23" s="749" t="s">
        <v>1089</v>
      </c>
      <c r="D23" s="750"/>
      <c r="E23" s="750"/>
      <c r="F23" s="750"/>
      <c r="G23" s="750"/>
      <c r="H23" s="894">
        <v>65</v>
      </c>
      <c r="I23" s="751" t="s">
        <v>1159</v>
      </c>
      <c r="J23" s="752"/>
      <c r="K23" s="753">
        <f t="shared" si="1"/>
        <v>0</v>
      </c>
      <c r="L23" s="65"/>
      <c r="M23" s="65" t="s">
        <v>1147</v>
      </c>
      <c r="N23" s="791"/>
      <c r="O23" s="634"/>
      <c r="P23" s="1036"/>
      <c r="Q23" s="781"/>
      <c r="R23" s="772"/>
    </row>
    <row r="24" spans="1:18" ht="30.75" customHeight="1" thickBot="1">
      <c r="A24" s="715"/>
      <c r="B24" s="716"/>
      <c r="C24" s="716"/>
      <c r="D24" s="717"/>
      <c r="E24" s="717"/>
      <c r="F24" s="717"/>
      <c r="G24" s="717"/>
      <c r="H24" s="895"/>
      <c r="I24" s="718"/>
      <c r="J24" s="719"/>
      <c r="K24" s="720">
        <f t="shared" si="1"/>
        <v>0</v>
      </c>
      <c r="L24" s="65"/>
      <c r="M24" s="65"/>
      <c r="N24" s="791"/>
      <c r="O24" s="634"/>
      <c r="P24" s="1036"/>
      <c r="Q24" s="781"/>
      <c r="R24" s="772"/>
    </row>
    <row r="25" spans="1:18" ht="18" customHeight="1">
      <c r="A25" s="1013" t="s">
        <v>203</v>
      </c>
      <c r="B25" s="1012" t="s">
        <v>206</v>
      </c>
      <c r="C25" s="278"/>
      <c r="D25" s="279"/>
      <c r="E25" s="279"/>
      <c r="F25" s="280">
        <v>2</v>
      </c>
      <c r="G25" s="280">
        <v>99999</v>
      </c>
      <c r="H25" s="896">
        <v>20.74</v>
      </c>
      <c r="I25" s="282" t="s">
        <v>1159</v>
      </c>
      <c r="J25" s="283"/>
      <c r="K25" s="284">
        <f t="shared" si="1"/>
        <v>0</v>
      </c>
      <c r="L25" s="65"/>
      <c r="M25" s="65" t="s">
        <v>1147</v>
      </c>
      <c r="N25" s="791"/>
      <c r="O25" s="634"/>
      <c r="P25" s="1036"/>
      <c r="Q25" s="781"/>
      <c r="R25" s="772"/>
    </row>
    <row r="26" spans="1:18" ht="25.5" customHeight="1">
      <c r="A26" s="1006" t="s">
        <v>207</v>
      </c>
      <c r="B26" s="61" t="s">
        <v>208</v>
      </c>
      <c r="C26" s="61" t="s">
        <v>209</v>
      </c>
      <c r="D26" s="59"/>
      <c r="E26" s="59"/>
      <c r="F26" s="59"/>
      <c r="G26" s="59"/>
      <c r="H26" s="881">
        <v>46.6</v>
      </c>
      <c r="I26" s="241" t="s">
        <v>1159</v>
      </c>
      <c r="J26" s="76"/>
      <c r="K26" s="105">
        <f t="shared" si="1"/>
        <v>0</v>
      </c>
      <c r="L26" s="65"/>
      <c r="M26" s="65" t="s">
        <v>1147</v>
      </c>
      <c r="N26" s="791"/>
      <c r="O26" s="634"/>
      <c r="P26" s="1036"/>
      <c r="Q26" s="781"/>
      <c r="R26" s="772"/>
    </row>
    <row r="27" spans="1:18" ht="24.75" customHeight="1">
      <c r="A27" s="1006" t="s">
        <v>210</v>
      </c>
      <c r="B27" s="61" t="s">
        <v>211</v>
      </c>
      <c r="C27" s="61" t="s">
        <v>212</v>
      </c>
      <c r="D27" s="59"/>
      <c r="E27" s="59"/>
      <c r="F27" s="59"/>
      <c r="G27" s="59"/>
      <c r="H27" s="881">
        <v>69.819999999999993</v>
      </c>
      <c r="I27" s="241" t="s">
        <v>1159</v>
      </c>
      <c r="J27" s="76"/>
      <c r="K27" s="105">
        <f t="shared" si="1"/>
        <v>0</v>
      </c>
      <c r="L27" s="65"/>
      <c r="M27" s="65" t="s">
        <v>1146</v>
      </c>
      <c r="N27" s="791"/>
      <c r="O27" s="634"/>
      <c r="P27" s="1036"/>
      <c r="Q27" s="781"/>
      <c r="R27" s="772"/>
    </row>
    <row r="28" spans="1:18" ht="24" customHeight="1">
      <c r="A28" s="1006" t="s">
        <v>213</v>
      </c>
      <c r="B28" s="61" t="s">
        <v>214</v>
      </c>
      <c r="C28" s="61" t="s">
        <v>215</v>
      </c>
      <c r="D28" s="59"/>
      <c r="E28" s="59"/>
      <c r="F28" s="59"/>
      <c r="G28" s="59"/>
      <c r="H28" s="881">
        <v>4.07</v>
      </c>
      <c r="I28" s="241" t="s">
        <v>1159</v>
      </c>
      <c r="J28" s="76"/>
      <c r="K28" s="105">
        <f t="shared" si="1"/>
        <v>0</v>
      </c>
      <c r="L28" s="65"/>
      <c r="M28" s="65" t="s">
        <v>1147</v>
      </c>
      <c r="N28" s="791"/>
      <c r="O28" s="634"/>
      <c r="P28" s="1036"/>
      <c r="Q28" s="781"/>
      <c r="R28" s="772"/>
    </row>
    <row r="29" spans="1:18" ht="20.25" customHeight="1">
      <c r="A29" s="1320" t="s">
        <v>997</v>
      </c>
      <c r="B29" s="1313" t="s">
        <v>998</v>
      </c>
      <c r="C29" s="1313" t="s">
        <v>1003</v>
      </c>
      <c r="D29" s="62" t="s">
        <v>999</v>
      </c>
      <c r="E29" s="62"/>
      <c r="F29" s="62"/>
      <c r="G29" s="62"/>
      <c r="H29" s="881">
        <v>33.020000000000003</v>
      </c>
      <c r="I29" s="241" t="s">
        <v>1159</v>
      </c>
      <c r="J29" s="76"/>
      <c r="K29" s="105">
        <f t="shared" si="1"/>
        <v>0</v>
      </c>
      <c r="L29" s="791"/>
      <c r="M29" s="772" t="s">
        <v>1147</v>
      </c>
      <c r="N29" s="791"/>
      <c r="O29" s="634"/>
      <c r="P29" s="1126"/>
      <c r="Q29" s="1127"/>
      <c r="R29" s="772"/>
    </row>
    <row r="30" spans="1:18" ht="19.5" customHeight="1">
      <c r="A30" s="1320"/>
      <c r="B30" s="1326"/>
      <c r="C30" s="1326"/>
      <c r="D30" s="62" t="s">
        <v>1000</v>
      </c>
      <c r="E30" s="62"/>
      <c r="F30" s="62"/>
      <c r="G30" s="62"/>
      <c r="H30" s="881">
        <v>49.53</v>
      </c>
      <c r="I30" s="241" t="s">
        <v>1159</v>
      </c>
      <c r="J30" s="76"/>
      <c r="K30" s="105">
        <f t="shared" si="1"/>
        <v>0</v>
      </c>
      <c r="L30" s="791"/>
      <c r="M30" s="772" t="s">
        <v>1147</v>
      </c>
      <c r="N30" s="791"/>
      <c r="O30" s="634"/>
      <c r="P30" s="1126"/>
      <c r="Q30" s="1127"/>
      <c r="R30" s="772"/>
    </row>
    <row r="31" spans="1:18" ht="17.25" customHeight="1">
      <c r="A31" s="1320"/>
      <c r="B31" s="1314"/>
      <c r="C31" s="1314"/>
      <c r="D31" s="62" t="s">
        <v>1001</v>
      </c>
      <c r="E31" s="62"/>
      <c r="F31" s="62"/>
      <c r="G31" s="62"/>
      <c r="H31" s="881">
        <v>66.040000000000006</v>
      </c>
      <c r="I31" s="241" t="s">
        <v>1159</v>
      </c>
      <c r="J31" s="76"/>
      <c r="K31" s="105">
        <f t="shared" si="1"/>
        <v>0</v>
      </c>
      <c r="L31" s="791"/>
      <c r="M31" s="772" t="s">
        <v>1147</v>
      </c>
      <c r="N31" s="791"/>
      <c r="O31" s="634"/>
      <c r="P31" s="1126"/>
      <c r="Q31" s="1127"/>
      <c r="R31" s="772"/>
    </row>
    <row r="32" spans="1:18" ht="26.25" customHeight="1">
      <c r="A32" s="1338"/>
      <c r="B32" s="663" t="s">
        <v>1002</v>
      </c>
      <c r="C32" s="1008" t="s">
        <v>1006</v>
      </c>
      <c r="D32" s="62"/>
      <c r="E32" s="59"/>
      <c r="F32" s="59"/>
      <c r="G32" s="59"/>
      <c r="H32" s="881">
        <v>28.67</v>
      </c>
      <c r="I32" s="241" t="s">
        <v>1159</v>
      </c>
      <c r="J32" s="76"/>
      <c r="K32" s="105">
        <f t="shared" si="1"/>
        <v>0</v>
      </c>
      <c r="L32" s="791"/>
      <c r="M32" s="772" t="s">
        <v>1147</v>
      </c>
      <c r="N32" s="791"/>
      <c r="O32" s="634"/>
      <c r="P32" s="1036"/>
      <c r="Q32" s="781"/>
      <c r="R32" s="772"/>
    </row>
    <row r="33" spans="1:18" ht="18" customHeight="1">
      <c r="A33" s="1338"/>
      <c r="B33" s="1313" t="s">
        <v>1017</v>
      </c>
      <c r="C33" s="1313" t="s">
        <v>1005</v>
      </c>
      <c r="D33" s="62" t="s">
        <v>1016</v>
      </c>
      <c r="E33" s="59"/>
      <c r="F33" s="59"/>
      <c r="G33" s="59"/>
      <c r="H33" s="881">
        <v>72</v>
      </c>
      <c r="I33" s="241" t="s">
        <v>1159</v>
      </c>
      <c r="J33" s="76"/>
      <c r="K33" s="105">
        <f t="shared" si="1"/>
        <v>0</v>
      </c>
      <c r="L33" s="791"/>
      <c r="M33" s="772" t="s">
        <v>1147</v>
      </c>
      <c r="N33" s="791"/>
      <c r="O33" s="634"/>
      <c r="P33" s="1036"/>
      <c r="Q33" s="781"/>
      <c r="R33" s="772"/>
    </row>
    <row r="34" spans="1:18" ht="18" customHeight="1">
      <c r="A34" s="1338"/>
      <c r="B34" s="1326"/>
      <c r="C34" s="1326"/>
      <c r="D34" s="62" t="s">
        <v>1000</v>
      </c>
      <c r="E34" s="59"/>
      <c r="F34" s="59"/>
      <c r="G34" s="59"/>
      <c r="H34" s="881">
        <v>187</v>
      </c>
      <c r="I34" s="241" t="s">
        <v>1159</v>
      </c>
      <c r="J34" s="76"/>
      <c r="K34" s="105">
        <f t="shared" si="1"/>
        <v>0</v>
      </c>
      <c r="L34" s="791"/>
      <c r="M34" s="772" t="s">
        <v>1147</v>
      </c>
      <c r="N34" s="791"/>
      <c r="O34" s="634"/>
      <c r="P34" s="1036"/>
      <c r="Q34" s="781"/>
      <c r="R34" s="772"/>
    </row>
    <row r="35" spans="1:18" ht="18" customHeight="1">
      <c r="A35" s="1338"/>
      <c r="B35" s="1314"/>
      <c r="C35" s="1314"/>
      <c r="D35" s="62" t="s">
        <v>1001</v>
      </c>
      <c r="E35" s="59"/>
      <c r="F35" s="59"/>
      <c r="G35" s="59"/>
      <c r="H35" s="881">
        <v>225</v>
      </c>
      <c r="I35" s="241" t="s">
        <v>1159</v>
      </c>
      <c r="J35" s="76"/>
      <c r="K35" s="388">
        <f t="shared" si="1"/>
        <v>0</v>
      </c>
      <c r="L35" s="791"/>
      <c r="M35" s="772" t="s">
        <v>1147</v>
      </c>
      <c r="N35" s="791"/>
      <c r="O35" s="634"/>
      <c r="P35" s="1036"/>
      <c r="Q35" s="781"/>
      <c r="R35" s="772"/>
    </row>
    <row r="36" spans="1:18" ht="18" customHeight="1">
      <c r="A36" s="1329" t="s">
        <v>1363</v>
      </c>
      <c r="B36" s="866" t="s">
        <v>1300</v>
      </c>
      <c r="C36" s="866"/>
      <c r="D36" s="987" t="s">
        <v>1302</v>
      </c>
      <c r="E36" s="868"/>
      <c r="F36" s="868"/>
      <c r="G36" s="868"/>
      <c r="H36" s="888">
        <v>9.0399999999999991</v>
      </c>
      <c r="I36" s="241" t="s">
        <v>1159</v>
      </c>
      <c r="J36" s="283"/>
      <c r="K36" s="865">
        <f t="shared" si="1"/>
        <v>0</v>
      </c>
      <c r="L36" s="791"/>
      <c r="M36" s="772"/>
      <c r="N36" s="791"/>
      <c r="O36" s="634"/>
      <c r="P36" s="1036"/>
      <c r="Q36" s="781"/>
      <c r="R36" s="772"/>
    </row>
    <row r="37" spans="1:18" ht="24.45" customHeight="1">
      <c r="A37" s="1330"/>
      <c r="B37" s="866" t="s">
        <v>1417</v>
      </c>
      <c r="C37" s="866" t="s">
        <v>1418</v>
      </c>
      <c r="D37" s="867"/>
      <c r="E37" s="868"/>
      <c r="F37" s="868"/>
      <c r="G37" s="868"/>
      <c r="H37" s="888">
        <v>6.9160000000000004</v>
      </c>
      <c r="I37" s="241" t="s">
        <v>1159</v>
      </c>
      <c r="J37" s="283"/>
      <c r="K37" s="865">
        <f t="shared" si="1"/>
        <v>0</v>
      </c>
      <c r="L37" s="791"/>
      <c r="M37" s="772"/>
      <c r="N37" s="791"/>
      <c r="O37" s="634"/>
      <c r="P37" s="1036"/>
      <c r="Q37" s="781"/>
      <c r="R37" s="772"/>
    </row>
    <row r="38" spans="1:18" ht="29.7" customHeight="1" thickBot="1">
      <c r="A38" s="1331"/>
      <c r="B38" s="866" t="s">
        <v>1419</v>
      </c>
      <c r="C38" s="866" t="s">
        <v>1006</v>
      </c>
      <c r="D38" s="867"/>
      <c r="E38" s="868"/>
      <c r="F38" s="868"/>
      <c r="G38" s="868"/>
      <c r="H38" s="888">
        <v>11.78</v>
      </c>
      <c r="I38" s="282" t="s">
        <v>1159</v>
      </c>
      <c r="J38" s="283"/>
      <c r="K38" s="865">
        <f t="shared" si="1"/>
        <v>0</v>
      </c>
      <c r="L38" s="791"/>
      <c r="M38" s="772"/>
      <c r="N38" s="791"/>
      <c r="O38" s="634"/>
      <c r="P38" s="1036"/>
      <c r="Q38" s="781"/>
      <c r="R38" s="772"/>
    </row>
    <row r="39" spans="1:18" s="58" customFormat="1" ht="53.25" customHeight="1">
      <c r="A39" s="101" t="s">
        <v>304</v>
      </c>
      <c r="B39" s="57" t="s">
        <v>321</v>
      </c>
      <c r="C39" s="57" t="s">
        <v>303</v>
      </c>
      <c r="D39" s="57" t="s">
        <v>97</v>
      </c>
      <c r="E39" s="57"/>
      <c r="F39" s="57"/>
      <c r="G39" s="57"/>
      <c r="H39" s="102" t="s">
        <v>318</v>
      </c>
      <c r="I39" s="234" t="s">
        <v>25</v>
      </c>
      <c r="J39" s="103" t="s">
        <v>308</v>
      </c>
      <c r="K39" s="104" t="s">
        <v>1366</v>
      </c>
      <c r="L39" s="641"/>
      <c r="M39" s="641"/>
      <c r="N39" s="791"/>
      <c r="O39" s="634"/>
      <c r="P39" s="1036"/>
      <c r="Q39" s="781"/>
      <c r="R39" s="772"/>
    </row>
    <row r="40" spans="1:18" ht="22.5" customHeight="1">
      <c r="A40" s="758" t="s">
        <v>297</v>
      </c>
      <c r="B40" s="759" t="s">
        <v>300</v>
      </c>
      <c r="C40" s="760" t="s">
        <v>183</v>
      </c>
      <c r="D40" s="59"/>
      <c r="E40" s="59"/>
      <c r="F40" s="59"/>
      <c r="G40" s="59"/>
      <c r="H40" s="881">
        <v>6</v>
      </c>
      <c r="I40" s="241" t="s">
        <v>1159</v>
      </c>
      <c r="J40" s="76"/>
      <c r="K40" s="105">
        <f t="shared" ref="K40:K45" si="2">+J40*H40</f>
        <v>0</v>
      </c>
      <c r="L40" s="791"/>
      <c r="M40" s="772" t="s">
        <v>1146</v>
      </c>
      <c r="N40" s="791"/>
      <c r="O40" s="634"/>
      <c r="P40" s="1036"/>
      <c r="Q40" s="781"/>
      <c r="R40" s="772"/>
    </row>
    <row r="41" spans="1:18" ht="22.5" customHeight="1">
      <c r="A41" s="758" t="s">
        <v>298</v>
      </c>
      <c r="B41" s="759" t="s">
        <v>301</v>
      </c>
      <c r="C41" s="760" t="s">
        <v>184</v>
      </c>
      <c r="D41" s="59"/>
      <c r="E41" s="59"/>
      <c r="F41" s="59"/>
      <c r="G41" s="59"/>
      <c r="H41" s="881">
        <v>10</v>
      </c>
      <c r="I41" s="241" t="s">
        <v>1159</v>
      </c>
      <c r="J41" s="76"/>
      <c r="K41" s="105">
        <f t="shared" si="2"/>
        <v>0</v>
      </c>
      <c r="L41" s="791"/>
      <c r="M41" s="772" t="s">
        <v>1146</v>
      </c>
      <c r="N41" s="791"/>
      <c r="O41" s="634"/>
      <c r="P41" s="1036"/>
      <c r="Q41" s="781"/>
      <c r="R41" s="772"/>
    </row>
    <row r="42" spans="1:18" s="60" customFormat="1" ht="22.5" customHeight="1">
      <c r="A42" s="758" t="s">
        <v>188</v>
      </c>
      <c r="B42" s="759" t="s">
        <v>189</v>
      </c>
      <c r="C42" s="760" t="s">
        <v>190</v>
      </c>
      <c r="D42" s="59"/>
      <c r="E42" s="59"/>
      <c r="F42" s="59"/>
      <c r="G42" s="59"/>
      <c r="H42" s="881">
        <v>6.9</v>
      </c>
      <c r="I42" s="241" t="s">
        <v>1159</v>
      </c>
      <c r="J42" s="76"/>
      <c r="K42" s="105">
        <f t="shared" si="2"/>
        <v>0</v>
      </c>
      <c r="L42" s="791"/>
      <c r="M42" s="772" t="s">
        <v>1146</v>
      </c>
      <c r="N42" s="791"/>
      <c r="O42" s="634"/>
      <c r="P42" s="1036"/>
      <c r="Q42" s="781"/>
      <c r="R42" s="772"/>
    </row>
    <row r="43" spans="1:18" ht="22.5" customHeight="1">
      <c r="A43" s="1339" t="s">
        <v>299</v>
      </c>
      <c r="B43" s="759" t="s">
        <v>302</v>
      </c>
      <c r="C43" s="760" t="s">
        <v>183</v>
      </c>
      <c r="D43" s="59">
        <v>12066325</v>
      </c>
      <c r="E43" s="59"/>
      <c r="F43" s="59"/>
      <c r="G43" s="59"/>
      <c r="H43" s="881">
        <v>14.8</v>
      </c>
      <c r="I43" s="241" t="s">
        <v>1159</v>
      </c>
      <c r="J43" s="76"/>
      <c r="K43" s="105">
        <f t="shared" si="2"/>
        <v>0</v>
      </c>
      <c r="L43" s="791"/>
      <c r="M43" s="772" t="s">
        <v>1146</v>
      </c>
      <c r="N43" s="791"/>
      <c r="O43" s="634"/>
      <c r="P43" s="1036"/>
      <c r="Q43" s="781"/>
      <c r="R43" s="772"/>
    </row>
    <row r="44" spans="1:18" ht="22.5" customHeight="1">
      <c r="A44" s="1339"/>
      <c r="B44" s="759" t="s">
        <v>302</v>
      </c>
      <c r="C44" s="760" t="s">
        <v>183</v>
      </c>
      <c r="D44" s="59">
        <v>12092218</v>
      </c>
      <c r="E44" s="59"/>
      <c r="F44" s="59"/>
      <c r="G44" s="59"/>
      <c r="H44" s="881">
        <v>14.8</v>
      </c>
      <c r="I44" s="241" t="s">
        <v>1159</v>
      </c>
      <c r="J44" s="76"/>
      <c r="K44" s="105">
        <f t="shared" si="2"/>
        <v>0</v>
      </c>
      <c r="L44" s="791"/>
      <c r="M44" s="772" t="s">
        <v>1146</v>
      </c>
      <c r="N44" s="791"/>
      <c r="O44" s="634"/>
      <c r="P44" s="1036"/>
      <c r="Q44" s="781"/>
      <c r="R44" s="772"/>
    </row>
    <row r="45" spans="1:18" ht="22.5" customHeight="1">
      <c r="A45" s="1339"/>
      <c r="B45" s="759" t="s">
        <v>302</v>
      </c>
      <c r="C45" s="760" t="s">
        <v>183</v>
      </c>
      <c r="D45" s="59"/>
      <c r="E45" s="59"/>
      <c r="F45" s="59"/>
      <c r="G45" s="59"/>
      <c r="H45" s="881">
        <v>5.8</v>
      </c>
      <c r="I45" s="241" t="s">
        <v>1159</v>
      </c>
      <c r="J45" s="76"/>
      <c r="K45" s="105">
        <f t="shared" si="2"/>
        <v>0</v>
      </c>
      <c r="L45" s="791"/>
      <c r="M45" s="772" t="s">
        <v>1146</v>
      </c>
      <c r="N45" s="791"/>
      <c r="O45" s="634"/>
      <c r="P45" s="1036"/>
      <c r="Q45" s="781"/>
      <c r="R45" s="772"/>
    </row>
    <row r="46" spans="1:18" ht="22.5" customHeight="1">
      <c r="A46" s="683"/>
      <c r="B46" s="684"/>
      <c r="C46" s="682"/>
      <c r="D46" s="264"/>
      <c r="E46" s="264"/>
      <c r="F46" s="264"/>
      <c r="G46" s="264"/>
      <c r="H46" s="881"/>
      <c r="I46" s="241"/>
      <c r="J46" s="76"/>
      <c r="K46" s="105">
        <f>+J46*H46</f>
        <v>0</v>
      </c>
      <c r="L46" s="773"/>
      <c r="M46" s="773" t="s">
        <v>1146</v>
      </c>
      <c r="N46" s="791"/>
      <c r="O46" s="634"/>
      <c r="P46" s="1036"/>
      <c r="Q46" s="781"/>
      <c r="R46" s="772"/>
    </row>
    <row r="47" spans="1:18" ht="22.5" customHeight="1">
      <c r="A47" s="683"/>
      <c r="B47" s="684"/>
      <c r="C47" s="682"/>
      <c r="D47" s="264"/>
      <c r="E47" s="264"/>
      <c r="F47" s="264"/>
      <c r="G47" s="264"/>
      <c r="H47" s="240"/>
      <c r="I47" s="241"/>
      <c r="J47" s="76"/>
      <c r="K47" s="105">
        <f>+J47*H47</f>
        <v>0</v>
      </c>
      <c r="N47" s="791"/>
      <c r="O47" s="634"/>
      <c r="P47" s="1036"/>
      <c r="Q47" s="781"/>
      <c r="R47" s="772"/>
    </row>
    <row r="48" spans="1:18" ht="22.5" customHeight="1" thickBot="1">
      <c r="A48" s="106"/>
      <c r="B48" s="115"/>
      <c r="C48" s="69"/>
      <c r="D48" s="69"/>
      <c r="E48" s="69"/>
      <c r="F48" s="69"/>
      <c r="G48" s="69"/>
      <c r="H48" s="235"/>
      <c r="I48" s="235"/>
      <c r="J48" s="111"/>
      <c r="K48" s="112"/>
      <c r="N48" s="791"/>
      <c r="O48" s="634"/>
      <c r="P48" s="1036"/>
      <c r="Q48" s="781"/>
      <c r="R48" s="772"/>
    </row>
    <row r="49" spans="1:18" s="58" customFormat="1" ht="53.25" customHeight="1">
      <c r="A49" s="101" t="s">
        <v>714</v>
      </c>
      <c r="B49" s="57" t="s">
        <v>321</v>
      </c>
      <c r="C49" s="57" t="s">
        <v>96</v>
      </c>
      <c r="D49" s="57"/>
      <c r="E49" s="57"/>
      <c r="F49" s="57" t="s">
        <v>101</v>
      </c>
      <c r="G49" s="57" t="s">
        <v>102</v>
      </c>
      <c r="H49" s="102" t="s">
        <v>318</v>
      </c>
      <c r="I49" s="234" t="s">
        <v>25</v>
      </c>
      <c r="J49" s="103" t="s">
        <v>308</v>
      </c>
      <c r="K49" s="104" t="s">
        <v>1366</v>
      </c>
      <c r="N49" s="791"/>
      <c r="O49" s="634"/>
      <c r="P49" s="1036"/>
      <c r="Q49" s="781"/>
      <c r="R49" s="791"/>
    </row>
    <row r="50" spans="1:18" ht="27" customHeight="1">
      <c r="A50" s="1327" t="s">
        <v>715</v>
      </c>
      <c r="B50" s="1324" t="s">
        <v>712</v>
      </c>
      <c r="C50" s="1347" t="s">
        <v>711</v>
      </c>
      <c r="D50" s="484"/>
      <c r="E50" s="62"/>
      <c r="F50" s="62">
        <v>0</v>
      </c>
      <c r="G50" s="62">
        <v>100</v>
      </c>
      <c r="H50" s="881">
        <v>2.9729999999999999</v>
      </c>
      <c r="I50" s="241" t="s">
        <v>1159</v>
      </c>
      <c r="J50" s="76"/>
      <c r="K50" s="105">
        <f t="shared" ref="K50:K61" si="3">+J50*H50</f>
        <v>0</v>
      </c>
      <c r="M50" s="55" t="s">
        <v>1146</v>
      </c>
      <c r="N50" s="791"/>
      <c r="O50" s="634"/>
      <c r="P50" s="1036"/>
      <c r="Q50" s="781"/>
      <c r="R50" s="772"/>
    </row>
    <row r="51" spans="1:18" ht="18" customHeight="1">
      <c r="A51" s="1328"/>
      <c r="B51" s="1281"/>
      <c r="C51" s="1348"/>
      <c r="D51" s="62"/>
      <c r="E51" s="62"/>
      <c r="F51" s="62">
        <v>101</v>
      </c>
      <c r="G51" s="62">
        <v>200</v>
      </c>
      <c r="H51" s="881">
        <v>3.05</v>
      </c>
      <c r="I51" s="241" t="s">
        <v>1159</v>
      </c>
      <c r="J51" s="76"/>
      <c r="K51" s="105">
        <f t="shared" si="3"/>
        <v>0</v>
      </c>
      <c r="M51" s="55" t="s">
        <v>1146</v>
      </c>
      <c r="N51" s="791"/>
      <c r="O51" s="634"/>
      <c r="P51" s="1036"/>
      <c r="Q51" s="781"/>
      <c r="R51" s="772"/>
    </row>
    <row r="52" spans="1:18" ht="18" customHeight="1">
      <c r="A52" s="1328"/>
      <c r="B52" s="1281"/>
      <c r="C52" s="1348"/>
      <c r="D52" s="62"/>
      <c r="E52" s="62"/>
      <c r="F52" s="62">
        <v>201</v>
      </c>
      <c r="G52" s="62">
        <v>300</v>
      </c>
      <c r="H52" s="881">
        <v>3.1</v>
      </c>
      <c r="I52" s="241" t="s">
        <v>1159</v>
      </c>
      <c r="J52" s="76"/>
      <c r="K52" s="105">
        <f t="shared" si="3"/>
        <v>0</v>
      </c>
      <c r="M52" s="55" t="s">
        <v>1146</v>
      </c>
      <c r="N52" s="791"/>
      <c r="O52" s="634"/>
      <c r="P52" s="1036"/>
      <c r="Q52" s="781"/>
      <c r="R52" s="791"/>
    </row>
    <row r="53" spans="1:18" ht="28.5" customHeight="1">
      <c r="A53" s="1328"/>
      <c r="B53" s="1281"/>
      <c r="C53" s="1348"/>
      <c r="D53" s="62"/>
      <c r="E53" s="62"/>
      <c r="F53" s="62">
        <v>301</v>
      </c>
      <c r="G53" s="62">
        <v>400</v>
      </c>
      <c r="H53" s="881">
        <v>3.31</v>
      </c>
      <c r="I53" s="241" t="s">
        <v>1159</v>
      </c>
      <c r="J53" s="76"/>
      <c r="K53" s="105">
        <f t="shared" si="3"/>
        <v>0</v>
      </c>
      <c r="M53" s="55" t="s">
        <v>1146</v>
      </c>
      <c r="N53" s="791"/>
      <c r="O53" s="634"/>
      <c r="P53" s="1036"/>
      <c r="Q53" s="781"/>
      <c r="R53" s="791"/>
    </row>
    <row r="54" spans="1:18" ht="28.5" customHeight="1">
      <c r="A54" s="1328"/>
      <c r="B54" s="1281"/>
      <c r="C54" s="1348"/>
      <c r="D54" s="265"/>
      <c r="E54" s="265"/>
      <c r="F54" s="265">
        <v>401</v>
      </c>
      <c r="G54" s="265">
        <v>500</v>
      </c>
      <c r="H54" s="883">
        <v>3.569</v>
      </c>
      <c r="I54" s="241" t="s">
        <v>1159</v>
      </c>
      <c r="J54" s="268"/>
      <c r="K54" s="105">
        <f t="shared" si="3"/>
        <v>0</v>
      </c>
      <c r="M54" s="55" t="s">
        <v>1146</v>
      </c>
      <c r="N54" s="791"/>
      <c r="O54" s="634"/>
      <c r="P54" s="1036"/>
      <c r="Q54" s="781"/>
      <c r="R54" s="772"/>
    </row>
    <row r="55" spans="1:18" ht="28.5" customHeight="1">
      <c r="A55" s="1328"/>
      <c r="B55" s="1281"/>
      <c r="C55" s="1348"/>
      <c r="D55" s="265"/>
      <c r="E55" s="265"/>
      <c r="F55" s="265">
        <v>501</v>
      </c>
      <c r="G55" s="265">
        <v>600</v>
      </c>
      <c r="H55" s="883">
        <v>3.8279999999999998</v>
      </c>
      <c r="I55" s="241" t="s">
        <v>1159</v>
      </c>
      <c r="J55" s="268"/>
      <c r="K55" s="105">
        <f t="shared" si="3"/>
        <v>0</v>
      </c>
      <c r="M55" s="55" t="s">
        <v>1146</v>
      </c>
      <c r="N55" s="791"/>
      <c r="O55" s="634"/>
      <c r="P55" s="1036"/>
      <c r="Q55" s="781"/>
      <c r="R55" s="772"/>
    </row>
    <row r="56" spans="1:18" ht="28.5" customHeight="1">
      <c r="A56" s="1328"/>
      <c r="B56" s="1281"/>
      <c r="C56" s="1348"/>
      <c r="D56" s="265"/>
      <c r="E56" s="265"/>
      <c r="F56" s="265">
        <v>601</v>
      </c>
      <c r="G56" s="265">
        <v>700</v>
      </c>
      <c r="H56" s="883">
        <v>4.0869999999999997</v>
      </c>
      <c r="I56" s="241" t="s">
        <v>1159</v>
      </c>
      <c r="J56" s="268"/>
      <c r="K56" s="105">
        <f t="shared" si="3"/>
        <v>0</v>
      </c>
      <c r="M56" s="55" t="s">
        <v>1146</v>
      </c>
      <c r="N56" s="791"/>
      <c r="O56" s="634"/>
      <c r="P56" s="1036"/>
      <c r="Q56" s="781"/>
      <c r="R56" s="772"/>
    </row>
    <row r="57" spans="1:18" ht="28.5" customHeight="1">
      <c r="A57" s="1328"/>
      <c r="B57" s="1281"/>
      <c r="C57" s="1348"/>
      <c r="D57" s="265"/>
      <c r="E57" s="265"/>
      <c r="F57" s="265">
        <v>701</v>
      </c>
      <c r="G57" s="265">
        <v>800</v>
      </c>
      <c r="H57" s="883">
        <v>4.3460000000000001</v>
      </c>
      <c r="I57" s="241" t="s">
        <v>1159</v>
      </c>
      <c r="J57" s="268"/>
      <c r="K57" s="105">
        <f t="shared" si="3"/>
        <v>0</v>
      </c>
      <c r="M57" s="55" t="s">
        <v>1146</v>
      </c>
      <c r="N57" s="791"/>
      <c r="O57" s="634"/>
      <c r="P57" s="1036"/>
      <c r="Q57" s="781"/>
      <c r="R57" s="772"/>
    </row>
    <row r="58" spans="1:18" ht="28.5" customHeight="1">
      <c r="A58" s="1328"/>
      <c r="B58" s="1281"/>
      <c r="C58" s="1348"/>
      <c r="D58" s="265"/>
      <c r="E58" s="265"/>
      <c r="F58" s="265">
        <v>801</v>
      </c>
      <c r="G58" s="265">
        <v>900</v>
      </c>
      <c r="H58" s="883">
        <v>4.6050000000000004</v>
      </c>
      <c r="I58" s="241" t="s">
        <v>1159</v>
      </c>
      <c r="J58" s="268"/>
      <c r="K58" s="105">
        <f t="shared" si="3"/>
        <v>0</v>
      </c>
      <c r="M58" s="55" t="s">
        <v>1146</v>
      </c>
      <c r="N58" s="791"/>
      <c r="O58" s="634"/>
      <c r="P58" s="1036"/>
      <c r="Q58" s="781"/>
      <c r="R58" s="772"/>
    </row>
    <row r="59" spans="1:18" ht="21" customHeight="1">
      <c r="A59" s="1328"/>
      <c r="B59" s="1281"/>
      <c r="C59" s="1348"/>
      <c r="D59" s="265"/>
      <c r="E59" s="265"/>
      <c r="F59" s="62">
        <v>901</v>
      </c>
      <c r="G59" s="62">
        <v>1000</v>
      </c>
      <c r="H59" s="883">
        <v>4.8639999999999999</v>
      </c>
      <c r="I59" s="241" t="s">
        <v>1159</v>
      </c>
      <c r="J59" s="268"/>
      <c r="K59" s="105">
        <f t="shared" si="3"/>
        <v>0</v>
      </c>
      <c r="M59" s="55" t="s">
        <v>1146</v>
      </c>
      <c r="N59" s="791"/>
      <c r="O59" s="634"/>
      <c r="P59" s="1036"/>
      <c r="Q59" s="781"/>
      <c r="R59" s="772"/>
    </row>
    <row r="60" spans="1:18" ht="21" customHeight="1">
      <c r="A60" s="1328"/>
      <c r="B60" s="1281"/>
      <c r="C60" s="1348"/>
      <c r="D60" s="62"/>
      <c r="E60" s="62"/>
      <c r="F60" s="62">
        <v>1001</v>
      </c>
      <c r="G60" s="62">
        <v>1200</v>
      </c>
      <c r="H60" s="883">
        <v>5.3819999999999997</v>
      </c>
      <c r="I60" s="241" t="s">
        <v>1159</v>
      </c>
      <c r="J60" s="76"/>
      <c r="K60" s="269">
        <f t="shared" si="3"/>
        <v>0</v>
      </c>
      <c r="M60" s="55" t="s">
        <v>1146</v>
      </c>
      <c r="N60" s="791"/>
      <c r="O60" s="634"/>
      <c r="P60" s="1036"/>
      <c r="Q60" s="781"/>
      <c r="R60" s="772"/>
    </row>
    <row r="61" spans="1:18" ht="21" customHeight="1">
      <c r="A61" s="1328"/>
      <c r="B61" s="1281"/>
      <c r="C61" s="1348"/>
      <c r="D61" s="265"/>
      <c r="E61" s="265"/>
      <c r="F61" s="533">
        <v>1201</v>
      </c>
      <c r="G61" s="533">
        <v>1400</v>
      </c>
      <c r="H61" s="883">
        <v>5.9</v>
      </c>
      <c r="I61" s="241" t="s">
        <v>1159</v>
      </c>
      <c r="J61" s="268"/>
      <c r="K61" s="269">
        <f t="shared" si="3"/>
        <v>0</v>
      </c>
      <c r="M61" s="55" t="s">
        <v>1146</v>
      </c>
      <c r="N61" s="791"/>
      <c r="O61" s="634"/>
      <c r="P61" s="1036"/>
      <c r="Q61" s="781"/>
      <c r="R61" s="772"/>
    </row>
    <row r="62" spans="1:18" ht="21" customHeight="1">
      <c r="A62" s="685"/>
      <c r="B62" s="696"/>
      <c r="C62" s="676"/>
      <c r="D62" s="62"/>
      <c r="E62" s="62"/>
      <c r="F62" s="62"/>
      <c r="G62" s="62"/>
      <c r="H62" s="890"/>
      <c r="I62" s="241"/>
      <c r="J62" s="76"/>
      <c r="K62" s="105"/>
      <c r="N62" s="791"/>
      <c r="O62" s="634"/>
      <c r="P62" s="1036"/>
      <c r="Q62" s="781"/>
      <c r="R62" s="772"/>
    </row>
    <row r="63" spans="1:18" ht="21" customHeight="1">
      <c r="A63" s="685"/>
      <c r="B63" s="696"/>
      <c r="C63" s="676"/>
      <c r="D63" s="62"/>
      <c r="E63" s="62"/>
      <c r="F63" s="62"/>
      <c r="G63" s="62"/>
      <c r="H63" s="709"/>
      <c r="I63" s="241"/>
      <c r="J63" s="76"/>
      <c r="K63" s="105"/>
      <c r="N63" s="791"/>
      <c r="O63" s="634"/>
      <c r="P63" s="1036"/>
      <c r="Q63" s="781"/>
      <c r="R63" s="772"/>
    </row>
    <row r="64" spans="1:18" ht="21" customHeight="1">
      <c r="A64" s="685"/>
      <c r="B64" s="696"/>
      <c r="C64" s="676"/>
      <c r="D64" s="62"/>
      <c r="E64" s="62"/>
      <c r="F64" s="62"/>
      <c r="G64" s="62"/>
      <c r="H64" s="709"/>
      <c r="I64" s="241"/>
      <c r="J64" s="76"/>
      <c r="K64" s="105"/>
      <c r="N64" s="791"/>
      <c r="O64" s="634"/>
      <c r="P64" s="1036"/>
      <c r="Q64" s="781"/>
      <c r="R64" s="772"/>
    </row>
    <row r="65" spans="1:18" ht="21" customHeight="1">
      <c r="A65" s="685"/>
      <c r="B65" s="696"/>
      <c r="C65" s="676"/>
      <c r="D65" s="62"/>
      <c r="E65" s="62"/>
      <c r="F65" s="62"/>
      <c r="G65" s="62"/>
      <c r="H65" s="709"/>
      <c r="I65" s="241"/>
      <c r="J65" s="76"/>
      <c r="K65" s="105"/>
      <c r="N65" s="791"/>
      <c r="O65" s="634"/>
      <c r="P65" s="1036"/>
      <c r="Q65" s="781"/>
      <c r="R65" s="772"/>
    </row>
    <row r="66" spans="1:18" ht="22.5" customHeight="1" thickBot="1">
      <c r="A66" s="106"/>
      <c r="B66" s="115"/>
      <c r="C66" s="69"/>
      <c r="D66" s="69"/>
      <c r="E66" s="69"/>
      <c r="F66" s="69"/>
      <c r="G66" s="69"/>
      <c r="H66" s="69"/>
      <c r="I66" s="235"/>
      <c r="J66" s="111"/>
      <c r="K66" s="112"/>
      <c r="N66" s="791"/>
      <c r="O66" s="634"/>
      <c r="P66" s="1036"/>
      <c r="Q66" s="781"/>
      <c r="R66" s="772"/>
    </row>
    <row r="67" spans="1:18" s="58" customFormat="1" ht="53.25" customHeight="1">
      <c r="A67" s="101" t="s">
        <v>305</v>
      </c>
      <c r="B67" s="57" t="s">
        <v>321</v>
      </c>
      <c r="C67" s="57" t="s">
        <v>96</v>
      </c>
      <c r="D67" s="57"/>
      <c r="E67" s="57"/>
      <c r="F67" s="57"/>
      <c r="G67" s="57"/>
      <c r="H67" s="102" t="s">
        <v>318</v>
      </c>
      <c r="I67" s="234" t="s">
        <v>25</v>
      </c>
      <c r="J67" s="103" t="s">
        <v>308</v>
      </c>
      <c r="K67" s="104" t="s">
        <v>1366</v>
      </c>
      <c r="N67" s="791"/>
      <c r="O67" s="634"/>
      <c r="P67" s="1036"/>
      <c r="Q67" s="781"/>
      <c r="R67" s="772"/>
    </row>
    <row r="68" spans="1:18" ht="103.5" customHeight="1">
      <c r="A68" s="792" t="s">
        <v>1171</v>
      </c>
      <c r="B68" s="325" t="s">
        <v>1117</v>
      </c>
      <c r="C68" s="1022" t="s">
        <v>1172</v>
      </c>
      <c r="D68" s="62"/>
      <c r="E68" s="62"/>
      <c r="F68" s="62"/>
      <c r="G68" s="62"/>
      <c r="H68" s="881">
        <v>2.7</v>
      </c>
      <c r="I68" s="241" t="s">
        <v>1159</v>
      </c>
      <c r="J68" s="76"/>
      <c r="K68" s="105">
        <f>+J68*H68</f>
        <v>0</v>
      </c>
      <c r="M68" s="55" t="s">
        <v>1147</v>
      </c>
      <c r="N68" s="791"/>
      <c r="O68" s="634"/>
      <c r="P68" s="1036"/>
      <c r="Q68" s="781"/>
      <c r="R68" s="772"/>
    </row>
    <row r="69" spans="1:18" ht="103.5" customHeight="1">
      <c r="A69" s="792" t="s">
        <v>1328</v>
      </c>
      <c r="B69" s="1008" t="s">
        <v>1329</v>
      </c>
      <c r="C69" s="1022" t="s">
        <v>1173</v>
      </c>
      <c r="D69" s="1008" t="s">
        <v>1170</v>
      </c>
      <c r="E69" s="62"/>
      <c r="F69" s="62"/>
      <c r="G69" s="62"/>
      <c r="H69" s="881">
        <v>8</v>
      </c>
      <c r="I69" s="241" t="s">
        <v>1159</v>
      </c>
      <c r="J69" s="793"/>
      <c r="K69" s="388">
        <f>+J69*H69</f>
        <v>0</v>
      </c>
      <c r="N69" s="791"/>
      <c r="O69" s="634"/>
      <c r="P69" s="1036"/>
      <c r="Q69" s="781"/>
      <c r="R69" s="772"/>
    </row>
    <row r="70" spans="1:18" ht="42" hidden="1" customHeight="1">
      <c r="A70" s="792" t="s">
        <v>1166</v>
      </c>
      <c r="B70" s="1008" t="s">
        <v>1167</v>
      </c>
      <c r="C70" s="1022" t="s">
        <v>1165</v>
      </c>
      <c r="D70" s="62"/>
      <c r="E70" s="62"/>
      <c r="F70" s="62"/>
      <c r="G70" s="62"/>
      <c r="H70" s="881">
        <v>7</v>
      </c>
      <c r="I70" s="241" t="s">
        <v>1159</v>
      </c>
      <c r="J70" s="793"/>
      <c r="K70" s="388"/>
      <c r="N70" s="791"/>
      <c r="O70" s="634"/>
      <c r="P70" s="1036"/>
      <c r="Q70" s="781"/>
      <c r="R70" s="772"/>
    </row>
    <row r="71" spans="1:18" ht="18" customHeight="1">
      <c r="A71" s="114" t="s">
        <v>236</v>
      </c>
      <c r="B71" s="63" t="s">
        <v>237</v>
      </c>
      <c r="C71" s="63" t="s">
        <v>238</v>
      </c>
      <c r="D71" s="59"/>
      <c r="E71" s="59"/>
      <c r="F71" s="59"/>
      <c r="G71" s="59"/>
      <c r="H71" s="881">
        <v>10.51</v>
      </c>
      <c r="I71" s="241" t="s">
        <v>1159</v>
      </c>
      <c r="J71" s="76"/>
      <c r="K71" s="105">
        <f>+J71*H71</f>
        <v>0</v>
      </c>
      <c r="M71" s="55" t="s">
        <v>1147</v>
      </c>
      <c r="N71" s="791"/>
      <c r="O71" s="634"/>
      <c r="P71" s="1036"/>
      <c r="Q71" s="781"/>
      <c r="R71" s="772"/>
    </row>
    <row r="72" spans="1:18" ht="18" customHeight="1">
      <c r="A72" s="686"/>
      <c r="B72" s="687"/>
      <c r="C72" s="687"/>
      <c r="D72" s="264"/>
      <c r="E72" s="264"/>
      <c r="F72" s="264"/>
      <c r="G72" s="264"/>
      <c r="H72" s="266"/>
      <c r="I72" s="267"/>
      <c r="J72" s="268"/>
      <c r="K72" s="105">
        <f>+J72*H72</f>
        <v>0</v>
      </c>
      <c r="N72" s="791"/>
      <c r="O72" s="634"/>
      <c r="P72" s="1036"/>
      <c r="Q72" s="781"/>
      <c r="R72" s="772"/>
    </row>
    <row r="73" spans="1:18" ht="18" customHeight="1" thickBot="1">
      <c r="A73" s="106"/>
      <c r="B73" s="115"/>
      <c r="C73" s="69"/>
      <c r="D73" s="69"/>
      <c r="E73" s="69"/>
      <c r="F73" s="69"/>
      <c r="G73" s="69"/>
      <c r="H73" s="69"/>
      <c r="I73" s="235"/>
      <c r="J73" s="111"/>
      <c r="K73" s="112"/>
      <c r="N73" s="791"/>
      <c r="O73" s="634"/>
      <c r="P73" s="1036"/>
      <c r="Q73" s="781"/>
      <c r="R73" s="772"/>
    </row>
    <row r="74" spans="1:18" s="58" customFormat="1" ht="53.25" customHeight="1">
      <c r="A74" s="101" t="s">
        <v>133</v>
      </c>
      <c r="B74" s="57" t="s">
        <v>321</v>
      </c>
      <c r="C74" s="57" t="s">
        <v>96</v>
      </c>
      <c r="D74" s="57" t="s">
        <v>99</v>
      </c>
      <c r="E74" s="57" t="s">
        <v>100</v>
      </c>
      <c r="F74" s="57"/>
      <c r="G74" s="57"/>
      <c r="H74" s="102" t="s">
        <v>318</v>
      </c>
      <c r="I74" s="234" t="s">
        <v>25</v>
      </c>
      <c r="J74" s="103" t="s">
        <v>308</v>
      </c>
      <c r="K74" s="104" t="s">
        <v>1366</v>
      </c>
      <c r="N74" s="791"/>
      <c r="O74" s="634"/>
      <c r="P74" s="1036"/>
      <c r="Q74" s="781"/>
      <c r="R74" s="772"/>
    </row>
    <row r="75" spans="1:18" ht="38.25" customHeight="1">
      <c r="A75" s="1342" t="s">
        <v>133</v>
      </c>
      <c r="B75" s="1313" t="s">
        <v>281</v>
      </c>
      <c r="C75" s="997" t="s">
        <v>1018</v>
      </c>
      <c r="D75" s="62">
        <v>0.22</v>
      </c>
      <c r="E75" s="62">
        <v>1.5</v>
      </c>
      <c r="F75" s="59"/>
      <c r="G75" s="59"/>
      <c r="H75" s="881">
        <v>2.62</v>
      </c>
      <c r="I75" s="241" t="s">
        <v>1159</v>
      </c>
      <c r="J75" s="76"/>
      <c r="K75" s="105">
        <f>+J75*H75</f>
        <v>0</v>
      </c>
      <c r="L75" s="772"/>
      <c r="M75" s="772" t="s">
        <v>1146</v>
      </c>
      <c r="N75" s="791"/>
      <c r="O75" s="634"/>
      <c r="P75" s="1036"/>
      <c r="Q75" s="781"/>
      <c r="R75" s="772"/>
    </row>
    <row r="76" spans="1:18" ht="48" customHeight="1">
      <c r="A76" s="1343"/>
      <c r="B76" s="1326"/>
      <c r="C76" s="997" t="s">
        <v>1004</v>
      </c>
      <c r="D76" s="62">
        <v>2</v>
      </c>
      <c r="E76" s="62">
        <v>7</v>
      </c>
      <c r="F76" s="59"/>
      <c r="G76" s="59"/>
      <c r="H76" s="881">
        <v>2.87</v>
      </c>
      <c r="I76" s="241" t="s">
        <v>1159</v>
      </c>
      <c r="J76" s="76"/>
      <c r="K76" s="105">
        <f t="shared" ref="K76:K108" si="4">+J76*H76</f>
        <v>0</v>
      </c>
      <c r="L76" s="772"/>
      <c r="M76" s="772" t="s">
        <v>1151</v>
      </c>
      <c r="N76" s="791"/>
      <c r="O76" s="634"/>
      <c r="P76" s="1036"/>
      <c r="Q76" s="781"/>
      <c r="R76" s="772"/>
    </row>
    <row r="77" spans="1:18" ht="27" customHeight="1">
      <c r="A77" s="1343"/>
      <c r="B77" s="1326"/>
      <c r="C77" s="1008" t="s">
        <v>669</v>
      </c>
      <c r="D77" s="1008" t="s">
        <v>235</v>
      </c>
      <c r="E77" s="62"/>
      <c r="F77" s="59"/>
      <c r="G77" s="59"/>
      <c r="H77" s="881">
        <v>1.08</v>
      </c>
      <c r="I77" s="241" t="s">
        <v>1159</v>
      </c>
      <c r="J77" s="76"/>
      <c r="K77" s="105">
        <f>+J77*H77</f>
        <v>0</v>
      </c>
      <c r="L77" s="772"/>
      <c r="M77" s="772" t="s">
        <v>1147</v>
      </c>
      <c r="N77" s="791"/>
      <c r="O77" s="634"/>
      <c r="P77" s="1036"/>
      <c r="Q77" s="781"/>
      <c r="R77" s="772"/>
    </row>
    <row r="78" spans="1:18" s="65" customFormat="1" ht="49.5" customHeight="1">
      <c r="A78" s="1343"/>
      <c r="B78" s="1008" t="s">
        <v>1073</v>
      </c>
      <c r="C78" s="997" t="s">
        <v>453</v>
      </c>
      <c r="D78" s="62">
        <v>0</v>
      </c>
      <c r="E78" s="62">
        <v>6</v>
      </c>
      <c r="F78" s="62"/>
      <c r="G78" s="62"/>
      <c r="H78" s="881">
        <v>6.3</v>
      </c>
      <c r="I78" s="241" t="s">
        <v>1159</v>
      </c>
      <c r="J78" s="76"/>
      <c r="K78" s="105">
        <f t="shared" si="4"/>
        <v>0</v>
      </c>
      <c r="L78" s="772"/>
      <c r="M78" s="772" t="s">
        <v>1151</v>
      </c>
      <c r="N78" s="791"/>
      <c r="O78" s="634"/>
      <c r="P78" s="1036"/>
      <c r="Q78" s="781"/>
      <c r="R78" s="772"/>
    </row>
    <row r="79" spans="1:18" s="65" customFormat="1" ht="25.5" customHeight="1">
      <c r="A79" s="1343"/>
      <c r="B79" s="1008" t="s">
        <v>1219</v>
      </c>
      <c r="C79" s="997" t="s">
        <v>1220</v>
      </c>
      <c r="D79" s="62">
        <v>8</v>
      </c>
      <c r="E79" s="62">
        <v>103</v>
      </c>
      <c r="F79" s="62"/>
      <c r="G79" s="62"/>
      <c r="H79" s="881">
        <v>6</v>
      </c>
      <c r="I79" s="241" t="s">
        <v>1159</v>
      </c>
      <c r="J79" s="76"/>
      <c r="K79" s="105">
        <f t="shared" si="4"/>
        <v>0</v>
      </c>
      <c r="L79" s="772"/>
      <c r="M79" s="772"/>
      <c r="N79" s="791"/>
      <c r="O79" s="634"/>
      <c r="P79" s="1036"/>
      <c r="Q79" s="781"/>
      <c r="R79" s="772"/>
    </row>
    <row r="80" spans="1:18" ht="25.2" customHeight="1">
      <c r="A80" s="1343"/>
      <c r="B80" s="1008" t="s">
        <v>134</v>
      </c>
      <c r="C80" s="997" t="s">
        <v>454</v>
      </c>
      <c r="D80" s="62">
        <v>8</v>
      </c>
      <c r="E80" s="62">
        <v>103</v>
      </c>
      <c r="F80" s="59"/>
      <c r="G80" s="59"/>
      <c r="H80" s="881">
        <v>6.09</v>
      </c>
      <c r="I80" s="241" t="s">
        <v>1159</v>
      </c>
      <c r="J80" s="76"/>
      <c r="K80" s="105">
        <f t="shared" si="4"/>
        <v>0</v>
      </c>
      <c r="L80" s="772"/>
      <c r="M80" s="772" t="s">
        <v>1147</v>
      </c>
      <c r="N80" s="791"/>
      <c r="O80" s="634"/>
      <c r="P80" s="1036"/>
      <c r="Q80" s="781"/>
      <c r="R80" s="772"/>
    </row>
    <row r="81" spans="1:18" ht="63" customHeight="1">
      <c r="A81" s="1343"/>
      <c r="B81" s="1008" t="s">
        <v>135</v>
      </c>
      <c r="C81" s="997" t="s">
        <v>861</v>
      </c>
      <c r="D81" s="62">
        <v>0</v>
      </c>
      <c r="E81" s="62">
        <v>10</v>
      </c>
      <c r="F81" s="59"/>
      <c r="G81" s="59"/>
      <c r="H81" s="881">
        <v>6.67</v>
      </c>
      <c r="I81" s="241" t="s">
        <v>1159</v>
      </c>
      <c r="J81" s="76"/>
      <c r="K81" s="105">
        <f t="shared" si="4"/>
        <v>0</v>
      </c>
      <c r="L81" s="777"/>
      <c r="M81" s="777" t="s">
        <v>1147</v>
      </c>
      <c r="N81" s="791"/>
      <c r="O81" s="634"/>
      <c r="P81" s="1036"/>
      <c r="Q81" s="781"/>
      <c r="R81" s="772"/>
    </row>
    <row r="82" spans="1:18" ht="25.2" customHeight="1">
      <c r="A82" s="1343"/>
      <c r="B82" s="1325" t="s">
        <v>136</v>
      </c>
      <c r="C82" s="1292" t="s">
        <v>453</v>
      </c>
      <c r="D82" s="62">
        <v>0.13</v>
      </c>
      <c r="E82" s="62">
        <v>0.35</v>
      </c>
      <c r="F82" s="59"/>
      <c r="G82" s="59"/>
      <c r="H82" s="881">
        <v>5.39</v>
      </c>
      <c r="I82" s="241" t="s">
        <v>1159</v>
      </c>
      <c r="J82" s="76"/>
      <c r="K82" s="105">
        <f t="shared" si="4"/>
        <v>0</v>
      </c>
      <c r="L82" s="772"/>
      <c r="M82" s="772" t="s">
        <v>1147</v>
      </c>
      <c r="N82" s="791"/>
      <c r="O82" s="634"/>
      <c r="P82" s="1036"/>
      <c r="Q82" s="781"/>
      <c r="R82" s="772"/>
    </row>
    <row r="83" spans="1:18" ht="25.2" customHeight="1">
      <c r="A83" s="1343"/>
      <c r="B83" s="1293"/>
      <c r="C83" s="1293"/>
      <c r="D83" s="62">
        <v>0.5</v>
      </c>
      <c r="E83" s="62">
        <v>0.85</v>
      </c>
      <c r="F83" s="59"/>
      <c r="G83" s="59"/>
      <c r="H83" s="881">
        <v>5.29</v>
      </c>
      <c r="I83" s="241" t="s">
        <v>1159</v>
      </c>
      <c r="J83" s="76"/>
      <c r="K83" s="105">
        <f t="shared" si="4"/>
        <v>0</v>
      </c>
      <c r="L83" s="772"/>
      <c r="M83" s="772" t="s">
        <v>1146</v>
      </c>
      <c r="N83" s="791"/>
      <c r="O83" s="634"/>
      <c r="P83" s="1036"/>
      <c r="Q83" s="781"/>
      <c r="R83" s="772"/>
    </row>
    <row r="84" spans="1:18" ht="25.2" customHeight="1">
      <c r="A84" s="1343"/>
      <c r="B84" s="1293"/>
      <c r="C84" s="1293"/>
      <c r="D84" s="62">
        <v>1</v>
      </c>
      <c r="E84" s="62">
        <v>2</v>
      </c>
      <c r="F84" s="59"/>
      <c r="G84" s="59"/>
      <c r="H84" s="881">
        <v>5.22</v>
      </c>
      <c r="I84" s="241" t="s">
        <v>1159</v>
      </c>
      <c r="J84" s="76"/>
      <c r="K84" s="105">
        <f t="shared" si="4"/>
        <v>0</v>
      </c>
      <c r="L84" s="772"/>
      <c r="M84" s="772" t="s">
        <v>1146</v>
      </c>
      <c r="N84" s="791"/>
      <c r="O84" s="634"/>
      <c r="P84" s="1036"/>
      <c r="Q84" s="781"/>
      <c r="R84" s="772"/>
    </row>
    <row r="85" spans="1:18" ht="25.2" customHeight="1">
      <c r="A85" s="1343"/>
      <c r="B85" s="1293"/>
      <c r="C85" s="1293"/>
      <c r="D85" s="62">
        <v>2.5</v>
      </c>
      <c r="E85" s="62">
        <v>7</v>
      </c>
      <c r="F85" s="59"/>
      <c r="G85" s="59"/>
      <c r="H85" s="881">
        <v>5.77</v>
      </c>
      <c r="I85" s="241" t="s">
        <v>1159</v>
      </c>
      <c r="J85" s="76"/>
      <c r="K85" s="105">
        <f t="shared" si="4"/>
        <v>0</v>
      </c>
      <c r="L85" s="772"/>
      <c r="M85" s="772" t="s">
        <v>1146</v>
      </c>
      <c r="N85" s="791"/>
      <c r="O85" s="634"/>
      <c r="P85" s="1036"/>
      <c r="Q85" s="781"/>
      <c r="R85" s="772"/>
    </row>
    <row r="86" spans="1:18" ht="25.2" customHeight="1">
      <c r="A86" s="1343"/>
      <c r="B86" s="1008" t="s">
        <v>1035</v>
      </c>
      <c r="C86" s="662" t="s">
        <v>453</v>
      </c>
      <c r="D86" s="62">
        <v>0.13</v>
      </c>
      <c r="E86" s="62">
        <v>0.35</v>
      </c>
      <c r="F86" s="62"/>
      <c r="G86" s="62"/>
      <c r="H86" s="881">
        <v>14</v>
      </c>
      <c r="I86" s="241" t="s">
        <v>1159</v>
      </c>
      <c r="J86" s="76"/>
      <c r="K86" s="105">
        <f t="shared" si="4"/>
        <v>0</v>
      </c>
      <c r="L86" s="772"/>
      <c r="M86" s="772" t="s">
        <v>1146</v>
      </c>
      <c r="N86" s="791"/>
      <c r="O86" s="634"/>
      <c r="P86" s="1036"/>
      <c r="Q86" s="781"/>
      <c r="R86" s="772"/>
    </row>
    <row r="87" spans="1:18" ht="25.2" customHeight="1">
      <c r="A87" s="1343"/>
      <c r="B87" s="1008" t="s">
        <v>137</v>
      </c>
      <c r="C87" s="662" t="s">
        <v>453</v>
      </c>
      <c r="D87" s="62">
        <v>0</v>
      </c>
      <c r="E87" s="62">
        <v>5</v>
      </c>
      <c r="F87" s="59"/>
      <c r="G87" s="59"/>
      <c r="H87" s="881">
        <v>8.1999999999999993</v>
      </c>
      <c r="I87" s="241" t="s">
        <v>1159</v>
      </c>
      <c r="J87" s="76"/>
      <c r="K87" s="105">
        <f t="shared" si="4"/>
        <v>0</v>
      </c>
      <c r="L87" s="772"/>
      <c r="M87" s="772" t="s">
        <v>1146</v>
      </c>
      <c r="N87" s="791"/>
      <c r="O87" s="634"/>
      <c r="P87" s="1036"/>
      <c r="Q87" s="781"/>
      <c r="R87" s="772"/>
    </row>
    <row r="88" spans="1:18" ht="25.2" customHeight="1">
      <c r="A88" s="1343"/>
      <c r="B88" s="1008" t="s">
        <v>138</v>
      </c>
      <c r="C88" s="997" t="s">
        <v>454</v>
      </c>
      <c r="D88" s="62">
        <v>8</v>
      </c>
      <c r="E88" s="62">
        <v>103</v>
      </c>
      <c r="F88" s="59"/>
      <c r="G88" s="59"/>
      <c r="H88" s="881">
        <v>13.85</v>
      </c>
      <c r="I88" s="241" t="s">
        <v>1159</v>
      </c>
      <c r="J88" s="76"/>
      <c r="K88" s="105">
        <f t="shared" si="4"/>
        <v>0</v>
      </c>
      <c r="L88" s="772"/>
      <c r="M88" s="772" t="s">
        <v>1146</v>
      </c>
      <c r="N88" s="791"/>
      <c r="O88" s="634"/>
      <c r="P88" s="1036"/>
      <c r="Q88" s="781"/>
      <c r="R88" s="772"/>
    </row>
    <row r="89" spans="1:18" ht="25.2" customHeight="1">
      <c r="A89" s="1343"/>
      <c r="B89" s="1008" t="s">
        <v>139</v>
      </c>
      <c r="C89" s="997" t="s">
        <v>453</v>
      </c>
      <c r="D89" s="62">
        <v>0.13</v>
      </c>
      <c r="E89" s="62">
        <v>7</v>
      </c>
      <c r="F89" s="59"/>
      <c r="G89" s="59"/>
      <c r="H89" s="881">
        <v>10.5</v>
      </c>
      <c r="I89" s="241" t="s">
        <v>1159</v>
      </c>
      <c r="J89" s="76"/>
      <c r="K89" s="105">
        <f t="shared" si="4"/>
        <v>0</v>
      </c>
      <c r="L89" s="772"/>
      <c r="M89" s="772" t="s">
        <v>1146</v>
      </c>
      <c r="N89" s="791"/>
      <c r="O89" s="634"/>
      <c r="P89" s="1036"/>
      <c r="Q89" s="781"/>
      <c r="R89" s="772"/>
    </row>
    <row r="90" spans="1:18" ht="25.2" customHeight="1">
      <c r="A90" s="1343"/>
      <c r="B90" s="1008" t="s">
        <v>140</v>
      </c>
      <c r="C90" s="997" t="s">
        <v>454</v>
      </c>
      <c r="D90" s="62">
        <v>8</v>
      </c>
      <c r="E90" s="62">
        <v>103</v>
      </c>
      <c r="F90" s="59"/>
      <c r="G90" s="59"/>
      <c r="H90" s="881">
        <v>19.600000000000001</v>
      </c>
      <c r="I90" s="241" t="s">
        <v>1159</v>
      </c>
      <c r="J90" s="76"/>
      <c r="K90" s="105">
        <f t="shared" si="4"/>
        <v>0</v>
      </c>
      <c r="L90" s="772"/>
      <c r="M90" s="772" t="s">
        <v>1146</v>
      </c>
      <c r="N90" s="791"/>
      <c r="O90" s="634"/>
      <c r="P90" s="1036"/>
      <c r="Q90" s="781"/>
      <c r="R90" s="772"/>
    </row>
    <row r="91" spans="1:18" ht="25.2" customHeight="1">
      <c r="A91" s="1343"/>
      <c r="B91" s="1008" t="s">
        <v>141</v>
      </c>
      <c r="C91" s="997" t="s">
        <v>455</v>
      </c>
      <c r="D91" s="62">
        <v>0.22</v>
      </c>
      <c r="E91" s="62">
        <v>8</v>
      </c>
      <c r="F91" s="59"/>
      <c r="G91" s="59"/>
      <c r="H91" s="881">
        <v>9.89</v>
      </c>
      <c r="I91" s="241" t="s">
        <v>1159</v>
      </c>
      <c r="J91" s="76"/>
      <c r="K91" s="105">
        <f t="shared" si="4"/>
        <v>0</v>
      </c>
      <c r="L91" s="772"/>
      <c r="M91" s="772" t="s">
        <v>1147</v>
      </c>
      <c r="N91" s="791"/>
      <c r="O91" s="634"/>
      <c r="P91" s="1036"/>
      <c r="Q91" s="781"/>
      <c r="R91" s="772"/>
    </row>
    <row r="92" spans="1:18" ht="57" customHeight="1">
      <c r="A92" s="1343"/>
      <c r="B92" s="1008" t="s">
        <v>1064</v>
      </c>
      <c r="C92" s="1292" t="s">
        <v>142</v>
      </c>
      <c r="D92" s="712">
        <v>0.3</v>
      </c>
      <c r="E92" s="62">
        <v>103</v>
      </c>
      <c r="F92" s="59"/>
      <c r="G92" s="59"/>
      <c r="H92" s="881">
        <v>7.6</v>
      </c>
      <c r="I92" s="241" t="s">
        <v>1159</v>
      </c>
      <c r="J92" s="76"/>
      <c r="K92" s="105">
        <f t="shared" si="4"/>
        <v>0</v>
      </c>
      <c r="L92" s="777"/>
      <c r="M92" s="777" t="s">
        <v>1146</v>
      </c>
      <c r="N92" s="791"/>
      <c r="O92" s="634"/>
      <c r="P92" s="1036"/>
      <c r="Q92" s="781"/>
      <c r="R92" s="772"/>
    </row>
    <row r="93" spans="1:18" ht="25.2" customHeight="1">
      <c r="A93" s="1343"/>
      <c r="B93" s="1008" t="s">
        <v>143</v>
      </c>
      <c r="C93" s="1293"/>
      <c r="D93" s="62">
        <v>8</v>
      </c>
      <c r="E93" s="62">
        <v>103</v>
      </c>
      <c r="F93" s="59"/>
      <c r="G93" s="59"/>
      <c r="H93" s="881">
        <v>9.6</v>
      </c>
      <c r="I93" s="241" t="s">
        <v>1159</v>
      </c>
      <c r="J93" s="76"/>
      <c r="K93" s="105">
        <f t="shared" si="4"/>
        <v>0</v>
      </c>
      <c r="L93" s="772"/>
      <c r="M93" s="772" t="s">
        <v>1146</v>
      </c>
      <c r="N93" s="791"/>
      <c r="O93" s="634"/>
      <c r="P93" s="1036"/>
      <c r="Q93" s="781"/>
      <c r="R93" s="772"/>
    </row>
    <row r="94" spans="1:18" ht="25.2" customHeight="1">
      <c r="A94" s="1343"/>
      <c r="B94" s="1008" t="s">
        <v>144</v>
      </c>
      <c r="C94" s="1293"/>
      <c r="D94" s="62">
        <v>8</v>
      </c>
      <c r="E94" s="62">
        <v>103</v>
      </c>
      <c r="F94" s="59"/>
      <c r="G94" s="59"/>
      <c r="H94" s="881">
        <v>14.51</v>
      </c>
      <c r="I94" s="241" t="s">
        <v>1159</v>
      </c>
      <c r="J94" s="76"/>
      <c r="K94" s="105">
        <f t="shared" si="4"/>
        <v>0</v>
      </c>
      <c r="L94" s="772"/>
      <c r="M94" s="772" t="s">
        <v>1146</v>
      </c>
      <c r="N94" s="791"/>
      <c r="O94" s="634"/>
      <c r="P94" s="1036"/>
      <c r="Q94" s="781"/>
      <c r="R94" s="772"/>
    </row>
    <row r="95" spans="1:18" ht="25.2" customHeight="1">
      <c r="A95" s="1343"/>
      <c r="B95" s="1008" t="s">
        <v>145</v>
      </c>
      <c r="C95" s="1293"/>
      <c r="D95" s="62">
        <v>8</v>
      </c>
      <c r="E95" s="62">
        <v>103</v>
      </c>
      <c r="F95" s="59"/>
      <c r="G95" s="59"/>
      <c r="H95" s="881">
        <v>16.399999999999999</v>
      </c>
      <c r="I95" s="241" t="s">
        <v>1159</v>
      </c>
      <c r="J95" s="76"/>
      <c r="K95" s="105">
        <f t="shared" si="4"/>
        <v>0</v>
      </c>
      <c r="L95" s="772"/>
      <c r="M95" s="772" t="s">
        <v>1146</v>
      </c>
      <c r="N95" s="791"/>
      <c r="O95" s="634"/>
      <c r="P95" s="1036"/>
      <c r="Q95" s="781"/>
      <c r="R95" s="772"/>
    </row>
    <row r="96" spans="1:18" ht="69.75" customHeight="1">
      <c r="A96" s="1343"/>
      <c r="B96" s="1008" t="s">
        <v>1058</v>
      </c>
      <c r="C96" s="1008" t="s">
        <v>1046</v>
      </c>
      <c r="D96" s="62">
        <v>0</v>
      </c>
      <c r="E96" s="62">
        <v>103</v>
      </c>
      <c r="F96" s="62"/>
      <c r="G96" s="62"/>
      <c r="H96" s="881">
        <v>0.8</v>
      </c>
      <c r="I96" s="241" t="s">
        <v>1159</v>
      </c>
      <c r="J96" s="76"/>
      <c r="K96" s="105">
        <f t="shared" si="4"/>
        <v>0</v>
      </c>
      <c r="L96" s="777"/>
      <c r="M96" s="777" t="s">
        <v>1147</v>
      </c>
      <c r="N96" s="791"/>
      <c r="O96" s="634"/>
      <c r="P96" s="1036"/>
      <c r="Q96" s="781"/>
      <c r="R96" s="772"/>
    </row>
    <row r="97" spans="1:18" ht="25.2" customHeight="1">
      <c r="A97" s="1344"/>
      <c r="B97" s="1008" t="s">
        <v>833</v>
      </c>
      <c r="C97" s="1008" t="s">
        <v>453</v>
      </c>
      <c r="D97" s="62">
        <v>0.22</v>
      </c>
      <c r="E97" s="62">
        <v>103</v>
      </c>
      <c r="F97" s="62"/>
      <c r="G97" s="59"/>
      <c r="H97" s="881">
        <v>30.7</v>
      </c>
      <c r="I97" s="241" t="s">
        <v>1159</v>
      </c>
      <c r="J97" s="76"/>
      <c r="K97" s="105">
        <f t="shared" si="4"/>
        <v>0</v>
      </c>
      <c r="L97" s="772"/>
      <c r="M97" s="772" t="s">
        <v>1146</v>
      </c>
      <c r="N97" s="791"/>
      <c r="O97" s="634"/>
      <c r="P97" s="1036"/>
      <c r="Q97" s="781"/>
      <c r="R97" s="772"/>
    </row>
    <row r="98" spans="1:18" ht="39" customHeight="1">
      <c r="A98" s="1318" t="s">
        <v>233</v>
      </c>
      <c r="B98" s="1008" t="s">
        <v>782</v>
      </c>
      <c r="C98" s="1008" t="s">
        <v>234</v>
      </c>
      <c r="D98" s="62"/>
      <c r="E98" s="62"/>
      <c r="F98" s="62"/>
      <c r="G98" s="62"/>
      <c r="H98" s="881">
        <v>24.49</v>
      </c>
      <c r="I98" s="241" t="s">
        <v>1159</v>
      </c>
      <c r="J98" s="76"/>
      <c r="K98" s="105">
        <f t="shared" si="4"/>
        <v>0</v>
      </c>
      <c r="L98" s="772"/>
      <c r="M98" s="772" t="s">
        <v>1147</v>
      </c>
      <c r="N98" s="791"/>
      <c r="O98" s="634"/>
      <c r="P98" s="1036"/>
      <c r="Q98" s="781"/>
      <c r="R98" s="772"/>
    </row>
    <row r="99" spans="1:18" ht="33.75" customHeight="1">
      <c r="A99" s="1319"/>
      <c r="B99" s="1008" t="s">
        <v>469</v>
      </c>
      <c r="C99" s="1008"/>
      <c r="D99" s="62"/>
      <c r="E99" s="62"/>
      <c r="F99" s="62"/>
      <c r="G99" s="62"/>
      <c r="H99" s="881">
        <v>2.68</v>
      </c>
      <c r="I99" s="241" t="s">
        <v>1159</v>
      </c>
      <c r="J99" s="76"/>
      <c r="K99" s="105">
        <f t="shared" si="4"/>
        <v>0</v>
      </c>
      <c r="L99" s="772"/>
      <c r="M99" s="772" t="s">
        <v>1147</v>
      </c>
      <c r="N99" s="791"/>
      <c r="O99" s="634"/>
      <c r="P99" s="1036"/>
      <c r="Q99" s="781"/>
      <c r="R99" s="772"/>
    </row>
    <row r="100" spans="1:18" ht="38.25" customHeight="1">
      <c r="A100" s="1023" t="s">
        <v>732</v>
      </c>
      <c r="B100" s="1008" t="s">
        <v>729</v>
      </c>
      <c r="C100" s="486" t="s">
        <v>730</v>
      </c>
      <c r="D100" s="62">
        <v>0</v>
      </c>
      <c r="E100" s="62">
        <v>103</v>
      </c>
      <c r="F100" s="59"/>
      <c r="G100" s="59"/>
      <c r="H100" s="881">
        <v>20</v>
      </c>
      <c r="I100" s="241" t="s">
        <v>1159</v>
      </c>
      <c r="J100" s="76"/>
      <c r="K100" s="105">
        <f t="shared" si="4"/>
        <v>0</v>
      </c>
      <c r="L100" s="772"/>
      <c r="M100" s="772" t="s">
        <v>1147</v>
      </c>
      <c r="N100" s="791"/>
      <c r="O100" s="634"/>
      <c r="P100" s="1036"/>
      <c r="Q100" s="781"/>
      <c r="R100" s="772"/>
    </row>
    <row r="101" spans="1:18" ht="27" customHeight="1">
      <c r="A101" s="1332" t="s">
        <v>146</v>
      </c>
      <c r="B101" s="1325" t="s">
        <v>147</v>
      </c>
      <c r="C101" s="1292" t="s">
        <v>148</v>
      </c>
      <c r="D101" s="62">
        <v>0.3</v>
      </c>
      <c r="E101" s="62">
        <v>6</v>
      </c>
      <c r="F101" s="59"/>
      <c r="G101" s="59"/>
      <c r="H101" s="881">
        <v>3.86</v>
      </c>
      <c r="I101" s="241" t="s">
        <v>1159</v>
      </c>
      <c r="J101" s="76"/>
      <c r="K101" s="105">
        <f t="shared" si="4"/>
        <v>0</v>
      </c>
      <c r="L101" s="772"/>
      <c r="M101" s="772" t="s">
        <v>1146</v>
      </c>
      <c r="N101" s="791"/>
      <c r="O101" s="634"/>
      <c r="P101" s="1036"/>
      <c r="Q101" s="781"/>
      <c r="R101" s="772"/>
    </row>
    <row r="102" spans="1:18" ht="27" customHeight="1">
      <c r="A102" s="1333"/>
      <c r="B102" s="1293"/>
      <c r="C102" s="1293"/>
      <c r="D102" s="62">
        <v>6</v>
      </c>
      <c r="E102" s="62">
        <v>103</v>
      </c>
      <c r="F102" s="59"/>
      <c r="G102" s="59"/>
      <c r="H102" s="881">
        <v>4.4400000000000004</v>
      </c>
      <c r="I102" s="241" t="s">
        <v>1159</v>
      </c>
      <c r="J102" s="76"/>
      <c r="K102" s="105">
        <f t="shared" si="4"/>
        <v>0</v>
      </c>
      <c r="L102" s="772"/>
      <c r="M102" s="772" t="s">
        <v>1146</v>
      </c>
      <c r="N102" s="791"/>
      <c r="O102" s="634"/>
      <c r="P102" s="1036"/>
      <c r="Q102" s="781"/>
      <c r="R102" s="791"/>
    </row>
    <row r="103" spans="1:18" ht="27" customHeight="1">
      <c r="A103" s="487" t="s">
        <v>727</v>
      </c>
      <c r="B103" s="486" t="s">
        <v>728</v>
      </c>
      <c r="C103" s="998"/>
      <c r="D103" s="62">
        <v>7</v>
      </c>
      <c r="E103" s="62">
        <v>103</v>
      </c>
      <c r="F103" s="59"/>
      <c r="G103" s="59"/>
      <c r="H103" s="881">
        <v>11.74</v>
      </c>
      <c r="I103" s="241" t="s">
        <v>1159</v>
      </c>
      <c r="J103" s="76"/>
      <c r="K103" s="105">
        <f t="shared" si="4"/>
        <v>0</v>
      </c>
      <c r="L103" s="772"/>
      <c r="M103" s="772" t="s">
        <v>1147</v>
      </c>
      <c r="N103" s="791"/>
      <c r="O103" s="634"/>
      <c r="P103" s="1036"/>
      <c r="Q103" s="781"/>
      <c r="R103" s="791"/>
    </row>
    <row r="104" spans="1:18" ht="27" customHeight="1">
      <c r="A104" s="1005" t="s">
        <v>227</v>
      </c>
      <c r="B104" s="1008" t="s">
        <v>228</v>
      </c>
      <c r="C104" s="1008" t="s">
        <v>229</v>
      </c>
      <c r="D104" s="62"/>
      <c r="E104" s="62"/>
      <c r="F104" s="59"/>
      <c r="G104" s="59"/>
      <c r="H104" s="881">
        <v>0.91</v>
      </c>
      <c r="I104" s="241" t="s">
        <v>1159</v>
      </c>
      <c r="J104" s="76"/>
      <c r="K104" s="105">
        <f t="shared" si="4"/>
        <v>0</v>
      </c>
      <c r="L104" s="772"/>
      <c r="M104" s="772" t="s">
        <v>1147</v>
      </c>
      <c r="N104" s="791"/>
      <c r="O104" s="634"/>
      <c r="P104" s="1036"/>
      <c r="Q104" s="781"/>
      <c r="R104" s="791"/>
    </row>
    <row r="105" spans="1:18" ht="50.25" customHeight="1">
      <c r="A105" s="1011" t="s">
        <v>856</v>
      </c>
      <c r="B105" s="1008" t="s">
        <v>857</v>
      </c>
      <c r="C105" s="997" t="s">
        <v>858</v>
      </c>
      <c r="D105" s="62">
        <v>0.22</v>
      </c>
      <c r="E105" s="62">
        <v>6</v>
      </c>
      <c r="F105" s="62"/>
      <c r="G105" s="62"/>
      <c r="H105" s="881">
        <v>4.49</v>
      </c>
      <c r="I105" s="241" t="s">
        <v>1159</v>
      </c>
      <c r="J105" s="76"/>
      <c r="K105" s="105">
        <f t="shared" si="4"/>
        <v>0</v>
      </c>
      <c r="L105" s="777"/>
      <c r="M105" s="777" t="s">
        <v>1147</v>
      </c>
      <c r="N105" s="791"/>
      <c r="O105" s="634"/>
      <c r="P105" s="1036"/>
      <c r="Q105" s="781"/>
      <c r="R105" s="791"/>
    </row>
    <row r="106" spans="1:18" ht="51" customHeight="1">
      <c r="A106" s="1011" t="s">
        <v>1161</v>
      </c>
      <c r="B106" s="1009" t="s">
        <v>1162</v>
      </c>
      <c r="C106" s="1009" t="s">
        <v>1164</v>
      </c>
      <c r="D106" s="265">
        <v>0.22</v>
      </c>
      <c r="E106" s="265">
        <v>6</v>
      </c>
      <c r="F106" s="265"/>
      <c r="G106" s="265"/>
      <c r="H106" s="883">
        <v>3.6</v>
      </c>
      <c r="I106" s="267" t="s">
        <v>1159</v>
      </c>
      <c r="J106" s="268"/>
      <c r="K106" s="269">
        <f t="shared" si="4"/>
        <v>0</v>
      </c>
      <c r="L106" s="777"/>
      <c r="M106" s="777" t="s">
        <v>1147</v>
      </c>
      <c r="N106" s="791"/>
      <c r="O106" s="634"/>
      <c r="P106" s="1036"/>
      <c r="Q106" s="781"/>
      <c r="R106" s="791"/>
    </row>
    <row r="107" spans="1:18" ht="18.75" customHeight="1">
      <c r="A107" s="1005"/>
      <c r="B107" s="1008"/>
      <c r="C107" s="1008"/>
      <c r="D107" s="62"/>
      <c r="E107" s="62"/>
      <c r="F107" s="62"/>
      <c r="G107" s="62"/>
      <c r="H107" s="240"/>
      <c r="I107" s="241"/>
      <c r="J107" s="76"/>
      <c r="K107" s="269">
        <f t="shared" si="4"/>
        <v>0</v>
      </c>
      <c r="L107" s="65"/>
      <c r="M107" s="65"/>
      <c r="N107" s="791"/>
      <c r="O107" s="634"/>
      <c r="P107" s="1036"/>
      <c r="Q107" s="781"/>
      <c r="R107" s="791"/>
    </row>
    <row r="108" spans="1:18" ht="21" customHeight="1">
      <c r="A108" s="1005"/>
      <c r="B108" s="1008"/>
      <c r="C108" s="1008"/>
      <c r="D108" s="62"/>
      <c r="E108" s="62"/>
      <c r="F108" s="62"/>
      <c r="G108" s="62"/>
      <c r="H108" s="240"/>
      <c r="I108" s="241"/>
      <c r="J108" s="76"/>
      <c r="K108" s="269">
        <f t="shared" si="4"/>
        <v>0</v>
      </c>
      <c r="L108" s="65"/>
      <c r="M108" s="65"/>
      <c r="N108" s="791"/>
      <c r="O108" s="634"/>
      <c r="P108" s="1036"/>
      <c r="Q108" s="781"/>
      <c r="R108" s="791"/>
    </row>
    <row r="109" spans="1:18" ht="20.25" customHeight="1" thickBot="1">
      <c r="A109" s="1025"/>
      <c r="B109" s="1010"/>
      <c r="C109" s="1010"/>
      <c r="D109" s="533"/>
      <c r="E109" s="533"/>
      <c r="F109" s="533"/>
      <c r="G109" s="533"/>
      <c r="H109" s="281"/>
      <c r="I109" s="282"/>
      <c r="J109" s="283"/>
      <c r="K109" s="290"/>
      <c r="L109" s="65"/>
      <c r="M109" s="65"/>
      <c r="N109" s="791"/>
      <c r="O109" s="634"/>
      <c r="P109" s="1036"/>
      <c r="Q109" s="781"/>
      <c r="R109" s="791"/>
    </row>
    <row r="110" spans="1:18" s="58" customFormat="1" ht="53.25" customHeight="1">
      <c r="A110" s="101" t="s">
        <v>674</v>
      </c>
      <c r="B110" s="57" t="s">
        <v>321</v>
      </c>
      <c r="C110" s="57" t="s">
        <v>96</v>
      </c>
      <c r="D110" s="57" t="s">
        <v>99</v>
      </c>
      <c r="E110" s="57" t="s">
        <v>100</v>
      </c>
      <c r="F110" s="57" t="s">
        <v>101</v>
      </c>
      <c r="G110" s="57" t="s">
        <v>102</v>
      </c>
      <c r="H110" s="102" t="s">
        <v>318</v>
      </c>
      <c r="I110" s="234" t="s">
        <v>25</v>
      </c>
      <c r="J110" s="103" t="s">
        <v>308</v>
      </c>
      <c r="K110" s="104" t="s">
        <v>1366</v>
      </c>
      <c r="N110" s="791"/>
      <c r="O110" s="634"/>
      <c r="P110" s="1036"/>
      <c r="Q110" s="781"/>
      <c r="R110" s="791"/>
    </row>
    <row r="111" spans="1:18" ht="60" customHeight="1">
      <c r="A111" s="1321" t="s">
        <v>674</v>
      </c>
      <c r="B111" s="1008" t="s">
        <v>850</v>
      </c>
      <c r="C111" s="1313" t="s">
        <v>713</v>
      </c>
      <c r="D111" s="62">
        <v>0.22</v>
      </c>
      <c r="E111" s="62">
        <v>5</v>
      </c>
      <c r="F111" s="62">
        <v>0</v>
      </c>
      <c r="G111" s="62">
        <v>99999</v>
      </c>
      <c r="H111" s="881">
        <v>8.6</v>
      </c>
      <c r="I111" s="241" t="s">
        <v>1159</v>
      </c>
      <c r="J111" s="76"/>
      <c r="K111" s="105">
        <f>+J111*H111</f>
        <v>0</v>
      </c>
      <c r="M111" s="55" t="s">
        <v>1147</v>
      </c>
      <c r="N111" s="791"/>
      <c r="O111" s="634"/>
      <c r="P111" s="1036"/>
      <c r="Q111" s="781"/>
      <c r="R111" s="791"/>
    </row>
    <row r="112" spans="1:18" ht="75.75" customHeight="1" thickBot="1">
      <c r="A112" s="1321"/>
      <c r="B112" s="1008" t="s">
        <v>825</v>
      </c>
      <c r="C112" s="1314"/>
      <c r="D112" s="62">
        <v>0.22</v>
      </c>
      <c r="E112" s="62">
        <v>5</v>
      </c>
      <c r="F112" s="62">
        <v>0</v>
      </c>
      <c r="G112" s="62">
        <v>99999</v>
      </c>
      <c r="H112" s="881">
        <v>13.5</v>
      </c>
      <c r="I112" s="241" t="s">
        <v>1159</v>
      </c>
      <c r="J112" s="76"/>
      <c r="K112" s="105">
        <f>+J112*H112</f>
        <v>0</v>
      </c>
      <c r="M112" s="55" t="s">
        <v>1147</v>
      </c>
      <c r="N112" s="791"/>
      <c r="O112" s="634"/>
      <c r="P112" s="1036"/>
      <c r="Q112" s="781"/>
      <c r="R112" s="791"/>
    </row>
    <row r="113" spans="1:18" s="58" customFormat="1" ht="53.25" customHeight="1">
      <c r="A113" s="101" t="s">
        <v>556</v>
      </c>
      <c r="B113" s="57" t="s">
        <v>321</v>
      </c>
      <c r="C113" s="57" t="s">
        <v>96</v>
      </c>
      <c r="D113" s="57" t="s">
        <v>97</v>
      </c>
      <c r="E113" s="57"/>
      <c r="F113" s="57"/>
      <c r="G113" s="57"/>
      <c r="H113" s="102" t="s">
        <v>318</v>
      </c>
      <c r="I113" s="234" t="s">
        <v>25</v>
      </c>
      <c r="J113" s="103" t="s">
        <v>308</v>
      </c>
      <c r="K113" s="104" t="s">
        <v>1366</v>
      </c>
      <c r="N113" s="791"/>
      <c r="O113" s="634"/>
      <c r="P113" s="1036"/>
      <c r="Q113" s="781"/>
      <c r="R113" s="791"/>
    </row>
    <row r="114" spans="1:18" ht="22.5" customHeight="1">
      <c r="A114" s="1320" t="s">
        <v>240</v>
      </c>
      <c r="B114" s="64" t="s">
        <v>241</v>
      </c>
      <c r="C114" s="63" t="s">
        <v>242</v>
      </c>
      <c r="D114" s="59"/>
      <c r="E114" s="59"/>
      <c r="F114" s="59"/>
      <c r="G114" s="59"/>
      <c r="H114" s="881">
        <v>2.94</v>
      </c>
      <c r="I114" s="241" t="s">
        <v>1159</v>
      </c>
      <c r="J114" s="76"/>
      <c r="K114" s="105">
        <f>+J114*H114</f>
        <v>0</v>
      </c>
      <c r="L114" s="772"/>
      <c r="M114" s="772" t="s">
        <v>1146</v>
      </c>
      <c r="N114" s="791"/>
      <c r="O114" s="634"/>
      <c r="P114" s="1036"/>
      <c r="Q114" s="781"/>
      <c r="R114" s="791"/>
    </row>
    <row r="115" spans="1:18" ht="22.5" customHeight="1">
      <c r="A115" s="1320"/>
      <c r="B115" s="325" t="s">
        <v>645</v>
      </c>
      <c r="C115" s="63" t="s">
        <v>243</v>
      </c>
      <c r="D115" s="59"/>
      <c r="E115" s="59"/>
      <c r="F115" s="59"/>
      <c r="G115" s="59"/>
      <c r="H115" s="881">
        <v>17.25</v>
      </c>
      <c r="I115" s="241" t="s">
        <v>1159</v>
      </c>
      <c r="J115" s="76"/>
      <c r="K115" s="105">
        <f>+J115*H115</f>
        <v>0</v>
      </c>
      <c r="L115" s="772"/>
      <c r="M115" s="772" t="s">
        <v>1146</v>
      </c>
      <c r="N115" s="791"/>
      <c r="O115" s="634"/>
      <c r="P115" s="1036"/>
      <c r="Q115" s="781"/>
      <c r="R115" s="791"/>
    </row>
    <row r="116" spans="1:18" ht="22.5" customHeight="1">
      <c r="A116" s="114" t="s">
        <v>671</v>
      </c>
      <c r="B116" s="63" t="s">
        <v>244</v>
      </c>
      <c r="C116" s="66" t="s">
        <v>245</v>
      </c>
      <c r="D116" s="59">
        <v>12110145</v>
      </c>
      <c r="E116" s="59"/>
      <c r="F116" s="59"/>
      <c r="G116" s="59"/>
      <c r="H116" s="881">
        <v>18.11</v>
      </c>
      <c r="I116" s="241" t="s">
        <v>1159</v>
      </c>
      <c r="J116" s="76"/>
      <c r="K116" s="105">
        <f>+J116*H116</f>
        <v>0</v>
      </c>
      <c r="L116" s="772"/>
      <c r="M116" s="772" t="s">
        <v>1146</v>
      </c>
      <c r="N116" s="791"/>
      <c r="O116" s="634"/>
      <c r="P116" s="1036"/>
      <c r="Q116" s="781"/>
      <c r="R116" s="791"/>
    </row>
    <row r="117" spans="1:18" ht="22.5" customHeight="1" thickBot="1">
      <c r="A117" s="116"/>
      <c r="B117" s="107"/>
      <c r="C117" s="117"/>
      <c r="D117" s="109"/>
      <c r="E117" s="109"/>
      <c r="F117" s="109"/>
      <c r="G117" s="69"/>
      <c r="H117" s="889"/>
      <c r="I117" s="235"/>
      <c r="J117" s="111"/>
      <c r="K117" s="112"/>
      <c r="L117" s="772"/>
      <c r="M117" s="772"/>
      <c r="N117" s="791"/>
      <c r="O117" s="634"/>
      <c r="P117" s="1036"/>
      <c r="Q117" s="781"/>
      <c r="R117" s="791"/>
    </row>
    <row r="118" spans="1:18" s="58" customFormat="1" ht="53.25" customHeight="1">
      <c r="A118" s="101" t="s">
        <v>191</v>
      </c>
      <c r="B118" s="57" t="s">
        <v>321</v>
      </c>
      <c r="C118" s="57" t="s">
        <v>96</v>
      </c>
      <c r="D118" s="57"/>
      <c r="E118" s="57"/>
      <c r="F118" s="57"/>
      <c r="G118" s="57"/>
      <c r="H118" s="102" t="s">
        <v>318</v>
      </c>
      <c r="I118" s="234" t="s">
        <v>25</v>
      </c>
      <c r="J118" s="103" t="s">
        <v>308</v>
      </c>
      <c r="K118" s="104" t="s">
        <v>1366</v>
      </c>
      <c r="N118" s="791"/>
      <c r="O118" s="634"/>
      <c r="P118" s="1036"/>
      <c r="Q118" s="781"/>
      <c r="R118" s="791"/>
    </row>
    <row r="119" spans="1:18" ht="22.5" customHeight="1">
      <c r="A119" s="1339" t="s">
        <v>191</v>
      </c>
      <c r="B119" s="61" t="s">
        <v>192</v>
      </c>
      <c r="C119" s="67" t="s">
        <v>190</v>
      </c>
      <c r="D119" s="59"/>
      <c r="E119" s="59"/>
      <c r="F119" s="59"/>
      <c r="G119" s="59"/>
      <c r="H119" s="881">
        <v>6</v>
      </c>
      <c r="I119" s="241" t="s">
        <v>1159</v>
      </c>
      <c r="J119" s="76"/>
      <c r="K119" s="105">
        <f>+J119*H119</f>
        <v>0</v>
      </c>
      <c r="L119" s="776"/>
      <c r="M119" s="776" t="s">
        <v>1153</v>
      </c>
      <c r="N119" s="791"/>
      <c r="O119" s="634"/>
      <c r="P119" s="1036"/>
      <c r="Q119" s="781"/>
      <c r="R119" s="791"/>
    </row>
    <row r="120" spans="1:18" ht="22.5" customHeight="1">
      <c r="A120" s="1339"/>
      <c r="B120" s="1008" t="s">
        <v>704</v>
      </c>
      <c r="C120" s="67" t="s">
        <v>239</v>
      </c>
      <c r="D120" s="59"/>
      <c r="E120" s="59"/>
      <c r="F120" s="59"/>
      <c r="G120" s="59"/>
      <c r="H120" s="881">
        <v>3.89</v>
      </c>
      <c r="I120" s="241" t="s">
        <v>1159</v>
      </c>
      <c r="J120" s="76"/>
      <c r="K120" s="105">
        <f>+J120*H120</f>
        <v>0</v>
      </c>
      <c r="L120" s="776"/>
      <c r="M120" s="776" t="s">
        <v>1147</v>
      </c>
      <c r="N120" s="791"/>
      <c r="O120" s="634"/>
      <c r="P120" s="1036"/>
      <c r="Q120" s="781"/>
      <c r="R120" s="791"/>
    </row>
    <row r="121" spans="1:18" ht="13.8" thickBot="1">
      <c r="A121" s="116"/>
      <c r="B121" s="107"/>
      <c r="C121" s="109"/>
      <c r="D121" s="109"/>
      <c r="E121" s="109"/>
      <c r="F121" s="109"/>
      <c r="G121" s="69"/>
      <c r="H121" s="69"/>
      <c r="I121" s="235"/>
      <c r="J121" s="111"/>
      <c r="K121" s="112"/>
      <c r="N121" s="791"/>
      <c r="O121" s="634"/>
      <c r="P121" s="1036"/>
      <c r="Q121" s="781"/>
      <c r="R121" s="791"/>
    </row>
    <row r="122" spans="1:18" s="58" customFormat="1" ht="53.25" customHeight="1">
      <c r="A122" s="101" t="s">
        <v>312</v>
      </c>
      <c r="B122" s="57" t="s">
        <v>321</v>
      </c>
      <c r="C122" s="57" t="s">
        <v>96</v>
      </c>
      <c r="D122" s="57"/>
      <c r="E122" s="57"/>
      <c r="F122" s="57"/>
      <c r="G122" s="57"/>
      <c r="H122" s="102" t="s">
        <v>318</v>
      </c>
      <c r="I122" s="234" t="s">
        <v>25</v>
      </c>
      <c r="J122" s="103" t="s">
        <v>308</v>
      </c>
      <c r="K122" s="104" t="s">
        <v>1366</v>
      </c>
      <c r="N122" s="791"/>
      <c r="O122" s="634"/>
      <c r="P122" s="1036"/>
      <c r="Q122" s="781"/>
      <c r="R122" s="791"/>
    </row>
    <row r="123" spans="1:18" ht="22.5" customHeight="1">
      <c r="A123" s="1005" t="s">
        <v>163</v>
      </c>
      <c r="B123" s="1008" t="s">
        <v>164</v>
      </c>
      <c r="C123" s="997" t="s">
        <v>165</v>
      </c>
      <c r="D123" s="62" t="s">
        <v>392</v>
      </c>
      <c r="E123" s="59"/>
      <c r="F123" s="59"/>
      <c r="G123" s="59"/>
      <c r="H123" s="881">
        <v>5.0533000000000001</v>
      </c>
      <c r="I123" s="241" t="s">
        <v>1159</v>
      </c>
      <c r="J123" s="76"/>
      <c r="K123" s="105">
        <f>+J123*H123</f>
        <v>0</v>
      </c>
      <c r="M123" s="55" t="s">
        <v>1146</v>
      </c>
      <c r="N123" s="791"/>
      <c r="O123" s="634"/>
      <c r="P123" s="1036"/>
      <c r="Q123" s="781"/>
      <c r="R123" s="791"/>
    </row>
    <row r="124" spans="1:18" s="65" customFormat="1" ht="22.5" customHeight="1">
      <c r="A124" s="118" t="s">
        <v>166</v>
      </c>
      <c r="B124" s="1008" t="s">
        <v>167</v>
      </c>
      <c r="C124" s="1008" t="s">
        <v>168</v>
      </c>
      <c r="D124" s="62" t="s">
        <v>393</v>
      </c>
      <c r="E124" s="62"/>
      <c r="F124" s="62"/>
      <c r="G124" s="62"/>
      <c r="H124" s="881">
        <v>11.24</v>
      </c>
      <c r="I124" s="241" t="s">
        <v>1159</v>
      </c>
      <c r="J124" s="76"/>
      <c r="K124" s="105">
        <f>+J124*H124</f>
        <v>0</v>
      </c>
      <c r="M124" s="65" t="s">
        <v>1146</v>
      </c>
      <c r="N124" s="791"/>
      <c r="O124" s="634"/>
      <c r="P124" s="1036"/>
      <c r="Q124" s="781"/>
      <c r="R124" s="791"/>
    </row>
    <row r="125" spans="1:18" s="65" customFormat="1" ht="21.75" customHeight="1">
      <c r="A125" s="770"/>
      <c r="B125" s="1009"/>
      <c r="C125" s="1009"/>
      <c r="D125" s="265"/>
      <c r="E125" s="265"/>
      <c r="F125" s="265"/>
      <c r="G125" s="265"/>
      <c r="H125" s="266"/>
      <c r="I125" s="267"/>
      <c r="J125" s="268"/>
      <c r="K125" s="269"/>
      <c r="N125" s="791"/>
      <c r="O125" s="634"/>
      <c r="P125" s="1036"/>
      <c r="Q125" s="781"/>
      <c r="R125" s="791"/>
    </row>
    <row r="126" spans="1:18" ht="13.8" thickBot="1">
      <c r="A126" s="106"/>
      <c r="B126" s="115"/>
      <c r="C126" s="69"/>
      <c r="D126" s="69"/>
      <c r="E126" s="69"/>
      <c r="F126" s="69"/>
      <c r="G126" s="69"/>
      <c r="H126" s="69"/>
      <c r="I126" s="235"/>
      <c r="J126" s="111"/>
      <c r="K126" s="112"/>
      <c r="N126" s="791"/>
      <c r="O126" s="634"/>
      <c r="P126" s="1036"/>
      <c r="Q126" s="781"/>
      <c r="R126" s="791"/>
    </row>
    <row r="127" spans="1:18" s="58" customFormat="1" ht="53.25" customHeight="1">
      <c r="A127" s="101" t="s">
        <v>306</v>
      </c>
      <c r="B127" s="57" t="s">
        <v>321</v>
      </c>
      <c r="C127" s="57" t="s">
        <v>96</v>
      </c>
      <c r="D127" s="57" t="s">
        <v>101</v>
      </c>
      <c r="E127" s="57" t="s">
        <v>102</v>
      </c>
      <c r="F127" s="57"/>
      <c r="G127" s="57"/>
      <c r="H127" s="102" t="s">
        <v>318</v>
      </c>
      <c r="I127" s="234" t="s">
        <v>25</v>
      </c>
      <c r="J127" s="103" t="s">
        <v>308</v>
      </c>
      <c r="K127" s="104" t="s">
        <v>1366</v>
      </c>
      <c r="N127" s="791"/>
      <c r="O127" s="634"/>
      <c r="P127" s="1036"/>
      <c r="Q127" s="781"/>
      <c r="R127" s="791"/>
    </row>
    <row r="128" spans="1:18" ht="22.5" customHeight="1">
      <c r="A128" s="1323" t="s">
        <v>193</v>
      </c>
      <c r="B128" s="1313" t="s">
        <v>194</v>
      </c>
      <c r="C128" s="643" t="s">
        <v>195</v>
      </c>
      <c r="D128" s="62">
        <v>0</v>
      </c>
      <c r="E128" s="62">
        <v>80</v>
      </c>
      <c r="F128" s="62"/>
      <c r="G128" s="62"/>
      <c r="H128" s="881">
        <v>5.3</v>
      </c>
      <c r="I128" s="241" t="s">
        <v>1159</v>
      </c>
      <c r="J128" s="76"/>
      <c r="K128" s="105">
        <f>+J128*H128</f>
        <v>0</v>
      </c>
      <c r="L128" s="772"/>
      <c r="M128" s="772" t="s">
        <v>1151</v>
      </c>
      <c r="N128" s="791"/>
      <c r="O128" s="634"/>
      <c r="P128" s="1036"/>
      <c r="Q128" s="781"/>
      <c r="R128" s="791"/>
    </row>
    <row r="129" spans="1:19" ht="22.5" customHeight="1">
      <c r="A129" s="1353"/>
      <c r="B129" s="1326"/>
      <c r="C129" s="1297" t="s">
        <v>1020</v>
      </c>
      <c r="D129" s="62">
        <v>81</v>
      </c>
      <c r="E129" s="62">
        <v>200</v>
      </c>
      <c r="F129" s="62"/>
      <c r="G129" s="62"/>
      <c r="H129" s="881">
        <v>8.4</v>
      </c>
      <c r="I129" s="241" t="s">
        <v>1159</v>
      </c>
      <c r="J129" s="76"/>
      <c r="K129" s="105">
        <f>+J129*H129</f>
        <v>0</v>
      </c>
      <c r="L129" s="772"/>
      <c r="M129" s="772" t="s">
        <v>1147</v>
      </c>
      <c r="N129" s="791"/>
      <c r="O129" s="634"/>
      <c r="P129" s="1036"/>
      <c r="Q129" s="781"/>
      <c r="R129" s="791"/>
    </row>
    <row r="130" spans="1:19" ht="22.5" customHeight="1">
      <c r="A130" s="1335"/>
      <c r="B130" s="1314"/>
      <c r="C130" s="1298"/>
      <c r="D130" s="62">
        <v>201</v>
      </c>
      <c r="E130" s="62" t="s">
        <v>1019</v>
      </c>
      <c r="F130" s="62"/>
      <c r="G130" s="62"/>
      <c r="H130" s="881">
        <v>35.840000000000003</v>
      </c>
      <c r="I130" s="241" t="s">
        <v>1159</v>
      </c>
      <c r="J130" s="76"/>
      <c r="K130" s="105">
        <f>+J130*H130</f>
        <v>0</v>
      </c>
      <c r="L130" s="772"/>
      <c r="M130" s="772" t="s">
        <v>1147</v>
      </c>
      <c r="N130" s="791"/>
      <c r="O130" s="634"/>
      <c r="P130" s="1036"/>
      <c r="Q130" s="781"/>
      <c r="R130" s="791"/>
    </row>
    <row r="131" spans="1:19" ht="22.5" customHeight="1">
      <c r="A131" s="1014" t="s">
        <v>771</v>
      </c>
      <c r="B131" s="1008" t="s">
        <v>796</v>
      </c>
      <c r="C131" s="997" t="s">
        <v>797</v>
      </c>
      <c r="D131" s="566"/>
      <c r="E131" s="566"/>
      <c r="F131" s="566"/>
      <c r="G131" s="566"/>
      <c r="H131" s="881">
        <v>2.23</v>
      </c>
      <c r="I131" s="241" t="s">
        <v>1159</v>
      </c>
      <c r="J131" s="76"/>
      <c r="K131" s="105">
        <f t="shared" ref="K131:K144" si="5">+J131*H131</f>
        <v>0</v>
      </c>
      <c r="L131" s="772"/>
      <c r="M131" s="772" t="s">
        <v>1147</v>
      </c>
      <c r="N131" s="791"/>
      <c r="O131" s="634"/>
      <c r="P131" s="1036"/>
      <c r="Q131" s="781"/>
      <c r="R131" s="791"/>
    </row>
    <row r="132" spans="1:19" ht="22.5" customHeight="1">
      <c r="A132" s="1005" t="s">
        <v>196</v>
      </c>
      <c r="B132" s="1008" t="s">
        <v>197</v>
      </c>
      <c r="C132" s="1008" t="s">
        <v>802</v>
      </c>
      <c r="D132" s="62"/>
      <c r="E132" s="62"/>
      <c r="F132" s="62"/>
      <c r="G132" s="62"/>
      <c r="H132" s="881">
        <v>4.46</v>
      </c>
      <c r="I132" s="241" t="s">
        <v>1159</v>
      </c>
      <c r="J132" s="76"/>
      <c r="K132" s="105">
        <f t="shared" si="5"/>
        <v>0</v>
      </c>
      <c r="L132" s="772"/>
      <c r="M132" s="772" t="s">
        <v>1147</v>
      </c>
      <c r="N132" s="791"/>
      <c r="O132" s="634"/>
      <c r="P132" s="1036"/>
      <c r="Q132" s="781"/>
      <c r="R132" s="791"/>
    </row>
    <row r="133" spans="1:19" ht="22.5" customHeight="1">
      <c r="A133" s="1005" t="s">
        <v>198</v>
      </c>
      <c r="B133" s="1008" t="s">
        <v>199</v>
      </c>
      <c r="C133" s="1008" t="s">
        <v>451</v>
      </c>
      <c r="D133" s="62"/>
      <c r="E133" s="62"/>
      <c r="F133" s="62"/>
      <c r="G133" s="62"/>
      <c r="H133" s="881">
        <v>2.5</v>
      </c>
      <c r="I133" s="241" t="s">
        <v>1159</v>
      </c>
      <c r="J133" s="76"/>
      <c r="K133" s="105">
        <f t="shared" si="5"/>
        <v>0</v>
      </c>
      <c r="L133" s="772"/>
      <c r="M133" s="772" t="s">
        <v>1147</v>
      </c>
      <c r="N133" s="791"/>
      <c r="O133" s="634"/>
      <c r="P133" s="1036"/>
      <c r="Q133" s="781"/>
      <c r="R133" s="791"/>
    </row>
    <row r="134" spans="1:19" ht="22.5" customHeight="1">
      <c r="A134" s="1005" t="s">
        <v>200</v>
      </c>
      <c r="B134" s="1008" t="s">
        <v>800</v>
      </c>
      <c r="C134" s="1008" t="s">
        <v>801</v>
      </c>
      <c r="D134" s="62"/>
      <c r="E134" s="62"/>
      <c r="F134" s="62"/>
      <c r="G134" s="62"/>
      <c r="H134" s="881">
        <v>6.7</v>
      </c>
      <c r="I134" s="241" t="s">
        <v>1159</v>
      </c>
      <c r="J134" s="76"/>
      <c r="K134" s="105">
        <f t="shared" si="5"/>
        <v>0</v>
      </c>
      <c r="L134" s="772"/>
      <c r="M134" s="772" t="s">
        <v>1146</v>
      </c>
      <c r="N134" s="791"/>
      <c r="O134" s="634"/>
      <c r="P134" s="1036"/>
      <c r="Q134" s="781"/>
      <c r="R134" s="772"/>
    </row>
    <row r="135" spans="1:19" ht="25.5" customHeight="1">
      <c r="A135" s="1005" t="s">
        <v>798</v>
      </c>
      <c r="B135" s="1008" t="s">
        <v>202</v>
      </c>
      <c r="C135" s="1008" t="s">
        <v>799</v>
      </c>
      <c r="D135" s="62"/>
      <c r="E135" s="62"/>
      <c r="F135" s="62"/>
      <c r="G135" s="62"/>
      <c r="H135" s="881">
        <v>18.559999999999999</v>
      </c>
      <c r="I135" s="241" t="s">
        <v>1159</v>
      </c>
      <c r="J135" s="76"/>
      <c r="K135" s="105">
        <f t="shared" si="5"/>
        <v>0</v>
      </c>
      <c r="L135" s="772"/>
      <c r="M135" s="772" t="s">
        <v>1146</v>
      </c>
      <c r="N135" s="791"/>
      <c r="O135" s="634"/>
      <c r="P135" s="1036"/>
      <c r="Q135" s="781"/>
      <c r="R135" s="772"/>
    </row>
    <row r="136" spans="1:19" ht="22.5" customHeight="1">
      <c r="A136" s="1006" t="s">
        <v>230</v>
      </c>
      <c r="B136" s="61" t="s">
        <v>231</v>
      </c>
      <c r="C136" s="61" t="s">
        <v>232</v>
      </c>
      <c r="D136" s="62">
        <v>0</v>
      </c>
      <c r="E136" s="62">
        <v>30</v>
      </c>
      <c r="F136" s="59"/>
      <c r="G136" s="59"/>
      <c r="H136" s="881">
        <v>16.559999999999999</v>
      </c>
      <c r="I136" s="241" t="s">
        <v>1159</v>
      </c>
      <c r="J136" s="76"/>
      <c r="K136" s="105">
        <f t="shared" si="5"/>
        <v>0</v>
      </c>
      <c r="L136" s="772"/>
      <c r="M136" s="772" t="s">
        <v>1147</v>
      </c>
      <c r="N136" s="791"/>
      <c r="O136" s="634"/>
      <c r="P136" s="1036"/>
      <c r="Q136" s="781"/>
      <c r="R136" s="772"/>
    </row>
    <row r="137" spans="1:19" ht="22.5" customHeight="1">
      <c r="A137" s="1006"/>
      <c r="B137" s="61"/>
      <c r="C137" s="61"/>
      <c r="D137" s="62">
        <v>31</v>
      </c>
      <c r="E137" s="62">
        <v>60</v>
      </c>
      <c r="F137" s="59"/>
      <c r="G137" s="59"/>
      <c r="H137" s="881">
        <v>17.46</v>
      </c>
      <c r="I137" s="241" t="s">
        <v>1159</v>
      </c>
      <c r="J137" s="76"/>
      <c r="K137" s="105">
        <f t="shared" si="5"/>
        <v>0</v>
      </c>
      <c r="L137" s="772"/>
      <c r="M137" s="772" t="s">
        <v>1147</v>
      </c>
      <c r="N137" s="791"/>
      <c r="O137" s="634"/>
      <c r="P137" s="1036"/>
      <c r="Q137" s="781"/>
      <c r="R137" s="772"/>
    </row>
    <row r="138" spans="1:19" ht="22.5" customHeight="1">
      <c r="A138" s="1006"/>
      <c r="B138" s="61"/>
      <c r="C138" s="61"/>
      <c r="D138" s="62">
        <v>61</v>
      </c>
      <c r="E138" s="62">
        <v>90</v>
      </c>
      <c r="F138" s="59"/>
      <c r="G138" s="59"/>
      <c r="H138" s="881">
        <v>18.399999999999999</v>
      </c>
      <c r="I138" s="241" t="s">
        <v>1159</v>
      </c>
      <c r="J138" s="76"/>
      <c r="K138" s="105">
        <f t="shared" si="5"/>
        <v>0</v>
      </c>
      <c r="L138" s="772"/>
      <c r="M138" s="772" t="s">
        <v>1147</v>
      </c>
      <c r="N138" s="791"/>
      <c r="O138" s="634"/>
      <c r="P138" s="1036"/>
      <c r="Q138" s="781"/>
      <c r="R138" s="772"/>
    </row>
    <row r="139" spans="1:19" s="60" customFormat="1" ht="24.75" customHeight="1">
      <c r="A139" s="1006" t="s">
        <v>180</v>
      </c>
      <c r="B139" s="1008" t="s">
        <v>181</v>
      </c>
      <c r="C139" s="1015" t="s">
        <v>182</v>
      </c>
      <c r="D139" s="59"/>
      <c r="E139" s="59"/>
      <c r="F139" s="59"/>
      <c r="G139" s="59"/>
      <c r="H139" s="881">
        <v>8</v>
      </c>
      <c r="I139" s="241" t="s">
        <v>1159</v>
      </c>
      <c r="J139" s="76"/>
      <c r="K139" s="105">
        <f t="shared" si="5"/>
        <v>0</v>
      </c>
      <c r="L139" s="772"/>
      <c r="M139" s="772" t="s">
        <v>1146</v>
      </c>
      <c r="N139" s="791"/>
      <c r="O139" s="634"/>
      <c r="P139" s="1036"/>
      <c r="Q139" s="781"/>
      <c r="R139" s="772"/>
      <c r="S139" s="55"/>
    </row>
    <row r="140" spans="1:19" s="60" customFormat="1" ht="24.75" customHeight="1">
      <c r="A140" s="1014" t="s">
        <v>808</v>
      </c>
      <c r="B140" s="1008" t="s">
        <v>809</v>
      </c>
      <c r="C140" s="1008" t="s">
        <v>810</v>
      </c>
      <c r="D140" s="59"/>
      <c r="E140" s="59"/>
      <c r="F140" s="59"/>
      <c r="G140" s="59"/>
      <c r="H140" s="881">
        <v>2.5</v>
      </c>
      <c r="I140" s="241" t="s">
        <v>1159</v>
      </c>
      <c r="J140" s="76"/>
      <c r="K140" s="105">
        <f t="shared" si="5"/>
        <v>0</v>
      </c>
      <c r="L140" s="772"/>
      <c r="M140" s="772" t="s">
        <v>1147</v>
      </c>
      <c r="N140" s="791"/>
      <c r="O140" s="634"/>
      <c r="P140" s="1036"/>
      <c r="Q140" s="781"/>
      <c r="R140" s="772"/>
      <c r="S140" s="55"/>
    </row>
    <row r="141" spans="1:19" s="60" customFormat="1" ht="24.75" customHeight="1">
      <c r="A141" s="1023" t="s">
        <v>849</v>
      </c>
      <c r="B141" s="1009" t="s">
        <v>832</v>
      </c>
      <c r="C141" s="1009" t="s">
        <v>797</v>
      </c>
      <c r="D141" s="285"/>
      <c r="E141" s="285"/>
      <c r="F141" s="285"/>
      <c r="G141" s="285"/>
      <c r="H141" s="888">
        <v>4.2</v>
      </c>
      <c r="I141" s="241" t="s">
        <v>1159</v>
      </c>
      <c r="J141" s="286"/>
      <c r="K141" s="105">
        <f t="shared" si="5"/>
        <v>0</v>
      </c>
      <c r="L141" s="772"/>
      <c r="M141" s="772" t="s">
        <v>1147</v>
      </c>
      <c r="N141" s="791"/>
      <c r="O141" s="634"/>
      <c r="P141" s="1036"/>
      <c r="Q141" s="781"/>
      <c r="R141" s="791"/>
      <c r="S141" s="55"/>
    </row>
    <row r="142" spans="1:19" s="60" customFormat="1" ht="24.75" customHeight="1">
      <c r="A142" s="1014"/>
      <c r="B142" s="1008"/>
      <c r="C142" s="1008"/>
      <c r="D142" s="1008"/>
      <c r="E142" s="59"/>
      <c r="F142" s="59"/>
      <c r="G142" s="59"/>
      <c r="H142" s="240"/>
      <c r="I142" s="241"/>
      <c r="J142" s="76"/>
      <c r="K142" s="105">
        <f t="shared" si="5"/>
        <v>0</v>
      </c>
      <c r="N142" s="791"/>
      <c r="O142" s="1132"/>
      <c r="P142" s="1133"/>
      <c r="Q142" s="1132"/>
      <c r="R142" s="55"/>
      <c r="S142" s="55"/>
    </row>
    <row r="143" spans="1:19" s="60" customFormat="1" ht="24.75" customHeight="1">
      <c r="A143" s="1014"/>
      <c r="B143" s="1008"/>
      <c r="C143" s="1008"/>
      <c r="D143" s="59"/>
      <c r="E143" s="59"/>
      <c r="F143" s="59"/>
      <c r="G143" s="59"/>
      <c r="H143" s="240"/>
      <c r="I143" s="241"/>
      <c r="J143" s="76"/>
      <c r="K143" s="105">
        <f t="shared" si="5"/>
        <v>0</v>
      </c>
      <c r="N143" s="791"/>
      <c r="O143" s="1132"/>
      <c r="P143" s="1133"/>
      <c r="Q143" s="1132"/>
      <c r="R143" s="55"/>
      <c r="S143" s="55"/>
    </row>
    <row r="144" spans="1:19" s="60" customFormat="1" ht="24.75" customHeight="1">
      <c r="A144" s="1014"/>
      <c r="B144" s="1008"/>
      <c r="C144" s="1008"/>
      <c r="D144" s="59"/>
      <c r="E144" s="59"/>
      <c r="F144" s="59"/>
      <c r="G144" s="59"/>
      <c r="H144" s="240"/>
      <c r="I144" s="241"/>
      <c r="J144" s="76"/>
      <c r="K144" s="105">
        <f t="shared" si="5"/>
        <v>0</v>
      </c>
      <c r="N144" s="791"/>
      <c r="O144" s="1132"/>
      <c r="P144" s="1133"/>
      <c r="Q144" s="1132"/>
      <c r="R144" s="55"/>
      <c r="S144" s="55"/>
    </row>
    <row r="145" spans="1:95" s="60" customFormat="1" ht="24.75" customHeight="1" thickBot="1">
      <c r="A145" s="688"/>
      <c r="B145" s="1012"/>
      <c r="C145" s="1012"/>
      <c r="D145" s="285"/>
      <c r="E145" s="285"/>
      <c r="F145" s="285"/>
      <c r="G145" s="285"/>
      <c r="H145" s="508"/>
      <c r="I145" s="282"/>
      <c r="J145" s="283"/>
      <c r="K145" s="290"/>
      <c r="N145" s="791"/>
      <c r="O145" s="1132"/>
      <c r="P145" s="1133"/>
      <c r="Q145" s="1132"/>
      <c r="R145" s="55"/>
      <c r="S145" s="55"/>
    </row>
    <row r="146" spans="1:95" s="58" customFormat="1" ht="53.25" customHeight="1">
      <c r="A146" s="101" t="s">
        <v>94</v>
      </c>
      <c r="B146" s="57" t="s">
        <v>321</v>
      </c>
      <c r="C146" s="57" t="s">
        <v>96</v>
      </c>
      <c r="D146" s="57" t="s">
        <v>99</v>
      </c>
      <c r="E146" s="57" t="s">
        <v>100</v>
      </c>
      <c r="F146" s="57"/>
      <c r="G146" s="57"/>
      <c r="H146" s="102" t="s">
        <v>318</v>
      </c>
      <c r="I146" s="234" t="s">
        <v>25</v>
      </c>
      <c r="J146" s="103" t="s">
        <v>308</v>
      </c>
      <c r="K146" s="104" t="s">
        <v>1366</v>
      </c>
      <c r="N146" s="791"/>
      <c r="O146" s="1132"/>
      <c r="P146" s="1133"/>
      <c r="Q146" s="1132"/>
      <c r="R146" s="55"/>
      <c r="S146" s="55"/>
    </row>
    <row r="147" spans="1:95" s="65" customFormat="1" ht="22.5" customHeight="1">
      <c r="A147" s="1364" t="s">
        <v>283</v>
      </c>
      <c r="B147" s="1022" t="s">
        <v>284</v>
      </c>
      <c r="C147" s="704"/>
      <c r="D147" s="62"/>
      <c r="E147" s="62"/>
      <c r="F147" s="62"/>
      <c r="G147" s="62"/>
      <c r="H147" s="886">
        <v>3.83</v>
      </c>
      <c r="I147" s="241" t="s">
        <v>1159</v>
      </c>
      <c r="J147" s="62"/>
      <c r="K147" s="388">
        <f>+J147*H147</f>
        <v>0</v>
      </c>
      <c r="M147" s="65" t="s">
        <v>1146</v>
      </c>
      <c r="N147" s="791"/>
      <c r="O147" s="1132"/>
      <c r="P147" s="1133"/>
      <c r="Q147" s="1132"/>
      <c r="R147" s="55"/>
      <c r="S147" s="55"/>
    </row>
    <row r="148" spans="1:95" s="65" customFormat="1" ht="22.5" customHeight="1">
      <c r="A148" s="1364"/>
      <c r="B148" s="1022" t="s">
        <v>1052</v>
      </c>
      <c r="C148" s="1316"/>
      <c r="D148" s="1309"/>
      <c r="E148" s="1309"/>
      <c r="F148" s="1309"/>
      <c r="G148" s="1309"/>
      <c r="H148" s="1383">
        <v>3.53</v>
      </c>
      <c r="I148" s="1385" t="s">
        <v>1159</v>
      </c>
      <c r="J148" s="1309"/>
      <c r="K148" s="1380">
        <f>+J148*H148</f>
        <v>0</v>
      </c>
      <c r="M148" s="65" t="s">
        <v>1146</v>
      </c>
      <c r="N148" s="791"/>
      <c r="O148" s="1132"/>
      <c r="P148" s="1126"/>
      <c r="Q148" s="1127"/>
      <c r="R148" s="543"/>
      <c r="S148" s="543"/>
    </row>
    <row r="149" spans="1:95" s="65" customFormat="1" ht="133.5" customHeight="1">
      <c r="A149" s="1365"/>
      <c r="B149" s="1022" t="s">
        <v>1051</v>
      </c>
      <c r="C149" s="1317"/>
      <c r="D149" s="1310"/>
      <c r="E149" s="1310"/>
      <c r="F149" s="1310"/>
      <c r="G149" s="1310"/>
      <c r="H149" s="1384"/>
      <c r="I149" s="1386"/>
      <c r="J149" s="1310"/>
      <c r="K149" s="1381"/>
      <c r="L149" s="642"/>
      <c r="M149" s="642" t="s">
        <v>1146</v>
      </c>
      <c r="N149" s="791"/>
      <c r="O149" s="634"/>
      <c r="P149" s="1036"/>
      <c r="Q149" s="781"/>
      <c r="R149" s="772"/>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43"/>
      <c r="AQ149" s="543"/>
      <c r="AR149" s="543"/>
      <c r="AS149" s="543"/>
      <c r="AT149" s="543"/>
      <c r="AU149" s="543"/>
      <c r="AV149" s="543"/>
      <c r="AW149" s="543"/>
      <c r="AX149" s="543"/>
      <c r="AY149" s="543"/>
      <c r="AZ149" s="543"/>
      <c r="BA149" s="543"/>
      <c r="BB149" s="543"/>
      <c r="BC149" s="543"/>
      <c r="BD149" s="543"/>
      <c r="BE149" s="543"/>
      <c r="BF149" s="543"/>
      <c r="BG149" s="543"/>
      <c r="BH149" s="543"/>
      <c r="BI149" s="543"/>
      <c r="BJ149" s="543"/>
      <c r="BK149" s="543"/>
      <c r="BL149" s="543"/>
      <c r="BM149" s="543"/>
      <c r="BN149" s="543"/>
      <c r="BO149" s="543"/>
      <c r="BP149" s="543"/>
      <c r="BQ149" s="543"/>
      <c r="BR149" s="543"/>
      <c r="BS149" s="543"/>
      <c r="BT149" s="543"/>
      <c r="BU149" s="543"/>
      <c r="BV149" s="543"/>
      <c r="BW149" s="543"/>
      <c r="BX149" s="543"/>
      <c r="BY149" s="543"/>
      <c r="BZ149" s="543"/>
      <c r="CA149" s="543"/>
      <c r="CB149" s="543"/>
      <c r="CC149" s="543"/>
      <c r="CD149" s="543"/>
      <c r="CE149" s="543"/>
      <c r="CF149" s="543"/>
      <c r="CG149" s="543"/>
      <c r="CH149" s="543"/>
      <c r="CI149" s="543"/>
      <c r="CJ149" s="543"/>
      <c r="CK149" s="543"/>
      <c r="CL149" s="543"/>
      <c r="CM149" s="543"/>
      <c r="CN149" s="543"/>
      <c r="CO149" s="543"/>
      <c r="CP149" s="543"/>
      <c r="CQ149" s="543"/>
    </row>
    <row r="150" spans="1:95" s="389" customFormat="1" ht="32.25" customHeight="1">
      <c r="A150" s="412" t="s">
        <v>1158</v>
      </c>
      <c r="B150" s="1022" t="s">
        <v>670</v>
      </c>
      <c r="C150" s="997"/>
      <c r="D150" s="59"/>
      <c r="E150" s="59"/>
      <c r="F150" s="59"/>
      <c r="G150" s="59"/>
      <c r="H150" s="881">
        <v>6.3</v>
      </c>
      <c r="I150" s="241" t="s">
        <v>1159</v>
      </c>
      <c r="J150" s="76"/>
      <c r="K150" s="388">
        <f t="shared" ref="K150:K161" si="6">+J150*H150</f>
        <v>0</v>
      </c>
      <c r="L150" s="642"/>
      <c r="M150" s="642" t="s">
        <v>1146</v>
      </c>
      <c r="N150" s="791"/>
      <c r="O150" s="634"/>
      <c r="P150" s="1036"/>
      <c r="Q150" s="781"/>
      <c r="R150" s="772"/>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c r="CA150" s="60"/>
      <c r="CB150" s="60"/>
      <c r="CC150" s="60"/>
      <c r="CD150" s="60"/>
      <c r="CE150" s="60"/>
      <c r="CF150" s="60"/>
      <c r="CG150" s="60"/>
      <c r="CH150" s="60"/>
      <c r="CI150" s="60"/>
      <c r="CJ150" s="60"/>
      <c r="CK150" s="60"/>
      <c r="CL150" s="60"/>
      <c r="CM150" s="60"/>
      <c r="CN150" s="60"/>
      <c r="CO150" s="60"/>
      <c r="CP150" s="60"/>
      <c r="CQ150" s="60"/>
    </row>
    <row r="151" spans="1:95" ht="18" customHeight="1">
      <c r="A151" s="1360" t="s">
        <v>203</v>
      </c>
      <c r="B151" s="1363" t="s">
        <v>1093</v>
      </c>
      <c r="C151" s="1316" t="s">
        <v>282</v>
      </c>
      <c r="D151" s="59">
        <v>0</v>
      </c>
      <c r="E151" s="59">
        <v>6</v>
      </c>
      <c r="F151" s="59">
        <v>0</v>
      </c>
      <c r="G151" s="59">
        <v>99999</v>
      </c>
      <c r="H151" s="881">
        <v>13.01</v>
      </c>
      <c r="I151" s="241" t="s">
        <v>1159</v>
      </c>
      <c r="J151" s="76"/>
      <c r="K151" s="105">
        <f t="shared" si="6"/>
        <v>0</v>
      </c>
      <c r="L151" s="774"/>
      <c r="M151" s="774" t="s">
        <v>1146</v>
      </c>
      <c r="N151" s="791"/>
      <c r="O151" s="634"/>
      <c r="P151" s="1126"/>
      <c r="Q151" s="1127"/>
      <c r="R151" s="772"/>
    </row>
    <row r="152" spans="1:95" ht="18" customHeight="1">
      <c r="A152" s="1360"/>
      <c r="B152" s="1363"/>
      <c r="C152" s="1382"/>
      <c r="D152" s="59">
        <v>7</v>
      </c>
      <c r="E152" s="59">
        <v>13</v>
      </c>
      <c r="F152" s="59">
        <v>0</v>
      </c>
      <c r="G152" s="59">
        <v>99999</v>
      </c>
      <c r="H152" s="881">
        <v>14.72</v>
      </c>
      <c r="I152" s="241" t="s">
        <v>1159</v>
      </c>
      <c r="J152" s="76"/>
      <c r="K152" s="105">
        <f t="shared" si="6"/>
        <v>0</v>
      </c>
      <c r="L152" s="774"/>
      <c r="M152" s="774" t="s">
        <v>1146</v>
      </c>
      <c r="N152" s="791"/>
      <c r="O152" s="634"/>
      <c r="P152" s="1126"/>
      <c r="Q152" s="1127"/>
      <c r="R152" s="772"/>
    </row>
    <row r="153" spans="1:95" ht="18" customHeight="1">
      <c r="A153" s="1360"/>
      <c r="B153" s="1363"/>
      <c r="C153" s="1317"/>
      <c r="D153" s="59">
        <v>14</v>
      </c>
      <c r="E153" s="59">
        <v>103</v>
      </c>
      <c r="F153" s="59">
        <v>0</v>
      </c>
      <c r="G153" s="59">
        <v>99999</v>
      </c>
      <c r="H153" s="881">
        <v>26.39</v>
      </c>
      <c r="I153" s="241" t="s">
        <v>1159</v>
      </c>
      <c r="J153" s="76"/>
      <c r="K153" s="105">
        <f t="shared" si="6"/>
        <v>0</v>
      </c>
      <c r="L153" s="774"/>
      <c r="M153" s="774" t="s">
        <v>1146</v>
      </c>
      <c r="N153" s="791"/>
      <c r="O153" s="634"/>
      <c r="P153" s="1126"/>
      <c r="Q153" s="1127"/>
      <c r="R153" s="772"/>
    </row>
    <row r="154" spans="1:95" ht="18" customHeight="1">
      <c r="A154" s="1351" t="s">
        <v>87</v>
      </c>
      <c r="B154" s="1361" t="s">
        <v>88</v>
      </c>
      <c r="C154" s="1315" t="s">
        <v>201</v>
      </c>
      <c r="D154" s="1306"/>
      <c r="E154" s="59"/>
      <c r="F154" s="59"/>
      <c r="G154" s="59"/>
      <c r="H154" s="881">
        <v>7.6</v>
      </c>
      <c r="I154" s="241" t="s">
        <v>1159</v>
      </c>
      <c r="J154" s="76"/>
      <c r="K154" s="105">
        <f t="shared" si="6"/>
        <v>0</v>
      </c>
      <c r="L154" s="774"/>
      <c r="M154" s="774" t="s">
        <v>1146</v>
      </c>
      <c r="N154" s="791"/>
      <c r="O154" s="634"/>
      <c r="P154" s="1036"/>
      <c r="Q154" s="781"/>
      <c r="R154" s="772"/>
    </row>
    <row r="155" spans="1:95" ht="45.75" customHeight="1">
      <c r="A155" s="1352"/>
      <c r="B155" s="1362"/>
      <c r="C155" s="1305" t="s">
        <v>1063</v>
      </c>
      <c r="D155" s="1306"/>
      <c r="E155" s="59"/>
      <c r="F155" s="59"/>
      <c r="G155" s="59"/>
      <c r="H155" s="881">
        <v>10.6</v>
      </c>
      <c r="I155" s="241" t="s">
        <v>1159</v>
      </c>
      <c r="J155" s="76"/>
      <c r="K155" s="105">
        <f t="shared" si="6"/>
        <v>0</v>
      </c>
      <c r="L155" s="774"/>
      <c r="M155" s="774" t="s">
        <v>1146</v>
      </c>
      <c r="N155" s="791"/>
      <c r="O155" s="634"/>
      <c r="P155" s="1036"/>
      <c r="Q155" s="781"/>
      <c r="R155" s="772"/>
    </row>
    <row r="156" spans="1:95" ht="54.75" customHeight="1">
      <c r="A156" s="1004" t="s">
        <v>1047</v>
      </c>
      <c r="B156" s="1022" t="s">
        <v>1045</v>
      </c>
      <c r="C156" s="664" t="s">
        <v>1044</v>
      </c>
      <c r="D156" s="786"/>
      <c r="E156" s="280"/>
      <c r="F156" s="280"/>
      <c r="G156" s="280"/>
      <c r="H156" s="881">
        <v>3.6</v>
      </c>
      <c r="I156" s="241" t="s">
        <v>1159</v>
      </c>
      <c r="J156" s="283"/>
      <c r="K156" s="284">
        <f t="shared" si="6"/>
        <v>0</v>
      </c>
      <c r="L156" s="775"/>
      <c r="M156" s="775" t="s">
        <v>1147</v>
      </c>
      <c r="N156" s="791"/>
      <c r="O156" s="634"/>
      <c r="P156" s="1036"/>
      <c r="Q156" s="781"/>
      <c r="R156" s="772"/>
    </row>
    <row r="157" spans="1:95" ht="76.5" customHeight="1">
      <c r="A157" s="1004" t="s">
        <v>1067</v>
      </c>
      <c r="B157" s="1021" t="s">
        <v>1066</v>
      </c>
      <c r="C157" s="664" t="s">
        <v>1062</v>
      </c>
      <c r="D157" s="711"/>
      <c r="E157" s="280"/>
      <c r="F157" s="280"/>
      <c r="G157" s="280"/>
      <c r="H157" s="881">
        <v>10</v>
      </c>
      <c r="I157" s="241" t="s">
        <v>1159</v>
      </c>
      <c r="J157" s="283"/>
      <c r="K157" s="284">
        <f t="shared" si="6"/>
        <v>0</v>
      </c>
      <c r="L157" s="774"/>
      <c r="M157" s="774" t="s">
        <v>1147</v>
      </c>
      <c r="N157" s="791"/>
      <c r="O157" s="634"/>
      <c r="P157" s="1036"/>
      <c r="Q157" s="781"/>
      <c r="R157" s="772"/>
    </row>
    <row r="158" spans="1:95" ht="48" customHeight="1">
      <c r="A158" s="1004" t="s">
        <v>1010</v>
      </c>
      <c r="B158" s="1021" t="s">
        <v>1015</v>
      </c>
      <c r="C158" s="664" t="s">
        <v>1036</v>
      </c>
      <c r="D158" s="787"/>
      <c r="E158" s="280"/>
      <c r="F158" s="280"/>
      <c r="G158" s="280"/>
      <c r="H158" s="881">
        <v>44</v>
      </c>
      <c r="I158" s="241" t="s">
        <v>1159</v>
      </c>
      <c r="J158" s="283"/>
      <c r="K158" s="1162">
        <f>+J158*H158+N158*O158</f>
        <v>0</v>
      </c>
      <c r="L158" s="774"/>
      <c r="M158" s="774" t="s">
        <v>1147</v>
      </c>
      <c r="N158" s="1161"/>
      <c r="O158" s="1161">
        <v>22</v>
      </c>
      <c r="P158" s="1036"/>
      <c r="Q158" s="1138"/>
      <c r="R158" s="772"/>
    </row>
    <row r="159" spans="1:95" ht="43.5" customHeight="1">
      <c r="A159" s="1318" t="s">
        <v>1074</v>
      </c>
      <c r="B159" s="1347" t="s">
        <v>1091</v>
      </c>
      <c r="C159" s="1311" t="s">
        <v>1075</v>
      </c>
      <c r="D159" s="1370" t="s">
        <v>1076</v>
      </c>
      <c r="E159" s="1307" t="s">
        <v>1077</v>
      </c>
      <c r="F159" s="1308"/>
      <c r="G159" s="280"/>
      <c r="H159" s="887">
        <v>20</v>
      </c>
      <c r="I159" s="241" t="s">
        <v>1159</v>
      </c>
      <c r="J159" s="754"/>
      <c r="K159" s="755">
        <f t="shared" si="6"/>
        <v>0</v>
      </c>
      <c r="L159" s="774"/>
      <c r="M159" s="774" t="s">
        <v>1147</v>
      </c>
      <c r="N159" s="791"/>
      <c r="O159" s="634"/>
      <c r="P159" s="1036"/>
      <c r="Q159" s="781"/>
      <c r="R159" s="772"/>
    </row>
    <row r="160" spans="1:95" ht="37.5" customHeight="1">
      <c r="A160" s="1319"/>
      <c r="B160" s="1354"/>
      <c r="C160" s="1312"/>
      <c r="D160" s="1371"/>
      <c r="E160" s="1307" t="s">
        <v>1078</v>
      </c>
      <c r="F160" s="1308"/>
      <c r="G160" s="280"/>
      <c r="H160" s="887">
        <v>30</v>
      </c>
      <c r="I160" s="241" t="s">
        <v>1159</v>
      </c>
      <c r="J160" s="754"/>
      <c r="K160" s="755">
        <f t="shared" si="6"/>
        <v>0</v>
      </c>
      <c r="L160" s="774"/>
      <c r="M160" s="774" t="s">
        <v>1147</v>
      </c>
      <c r="N160" s="791"/>
      <c r="O160" s="634"/>
      <c r="P160" s="1036"/>
      <c r="Q160" s="781"/>
      <c r="R160" s="772"/>
    </row>
    <row r="161" spans="1:19" ht="37.5" customHeight="1" thickBot="1">
      <c r="A161" s="963" t="s">
        <v>1384</v>
      </c>
      <c r="B161" s="964" t="s">
        <v>1383</v>
      </c>
      <c r="C161" s="959"/>
      <c r="D161" s="960" t="s">
        <v>1381</v>
      </c>
      <c r="E161" s="960" t="s">
        <v>1382</v>
      </c>
      <c r="F161" s="961"/>
      <c r="G161" s="961"/>
      <c r="H161" s="962">
        <v>8.66</v>
      </c>
      <c r="I161" s="282" t="s">
        <v>1159</v>
      </c>
      <c r="J161" s="1017"/>
      <c r="K161" s="755">
        <f t="shared" si="6"/>
        <v>0</v>
      </c>
      <c r="L161" s="642"/>
      <c r="M161" s="988"/>
      <c r="N161" s="791"/>
      <c r="O161" s="634"/>
      <c r="P161" s="1036"/>
      <c r="Q161" s="781"/>
      <c r="R161" s="772"/>
    </row>
    <row r="162" spans="1:19" s="58" customFormat="1" ht="53.25" customHeight="1">
      <c r="A162" s="101" t="s">
        <v>94</v>
      </c>
      <c r="B162" s="57" t="s">
        <v>321</v>
      </c>
      <c r="C162" s="57" t="s">
        <v>96</v>
      </c>
      <c r="D162" s="57" t="s">
        <v>99</v>
      </c>
      <c r="E162" s="57" t="s">
        <v>100</v>
      </c>
      <c r="F162" s="57"/>
      <c r="G162" s="57"/>
      <c r="H162" s="102" t="s">
        <v>318</v>
      </c>
      <c r="I162" s="234" t="s">
        <v>25</v>
      </c>
      <c r="J162" s="103" t="s">
        <v>308</v>
      </c>
      <c r="K162" s="104" t="s">
        <v>1366</v>
      </c>
      <c r="N162" s="791"/>
      <c r="O162" s="634"/>
      <c r="P162" s="1036"/>
      <c r="Q162" s="781"/>
      <c r="R162" s="772"/>
      <c r="S162" s="55"/>
    </row>
    <row r="163" spans="1:19" ht="22.5" customHeight="1">
      <c r="A163" s="1320" t="s">
        <v>737</v>
      </c>
      <c r="B163" s="1008" t="s">
        <v>149</v>
      </c>
      <c r="C163" s="1008" t="s">
        <v>150</v>
      </c>
      <c r="D163" s="62">
        <v>0.35</v>
      </c>
      <c r="E163" s="62">
        <v>1.5</v>
      </c>
      <c r="F163" s="62"/>
      <c r="G163" s="59"/>
      <c r="H163" s="886">
        <v>5.52</v>
      </c>
      <c r="I163" s="241" t="s">
        <v>1159</v>
      </c>
      <c r="J163" s="76"/>
      <c r="K163" s="105">
        <f>+J163*H163</f>
        <v>0</v>
      </c>
      <c r="L163" s="774"/>
      <c r="M163" s="774" t="s">
        <v>1147</v>
      </c>
      <c r="N163" s="791"/>
      <c r="O163" s="634"/>
      <c r="P163" s="1036"/>
      <c r="Q163" s="781"/>
      <c r="R163" s="772"/>
      <c r="S163" s="58"/>
    </row>
    <row r="164" spans="1:19" ht="22.5" customHeight="1">
      <c r="A164" s="1320"/>
      <c r="B164" s="1008" t="s">
        <v>149</v>
      </c>
      <c r="C164" s="1008"/>
      <c r="D164" s="62">
        <v>1.75</v>
      </c>
      <c r="E164" s="62">
        <v>103</v>
      </c>
      <c r="F164" s="62"/>
      <c r="G164" s="59"/>
      <c r="H164" s="886">
        <v>6.28</v>
      </c>
      <c r="I164" s="241" t="s">
        <v>1159</v>
      </c>
      <c r="J164" s="76"/>
      <c r="K164" s="105">
        <f t="shared" ref="K164:K183" si="7">+J164*H164</f>
        <v>0</v>
      </c>
      <c r="L164" s="774"/>
      <c r="M164" s="774" t="s">
        <v>1147</v>
      </c>
      <c r="N164" s="791"/>
      <c r="O164" s="634"/>
      <c r="P164" s="1036"/>
      <c r="Q164" s="781"/>
      <c r="R164" s="772"/>
    </row>
    <row r="165" spans="1:19" ht="22.5" customHeight="1">
      <c r="A165" s="1320"/>
      <c r="B165" s="1008" t="s">
        <v>803</v>
      </c>
      <c r="C165" s="1008"/>
      <c r="D165" s="62">
        <v>0.7</v>
      </c>
      <c r="E165" s="62">
        <v>2</v>
      </c>
      <c r="F165" s="62"/>
      <c r="G165" s="59"/>
      <c r="H165" s="886">
        <v>12.24</v>
      </c>
      <c r="I165" s="241" t="s">
        <v>1159</v>
      </c>
      <c r="J165" s="76"/>
      <c r="K165" s="105">
        <f t="shared" si="7"/>
        <v>0</v>
      </c>
      <c r="L165" s="542"/>
      <c r="M165" s="542" t="s">
        <v>1147</v>
      </c>
      <c r="N165" s="791"/>
      <c r="O165" s="634"/>
      <c r="P165" s="1036"/>
      <c r="Q165" s="781"/>
      <c r="R165" s="772"/>
    </row>
    <row r="166" spans="1:19" ht="37.5" customHeight="1">
      <c r="A166" s="1320"/>
      <c r="B166" s="1008" t="s">
        <v>805</v>
      </c>
      <c r="C166" s="1008" t="s">
        <v>804</v>
      </c>
      <c r="D166" s="62">
        <v>0.08</v>
      </c>
      <c r="E166" s="62">
        <v>6</v>
      </c>
      <c r="F166" s="62"/>
      <c r="G166" s="62"/>
      <c r="H166" s="886">
        <v>24.3</v>
      </c>
      <c r="I166" s="241" t="s">
        <v>1159</v>
      </c>
      <c r="J166" s="76"/>
      <c r="K166" s="105">
        <f t="shared" si="7"/>
        <v>0</v>
      </c>
      <c r="M166" s="55" t="s">
        <v>1147</v>
      </c>
      <c r="N166" s="791"/>
      <c r="O166" s="634"/>
      <c r="P166" s="1036"/>
      <c r="Q166" s="781"/>
      <c r="R166" s="772"/>
    </row>
    <row r="167" spans="1:19" ht="45.75" customHeight="1">
      <c r="A167" s="1320"/>
      <c r="B167" s="1008" t="s">
        <v>743</v>
      </c>
      <c r="C167" s="1008" t="s">
        <v>738</v>
      </c>
      <c r="D167" s="62">
        <v>7</v>
      </c>
      <c r="E167" s="62">
        <v>103</v>
      </c>
      <c r="F167" s="62"/>
      <c r="G167" s="62"/>
      <c r="H167" s="886">
        <v>35</v>
      </c>
      <c r="I167" s="241" t="s">
        <v>1159</v>
      </c>
      <c r="J167" s="76"/>
      <c r="K167" s="105">
        <f t="shared" si="7"/>
        <v>0</v>
      </c>
      <c r="M167" s="55" t="s">
        <v>1147</v>
      </c>
      <c r="N167" s="791"/>
      <c r="O167" s="634"/>
      <c r="P167" s="1036"/>
      <c r="Q167" s="781"/>
      <c r="R167" s="772"/>
    </row>
    <row r="168" spans="1:19" ht="51.75" customHeight="1">
      <c r="A168" s="1320"/>
      <c r="B168" s="1008" t="s">
        <v>739</v>
      </c>
      <c r="C168" s="1008" t="s">
        <v>834</v>
      </c>
      <c r="D168" s="62">
        <v>7</v>
      </c>
      <c r="E168" s="62">
        <v>103</v>
      </c>
      <c r="F168" s="62"/>
      <c r="G168" s="62"/>
      <c r="H168" s="886">
        <v>17</v>
      </c>
      <c r="I168" s="241" t="s">
        <v>1159</v>
      </c>
      <c r="J168" s="76"/>
      <c r="K168" s="105">
        <f t="shared" si="7"/>
        <v>0</v>
      </c>
      <c r="M168" s="55" t="s">
        <v>1147</v>
      </c>
      <c r="N168" s="791"/>
      <c r="O168" s="634"/>
      <c r="P168" s="1036"/>
      <c r="Q168" s="781"/>
      <c r="R168" s="772"/>
    </row>
    <row r="169" spans="1:19" s="65" customFormat="1" ht="22.5" customHeight="1">
      <c r="A169" s="1005" t="s">
        <v>151</v>
      </c>
      <c r="B169" s="1008" t="s">
        <v>814</v>
      </c>
      <c r="C169" s="997" t="s">
        <v>152</v>
      </c>
      <c r="D169" s="62">
        <v>0.13</v>
      </c>
      <c r="E169" s="62">
        <v>103</v>
      </c>
      <c r="F169" s="62"/>
      <c r="G169" s="62"/>
      <c r="H169" s="886">
        <v>7</v>
      </c>
      <c r="I169" s="241" t="s">
        <v>1159</v>
      </c>
      <c r="J169" s="76"/>
      <c r="K169" s="105">
        <f t="shared" si="7"/>
        <v>0</v>
      </c>
      <c r="L169" s="55"/>
      <c r="M169" s="55" t="s">
        <v>1147</v>
      </c>
      <c r="N169" s="791"/>
      <c r="O169" s="634"/>
      <c r="P169" s="1036"/>
      <c r="Q169" s="781"/>
      <c r="R169" s="772"/>
      <c r="S169" s="55"/>
    </row>
    <row r="170" spans="1:19" ht="22.5" customHeight="1">
      <c r="A170" s="1006" t="s">
        <v>587</v>
      </c>
      <c r="B170" s="1008" t="s">
        <v>153</v>
      </c>
      <c r="C170" s="997" t="s">
        <v>154</v>
      </c>
      <c r="D170" s="59"/>
      <c r="E170" s="59"/>
      <c r="F170" s="59"/>
      <c r="G170" s="59"/>
      <c r="H170" s="886">
        <v>3.41</v>
      </c>
      <c r="I170" s="241" t="s">
        <v>1159</v>
      </c>
      <c r="J170" s="76"/>
      <c r="K170" s="105">
        <f t="shared" si="7"/>
        <v>0</v>
      </c>
      <c r="L170" s="65"/>
      <c r="M170" s="55" t="s">
        <v>1147</v>
      </c>
      <c r="N170" s="791"/>
      <c r="O170" s="634"/>
      <c r="P170" s="1036"/>
      <c r="Q170" s="781"/>
      <c r="R170" s="772"/>
      <c r="S170" s="65"/>
    </row>
    <row r="171" spans="1:19" ht="22.5" customHeight="1">
      <c r="A171" s="1322" t="s">
        <v>155</v>
      </c>
      <c r="B171" s="1325" t="s">
        <v>458</v>
      </c>
      <c r="C171" s="997" t="s">
        <v>152</v>
      </c>
      <c r="D171" s="59">
        <v>0.13</v>
      </c>
      <c r="E171" s="59">
        <v>6</v>
      </c>
      <c r="F171" s="59"/>
      <c r="G171" s="59"/>
      <c r="H171" s="886">
        <v>2.87</v>
      </c>
      <c r="I171" s="241" t="s">
        <v>1159</v>
      </c>
      <c r="J171" s="76"/>
      <c r="K171" s="105">
        <f t="shared" si="7"/>
        <v>0</v>
      </c>
      <c r="L171" s="772"/>
      <c r="M171" s="772" t="s">
        <v>1147</v>
      </c>
      <c r="N171" s="791"/>
      <c r="O171" s="634"/>
      <c r="P171" s="1036"/>
      <c r="Q171" s="781"/>
      <c r="R171" s="772"/>
    </row>
    <row r="172" spans="1:19" ht="22.5" customHeight="1">
      <c r="A172" s="1322"/>
      <c r="B172" s="1325"/>
      <c r="C172" s="997"/>
      <c r="D172" s="59">
        <v>7</v>
      </c>
      <c r="E172" s="59">
        <v>103</v>
      </c>
      <c r="F172" s="59"/>
      <c r="G172" s="59"/>
      <c r="H172" s="886">
        <v>3.99</v>
      </c>
      <c r="I172" s="241" t="s">
        <v>1159</v>
      </c>
      <c r="J172" s="76"/>
      <c r="K172" s="105">
        <f t="shared" si="7"/>
        <v>0</v>
      </c>
      <c r="L172" s="772"/>
      <c r="M172" s="772" t="s">
        <v>1147</v>
      </c>
      <c r="N172" s="791"/>
      <c r="O172" s="634"/>
      <c r="P172" s="1036"/>
      <c r="Q172" s="781"/>
      <c r="R172" s="772"/>
    </row>
    <row r="173" spans="1:19" ht="22.5" customHeight="1">
      <c r="A173" s="1322" t="s">
        <v>156</v>
      </c>
      <c r="B173" s="1008" t="s">
        <v>157</v>
      </c>
      <c r="C173" s="1316" t="s">
        <v>158</v>
      </c>
      <c r="D173" s="62">
        <v>0.13</v>
      </c>
      <c r="E173" s="62">
        <v>7</v>
      </c>
      <c r="F173" s="59"/>
      <c r="G173" s="59"/>
      <c r="H173" s="886">
        <v>5</v>
      </c>
      <c r="I173" s="241" t="s">
        <v>1159</v>
      </c>
      <c r="J173" s="76"/>
      <c r="K173" s="105">
        <f t="shared" si="7"/>
        <v>0</v>
      </c>
      <c r="L173" s="772"/>
      <c r="M173" s="772" t="s">
        <v>1147</v>
      </c>
      <c r="N173" s="791"/>
      <c r="O173" s="634"/>
      <c r="P173" s="1036"/>
      <c r="Q173" s="781"/>
      <c r="R173" s="772"/>
    </row>
    <row r="174" spans="1:19" ht="22.5" customHeight="1">
      <c r="A174" s="1322"/>
      <c r="B174" s="1008" t="s">
        <v>310</v>
      </c>
      <c r="C174" s="1382"/>
      <c r="D174" s="62">
        <v>0.13</v>
      </c>
      <c r="E174" s="62">
        <v>7</v>
      </c>
      <c r="F174" s="59"/>
      <c r="G174" s="59"/>
      <c r="H174" s="886">
        <v>5.5</v>
      </c>
      <c r="I174" s="241" t="s">
        <v>1159</v>
      </c>
      <c r="J174" s="76"/>
      <c r="K174" s="105">
        <f t="shared" si="7"/>
        <v>0</v>
      </c>
      <c r="L174" s="772"/>
      <c r="M174" s="772" t="s">
        <v>1147</v>
      </c>
      <c r="N174" s="791"/>
      <c r="O174" s="634"/>
      <c r="P174" s="1036"/>
      <c r="Q174" s="781"/>
      <c r="R174" s="772"/>
    </row>
    <row r="175" spans="1:19" ht="22.5" customHeight="1">
      <c r="A175" s="1322"/>
      <c r="B175" s="1008" t="s">
        <v>311</v>
      </c>
      <c r="C175" s="1382"/>
      <c r="D175" s="62">
        <v>0.13</v>
      </c>
      <c r="E175" s="62">
        <v>7</v>
      </c>
      <c r="F175" s="59"/>
      <c r="G175" s="59"/>
      <c r="H175" s="886">
        <v>6.2</v>
      </c>
      <c r="I175" s="241" t="s">
        <v>1159</v>
      </c>
      <c r="J175" s="76"/>
      <c r="K175" s="105">
        <f t="shared" si="7"/>
        <v>0</v>
      </c>
      <c r="L175" s="772"/>
      <c r="M175" s="772" t="s">
        <v>1147</v>
      </c>
      <c r="N175" s="791"/>
      <c r="O175" s="634"/>
      <c r="P175" s="1036"/>
      <c r="Q175" s="781"/>
      <c r="R175" s="772"/>
    </row>
    <row r="176" spans="1:19" ht="22.5" customHeight="1">
      <c r="A176" s="1322"/>
      <c r="B176" s="1347" t="s">
        <v>1024</v>
      </c>
      <c r="C176" s="1382"/>
      <c r="D176" s="62">
        <v>8</v>
      </c>
      <c r="E176" s="62">
        <v>15</v>
      </c>
      <c r="F176" s="59"/>
      <c r="G176" s="59"/>
      <c r="H176" s="886">
        <v>8.75</v>
      </c>
      <c r="I176" s="241" t="s">
        <v>1159</v>
      </c>
      <c r="J176" s="76"/>
      <c r="K176" s="105">
        <f t="shared" si="7"/>
        <v>0</v>
      </c>
      <c r="L176" s="772"/>
      <c r="M176" s="772" t="s">
        <v>1147</v>
      </c>
      <c r="N176" s="791"/>
      <c r="O176" s="634"/>
      <c r="P176" s="1036"/>
      <c r="Q176" s="781"/>
      <c r="R176" s="772"/>
    </row>
    <row r="177" spans="1:19" ht="22.5" customHeight="1">
      <c r="A177" s="1322"/>
      <c r="B177" s="1348"/>
      <c r="C177" s="1382"/>
      <c r="D177" s="62">
        <v>16</v>
      </c>
      <c r="E177" s="62">
        <v>30</v>
      </c>
      <c r="F177" s="59"/>
      <c r="G177" s="59"/>
      <c r="H177" s="886">
        <v>11.5</v>
      </c>
      <c r="I177" s="241" t="s">
        <v>1159</v>
      </c>
      <c r="J177" s="76"/>
      <c r="K177" s="105">
        <f t="shared" si="7"/>
        <v>0</v>
      </c>
      <c r="L177" s="772"/>
      <c r="M177" s="772" t="s">
        <v>1147</v>
      </c>
      <c r="N177" s="791"/>
      <c r="O177" s="634"/>
      <c r="P177" s="1036"/>
      <c r="Q177" s="781"/>
      <c r="R177" s="772"/>
    </row>
    <row r="178" spans="1:19" ht="22.5" customHeight="1">
      <c r="A178" s="1322"/>
      <c r="B178" s="1348"/>
      <c r="C178" s="1382"/>
      <c r="D178" s="62">
        <v>31</v>
      </c>
      <c r="E178" s="62">
        <v>50</v>
      </c>
      <c r="F178" s="59"/>
      <c r="G178" s="59"/>
      <c r="H178" s="886">
        <v>14</v>
      </c>
      <c r="I178" s="241" t="s">
        <v>1159</v>
      </c>
      <c r="J178" s="76"/>
      <c r="K178" s="105">
        <f t="shared" si="7"/>
        <v>0</v>
      </c>
      <c r="L178" s="772"/>
      <c r="M178" s="772" t="s">
        <v>1147</v>
      </c>
      <c r="N178" s="791"/>
      <c r="O178" s="634"/>
      <c r="P178" s="1036"/>
      <c r="Q178" s="781"/>
      <c r="R178" s="772"/>
    </row>
    <row r="179" spans="1:19" ht="22.5" customHeight="1">
      <c r="A179" s="1322"/>
      <c r="B179" s="1354"/>
      <c r="C179" s="1317"/>
      <c r="D179" s="62">
        <v>51</v>
      </c>
      <c r="E179" s="62">
        <v>103</v>
      </c>
      <c r="F179" s="59"/>
      <c r="G179" s="59"/>
      <c r="H179" s="886">
        <v>21</v>
      </c>
      <c r="I179" s="241" t="s">
        <v>1159</v>
      </c>
      <c r="J179" s="76"/>
      <c r="K179" s="105">
        <f t="shared" si="7"/>
        <v>0</v>
      </c>
      <c r="L179" s="772"/>
      <c r="M179" s="772" t="s">
        <v>1147</v>
      </c>
      <c r="N179" s="791"/>
      <c r="O179" s="634"/>
      <c r="P179" s="1036"/>
      <c r="Q179" s="781"/>
      <c r="R179" s="772"/>
    </row>
    <row r="180" spans="1:19" ht="22.5" customHeight="1">
      <c r="A180" s="1006" t="s">
        <v>169</v>
      </c>
      <c r="B180" s="1008" t="s">
        <v>170</v>
      </c>
      <c r="C180" s="997" t="s">
        <v>158</v>
      </c>
      <c r="D180" s="59"/>
      <c r="E180" s="59"/>
      <c r="F180" s="59"/>
      <c r="G180" s="59"/>
      <c r="H180" s="886">
        <v>6.2</v>
      </c>
      <c r="I180" s="241" t="s">
        <v>1159</v>
      </c>
      <c r="J180" s="76"/>
      <c r="K180" s="105">
        <f t="shared" si="7"/>
        <v>0</v>
      </c>
      <c r="L180" s="772"/>
      <c r="M180" s="772" t="s">
        <v>1147</v>
      </c>
      <c r="N180" s="791"/>
      <c r="O180" s="634"/>
      <c r="P180" s="1036"/>
      <c r="Q180" s="781"/>
      <c r="R180" s="772"/>
    </row>
    <row r="181" spans="1:19" ht="22.5" customHeight="1">
      <c r="A181" s="1322" t="s">
        <v>159</v>
      </c>
      <c r="B181" s="1008" t="s">
        <v>160</v>
      </c>
      <c r="C181" s="997" t="s">
        <v>161</v>
      </c>
      <c r="D181" s="59">
        <v>0.13</v>
      </c>
      <c r="E181" s="59">
        <v>103</v>
      </c>
      <c r="F181" s="59"/>
      <c r="G181" s="59"/>
      <c r="H181" s="886">
        <v>3.3</v>
      </c>
      <c r="I181" s="241" t="s">
        <v>1159</v>
      </c>
      <c r="J181" s="76"/>
      <c r="K181" s="105">
        <f t="shared" si="7"/>
        <v>0</v>
      </c>
      <c r="L181" s="772"/>
      <c r="M181" s="772" t="s">
        <v>1147</v>
      </c>
      <c r="N181" s="791"/>
      <c r="O181" s="634"/>
      <c r="P181" s="1036"/>
      <c r="Q181" s="781"/>
      <c r="R181" s="772"/>
    </row>
    <row r="182" spans="1:19" ht="22.5" customHeight="1">
      <c r="A182" s="1322"/>
      <c r="B182" s="1008" t="s">
        <v>162</v>
      </c>
      <c r="C182" s="997"/>
      <c r="D182" s="59">
        <v>0.13</v>
      </c>
      <c r="E182" s="59">
        <v>103</v>
      </c>
      <c r="F182" s="59"/>
      <c r="G182" s="59"/>
      <c r="H182" s="886">
        <v>4.9000000000000004</v>
      </c>
      <c r="I182" s="241" t="s">
        <v>1159</v>
      </c>
      <c r="J182" s="76"/>
      <c r="K182" s="105">
        <f t="shared" si="7"/>
        <v>0</v>
      </c>
      <c r="L182" s="772"/>
      <c r="M182" s="772" t="s">
        <v>1147</v>
      </c>
      <c r="N182" s="791"/>
      <c r="O182" s="634"/>
      <c r="P182" s="1036"/>
      <c r="Q182" s="781"/>
      <c r="R182" s="772"/>
    </row>
    <row r="183" spans="1:19" ht="22.5" customHeight="1">
      <c r="A183" s="488" t="s">
        <v>725</v>
      </c>
      <c r="B183" s="1020" t="s">
        <v>726</v>
      </c>
      <c r="C183" s="1003"/>
      <c r="D183" s="264"/>
      <c r="E183" s="264"/>
      <c r="F183" s="264"/>
      <c r="G183" s="264"/>
      <c r="H183" s="885">
        <v>111</v>
      </c>
      <c r="I183" s="241" t="s">
        <v>1159</v>
      </c>
      <c r="J183" s="76"/>
      <c r="K183" s="269">
        <f t="shared" si="7"/>
        <v>0</v>
      </c>
      <c r="M183" s="55" t="s">
        <v>1147</v>
      </c>
      <c r="N183" s="791"/>
      <c r="O183" s="634"/>
      <c r="P183" s="1036"/>
      <c r="Q183" s="781"/>
      <c r="R183" s="772"/>
    </row>
    <row r="184" spans="1:19" ht="22.5" customHeight="1">
      <c r="A184" s="488"/>
      <c r="B184" s="1020"/>
      <c r="C184" s="1003"/>
      <c r="D184" s="264"/>
      <c r="E184" s="264"/>
      <c r="F184" s="264"/>
      <c r="G184" s="264"/>
      <c r="H184" s="885"/>
      <c r="I184" s="241"/>
      <c r="J184" s="76"/>
      <c r="K184" s="269"/>
      <c r="N184" s="791"/>
      <c r="O184" s="634"/>
      <c r="P184" s="1036"/>
      <c r="Q184" s="781"/>
      <c r="R184" s="772"/>
    </row>
    <row r="185" spans="1:19" ht="22.5" customHeight="1">
      <c r="A185" s="488"/>
      <c r="B185" s="1020"/>
      <c r="C185" s="1003"/>
      <c r="D185" s="264"/>
      <c r="E185" s="264"/>
      <c r="F185" s="264"/>
      <c r="G185" s="264"/>
      <c r="H185" s="430"/>
      <c r="I185" s="241"/>
      <c r="J185" s="76"/>
      <c r="K185" s="269"/>
      <c r="N185" s="791"/>
      <c r="O185" s="634"/>
      <c r="P185" s="1036"/>
      <c r="Q185" s="781"/>
      <c r="R185" s="772"/>
    </row>
    <row r="186" spans="1:19" ht="22.5" customHeight="1" thickBot="1">
      <c r="A186" s="119"/>
      <c r="B186" s="113"/>
      <c r="C186" s="120"/>
      <c r="D186" s="69"/>
      <c r="E186" s="69"/>
      <c r="F186" s="69"/>
      <c r="G186" s="69"/>
      <c r="H186" s="69"/>
      <c r="I186" s="233"/>
      <c r="J186" s="76"/>
      <c r="K186" s="112"/>
      <c r="N186" s="791"/>
      <c r="O186" s="634"/>
      <c r="P186" s="1036"/>
      <c r="Q186" s="781"/>
      <c r="R186" s="772"/>
    </row>
    <row r="187" spans="1:19" s="58" customFormat="1" ht="53.25" customHeight="1">
      <c r="A187" s="101" t="s">
        <v>309</v>
      </c>
      <c r="B187" s="57" t="s">
        <v>321</v>
      </c>
      <c r="C187" s="57" t="s">
        <v>96</v>
      </c>
      <c r="D187" s="57" t="s">
        <v>1198</v>
      </c>
      <c r="E187" s="57"/>
      <c r="F187" s="57"/>
      <c r="G187" s="57"/>
      <c r="H187" s="102" t="s">
        <v>318</v>
      </c>
      <c r="I187" s="234" t="s">
        <v>25</v>
      </c>
      <c r="J187" s="103" t="s">
        <v>308</v>
      </c>
      <c r="K187" s="104" t="s">
        <v>1366</v>
      </c>
      <c r="N187" s="791"/>
      <c r="O187" s="634"/>
      <c r="P187" s="1036"/>
      <c r="Q187" s="781"/>
      <c r="R187" s="772"/>
      <c r="S187" s="55"/>
    </row>
    <row r="188" spans="1:19" ht="25.2" customHeight="1">
      <c r="A188" s="1356" t="s">
        <v>649</v>
      </c>
      <c r="B188" s="676" t="s">
        <v>1197</v>
      </c>
      <c r="C188" s="1376" t="s">
        <v>646</v>
      </c>
      <c r="D188" s="838"/>
      <c r="E188" s="62"/>
      <c r="F188" s="62"/>
      <c r="G188" s="62"/>
      <c r="H188" s="885">
        <v>12.821999999999999</v>
      </c>
      <c r="I188" s="690" t="s">
        <v>1159</v>
      </c>
      <c r="J188" s="691"/>
      <c r="K188" s="795">
        <f>+J188*H188</f>
        <v>0</v>
      </c>
      <c r="L188" s="1258"/>
      <c r="M188" s="1258" t="s">
        <v>1146</v>
      </c>
      <c r="N188" s="791"/>
      <c r="O188" s="634"/>
      <c r="P188" s="1126"/>
      <c r="Q188" s="1127"/>
      <c r="R188" s="772"/>
      <c r="S188" s="58"/>
    </row>
    <row r="189" spans="1:19" ht="25.2" customHeight="1">
      <c r="A189" s="1357"/>
      <c r="B189" s="676" t="s">
        <v>1191</v>
      </c>
      <c r="C189" s="1376"/>
      <c r="D189" s="838"/>
      <c r="E189" s="62"/>
      <c r="F189" s="62"/>
      <c r="G189" s="62"/>
      <c r="H189" s="885">
        <v>8</v>
      </c>
      <c r="I189" s="690" t="s">
        <v>1159</v>
      </c>
      <c r="J189" s="691"/>
      <c r="K189" s="795">
        <f>+J189*H189</f>
        <v>0</v>
      </c>
      <c r="L189" s="1258"/>
      <c r="M189" s="1258"/>
      <c r="N189" s="791"/>
      <c r="O189" s="634"/>
      <c r="P189" s="1036"/>
      <c r="Q189" s="781"/>
      <c r="R189" s="772"/>
      <c r="S189" s="58"/>
    </row>
    <row r="190" spans="1:19" ht="45.75" customHeight="1">
      <c r="A190" s="1357"/>
      <c r="B190" s="676" t="s">
        <v>1192</v>
      </c>
      <c r="C190" s="1376"/>
      <c r="D190" s="676" t="s">
        <v>1199</v>
      </c>
      <c r="E190" s="62"/>
      <c r="F190" s="62"/>
      <c r="G190" s="62"/>
      <c r="H190" s="885">
        <v>13</v>
      </c>
      <c r="I190" s="690" t="s">
        <v>1159</v>
      </c>
      <c r="J190" s="691"/>
      <c r="K190" s="795">
        <f t="shared" ref="K190:K208" si="8">+J190*H190</f>
        <v>0</v>
      </c>
      <c r="L190" s="1258"/>
      <c r="M190" s="1258"/>
      <c r="N190" s="791"/>
      <c r="O190" s="634"/>
      <c r="P190" s="1036"/>
      <c r="Q190" s="781"/>
      <c r="R190" s="772"/>
      <c r="S190" s="58"/>
    </row>
    <row r="191" spans="1:19" ht="25.2" customHeight="1">
      <c r="A191" s="1357"/>
      <c r="B191" s="676" t="s">
        <v>1193</v>
      </c>
      <c r="C191" s="1376"/>
      <c r="D191" s="838"/>
      <c r="E191" s="62"/>
      <c r="F191" s="62"/>
      <c r="G191" s="62"/>
      <c r="H191" s="885">
        <v>6</v>
      </c>
      <c r="I191" s="690" t="s">
        <v>1159</v>
      </c>
      <c r="J191" s="691"/>
      <c r="K191" s="795">
        <f t="shared" si="8"/>
        <v>0</v>
      </c>
      <c r="L191" s="1258"/>
      <c r="M191" s="1258"/>
      <c r="N191" s="791"/>
      <c r="O191" s="634"/>
      <c r="P191" s="1036"/>
      <c r="Q191" s="781"/>
      <c r="R191" s="772"/>
      <c r="S191" s="58"/>
    </row>
    <row r="192" spans="1:19" ht="25.2" customHeight="1">
      <c r="A192" s="1357"/>
      <c r="B192" s="676" t="s">
        <v>1194</v>
      </c>
      <c r="C192" s="1376"/>
      <c r="D192" s="676" t="s">
        <v>1200</v>
      </c>
      <c r="E192" s="62"/>
      <c r="F192" s="62"/>
      <c r="G192" s="62"/>
      <c r="H192" s="885">
        <v>26</v>
      </c>
      <c r="I192" s="690" t="s">
        <v>1159</v>
      </c>
      <c r="J192" s="691"/>
      <c r="K192" s="795">
        <f t="shared" si="8"/>
        <v>0</v>
      </c>
      <c r="L192" s="1258"/>
      <c r="M192" s="1258"/>
      <c r="N192" s="791"/>
      <c r="O192" s="634"/>
      <c r="P192" s="1036"/>
      <c r="Q192" s="781"/>
      <c r="R192" s="772"/>
      <c r="S192" s="58"/>
    </row>
    <row r="193" spans="1:19" ht="25.2" customHeight="1">
      <c r="A193" s="1357"/>
      <c r="B193" s="676" t="s">
        <v>1195</v>
      </c>
      <c r="C193" s="1376"/>
      <c r="D193" s="838"/>
      <c r="E193" s="62"/>
      <c r="F193" s="62"/>
      <c r="G193" s="62"/>
      <c r="H193" s="885">
        <v>3</v>
      </c>
      <c r="I193" s="690" t="s">
        <v>1159</v>
      </c>
      <c r="J193" s="691"/>
      <c r="K193" s="795">
        <f t="shared" si="8"/>
        <v>0</v>
      </c>
      <c r="L193" s="1258"/>
      <c r="M193" s="1258"/>
      <c r="N193" s="791"/>
      <c r="O193" s="634"/>
      <c r="P193" s="1036"/>
      <c r="Q193" s="781"/>
      <c r="R193" s="772"/>
      <c r="S193" s="58"/>
    </row>
    <row r="194" spans="1:19" ht="25.2" customHeight="1">
      <c r="A194" s="1358"/>
      <c r="B194" s="676" t="s">
        <v>1196</v>
      </c>
      <c r="C194" s="1376"/>
      <c r="D194" s="838"/>
      <c r="E194" s="62"/>
      <c r="F194" s="62"/>
      <c r="G194" s="62"/>
      <c r="H194" s="885">
        <v>18.690000000000001</v>
      </c>
      <c r="I194" s="690" t="s">
        <v>1159</v>
      </c>
      <c r="J194" s="691"/>
      <c r="K194" s="795">
        <f t="shared" si="8"/>
        <v>0</v>
      </c>
      <c r="L194" s="1258"/>
      <c r="M194" s="1258"/>
      <c r="N194" s="791"/>
      <c r="O194" s="634"/>
      <c r="P194" s="1036"/>
      <c r="Q194" s="781"/>
      <c r="R194" s="772"/>
    </row>
    <row r="195" spans="1:19" ht="49.5" customHeight="1">
      <c r="A195" s="1358"/>
      <c r="B195" s="676" t="s">
        <v>1201</v>
      </c>
      <c r="C195" s="1376"/>
      <c r="D195" s="676" t="s">
        <v>1202</v>
      </c>
      <c r="E195" s="62"/>
      <c r="F195" s="62"/>
      <c r="G195" s="62"/>
      <c r="H195" s="885">
        <v>6</v>
      </c>
      <c r="I195" s="690" t="s">
        <v>1159</v>
      </c>
      <c r="J195" s="691"/>
      <c r="K195" s="795">
        <f t="shared" si="8"/>
        <v>0</v>
      </c>
      <c r="L195" s="1258"/>
      <c r="M195" s="1258"/>
      <c r="N195" s="791"/>
      <c r="O195" s="634"/>
      <c r="P195" s="1036"/>
      <c r="Q195" s="781"/>
      <c r="R195" s="772"/>
    </row>
    <row r="196" spans="1:19" ht="45.75" customHeight="1">
      <c r="A196" s="1358"/>
      <c r="B196" s="839" t="s">
        <v>1304</v>
      </c>
      <c r="C196" s="1376"/>
      <c r="D196" s="676" t="s">
        <v>1203</v>
      </c>
      <c r="E196" s="62"/>
      <c r="F196" s="62"/>
      <c r="G196" s="62"/>
      <c r="H196" s="885">
        <v>21.379000000000001</v>
      </c>
      <c r="I196" s="690" t="s">
        <v>1159</v>
      </c>
      <c r="J196" s="691"/>
      <c r="K196" s="795">
        <f t="shared" si="8"/>
        <v>0</v>
      </c>
      <c r="L196" s="1258"/>
      <c r="M196" s="1258"/>
      <c r="N196" s="791"/>
      <c r="O196" s="634"/>
      <c r="P196" s="1036"/>
      <c r="Q196" s="781"/>
      <c r="R196" s="772"/>
    </row>
    <row r="197" spans="1:19" ht="45.75" customHeight="1">
      <c r="A197" s="1358"/>
      <c r="B197" s="839" t="s">
        <v>1205</v>
      </c>
      <c r="C197" s="1376"/>
      <c r="D197" s="676" t="s">
        <v>1204</v>
      </c>
      <c r="E197" s="62"/>
      <c r="F197" s="62"/>
      <c r="G197" s="62"/>
      <c r="H197" s="885">
        <v>7</v>
      </c>
      <c r="I197" s="690" t="s">
        <v>1159</v>
      </c>
      <c r="J197" s="691"/>
      <c r="K197" s="795">
        <f t="shared" si="8"/>
        <v>0</v>
      </c>
      <c r="L197" s="1258"/>
      <c r="M197" s="1258"/>
      <c r="N197" s="791"/>
      <c r="O197" s="634"/>
      <c r="P197" s="1036"/>
      <c r="Q197" s="781"/>
      <c r="R197" s="772"/>
    </row>
    <row r="198" spans="1:19" ht="25.2" customHeight="1">
      <c r="A198" s="1358"/>
      <c r="B198" s="839" t="s">
        <v>1206</v>
      </c>
      <c r="C198" s="1376"/>
      <c r="D198" s="676" t="s">
        <v>1207</v>
      </c>
      <c r="E198" s="62"/>
      <c r="F198" s="62"/>
      <c r="G198" s="62"/>
      <c r="H198" s="885">
        <v>180</v>
      </c>
      <c r="I198" s="690" t="s">
        <v>1159</v>
      </c>
      <c r="J198" s="691"/>
      <c r="K198" s="795">
        <f t="shared" si="8"/>
        <v>0</v>
      </c>
      <c r="L198" s="1258"/>
      <c r="M198" s="1258"/>
      <c r="N198" s="791"/>
      <c r="O198" s="634"/>
      <c r="P198" s="1036"/>
      <c r="Q198" s="781"/>
      <c r="R198" s="772"/>
    </row>
    <row r="199" spans="1:19" ht="25.2" customHeight="1">
      <c r="A199" s="1358"/>
      <c r="B199" s="762" t="s">
        <v>1208</v>
      </c>
      <c r="C199" s="1026"/>
      <c r="D199" s="676"/>
      <c r="E199" s="62"/>
      <c r="F199" s="62"/>
      <c r="G199" s="62"/>
      <c r="H199" s="885">
        <v>14.574</v>
      </c>
      <c r="I199" s="690" t="s">
        <v>1159</v>
      </c>
      <c r="J199" s="691"/>
      <c r="K199" s="795">
        <f t="shared" si="8"/>
        <v>0</v>
      </c>
      <c r="L199" s="1258"/>
      <c r="M199" s="1258"/>
      <c r="N199" s="791"/>
      <c r="O199" s="634"/>
      <c r="P199" s="1036"/>
      <c r="Q199" s="781"/>
      <c r="R199" s="772"/>
    </row>
    <row r="200" spans="1:19" ht="69" customHeight="1">
      <c r="A200" s="1358"/>
      <c r="B200" s="762" t="s">
        <v>1209</v>
      </c>
      <c r="C200" s="1026"/>
      <c r="D200" s="676" t="s">
        <v>1211</v>
      </c>
      <c r="E200" s="62"/>
      <c r="F200" s="62"/>
      <c r="G200" s="62"/>
      <c r="H200" s="885">
        <v>13</v>
      </c>
      <c r="I200" s="690" t="s">
        <v>1159</v>
      </c>
      <c r="J200" s="691"/>
      <c r="K200" s="795">
        <f t="shared" si="8"/>
        <v>0</v>
      </c>
      <c r="L200" s="1258"/>
      <c r="M200" s="1258"/>
      <c r="N200" s="791"/>
      <c r="O200" s="634"/>
      <c r="P200" s="1036"/>
      <c r="Q200" s="781"/>
      <c r="R200" s="772"/>
    </row>
    <row r="201" spans="1:19" ht="25.2" customHeight="1">
      <c r="A201" s="1358"/>
      <c r="B201" s="762" t="s">
        <v>1195</v>
      </c>
      <c r="C201" s="1026"/>
      <c r="D201" s="676"/>
      <c r="E201" s="62"/>
      <c r="F201" s="62"/>
      <c r="G201" s="62"/>
      <c r="H201" s="885">
        <v>3</v>
      </c>
      <c r="I201" s="690" t="s">
        <v>1159</v>
      </c>
      <c r="J201" s="691"/>
      <c r="K201" s="795">
        <f t="shared" si="8"/>
        <v>0</v>
      </c>
      <c r="L201" s="1258"/>
      <c r="M201" s="1258"/>
      <c r="N201" s="791"/>
      <c r="O201" s="634"/>
      <c r="P201" s="1036"/>
      <c r="Q201" s="781"/>
      <c r="R201" s="772"/>
    </row>
    <row r="202" spans="1:19" ht="25.2" customHeight="1">
      <c r="A202" s="1359"/>
      <c r="B202" s="762" t="s">
        <v>1210</v>
      </c>
      <c r="C202" s="840" t="s">
        <v>647</v>
      </c>
      <c r="D202" s="62"/>
      <c r="E202" s="62"/>
      <c r="F202" s="62"/>
      <c r="G202" s="62"/>
      <c r="H202" s="885">
        <v>21.527999999999999</v>
      </c>
      <c r="I202" s="690" t="s">
        <v>1159</v>
      </c>
      <c r="J202" s="691"/>
      <c r="K202" s="795">
        <f t="shared" si="8"/>
        <v>0</v>
      </c>
      <c r="L202" s="1258"/>
      <c r="M202" s="1258"/>
      <c r="N202" s="791"/>
      <c r="O202" s="634"/>
      <c r="P202" s="1036"/>
      <c r="Q202" s="781"/>
      <c r="R202" s="772"/>
    </row>
    <row r="203" spans="1:19" ht="22.5" customHeight="1">
      <c r="A203" s="1320" t="s">
        <v>774</v>
      </c>
      <c r="B203" s="1313" t="s">
        <v>775</v>
      </c>
      <c r="C203" s="1336" t="s">
        <v>178</v>
      </c>
      <c r="D203" s="62" t="s">
        <v>393</v>
      </c>
      <c r="E203" s="62"/>
      <c r="F203" s="62"/>
      <c r="G203" s="62"/>
      <c r="H203" s="881">
        <v>38.75</v>
      </c>
      <c r="I203" s="690" t="s">
        <v>1159</v>
      </c>
      <c r="J203" s="76"/>
      <c r="K203" s="68">
        <f t="shared" si="8"/>
        <v>0</v>
      </c>
      <c r="L203" s="791"/>
      <c r="M203" s="772" t="s">
        <v>1146</v>
      </c>
      <c r="N203" s="791"/>
      <c r="O203" s="634"/>
      <c r="P203" s="1036"/>
      <c r="Q203" s="781"/>
      <c r="R203" s="772"/>
    </row>
    <row r="204" spans="1:19" ht="22.5" customHeight="1">
      <c r="A204" s="1320"/>
      <c r="B204" s="1314"/>
      <c r="C204" s="1298"/>
      <c r="D204" s="62" t="s">
        <v>469</v>
      </c>
      <c r="E204" s="62"/>
      <c r="F204" s="62"/>
      <c r="G204" s="62"/>
      <c r="H204" s="881">
        <v>3.08</v>
      </c>
      <c r="I204" s="690" t="s">
        <v>1159</v>
      </c>
      <c r="J204" s="76"/>
      <c r="K204" s="68">
        <f t="shared" si="8"/>
        <v>0</v>
      </c>
      <c r="L204" s="772"/>
      <c r="M204" s="772" t="s">
        <v>1146</v>
      </c>
      <c r="N204" s="791"/>
      <c r="O204" s="634"/>
      <c r="P204" s="1036"/>
      <c r="Q204" s="781"/>
      <c r="R204" s="772"/>
    </row>
    <row r="205" spans="1:19" ht="22.5" customHeight="1">
      <c r="A205" s="1005" t="s">
        <v>776</v>
      </c>
      <c r="B205" s="1008" t="s">
        <v>179</v>
      </c>
      <c r="C205" s="997" t="s">
        <v>178</v>
      </c>
      <c r="D205" s="62"/>
      <c r="E205" s="62"/>
      <c r="F205" s="62"/>
      <c r="G205" s="62"/>
      <c r="H205" s="881">
        <v>85</v>
      </c>
      <c r="I205" s="690" t="s">
        <v>1159</v>
      </c>
      <c r="J205" s="76"/>
      <c r="K205" s="68">
        <f t="shared" si="8"/>
        <v>0</v>
      </c>
      <c r="L205" s="772"/>
      <c r="M205" s="772" t="s">
        <v>1146</v>
      </c>
      <c r="N205" s="791"/>
      <c r="O205" s="634"/>
      <c r="P205" s="1036"/>
      <c r="Q205" s="781"/>
      <c r="R205" s="772"/>
    </row>
    <row r="206" spans="1:19" ht="46.5" customHeight="1">
      <c r="A206" s="1006" t="s">
        <v>266</v>
      </c>
      <c r="B206" s="61" t="s">
        <v>267</v>
      </c>
      <c r="C206" s="61" t="s">
        <v>268</v>
      </c>
      <c r="D206" s="59"/>
      <c r="E206" s="59"/>
      <c r="F206" s="59"/>
      <c r="G206" s="59"/>
      <c r="H206" s="881">
        <v>52.2</v>
      </c>
      <c r="I206" s="690" t="s">
        <v>1159</v>
      </c>
      <c r="J206" s="76"/>
      <c r="K206" s="105">
        <f t="shared" si="8"/>
        <v>0</v>
      </c>
      <c r="L206" s="772"/>
      <c r="M206" s="772" t="s">
        <v>1146</v>
      </c>
      <c r="N206" s="791"/>
      <c r="O206" s="634"/>
      <c r="P206" s="1036"/>
      <c r="Q206" s="781"/>
      <c r="R206" s="772"/>
    </row>
    <row r="207" spans="1:19" ht="31.5" customHeight="1">
      <c r="A207" s="1006" t="s">
        <v>269</v>
      </c>
      <c r="B207" s="319" t="s">
        <v>270</v>
      </c>
      <c r="C207" s="319" t="s">
        <v>557</v>
      </c>
      <c r="D207" s="264"/>
      <c r="E207" s="59"/>
      <c r="F207" s="59"/>
      <c r="G207" s="59"/>
      <c r="H207" s="883">
        <v>87</v>
      </c>
      <c r="I207" s="690" t="s">
        <v>1159</v>
      </c>
      <c r="J207" s="76"/>
      <c r="K207" s="105">
        <f t="shared" si="8"/>
        <v>0</v>
      </c>
      <c r="L207" s="772"/>
      <c r="M207" s="772" t="s">
        <v>1146</v>
      </c>
      <c r="N207" s="791"/>
      <c r="O207" s="634"/>
      <c r="P207" s="1036"/>
      <c r="Q207" s="781"/>
      <c r="R207" s="772"/>
    </row>
    <row r="208" spans="1:19" ht="31.5" customHeight="1">
      <c r="A208" s="1332" t="s">
        <v>689</v>
      </c>
      <c r="B208" s="490" t="s">
        <v>752</v>
      </c>
      <c r="C208" s="321"/>
      <c r="D208" s="59"/>
      <c r="E208" s="264"/>
      <c r="F208" s="264"/>
      <c r="G208" s="322"/>
      <c r="H208" s="1377">
        <v>319.58</v>
      </c>
      <c r="I208" s="1266" t="s">
        <v>1159</v>
      </c>
      <c r="J208" s="1263"/>
      <c r="K208" s="1372">
        <f t="shared" si="8"/>
        <v>0</v>
      </c>
      <c r="L208" s="1259"/>
      <c r="M208" s="1259" t="s">
        <v>1147</v>
      </c>
      <c r="N208" s="791"/>
      <c r="O208" s="634"/>
      <c r="P208" s="1036"/>
      <c r="Q208" s="781"/>
      <c r="R208" s="772"/>
    </row>
    <row r="209" spans="1:19" ht="23.25" customHeight="1">
      <c r="A209" s="1369"/>
      <c r="B209" s="490" t="s">
        <v>257</v>
      </c>
      <c r="C209" s="321"/>
      <c r="D209" s="59"/>
      <c r="E209" s="264"/>
      <c r="F209" s="264"/>
      <c r="G209" s="322"/>
      <c r="H209" s="1378"/>
      <c r="I209" s="1267"/>
      <c r="J209" s="1264"/>
      <c r="K209" s="1373"/>
      <c r="L209" s="1259"/>
      <c r="M209" s="1259"/>
      <c r="N209" s="791"/>
      <c r="O209" s="634"/>
      <c r="P209" s="1036"/>
      <c r="Q209" s="781"/>
      <c r="R209" s="772"/>
    </row>
    <row r="210" spans="1:19" ht="21" customHeight="1">
      <c r="A210" s="1369"/>
      <c r="B210" s="490" t="s">
        <v>256</v>
      </c>
      <c r="C210" s="321"/>
      <c r="D210" s="59"/>
      <c r="E210" s="264"/>
      <c r="F210" s="264"/>
      <c r="G210" s="322"/>
      <c r="H210" s="1378"/>
      <c r="I210" s="1267"/>
      <c r="J210" s="1264"/>
      <c r="K210" s="1373"/>
      <c r="L210" s="1259"/>
      <c r="M210" s="1259"/>
      <c r="N210" s="791"/>
      <c r="O210" s="634"/>
      <c r="P210" s="1036"/>
      <c r="Q210" s="781"/>
      <c r="R210" s="772"/>
    </row>
    <row r="211" spans="1:19" ht="24.75" customHeight="1">
      <c r="A211" s="1369"/>
      <c r="B211" s="490" t="s">
        <v>258</v>
      </c>
      <c r="C211" s="1271" t="s">
        <v>82</v>
      </c>
      <c r="D211" s="59"/>
      <c r="E211" s="264"/>
      <c r="F211" s="264"/>
      <c r="G211" s="322"/>
      <c r="H211" s="1378"/>
      <c r="I211" s="1267"/>
      <c r="J211" s="1264"/>
      <c r="K211" s="1373"/>
      <c r="L211" s="1259"/>
      <c r="M211" s="1259"/>
      <c r="N211" s="791"/>
      <c r="O211" s="634"/>
      <c r="P211" s="1036"/>
      <c r="Q211" s="781"/>
      <c r="R211" s="772"/>
    </row>
    <row r="212" spans="1:19" ht="21.75" customHeight="1">
      <c r="A212" s="1369"/>
      <c r="B212" s="490" t="s">
        <v>259</v>
      </c>
      <c r="C212" s="1272"/>
      <c r="D212" s="59"/>
      <c r="E212" s="264"/>
      <c r="F212" s="264"/>
      <c r="G212" s="322"/>
      <c r="H212" s="1378"/>
      <c r="I212" s="1267"/>
      <c r="J212" s="1264"/>
      <c r="K212" s="1373"/>
      <c r="L212" s="1259"/>
      <c r="M212" s="1259"/>
      <c r="N212" s="791"/>
      <c r="O212" s="634"/>
      <c r="P212" s="1036"/>
      <c r="Q212" s="781"/>
      <c r="R212" s="772"/>
    </row>
    <row r="213" spans="1:19" ht="30" customHeight="1">
      <c r="A213" s="1333"/>
      <c r="B213" s="490" t="s">
        <v>260</v>
      </c>
      <c r="C213" s="99"/>
      <c r="D213" s="59"/>
      <c r="E213" s="59"/>
      <c r="F213" s="59"/>
      <c r="G213" s="529"/>
      <c r="H213" s="1379"/>
      <c r="I213" s="1268"/>
      <c r="J213" s="1265"/>
      <c r="K213" s="1374"/>
      <c r="L213" s="1259"/>
      <c r="M213" s="1259"/>
      <c r="N213" s="791"/>
      <c r="O213" s="634"/>
      <c r="P213" s="1036"/>
      <c r="Q213" s="781"/>
      <c r="R213" s="791"/>
    </row>
    <row r="214" spans="1:19" ht="20.25" customHeight="1">
      <c r="A214" s="1005"/>
      <c r="B214" s="321"/>
      <c r="C214" s="99"/>
      <c r="D214" s="59"/>
      <c r="E214" s="59"/>
      <c r="F214" s="59"/>
      <c r="G214" s="59"/>
      <c r="H214" s="689"/>
      <c r="I214" s="690"/>
      <c r="J214" s="691"/>
      <c r="K214" s="692"/>
      <c r="N214" s="791"/>
      <c r="O214" s="634"/>
      <c r="P214" s="1036"/>
      <c r="Q214" s="781"/>
      <c r="R214" s="791"/>
    </row>
    <row r="215" spans="1:19" ht="15" customHeight="1">
      <c r="A215" s="1005"/>
      <c r="B215" s="321"/>
      <c r="C215" s="99"/>
      <c r="D215" s="59"/>
      <c r="E215" s="59"/>
      <c r="F215" s="59"/>
      <c r="G215" s="59"/>
      <c r="H215" s="689"/>
      <c r="I215" s="690"/>
      <c r="J215" s="691"/>
      <c r="K215" s="692"/>
      <c r="N215" s="791"/>
      <c r="O215" s="634"/>
      <c r="P215" s="1036"/>
      <c r="Q215" s="781"/>
      <c r="R215" s="791"/>
    </row>
    <row r="216" spans="1:19" ht="13.5" customHeight="1" thickBot="1">
      <c r="A216" s="1025"/>
      <c r="B216" s="527"/>
      <c r="C216" s="528"/>
      <c r="D216" s="285"/>
      <c r="E216" s="285"/>
      <c r="F216" s="285"/>
      <c r="G216" s="519"/>
      <c r="H216" s="524"/>
      <c r="I216" s="996"/>
      <c r="J216" s="995"/>
      <c r="K216" s="522"/>
      <c r="N216" s="791"/>
      <c r="O216" s="634"/>
      <c r="P216" s="1036"/>
      <c r="Q216" s="781"/>
      <c r="R216" s="791"/>
    </row>
    <row r="217" spans="1:19" ht="26.4">
      <c r="A217" s="511" t="s">
        <v>811</v>
      </c>
      <c r="B217" s="512" t="s">
        <v>95</v>
      </c>
      <c r="C217" s="512" t="s">
        <v>96</v>
      </c>
      <c r="D217" s="512" t="s">
        <v>838</v>
      </c>
      <c r="E217" s="1278" t="s">
        <v>839</v>
      </c>
      <c r="F217" s="1279"/>
      <c r="G217" s="1280"/>
      <c r="H217" s="513" t="s">
        <v>318</v>
      </c>
      <c r="I217" s="514" t="s">
        <v>25</v>
      </c>
      <c r="J217" s="515" t="s">
        <v>308</v>
      </c>
      <c r="K217" s="104" t="s">
        <v>1366</v>
      </c>
      <c r="N217" s="791"/>
    </row>
    <row r="218" spans="1:19" ht="31.5" customHeight="1">
      <c r="A218" s="567" t="s">
        <v>836</v>
      </c>
      <c r="B218" s="325" t="s">
        <v>837</v>
      </c>
      <c r="C218" s="62" t="s">
        <v>840</v>
      </c>
      <c r="D218" s="62">
        <v>0.13</v>
      </c>
      <c r="E218" s="1375">
        <v>6</v>
      </c>
      <c r="F218" s="1375"/>
      <c r="G218" s="1375"/>
      <c r="H218" s="884">
        <v>9</v>
      </c>
      <c r="I218" s="267" t="s">
        <v>1159</v>
      </c>
      <c r="J218" s="76"/>
      <c r="K218" s="694">
        <f>+J218*H218</f>
        <v>0</v>
      </c>
      <c r="L218" s="65"/>
      <c r="M218" s="55" t="s">
        <v>1146</v>
      </c>
      <c r="N218" s="791"/>
      <c r="O218" s="634"/>
      <c r="P218" s="1036"/>
      <c r="Q218" s="781"/>
      <c r="R218" s="772"/>
    </row>
    <row r="219" spans="1:19" ht="26.4">
      <c r="A219" s="405" t="s">
        <v>812</v>
      </c>
      <c r="B219" s="64" t="s">
        <v>835</v>
      </c>
      <c r="C219" s="62"/>
      <c r="D219" s="62">
        <v>0.13</v>
      </c>
      <c r="E219" s="1375">
        <v>6</v>
      </c>
      <c r="F219" s="1375"/>
      <c r="G219" s="1375"/>
      <c r="H219" s="884">
        <v>9.5</v>
      </c>
      <c r="I219" s="241" t="s">
        <v>1159</v>
      </c>
      <c r="J219" s="76"/>
      <c r="K219" s="105">
        <f>+J219*H219</f>
        <v>0</v>
      </c>
      <c r="M219" s="55" t="s">
        <v>1146</v>
      </c>
      <c r="N219" s="791"/>
      <c r="O219" s="634"/>
      <c r="P219" s="1036"/>
      <c r="Q219" s="781"/>
      <c r="R219" s="772"/>
    </row>
    <row r="220" spans="1:19">
      <c r="A220" s="1016"/>
      <c r="B220" s="64"/>
      <c r="C220" s="62"/>
      <c r="D220" s="62"/>
      <c r="E220" s="1002"/>
      <c r="F220" s="1002"/>
      <c r="G220" s="1002"/>
      <c r="H220" s="516"/>
      <c r="I220" s="241"/>
      <c r="J220" s="76"/>
      <c r="K220" s="105"/>
      <c r="N220" s="791"/>
      <c r="O220" s="634"/>
      <c r="P220" s="1036"/>
      <c r="Q220" s="781"/>
      <c r="R220" s="772"/>
    </row>
    <row r="221" spans="1:19">
      <c r="A221" s="1016"/>
      <c r="B221" s="64"/>
      <c r="C221" s="62"/>
      <c r="D221" s="62"/>
      <c r="E221" s="1002"/>
      <c r="F221" s="1002"/>
      <c r="G221" s="1002"/>
      <c r="H221" s="516"/>
      <c r="I221" s="241"/>
      <c r="J221" s="76"/>
      <c r="K221" s="105"/>
      <c r="N221" s="791"/>
      <c r="O221" s="634"/>
      <c r="P221" s="1036"/>
      <c r="Q221" s="781"/>
      <c r="R221" s="772"/>
    </row>
    <row r="222" spans="1:19">
      <c r="A222" s="1016"/>
      <c r="B222" s="64"/>
      <c r="C222" s="62"/>
      <c r="D222" s="62"/>
      <c r="E222" s="1002"/>
      <c r="F222" s="1002"/>
      <c r="G222" s="1002"/>
      <c r="H222" s="516"/>
      <c r="I222" s="241"/>
      <c r="J222" s="76"/>
      <c r="K222" s="105"/>
      <c r="N222" s="791"/>
      <c r="O222" s="634"/>
      <c r="P222" s="1036"/>
      <c r="Q222" s="781"/>
      <c r="R222" s="772"/>
    </row>
    <row r="223" spans="1:19" ht="13.8" thickBot="1">
      <c r="A223" s="531"/>
      <c r="B223" s="532"/>
      <c r="C223" s="533"/>
      <c r="D223" s="533"/>
      <c r="E223" s="534"/>
      <c r="F223" s="534"/>
      <c r="G223" s="534"/>
      <c r="H223" s="520"/>
      <c r="I223" s="530"/>
      <c r="J223" s="286"/>
      <c r="K223" s="290"/>
      <c r="N223" s="791"/>
      <c r="O223" s="634"/>
      <c r="P223" s="1036"/>
      <c r="Q223" s="781"/>
      <c r="R223" s="772"/>
    </row>
    <row r="224" spans="1:19" s="58" customFormat="1" ht="53.25" customHeight="1">
      <c r="A224" s="101" t="s">
        <v>316</v>
      </c>
      <c r="B224" s="57" t="s">
        <v>321</v>
      </c>
      <c r="C224" s="57" t="s">
        <v>96</v>
      </c>
      <c r="D224" s="57" t="s">
        <v>97</v>
      </c>
      <c r="E224" s="57"/>
      <c r="F224" s="57"/>
      <c r="G224" s="57"/>
      <c r="H224" s="102" t="s">
        <v>318</v>
      </c>
      <c r="I224" s="234" t="s">
        <v>25</v>
      </c>
      <c r="J224" s="103" t="s">
        <v>308</v>
      </c>
      <c r="K224" s="104" t="s">
        <v>1366</v>
      </c>
      <c r="N224" s="791"/>
      <c r="O224" s="634"/>
      <c r="P224" s="1036"/>
      <c r="Q224" s="781"/>
      <c r="R224" s="772"/>
      <c r="S224" s="55"/>
    </row>
    <row r="225" spans="1:19" ht="22.5" customHeight="1">
      <c r="A225" s="114" t="s">
        <v>277</v>
      </c>
      <c r="B225" s="61" t="s">
        <v>586</v>
      </c>
      <c r="C225" s="63" t="s">
        <v>278</v>
      </c>
      <c r="D225" s="59"/>
      <c r="E225" s="59"/>
      <c r="F225" s="59"/>
      <c r="G225" s="59"/>
      <c r="H225" s="881">
        <v>7</v>
      </c>
      <c r="I225" s="241" t="s">
        <v>1159</v>
      </c>
      <c r="J225" s="76"/>
      <c r="K225" s="105">
        <f t="shared" ref="K225:K255" si="9">+J225*H225</f>
        <v>0</v>
      </c>
      <c r="L225" s="65"/>
      <c r="M225" s="55" t="s">
        <v>1146</v>
      </c>
      <c r="N225" s="791"/>
      <c r="O225" s="634"/>
      <c r="P225" s="1036"/>
      <c r="Q225" s="781"/>
      <c r="R225" s="772"/>
      <c r="S225" s="58"/>
    </row>
    <row r="226" spans="1:19" ht="22.5" customHeight="1">
      <c r="A226" s="114" t="s">
        <v>274</v>
      </c>
      <c r="B226" s="61" t="s">
        <v>275</v>
      </c>
      <c r="C226" s="63" t="s">
        <v>276</v>
      </c>
      <c r="D226" s="59" t="s">
        <v>273</v>
      </c>
      <c r="E226" s="59"/>
      <c r="F226" s="59"/>
      <c r="G226" s="59"/>
      <c r="H226" s="881">
        <v>6</v>
      </c>
      <c r="I226" s="241" t="s">
        <v>1159</v>
      </c>
      <c r="J226" s="76"/>
      <c r="K226" s="105">
        <f t="shared" si="9"/>
        <v>0</v>
      </c>
      <c r="M226" s="55" t="s">
        <v>1147</v>
      </c>
      <c r="N226" s="791"/>
      <c r="O226" s="634"/>
      <c r="P226" s="1036"/>
      <c r="Q226" s="781"/>
      <c r="R226" s="772"/>
    </row>
    <row r="227" spans="1:19" ht="22.5" customHeight="1" thickBot="1">
      <c r="A227" s="106"/>
      <c r="B227" s="115"/>
      <c r="C227" s="69"/>
      <c r="D227" s="69"/>
      <c r="E227" s="69"/>
      <c r="F227" s="69"/>
      <c r="G227" s="69"/>
      <c r="H227" s="69"/>
      <c r="I227" s="233"/>
      <c r="J227" s="76"/>
      <c r="K227" s="112"/>
      <c r="N227" s="791"/>
      <c r="O227" s="634"/>
      <c r="P227" s="1036"/>
      <c r="Q227" s="781"/>
      <c r="R227" s="772"/>
    </row>
    <row r="228" spans="1:19" s="58" customFormat="1" ht="53.25" customHeight="1">
      <c r="A228" s="101" t="s">
        <v>315</v>
      </c>
      <c r="B228" s="57" t="s">
        <v>321</v>
      </c>
      <c r="C228" s="57" t="s">
        <v>96</v>
      </c>
      <c r="D228" s="57"/>
      <c r="E228" s="57"/>
      <c r="F228" s="57"/>
      <c r="G228" s="57"/>
      <c r="H228" s="102" t="s">
        <v>318</v>
      </c>
      <c r="I228" s="234" t="s">
        <v>25</v>
      </c>
      <c r="J228" s="103" t="s">
        <v>308</v>
      </c>
      <c r="K228" s="104" t="s">
        <v>1366</v>
      </c>
      <c r="N228" s="791"/>
      <c r="O228" s="634"/>
      <c r="P228" s="1036"/>
      <c r="Q228" s="781"/>
      <c r="R228" s="772"/>
      <c r="S228" s="55"/>
    </row>
    <row r="229" spans="1:19" ht="22.5" customHeight="1">
      <c r="A229" s="114" t="s">
        <v>290</v>
      </c>
      <c r="B229" s="61" t="s">
        <v>291</v>
      </c>
      <c r="C229" s="63" t="s">
        <v>292</v>
      </c>
      <c r="D229" s="59"/>
      <c r="E229" s="59"/>
      <c r="F229" s="59"/>
      <c r="G229" s="59"/>
      <c r="H229" s="881">
        <v>10</v>
      </c>
      <c r="I229" s="241" t="s">
        <v>1159</v>
      </c>
      <c r="J229" s="76"/>
      <c r="K229" s="105">
        <f t="shared" si="9"/>
        <v>0</v>
      </c>
      <c r="M229" s="55" t="s">
        <v>1146</v>
      </c>
      <c r="N229" s="791"/>
      <c r="O229" s="634"/>
      <c r="P229" s="1036"/>
      <c r="Q229" s="781"/>
      <c r="R229" s="772"/>
      <c r="S229" s="58"/>
    </row>
    <row r="230" spans="1:19" ht="22.5" customHeight="1">
      <c r="A230" s="114" t="s">
        <v>293</v>
      </c>
      <c r="B230" s="61" t="s">
        <v>294</v>
      </c>
      <c r="C230" s="63" t="s">
        <v>452</v>
      </c>
      <c r="D230" s="59"/>
      <c r="E230" s="59"/>
      <c r="F230" s="59"/>
      <c r="G230" s="59"/>
      <c r="H230" s="881">
        <v>2.5</v>
      </c>
      <c r="I230" s="241" t="s">
        <v>1159</v>
      </c>
      <c r="J230" s="76"/>
      <c r="K230" s="105">
        <f t="shared" si="9"/>
        <v>0</v>
      </c>
      <c r="M230" s="55" t="s">
        <v>1147</v>
      </c>
      <c r="N230" s="791"/>
      <c r="O230" s="634"/>
      <c r="P230" s="1036"/>
      <c r="Q230" s="781"/>
      <c r="R230" s="772"/>
    </row>
    <row r="231" spans="1:19" ht="22.5" customHeight="1">
      <c r="A231" s="686"/>
      <c r="B231" s="319"/>
      <c r="C231" s="687"/>
      <c r="D231" s="264"/>
      <c r="E231" s="264"/>
      <c r="F231" s="264"/>
      <c r="G231" s="264"/>
      <c r="H231" s="883"/>
      <c r="I231" s="267"/>
      <c r="J231" s="268"/>
      <c r="K231" s="269"/>
      <c r="N231" s="791"/>
      <c r="O231" s="634"/>
      <c r="P231" s="1036"/>
      <c r="Q231" s="781"/>
      <c r="R231" s="772"/>
    </row>
    <row r="232" spans="1:19" ht="22.5" customHeight="1" thickBot="1">
      <c r="A232" s="106"/>
      <c r="B232" s="115"/>
      <c r="C232" s="69"/>
      <c r="D232" s="69"/>
      <c r="E232" s="69"/>
      <c r="F232" s="69"/>
      <c r="G232" s="69"/>
      <c r="H232" s="69"/>
      <c r="I232" s="235"/>
      <c r="J232" s="111"/>
      <c r="K232" s="112"/>
      <c r="N232" s="791"/>
      <c r="O232" s="634"/>
      <c r="P232" s="1036"/>
      <c r="Q232" s="781"/>
      <c r="R232" s="772"/>
    </row>
    <row r="233" spans="1:19" s="58" customFormat="1" ht="53.25" customHeight="1">
      <c r="A233" s="101" t="s">
        <v>315</v>
      </c>
      <c r="B233" s="57" t="s">
        <v>321</v>
      </c>
      <c r="C233" s="57" t="s">
        <v>96</v>
      </c>
      <c r="D233" s="57" t="s">
        <v>1031</v>
      </c>
      <c r="E233" s="57" t="s">
        <v>1032</v>
      </c>
      <c r="F233" s="57"/>
      <c r="G233" s="57"/>
      <c r="H233" s="102" t="s">
        <v>318</v>
      </c>
      <c r="I233" s="234" t="s">
        <v>25</v>
      </c>
      <c r="J233" s="103" t="s">
        <v>308</v>
      </c>
      <c r="K233" s="104" t="s">
        <v>1366</v>
      </c>
      <c r="N233" s="791"/>
      <c r="O233" s="634"/>
      <c r="P233" s="1036"/>
      <c r="Q233" s="781"/>
      <c r="R233" s="772"/>
      <c r="S233" s="55"/>
    </row>
    <row r="234" spans="1:19" ht="30" customHeight="1">
      <c r="A234" s="1004" t="s">
        <v>848</v>
      </c>
      <c r="B234" s="64" t="s">
        <v>806</v>
      </c>
      <c r="C234" s="993" t="s">
        <v>843</v>
      </c>
      <c r="D234" s="285"/>
      <c r="E234" s="285"/>
      <c r="F234" s="285"/>
      <c r="G234" s="285"/>
      <c r="H234" s="881">
        <f>7.22/100*60</f>
        <v>4.3319999999999999</v>
      </c>
      <c r="I234" s="241" t="s">
        <v>1159</v>
      </c>
      <c r="J234" s="76"/>
      <c r="K234" s="105">
        <f t="shared" si="9"/>
        <v>0</v>
      </c>
      <c r="L234" s="772"/>
      <c r="M234" s="772" t="s">
        <v>1147</v>
      </c>
      <c r="N234" s="791"/>
      <c r="O234" s="634"/>
      <c r="P234" s="1036"/>
      <c r="Q234" s="781"/>
      <c r="R234" s="772"/>
    </row>
    <row r="235" spans="1:19" ht="30" customHeight="1">
      <c r="A235" s="1318" t="s">
        <v>1033</v>
      </c>
      <c r="B235" s="1367" t="s">
        <v>1030</v>
      </c>
      <c r="C235" s="1281" t="s">
        <v>1034</v>
      </c>
      <c r="D235" s="533">
        <v>70</v>
      </c>
      <c r="E235" s="533">
        <v>500</v>
      </c>
      <c r="F235" s="533"/>
      <c r="G235" s="533"/>
      <c r="H235" s="881">
        <v>42.4</v>
      </c>
      <c r="I235" s="241" t="s">
        <v>1159</v>
      </c>
      <c r="J235" s="76"/>
      <c r="K235" s="105">
        <f t="shared" si="9"/>
        <v>0</v>
      </c>
      <c r="L235" s="772"/>
      <c r="M235" s="772" t="s">
        <v>1147</v>
      </c>
      <c r="N235" s="791"/>
      <c r="O235" s="634"/>
      <c r="P235" s="1036"/>
      <c r="Q235" s="781"/>
      <c r="R235" s="772"/>
      <c r="S235" s="58"/>
    </row>
    <row r="236" spans="1:19" ht="30" customHeight="1">
      <c r="A236" s="1355"/>
      <c r="B236" s="1368"/>
      <c r="C236" s="1281"/>
      <c r="D236" s="533">
        <v>501</v>
      </c>
      <c r="E236" s="533">
        <v>1000</v>
      </c>
      <c r="F236" s="533"/>
      <c r="G236" s="533"/>
      <c r="H236" s="881">
        <v>47.8</v>
      </c>
      <c r="I236" s="241" t="s">
        <v>1159</v>
      </c>
      <c r="J236" s="76"/>
      <c r="K236" s="105">
        <f t="shared" si="9"/>
        <v>0</v>
      </c>
      <c r="L236" s="772"/>
      <c r="M236" s="772" t="s">
        <v>1147</v>
      </c>
      <c r="N236" s="791"/>
      <c r="O236" s="634"/>
      <c r="P236" s="1036"/>
      <c r="Q236" s="781"/>
      <c r="R236" s="772"/>
    </row>
    <row r="237" spans="1:19" ht="30" customHeight="1">
      <c r="A237" s="1355"/>
      <c r="B237" s="1368"/>
      <c r="C237" s="1281"/>
      <c r="D237" s="533">
        <v>1001</v>
      </c>
      <c r="E237" s="533">
        <v>1500</v>
      </c>
      <c r="F237" s="533"/>
      <c r="G237" s="533"/>
      <c r="H237" s="881">
        <v>55.4</v>
      </c>
      <c r="I237" s="241" t="s">
        <v>1159</v>
      </c>
      <c r="J237" s="76"/>
      <c r="K237" s="105">
        <f t="shared" si="9"/>
        <v>0</v>
      </c>
      <c r="L237" s="772"/>
      <c r="M237" s="772" t="s">
        <v>1147</v>
      </c>
      <c r="N237" s="791"/>
      <c r="O237" s="634"/>
      <c r="P237" s="1036"/>
      <c r="Q237" s="781"/>
      <c r="R237" s="772"/>
    </row>
    <row r="238" spans="1:19" ht="30" customHeight="1">
      <c r="A238" s="1355"/>
      <c r="B238" s="1368"/>
      <c r="C238" s="1281"/>
      <c r="D238" s="533">
        <v>1501</v>
      </c>
      <c r="E238" s="533">
        <v>2000</v>
      </c>
      <c r="F238" s="533"/>
      <c r="G238" s="533"/>
      <c r="H238" s="883">
        <v>70</v>
      </c>
      <c r="I238" s="241" t="s">
        <v>1159</v>
      </c>
      <c r="J238" s="268"/>
      <c r="K238" s="269">
        <f t="shared" si="9"/>
        <v>0</v>
      </c>
      <c r="L238" s="772"/>
      <c r="M238" s="772" t="s">
        <v>1147</v>
      </c>
      <c r="N238" s="791"/>
      <c r="O238" s="634"/>
      <c r="P238" s="1036"/>
      <c r="Q238" s="781"/>
      <c r="R238" s="772"/>
    </row>
    <row r="239" spans="1:19" ht="48" customHeight="1">
      <c r="A239" s="1024" t="s">
        <v>1049</v>
      </c>
      <c r="B239" s="695" t="s">
        <v>1050</v>
      </c>
      <c r="C239" s="696" t="s">
        <v>1039</v>
      </c>
      <c r="D239" s="62"/>
      <c r="E239" s="62"/>
      <c r="F239" s="62"/>
      <c r="G239" s="62"/>
      <c r="H239" s="883">
        <v>0.4</v>
      </c>
      <c r="I239" s="241" t="s">
        <v>1159</v>
      </c>
      <c r="J239" s="76"/>
      <c r="K239" s="105">
        <f>+J239*H239</f>
        <v>0</v>
      </c>
      <c r="L239" s="777"/>
      <c r="M239" s="777" t="s">
        <v>1147</v>
      </c>
      <c r="N239" s="791"/>
      <c r="O239" s="634"/>
      <c r="P239" s="1036"/>
      <c r="Q239" s="781"/>
      <c r="R239" s="772"/>
      <c r="S239" s="58"/>
    </row>
    <row r="240" spans="1:19" ht="23.25" customHeight="1">
      <c r="A240" s="1024"/>
      <c r="B240" s="695"/>
      <c r="C240" s="696"/>
      <c r="D240" s="62"/>
      <c r="E240" s="62"/>
      <c r="F240" s="62"/>
      <c r="G240" s="62"/>
      <c r="H240" s="240"/>
      <c r="I240" s="241"/>
      <c r="J240" s="76"/>
      <c r="K240" s="105"/>
      <c r="L240" s="776"/>
      <c r="M240" s="776"/>
      <c r="N240" s="791"/>
      <c r="O240" s="634"/>
      <c r="P240" s="1036"/>
      <c r="Q240" s="781"/>
      <c r="R240" s="772"/>
    </row>
    <row r="241" spans="1:19" ht="17.25" customHeight="1">
      <c r="A241" s="1024"/>
      <c r="B241" s="695"/>
      <c r="C241" s="696"/>
      <c r="D241" s="62"/>
      <c r="E241" s="62"/>
      <c r="F241" s="62"/>
      <c r="G241" s="62"/>
      <c r="H241" s="240"/>
      <c r="I241" s="241"/>
      <c r="J241" s="76"/>
      <c r="K241" s="105"/>
      <c r="N241" s="791"/>
      <c r="O241" s="634"/>
      <c r="P241" s="1036"/>
      <c r="Q241" s="781"/>
      <c r="R241" s="772"/>
    </row>
    <row r="242" spans="1:19" ht="22.5" customHeight="1" thickBot="1">
      <c r="A242" s="288"/>
      <c r="B242" s="287"/>
      <c r="C242" s="285"/>
      <c r="D242" s="285"/>
      <c r="E242" s="285"/>
      <c r="F242" s="285"/>
      <c r="G242" s="285"/>
      <c r="H242" s="285"/>
      <c r="I242" s="289"/>
      <c r="J242" s="286"/>
      <c r="K242" s="290"/>
      <c r="N242" s="791"/>
      <c r="O242" s="634"/>
      <c r="P242" s="1036"/>
      <c r="Q242" s="781"/>
      <c r="R242" s="772"/>
    </row>
    <row r="243" spans="1:19" s="58" customFormat="1" ht="53.25" customHeight="1">
      <c r="A243" s="101" t="s">
        <v>317</v>
      </c>
      <c r="B243" s="57" t="s">
        <v>321</v>
      </c>
      <c r="C243" s="57" t="s">
        <v>96</v>
      </c>
      <c r="D243" s="57" t="s">
        <v>307</v>
      </c>
      <c r="E243" s="57"/>
      <c r="F243" s="57"/>
      <c r="G243" s="57"/>
      <c r="H243" s="102" t="s">
        <v>318</v>
      </c>
      <c r="I243" s="234" t="s">
        <v>25</v>
      </c>
      <c r="J243" s="103" t="s">
        <v>308</v>
      </c>
      <c r="K243" s="104" t="s">
        <v>1366</v>
      </c>
      <c r="N243" s="791"/>
      <c r="O243" s="634"/>
      <c r="P243" s="1036"/>
      <c r="Q243" s="781"/>
      <c r="R243" s="772"/>
      <c r="S243" s="55"/>
    </row>
    <row r="244" spans="1:19" ht="22.5" customHeight="1">
      <c r="A244" s="114" t="s">
        <v>250</v>
      </c>
      <c r="B244" s="1008" t="s">
        <v>251</v>
      </c>
      <c r="C244" s="997" t="s">
        <v>252</v>
      </c>
      <c r="D244" s="59"/>
      <c r="E244" s="59"/>
      <c r="F244" s="59"/>
      <c r="G244" s="59"/>
      <c r="H244" s="881">
        <v>4.62</v>
      </c>
      <c r="I244" s="241" t="s">
        <v>1159</v>
      </c>
      <c r="J244" s="76"/>
      <c r="K244" s="105">
        <f t="shared" si="9"/>
        <v>0</v>
      </c>
      <c r="M244" s="55" t="s">
        <v>1147</v>
      </c>
      <c r="N244" s="791"/>
      <c r="O244" s="634"/>
      <c r="P244" s="1036"/>
      <c r="Q244" s="781"/>
      <c r="R244" s="772"/>
    </row>
    <row r="245" spans="1:19" ht="22.5" customHeight="1">
      <c r="A245" s="114" t="s">
        <v>263</v>
      </c>
      <c r="B245" s="61" t="s">
        <v>264</v>
      </c>
      <c r="C245" s="61" t="s">
        <v>265</v>
      </c>
      <c r="D245" s="59"/>
      <c r="E245" s="59"/>
      <c r="F245" s="59"/>
      <c r="G245" s="59"/>
      <c r="H245" s="881">
        <v>8.86</v>
      </c>
      <c r="I245" s="241" t="s">
        <v>1159</v>
      </c>
      <c r="J245" s="76"/>
      <c r="K245" s="105">
        <f t="shared" si="9"/>
        <v>0</v>
      </c>
      <c r="M245" s="55" t="s">
        <v>1146</v>
      </c>
      <c r="N245" s="791"/>
      <c r="O245" s="634"/>
      <c r="P245" s="1036"/>
      <c r="Q245" s="781"/>
      <c r="R245" s="772"/>
    </row>
    <row r="246" spans="1:19" ht="55.5" customHeight="1">
      <c r="A246" s="1005" t="s">
        <v>1179</v>
      </c>
      <c r="B246" s="1008" t="s">
        <v>1178</v>
      </c>
      <c r="C246" s="1008" t="s">
        <v>1174</v>
      </c>
      <c r="D246" s="62"/>
      <c r="E246" s="62"/>
      <c r="F246" s="62"/>
      <c r="G246" s="62"/>
      <c r="H246" s="881">
        <v>52</v>
      </c>
      <c r="I246" s="241" t="s">
        <v>1159</v>
      </c>
      <c r="J246" s="76"/>
      <c r="K246" s="105">
        <f t="shared" si="9"/>
        <v>0</v>
      </c>
      <c r="N246" s="791"/>
      <c r="O246" s="634"/>
      <c r="P246" s="1036"/>
      <c r="Q246" s="781"/>
      <c r="R246" s="772"/>
    </row>
    <row r="247" spans="1:19" ht="22.5" customHeight="1">
      <c r="A247" s="114" t="s">
        <v>216</v>
      </c>
      <c r="B247" s="61" t="s">
        <v>217</v>
      </c>
      <c r="C247" s="61" t="s">
        <v>218</v>
      </c>
      <c r="D247" s="59"/>
      <c r="E247" s="59"/>
      <c r="F247" s="59"/>
      <c r="G247" s="59"/>
      <c r="H247" s="881">
        <v>10.8</v>
      </c>
      <c r="I247" s="241" t="s">
        <v>1159</v>
      </c>
      <c r="J247" s="76"/>
      <c r="K247" s="105">
        <f t="shared" si="9"/>
        <v>0</v>
      </c>
      <c r="M247" s="55" t="s">
        <v>1147</v>
      </c>
      <c r="N247" s="791"/>
      <c r="O247" s="634"/>
      <c r="P247" s="1036"/>
      <c r="Q247" s="781"/>
      <c r="R247" s="772"/>
    </row>
    <row r="248" spans="1:19" ht="22.5" customHeight="1">
      <c r="A248" s="114" t="s">
        <v>219</v>
      </c>
      <c r="B248" s="61" t="s">
        <v>220</v>
      </c>
      <c r="C248" s="61" t="s">
        <v>221</v>
      </c>
      <c r="D248" s="59"/>
      <c r="E248" s="59"/>
      <c r="F248" s="59"/>
      <c r="G248" s="59"/>
      <c r="H248" s="881">
        <v>4.49</v>
      </c>
      <c r="I248" s="241" t="s">
        <v>1159</v>
      </c>
      <c r="J248" s="76"/>
      <c r="K248" s="105">
        <f t="shared" si="9"/>
        <v>0</v>
      </c>
      <c r="L248" s="65"/>
      <c r="M248" s="55" t="s">
        <v>1147</v>
      </c>
      <c r="N248" s="791"/>
      <c r="O248" s="634"/>
      <c r="P248" s="1036"/>
      <c r="Q248" s="781"/>
      <c r="R248" s="772"/>
    </row>
    <row r="249" spans="1:19" ht="22.5" customHeight="1">
      <c r="A249" s="114" t="s">
        <v>222</v>
      </c>
      <c r="B249" s="61" t="s">
        <v>223</v>
      </c>
      <c r="C249" s="61" t="s">
        <v>224</v>
      </c>
      <c r="D249" s="59"/>
      <c r="E249" s="59"/>
      <c r="F249" s="59"/>
      <c r="G249" s="59"/>
      <c r="H249" s="881">
        <v>4.5599999999999996</v>
      </c>
      <c r="I249" s="241" t="s">
        <v>1159</v>
      </c>
      <c r="J249" s="76"/>
      <c r="K249" s="105">
        <f t="shared" si="9"/>
        <v>0</v>
      </c>
      <c r="M249" s="55" t="s">
        <v>1147</v>
      </c>
      <c r="N249" s="791"/>
      <c r="O249" s="634"/>
      <c r="P249" s="1036"/>
      <c r="Q249" s="781"/>
      <c r="R249" s="772"/>
    </row>
    <row r="250" spans="1:19" ht="22.5" customHeight="1">
      <c r="A250" s="114" t="s">
        <v>225</v>
      </c>
      <c r="B250" s="1008" t="s">
        <v>29</v>
      </c>
      <c r="C250" s="61" t="s">
        <v>226</v>
      </c>
      <c r="D250" s="59"/>
      <c r="E250" s="59"/>
      <c r="F250" s="59"/>
      <c r="G250" s="59"/>
      <c r="H250" s="881">
        <v>4.91</v>
      </c>
      <c r="I250" s="241" t="s">
        <v>1159</v>
      </c>
      <c r="J250" s="76"/>
      <c r="K250" s="105">
        <f t="shared" si="9"/>
        <v>0</v>
      </c>
      <c r="M250" s="55" t="s">
        <v>1147</v>
      </c>
      <c r="N250" s="791"/>
      <c r="O250" s="634"/>
      <c r="P250" s="1036"/>
      <c r="Q250" s="781"/>
      <c r="R250" s="772"/>
    </row>
    <row r="251" spans="1:19" ht="22.5" customHeight="1">
      <c r="A251" s="114" t="s">
        <v>690</v>
      </c>
      <c r="B251" s="61" t="s">
        <v>271</v>
      </c>
      <c r="C251" s="61" t="s">
        <v>272</v>
      </c>
      <c r="D251" s="59">
        <v>12160492</v>
      </c>
      <c r="E251" s="59"/>
      <c r="F251" s="59"/>
      <c r="G251" s="59"/>
      <c r="H251" s="881">
        <v>23.05</v>
      </c>
      <c r="I251" s="241" t="s">
        <v>1159</v>
      </c>
      <c r="J251" s="76"/>
      <c r="K251" s="105">
        <f t="shared" si="9"/>
        <v>0</v>
      </c>
      <c r="M251" s="55" t="s">
        <v>1147</v>
      </c>
      <c r="N251" s="791"/>
      <c r="O251" s="634"/>
      <c r="P251" s="1036"/>
      <c r="Q251" s="781"/>
      <c r="R251" s="772"/>
    </row>
    <row r="252" spans="1:19" ht="22.5" customHeight="1">
      <c r="A252" s="114" t="s">
        <v>247</v>
      </c>
      <c r="B252" s="61" t="s">
        <v>248</v>
      </c>
      <c r="C252" s="61" t="s">
        <v>249</v>
      </c>
      <c r="D252" s="59"/>
      <c r="E252" s="59"/>
      <c r="F252" s="59"/>
      <c r="G252" s="59"/>
      <c r="H252" s="881">
        <v>7.5</v>
      </c>
      <c r="I252" s="241" t="s">
        <v>1159</v>
      </c>
      <c r="J252" s="76"/>
      <c r="K252" s="105">
        <f t="shared" si="9"/>
        <v>0</v>
      </c>
      <c r="M252" s="55" t="s">
        <v>1146</v>
      </c>
      <c r="N252" s="791"/>
      <c r="O252" s="634"/>
      <c r="P252" s="1036"/>
      <c r="Q252" s="781"/>
      <c r="R252" s="772"/>
    </row>
    <row r="253" spans="1:19" ht="22.5" customHeight="1">
      <c r="A253" s="118" t="s">
        <v>286</v>
      </c>
      <c r="B253" s="61" t="s">
        <v>287</v>
      </c>
      <c r="C253" s="61" t="s">
        <v>288</v>
      </c>
      <c r="D253" s="59"/>
      <c r="E253" s="59"/>
      <c r="F253" s="59"/>
      <c r="G253" s="59"/>
      <c r="H253" s="881">
        <v>24.34</v>
      </c>
      <c r="I253" s="241" t="s">
        <v>1159</v>
      </c>
      <c r="J253" s="76"/>
      <c r="K253" s="105">
        <f t="shared" si="9"/>
        <v>0</v>
      </c>
      <c r="L253" s="65"/>
      <c r="M253" s="65" t="s">
        <v>1147</v>
      </c>
      <c r="N253" s="791"/>
      <c r="O253" s="634"/>
      <c r="P253" s="1036"/>
      <c r="Q253" s="781"/>
      <c r="R253" s="772"/>
    </row>
    <row r="254" spans="1:19" ht="22.5" customHeight="1">
      <c r="A254" s="118" t="s">
        <v>286</v>
      </c>
      <c r="B254" s="61" t="s">
        <v>289</v>
      </c>
      <c r="C254" s="61" t="s">
        <v>288</v>
      </c>
      <c r="D254" s="59"/>
      <c r="E254" s="59"/>
      <c r="F254" s="59"/>
      <c r="G254" s="59"/>
      <c r="H254" s="881">
        <v>3.76</v>
      </c>
      <c r="I254" s="241" t="s">
        <v>1159</v>
      </c>
      <c r="J254" s="76"/>
      <c r="K254" s="105">
        <f t="shared" si="9"/>
        <v>0</v>
      </c>
      <c r="L254" s="65"/>
      <c r="M254" s="65" t="s">
        <v>1146</v>
      </c>
      <c r="N254" s="791"/>
      <c r="O254" s="634"/>
      <c r="P254" s="1036"/>
      <c r="Q254" s="781"/>
      <c r="R254" s="772"/>
      <c r="S254" s="58"/>
    </row>
    <row r="255" spans="1:19" ht="177.45" customHeight="1">
      <c r="A255" s="1005" t="s">
        <v>1175</v>
      </c>
      <c r="B255" s="1009" t="s">
        <v>1176</v>
      </c>
      <c r="C255" s="1009" t="s">
        <v>1168</v>
      </c>
      <c r="D255" s="265"/>
      <c r="E255" s="265"/>
      <c r="F255" s="265"/>
      <c r="G255" s="265"/>
      <c r="H255" s="882">
        <v>3.7</v>
      </c>
      <c r="I255" s="241" t="s">
        <v>1159</v>
      </c>
      <c r="J255" s="756"/>
      <c r="K255" s="757">
        <f t="shared" si="9"/>
        <v>0</v>
      </c>
      <c r="L255" s="65"/>
      <c r="M255" s="65" t="s">
        <v>1147</v>
      </c>
      <c r="N255" s="791"/>
      <c r="O255" s="634"/>
      <c r="P255" s="1036"/>
      <c r="Q255" s="781"/>
      <c r="R255" s="772"/>
    </row>
    <row r="256" spans="1:19" ht="22.5" customHeight="1">
      <c r="A256" s="318"/>
      <c r="B256" s="319"/>
      <c r="C256" s="319"/>
      <c r="D256" s="264"/>
      <c r="E256" s="264"/>
      <c r="F256" s="264"/>
      <c r="G256" s="264"/>
      <c r="H256" s="266"/>
      <c r="I256" s="267"/>
      <c r="J256" s="268"/>
      <c r="K256" s="269"/>
      <c r="L256" s="65"/>
      <c r="M256" s="65"/>
      <c r="N256" s="791"/>
      <c r="O256" s="634"/>
      <c r="P256" s="1036"/>
      <c r="Q256" s="781"/>
      <c r="R256" s="772"/>
    </row>
    <row r="257" spans="1:19" ht="22.5" customHeight="1">
      <c r="A257" s="318"/>
      <c r="B257" s="319"/>
      <c r="C257" s="319"/>
      <c r="D257" s="264"/>
      <c r="E257" s="264"/>
      <c r="F257" s="264"/>
      <c r="G257" s="264"/>
      <c r="H257" s="266"/>
      <c r="I257" s="267"/>
      <c r="J257" s="268"/>
      <c r="K257" s="269"/>
      <c r="L257" s="65"/>
      <c r="M257" s="65"/>
      <c r="N257" s="791"/>
      <c r="O257" s="634"/>
      <c r="P257" s="1036"/>
      <c r="Q257" s="781"/>
      <c r="R257" s="772"/>
    </row>
    <row r="258" spans="1:19" ht="9.75" customHeight="1" thickBot="1">
      <c r="A258" s="318"/>
      <c r="B258" s="319"/>
      <c r="C258" s="319"/>
      <c r="D258" s="264"/>
      <c r="E258" s="264"/>
      <c r="F258" s="264"/>
      <c r="G258" s="264"/>
      <c r="H258" s="266"/>
      <c r="I258" s="267"/>
      <c r="J258" s="268"/>
      <c r="K258" s="269"/>
      <c r="L258" s="65"/>
      <c r="M258" s="65"/>
      <c r="N258" s="791"/>
      <c r="O258" s="634"/>
      <c r="P258" s="1036"/>
      <c r="Q258" s="781"/>
      <c r="R258" s="772"/>
    </row>
    <row r="259" spans="1:19" s="58" customFormat="1" ht="53.25" customHeight="1">
      <c r="A259" s="101" t="s">
        <v>9</v>
      </c>
      <c r="B259" s="57" t="s">
        <v>95</v>
      </c>
      <c r="C259" s="57" t="s">
        <v>322</v>
      </c>
      <c r="D259" s="57" t="s">
        <v>323</v>
      </c>
      <c r="E259" s="1289" t="s">
        <v>95</v>
      </c>
      <c r="F259" s="1290"/>
      <c r="G259" s="1291"/>
      <c r="H259" s="102" t="s">
        <v>318</v>
      </c>
      <c r="I259" s="234" t="s">
        <v>25</v>
      </c>
      <c r="J259" s="103" t="s">
        <v>308</v>
      </c>
      <c r="K259" s="104" t="s">
        <v>1366</v>
      </c>
      <c r="L259" s="641"/>
      <c r="M259" s="641"/>
      <c r="N259" s="791"/>
      <c r="O259" s="634"/>
      <c r="P259" s="1036"/>
      <c r="Q259" s="781"/>
      <c r="R259" s="772"/>
      <c r="S259" s="55"/>
    </row>
    <row r="260" spans="1:19" ht="22.5" customHeight="1">
      <c r="A260" s="1366" t="s">
        <v>12</v>
      </c>
      <c r="B260" s="1018" t="s">
        <v>10</v>
      </c>
      <c r="C260" s="320" t="s">
        <v>504</v>
      </c>
      <c r="D260" s="320" t="s">
        <v>13</v>
      </c>
      <c r="E260" s="999"/>
      <c r="F260" s="1000"/>
      <c r="G260" s="1001"/>
      <c r="H260" s="880">
        <f>2/100*60</f>
        <v>1.2</v>
      </c>
      <c r="I260" s="267" t="s">
        <v>1159</v>
      </c>
      <c r="J260" s="268"/>
      <c r="K260" s="105">
        <f t="shared" ref="K260:K266" si="10">+J260*H260</f>
        <v>0</v>
      </c>
      <c r="M260" s="55" t="s">
        <v>1147</v>
      </c>
      <c r="N260" s="791"/>
      <c r="O260" s="634"/>
      <c r="P260" s="1036"/>
      <c r="Q260" s="781"/>
      <c r="R260" s="772"/>
    </row>
    <row r="261" spans="1:19" ht="22.5" customHeight="1">
      <c r="A261" s="1358"/>
      <c r="B261" s="1018" t="s">
        <v>11</v>
      </c>
      <c r="C261" s="320" t="s">
        <v>504</v>
      </c>
      <c r="D261" s="320" t="s">
        <v>13</v>
      </c>
      <c r="E261" s="999"/>
      <c r="F261" s="1000"/>
      <c r="G261" s="1001"/>
      <c r="H261" s="880">
        <f>10.97/100*60</f>
        <v>6.5820000000000007</v>
      </c>
      <c r="I261" s="267" t="s">
        <v>1159</v>
      </c>
      <c r="J261" s="268"/>
      <c r="K261" s="105">
        <f t="shared" si="10"/>
        <v>0</v>
      </c>
      <c r="M261" s="55" t="s">
        <v>1147</v>
      </c>
      <c r="N261" s="791"/>
      <c r="O261" s="634"/>
      <c r="P261" s="1036"/>
      <c r="Q261" s="781"/>
      <c r="R261" s="772"/>
    </row>
    <row r="262" spans="1:19" ht="22.5" customHeight="1">
      <c r="A262" s="1273" t="s">
        <v>19</v>
      </c>
      <c r="B262" s="1018" t="s">
        <v>15</v>
      </c>
      <c r="C262" s="320"/>
      <c r="D262" s="320"/>
      <c r="E262" s="1294" t="s">
        <v>20</v>
      </c>
      <c r="F262" s="1295"/>
      <c r="G262" s="1296"/>
      <c r="H262" s="880">
        <f>16.6/100*60</f>
        <v>9.9600000000000009</v>
      </c>
      <c r="I262" s="267" t="s">
        <v>1159</v>
      </c>
      <c r="J262" s="268"/>
      <c r="K262" s="105">
        <f t="shared" si="10"/>
        <v>0</v>
      </c>
      <c r="L262" s="772"/>
      <c r="M262" s="772" t="s">
        <v>1147</v>
      </c>
      <c r="N262" s="791"/>
      <c r="O262" s="634"/>
      <c r="P262" s="1036"/>
      <c r="Q262" s="781"/>
      <c r="R262" s="772"/>
    </row>
    <row r="263" spans="1:19" ht="22.5" customHeight="1">
      <c r="A263" s="1274"/>
      <c r="B263" s="1018" t="s">
        <v>14</v>
      </c>
      <c r="C263" s="320"/>
      <c r="D263" s="320"/>
      <c r="E263" s="1294"/>
      <c r="F263" s="1295"/>
      <c r="G263" s="1296"/>
      <c r="H263" s="880">
        <f>35.25/100*60</f>
        <v>21.15</v>
      </c>
      <c r="I263" s="267" t="s">
        <v>1159</v>
      </c>
      <c r="J263" s="268"/>
      <c r="K263" s="105">
        <f t="shared" si="10"/>
        <v>0</v>
      </c>
      <c r="L263" s="772"/>
      <c r="M263" s="772" t="s">
        <v>1147</v>
      </c>
      <c r="N263" s="791"/>
      <c r="O263" s="634"/>
      <c r="P263" s="1036"/>
      <c r="Q263" s="781"/>
      <c r="R263" s="772"/>
    </row>
    <row r="264" spans="1:19" ht="22.5" customHeight="1">
      <c r="A264" s="1274"/>
      <c r="B264" s="1018" t="s">
        <v>16</v>
      </c>
      <c r="C264" s="320"/>
      <c r="D264" s="320"/>
      <c r="E264" s="1294" t="s">
        <v>21</v>
      </c>
      <c r="F264" s="1295"/>
      <c r="G264" s="1296"/>
      <c r="H264" s="880">
        <f>37.56/100*60</f>
        <v>22.536000000000001</v>
      </c>
      <c r="I264" s="267" t="s">
        <v>1159</v>
      </c>
      <c r="J264" s="268"/>
      <c r="K264" s="105">
        <f t="shared" si="10"/>
        <v>0</v>
      </c>
      <c r="L264" s="772"/>
      <c r="M264" s="772" t="s">
        <v>1147</v>
      </c>
      <c r="N264" s="791"/>
      <c r="O264" s="634"/>
      <c r="P264" s="1036"/>
      <c r="Q264" s="781"/>
      <c r="R264" s="772"/>
    </row>
    <row r="265" spans="1:19" ht="22.5" customHeight="1">
      <c r="A265" s="1274"/>
      <c r="B265" s="1018" t="s">
        <v>17</v>
      </c>
      <c r="C265" s="320"/>
      <c r="D265" s="320"/>
      <c r="E265" s="1294"/>
      <c r="F265" s="1295"/>
      <c r="G265" s="1296"/>
      <c r="H265" s="880">
        <f>54.84/100*60</f>
        <v>32.903999999999996</v>
      </c>
      <c r="I265" s="267" t="s">
        <v>1159</v>
      </c>
      <c r="J265" s="268"/>
      <c r="K265" s="105">
        <f t="shared" si="10"/>
        <v>0</v>
      </c>
      <c r="L265" s="772"/>
      <c r="M265" s="772" t="s">
        <v>1147</v>
      </c>
      <c r="N265" s="791"/>
      <c r="O265" s="634"/>
      <c r="P265" s="1036"/>
      <c r="Q265" s="781"/>
      <c r="R265" s="772"/>
    </row>
    <row r="266" spans="1:19" ht="22.5" customHeight="1">
      <c r="A266" s="1274"/>
      <c r="B266" s="1018" t="s">
        <v>18</v>
      </c>
      <c r="C266" s="320"/>
      <c r="D266" s="320"/>
      <c r="E266" s="1294"/>
      <c r="F266" s="1295"/>
      <c r="G266" s="1296"/>
      <c r="H266" s="880">
        <f>89.39/100*60</f>
        <v>53.634</v>
      </c>
      <c r="I266" s="267" t="s">
        <v>1159</v>
      </c>
      <c r="J266" s="268"/>
      <c r="K266" s="105">
        <f t="shared" si="10"/>
        <v>0</v>
      </c>
      <c r="L266" s="772"/>
      <c r="M266" s="772" t="s">
        <v>1147</v>
      </c>
      <c r="N266" s="791"/>
      <c r="O266" s="634"/>
      <c r="P266" s="1036"/>
      <c r="Q266" s="781"/>
      <c r="R266" s="772"/>
    </row>
    <row r="267" spans="1:19" ht="22.5" customHeight="1">
      <c r="A267" s="992"/>
      <c r="B267" s="1018"/>
      <c r="C267" s="320"/>
      <c r="D267" s="320"/>
      <c r="E267" s="999"/>
      <c r="F267" s="1000"/>
      <c r="G267" s="1001"/>
      <c r="H267" s="346"/>
      <c r="I267" s="267"/>
      <c r="J267" s="268"/>
      <c r="K267" s="269"/>
      <c r="N267" s="791"/>
      <c r="O267" s="634"/>
      <c r="P267" s="1036"/>
      <c r="Q267" s="781"/>
      <c r="R267" s="772"/>
    </row>
    <row r="268" spans="1:19" ht="12.75" customHeight="1" thickBot="1">
      <c r="A268" s="789"/>
      <c r="B268" s="1018"/>
      <c r="C268" s="320"/>
      <c r="D268" s="320"/>
      <c r="E268" s="999"/>
      <c r="F268" s="1000"/>
      <c r="G268" s="1001"/>
      <c r="H268" s="346"/>
      <c r="I268" s="267"/>
      <c r="J268" s="268"/>
      <c r="K268" s="269"/>
      <c r="N268" s="791"/>
      <c r="O268" s="634"/>
      <c r="P268" s="1036"/>
      <c r="Q268" s="781"/>
      <c r="R268" s="772"/>
    </row>
    <row r="269" spans="1:19" ht="26.4">
      <c r="A269" s="511" t="s">
        <v>813</v>
      </c>
      <c r="B269" s="512" t="s">
        <v>95</v>
      </c>
      <c r="C269" s="512" t="s">
        <v>322</v>
      </c>
      <c r="D269" s="512" t="s">
        <v>323</v>
      </c>
      <c r="E269" s="1278" t="s">
        <v>95</v>
      </c>
      <c r="F269" s="1279"/>
      <c r="G269" s="1280"/>
      <c r="H269" s="513" t="s">
        <v>318</v>
      </c>
      <c r="I269" s="514" t="s">
        <v>25</v>
      </c>
      <c r="J269" s="515" t="s">
        <v>308</v>
      </c>
      <c r="K269" s="104" t="s">
        <v>1366</v>
      </c>
      <c r="N269" s="791"/>
      <c r="O269" s="634"/>
      <c r="P269" s="1036"/>
      <c r="Q269" s="781"/>
      <c r="R269" s="772"/>
      <c r="S269" s="58"/>
    </row>
    <row r="270" spans="1:19" ht="28.5" customHeight="1">
      <c r="A270" s="1269" t="s">
        <v>822</v>
      </c>
      <c r="B270" s="1018" t="s">
        <v>824</v>
      </c>
      <c r="C270" s="1018" t="s">
        <v>844</v>
      </c>
      <c r="D270" s="1018" t="s">
        <v>846</v>
      </c>
      <c r="E270" s="1275"/>
      <c r="F270" s="1276"/>
      <c r="G270" s="1277"/>
      <c r="H270" s="879">
        <v>5</v>
      </c>
      <c r="I270" s="267" t="s">
        <v>1159</v>
      </c>
      <c r="J270" s="268"/>
      <c r="K270" s="105">
        <f>+J270*H270</f>
        <v>0</v>
      </c>
      <c r="M270" s="55" t="s">
        <v>1147</v>
      </c>
      <c r="N270" s="791"/>
      <c r="O270" s="634"/>
      <c r="P270" s="1036"/>
      <c r="Q270" s="781"/>
      <c r="R270" s="772"/>
    </row>
    <row r="271" spans="1:19" ht="33.75" customHeight="1">
      <c r="A271" s="1270"/>
      <c r="B271" s="1018" t="s">
        <v>823</v>
      </c>
      <c r="C271" s="1018" t="s">
        <v>845</v>
      </c>
      <c r="D271" s="1018" t="s">
        <v>847</v>
      </c>
      <c r="E271" s="569"/>
      <c r="F271" s="570"/>
      <c r="G271" s="571"/>
      <c r="H271" s="872">
        <v>7</v>
      </c>
      <c r="I271" s="267" t="s">
        <v>1159</v>
      </c>
      <c r="J271" s="268"/>
      <c r="K271" s="105">
        <f>+J271*H271</f>
        <v>0</v>
      </c>
      <c r="M271" s="55" t="s">
        <v>1147</v>
      </c>
      <c r="N271" s="791"/>
      <c r="O271" s="634"/>
      <c r="P271" s="1036"/>
      <c r="Q271" s="781"/>
      <c r="R271" s="772"/>
    </row>
    <row r="272" spans="1:19" ht="13.8" thickBot="1">
      <c r="A272" s="106"/>
      <c r="B272" s="115"/>
      <c r="C272" s="69"/>
      <c r="D272" s="69"/>
      <c r="E272" s="69"/>
      <c r="F272" s="69"/>
      <c r="G272" s="69"/>
      <c r="H272" s="121"/>
      <c r="I272" s="236"/>
      <c r="J272" s="111"/>
      <c r="K272" s="112"/>
      <c r="N272" s="791"/>
      <c r="O272" s="634"/>
      <c r="P272" s="1036"/>
      <c r="Q272" s="781"/>
      <c r="R272" s="772"/>
    </row>
    <row r="273" spans="1:18" ht="26.4">
      <c r="A273" s="511" t="s">
        <v>816</v>
      </c>
      <c r="B273" s="512" t="s">
        <v>95</v>
      </c>
      <c r="C273" s="512" t="s">
        <v>96</v>
      </c>
      <c r="D273" s="1289" t="s">
        <v>95</v>
      </c>
      <c r="E273" s="1290"/>
      <c r="F273" s="1290"/>
      <c r="G273" s="1291"/>
      <c r="H273" s="513" t="s">
        <v>318</v>
      </c>
      <c r="I273" s="514" t="s">
        <v>25</v>
      </c>
      <c r="J273" s="515" t="s">
        <v>308</v>
      </c>
      <c r="K273" s="104" t="s">
        <v>1366</v>
      </c>
      <c r="N273" s="791"/>
      <c r="O273" s="634"/>
      <c r="P273" s="1036"/>
      <c r="Q273" s="781"/>
      <c r="R273" s="772"/>
    </row>
    <row r="274" spans="1:18" ht="50.25" customHeight="1">
      <c r="A274" s="1349" t="s">
        <v>817</v>
      </c>
      <c r="B274" s="1018" t="s">
        <v>818</v>
      </c>
      <c r="C274" s="1018"/>
      <c r="D274" s="1018" t="s">
        <v>375</v>
      </c>
      <c r="E274" s="1260"/>
      <c r="F274" s="1261"/>
      <c r="G274" s="1262"/>
      <c r="H274" s="872">
        <v>22</v>
      </c>
      <c r="I274" s="241" t="s">
        <v>1159</v>
      </c>
      <c r="J274" s="76"/>
      <c r="K274" s="105">
        <f>+J274*H274</f>
        <v>0</v>
      </c>
      <c r="L274" s="772"/>
      <c r="M274" s="772" t="s">
        <v>1147</v>
      </c>
      <c r="N274" s="791"/>
      <c r="O274" s="634"/>
      <c r="P274" s="1036"/>
      <c r="Q274" s="781"/>
      <c r="R274" s="772"/>
    </row>
    <row r="275" spans="1:18" ht="35.25" customHeight="1">
      <c r="A275" s="1350"/>
      <c r="B275" s="1018" t="s">
        <v>819</v>
      </c>
      <c r="C275" s="1018" t="s">
        <v>860</v>
      </c>
      <c r="D275" s="1018" t="s">
        <v>379</v>
      </c>
      <c r="E275" s="1260" t="s">
        <v>821</v>
      </c>
      <c r="F275" s="1261"/>
      <c r="G275" s="1262"/>
      <c r="H275" s="872">
        <v>0.01</v>
      </c>
      <c r="I275" s="241" t="s">
        <v>1159</v>
      </c>
      <c r="J275" s="76"/>
      <c r="K275" s="105">
        <f>+J275*H275</f>
        <v>0</v>
      </c>
      <c r="L275" s="772"/>
      <c r="M275" s="772" t="s">
        <v>1147</v>
      </c>
      <c r="N275" s="791"/>
      <c r="O275" s="634"/>
      <c r="P275" s="1036"/>
      <c r="Q275" s="781"/>
      <c r="R275" s="772"/>
    </row>
    <row r="276" spans="1:18" ht="48" customHeight="1">
      <c r="A276" s="1282" t="s">
        <v>859</v>
      </c>
      <c r="B276" s="1018" t="s">
        <v>820</v>
      </c>
      <c r="C276" s="1018"/>
      <c r="D276" s="1018"/>
      <c r="E276" s="1260"/>
      <c r="F276" s="1261"/>
      <c r="G276" s="1262"/>
      <c r="H276" s="872">
        <v>48</v>
      </c>
      <c r="I276" s="241" t="s">
        <v>1159</v>
      </c>
      <c r="J276" s="76"/>
      <c r="K276" s="105">
        <f>+J276*H276</f>
        <v>0</v>
      </c>
      <c r="L276" s="772"/>
      <c r="M276" s="772" t="s">
        <v>1147</v>
      </c>
      <c r="N276" s="791"/>
      <c r="O276" s="634"/>
      <c r="P276" s="1036"/>
      <c r="Q276" s="781"/>
      <c r="R276" s="772"/>
    </row>
    <row r="277" spans="1:18" ht="20.399999999999999">
      <c r="A277" s="1194"/>
      <c r="B277" s="1018" t="s">
        <v>819</v>
      </c>
      <c r="C277" s="1018" t="s">
        <v>860</v>
      </c>
      <c r="D277" s="1018" t="s">
        <v>379</v>
      </c>
      <c r="E277" s="1299" t="s">
        <v>821</v>
      </c>
      <c r="F277" s="1300"/>
      <c r="G277" s="1301"/>
      <c r="H277" s="872">
        <v>0.01</v>
      </c>
      <c r="I277" s="241" t="s">
        <v>1159</v>
      </c>
      <c r="J277" s="268"/>
      <c r="K277" s="269">
        <f>+J277*H277</f>
        <v>0</v>
      </c>
      <c r="L277" s="772"/>
      <c r="M277" s="772" t="s">
        <v>1147</v>
      </c>
      <c r="N277" s="791"/>
      <c r="O277" s="634"/>
      <c r="P277" s="1036"/>
      <c r="Q277" s="781"/>
      <c r="R277" s="772"/>
    </row>
    <row r="278" spans="1:18" ht="82.5" customHeight="1">
      <c r="A278" s="761" t="s">
        <v>1111</v>
      </c>
      <c r="B278" s="762"/>
      <c r="C278" s="762" t="s">
        <v>1112</v>
      </c>
      <c r="D278" s="762" t="s">
        <v>1113</v>
      </c>
      <c r="E278" s="1302" t="s">
        <v>1114</v>
      </c>
      <c r="F278" s="1303"/>
      <c r="G278" s="1304"/>
      <c r="H278" s="872">
        <v>25</v>
      </c>
      <c r="I278" s="241" t="s">
        <v>1159</v>
      </c>
      <c r="J278" s="763"/>
      <c r="K278" s="764">
        <f>+J278*H278</f>
        <v>0</v>
      </c>
      <c r="L278" s="772"/>
      <c r="M278" s="772"/>
      <c r="N278" s="791"/>
      <c r="O278" s="634"/>
      <c r="P278" s="1036"/>
      <c r="Q278" s="781"/>
      <c r="R278" s="772"/>
    </row>
    <row r="279" spans="1:18" ht="13.8" thickBot="1">
      <c r="A279" s="990"/>
      <c r="B279" s="1019"/>
      <c r="C279" s="1019"/>
      <c r="D279" s="1019"/>
      <c r="E279" s="569"/>
      <c r="F279" s="570"/>
      <c r="G279" s="571"/>
      <c r="H279" s="697"/>
      <c r="I279" s="530"/>
      <c r="J279" s="286"/>
      <c r="K279" s="290"/>
      <c r="N279" s="791"/>
      <c r="O279" s="634"/>
      <c r="P279" s="1036"/>
      <c r="Q279" s="781"/>
      <c r="R279" s="772"/>
    </row>
    <row r="280" spans="1:18" ht="39.6">
      <c r="A280" s="511" t="s">
        <v>863</v>
      </c>
      <c r="B280" s="512" t="s">
        <v>95</v>
      </c>
      <c r="C280" s="512" t="s">
        <v>96</v>
      </c>
      <c r="D280" s="513" t="s">
        <v>867</v>
      </c>
      <c r="E280" s="513" t="s">
        <v>868</v>
      </c>
      <c r="F280" s="513" t="s">
        <v>869</v>
      </c>
      <c r="G280" s="513" t="s">
        <v>870</v>
      </c>
      <c r="H280" s="513" t="s">
        <v>318</v>
      </c>
      <c r="I280" s="514" t="s">
        <v>25</v>
      </c>
      <c r="J280" s="515" t="s">
        <v>308</v>
      </c>
      <c r="K280" s="104" t="s">
        <v>1366</v>
      </c>
      <c r="N280" s="791"/>
      <c r="O280" s="634"/>
      <c r="P280" s="1036"/>
      <c r="Q280" s="781"/>
      <c r="R280" s="772"/>
    </row>
    <row r="281" spans="1:18" ht="26.4">
      <c r="A281" s="989" t="s">
        <v>864</v>
      </c>
      <c r="B281" s="989" t="s">
        <v>865</v>
      </c>
      <c r="C281" s="989" t="s">
        <v>866</v>
      </c>
      <c r="D281" s="989">
        <v>0.3</v>
      </c>
      <c r="E281" s="989">
        <v>5</v>
      </c>
      <c r="F281" s="989">
        <v>50</v>
      </c>
      <c r="G281" s="989">
        <v>10000</v>
      </c>
      <c r="H281" s="878">
        <v>3.23</v>
      </c>
      <c r="I281" s="530" t="s">
        <v>1159</v>
      </c>
      <c r="J281" s="286"/>
      <c r="K281" s="105">
        <f>+J281*H281</f>
        <v>0</v>
      </c>
      <c r="M281" s="55" t="s">
        <v>1147</v>
      </c>
      <c r="N281" s="791"/>
      <c r="O281" s="634"/>
      <c r="P281" s="1036"/>
      <c r="Q281" s="781"/>
      <c r="R281" s="772"/>
    </row>
    <row r="282" spans="1:18" ht="13.8" thickBot="1">
      <c r="A282" s="640"/>
      <c r="B282" s="991"/>
      <c r="C282" s="535"/>
      <c r="D282" s="535"/>
      <c r="E282" s="535"/>
      <c r="F282" s="535"/>
      <c r="G282" s="535"/>
      <c r="H282" s="536"/>
      <c r="I282" s="537"/>
      <c r="J282" s="538"/>
      <c r="K282" s="539"/>
      <c r="N282" s="791"/>
      <c r="O282" s="634"/>
      <c r="P282" s="1036"/>
      <c r="Q282" s="781"/>
      <c r="R282" s="772"/>
    </row>
    <row r="283" spans="1:18" ht="26.4">
      <c r="A283" s="101" t="s">
        <v>1364</v>
      </c>
      <c r="B283" s="57" t="s">
        <v>1365</v>
      </c>
      <c r="C283" s="1029" t="s">
        <v>588</v>
      </c>
      <c r="D283" s="1027" t="s">
        <v>322</v>
      </c>
      <c r="E283" s="1027" t="s">
        <v>323</v>
      </c>
      <c r="F283" s="1028"/>
      <c r="G283" s="102"/>
      <c r="H283" s="102" t="s">
        <v>318</v>
      </c>
      <c r="I283" s="234" t="s">
        <v>25</v>
      </c>
      <c r="J283" s="103" t="s">
        <v>308</v>
      </c>
      <c r="K283" s="104" t="s">
        <v>1366</v>
      </c>
      <c r="N283" s="791"/>
      <c r="O283" s="634"/>
      <c r="P283" s="1036"/>
      <c r="Q283" s="781"/>
      <c r="R283" s="772"/>
    </row>
    <row r="284" spans="1:18" ht="12.45" customHeight="1">
      <c r="A284" s="1283" t="s">
        <v>1386</v>
      </c>
      <c r="B284" s="954" t="s">
        <v>67</v>
      </c>
      <c r="C284" s="1285" t="s">
        <v>79</v>
      </c>
      <c r="D284" s="1287" t="s">
        <v>80</v>
      </c>
      <c r="E284" s="1287" t="s">
        <v>81</v>
      </c>
      <c r="F284" s="955"/>
      <c r="G284" s="955"/>
      <c r="H284" s="877">
        <v>14.36</v>
      </c>
      <c r="I284" s="530" t="s">
        <v>1159</v>
      </c>
      <c r="J284" s="510"/>
      <c r="K284" s="284">
        <f>+J284*H284</f>
        <v>0</v>
      </c>
      <c r="N284" s="791"/>
      <c r="O284" s="4"/>
      <c r="P284" s="1126"/>
      <c r="Q284" s="1127"/>
      <c r="R284" s="772"/>
    </row>
    <row r="285" spans="1:18" ht="12.45" customHeight="1">
      <c r="A285" s="1283"/>
      <c r="B285" s="954" t="s">
        <v>68</v>
      </c>
      <c r="C285" s="1285"/>
      <c r="D285" s="1287"/>
      <c r="E285" s="1287"/>
      <c r="F285" s="955"/>
      <c r="G285" s="955"/>
      <c r="H285" s="872">
        <v>15.31</v>
      </c>
      <c r="I285" s="530" t="s">
        <v>1159</v>
      </c>
      <c r="J285" s="510"/>
      <c r="K285" s="105">
        <f t="shared" ref="K285:K315" si="11">+J285*H285</f>
        <v>0</v>
      </c>
      <c r="N285" s="791"/>
      <c r="O285" s="634"/>
      <c r="P285" s="1036"/>
      <c r="Q285" s="781"/>
      <c r="R285" s="772"/>
    </row>
    <row r="286" spans="1:18" ht="12.45" customHeight="1">
      <c r="A286" s="1283"/>
      <c r="B286" s="954" t="s">
        <v>69</v>
      </c>
      <c r="C286" s="1285"/>
      <c r="D286" s="1287"/>
      <c r="E286" s="1287"/>
      <c r="F286" s="955"/>
      <c r="G286" s="955"/>
      <c r="H286" s="872">
        <v>17.2</v>
      </c>
      <c r="I286" s="530" t="s">
        <v>1159</v>
      </c>
      <c r="J286" s="510"/>
      <c r="K286" s="105">
        <f t="shared" si="11"/>
        <v>0</v>
      </c>
      <c r="N286" s="791"/>
      <c r="O286" s="634"/>
      <c r="P286" s="1036"/>
      <c r="Q286" s="781"/>
      <c r="R286" s="772"/>
    </row>
    <row r="287" spans="1:18" ht="12.45" customHeight="1">
      <c r="A287" s="1283"/>
      <c r="B287" s="954" t="s">
        <v>70</v>
      </c>
      <c r="C287" s="1285"/>
      <c r="D287" s="1287"/>
      <c r="E287" s="1287"/>
      <c r="F287" s="955"/>
      <c r="G287" s="955"/>
      <c r="H287" s="872">
        <v>18.7</v>
      </c>
      <c r="I287" s="530" t="s">
        <v>1159</v>
      </c>
      <c r="J287" s="510"/>
      <c r="K287" s="105">
        <f t="shared" si="11"/>
        <v>0</v>
      </c>
      <c r="N287" s="791"/>
      <c r="O287" s="634"/>
      <c r="P287" s="1036"/>
      <c r="Q287" s="781"/>
      <c r="R287" s="772"/>
    </row>
    <row r="288" spans="1:18" ht="12.45" customHeight="1">
      <c r="A288" s="1283"/>
      <c r="B288" s="954" t="s">
        <v>71</v>
      </c>
      <c r="C288" s="1285"/>
      <c r="D288" s="1287"/>
      <c r="E288" s="1287"/>
      <c r="F288" s="955"/>
      <c r="G288" s="955"/>
      <c r="H288" s="872">
        <v>20.399999999999999</v>
      </c>
      <c r="I288" s="530" t="s">
        <v>1159</v>
      </c>
      <c r="J288" s="510"/>
      <c r="K288" s="105">
        <f t="shared" si="11"/>
        <v>0</v>
      </c>
      <c r="N288" s="791"/>
      <c r="O288" s="634"/>
      <c r="P288" s="1036"/>
      <c r="Q288" s="781"/>
      <c r="R288" s="772"/>
    </row>
    <row r="289" spans="1:18" ht="12.45" customHeight="1">
      <c r="A289" s="1283"/>
      <c r="B289" s="954" t="s">
        <v>72</v>
      </c>
      <c r="C289" s="1285"/>
      <c r="D289" s="1287"/>
      <c r="E289" s="1287"/>
      <c r="F289" s="955"/>
      <c r="G289" s="955"/>
      <c r="H289" s="872">
        <v>22.1</v>
      </c>
      <c r="I289" s="530" t="s">
        <v>1159</v>
      </c>
      <c r="J289" s="510"/>
      <c r="K289" s="105">
        <f t="shared" si="11"/>
        <v>0</v>
      </c>
      <c r="N289" s="791"/>
      <c r="O289" s="634"/>
      <c r="P289" s="1036"/>
      <c r="Q289" s="781"/>
      <c r="R289" s="772"/>
    </row>
    <row r="290" spans="1:18" ht="12.45" customHeight="1">
      <c r="A290" s="1283"/>
      <c r="B290" s="954" t="s">
        <v>73</v>
      </c>
      <c r="C290" s="1285"/>
      <c r="D290" s="1287"/>
      <c r="E290" s="1287"/>
      <c r="F290" s="955"/>
      <c r="G290" s="955"/>
      <c r="H290" s="872">
        <v>23.8</v>
      </c>
      <c r="I290" s="530" t="s">
        <v>1159</v>
      </c>
      <c r="J290" s="510"/>
      <c r="K290" s="105">
        <f t="shared" si="11"/>
        <v>0</v>
      </c>
      <c r="N290" s="791"/>
      <c r="O290" s="634"/>
      <c r="P290" s="1036"/>
      <c r="Q290" s="781"/>
      <c r="R290" s="772"/>
    </row>
    <row r="291" spans="1:18" ht="12.45" customHeight="1">
      <c r="A291" s="1283"/>
      <c r="B291" s="954" t="s">
        <v>74</v>
      </c>
      <c r="C291" s="1285"/>
      <c r="D291" s="1287"/>
      <c r="E291" s="1287"/>
      <c r="F291" s="955"/>
      <c r="G291" s="955"/>
      <c r="H291" s="872">
        <v>25.5</v>
      </c>
      <c r="I291" s="530" t="s">
        <v>1159</v>
      </c>
      <c r="J291" s="510"/>
      <c r="K291" s="105">
        <f t="shared" si="11"/>
        <v>0</v>
      </c>
      <c r="N291" s="791"/>
      <c r="O291" s="634"/>
      <c r="P291" s="1036"/>
      <c r="Q291" s="781"/>
      <c r="R291" s="772"/>
    </row>
    <row r="292" spans="1:18" ht="12.45" customHeight="1">
      <c r="A292" s="1283"/>
      <c r="B292" s="954" t="s">
        <v>580</v>
      </c>
      <c r="C292" s="1285"/>
      <c r="D292" s="1287"/>
      <c r="E292" s="1287"/>
      <c r="F292" s="955"/>
      <c r="G292" s="955"/>
      <c r="H292" s="872">
        <v>27.2</v>
      </c>
      <c r="I292" s="530" t="s">
        <v>1159</v>
      </c>
      <c r="J292" s="510"/>
      <c r="K292" s="105">
        <f t="shared" si="11"/>
        <v>0</v>
      </c>
      <c r="N292" s="791"/>
      <c r="O292" s="634"/>
      <c r="P292" s="1036"/>
      <c r="Q292" s="781"/>
      <c r="R292" s="772"/>
    </row>
    <row r="293" spans="1:18" ht="12.45" customHeight="1">
      <c r="A293" s="1283"/>
      <c r="B293" s="954" t="s">
        <v>581</v>
      </c>
      <c r="C293" s="1285"/>
      <c r="D293" s="1287"/>
      <c r="E293" s="1287"/>
      <c r="F293" s="955"/>
      <c r="G293" s="955"/>
      <c r="H293" s="872">
        <v>28.9</v>
      </c>
      <c r="I293" s="530" t="s">
        <v>1159</v>
      </c>
      <c r="J293" s="510"/>
      <c r="K293" s="105">
        <f t="shared" si="11"/>
        <v>0</v>
      </c>
      <c r="N293" s="791"/>
      <c r="O293" s="634"/>
      <c r="P293" s="1036"/>
      <c r="Q293" s="781"/>
      <c r="R293" s="772"/>
    </row>
    <row r="294" spans="1:18" ht="12.45" customHeight="1">
      <c r="A294" s="1283"/>
      <c r="B294" s="954" t="s">
        <v>582</v>
      </c>
      <c r="C294" s="1285"/>
      <c r="D294" s="1287"/>
      <c r="E294" s="1287"/>
      <c r="F294" s="955"/>
      <c r="G294" s="955"/>
      <c r="H294" s="872">
        <v>30.6</v>
      </c>
      <c r="I294" s="530" t="s">
        <v>1159</v>
      </c>
      <c r="J294" s="510"/>
      <c r="K294" s="105">
        <f t="shared" si="11"/>
        <v>0</v>
      </c>
      <c r="N294" s="791"/>
      <c r="O294" s="634"/>
      <c r="P294" s="1036"/>
      <c r="Q294" s="781"/>
      <c r="R294" s="772"/>
    </row>
    <row r="295" spans="1:18" ht="12.45" customHeight="1">
      <c r="A295" s="1283"/>
      <c r="B295" s="954" t="s">
        <v>765</v>
      </c>
      <c r="C295" s="1285"/>
      <c r="D295" s="1287"/>
      <c r="E295" s="1287"/>
      <c r="F295" s="955"/>
      <c r="G295" s="955"/>
      <c r="H295" s="872">
        <v>32.299999999999997</v>
      </c>
      <c r="I295" s="530" t="s">
        <v>1159</v>
      </c>
      <c r="J295" s="510"/>
      <c r="K295" s="105">
        <f t="shared" si="11"/>
        <v>0</v>
      </c>
      <c r="N295" s="791"/>
      <c r="O295" s="634"/>
      <c r="P295" s="1036"/>
      <c r="Q295" s="781"/>
      <c r="R295" s="772"/>
    </row>
    <row r="296" spans="1:18" ht="12.45" customHeight="1">
      <c r="A296" s="1283"/>
      <c r="B296" s="954"/>
      <c r="C296" s="1285"/>
      <c r="D296" s="1287"/>
      <c r="E296" s="1287"/>
      <c r="F296" s="955"/>
      <c r="G296" s="955"/>
      <c r="H296" s="872"/>
      <c r="I296" s="530"/>
      <c r="J296" s="510"/>
      <c r="K296" s="105">
        <f t="shared" si="11"/>
        <v>0</v>
      </c>
      <c r="N296" s="791"/>
      <c r="O296" s="634"/>
      <c r="P296" s="1036"/>
      <c r="Q296" s="781"/>
      <c r="R296" s="772"/>
    </row>
    <row r="297" spans="1:18" ht="12.45" customHeight="1">
      <c r="A297" s="1283"/>
      <c r="B297" s="954"/>
      <c r="C297" s="1285"/>
      <c r="D297" s="1287"/>
      <c r="E297" s="1287"/>
      <c r="F297" s="955"/>
      <c r="G297" s="955"/>
      <c r="H297" s="872"/>
      <c r="I297" s="530"/>
      <c r="J297" s="510"/>
      <c r="K297" s="105">
        <f t="shared" si="11"/>
        <v>0</v>
      </c>
      <c r="N297" s="791"/>
      <c r="O297" s="634"/>
      <c r="P297" s="1036"/>
      <c r="Q297" s="781"/>
      <c r="R297" s="772"/>
    </row>
    <row r="298" spans="1:18" ht="12.45" customHeight="1">
      <c r="A298" s="1283"/>
      <c r="B298" s="954"/>
      <c r="C298" s="1285"/>
      <c r="D298" s="1287"/>
      <c r="E298" s="1287"/>
      <c r="F298" s="955"/>
      <c r="G298" s="955"/>
      <c r="H298" s="872"/>
      <c r="I298" s="530"/>
      <c r="J298" s="510"/>
      <c r="K298" s="105">
        <f t="shared" si="11"/>
        <v>0</v>
      </c>
      <c r="N298" s="791"/>
      <c r="O298" s="634"/>
      <c r="P298" s="1036"/>
      <c r="Q298" s="781"/>
      <c r="R298" s="772"/>
    </row>
    <row r="299" spans="1:18" ht="13.2" customHeight="1" thickBot="1">
      <c r="A299" s="1284"/>
      <c r="B299" s="956"/>
      <c r="C299" s="1286"/>
      <c r="D299" s="1288"/>
      <c r="E299" s="1288"/>
      <c r="F299" s="957"/>
      <c r="G299" s="957"/>
      <c r="H299" s="874"/>
      <c r="I299" s="875"/>
      <c r="J299" s="876"/>
      <c r="K299" s="112">
        <f t="shared" si="11"/>
        <v>0</v>
      </c>
      <c r="N299" s="791"/>
      <c r="O299" s="634"/>
      <c r="P299" s="1036"/>
      <c r="Q299" s="781"/>
      <c r="R299" s="772"/>
    </row>
    <row r="300" spans="1:18">
      <c r="A300" s="1283" t="s">
        <v>1387</v>
      </c>
      <c r="B300" s="954" t="s">
        <v>75</v>
      </c>
      <c r="C300" s="1285" t="s">
        <v>79</v>
      </c>
      <c r="D300" s="1287" t="s">
        <v>80</v>
      </c>
      <c r="E300" s="1287" t="s">
        <v>81</v>
      </c>
      <c r="F300" s="958"/>
      <c r="G300" s="958"/>
      <c r="H300" s="872">
        <v>10.5</v>
      </c>
      <c r="I300" s="530" t="s">
        <v>1159</v>
      </c>
      <c r="J300" s="510"/>
      <c r="K300" s="105">
        <f t="shared" si="11"/>
        <v>0</v>
      </c>
      <c r="N300" s="791"/>
      <c r="O300" s="4"/>
      <c r="P300" s="1126"/>
      <c r="Q300" s="1127"/>
      <c r="R300" s="772"/>
    </row>
    <row r="301" spans="1:18">
      <c r="A301" s="1283"/>
      <c r="B301" s="954" t="s">
        <v>76</v>
      </c>
      <c r="C301" s="1285"/>
      <c r="D301" s="1287"/>
      <c r="E301" s="1287"/>
      <c r="F301" s="955"/>
      <c r="G301" s="955"/>
      <c r="H301" s="872">
        <v>12.6</v>
      </c>
      <c r="I301" s="530" t="s">
        <v>1159</v>
      </c>
      <c r="J301" s="510"/>
      <c r="K301" s="105">
        <f t="shared" si="11"/>
        <v>0</v>
      </c>
      <c r="N301" s="791"/>
      <c r="O301" s="634"/>
      <c r="P301" s="1036"/>
      <c r="Q301" s="781"/>
      <c r="R301" s="772"/>
    </row>
    <row r="302" spans="1:18">
      <c r="A302" s="1283"/>
      <c r="B302" s="954" t="s">
        <v>77</v>
      </c>
      <c r="C302" s="1285"/>
      <c r="D302" s="1287"/>
      <c r="E302" s="1287"/>
      <c r="F302" s="955"/>
      <c r="G302" s="955"/>
      <c r="H302" s="872">
        <v>14.7</v>
      </c>
      <c r="I302" s="530" t="s">
        <v>1159</v>
      </c>
      <c r="J302" s="510"/>
      <c r="K302" s="105">
        <f t="shared" si="11"/>
        <v>0</v>
      </c>
      <c r="N302" s="791"/>
      <c r="O302" s="634"/>
      <c r="P302" s="1036"/>
      <c r="Q302" s="781"/>
      <c r="R302" s="772"/>
    </row>
    <row r="303" spans="1:18">
      <c r="A303" s="1283"/>
      <c r="B303" s="954" t="s">
        <v>78</v>
      </c>
      <c r="C303" s="1285"/>
      <c r="D303" s="1287"/>
      <c r="E303" s="1287"/>
      <c r="F303" s="955"/>
      <c r="G303" s="955"/>
      <c r="H303" s="872">
        <v>15.2</v>
      </c>
      <c r="I303" s="530" t="s">
        <v>1159</v>
      </c>
      <c r="J303" s="510"/>
      <c r="K303" s="105">
        <f t="shared" si="11"/>
        <v>0</v>
      </c>
      <c r="N303" s="791"/>
      <c r="O303" s="634"/>
      <c r="P303" s="1036"/>
      <c r="Q303" s="781"/>
      <c r="R303" s="772"/>
    </row>
    <row r="304" spans="1:18">
      <c r="A304" s="1283"/>
      <c r="B304" s="954" t="s">
        <v>68</v>
      </c>
      <c r="C304" s="1285"/>
      <c r="D304" s="1287"/>
      <c r="E304" s="1287"/>
      <c r="F304" s="955"/>
      <c r="G304" s="955"/>
      <c r="H304" s="872">
        <v>17.100000000000001</v>
      </c>
      <c r="I304" s="530" t="s">
        <v>1159</v>
      </c>
      <c r="J304" s="510"/>
      <c r="K304" s="105">
        <f t="shared" si="11"/>
        <v>0</v>
      </c>
      <c r="N304" s="791"/>
      <c r="O304" s="634"/>
      <c r="P304" s="1036"/>
      <c r="Q304" s="781"/>
      <c r="R304" s="772"/>
    </row>
    <row r="305" spans="1:18">
      <c r="A305" s="1283"/>
      <c r="B305" s="954" t="s">
        <v>69</v>
      </c>
      <c r="C305" s="1285"/>
      <c r="D305" s="1287"/>
      <c r="E305" s="1287"/>
      <c r="F305" s="955"/>
      <c r="G305" s="955"/>
      <c r="H305" s="872">
        <v>19</v>
      </c>
      <c r="I305" s="530" t="s">
        <v>1159</v>
      </c>
      <c r="J305" s="510"/>
      <c r="K305" s="105">
        <f t="shared" si="11"/>
        <v>0</v>
      </c>
      <c r="N305" s="791"/>
      <c r="O305" s="634"/>
      <c r="P305" s="1036"/>
      <c r="Q305" s="781"/>
      <c r="R305" s="772"/>
    </row>
    <row r="306" spans="1:18">
      <c r="A306" s="1283"/>
      <c r="B306" s="954" t="s">
        <v>70</v>
      </c>
      <c r="C306" s="1285"/>
      <c r="D306" s="1287"/>
      <c r="E306" s="1287"/>
      <c r="F306" s="955"/>
      <c r="G306" s="955"/>
      <c r="H306" s="872">
        <v>20.9</v>
      </c>
      <c r="I306" s="530" t="s">
        <v>1159</v>
      </c>
      <c r="J306" s="510"/>
      <c r="K306" s="105">
        <f t="shared" si="11"/>
        <v>0</v>
      </c>
      <c r="N306" s="791"/>
      <c r="O306" s="634"/>
      <c r="P306" s="1036"/>
      <c r="Q306" s="781"/>
      <c r="R306" s="772"/>
    </row>
    <row r="307" spans="1:18">
      <c r="A307" s="1283"/>
      <c r="B307" s="954" t="s">
        <v>583</v>
      </c>
      <c r="C307" s="1285"/>
      <c r="D307" s="1287"/>
      <c r="E307" s="1287"/>
      <c r="F307" s="955"/>
      <c r="G307" s="955"/>
      <c r="H307" s="872">
        <v>22.8</v>
      </c>
      <c r="I307" s="530" t="s">
        <v>1159</v>
      </c>
      <c r="J307" s="510"/>
      <c r="K307" s="105">
        <f t="shared" si="11"/>
        <v>0</v>
      </c>
      <c r="N307" s="791"/>
      <c r="O307" s="634"/>
      <c r="P307" s="1036"/>
      <c r="Q307" s="781"/>
      <c r="R307" s="772"/>
    </row>
    <row r="308" spans="1:18">
      <c r="A308" s="1283"/>
      <c r="B308" s="954" t="s">
        <v>72</v>
      </c>
      <c r="C308" s="1285"/>
      <c r="D308" s="1287"/>
      <c r="E308" s="1287"/>
      <c r="F308" s="955"/>
      <c r="G308" s="955"/>
      <c r="H308" s="872">
        <v>24.7</v>
      </c>
      <c r="I308" s="530" t="s">
        <v>1159</v>
      </c>
      <c r="J308" s="510"/>
      <c r="K308" s="105">
        <f t="shared" si="11"/>
        <v>0</v>
      </c>
      <c r="N308" s="791"/>
      <c r="O308" s="634"/>
      <c r="P308" s="1036"/>
      <c r="Q308" s="781"/>
      <c r="R308" s="772"/>
    </row>
    <row r="309" spans="1:18">
      <c r="A309" s="1283"/>
      <c r="B309" s="954" t="s">
        <v>73</v>
      </c>
      <c r="C309" s="1285"/>
      <c r="D309" s="1287"/>
      <c r="E309" s="1287"/>
      <c r="F309" s="955"/>
      <c r="G309" s="955"/>
      <c r="H309" s="872">
        <v>26.6</v>
      </c>
      <c r="I309" s="530" t="s">
        <v>1159</v>
      </c>
      <c r="J309" s="510"/>
      <c r="K309" s="105">
        <f t="shared" si="11"/>
        <v>0</v>
      </c>
      <c r="N309" s="791"/>
      <c r="O309" s="634"/>
      <c r="P309" s="1036"/>
      <c r="Q309" s="781"/>
      <c r="R309" s="772"/>
    </row>
    <row r="310" spans="1:18">
      <c r="A310" s="1283"/>
      <c r="B310" s="954" t="s">
        <v>74</v>
      </c>
      <c r="C310" s="1285"/>
      <c r="D310" s="1287"/>
      <c r="E310" s="1287"/>
      <c r="F310" s="955"/>
      <c r="G310" s="955"/>
      <c r="H310" s="872">
        <v>28.5</v>
      </c>
      <c r="I310" s="530" t="s">
        <v>1159</v>
      </c>
      <c r="J310" s="510"/>
      <c r="K310" s="105">
        <f t="shared" si="11"/>
        <v>0</v>
      </c>
      <c r="N310" s="791"/>
      <c r="O310" s="634"/>
      <c r="P310" s="1036"/>
      <c r="Q310" s="781"/>
      <c r="R310" s="772"/>
    </row>
    <row r="311" spans="1:18">
      <c r="A311" s="1283"/>
      <c r="B311" s="954" t="s">
        <v>580</v>
      </c>
      <c r="C311" s="1285"/>
      <c r="D311" s="1287"/>
      <c r="E311" s="1287"/>
      <c r="F311" s="955"/>
      <c r="G311" s="955"/>
      <c r="H311" s="872">
        <v>30.4</v>
      </c>
      <c r="I311" s="530" t="s">
        <v>1159</v>
      </c>
      <c r="J311" s="510"/>
      <c r="K311" s="105">
        <f t="shared" si="11"/>
        <v>0</v>
      </c>
      <c r="N311" s="791"/>
      <c r="O311" s="634"/>
      <c r="P311" s="1036"/>
      <c r="Q311" s="781"/>
      <c r="R311" s="772"/>
    </row>
    <row r="312" spans="1:18">
      <c r="A312" s="1283"/>
      <c r="B312" s="954" t="s">
        <v>581</v>
      </c>
      <c r="C312" s="1285"/>
      <c r="D312" s="1287"/>
      <c r="E312" s="1287"/>
      <c r="F312" s="955"/>
      <c r="G312" s="955"/>
      <c r="H312" s="872">
        <v>32.299999999999997</v>
      </c>
      <c r="I312" s="530" t="s">
        <v>1159</v>
      </c>
      <c r="J312" s="510"/>
      <c r="K312" s="105">
        <f t="shared" si="11"/>
        <v>0</v>
      </c>
      <c r="N312" s="791"/>
      <c r="O312" s="634"/>
      <c r="P312" s="1036"/>
      <c r="Q312" s="781"/>
      <c r="R312" s="772"/>
    </row>
    <row r="313" spans="1:18">
      <c r="A313" s="1283"/>
      <c r="B313" s="954" t="s">
        <v>582</v>
      </c>
      <c r="C313" s="1285"/>
      <c r="D313" s="1287"/>
      <c r="E313" s="1287"/>
      <c r="F313" s="955"/>
      <c r="G313" s="955"/>
      <c r="H313" s="872">
        <v>34.200000000000003</v>
      </c>
      <c r="I313" s="530" t="s">
        <v>1159</v>
      </c>
      <c r="J313" s="510"/>
      <c r="K313" s="105">
        <f t="shared" si="11"/>
        <v>0</v>
      </c>
      <c r="N313" s="791"/>
      <c r="O313" s="634"/>
      <c r="P313" s="1036"/>
      <c r="Q313" s="781"/>
      <c r="R313" s="772"/>
    </row>
    <row r="314" spans="1:18">
      <c r="A314" s="1283"/>
      <c r="B314" s="954" t="s">
        <v>765</v>
      </c>
      <c r="C314" s="1285"/>
      <c r="D314" s="1287"/>
      <c r="E314" s="1287"/>
      <c r="F314" s="955"/>
      <c r="G314" s="955"/>
      <c r="H314" s="872">
        <v>36.1</v>
      </c>
      <c r="I314" s="530" t="s">
        <v>1159</v>
      </c>
      <c r="J314" s="510"/>
      <c r="K314" s="105">
        <f t="shared" si="11"/>
        <v>0</v>
      </c>
      <c r="N314" s="791"/>
      <c r="O314" s="634"/>
      <c r="P314" s="1036"/>
      <c r="Q314" s="781"/>
      <c r="R314" s="772"/>
    </row>
    <row r="315" spans="1:18" ht="13.8" thickBot="1">
      <c r="A315" s="1284"/>
      <c r="B315" s="956"/>
      <c r="C315" s="1286"/>
      <c r="D315" s="1288"/>
      <c r="E315" s="1288"/>
      <c r="F315" s="957"/>
      <c r="G315" s="957"/>
      <c r="H315" s="874"/>
      <c r="I315" s="875"/>
      <c r="J315" s="873"/>
      <c r="K315" s="112">
        <f t="shared" si="11"/>
        <v>0</v>
      </c>
      <c r="N315" s="791"/>
      <c r="O315" s="634"/>
      <c r="P315" s="1036"/>
      <c r="Q315" s="781"/>
    </row>
    <row r="316" spans="1:18">
      <c r="A316" s="636"/>
      <c r="B316" s="637"/>
      <c r="C316" s="60"/>
      <c r="D316" s="60"/>
      <c r="E316" s="60"/>
      <c r="F316" s="60"/>
      <c r="G316" s="60"/>
      <c r="H316" s="60"/>
      <c r="I316" s="60"/>
      <c r="J316" s="510"/>
      <c r="K316" s="60"/>
      <c r="N316" s="791"/>
      <c r="O316" s="634"/>
      <c r="P316" s="1036"/>
      <c r="Q316" s="781"/>
    </row>
    <row r="317" spans="1:18">
      <c r="A317" s="636"/>
      <c r="B317" s="637"/>
      <c r="C317" s="60"/>
      <c r="D317" s="60"/>
      <c r="E317" s="60"/>
      <c r="F317" s="60"/>
      <c r="G317" s="60"/>
      <c r="H317" s="60"/>
      <c r="I317" s="60"/>
      <c r="J317" s="510"/>
      <c r="K317" s="60"/>
      <c r="N317" s="791"/>
      <c r="O317" s="634"/>
      <c r="P317" s="1036"/>
      <c r="Q317" s="781"/>
    </row>
    <row r="318" spans="1:18">
      <c r="A318" s="636"/>
      <c r="B318" s="637"/>
      <c r="C318" s="60"/>
      <c r="D318" s="60"/>
      <c r="E318" s="60"/>
      <c r="F318" s="60"/>
      <c r="G318" s="60"/>
      <c r="H318" s="60"/>
      <c r="I318" s="60"/>
      <c r="J318" s="510"/>
      <c r="K318" s="60"/>
      <c r="N318" s="791"/>
      <c r="O318" s="634"/>
      <c r="P318" s="1036"/>
      <c r="Q318" s="781"/>
    </row>
    <row r="319" spans="1:18">
      <c r="A319" s="636"/>
      <c r="B319" s="637"/>
      <c r="C319" s="60"/>
      <c r="D319" s="60"/>
      <c r="E319" s="60"/>
      <c r="F319" s="60"/>
      <c r="G319" s="60"/>
      <c r="H319" s="60"/>
      <c r="I319" s="60"/>
      <c r="J319" s="510"/>
      <c r="K319" s="60"/>
      <c r="N319" s="791"/>
      <c r="O319" s="634"/>
      <c r="P319" s="1036"/>
      <c r="Q319" s="781"/>
    </row>
    <row r="320" spans="1:18">
      <c r="A320" s="636"/>
      <c r="B320" s="637"/>
      <c r="C320" s="60"/>
      <c r="D320" s="60"/>
      <c r="E320" s="60"/>
      <c r="F320" s="60"/>
      <c r="G320" s="60"/>
      <c r="H320" s="60"/>
      <c r="I320" s="60"/>
      <c r="J320" s="510"/>
      <c r="K320" s="60"/>
      <c r="N320" s="791"/>
      <c r="O320" s="634"/>
      <c r="P320" s="1036"/>
      <c r="Q320" s="781"/>
    </row>
    <row r="321" spans="1:17">
      <c r="A321" s="636"/>
      <c r="B321" s="637"/>
      <c r="C321" s="60"/>
      <c r="D321" s="60"/>
      <c r="E321" s="60"/>
      <c r="F321" s="60"/>
      <c r="G321" s="60"/>
      <c r="H321" s="60"/>
      <c r="I321" s="60"/>
      <c r="J321" s="510"/>
      <c r="K321" s="60"/>
      <c r="N321" s="791"/>
      <c r="O321" s="634"/>
      <c r="P321" s="1036"/>
      <c r="Q321" s="781"/>
    </row>
    <row r="322" spans="1:17">
      <c r="A322" s="636"/>
      <c r="B322" s="637"/>
      <c r="C322" s="60"/>
      <c r="D322" s="60"/>
      <c r="E322" s="60"/>
      <c r="F322" s="60"/>
      <c r="G322" s="60"/>
      <c r="H322" s="60"/>
      <c r="I322" s="60"/>
      <c r="J322" s="510"/>
      <c r="K322" s="60"/>
      <c r="N322" s="791"/>
      <c r="O322" s="634"/>
      <c r="P322" s="1036"/>
      <c r="Q322" s="781"/>
    </row>
    <row r="323" spans="1:17">
      <c r="A323" s="636"/>
      <c r="B323" s="637"/>
      <c r="C323" s="60"/>
      <c r="D323" s="60"/>
      <c r="E323" s="60"/>
      <c r="F323" s="60"/>
      <c r="G323" s="60"/>
      <c r="H323" s="60"/>
      <c r="I323" s="60"/>
      <c r="J323" s="510"/>
      <c r="K323" s="60"/>
      <c r="N323" s="791"/>
      <c r="O323" s="634"/>
      <c r="P323" s="1036"/>
      <c r="Q323" s="781"/>
    </row>
    <row r="324" spans="1:17">
      <c r="A324" s="636"/>
      <c r="B324" s="637"/>
      <c r="C324" s="60"/>
      <c r="D324" s="60"/>
      <c r="E324" s="60"/>
      <c r="F324" s="60"/>
      <c r="G324" s="60"/>
      <c r="H324" s="60"/>
      <c r="I324" s="60"/>
      <c r="J324" s="510"/>
      <c r="K324" s="60"/>
      <c r="N324" s="791"/>
      <c r="O324" s="634"/>
      <c r="P324" s="1036"/>
      <c r="Q324" s="781"/>
    </row>
    <row r="325" spans="1:17">
      <c r="A325" s="636"/>
      <c r="B325" s="637"/>
      <c r="C325" s="60"/>
      <c r="D325" s="60"/>
      <c r="E325" s="60"/>
      <c r="F325" s="60"/>
      <c r="G325" s="60"/>
      <c r="H325" s="60"/>
      <c r="I325" s="60"/>
      <c r="J325" s="510"/>
      <c r="K325" s="60"/>
      <c r="N325" s="791"/>
      <c r="O325" s="634"/>
      <c r="P325" s="1036"/>
      <c r="Q325" s="781"/>
    </row>
    <row r="326" spans="1:17">
      <c r="A326" s="636"/>
      <c r="B326" s="637"/>
      <c r="C326" s="60"/>
      <c r="D326" s="60"/>
      <c r="E326" s="60"/>
      <c r="F326" s="60"/>
      <c r="G326" s="60"/>
      <c r="H326" s="60"/>
      <c r="I326" s="60"/>
      <c r="J326" s="510"/>
      <c r="K326" s="60"/>
      <c r="N326" s="791"/>
      <c r="O326" s="634"/>
      <c r="P326" s="1036"/>
      <c r="Q326" s="781"/>
    </row>
    <row r="327" spans="1:17">
      <c r="A327" s="636"/>
      <c r="B327" s="637"/>
      <c r="C327" s="60"/>
      <c r="D327" s="60"/>
      <c r="E327" s="60"/>
      <c r="F327" s="60"/>
      <c r="G327" s="60"/>
      <c r="H327" s="60"/>
      <c r="I327" s="60"/>
      <c r="J327" s="510"/>
      <c r="K327" s="60"/>
      <c r="N327" s="791"/>
      <c r="O327" s="634"/>
      <c r="P327" s="1036"/>
      <c r="Q327" s="781"/>
    </row>
    <row r="328" spans="1:17">
      <c r="A328" s="636"/>
      <c r="B328" s="637"/>
      <c r="C328" s="60"/>
      <c r="D328" s="60"/>
      <c r="E328" s="60"/>
      <c r="F328" s="60"/>
      <c r="G328" s="60"/>
      <c r="H328" s="60"/>
      <c r="I328" s="60"/>
      <c r="J328" s="510"/>
      <c r="K328" s="60"/>
      <c r="N328" s="791"/>
      <c r="O328" s="634"/>
      <c r="P328" s="1036"/>
      <c r="Q328" s="781"/>
    </row>
    <row r="329" spans="1:17">
      <c r="A329" s="636"/>
      <c r="B329" s="637"/>
      <c r="C329" s="60"/>
      <c r="D329" s="60"/>
      <c r="E329" s="60"/>
      <c r="F329" s="60"/>
      <c r="G329" s="60"/>
      <c r="H329" s="60"/>
      <c r="I329" s="60"/>
      <c r="J329" s="510"/>
      <c r="K329" s="60"/>
      <c r="N329" s="791"/>
      <c r="O329" s="634"/>
      <c r="P329" s="1036"/>
      <c r="Q329" s="781"/>
    </row>
    <row r="330" spans="1:17">
      <c r="A330" s="636"/>
      <c r="B330" s="637"/>
      <c r="C330" s="60"/>
      <c r="D330" s="60"/>
      <c r="E330" s="60"/>
      <c r="F330" s="60"/>
      <c r="G330" s="60"/>
      <c r="H330" s="60"/>
      <c r="I330" s="60"/>
      <c r="J330" s="510"/>
      <c r="K330" s="60"/>
      <c r="N330" s="791"/>
      <c r="O330" s="634"/>
      <c r="P330" s="1036"/>
      <c r="Q330" s="781"/>
    </row>
    <row r="331" spans="1:17">
      <c r="A331" s="636"/>
      <c r="B331" s="637"/>
      <c r="C331" s="60"/>
      <c r="D331" s="60"/>
      <c r="E331" s="60"/>
      <c r="F331" s="60"/>
      <c r="G331" s="60"/>
      <c r="H331" s="60"/>
      <c r="I331" s="60"/>
      <c r="J331" s="510"/>
      <c r="K331" s="60"/>
      <c r="N331" s="791"/>
      <c r="O331" s="634"/>
      <c r="P331" s="1036"/>
      <c r="Q331" s="781"/>
    </row>
    <row r="332" spans="1:17">
      <c r="A332" s="636"/>
      <c r="B332" s="637"/>
      <c r="C332" s="60"/>
      <c r="D332" s="60"/>
      <c r="E332" s="60"/>
      <c r="F332" s="60"/>
      <c r="G332" s="60"/>
      <c r="H332" s="60"/>
      <c r="I332" s="60"/>
      <c r="J332" s="510"/>
      <c r="K332" s="60"/>
      <c r="N332" s="791"/>
      <c r="O332" s="634"/>
      <c r="P332" s="1036"/>
      <c r="Q332" s="781"/>
    </row>
    <row r="333" spans="1:17">
      <c r="A333" s="636"/>
      <c r="B333" s="637"/>
      <c r="C333" s="60"/>
      <c r="D333" s="60"/>
      <c r="E333" s="60"/>
      <c r="F333" s="60"/>
      <c r="G333" s="60"/>
      <c r="H333" s="60"/>
      <c r="I333" s="60"/>
      <c r="J333" s="510"/>
      <c r="K333" s="60"/>
      <c r="N333" s="791"/>
      <c r="O333" s="634"/>
      <c r="P333" s="1036"/>
      <c r="Q333" s="781"/>
    </row>
    <row r="334" spans="1:17">
      <c r="A334" s="636"/>
      <c r="B334" s="637"/>
      <c r="C334" s="60"/>
      <c r="D334" s="60"/>
      <c r="E334" s="60"/>
      <c r="F334" s="60"/>
      <c r="G334" s="60"/>
      <c r="H334" s="60"/>
      <c r="I334" s="60"/>
      <c r="J334" s="510"/>
      <c r="K334" s="60"/>
      <c r="N334" s="791"/>
      <c r="O334" s="634"/>
      <c r="P334" s="1036"/>
      <c r="Q334" s="781"/>
    </row>
    <row r="335" spans="1:17">
      <c r="A335" s="636"/>
      <c r="B335" s="637"/>
      <c r="C335" s="60"/>
      <c r="D335" s="60"/>
      <c r="E335" s="60"/>
      <c r="F335" s="60"/>
      <c r="G335" s="60"/>
      <c r="H335" s="60"/>
      <c r="I335" s="60"/>
      <c r="J335" s="510"/>
      <c r="K335" s="60"/>
      <c r="N335" s="791"/>
      <c r="O335" s="634"/>
      <c r="P335" s="1036"/>
      <c r="Q335" s="781"/>
    </row>
    <row r="336" spans="1:17" ht="13.8" thickBot="1">
      <c r="A336" s="60"/>
      <c r="B336" s="509"/>
      <c r="C336" s="60"/>
      <c r="D336" s="60"/>
      <c r="E336" s="60"/>
      <c r="F336" s="60"/>
      <c r="G336" s="60"/>
      <c r="H336" s="60"/>
      <c r="I336" s="60"/>
      <c r="J336" s="510"/>
      <c r="K336" s="60"/>
      <c r="N336" s="791"/>
      <c r="O336" s="634"/>
      <c r="P336" s="1036"/>
      <c r="Q336" s="781"/>
    </row>
    <row r="337" spans="1:17" ht="12.75" customHeight="1">
      <c r="F337" s="1256" t="s">
        <v>27</v>
      </c>
      <c r="G337" s="1257"/>
      <c r="H337" s="1257"/>
      <c r="I337" s="232"/>
      <c r="N337" s="791"/>
      <c r="O337" s="634"/>
      <c r="P337" s="1036"/>
      <c r="Q337" s="781"/>
    </row>
    <row r="338" spans="1:17" ht="30" customHeight="1">
      <c r="A338" s="333"/>
      <c r="F338" s="1255"/>
      <c r="G338" s="1255"/>
      <c r="H338" s="1255"/>
      <c r="I338" s="994"/>
      <c r="K338" s="71">
        <f>SUMIF(I3:I336,"LP",K3:K336)</f>
        <v>0</v>
      </c>
      <c r="N338" s="791"/>
      <c r="O338" s="634"/>
      <c r="P338" s="1036"/>
      <c r="Q338" s="781"/>
    </row>
    <row r="339" spans="1:17" ht="13.5" customHeight="1">
      <c r="N339" s="791"/>
      <c r="O339" s="634"/>
      <c r="P339" s="1036"/>
      <c r="Q339" s="781"/>
    </row>
    <row r="340" spans="1:17" ht="33" customHeight="1">
      <c r="F340" s="1254" t="s">
        <v>28</v>
      </c>
      <c r="G340" s="1255"/>
      <c r="H340" s="1255"/>
      <c r="I340" s="994"/>
      <c r="K340" s="71">
        <f>SUMIF(I3:I336,"FA",K3:K336)</f>
        <v>48</v>
      </c>
    </row>
    <row r="341" spans="1:17" ht="21.75" customHeight="1">
      <c r="F341" s="1255"/>
      <c r="G341" s="1255"/>
      <c r="H341" s="1255"/>
      <c r="I341" s="994"/>
    </row>
    <row r="342" spans="1:17">
      <c r="B342" s="55"/>
    </row>
    <row r="343" spans="1:17">
      <c r="B343" s="55"/>
    </row>
    <row r="344" spans="1:17">
      <c r="B344" s="55"/>
    </row>
    <row r="345" spans="1:17">
      <c r="B345" s="55"/>
    </row>
    <row r="346" spans="1:17">
      <c r="B346" s="55"/>
    </row>
    <row r="347" spans="1:17">
      <c r="B347" s="55"/>
    </row>
  </sheetData>
  <protectedRanges>
    <protectedRange password="C915" sqref="I208:J216 I337:K65555 I279:K279 J106:J160 K105:K148 K280 K283 J162:J207 K150:K212 I1:K96 J97:K104 I97:I148 I150:I207 I217:K275 J276:K277 I276:I278 J316:K336" name="Range1_4"/>
    <protectedRange password="C915" sqref="J105" name="Range1_1_1"/>
    <protectedRange password="C915" sqref="I281:K282 I280:J280 I283:J283 I284:K315" name="Range1_2_1"/>
    <protectedRange password="C915" sqref="J278:K278" name="Range1_3_1"/>
    <protectedRange password="C915" sqref="J161" name="Range1_4_1"/>
  </protectedRanges>
  <mergeCells count="113">
    <mergeCell ref="A1:K1"/>
    <mergeCell ref="A3:A4"/>
    <mergeCell ref="C3:C4"/>
    <mergeCell ref="A17:A18"/>
    <mergeCell ref="B17:B18"/>
    <mergeCell ref="C17:C18"/>
    <mergeCell ref="A19:A20"/>
    <mergeCell ref="B19:B20"/>
    <mergeCell ref="C19:C20"/>
    <mergeCell ref="A21:A22"/>
    <mergeCell ref="A29:A35"/>
    <mergeCell ref="B29:B31"/>
    <mergeCell ref="C29:C31"/>
    <mergeCell ref="B33:B35"/>
    <mergeCell ref="C33:C35"/>
    <mergeCell ref="A36:A38"/>
    <mergeCell ref="A43:A45"/>
    <mergeCell ref="A50:A61"/>
    <mergeCell ref="B50:B61"/>
    <mergeCell ref="C50:C61"/>
    <mergeCell ref="A75:A97"/>
    <mergeCell ref="B75:B77"/>
    <mergeCell ref="B82:B85"/>
    <mergeCell ref="C82:C85"/>
    <mergeCell ref="C92:C95"/>
    <mergeCell ref="A114:A115"/>
    <mergeCell ref="A119:A120"/>
    <mergeCell ref="A128:A130"/>
    <mergeCell ref="B128:B130"/>
    <mergeCell ref="C129:C130"/>
    <mergeCell ref="A98:A99"/>
    <mergeCell ref="A101:A102"/>
    <mergeCell ref="B101:B102"/>
    <mergeCell ref="C101:C102"/>
    <mergeCell ref="A111:A112"/>
    <mergeCell ref="C111:C112"/>
    <mergeCell ref="A159:A160"/>
    <mergeCell ref="B159:B160"/>
    <mergeCell ref="C159:C160"/>
    <mergeCell ref="D159:D160"/>
    <mergeCell ref="E159:F159"/>
    <mergeCell ref="E160:F160"/>
    <mergeCell ref="J148:J149"/>
    <mergeCell ref="K148:K149"/>
    <mergeCell ref="A151:A153"/>
    <mergeCell ref="B151:B153"/>
    <mergeCell ref="C151:C153"/>
    <mergeCell ref="A154:A155"/>
    <mergeCell ref="B154:B155"/>
    <mergeCell ref="C154:D154"/>
    <mergeCell ref="C155:D155"/>
    <mergeCell ref="D148:D149"/>
    <mergeCell ref="E148:E149"/>
    <mergeCell ref="F148:F149"/>
    <mergeCell ref="G148:G149"/>
    <mergeCell ref="H148:H149"/>
    <mergeCell ref="I148:I149"/>
    <mergeCell ref="A147:A149"/>
    <mergeCell ref="C148:C149"/>
    <mergeCell ref="A181:A182"/>
    <mergeCell ref="A188:A202"/>
    <mergeCell ref="C188:C198"/>
    <mergeCell ref="L188:L202"/>
    <mergeCell ref="M188:M202"/>
    <mergeCell ref="A203:A204"/>
    <mergeCell ref="B203:B204"/>
    <mergeCell ref="C203:C204"/>
    <mergeCell ref="A163:A168"/>
    <mergeCell ref="A171:A172"/>
    <mergeCell ref="B171:B172"/>
    <mergeCell ref="A173:A179"/>
    <mergeCell ref="C173:C179"/>
    <mergeCell ref="B176:B179"/>
    <mergeCell ref="M208:M213"/>
    <mergeCell ref="C211:C212"/>
    <mergeCell ref="E217:G217"/>
    <mergeCell ref="E218:G218"/>
    <mergeCell ref="E219:G219"/>
    <mergeCell ref="A235:A238"/>
    <mergeCell ref="B235:B238"/>
    <mergeCell ref="C235:C238"/>
    <mergeCell ref="A208:A213"/>
    <mergeCell ref="H208:H213"/>
    <mergeCell ref="I208:I213"/>
    <mergeCell ref="J208:J213"/>
    <mergeCell ref="K208:K213"/>
    <mergeCell ref="L208:L213"/>
    <mergeCell ref="A270:A271"/>
    <mergeCell ref="E270:G270"/>
    <mergeCell ref="D273:G273"/>
    <mergeCell ref="A274:A275"/>
    <mergeCell ref="E274:G274"/>
    <mergeCell ref="E275:G275"/>
    <mergeCell ref="E259:G259"/>
    <mergeCell ref="A260:A261"/>
    <mergeCell ref="A262:A266"/>
    <mergeCell ref="E262:G263"/>
    <mergeCell ref="E264:G266"/>
    <mergeCell ref="E269:G269"/>
    <mergeCell ref="A300:A315"/>
    <mergeCell ref="C300:C315"/>
    <mergeCell ref="D300:D315"/>
    <mergeCell ref="E300:E315"/>
    <mergeCell ref="F337:H338"/>
    <mergeCell ref="F340:H341"/>
    <mergeCell ref="A276:A277"/>
    <mergeCell ref="E276:G276"/>
    <mergeCell ref="E277:G277"/>
    <mergeCell ref="E278:G278"/>
    <mergeCell ref="A284:A299"/>
    <mergeCell ref="C284:C299"/>
    <mergeCell ref="D284:D299"/>
    <mergeCell ref="E284:E299"/>
  </mergeCells>
  <conditionalFormatting sqref="I114:I116 I119:I120 I229:I231 I225:I227 I123:I125 I111:I112 I270:I271 I147 I68:I72 I3:I14 I17:I23 I25:I38 I40:I47 I50:I65 I75:I109 I128:I145 I150:I161 I163:I186 I188:I216 I234:I241 I244:I258 I260:I268 I274:I279">
    <cfRule type="expression" dxfId="6" priority="9" stopIfTrue="1">
      <formula>AND($J3&gt;0,$I3=0)</formula>
    </cfRule>
  </conditionalFormatting>
  <conditionalFormatting sqref="I218:I223">
    <cfRule type="expression" dxfId="5" priority="7" stopIfTrue="1">
      <formula>AND($J218&gt;0,$I218=0)</formula>
    </cfRule>
  </conditionalFormatting>
  <conditionalFormatting sqref="I281">
    <cfRule type="expression" dxfId="4" priority="5" stopIfTrue="1">
      <formula>AND($J281&gt;0,$I281=0)</formula>
    </cfRule>
  </conditionalFormatting>
  <conditionalFormatting sqref="I148">
    <cfRule type="expression" dxfId="3" priority="10" stopIfTrue="1">
      <formula>AND($J149&gt;0,$I148=0)</formula>
    </cfRule>
  </conditionalFormatting>
  <conditionalFormatting sqref="I24">
    <cfRule type="expression" dxfId="2" priority="4" stopIfTrue="1">
      <formula>AND($J24&gt;0,$I24=0)</formula>
    </cfRule>
  </conditionalFormatting>
  <conditionalFormatting sqref="I284:I299">
    <cfRule type="expression" dxfId="1" priority="2" stopIfTrue="1">
      <formula>AND($J284&gt;0,$I284=0)</formula>
    </cfRule>
  </conditionalFormatting>
  <conditionalFormatting sqref="I300:I315">
    <cfRule type="expression" dxfId="0" priority="1" stopIfTrue="1">
      <formula>AND($J300&gt;0,$I300=0)</formula>
    </cfRule>
  </conditionalFormatting>
  <dataValidations disablePrompts="1" count="1">
    <dataValidation type="list" allowBlank="1" showInputMessage="1" showErrorMessage="1" sqref="I128:I145 I40:I47 I68:I72 I111:I112 I114:I116 I119:I120 I123:I125 I225:I227 I229:I231 I260:I268 I75:I109 I150:I161 I244:I258 I270:I271 I218:I223 I163:I186 I188:I216 I3:I14 I281 I17:I38 I147:I148 I274:I279 I234:I241 I50:I65 I284:I315" xr:uid="{066BD798-84FA-4D01-8A93-2AEA69FFBECE}">
      <formula1>$L$3:$L$4</formula1>
    </dataValidation>
  </dataValidations>
  <pageMargins left="0.49" right="0.64" top="0.55000000000000004" bottom="0.54" header="0.42" footer="0.44"/>
  <pageSetup paperSize="9" scale="56" fitToHeight="6" orientation="portrait" horizontalDpi="1200" verticalDpi="1200" r:id="rId1"/>
  <headerFooter alignWithMargins="0"/>
  <rowBreaks count="3" manualBreakCount="3">
    <brk id="73" max="9" man="1"/>
    <brk id="117" max="9" man="1"/>
    <brk id="186" max="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pageSetUpPr fitToPage="1"/>
  </sheetPr>
  <dimension ref="A1:Q121"/>
  <sheetViews>
    <sheetView topLeftCell="A52" zoomScale="85" zoomScaleNormal="85" workbookViewId="0">
      <selection activeCell="M2" sqref="M2"/>
    </sheetView>
  </sheetViews>
  <sheetFormatPr defaultColWidth="9.33203125" defaultRowHeight="15.6"/>
  <cols>
    <col min="1" max="1" width="42.44140625" style="16" customWidth="1"/>
    <col min="2" max="2" width="28.33203125" style="16" customWidth="1"/>
    <col min="3" max="3" width="22.6640625" style="16" customWidth="1"/>
    <col min="4" max="4" width="20.6640625" style="16" customWidth="1"/>
    <col min="5" max="5" width="16.109375" style="16" customWidth="1"/>
    <col min="6" max="6" width="12.88671875" style="16" customWidth="1"/>
    <col min="7" max="7" width="13.33203125" style="16" customWidth="1"/>
    <col min="8" max="8" width="12.6640625" style="478" customWidth="1"/>
    <col min="9" max="9" width="10.5546875" style="197" customWidth="1"/>
    <col min="10" max="12" width="9.33203125" style="197"/>
    <col min="13" max="13" width="15.33203125" style="9" bestFit="1" customWidth="1"/>
    <col min="14" max="14" width="19.33203125" style="1140" customWidth="1"/>
    <col min="15" max="15" width="28.6640625" style="9" customWidth="1"/>
    <col min="16" max="16" width="9.33203125" style="197" customWidth="1"/>
    <col min="17" max="17" width="13.33203125" style="629" customWidth="1"/>
    <col min="18" max="16384" width="9.33203125" style="197"/>
  </cols>
  <sheetData>
    <row r="1" spans="1:17" s="87" customFormat="1" ht="23.4" customHeight="1" thickBot="1">
      <c r="A1" s="1404" t="s">
        <v>926</v>
      </c>
      <c r="B1" s="1404"/>
      <c r="C1" s="1404"/>
      <c r="D1" s="1404"/>
      <c r="E1" s="1404"/>
      <c r="F1" s="1404"/>
      <c r="G1" s="1404"/>
      <c r="H1" s="1404"/>
      <c r="I1" s="1404"/>
      <c r="J1" s="1404"/>
      <c r="K1" s="1404"/>
      <c r="M1" s="1139"/>
      <c r="N1" s="1140"/>
      <c r="O1" s="1139"/>
      <c r="Q1" s="628"/>
    </row>
    <row r="2" spans="1:17" s="87" customFormat="1" ht="38.4" customHeight="1" thickBot="1">
      <c r="A2" s="1389" t="s">
        <v>1354</v>
      </c>
      <c r="B2" s="1390"/>
      <c r="C2" s="1390"/>
      <c r="D2" s="1390"/>
      <c r="E2" s="1391" t="s">
        <v>1353</v>
      </c>
      <c r="F2" s="1391"/>
      <c r="G2" s="1391"/>
      <c r="H2" s="841"/>
      <c r="I2" s="841"/>
      <c r="J2" s="841"/>
      <c r="K2" s="841"/>
      <c r="M2" s="1139"/>
      <c r="N2" s="1140"/>
      <c r="O2" s="1139"/>
      <c r="Q2" s="628"/>
    </row>
    <row r="3" spans="1:17" s="87" customFormat="1" ht="15.6" customHeight="1" thickBot="1">
      <c r="A3" s="1401" t="s">
        <v>578</v>
      </c>
      <c r="B3" s="1402"/>
      <c r="C3" s="1402"/>
      <c r="D3" s="1402"/>
      <c r="E3" s="1402"/>
      <c r="F3" s="1402"/>
      <c r="G3" s="1402"/>
      <c r="H3" s="1402"/>
      <c r="I3" s="1402"/>
      <c r="J3" s="1402"/>
      <c r="K3" s="1403"/>
      <c r="M3" s="1139"/>
      <c r="N3" s="1140"/>
      <c r="O3" s="1139"/>
      <c r="Q3" s="628"/>
    </row>
    <row r="4" spans="1:17" ht="31.5" customHeight="1">
      <c r="A4" s="126" t="s">
        <v>319</v>
      </c>
      <c r="B4" s="127" t="s">
        <v>320</v>
      </c>
      <c r="C4" s="127" t="s">
        <v>588</v>
      </c>
      <c r="D4" s="127" t="s">
        <v>322</v>
      </c>
      <c r="E4" s="198" t="s">
        <v>323</v>
      </c>
      <c r="F4" s="198"/>
      <c r="G4" s="198"/>
      <c r="H4" s="129" t="s">
        <v>551</v>
      </c>
      <c r="I4" s="206" t="s">
        <v>324</v>
      </c>
      <c r="J4" s="199" t="s">
        <v>295</v>
      </c>
      <c r="K4" s="200" t="s">
        <v>325</v>
      </c>
      <c r="M4" s="1139"/>
    </row>
    <row r="5" spans="1:17" ht="52.2">
      <c r="A5" s="593" t="s">
        <v>877</v>
      </c>
      <c r="B5" s="594"/>
      <c r="C5" s="622"/>
      <c r="D5" s="622"/>
      <c r="E5" s="623"/>
      <c r="F5" s="601"/>
      <c r="G5" s="601"/>
      <c r="H5" s="594"/>
      <c r="I5" s="594"/>
      <c r="J5" s="594"/>
      <c r="K5" s="595"/>
      <c r="M5" s="1139"/>
    </row>
    <row r="6" spans="1:17" ht="87">
      <c r="A6" s="593" t="s">
        <v>952</v>
      </c>
      <c r="B6" s="594"/>
      <c r="C6" s="622"/>
      <c r="D6" s="622"/>
      <c r="E6" s="623"/>
      <c r="F6" s="601"/>
      <c r="G6" s="601"/>
      <c r="H6" s="594"/>
      <c r="I6" s="594"/>
      <c r="J6" s="594"/>
      <c r="K6" s="203"/>
      <c r="M6" s="1139"/>
    </row>
    <row r="7" spans="1:17" ht="18" thickBot="1">
      <c r="A7" s="602"/>
      <c r="B7" s="603"/>
      <c r="C7" s="624"/>
      <c r="D7" s="624"/>
      <c r="E7" s="625"/>
      <c r="F7" s="604"/>
      <c r="G7" s="604"/>
      <c r="H7" s="603"/>
      <c r="I7" s="603"/>
      <c r="J7" s="603"/>
      <c r="K7" s="605"/>
      <c r="M7" s="1139"/>
    </row>
    <row r="8" spans="1:17">
      <c r="A8" s="1405" t="s">
        <v>577</v>
      </c>
      <c r="B8" s="1406"/>
      <c r="C8" s="1406"/>
      <c r="D8" s="1406"/>
      <c r="E8" s="1406"/>
      <c r="F8" s="1406"/>
      <c r="G8" s="1406"/>
      <c r="H8" s="1406"/>
      <c r="I8" s="1406"/>
      <c r="J8" s="1406"/>
      <c r="K8" s="1407"/>
      <c r="M8" s="1139"/>
    </row>
    <row r="9" spans="1:17" ht="11.4" customHeight="1" thickBot="1">
      <c r="A9" s="1408"/>
      <c r="B9" s="1409"/>
      <c r="C9" s="1409"/>
      <c r="D9" s="1409"/>
      <c r="E9" s="1409"/>
      <c r="F9" s="1409"/>
      <c r="G9" s="1409"/>
      <c r="H9" s="1409"/>
      <c r="I9" s="1409"/>
      <c r="J9" s="1409"/>
      <c r="K9" s="1410"/>
      <c r="M9" s="1139"/>
    </row>
    <row r="10" spans="1:17" ht="31.2">
      <c r="A10" s="126" t="s">
        <v>884</v>
      </c>
      <c r="B10" s="127" t="s">
        <v>320</v>
      </c>
      <c r="C10" s="57" t="s">
        <v>96</v>
      </c>
      <c r="D10" s="127" t="s">
        <v>322</v>
      </c>
      <c r="E10" s="198" t="s">
        <v>323</v>
      </c>
      <c r="F10" s="57" t="s">
        <v>101</v>
      </c>
      <c r="G10" s="57" t="s">
        <v>102</v>
      </c>
      <c r="H10" s="129" t="s">
        <v>551</v>
      </c>
      <c r="I10" s="206" t="s">
        <v>324</v>
      </c>
      <c r="J10" s="199" t="s">
        <v>295</v>
      </c>
      <c r="K10" s="200" t="s">
        <v>325</v>
      </c>
      <c r="M10" s="1139"/>
    </row>
    <row r="11" spans="1:17" ht="97.95" customHeight="1">
      <c r="A11" s="796" t="s">
        <v>1127</v>
      </c>
      <c r="B11" s="10" t="s">
        <v>1306</v>
      </c>
      <c r="C11" s="771" t="s">
        <v>910</v>
      </c>
      <c r="D11" s="771" t="s">
        <v>908</v>
      </c>
      <c r="E11" s="771" t="s">
        <v>883</v>
      </c>
      <c r="F11" s="771"/>
      <c r="G11" s="771"/>
      <c r="H11" s="242">
        <v>4.53</v>
      </c>
      <c r="I11" s="201" t="s">
        <v>331</v>
      </c>
      <c r="J11" s="202"/>
      <c r="K11" s="203">
        <f>+J11*H11</f>
        <v>0</v>
      </c>
      <c r="L11" s="197" t="s">
        <v>1147</v>
      </c>
      <c r="M11" s="1139"/>
      <c r="P11" s="205"/>
    </row>
    <row r="12" spans="1:17" ht="28.5" customHeight="1">
      <c r="A12" s="1393" t="s">
        <v>1128</v>
      </c>
      <c r="B12" s="10" t="s">
        <v>1129</v>
      </c>
      <c r="C12" s="771" t="s">
        <v>912</v>
      </c>
      <c r="D12" s="771" t="s">
        <v>908</v>
      </c>
      <c r="E12" s="771" t="s">
        <v>883</v>
      </c>
      <c r="F12" s="771"/>
      <c r="G12" s="771"/>
      <c r="H12" s="242">
        <v>10</v>
      </c>
      <c r="I12" s="201" t="s">
        <v>331</v>
      </c>
      <c r="J12" s="202"/>
      <c r="K12" s="203">
        <f>+J12*H12</f>
        <v>0</v>
      </c>
      <c r="L12" s="197" t="s">
        <v>1147</v>
      </c>
      <c r="M12" s="1139"/>
      <c r="P12" s="205"/>
    </row>
    <row r="13" spans="1:17" ht="30" customHeight="1">
      <c r="A13" s="1393"/>
      <c r="B13" s="10" t="s">
        <v>913</v>
      </c>
      <c r="C13" s="771" t="s">
        <v>914</v>
      </c>
      <c r="D13" s="771" t="s">
        <v>908</v>
      </c>
      <c r="E13" s="771" t="s">
        <v>883</v>
      </c>
      <c r="F13" s="771"/>
      <c r="G13" s="771"/>
      <c r="H13" s="242">
        <v>17.399999999999999</v>
      </c>
      <c r="I13" s="201" t="s">
        <v>331</v>
      </c>
      <c r="J13" s="202"/>
      <c r="K13" s="203">
        <f t="shared" ref="K13:K15" si="0">+J13*H13</f>
        <v>0</v>
      </c>
      <c r="L13" s="197" t="s">
        <v>1147</v>
      </c>
      <c r="M13" s="1139"/>
      <c r="P13" s="205"/>
    </row>
    <row r="14" spans="1:17" ht="30" customHeight="1">
      <c r="A14" s="1393"/>
      <c r="B14" s="10" t="s">
        <v>915</v>
      </c>
      <c r="C14" s="771" t="s">
        <v>889</v>
      </c>
      <c r="D14" s="771" t="s">
        <v>908</v>
      </c>
      <c r="E14" s="771" t="s">
        <v>883</v>
      </c>
      <c r="F14" s="771"/>
      <c r="G14" s="771"/>
      <c r="H14" s="242">
        <v>17.399999999999999</v>
      </c>
      <c r="I14" s="201" t="s">
        <v>331</v>
      </c>
      <c r="J14" s="202"/>
      <c r="K14" s="203">
        <f t="shared" si="0"/>
        <v>0</v>
      </c>
      <c r="L14" s="197" t="s">
        <v>1147</v>
      </c>
      <c r="M14" s="1139"/>
      <c r="P14" s="205"/>
    </row>
    <row r="15" spans="1:17" ht="30" customHeight="1">
      <c r="A15" s="1393" t="s">
        <v>973</v>
      </c>
      <c r="B15" s="1394" t="s">
        <v>974</v>
      </c>
      <c r="C15" s="1392" t="s">
        <v>971</v>
      </c>
      <c r="D15" s="1392" t="s">
        <v>900</v>
      </c>
      <c r="E15" s="1392" t="s">
        <v>883</v>
      </c>
      <c r="F15" s="771" t="s">
        <v>930</v>
      </c>
      <c r="G15" s="771" t="s">
        <v>930</v>
      </c>
      <c r="H15" s="242">
        <v>23</v>
      </c>
      <c r="I15" s="201" t="s">
        <v>331</v>
      </c>
      <c r="J15" s="202"/>
      <c r="K15" s="203">
        <f t="shared" si="0"/>
        <v>0</v>
      </c>
      <c r="L15" s="197" t="s">
        <v>1147</v>
      </c>
      <c r="M15" s="1139"/>
      <c r="P15" s="205"/>
    </row>
    <row r="16" spans="1:17" s="9" customFormat="1" ht="44.25" customHeight="1">
      <c r="A16" s="1393"/>
      <c r="B16" s="1394"/>
      <c r="C16" s="1392"/>
      <c r="D16" s="1392"/>
      <c r="E16" s="1392"/>
      <c r="F16" s="771" t="s">
        <v>979</v>
      </c>
      <c r="G16" s="771" t="s">
        <v>979</v>
      </c>
      <c r="H16" s="242">
        <v>7</v>
      </c>
      <c r="I16" s="201" t="s">
        <v>331</v>
      </c>
      <c r="J16" s="202"/>
      <c r="K16" s="203">
        <f>+J16*H16</f>
        <v>0</v>
      </c>
      <c r="L16" s="197" t="s">
        <v>1147</v>
      </c>
      <c r="M16" s="1139"/>
      <c r="N16" s="1140"/>
      <c r="P16" s="205"/>
      <c r="Q16" s="630"/>
    </row>
    <row r="17" spans="1:17" s="9" customFormat="1" ht="44.25" customHeight="1">
      <c r="A17" s="796" t="s">
        <v>1130</v>
      </c>
      <c r="B17" s="10" t="s">
        <v>963</v>
      </c>
      <c r="C17" s="10" t="s">
        <v>889</v>
      </c>
      <c r="D17" s="10" t="s">
        <v>962</v>
      </c>
      <c r="E17" s="10" t="s">
        <v>883</v>
      </c>
      <c r="F17" s="10">
        <v>150</v>
      </c>
      <c r="G17" s="10">
        <v>200</v>
      </c>
      <c r="H17" s="242">
        <v>26</v>
      </c>
      <c r="I17" s="201" t="s">
        <v>331</v>
      </c>
      <c r="J17" s="202"/>
      <c r="K17" s="203">
        <f>+J17*H17</f>
        <v>0</v>
      </c>
      <c r="L17" s="197" t="s">
        <v>1147</v>
      </c>
      <c r="M17" s="1139"/>
      <c r="N17" s="1140"/>
      <c r="P17" s="205"/>
      <c r="Q17" s="630"/>
    </row>
    <row r="18" spans="1:17" ht="44.25" customHeight="1">
      <c r="A18" s="796" t="s">
        <v>1094</v>
      </c>
      <c r="B18" s="10" t="s">
        <v>923</v>
      </c>
      <c r="C18" s="10" t="s">
        <v>922</v>
      </c>
      <c r="D18" s="10" t="s">
        <v>886</v>
      </c>
      <c r="E18" s="10" t="s">
        <v>883</v>
      </c>
      <c r="F18" s="10">
        <v>0</v>
      </c>
      <c r="G18" s="10">
        <v>80</v>
      </c>
      <c r="H18" s="242">
        <v>15.3</v>
      </c>
      <c r="I18" s="201" t="s">
        <v>331</v>
      </c>
      <c r="J18" s="202"/>
      <c r="K18" s="203">
        <f t="shared" ref="K18:K61" si="1">+J18*H18</f>
        <v>0</v>
      </c>
      <c r="L18" s="197" t="s">
        <v>1147</v>
      </c>
      <c r="M18" s="1139"/>
      <c r="P18" s="205"/>
    </row>
    <row r="19" spans="1:17" ht="43.5" customHeight="1">
      <c r="A19" s="796" t="s">
        <v>1131</v>
      </c>
      <c r="B19" s="10" t="s">
        <v>1132</v>
      </c>
      <c r="C19" s="10" t="s">
        <v>922</v>
      </c>
      <c r="D19" s="10" t="s">
        <v>886</v>
      </c>
      <c r="E19" s="10" t="s">
        <v>883</v>
      </c>
      <c r="F19" s="10">
        <v>0</v>
      </c>
      <c r="G19" s="10">
        <v>80</v>
      </c>
      <c r="H19" s="242">
        <v>19.7</v>
      </c>
      <c r="I19" s="201" t="s">
        <v>331</v>
      </c>
      <c r="J19" s="202"/>
      <c r="K19" s="203">
        <f t="shared" si="1"/>
        <v>0</v>
      </c>
      <c r="L19" s="197" t="s">
        <v>1147</v>
      </c>
      <c r="M19" s="1139"/>
      <c r="P19" s="205"/>
    </row>
    <row r="20" spans="1:17" ht="53.25" customHeight="1">
      <c r="A20" s="796" t="s">
        <v>1348</v>
      </c>
      <c r="B20" s="10" t="s">
        <v>1347</v>
      </c>
      <c r="C20" s="10" t="s">
        <v>878</v>
      </c>
      <c r="D20" s="10" t="s">
        <v>879</v>
      </c>
      <c r="E20" s="10" t="s">
        <v>880</v>
      </c>
      <c r="F20" s="10"/>
      <c r="G20" s="10"/>
      <c r="H20" s="242">
        <v>7</v>
      </c>
      <c r="I20" s="201" t="s">
        <v>331</v>
      </c>
      <c r="J20" s="202"/>
      <c r="K20" s="203">
        <f t="shared" si="1"/>
        <v>0</v>
      </c>
      <c r="L20" s="197" t="s">
        <v>1147</v>
      </c>
      <c r="M20" s="1139"/>
      <c r="P20" s="205"/>
    </row>
    <row r="21" spans="1:17" ht="53.25" customHeight="1">
      <c r="A21" s="1393" t="s">
        <v>881</v>
      </c>
      <c r="B21" s="1394" t="s">
        <v>881</v>
      </c>
      <c r="C21" s="1394" t="s">
        <v>955</v>
      </c>
      <c r="D21" s="1394" t="s">
        <v>882</v>
      </c>
      <c r="E21" s="1394" t="s">
        <v>883</v>
      </c>
      <c r="F21" s="10">
        <v>0</v>
      </c>
      <c r="G21" s="10">
        <v>150</v>
      </c>
      <c r="H21" s="242">
        <v>11.2</v>
      </c>
      <c r="I21" s="201" t="s">
        <v>331</v>
      </c>
      <c r="J21" s="202"/>
      <c r="K21" s="203">
        <f t="shared" si="1"/>
        <v>0</v>
      </c>
      <c r="L21" s="197" t="s">
        <v>1147</v>
      </c>
      <c r="M21" s="1139"/>
      <c r="P21" s="205"/>
    </row>
    <row r="22" spans="1:17" ht="27.75" customHeight="1">
      <c r="A22" s="1393"/>
      <c r="B22" s="1394"/>
      <c r="C22" s="1394"/>
      <c r="D22" s="1394"/>
      <c r="E22" s="1394"/>
      <c r="F22" s="10">
        <v>151</v>
      </c>
      <c r="G22" s="10">
        <v>300</v>
      </c>
      <c r="H22" s="242">
        <v>21</v>
      </c>
      <c r="I22" s="201" t="s">
        <v>331</v>
      </c>
      <c r="J22" s="202"/>
      <c r="K22" s="203">
        <f t="shared" si="1"/>
        <v>0</v>
      </c>
      <c r="L22" s="197" t="s">
        <v>1147</v>
      </c>
      <c r="M22" s="1139"/>
      <c r="P22" s="205"/>
    </row>
    <row r="23" spans="1:17" ht="27.75" customHeight="1">
      <c r="A23" s="1393"/>
      <c r="B23" s="1394"/>
      <c r="C23" s="1394"/>
      <c r="D23" s="1394"/>
      <c r="E23" s="1394"/>
      <c r="F23" s="10">
        <v>301</v>
      </c>
      <c r="G23" s="10">
        <v>500</v>
      </c>
      <c r="H23" s="242">
        <v>34</v>
      </c>
      <c r="I23" s="201" t="s">
        <v>331</v>
      </c>
      <c r="J23" s="202"/>
      <c r="K23" s="203">
        <f t="shared" si="1"/>
        <v>0</v>
      </c>
      <c r="L23" s="197" t="s">
        <v>1147</v>
      </c>
      <c r="M23" s="1139"/>
      <c r="P23" s="205"/>
    </row>
    <row r="24" spans="1:17" ht="57.45" customHeight="1">
      <c r="A24" s="796" t="s">
        <v>1217</v>
      </c>
      <c r="B24" s="10" t="s">
        <v>1218</v>
      </c>
      <c r="C24" s="10" t="s">
        <v>1216</v>
      </c>
      <c r="D24" s="10" t="s">
        <v>900</v>
      </c>
      <c r="E24" s="10" t="s">
        <v>883</v>
      </c>
      <c r="F24" s="10">
        <v>8</v>
      </c>
      <c r="G24" s="10">
        <v>100</v>
      </c>
      <c r="H24" s="242">
        <v>22.4</v>
      </c>
      <c r="I24" s="201" t="s">
        <v>331</v>
      </c>
      <c r="J24" s="202"/>
      <c r="K24" s="203">
        <f t="shared" ref="K24:K36" si="2">+J24*H24</f>
        <v>0</v>
      </c>
      <c r="M24" s="1139"/>
      <c r="P24" s="205"/>
    </row>
    <row r="25" spans="1:17" ht="126" customHeight="1">
      <c r="A25" s="943" t="s">
        <v>1349</v>
      </c>
      <c r="B25" s="944" t="s">
        <v>1352</v>
      </c>
      <c r="C25" s="944" t="s">
        <v>1350</v>
      </c>
      <c r="D25" s="944" t="s">
        <v>1215</v>
      </c>
      <c r="E25" s="944" t="s">
        <v>883</v>
      </c>
      <c r="F25" s="944"/>
      <c r="G25" s="944"/>
      <c r="H25" s="940">
        <v>48</v>
      </c>
      <c r="I25" s="201" t="s">
        <v>331</v>
      </c>
      <c r="J25" s="202"/>
      <c r="K25" s="203">
        <f t="shared" si="2"/>
        <v>0</v>
      </c>
      <c r="M25" s="1139"/>
      <c r="P25" s="205"/>
    </row>
    <row r="26" spans="1:17" s="9" customFormat="1" ht="27.75" customHeight="1">
      <c r="A26" s="796" t="s">
        <v>1133</v>
      </c>
      <c r="B26" s="10" t="s">
        <v>885</v>
      </c>
      <c r="C26" s="10" t="s">
        <v>922</v>
      </c>
      <c r="D26" s="10" t="s">
        <v>886</v>
      </c>
      <c r="E26" s="10" t="s">
        <v>883</v>
      </c>
      <c r="F26" s="10">
        <v>0</v>
      </c>
      <c r="G26" s="10">
        <v>80</v>
      </c>
      <c r="H26" s="242">
        <v>12.4</v>
      </c>
      <c r="I26" s="572" t="s">
        <v>331</v>
      </c>
      <c r="J26" s="202"/>
      <c r="K26" s="203">
        <f t="shared" si="2"/>
        <v>0</v>
      </c>
      <c r="L26" s="9" t="s">
        <v>1147</v>
      </c>
      <c r="M26" s="1139"/>
      <c r="N26" s="1140"/>
      <c r="P26" s="205"/>
      <c r="Q26" s="630"/>
    </row>
    <row r="27" spans="1:17" ht="27.75" customHeight="1">
      <c r="A27" s="1417" t="s">
        <v>1133</v>
      </c>
      <c r="B27" s="10" t="s">
        <v>1242</v>
      </c>
      <c r="C27" s="1419" t="s">
        <v>1241</v>
      </c>
      <c r="D27" s="10" t="s">
        <v>886</v>
      </c>
      <c r="E27" s="10" t="s">
        <v>883</v>
      </c>
      <c r="F27" s="10">
        <v>0</v>
      </c>
      <c r="G27" s="10">
        <v>10</v>
      </c>
      <c r="H27" s="242">
        <v>8.1999999999999993</v>
      </c>
      <c r="I27" s="201"/>
      <c r="J27" s="202"/>
      <c r="K27" s="203">
        <f t="shared" si="2"/>
        <v>0</v>
      </c>
      <c r="M27" s="1139"/>
      <c r="P27" s="205"/>
    </row>
    <row r="28" spans="1:17" ht="27.75" customHeight="1">
      <c r="A28" s="1418"/>
      <c r="B28" s="10" t="s">
        <v>1243</v>
      </c>
      <c r="C28" s="1420"/>
      <c r="D28" s="10" t="s">
        <v>886</v>
      </c>
      <c r="E28" s="10" t="s">
        <v>883</v>
      </c>
      <c r="F28" s="10">
        <v>0</v>
      </c>
      <c r="G28" s="10">
        <v>20</v>
      </c>
      <c r="H28" s="242">
        <v>7.7</v>
      </c>
      <c r="I28" s="201"/>
      <c r="J28" s="202"/>
      <c r="K28" s="203">
        <f t="shared" si="2"/>
        <v>0</v>
      </c>
      <c r="M28" s="1139"/>
      <c r="P28" s="205"/>
    </row>
    <row r="29" spans="1:17" ht="27.75" customHeight="1">
      <c r="A29" s="796" t="s">
        <v>972</v>
      </c>
      <c r="B29" s="10" t="s">
        <v>972</v>
      </c>
      <c r="C29" s="10" t="s">
        <v>889</v>
      </c>
      <c r="D29" s="10" t="s">
        <v>1215</v>
      </c>
      <c r="E29" s="10" t="s">
        <v>883</v>
      </c>
      <c r="F29" s="10">
        <v>80</v>
      </c>
      <c r="G29" s="10">
        <v>200</v>
      </c>
      <c r="H29" s="242">
        <v>25</v>
      </c>
      <c r="I29" s="201" t="s">
        <v>331</v>
      </c>
      <c r="J29" s="202"/>
      <c r="K29" s="203">
        <f t="shared" si="2"/>
        <v>0</v>
      </c>
      <c r="L29" s="197" t="s">
        <v>1147</v>
      </c>
      <c r="M29" s="1139"/>
      <c r="P29" s="205"/>
    </row>
    <row r="30" spans="1:17" ht="27">
      <c r="A30" s="796" t="s">
        <v>958</v>
      </c>
      <c r="B30" s="10" t="s">
        <v>958</v>
      </c>
      <c r="C30" s="10" t="s">
        <v>1134</v>
      </c>
      <c r="D30" s="10" t="s">
        <v>900</v>
      </c>
      <c r="E30" s="10" t="s">
        <v>904</v>
      </c>
      <c r="F30" s="10" t="s">
        <v>930</v>
      </c>
      <c r="G30" s="10" t="s">
        <v>931</v>
      </c>
      <c r="H30" s="242">
        <v>8.9</v>
      </c>
      <c r="I30" s="201" t="s">
        <v>331</v>
      </c>
      <c r="J30" s="202"/>
      <c r="K30" s="203">
        <f t="shared" si="2"/>
        <v>0</v>
      </c>
      <c r="L30" s="197" t="s">
        <v>1147</v>
      </c>
      <c r="M30" s="1139"/>
      <c r="P30" s="205"/>
    </row>
    <row r="31" spans="1:17" ht="27.75" customHeight="1">
      <c r="A31" s="796" t="s">
        <v>980</v>
      </c>
      <c r="B31" s="10" t="s">
        <v>964</v>
      </c>
      <c r="C31" s="10" t="s">
        <v>967</v>
      </c>
      <c r="D31" s="10" t="s">
        <v>965</v>
      </c>
      <c r="E31" s="10" t="s">
        <v>883</v>
      </c>
      <c r="F31" s="10">
        <v>0</v>
      </c>
      <c r="G31" s="10">
        <v>30</v>
      </c>
      <c r="H31" s="242">
        <v>38.200000000000003</v>
      </c>
      <c r="I31" s="201" t="s">
        <v>331</v>
      </c>
      <c r="J31" s="202"/>
      <c r="K31" s="203">
        <f t="shared" si="2"/>
        <v>0</v>
      </c>
      <c r="L31" s="197" t="s">
        <v>1147</v>
      </c>
      <c r="M31" s="1139"/>
      <c r="P31" s="205"/>
    </row>
    <row r="32" spans="1:17" ht="27.75" customHeight="1">
      <c r="A32" s="796" t="s">
        <v>966</v>
      </c>
      <c r="B32" s="10" t="s">
        <v>1135</v>
      </c>
      <c r="C32" s="10" t="s">
        <v>889</v>
      </c>
      <c r="D32" s="10" t="s">
        <v>1215</v>
      </c>
      <c r="E32" s="10" t="s">
        <v>883</v>
      </c>
      <c r="F32" s="10"/>
      <c r="G32" s="10"/>
      <c r="H32" s="242">
        <v>8</v>
      </c>
      <c r="I32" s="201" t="s">
        <v>331</v>
      </c>
      <c r="J32" s="202"/>
      <c r="K32" s="203">
        <f t="shared" si="2"/>
        <v>0</v>
      </c>
      <c r="L32" s="197" t="s">
        <v>1147</v>
      </c>
      <c r="M32" s="1139"/>
      <c r="P32" s="205"/>
    </row>
    <row r="33" spans="1:16" ht="27.75" customHeight="1">
      <c r="A33" s="796" t="s">
        <v>968</v>
      </c>
      <c r="B33" s="10" t="s">
        <v>968</v>
      </c>
      <c r="C33" s="10" t="s">
        <v>969</v>
      </c>
      <c r="D33" s="10" t="s">
        <v>965</v>
      </c>
      <c r="E33" s="10" t="s">
        <v>883</v>
      </c>
      <c r="F33" s="10">
        <v>0</v>
      </c>
      <c r="G33" s="10">
        <v>30</v>
      </c>
      <c r="H33" s="242">
        <v>13</v>
      </c>
      <c r="I33" s="201" t="s">
        <v>331</v>
      </c>
      <c r="J33" s="202"/>
      <c r="K33" s="203">
        <f t="shared" si="2"/>
        <v>0</v>
      </c>
      <c r="L33" s="197" t="s">
        <v>1147</v>
      </c>
      <c r="M33" s="1139"/>
      <c r="P33" s="205"/>
    </row>
    <row r="34" spans="1:16" ht="27.75" customHeight="1">
      <c r="A34" s="796" t="s">
        <v>970</v>
      </c>
      <c r="B34" s="10" t="s">
        <v>970</v>
      </c>
      <c r="C34" s="10" t="s">
        <v>971</v>
      </c>
      <c r="D34" s="10" t="s">
        <v>900</v>
      </c>
      <c r="E34" s="10" t="s">
        <v>883</v>
      </c>
      <c r="F34" s="10"/>
      <c r="G34" s="10"/>
      <c r="H34" s="242">
        <v>28</v>
      </c>
      <c r="I34" s="201" t="s">
        <v>331</v>
      </c>
      <c r="J34" s="202"/>
      <c r="K34" s="203">
        <f t="shared" si="2"/>
        <v>0</v>
      </c>
      <c r="L34" s="197" t="s">
        <v>1147</v>
      </c>
      <c r="M34" s="1139"/>
      <c r="P34" s="205"/>
    </row>
    <row r="35" spans="1:16" ht="27.75" customHeight="1">
      <c r="A35" s="796" t="s">
        <v>985</v>
      </c>
      <c r="B35" s="10" t="s">
        <v>984</v>
      </c>
      <c r="C35" s="10" t="s">
        <v>889</v>
      </c>
      <c r="D35" s="10" t="s">
        <v>900</v>
      </c>
      <c r="E35" s="10" t="s">
        <v>904</v>
      </c>
      <c r="F35" s="10"/>
      <c r="G35" s="10"/>
      <c r="H35" s="242">
        <v>28</v>
      </c>
      <c r="I35" s="201" t="s">
        <v>331</v>
      </c>
      <c r="J35" s="202"/>
      <c r="K35" s="203">
        <f t="shared" si="2"/>
        <v>0</v>
      </c>
      <c r="L35" s="197" t="s">
        <v>1147</v>
      </c>
      <c r="M35" s="1139"/>
      <c r="P35" s="205"/>
    </row>
    <row r="36" spans="1:16" ht="113.25" customHeight="1">
      <c r="A36" s="796" t="s">
        <v>1136</v>
      </c>
      <c r="B36" s="10" t="s">
        <v>1137</v>
      </c>
      <c r="C36" s="10" t="s">
        <v>924</v>
      </c>
      <c r="D36" s="10" t="s">
        <v>900</v>
      </c>
      <c r="E36" s="10" t="s">
        <v>925</v>
      </c>
      <c r="F36" s="10"/>
      <c r="G36" s="10"/>
      <c r="H36" s="242">
        <v>10</v>
      </c>
      <c r="I36" s="201" t="s">
        <v>331</v>
      </c>
      <c r="J36" s="202"/>
      <c r="K36" s="203">
        <f t="shared" si="2"/>
        <v>0</v>
      </c>
      <c r="L36" s="197" t="s">
        <v>1147</v>
      </c>
      <c r="M36" s="1139"/>
      <c r="P36" s="205"/>
    </row>
    <row r="37" spans="1:16" ht="54" customHeight="1">
      <c r="A37" s="796" t="s">
        <v>1307</v>
      </c>
      <c r="B37" s="10" t="s">
        <v>1138</v>
      </c>
      <c r="C37" s="10" t="s">
        <v>924</v>
      </c>
      <c r="D37" s="10" t="s">
        <v>901</v>
      </c>
      <c r="E37" s="10" t="s">
        <v>897</v>
      </c>
      <c r="F37" s="10"/>
      <c r="G37" s="10"/>
      <c r="H37" s="242">
        <v>10</v>
      </c>
      <c r="I37" s="201" t="s">
        <v>331</v>
      </c>
      <c r="J37" s="202"/>
      <c r="K37" s="203">
        <f t="shared" si="1"/>
        <v>0</v>
      </c>
      <c r="L37" s="197" t="s">
        <v>1147</v>
      </c>
      <c r="M37" s="1139"/>
      <c r="P37" s="205"/>
    </row>
    <row r="38" spans="1:16" ht="27.75" customHeight="1">
      <c r="A38" s="796" t="s">
        <v>887</v>
      </c>
      <c r="B38" s="10" t="s">
        <v>888</v>
      </c>
      <c r="C38" s="10" t="s">
        <v>909</v>
      </c>
      <c r="D38" s="10" t="s">
        <v>890</v>
      </c>
      <c r="E38" s="10" t="s">
        <v>883</v>
      </c>
      <c r="F38" s="10"/>
      <c r="G38" s="10"/>
      <c r="H38" s="242">
        <v>7.14</v>
      </c>
      <c r="I38" s="201" t="s">
        <v>331</v>
      </c>
      <c r="J38" s="202"/>
      <c r="K38" s="203">
        <f t="shared" si="1"/>
        <v>0</v>
      </c>
      <c r="L38" s="197" t="s">
        <v>1147</v>
      </c>
      <c r="M38" s="1139"/>
      <c r="P38" s="205"/>
    </row>
    <row r="39" spans="1:16" ht="52.5" customHeight="1">
      <c r="A39" s="796" t="s">
        <v>891</v>
      </c>
      <c r="B39" s="10" t="s">
        <v>892</v>
      </c>
      <c r="C39" s="10" t="s">
        <v>889</v>
      </c>
      <c r="D39" s="10" t="s">
        <v>890</v>
      </c>
      <c r="E39" s="10" t="s">
        <v>883</v>
      </c>
      <c r="F39" s="10"/>
      <c r="G39" s="10"/>
      <c r="H39" s="242">
        <v>19.11</v>
      </c>
      <c r="I39" s="201" t="s">
        <v>331</v>
      </c>
      <c r="J39" s="202"/>
      <c r="K39" s="203">
        <f t="shared" si="1"/>
        <v>0</v>
      </c>
      <c r="L39" s="197" t="s">
        <v>1147</v>
      </c>
      <c r="M39" s="1139"/>
      <c r="P39" s="205"/>
    </row>
    <row r="40" spans="1:16" ht="40.5" customHeight="1">
      <c r="A40" s="796" t="s">
        <v>893</v>
      </c>
      <c r="B40" s="10" t="s">
        <v>894</v>
      </c>
      <c r="C40" s="10" t="s">
        <v>889</v>
      </c>
      <c r="D40" s="10" t="s">
        <v>895</v>
      </c>
      <c r="E40" s="10" t="s">
        <v>954</v>
      </c>
      <c r="F40" s="10"/>
      <c r="G40" s="10"/>
      <c r="H40" s="242">
        <v>16</v>
      </c>
      <c r="I40" s="201" t="s">
        <v>331</v>
      </c>
      <c r="J40" s="202"/>
      <c r="K40" s="203">
        <f t="shared" si="1"/>
        <v>0</v>
      </c>
      <c r="L40" s="197" t="s">
        <v>1147</v>
      </c>
      <c r="M40" s="1139"/>
      <c r="P40" s="205"/>
    </row>
    <row r="41" spans="1:16" ht="40.5" customHeight="1">
      <c r="A41" s="796" t="s">
        <v>960</v>
      </c>
      <c r="B41" s="10" t="s">
        <v>961</v>
      </c>
      <c r="C41" s="10" t="s">
        <v>1139</v>
      </c>
      <c r="D41" s="10" t="s">
        <v>896</v>
      </c>
      <c r="E41" s="10" t="s">
        <v>897</v>
      </c>
      <c r="F41" s="10"/>
      <c r="G41" s="10"/>
      <c r="H41" s="242">
        <v>7.04</v>
      </c>
      <c r="I41" s="201" t="s">
        <v>331</v>
      </c>
      <c r="J41" s="202"/>
      <c r="K41" s="203">
        <f t="shared" si="1"/>
        <v>0</v>
      </c>
      <c r="L41" s="197" t="s">
        <v>1147</v>
      </c>
      <c r="M41" s="1139"/>
      <c r="P41" s="205"/>
    </row>
    <row r="42" spans="1:16" ht="40.5" customHeight="1">
      <c r="A42" s="796" t="s">
        <v>898</v>
      </c>
      <c r="B42" s="10" t="s">
        <v>899</v>
      </c>
      <c r="C42" s="10" t="s">
        <v>889</v>
      </c>
      <c r="D42" s="10" t="s">
        <v>900</v>
      </c>
      <c r="E42" s="10" t="s">
        <v>897</v>
      </c>
      <c r="F42" s="10"/>
      <c r="G42" s="10"/>
      <c r="H42" s="242">
        <v>8.9</v>
      </c>
      <c r="I42" s="201" t="s">
        <v>331</v>
      </c>
      <c r="J42" s="202"/>
      <c r="K42" s="203">
        <f t="shared" si="1"/>
        <v>0</v>
      </c>
      <c r="L42" s="197" t="s">
        <v>1147</v>
      </c>
      <c r="M42" s="1139"/>
      <c r="P42" s="205"/>
    </row>
    <row r="43" spans="1:16" ht="40.5" customHeight="1">
      <c r="A43" s="796" t="s">
        <v>959</v>
      </c>
      <c r="B43" s="10" t="s">
        <v>959</v>
      </c>
      <c r="C43" s="10" t="s">
        <v>956</v>
      </c>
      <c r="D43" s="10" t="s">
        <v>900</v>
      </c>
      <c r="E43" s="10" t="s">
        <v>904</v>
      </c>
      <c r="F43" s="10" t="s">
        <v>930</v>
      </c>
      <c r="G43" s="10" t="s">
        <v>931</v>
      </c>
      <c r="H43" s="242">
        <v>10.4</v>
      </c>
      <c r="I43" s="201" t="s">
        <v>331</v>
      </c>
      <c r="J43" s="202"/>
      <c r="K43" s="203">
        <f t="shared" si="1"/>
        <v>0</v>
      </c>
      <c r="L43" s="197" t="s">
        <v>1147</v>
      </c>
      <c r="M43" s="1139"/>
      <c r="P43" s="205"/>
    </row>
    <row r="44" spans="1:16" ht="40.200000000000003">
      <c r="A44" s="796" t="s">
        <v>928</v>
      </c>
      <c r="B44" s="10" t="s">
        <v>928</v>
      </c>
      <c r="C44" s="10" t="s">
        <v>929</v>
      </c>
      <c r="D44" s="10" t="s">
        <v>900</v>
      </c>
      <c r="E44" s="10" t="s">
        <v>904</v>
      </c>
      <c r="F44" s="10"/>
      <c r="G44" s="10"/>
      <c r="H44" s="242">
        <v>32</v>
      </c>
      <c r="I44" s="201" t="s">
        <v>331</v>
      </c>
      <c r="J44" s="202"/>
      <c r="K44" s="203">
        <f t="shared" si="1"/>
        <v>0</v>
      </c>
      <c r="L44" s="197" t="s">
        <v>1147</v>
      </c>
      <c r="M44" s="1139"/>
      <c r="P44" s="205"/>
    </row>
    <row r="45" spans="1:16" ht="40.5" customHeight="1">
      <c r="A45" s="796" t="s">
        <v>981</v>
      </c>
      <c r="B45" s="10" t="s">
        <v>975</v>
      </c>
      <c r="C45" s="10" t="s">
        <v>924</v>
      </c>
      <c r="D45" s="10" t="s">
        <v>900</v>
      </c>
      <c r="E45" s="10" t="s">
        <v>883</v>
      </c>
      <c r="F45" s="10"/>
      <c r="G45" s="10"/>
      <c r="H45" s="242">
        <v>9</v>
      </c>
      <c r="I45" s="201" t="s">
        <v>331</v>
      </c>
      <c r="J45" s="202"/>
      <c r="K45" s="203">
        <f t="shared" si="1"/>
        <v>0</v>
      </c>
      <c r="L45" s="197" t="s">
        <v>1147</v>
      </c>
      <c r="M45" s="1139"/>
      <c r="P45" s="205"/>
    </row>
    <row r="46" spans="1:16" ht="40.200000000000003">
      <c r="A46" s="796" t="s">
        <v>976</v>
      </c>
      <c r="B46" s="10" t="s">
        <v>982</v>
      </c>
      <c r="C46" s="10" t="s">
        <v>977</v>
      </c>
      <c r="D46" s="10" t="s">
        <v>965</v>
      </c>
      <c r="E46" s="10" t="s">
        <v>883</v>
      </c>
      <c r="F46" s="10"/>
      <c r="G46" s="10"/>
      <c r="H46" s="242">
        <v>41</v>
      </c>
      <c r="I46" s="201" t="s">
        <v>331</v>
      </c>
      <c r="J46" s="202"/>
      <c r="K46" s="203">
        <f t="shared" si="1"/>
        <v>0</v>
      </c>
      <c r="L46" s="197" t="s">
        <v>1147</v>
      </c>
      <c r="M46" s="1139"/>
      <c r="P46" s="205"/>
    </row>
    <row r="47" spans="1:16" ht="27">
      <c r="A47" s="796" t="s">
        <v>978</v>
      </c>
      <c r="B47" s="10" t="s">
        <v>983</v>
      </c>
      <c r="C47" s="10" t="s">
        <v>977</v>
      </c>
      <c r="D47" s="10" t="s">
        <v>965</v>
      </c>
      <c r="E47" s="10" t="s">
        <v>883</v>
      </c>
      <c r="F47" s="10"/>
      <c r="G47" s="10"/>
      <c r="H47" s="242">
        <v>87</v>
      </c>
      <c r="I47" s="201" t="s">
        <v>331</v>
      </c>
      <c r="J47" s="202"/>
      <c r="K47" s="203">
        <f t="shared" si="1"/>
        <v>0</v>
      </c>
      <c r="L47" s="197" t="s">
        <v>1147</v>
      </c>
      <c r="M47" s="1139"/>
      <c r="P47" s="205"/>
    </row>
    <row r="48" spans="1:16" ht="40.200000000000003">
      <c r="A48" s="796" t="s">
        <v>1140</v>
      </c>
      <c r="B48" s="10" t="s">
        <v>902</v>
      </c>
      <c r="C48" s="10" t="s">
        <v>957</v>
      </c>
      <c r="D48" s="10" t="s">
        <v>903</v>
      </c>
      <c r="E48" s="10" t="s">
        <v>904</v>
      </c>
      <c r="F48" s="10"/>
      <c r="G48" s="10"/>
      <c r="H48" s="242">
        <v>7</v>
      </c>
      <c r="I48" s="201" t="s">
        <v>331</v>
      </c>
      <c r="J48" s="202"/>
      <c r="K48" s="203">
        <f t="shared" si="1"/>
        <v>0</v>
      </c>
      <c r="L48" s="197" t="s">
        <v>1147</v>
      </c>
      <c r="M48" s="1139"/>
      <c r="P48" s="205"/>
    </row>
    <row r="49" spans="1:16" ht="66.599999999999994">
      <c r="A49" s="1393" t="s">
        <v>1141</v>
      </c>
      <c r="B49" s="10" t="s">
        <v>927</v>
      </c>
      <c r="C49" s="10" t="s">
        <v>1305</v>
      </c>
      <c r="D49" s="10" t="s">
        <v>903</v>
      </c>
      <c r="E49" s="10" t="s">
        <v>904</v>
      </c>
      <c r="F49" s="10"/>
      <c r="G49" s="10"/>
      <c r="H49" s="242">
        <v>15</v>
      </c>
      <c r="I49" s="201" t="s">
        <v>331</v>
      </c>
      <c r="J49" s="202"/>
      <c r="K49" s="203">
        <f t="shared" si="1"/>
        <v>0</v>
      </c>
      <c r="L49" s="197" t="s">
        <v>1147</v>
      </c>
      <c r="M49" s="1139"/>
      <c r="P49" s="205"/>
    </row>
    <row r="50" spans="1:16" ht="53.4">
      <c r="A50" s="1393"/>
      <c r="B50" s="10" t="s">
        <v>1142</v>
      </c>
      <c r="C50" s="10" t="s">
        <v>1143</v>
      </c>
      <c r="D50" s="10" t="s">
        <v>903</v>
      </c>
      <c r="E50" s="10" t="s">
        <v>904</v>
      </c>
      <c r="F50" s="10"/>
      <c r="G50" s="10"/>
      <c r="H50" s="242">
        <v>15</v>
      </c>
      <c r="I50" s="201" t="s">
        <v>331</v>
      </c>
      <c r="J50" s="202"/>
      <c r="K50" s="203">
        <f t="shared" si="1"/>
        <v>0</v>
      </c>
      <c r="L50" s="197" t="s">
        <v>1147</v>
      </c>
      <c r="M50" s="1139"/>
      <c r="P50" s="205"/>
    </row>
    <row r="51" spans="1:16" ht="53.4">
      <c r="A51" s="1393"/>
      <c r="B51" s="10" t="s">
        <v>1144</v>
      </c>
      <c r="C51" s="10" t="s">
        <v>1145</v>
      </c>
      <c r="D51" s="10" t="s">
        <v>903</v>
      </c>
      <c r="E51" s="10" t="s">
        <v>904</v>
      </c>
      <c r="F51" s="10"/>
      <c r="G51" s="10"/>
      <c r="H51" s="242">
        <v>15</v>
      </c>
      <c r="I51" s="201" t="s">
        <v>331</v>
      </c>
      <c r="J51" s="202"/>
      <c r="K51" s="203">
        <f t="shared" si="1"/>
        <v>0</v>
      </c>
      <c r="L51" s="197" t="s">
        <v>1147</v>
      </c>
      <c r="M51" s="1139"/>
      <c r="P51" s="205"/>
    </row>
    <row r="52" spans="1:16" ht="84.75" customHeight="1">
      <c r="A52" s="621" t="s">
        <v>907</v>
      </c>
      <c r="B52" s="10" t="s">
        <v>906</v>
      </c>
      <c r="C52" s="10" t="s">
        <v>905</v>
      </c>
      <c r="D52" s="10" t="s">
        <v>903</v>
      </c>
      <c r="E52" s="10" t="s">
        <v>904</v>
      </c>
      <c r="F52" s="10"/>
      <c r="G52" s="10"/>
      <c r="H52" s="242">
        <v>44.44</v>
      </c>
      <c r="I52" s="201" t="s">
        <v>331</v>
      </c>
      <c r="J52" s="202"/>
      <c r="K52" s="203">
        <f t="shared" si="1"/>
        <v>0</v>
      </c>
      <c r="L52" s="197" t="s">
        <v>1147</v>
      </c>
      <c r="M52" s="1139"/>
      <c r="P52" s="205"/>
    </row>
    <row r="53" spans="1:16" ht="66.599999999999994">
      <c r="A53" s="1421" t="s">
        <v>1351</v>
      </c>
      <c r="B53" s="853" t="s">
        <v>1380</v>
      </c>
      <c r="C53" s="853" t="s">
        <v>1371</v>
      </c>
      <c r="D53" s="944" t="s">
        <v>1375</v>
      </c>
      <c r="E53" s="944" t="s">
        <v>1376</v>
      </c>
      <c r="F53" s="944"/>
      <c r="G53" s="944"/>
      <c r="H53" s="940">
        <v>47</v>
      </c>
      <c r="I53" s="201" t="s">
        <v>331</v>
      </c>
      <c r="J53" s="202"/>
      <c r="K53" s="203">
        <f t="shared" si="1"/>
        <v>0</v>
      </c>
      <c r="M53" s="1139"/>
      <c r="N53" s="634"/>
      <c r="P53" s="205"/>
    </row>
    <row r="54" spans="1:16" ht="79.8">
      <c r="A54" s="1422"/>
      <c r="B54" s="853" t="s">
        <v>1377</v>
      </c>
      <c r="C54" s="853" t="s">
        <v>1370</v>
      </c>
      <c r="D54" s="944" t="s">
        <v>1379</v>
      </c>
      <c r="E54" s="944" t="s">
        <v>1378</v>
      </c>
      <c r="F54" s="944"/>
      <c r="G54" s="944"/>
      <c r="H54" s="940">
        <v>13</v>
      </c>
      <c r="I54" s="201" t="s">
        <v>331</v>
      </c>
      <c r="J54" s="202"/>
      <c r="K54" s="203">
        <f t="shared" si="1"/>
        <v>0</v>
      </c>
      <c r="M54" s="1139"/>
      <c r="N54" s="634"/>
      <c r="P54" s="205"/>
    </row>
    <row r="55" spans="1:16" ht="82.5" customHeight="1">
      <c r="A55" s="1414" t="s">
        <v>911</v>
      </c>
      <c r="B55" s="797" t="s">
        <v>1122</v>
      </c>
      <c r="C55" s="798" t="s">
        <v>988</v>
      </c>
      <c r="D55" s="799" t="s">
        <v>989</v>
      </c>
      <c r="E55" s="799" t="s">
        <v>990</v>
      </c>
      <c r="F55" s="800"/>
      <c r="G55" s="800"/>
      <c r="H55" s="242">
        <v>18.75</v>
      </c>
      <c r="I55" s="201" t="s">
        <v>331</v>
      </c>
      <c r="J55" s="202"/>
      <c r="K55" s="203">
        <f t="shared" si="1"/>
        <v>0</v>
      </c>
      <c r="L55" s="197" t="s">
        <v>1147</v>
      </c>
      <c r="M55" s="1139"/>
      <c r="P55" s="205"/>
    </row>
    <row r="56" spans="1:16" ht="100.5" customHeight="1">
      <c r="A56" s="1415"/>
      <c r="B56" s="801" t="s">
        <v>1123</v>
      </c>
      <c r="C56" s="802" t="s">
        <v>988</v>
      </c>
      <c r="D56" s="799" t="s">
        <v>989</v>
      </c>
      <c r="E56" s="799" t="s">
        <v>990</v>
      </c>
      <c r="F56" s="800"/>
      <c r="G56" s="800"/>
      <c r="H56" s="242">
        <v>37.5</v>
      </c>
      <c r="I56" s="201" t="s">
        <v>331</v>
      </c>
      <c r="J56" s="202"/>
      <c r="K56" s="203">
        <f t="shared" si="1"/>
        <v>0</v>
      </c>
      <c r="L56" s="197" t="s">
        <v>1147</v>
      </c>
      <c r="M56" s="1139"/>
      <c r="P56" s="205"/>
    </row>
    <row r="57" spans="1:16" ht="123" customHeight="1">
      <c r="A57" s="1415"/>
      <c r="B57" s="10" t="s">
        <v>1124</v>
      </c>
      <c r="C57" s="10" t="s">
        <v>1125</v>
      </c>
      <c r="D57" s="460" t="s">
        <v>989</v>
      </c>
      <c r="E57" s="460" t="s">
        <v>990</v>
      </c>
      <c r="F57" s="10"/>
      <c r="G57" s="10"/>
      <c r="H57" s="242">
        <v>102</v>
      </c>
      <c r="I57" s="201" t="s">
        <v>331</v>
      </c>
      <c r="J57" s="202"/>
      <c r="K57" s="203">
        <f t="shared" si="1"/>
        <v>0</v>
      </c>
      <c r="L57" s="197" t="s">
        <v>1147</v>
      </c>
      <c r="M57" s="1139"/>
      <c r="P57" s="205"/>
    </row>
    <row r="58" spans="1:16" ht="120.75" customHeight="1">
      <c r="A58" s="1415"/>
      <c r="B58" s="10" t="s">
        <v>1126</v>
      </c>
      <c r="C58" s="10" t="s">
        <v>1125</v>
      </c>
      <c r="D58" s="460" t="s">
        <v>989</v>
      </c>
      <c r="E58" s="460" t="s">
        <v>990</v>
      </c>
      <c r="F58" s="10"/>
      <c r="G58" s="10"/>
      <c r="H58" s="242">
        <v>127</v>
      </c>
      <c r="I58" s="201" t="s">
        <v>331</v>
      </c>
      <c r="J58" s="202"/>
      <c r="K58" s="203">
        <f t="shared" si="1"/>
        <v>0</v>
      </c>
      <c r="L58" s="197" t="s">
        <v>1147</v>
      </c>
      <c r="M58" s="1139"/>
      <c r="P58" s="205"/>
    </row>
    <row r="59" spans="1:16" ht="49.5" customHeight="1">
      <c r="A59" s="1416"/>
      <c r="B59" s="476" t="s">
        <v>1043</v>
      </c>
      <c r="C59" s="706" t="s">
        <v>1040</v>
      </c>
      <c r="D59" s="460" t="s">
        <v>1041</v>
      </c>
      <c r="E59" s="460" t="s">
        <v>1042</v>
      </c>
      <c r="F59" s="321"/>
      <c r="G59" s="321"/>
      <c r="H59" s="242">
        <v>45</v>
      </c>
      <c r="I59" s="201" t="s">
        <v>331</v>
      </c>
      <c r="J59" s="202"/>
      <c r="K59" s="203">
        <f t="shared" si="1"/>
        <v>0</v>
      </c>
      <c r="L59" s="197" t="s">
        <v>1147</v>
      </c>
      <c r="M59" s="1139"/>
      <c r="P59" s="205"/>
    </row>
    <row r="60" spans="1:16" ht="54.75" customHeight="1">
      <c r="A60" s="1395" t="s">
        <v>1059</v>
      </c>
      <c r="B60" s="698" t="s">
        <v>1060</v>
      </c>
      <c r="C60" s="480" t="s">
        <v>889</v>
      </c>
      <c r="D60" s="597" t="s">
        <v>908</v>
      </c>
      <c r="E60" s="598" t="s">
        <v>1054</v>
      </c>
      <c r="F60" s="321"/>
      <c r="G60" s="321"/>
      <c r="H60" s="242">
        <v>32</v>
      </c>
      <c r="I60" s="201" t="s">
        <v>331</v>
      </c>
      <c r="J60" s="202"/>
      <c r="K60" s="203">
        <f t="shared" si="1"/>
        <v>0</v>
      </c>
      <c r="L60" s="197" t="s">
        <v>1147</v>
      </c>
      <c r="M60" s="1139"/>
      <c r="P60" s="205"/>
    </row>
    <row r="61" spans="1:16" ht="47.25" customHeight="1">
      <c r="A61" s="1396"/>
      <c r="B61" s="706" t="s">
        <v>1061</v>
      </c>
      <c r="C61" s="713" t="s">
        <v>1053</v>
      </c>
      <c r="D61" s="463" t="s">
        <v>1068</v>
      </c>
      <c r="E61" s="598" t="s">
        <v>1069</v>
      </c>
      <c r="F61" s="321"/>
      <c r="G61" s="321"/>
      <c r="H61" s="242">
        <v>4.3</v>
      </c>
      <c r="I61" s="201" t="s">
        <v>331</v>
      </c>
      <c r="J61" s="202"/>
      <c r="K61" s="203">
        <f t="shared" si="1"/>
        <v>0</v>
      </c>
      <c r="L61" s="197" t="s">
        <v>1147</v>
      </c>
      <c r="M61" s="1139"/>
      <c r="P61" s="205"/>
    </row>
    <row r="62" spans="1:16" ht="47.25" customHeight="1">
      <c r="A62" s="825" t="s">
        <v>1251</v>
      </c>
      <c r="B62" s="822"/>
      <c r="C62" s="823"/>
      <c r="D62" s="471"/>
      <c r="E62" s="598"/>
      <c r="F62" s="816"/>
      <c r="G62" s="816"/>
      <c r="H62" s="599"/>
      <c r="I62" s="820"/>
      <c r="J62" s="824"/>
      <c r="K62" s="605"/>
      <c r="M62" s="1139"/>
      <c r="P62" s="205"/>
    </row>
    <row r="63" spans="1:16" ht="47.25" customHeight="1">
      <c r="A63" s="796" t="s">
        <v>1252</v>
      </c>
      <c r="B63" s="10" t="s">
        <v>1253</v>
      </c>
      <c r="C63" s="10" t="s">
        <v>910</v>
      </c>
      <c r="D63" s="10" t="s">
        <v>908</v>
      </c>
      <c r="E63" s="10" t="s">
        <v>883</v>
      </c>
      <c r="F63" s="10"/>
      <c r="G63" s="10"/>
      <c r="H63" s="242">
        <v>27.5</v>
      </c>
      <c r="I63" s="796" t="s">
        <v>1254</v>
      </c>
      <c r="J63" s="824"/>
      <c r="K63" s="605"/>
      <c r="M63" s="1139"/>
      <c r="P63" s="205"/>
    </row>
    <row r="64" spans="1:16" ht="47.25" customHeight="1">
      <c r="A64" s="796" t="s">
        <v>1255</v>
      </c>
      <c r="B64" s="10" t="s">
        <v>1256</v>
      </c>
      <c r="C64" s="10" t="s">
        <v>910</v>
      </c>
      <c r="D64" s="10" t="s">
        <v>908</v>
      </c>
      <c r="E64" s="10" t="s">
        <v>1257</v>
      </c>
      <c r="F64" s="10"/>
      <c r="G64" s="10"/>
      <c r="H64" s="242">
        <v>53</v>
      </c>
      <c r="I64" s="796" t="s">
        <v>1258</v>
      </c>
      <c r="J64" s="824"/>
      <c r="K64" s="605"/>
      <c r="M64" s="1139"/>
      <c r="P64" s="205"/>
    </row>
    <row r="65" spans="1:16" ht="47.25" customHeight="1">
      <c r="A65" s="796" t="s">
        <v>1259</v>
      </c>
      <c r="B65" s="10" t="s">
        <v>1260</v>
      </c>
      <c r="C65" s="10" t="s">
        <v>1261</v>
      </c>
      <c r="D65" s="10" t="s">
        <v>908</v>
      </c>
      <c r="E65" s="10" t="s">
        <v>1262</v>
      </c>
      <c r="F65" s="10"/>
      <c r="G65" s="10"/>
      <c r="H65" s="242">
        <v>12</v>
      </c>
      <c r="I65" s="796" t="s">
        <v>1258</v>
      </c>
      <c r="J65" s="824"/>
      <c r="K65" s="605"/>
      <c r="M65" s="1139"/>
      <c r="P65" s="205"/>
    </row>
    <row r="66" spans="1:16" ht="47.25" customHeight="1">
      <c r="A66" s="796" t="s">
        <v>1263</v>
      </c>
      <c r="B66" s="10" t="s">
        <v>1264</v>
      </c>
      <c r="C66" s="10" t="s">
        <v>910</v>
      </c>
      <c r="D66" s="10" t="s">
        <v>908</v>
      </c>
      <c r="E66" s="10" t="s">
        <v>1257</v>
      </c>
      <c r="F66" s="10"/>
      <c r="G66" s="10"/>
      <c r="H66" s="242">
        <v>40</v>
      </c>
      <c r="I66" s="796" t="s">
        <v>1265</v>
      </c>
      <c r="J66" s="824"/>
      <c r="K66" s="605"/>
      <c r="M66" s="1139"/>
      <c r="P66" s="205"/>
    </row>
    <row r="67" spans="1:16" ht="47.25" customHeight="1">
      <c r="A67" s="796" t="s">
        <v>1266</v>
      </c>
      <c r="B67" s="10" t="s">
        <v>1267</v>
      </c>
      <c r="C67" s="10" t="s">
        <v>910</v>
      </c>
      <c r="D67" s="10" t="s">
        <v>908</v>
      </c>
      <c r="E67" s="10" t="s">
        <v>1268</v>
      </c>
      <c r="F67" s="10"/>
      <c r="G67" s="10"/>
      <c r="H67" s="242">
        <v>8.5</v>
      </c>
      <c r="I67" s="796" t="s">
        <v>1269</v>
      </c>
      <c r="J67" s="824"/>
      <c r="K67" s="605"/>
      <c r="M67" s="1139"/>
      <c r="P67" s="205"/>
    </row>
    <row r="68" spans="1:16" ht="47.25" customHeight="1">
      <c r="A68" s="796" t="s">
        <v>1270</v>
      </c>
      <c r="B68" s="10" t="s">
        <v>1271</v>
      </c>
      <c r="C68" s="10" t="s">
        <v>910</v>
      </c>
      <c r="D68" s="10" t="s">
        <v>908</v>
      </c>
      <c r="E68" s="10" t="s">
        <v>1257</v>
      </c>
      <c r="F68" s="10"/>
      <c r="G68" s="10"/>
      <c r="H68" s="242">
        <v>51.5</v>
      </c>
      <c r="I68" s="796" t="s">
        <v>1269</v>
      </c>
      <c r="J68" s="824"/>
      <c r="K68" s="605"/>
      <c r="M68" s="1139"/>
      <c r="P68" s="205"/>
    </row>
    <row r="69" spans="1:16" ht="47.25" customHeight="1">
      <c r="A69" s="796" t="s">
        <v>1272</v>
      </c>
      <c r="B69" s="10" t="s">
        <v>1273</v>
      </c>
      <c r="C69" s="10" t="s">
        <v>1274</v>
      </c>
      <c r="D69" s="10" t="s">
        <v>908</v>
      </c>
      <c r="E69" s="10" t="s">
        <v>1257</v>
      </c>
      <c r="F69" s="10"/>
      <c r="G69" s="10"/>
      <c r="H69" s="242">
        <v>32</v>
      </c>
      <c r="I69" s="796" t="s">
        <v>1265</v>
      </c>
      <c r="J69" s="824"/>
      <c r="K69" s="605"/>
      <c r="M69" s="1139"/>
      <c r="P69" s="205"/>
    </row>
    <row r="70" spans="1:16" ht="47.25" customHeight="1">
      <c r="A70" s="796" t="s">
        <v>1275</v>
      </c>
      <c r="B70" s="10" t="s">
        <v>1276</v>
      </c>
      <c r="C70" s="10" t="s">
        <v>910</v>
      </c>
      <c r="D70" s="10" t="s">
        <v>908</v>
      </c>
      <c r="E70" s="10" t="s">
        <v>1257</v>
      </c>
      <c r="F70" s="10"/>
      <c r="G70" s="10"/>
      <c r="H70" s="242">
        <f>24.5/3</f>
        <v>8.1666666666666661</v>
      </c>
      <c r="I70" s="796" t="s">
        <v>1303</v>
      </c>
      <c r="J70" s="824"/>
      <c r="K70" s="605"/>
      <c r="M70" s="1139"/>
      <c r="P70" s="205"/>
    </row>
    <row r="71" spans="1:16" ht="47.25" customHeight="1">
      <c r="A71" s="796" t="s">
        <v>1277</v>
      </c>
      <c r="B71" s="10" t="s">
        <v>1278</v>
      </c>
      <c r="C71" s="10" t="s">
        <v>1279</v>
      </c>
      <c r="D71" s="10" t="s">
        <v>908</v>
      </c>
      <c r="E71" s="10" t="s">
        <v>1280</v>
      </c>
      <c r="F71" s="10"/>
      <c r="G71" s="10"/>
      <c r="H71" s="242">
        <v>20</v>
      </c>
      <c r="I71" s="796" t="s">
        <v>1281</v>
      </c>
      <c r="J71" s="824"/>
      <c r="K71" s="605"/>
      <c r="M71" s="1139"/>
      <c r="P71" s="205"/>
    </row>
    <row r="72" spans="1:16" ht="47.25" customHeight="1">
      <c r="A72" s="796" t="s">
        <v>1282</v>
      </c>
      <c r="B72" s="10" t="s">
        <v>1283</v>
      </c>
      <c r="C72" s="10" t="s">
        <v>797</v>
      </c>
      <c r="D72" s="10"/>
      <c r="E72" s="10"/>
      <c r="F72" s="10"/>
      <c r="G72" s="10"/>
      <c r="H72" s="242">
        <v>3</v>
      </c>
      <c r="I72" s="796" t="s">
        <v>1284</v>
      </c>
      <c r="J72" s="824"/>
      <c r="K72" s="605"/>
      <c r="M72" s="1139"/>
      <c r="P72" s="205"/>
    </row>
    <row r="73" spans="1:16" ht="47.25" customHeight="1">
      <c r="A73" s="796" t="s">
        <v>1285</v>
      </c>
      <c r="B73" s="10" t="s">
        <v>1286</v>
      </c>
      <c r="C73" s="10" t="s">
        <v>1287</v>
      </c>
      <c r="D73" s="10" t="s">
        <v>1288</v>
      </c>
      <c r="E73" s="10" t="s">
        <v>1289</v>
      </c>
      <c r="F73" s="10"/>
      <c r="G73" s="10"/>
      <c r="H73" s="242">
        <v>63</v>
      </c>
      <c r="I73" s="796" t="s">
        <v>331</v>
      </c>
      <c r="J73" s="824"/>
      <c r="K73" s="605"/>
      <c r="M73" s="1139"/>
      <c r="P73" s="205"/>
    </row>
    <row r="74" spans="1:16" ht="47.25" customHeight="1">
      <c r="A74" s="796" t="s">
        <v>911</v>
      </c>
      <c r="B74" s="10" t="s">
        <v>1290</v>
      </c>
      <c r="C74" s="10" t="s">
        <v>1291</v>
      </c>
      <c r="D74" s="10" t="s">
        <v>1292</v>
      </c>
      <c r="E74" s="10" t="s">
        <v>1042</v>
      </c>
      <c r="F74" s="10"/>
      <c r="G74" s="10"/>
      <c r="H74" s="242">
        <v>73.27</v>
      </c>
      <c r="I74" s="796" t="s">
        <v>331</v>
      </c>
      <c r="J74" s="824"/>
      <c r="K74" s="605"/>
      <c r="M74" s="1139"/>
      <c r="P74" s="205"/>
    </row>
    <row r="75" spans="1:16" ht="47.25" customHeight="1">
      <c r="A75" s="796" t="s">
        <v>1293</v>
      </c>
      <c r="B75" s="10" t="s">
        <v>1294</v>
      </c>
      <c r="C75" s="10" t="s">
        <v>910</v>
      </c>
      <c r="D75" s="10" t="s">
        <v>908</v>
      </c>
      <c r="E75" s="10" t="s">
        <v>1295</v>
      </c>
      <c r="F75" s="10"/>
      <c r="G75" s="10"/>
      <c r="H75" s="242">
        <v>10.5</v>
      </c>
      <c r="I75" s="796" t="s">
        <v>331</v>
      </c>
      <c r="J75" s="824"/>
      <c r="K75" s="605"/>
      <c r="M75" s="1139"/>
      <c r="P75" s="205"/>
    </row>
    <row r="76" spans="1:16" ht="47.25" customHeight="1">
      <c r="A76" s="796" t="s">
        <v>141</v>
      </c>
      <c r="B76" s="10" t="s">
        <v>455</v>
      </c>
      <c r="C76" s="10" t="s">
        <v>1296</v>
      </c>
      <c r="D76" s="10"/>
      <c r="E76" s="10"/>
      <c r="F76" s="10"/>
      <c r="G76" s="10"/>
      <c r="H76" s="242">
        <v>9.89</v>
      </c>
      <c r="I76" s="796"/>
      <c r="J76" s="824"/>
      <c r="K76" s="605"/>
      <c r="M76" s="1139"/>
      <c r="P76" s="205"/>
    </row>
    <row r="77" spans="1:16" ht="47.25" customHeight="1" thickBot="1">
      <c r="A77" s="796" t="s">
        <v>1297</v>
      </c>
      <c r="B77" s="10" t="s">
        <v>1298</v>
      </c>
      <c r="C77" s="10" t="s">
        <v>1299</v>
      </c>
      <c r="D77" s="10"/>
      <c r="E77" s="10"/>
      <c r="F77" s="10"/>
      <c r="G77" s="10"/>
      <c r="H77" s="242">
        <v>37</v>
      </c>
      <c r="I77" s="796"/>
      <c r="J77" s="824"/>
      <c r="K77" s="605"/>
      <c r="M77" s="1139"/>
      <c r="P77" s="205"/>
    </row>
    <row r="78" spans="1:16">
      <c r="A78" s="1405" t="s">
        <v>549</v>
      </c>
      <c r="B78" s="1406"/>
      <c r="C78" s="1406"/>
      <c r="D78" s="1406"/>
      <c r="E78" s="1406"/>
      <c r="F78" s="1406"/>
      <c r="G78" s="1406"/>
      <c r="H78" s="1406"/>
      <c r="I78" s="1406"/>
      <c r="J78" s="1406"/>
      <c r="K78" s="1407"/>
      <c r="M78" s="1139"/>
      <c r="P78" s="205"/>
    </row>
    <row r="79" spans="1:16" ht="16.2" thickBot="1">
      <c r="A79" s="1411"/>
      <c r="B79" s="1412"/>
      <c r="C79" s="1412"/>
      <c r="D79" s="1412"/>
      <c r="E79" s="1412"/>
      <c r="F79" s="1412"/>
      <c r="G79" s="1412"/>
      <c r="H79" s="1412"/>
      <c r="I79" s="1412"/>
      <c r="J79" s="1412"/>
      <c r="K79" s="1413"/>
      <c r="M79" s="1139"/>
      <c r="P79" s="205"/>
    </row>
    <row r="80" spans="1:16" ht="78.75" customHeight="1">
      <c r="A80" s="619" t="s">
        <v>951</v>
      </c>
      <c r="B80" s="1398" t="s">
        <v>953</v>
      </c>
      <c r="C80" s="1399"/>
      <c r="D80" s="1399"/>
      <c r="E80" s="1399"/>
      <c r="F80" s="1399"/>
      <c r="G80" s="1399"/>
      <c r="H80" s="1399"/>
      <c r="I80" s="1399"/>
      <c r="J80" s="1399"/>
      <c r="K80" s="1400"/>
      <c r="M80" s="1139"/>
      <c r="P80" s="205"/>
    </row>
    <row r="81" spans="1:17" ht="25.5" customHeight="1">
      <c r="A81" s="618" t="s">
        <v>319</v>
      </c>
      <c r="B81" s="611" t="s">
        <v>916</v>
      </c>
      <c r="C81" s="610" t="s">
        <v>588</v>
      </c>
      <c r="D81" s="610" t="s">
        <v>322</v>
      </c>
      <c r="E81" s="611" t="s">
        <v>323</v>
      </c>
      <c r="F81" s="611"/>
      <c r="G81" s="611"/>
      <c r="H81" s="612" t="s">
        <v>551</v>
      </c>
      <c r="I81" s="613" t="s">
        <v>324</v>
      </c>
      <c r="J81" s="614" t="s">
        <v>295</v>
      </c>
      <c r="K81" s="615" t="s">
        <v>325</v>
      </c>
      <c r="M81" s="1139"/>
      <c r="P81" s="205"/>
    </row>
    <row r="82" spans="1:17" ht="45.75" customHeight="1">
      <c r="A82" s="477" t="s">
        <v>919</v>
      </c>
      <c r="B82" s="596" t="s">
        <v>920</v>
      </c>
      <c r="C82" s="207" t="s">
        <v>917</v>
      </c>
      <c r="D82" s="207" t="s">
        <v>900</v>
      </c>
      <c r="E82" s="207" t="s">
        <v>918</v>
      </c>
      <c r="F82" s="99"/>
      <c r="G82" s="99"/>
      <c r="H82" s="242">
        <v>5.68</v>
      </c>
      <c r="I82" s="201" t="s">
        <v>331</v>
      </c>
      <c r="J82" s="202"/>
      <c r="K82" s="203">
        <f>+J82*H82</f>
        <v>0</v>
      </c>
      <c r="L82" s="772" t="s">
        <v>1147</v>
      </c>
      <c r="M82" s="1139"/>
      <c r="P82" s="205"/>
    </row>
    <row r="83" spans="1:17" ht="52.5" customHeight="1">
      <c r="A83" s="621" t="s">
        <v>939</v>
      </c>
      <c r="B83" s="596" t="s">
        <v>996</v>
      </c>
      <c r="C83" s="207" t="s">
        <v>921</v>
      </c>
      <c r="D83" s="207" t="s">
        <v>940</v>
      </c>
      <c r="E83" s="207" t="s">
        <v>941</v>
      </c>
      <c r="F83" s="99"/>
      <c r="G83" s="99"/>
      <c r="H83" s="242">
        <v>15.24</v>
      </c>
      <c r="I83" s="201" t="s">
        <v>331</v>
      </c>
      <c r="J83" s="202"/>
      <c r="K83" s="203">
        <f>+J83*H83</f>
        <v>0</v>
      </c>
      <c r="L83" s="772" t="s">
        <v>1147</v>
      </c>
      <c r="M83" s="1139"/>
      <c r="P83" s="205"/>
      <c r="Q83" s="631"/>
    </row>
    <row r="84" spans="1:17" ht="52.5" customHeight="1">
      <c r="A84" s="936" t="s">
        <v>1405</v>
      </c>
      <c r="B84" s="937"/>
      <c r="C84" s="938"/>
      <c r="D84" s="938"/>
      <c r="E84" s="938"/>
      <c r="F84" s="939"/>
      <c r="G84" s="939"/>
      <c r="H84" s="940"/>
      <c r="I84" s="201"/>
      <c r="J84" s="202"/>
      <c r="K84" s="203"/>
      <c r="L84" s="772"/>
      <c r="M84" s="1139"/>
      <c r="Q84" s="631"/>
    </row>
    <row r="85" spans="1:17" ht="41.25" customHeight="1">
      <c r="A85" s="803" t="s">
        <v>932</v>
      </c>
      <c r="B85" s="804" t="s">
        <v>1121</v>
      </c>
      <c r="C85" s="460" t="s">
        <v>924</v>
      </c>
      <c r="D85" s="460" t="s">
        <v>933</v>
      </c>
      <c r="E85" s="207" t="s">
        <v>934</v>
      </c>
      <c r="F85" s="99"/>
      <c r="G85" s="99"/>
      <c r="H85" s="242">
        <v>8</v>
      </c>
      <c r="I85" s="201" t="s">
        <v>331</v>
      </c>
      <c r="J85" s="202"/>
      <c r="K85" s="203">
        <f>+J85*H85</f>
        <v>0</v>
      </c>
      <c r="L85" s="772" t="s">
        <v>1147</v>
      </c>
      <c r="M85" s="1139"/>
      <c r="P85" s="205"/>
    </row>
    <row r="86" spans="1:17" ht="41.25" customHeight="1">
      <c r="A86" s="941" t="s">
        <v>1404</v>
      </c>
      <c r="B86" s="942"/>
      <c r="C86" s="938"/>
      <c r="D86" s="938"/>
      <c r="E86" s="938"/>
      <c r="F86" s="939"/>
      <c r="G86" s="939"/>
      <c r="H86" s="940"/>
      <c r="I86" s="201" t="s">
        <v>331</v>
      </c>
      <c r="J86" s="202"/>
      <c r="K86" s="203"/>
      <c r="L86" s="772"/>
      <c r="M86" s="1139"/>
    </row>
    <row r="87" spans="1:17" ht="41.25" customHeight="1">
      <c r="A87" s="803"/>
      <c r="B87" s="804"/>
      <c r="C87" s="460"/>
      <c r="D87" s="460"/>
      <c r="E87" s="207"/>
      <c r="F87" s="99"/>
      <c r="G87" s="99"/>
      <c r="H87" s="242"/>
      <c r="I87" s="201"/>
      <c r="J87" s="202"/>
      <c r="K87" s="203"/>
      <c r="L87" s="772"/>
      <c r="M87" s="1139"/>
    </row>
    <row r="88" spans="1:17" ht="60" customHeight="1">
      <c r="A88" s="842" t="s">
        <v>942</v>
      </c>
      <c r="B88" s="476" t="s">
        <v>943</v>
      </c>
      <c r="C88" s="460" t="s">
        <v>889</v>
      </c>
      <c r="D88" s="460" t="s">
        <v>945</v>
      </c>
      <c r="E88" s="207" t="s">
        <v>946</v>
      </c>
      <c r="F88" s="99"/>
      <c r="G88" s="99"/>
      <c r="H88" s="242">
        <v>79.13</v>
      </c>
      <c r="I88" s="201" t="s">
        <v>944</v>
      </c>
      <c r="J88" s="202"/>
      <c r="K88" s="203">
        <f>+J88*H88</f>
        <v>0</v>
      </c>
      <c r="L88" s="772" t="s">
        <v>1147</v>
      </c>
      <c r="M88" s="1139"/>
      <c r="P88" s="205"/>
    </row>
    <row r="89" spans="1:17" ht="44.25" customHeight="1">
      <c r="A89" s="842" t="s">
        <v>947</v>
      </c>
      <c r="B89" s="476" t="s">
        <v>948</v>
      </c>
      <c r="C89" s="460" t="s">
        <v>889</v>
      </c>
      <c r="D89" s="460" t="s">
        <v>949</v>
      </c>
      <c r="E89" s="207" t="s">
        <v>950</v>
      </c>
      <c r="F89" s="99"/>
      <c r="G89" s="99"/>
      <c r="H89" s="242">
        <v>76</v>
      </c>
      <c r="I89" s="201" t="s">
        <v>944</v>
      </c>
      <c r="J89" s="202"/>
      <c r="K89" s="203">
        <f>+J89*H89</f>
        <v>0</v>
      </c>
      <c r="L89" s="772" t="s">
        <v>1147</v>
      </c>
      <c r="M89" s="1139"/>
      <c r="P89" s="205"/>
    </row>
    <row r="90" spans="1:17" ht="42" customHeight="1">
      <c r="A90" s="621" t="s">
        <v>992</v>
      </c>
      <c r="B90" s="460" t="s">
        <v>993</v>
      </c>
      <c r="C90" s="460" t="s">
        <v>889</v>
      </c>
      <c r="D90" s="321" t="s">
        <v>994</v>
      </c>
      <c r="E90" s="99" t="s">
        <v>995</v>
      </c>
      <c r="F90" s="99"/>
      <c r="G90" s="99"/>
      <c r="H90" s="242">
        <v>17</v>
      </c>
      <c r="I90" s="201" t="s">
        <v>331</v>
      </c>
      <c r="J90" s="202"/>
      <c r="K90" s="203">
        <f>+J90*H90</f>
        <v>0</v>
      </c>
      <c r="L90" s="772" t="s">
        <v>1147</v>
      </c>
      <c r="M90" s="1139"/>
      <c r="P90" s="205"/>
    </row>
    <row r="91" spans="1:17" ht="27.75" customHeight="1">
      <c r="A91" s="621" t="s">
        <v>986</v>
      </c>
      <c r="B91" s="805" t="s">
        <v>987</v>
      </c>
      <c r="C91" s="600" t="s">
        <v>889</v>
      </c>
      <c r="D91" s="460" t="s">
        <v>900</v>
      </c>
      <c r="E91" s="481" t="s">
        <v>883</v>
      </c>
      <c r="F91" s="207"/>
      <c r="G91" s="207"/>
      <c r="H91" s="242">
        <v>0.15</v>
      </c>
      <c r="I91" s="201" t="s">
        <v>380</v>
      </c>
      <c r="J91" s="202"/>
      <c r="K91" s="203">
        <f>+J91*H91</f>
        <v>0</v>
      </c>
      <c r="L91" s="772" t="s">
        <v>1147</v>
      </c>
      <c r="M91" s="1139"/>
      <c r="P91" s="205"/>
    </row>
    <row r="92" spans="1:17" ht="42" customHeight="1">
      <c r="A92" s="621" t="s">
        <v>416</v>
      </c>
      <c r="B92" s="805" t="s">
        <v>991</v>
      </c>
      <c r="C92" s="600" t="s">
        <v>889</v>
      </c>
      <c r="D92" s="460" t="s">
        <v>900</v>
      </c>
      <c r="E92" s="481" t="s">
        <v>883</v>
      </c>
      <c r="F92" s="99"/>
      <c r="G92" s="99"/>
      <c r="H92" s="242">
        <v>0.26</v>
      </c>
      <c r="I92" s="201" t="s">
        <v>380</v>
      </c>
      <c r="J92" s="202"/>
      <c r="K92" s="203">
        <f>+J92*H92</f>
        <v>0</v>
      </c>
      <c r="L92" s="772" t="s">
        <v>1147</v>
      </c>
      <c r="M92" s="1139"/>
      <c r="P92" s="205"/>
    </row>
    <row r="93" spans="1:17" ht="42" customHeight="1">
      <c r="A93" s="945" t="s">
        <v>1403</v>
      </c>
      <c r="B93" s="946"/>
      <c r="C93" s="947"/>
      <c r="D93" s="948"/>
      <c r="E93" s="947"/>
      <c r="F93" s="939"/>
      <c r="G93" s="939"/>
      <c r="H93" s="940"/>
      <c r="I93" s="572" t="s">
        <v>331</v>
      </c>
      <c r="J93" s="202"/>
      <c r="K93" s="203"/>
      <c r="L93" s="772"/>
      <c r="M93" s="1139"/>
      <c r="P93" s="205"/>
    </row>
    <row r="94" spans="1:17" ht="39" customHeight="1">
      <c r="A94" s="817" t="s">
        <v>936</v>
      </c>
      <c r="B94" s="821" t="s">
        <v>935</v>
      </c>
      <c r="C94" s="545" t="s">
        <v>889</v>
      </c>
      <c r="D94" s="545" t="s">
        <v>937</v>
      </c>
      <c r="E94" s="413" t="s">
        <v>938</v>
      </c>
      <c r="F94" s="99"/>
      <c r="G94" s="99"/>
      <c r="H94" s="242">
        <v>4</v>
      </c>
      <c r="I94" s="572" t="s">
        <v>331</v>
      </c>
      <c r="J94" s="202"/>
      <c r="K94" s="203">
        <f t="shared" ref="K94:K99" si="3">+J94*H94</f>
        <v>0</v>
      </c>
      <c r="L94" s="772" t="s">
        <v>1147</v>
      </c>
      <c r="M94" s="1139"/>
      <c r="P94" s="205"/>
    </row>
    <row r="95" spans="1:17" ht="39" customHeight="1">
      <c r="A95" s="1397" t="s">
        <v>1250</v>
      </c>
      <c r="B95" s="463" t="s">
        <v>1181</v>
      </c>
      <c r="C95" s="463" t="s">
        <v>1182</v>
      </c>
      <c r="D95" s="463" t="s">
        <v>1183</v>
      </c>
      <c r="E95" s="463" t="s">
        <v>1184</v>
      </c>
      <c r="F95" s="99"/>
      <c r="G95" s="99"/>
      <c r="H95" s="242">
        <v>5</v>
      </c>
      <c r="I95" s="143" t="s">
        <v>331</v>
      </c>
      <c r="J95" s="202"/>
      <c r="K95" s="203">
        <f t="shared" si="3"/>
        <v>0</v>
      </c>
      <c r="L95" s="772"/>
      <c r="M95" s="1139"/>
      <c r="P95" s="205"/>
    </row>
    <row r="96" spans="1:17" ht="39" customHeight="1">
      <c r="A96" s="1293"/>
      <c r="B96" s="463" t="s">
        <v>1185</v>
      </c>
      <c r="C96" s="463" t="s">
        <v>469</v>
      </c>
      <c r="D96" s="463" t="s">
        <v>1186</v>
      </c>
      <c r="E96" s="463" t="s">
        <v>1187</v>
      </c>
      <c r="F96" s="99"/>
      <c r="G96" s="99"/>
      <c r="H96" s="242">
        <v>0.5</v>
      </c>
      <c r="I96" s="143" t="s">
        <v>331</v>
      </c>
      <c r="J96" s="202"/>
      <c r="K96" s="203">
        <f t="shared" si="3"/>
        <v>0</v>
      </c>
      <c r="L96" s="772"/>
      <c r="M96" s="1139"/>
      <c r="P96" s="205"/>
    </row>
    <row r="97" spans="1:16" ht="73.2" customHeight="1">
      <c r="A97" s="1293"/>
      <c r="B97" s="463" t="s">
        <v>1188</v>
      </c>
      <c r="C97" s="463" t="s">
        <v>1214</v>
      </c>
      <c r="D97" s="463" t="s">
        <v>1189</v>
      </c>
      <c r="E97" s="463" t="s">
        <v>1190</v>
      </c>
      <c r="F97" s="99"/>
      <c r="G97" s="99"/>
      <c r="H97" s="242">
        <v>0.5</v>
      </c>
      <c r="I97" s="143" t="s">
        <v>331</v>
      </c>
      <c r="J97" s="202"/>
      <c r="K97" s="203">
        <f t="shared" si="3"/>
        <v>0</v>
      </c>
      <c r="L97" s="772"/>
      <c r="M97" s="1139"/>
      <c r="P97" s="205"/>
    </row>
    <row r="98" spans="1:16" ht="102" customHeight="1">
      <c r="A98" s="1293"/>
      <c r="B98" s="463" t="s">
        <v>784</v>
      </c>
      <c r="C98" s="463" t="s">
        <v>1213</v>
      </c>
      <c r="D98" s="463" t="s">
        <v>785</v>
      </c>
      <c r="E98" s="463" t="s">
        <v>786</v>
      </c>
      <c r="F98" s="99"/>
      <c r="G98" s="99"/>
      <c r="H98" s="242">
        <v>8</v>
      </c>
      <c r="I98" s="572" t="s">
        <v>331</v>
      </c>
      <c r="J98" s="202"/>
      <c r="K98" s="203">
        <f t="shared" si="3"/>
        <v>0</v>
      </c>
      <c r="L98" s="772"/>
      <c r="M98" s="1139"/>
      <c r="P98" s="205"/>
    </row>
    <row r="99" spans="1:16" ht="79.5" customHeight="1">
      <c r="A99" s="1293"/>
      <c r="B99" s="463" t="s">
        <v>1212</v>
      </c>
      <c r="C99" s="463" t="s">
        <v>1213</v>
      </c>
      <c r="D99" s="463" t="s">
        <v>786</v>
      </c>
      <c r="E99" s="463" t="s">
        <v>787</v>
      </c>
      <c r="F99" s="99"/>
      <c r="G99" s="99"/>
      <c r="H99" s="242">
        <v>8</v>
      </c>
      <c r="I99" s="572" t="s">
        <v>331</v>
      </c>
      <c r="J99" s="202"/>
      <c r="K99" s="203">
        <f t="shared" si="3"/>
        <v>0</v>
      </c>
      <c r="L99" s="772"/>
      <c r="M99" s="1139"/>
      <c r="P99" s="205"/>
    </row>
    <row r="100" spans="1:16" ht="45.45" customHeight="1">
      <c r="A100" s="1387" t="s">
        <v>1388</v>
      </c>
      <c r="B100" s="926" t="s">
        <v>1400</v>
      </c>
      <c r="C100" s="926" t="s">
        <v>1389</v>
      </c>
      <c r="D100" s="926" t="s">
        <v>505</v>
      </c>
      <c r="E100" s="926" t="s">
        <v>1390</v>
      </c>
      <c r="F100" s="819"/>
      <c r="G100" s="819"/>
      <c r="H100" s="965">
        <v>20</v>
      </c>
      <c r="I100" s="143" t="s">
        <v>1399</v>
      </c>
      <c r="J100" s="202"/>
      <c r="K100" s="203"/>
      <c r="L100" s="772"/>
      <c r="M100" s="1139"/>
      <c r="P100" s="205"/>
    </row>
    <row r="101" spans="1:16" ht="31.5" customHeight="1">
      <c r="A101" s="1388"/>
      <c r="B101" s="926" t="s">
        <v>1401</v>
      </c>
      <c r="C101" s="926" t="s">
        <v>1391</v>
      </c>
      <c r="D101" s="926" t="s">
        <v>505</v>
      </c>
      <c r="E101" s="926" t="s">
        <v>1390</v>
      </c>
      <c r="F101" s="819"/>
      <c r="G101" s="819"/>
      <c r="H101" s="965">
        <v>33</v>
      </c>
      <c r="I101" s="143" t="s">
        <v>1399</v>
      </c>
      <c r="J101" s="202"/>
      <c r="K101" s="203"/>
      <c r="L101" s="772"/>
      <c r="M101" s="1139"/>
      <c r="P101" s="205"/>
    </row>
    <row r="102" spans="1:16" ht="49.5" customHeight="1">
      <c r="A102" s="1388"/>
      <c r="B102" s="926" t="s">
        <v>1392</v>
      </c>
      <c r="C102" s="926" t="s">
        <v>1393</v>
      </c>
      <c r="D102" s="926" t="s">
        <v>1186</v>
      </c>
      <c r="E102" s="926" t="s">
        <v>1187</v>
      </c>
      <c r="F102" s="819"/>
      <c r="G102" s="819"/>
      <c r="H102" s="965">
        <v>0.5</v>
      </c>
      <c r="I102" s="143" t="s">
        <v>331</v>
      </c>
      <c r="J102" s="202"/>
      <c r="K102" s="203"/>
      <c r="L102" s="772" t="s">
        <v>1402</v>
      </c>
      <c r="M102" s="1139"/>
      <c r="P102" s="205"/>
    </row>
    <row r="103" spans="1:16" ht="43.95" customHeight="1">
      <c r="A103" s="1388"/>
      <c r="B103" s="926" t="s">
        <v>1394</v>
      </c>
      <c r="C103" s="926" t="s">
        <v>1395</v>
      </c>
      <c r="D103" s="926" t="s">
        <v>1186</v>
      </c>
      <c r="E103" s="926" t="s">
        <v>1187</v>
      </c>
      <c r="F103" s="819"/>
      <c r="G103" s="819"/>
      <c r="H103" s="965">
        <v>5</v>
      </c>
      <c r="I103" s="143" t="s">
        <v>331</v>
      </c>
      <c r="J103" s="202"/>
      <c r="K103" s="203"/>
      <c r="L103" s="772"/>
      <c r="M103" s="1139"/>
      <c r="P103" s="205"/>
    </row>
    <row r="104" spans="1:16" ht="34.950000000000003" customHeight="1">
      <c r="A104" s="1388"/>
      <c r="B104" s="926" t="s">
        <v>1396</v>
      </c>
      <c r="C104" s="926" t="s">
        <v>1397</v>
      </c>
      <c r="D104" s="926" t="s">
        <v>1186</v>
      </c>
      <c r="E104" s="926" t="s">
        <v>1398</v>
      </c>
      <c r="F104" s="819"/>
      <c r="G104" s="819"/>
      <c r="H104" s="965">
        <v>5</v>
      </c>
      <c r="I104" s="143" t="s">
        <v>331</v>
      </c>
      <c r="J104" s="202"/>
      <c r="K104" s="203"/>
      <c r="L104" s="772"/>
      <c r="M104" s="1139"/>
      <c r="P104" s="205"/>
    </row>
    <row r="105" spans="1:16" ht="27" customHeight="1">
      <c r="A105" s="818" t="s">
        <v>1007</v>
      </c>
      <c r="B105" s="805" t="s">
        <v>1007</v>
      </c>
      <c r="C105" s="600" t="s">
        <v>889</v>
      </c>
      <c r="D105" s="600" t="s">
        <v>1008</v>
      </c>
      <c r="E105" s="481" t="s">
        <v>1009</v>
      </c>
      <c r="F105" s="819"/>
      <c r="G105" s="819"/>
      <c r="H105" s="242">
        <v>4</v>
      </c>
      <c r="I105" s="837" t="s">
        <v>331</v>
      </c>
      <c r="J105" s="202"/>
      <c r="K105" s="203">
        <f>+J105*H105</f>
        <v>0</v>
      </c>
      <c r="L105" s="772" t="s">
        <v>1147</v>
      </c>
      <c r="M105" s="1139"/>
      <c r="P105" s="205"/>
    </row>
    <row r="106" spans="1:16" ht="27" customHeight="1">
      <c r="A106" s="936" t="s">
        <v>1406</v>
      </c>
      <c r="B106" s="476"/>
      <c r="C106" s="460"/>
      <c r="D106" s="460"/>
      <c r="E106" s="207"/>
      <c r="F106" s="99"/>
      <c r="G106" s="99"/>
      <c r="H106" s="242"/>
      <c r="I106" s="201"/>
      <c r="J106" s="202"/>
      <c r="K106" s="203"/>
      <c r="M106" s="1139"/>
      <c r="P106" s="205"/>
    </row>
    <row r="107" spans="1:16" ht="27" customHeight="1">
      <c r="A107" s="477"/>
      <c r="B107" s="596"/>
      <c r="C107" s="207"/>
      <c r="D107" s="207"/>
      <c r="E107" s="207"/>
      <c r="F107" s="99"/>
      <c r="G107" s="99"/>
      <c r="H107" s="242"/>
      <c r="I107" s="201"/>
      <c r="J107" s="202"/>
      <c r="K107" s="203"/>
      <c r="M107" s="1139"/>
      <c r="P107" s="205"/>
    </row>
    <row r="108" spans="1:16" ht="27" customHeight="1">
      <c r="A108" s="477"/>
      <c r="B108" s="207"/>
      <c r="C108" s="207"/>
      <c r="D108" s="99"/>
      <c r="E108" s="99"/>
      <c r="F108" s="99"/>
      <c r="G108" s="99"/>
      <c r="H108" s="242"/>
      <c r="I108" s="201"/>
      <c r="J108" s="202"/>
      <c r="K108" s="203">
        <f>+J108*H108</f>
        <v>0</v>
      </c>
      <c r="M108" s="1139"/>
      <c r="P108" s="205"/>
    </row>
    <row r="109" spans="1:16" ht="31.5" customHeight="1" thickBot="1">
      <c r="A109" s="477"/>
      <c r="B109" s="207"/>
      <c r="C109" s="207"/>
      <c r="D109" s="99"/>
      <c r="E109" s="99"/>
      <c r="F109" s="100"/>
      <c r="G109" s="100"/>
      <c r="H109" s="243"/>
      <c r="I109" s="616"/>
      <c r="J109" s="617"/>
      <c r="K109" s="203">
        <f>+J109*H109</f>
        <v>0</v>
      </c>
      <c r="M109" s="1139"/>
      <c r="P109" s="205"/>
    </row>
    <row r="110" spans="1:16" ht="16.2" thickBot="1">
      <c r="A110" s="195"/>
      <c r="B110" s="196"/>
      <c r="C110" s="626"/>
      <c r="D110" s="626"/>
      <c r="E110" s="627"/>
      <c r="F110" s="606"/>
      <c r="G110" s="606"/>
      <c r="H110" s="96" t="s">
        <v>1022</v>
      </c>
      <c r="K110" s="204">
        <f>SUM(K11:K61)</f>
        <v>0</v>
      </c>
      <c r="P110" s="205"/>
    </row>
    <row r="111" spans="1:16">
      <c r="A111" s="197"/>
      <c r="B111" s="197"/>
      <c r="C111" s="620"/>
      <c r="D111" s="620"/>
      <c r="E111" s="620"/>
      <c r="F111" s="197"/>
      <c r="G111" s="197"/>
      <c r="H111" s="96" t="s">
        <v>1023</v>
      </c>
      <c r="K111" s="204">
        <f>SUM(K82:K109)</f>
        <v>0</v>
      </c>
      <c r="P111" s="205"/>
    </row>
    <row r="112" spans="1:16">
      <c r="A112" s="197"/>
      <c r="B112" s="197"/>
      <c r="C112" s="620"/>
      <c r="D112" s="620"/>
      <c r="E112" s="620"/>
      <c r="F112" s="197"/>
      <c r="G112" s="197"/>
      <c r="H112" s="205"/>
      <c r="P112" s="205"/>
    </row>
    <row r="113" spans="1:16">
      <c r="A113" s="197"/>
      <c r="B113" s="197"/>
      <c r="C113" s="620"/>
      <c r="D113" s="620"/>
      <c r="E113" s="620"/>
      <c r="F113" s="197"/>
      <c r="G113" s="197"/>
      <c r="H113" s="205"/>
      <c r="P113" s="205"/>
    </row>
    <row r="114" spans="1:16">
      <c r="A114" s="197"/>
      <c r="B114" s="197"/>
      <c r="C114" s="620"/>
      <c r="D114" s="620"/>
      <c r="E114" s="620"/>
      <c r="F114" s="197"/>
      <c r="G114" s="197"/>
      <c r="H114" s="205"/>
    </row>
    <row r="115" spans="1:16">
      <c r="A115" s="197"/>
      <c r="B115" s="197"/>
      <c r="C115" s="620"/>
      <c r="D115" s="620"/>
      <c r="E115" s="620"/>
      <c r="F115" s="197"/>
      <c r="G115" s="197"/>
      <c r="H115" s="205"/>
    </row>
    <row r="116" spans="1:16">
      <c r="A116" s="197"/>
      <c r="B116" s="197"/>
      <c r="C116" s="620"/>
      <c r="D116" s="620"/>
      <c r="E116" s="620"/>
      <c r="F116" s="197"/>
      <c r="G116" s="197"/>
      <c r="H116" s="205"/>
    </row>
    <row r="117" spans="1:16">
      <c r="A117" s="197"/>
      <c r="B117" s="197"/>
      <c r="C117" s="620"/>
      <c r="D117" s="620"/>
      <c r="E117" s="620"/>
      <c r="F117" s="197"/>
      <c r="G117" s="197"/>
      <c r="H117" s="205"/>
    </row>
    <row r="118" spans="1:16">
      <c r="A118" s="197"/>
      <c r="B118" s="197"/>
      <c r="C118" s="620"/>
      <c r="D118" s="620"/>
      <c r="E118" s="620"/>
      <c r="F118" s="197"/>
      <c r="G118" s="197"/>
      <c r="H118" s="205"/>
    </row>
    <row r="119" spans="1:16">
      <c r="A119" s="197"/>
      <c r="B119" s="197"/>
      <c r="C119" s="620"/>
      <c r="D119" s="620"/>
      <c r="E119" s="620"/>
      <c r="F119" s="197"/>
      <c r="G119" s="197"/>
      <c r="H119" s="205"/>
    </row>
    <row r="120" spans="1:16">
      <c r="A120" s="197"/>
      <c r="B120" s="197"/>
      <c r="C120" s="620"/>
      <c r="D120" s="620"/>
      <c r="E120" s="620"/>
      <c r="F120" s="197"/>
      <c r="G120" s="197"/>
      <c r="H120" s="205"/>
    </row>
    <row r="121" spans="1:16">
      <c r="A121" s="197"/>
      <c r="B121" s="197"/>
      <c r="C121" s="620"/>
      <c r="D121" s="620"/>
      <c r="E121" s="620"/>
      <c r="F121" s="197"/>
      <c r="G121" s="197"/>
      <c r="H121" s="205"/>
    </row>
  </sheetData>
  <protectedRanges>
    <protectedRange password="C915" sqref="J78:K65536 J61:J77 J1:K15 J18:K59" name="Range1"/>
    <protectedRange password="C915" sqref="J60:K60 K61:K77" name="Range1_1"/>
    <protectedRange password="C915" sqref="J16:K17" name="Range1_3"/>
  </protectedRanges>
  <mergeCells count="26">
    <mergeCell ref="A1:K1"/>
    <mergeCell ref="A8:K9"/>
    <mergeCell ref="A12:A14"/>
    <mergeCell ref="A15:A16"/>
    <mergeCell ref="A78:K79"/>
    <mergeCell ref="A55:A59"/>
    <mergeCell ref="A27:A28"/>
    <mergeCell ref="C27:C28"/>
    <mergeCell ref="B15:B16"/>
    <mergeCell ref="C15:C16"/>
    <mergeCell ref="A49:A51"/>
    <mergeCell ref="A53:A54"/>
    <mergeCell ref="A100:A104"/>
    <mergeCell ref="A2:D2"/>
    <mergeCell ref="E2:G2"/>
    <mergeCell ref="D15:D16"/>
    <mergeCell ref="E15:E16"/>
    <mergeCell ref="A21:A23"/>
    <mergeCell ref="B21:B23"/>
    <mergeCell ref="C21:C23"/>
    <mergeCell ref="D21:D23"/>
    <mergeCell ref="A60:A61"/>
    <mergeCell ref="A95:A99"/>
    <mergeCell ref="E21:E23"/>
    <mergeCell ref="B80:K80"/>
    <mergeCell ref="A3:K3"/>
  </mergeCells>
  <hyperlinks>
    <hyperlink ref="E2" display="http://p04.na.delphiauto.net/04/102/cme/IndEng/GCSD/Shared%20Documents/Forms/AllItems.aspx?RootFolder=%2F04%2F102%2Fcme%2FIndEng%2FGCSD%2FShared%20Documents%2FGCSD%20Catalogue%2FHV%20catalogue%20by%20connector&amp;InitialTabId=Ribbon%2EDocument&amp;VisibilityCont" xr:uid="{00000000-0004-0000-0600-000000000000}"/>
  </hyperlinks>
  <printOptions horizontalCentered="1" verticalCentered="1"/>
  <pageMargins left="0.38" right="0.54" top="0.34" bottom="0.42" header="0.28000000000000003" footer="0.37"/>
  <pageSetup paperSize="9" scale="23"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F112"/>
  <sheetViews>
    <sheetView zoomScale="85" zoomScaleNormal="85" workbookViewId="0">
      <pane ySplit="3" topLeftCell="A4" activePane="bottomLeft" state="frozen"/>
      <selection activeCell="O1" sqref="O1"/>
      <selection pane="bottomLeft" activeCell="B1" sqref="B1"/>
    </sheetView>
  </sheetViews>
  <sheetFormatPr defaultColWidth="9.33203125" defaultRowHeight="13.2"/>
  <cols>
    <col min="1" max="2" width="6.33203125" style="15" customWidth="1"/>
    <col min="3" max="3" width="3.33203125" style="15" customWidth="1"/>
    <col min="4" max="4" width="4" style="15" customWidth="1"/>
    <col min="5" max="5" width="7" style="16" customWidth="1"/>
    <col min="6" max="6" width="8.5546875" style="16" customWidth="1"/>
    <col min="7" max="7" width="4" style="16" customWidth="1"/>
    <col min="8" max="8" width="0.5546875" style="16" customWidth="1"/>
    <col min="9" max="11" width="6.33203125" style="16" customWidth="1"/>
    <col min="12" max="12" width="7.6640625" style="16" customWidth="1"/>
    <col min="13" max="13" width="5.44140625" style="16" customWidth="1"/>
    <col min="14" max="14" width="16.88671875" style="16" customWidth="1"/>
    <col min="15" max="15" width="2.5546875" style="16" customWidth="1"/>
    <col min="16" max="16" width="12.6640625" style="16" customWidth="1"/>
    <col min="17" max="17" width="12.33203125" style="89" customWidth="1"/>
    <col min="18" max="18" width="13.6640625" customWidth="1"/>
    <col min="19" max="19" width="5.44140625" customWidth="1"/>
    <col min="20" max="20" width="10.44140625" customWidth="1"/>
    <col min="21" max="21" width="7.6640625" customWidth="1"/>
    <col min="22" max="22" width="23" style="459" bestFit="1" customWidth="1"/>
    <col min="23" max="23" width="14.44140625" style="1044" bestFit="1" customWidth="1"/>
    <col min="24" max="24" width="9.6640625" style="459" bestFit="1" customWidth="1"/>
    <col min="25" max="25" width="27" style="459" customWidth="1"/>
    <col min="26" max="26" width="44.33203125" style="459" bestFit="1" customWidth="1"/>
  </cols>
  <sheetData>
    <row r="1" spans="1:32" ht="10.95" customHeight="1"/>
    <row r="2" spans="1:32" s="87" customFormat="1" ht="14.4" customHeight="1" thickBot="1">
      <c r="A2" s="1537" t="s">
        <v>558</v>
      </c>
      <c r="B2" s="1537"/>
      <c r="C2" s="1537"/>
      <c r="D2" s="1537"/>
      <c r="E2" s="1537"/>
      <c r="F2" s="1537"/>
      <c r="G2" s="1537"/>
      <c r="H2" s="1537"/>
      <c r="I2" s="1537"/>
      <c r="J2" s="1537"/>
      <c r="K2" s="1537"/>
      <c r="L2" s="1537"/>
      <c r="M2" s="1537"/>
      <c r="N2" s="1537"/>
      <c r="O2" s="1537"/>
      <c r="P2" s="1537"/>
      <c r="Q2" s="1537"/>
      <c r="R2" s="1537"/>
      <c r="S2" s="1537"/>
      <c r="T2" s="1537"/>
      <c r="V2" s="1139"/>
      <c r="W2" s="1140"/>
      <c r="X2" s="1139"/>
      <c r="Y2" s="1139"/>
      <c r="Z2" s="1139"/>
    </row>
    <row r="3" spans="1:32" s="15" customFormat="1" ht="27.6" customHeight="1">
      <c r="A3" s="1565" t="s">
        <v>319</v>
      </c>
      <c r="B3" s="1545"/>
      <c r="C3" s="1545"/>
      <c r="D3" s="1546"/>
      <c r="E3" s="1544" t="s">
        <v>320</v>
      </c>
      <c r="F3" s="1545"/>
      <c r="G3" s="1545"/>
      <c r="H3" s="1546"/>
      <c r="I3" s="1544" t="s">
        <v>588</v>
      </c>
      <c r="J3" s="1545"/>
      <c r="K3" s="1545"/>
      <c r="L3" s="1546"/>
      <c r="M3" s="1568" t="s">
        <v>322</v>
      </c>
      <c r="N3" s="1569"/>
      <c r="O3" s="1568" t="s">
        <v>323</v>
      </c>
      <c r="P3" s="1569"/>
      <c r="Q3" s="129" t="s">
        <v>551</v>
      </c>
      <c r="R3" s="807" t="s">
        <v>324</v>
      </c>
      <c r="S3" s="128" t="s">
        <v>295</v>
      </c>
      <c r="T3" s="808" t="s">
        <v>325</v>
      </c>
      <c r="V3" s="1141"/>
      <c r="W3" s="1044"/>
      <c r="X3" s="809"/>
      <c r="Y3" s="809"/>
      <c r="Z3" s="809"/>
    </row>
    <row r="4" spans="1:32" ht="40.200000000000003" customHeight="1">
      <c r="A4" s="1553" t="s">
        <v>326</v>
      </c>
      <c r="B4" s="1554"/>
      <c r="C4" s="1554"/>
      <c r="D4" s="1555"/>
      <c r="E4" s="1506" t="s">
        <v>327</v>
      </c>
      <c r="F4" s="1507"/>
      <c r="G4" s="1507"/>
      <c r="H4" s="1508"/>
      <c r="I4" s="1454" t="s">
        <v>328</v>
      </c>
      <c r="J4" s="1455"/>
      <c r="K4" s="1455"/>
      <c r="L4" s="1456"/>
      <c r="M4" s="1454" t="s">
        <v>329</v>
      </c>
      <c r="N4" s="1456"/>
      <c r="O4" s="1454" t="s">
        <v>330</v>
      </c>
      <c r="P4" s="1456"/>
      <c r="Q4" s="242">
        <v>1.7</v>
      </c>
      <c r="R4" s="123" t="s">
        <v>331</v>
      </c>
      <c r="S4" s="124">
        <v>20</v>
      </c>
      <c r="T4" s="46">
        <f>+S4*Q4</f>
        <v>34</v>
      </c>
      <c r="U4" s="779" t="s">
        <v>1151</v>
      </c>
      <c r="V4" s="4"/>
      <c r="X4" s="1126"/>
      <c r="Y4" s="1127"/>
      <c r="Z4" s="222"/>
      <c r="AA4" s="1030"/>
      <c r="AB4" s="1"/>
      <c r="AC4" s="1"/>
      <c r="AD4" s="1"/>
      <c r="AE4" s="1"/>
      <c r="AF4" s="1"/>
    </row>
    <row r="5" spans="1:32" ht="101.25" customHeight="1">
      <c r="A5" s="1556"/>
      <c r="B5" s="1557"/>
      <c r="C5" s="1557"/>
      <c r="D5" s="1558"/>
      <c r="E5" s="1504"/>
      <c r="F5" s="1524"/>
      <c r="G5" s="1524"/>
      <c r="H5" s="1505"/>
      <c r="I5" s="1454" t="s">
        <v>1244</v>
      </c>
      <c r="J5" s="1455"/>
      <c r="K5" s="1455"/>
      <c r="L5" s="1456"/>
      <c r="M5" s="1454" t="s">
        <v>329</v>
      </c>
      <c r="N5" s="1456"/>
      <c r="O5" s="1454" t="s">
        <v>332</v>
      </c>
      <c r="P5" s="1456"/>
      <c r="Q5" s="242">
        <v>4</v>
      </c>
      <c r="R5" s="123" t="s">
        <v>331</v>
      </c>
      <c r="S5" s="124">
        <v>9</v>
      </c>
      <c r="T5" s="46">
        <f>+S5*Q5</f>
        <v>36</v>
      </c>
      <c r="U5" s="779" t="s">
        <v>1151</v>
      </c>
      <c r="V5" s="4"/>
      <c r="X5" s="1126"/>
      <c r="Y5" s="1127"/>
      <c r="Z5" s="4"/>
      <c r="AA5" s="1030"/>
      <c r="AB5" s="1"/>
      <c r="AC5" s="1"/>
      <c r="AD5" s="1"/>
      <c r="AE5" s="1"/>
      <c r="AF5" s="1"/>
    </row>
    <row r="6" spans="1:32" ht="70.5" customHeight="1" thickBot="1">
      <c r="A6" s="1559"/>
      <c r="B6" s="1560"/>
      <c r="C6" s="1560"/>
      <c r="D6" s="1561"/>
      <c r="E6" s="1562"/>
      <c r="F6" s="1563"/>
      <c r="G6" s="1563"/>
      <c r="H6" s="1564"/>
      <c r="I6" s="1547" t="s">
        <v>1065</v>
      </c>
      <c r="J6" s="1548"/>
      <c r="K6" s="1548"/>
      <c r="L6" s="1549"/>
      <c r="M6" s="1547" t="s">
        <v>329</v>
      </c>
      <c r="N6" s="1549"/>
      <c r="O6" s="1547" t="s">
        <v>332</v>
      </c>
      <c r="P6" s="1549"/>
      <c r="Q6" s="243">
        <v>5.4</v>
      </c>
      <c r="R6" s="82" t="s">
        <v>331</v>
      </c>
      <c r="S6" s="125">
        <v>5</v>
      </c>
      <c r="T6" s="47">
        <f>+S6*Q6</f>
        <v>27</v>
      </c>
      <c r="U6" s="779" t="s">
        <v>1151</v>
      </c>
      <c r="V6" s="4"/>
      <c r="X6" s="1126"/>
      <c r="Y6" s="1127"/>
      <c r="Z6" s="4"/>
      <c r="AA6" s="1030"/>
      <c r="AB6" s="1"/>
      <c r="AC6" s="1"/>
      <c r="AD6" s="1"/>
      <c r="AE6" s="1"/>
      <c r="AF6" s="1"/>
    </row>
    <row r="7" spans="1:32" ht="19.5" customHeight="1">
      <c r="A7" s="1572"/>
      <c r="B7" s="1573"/>
      <c r="C7" s="1573"/>
      <c r="D7" s="1573"/>
      <c r="E7" s="1439"/>
      <c r="F7" s="1439"/>
      <c r="G7" s="1439"/>
      <c r="H7" s="1439"/>
      <c r="I7" s="1439"/>
      <c r="J7" s="1439"/>
      <c r="K7" s="1439"/>
      <c r="L7" s="1439"/>
      <c r="M7" s="681"/>
      <c r="N7" s="681"/>
      <c r="O7" s="1533"/>
      <c r="P7" s="1533"/>
      <c r="Q7" s="699"/>
      <c r="R7" s="78"/>
      <c r="S7" s="130"/>
      <c r="T7" s="45"/>
      <c r="U7" s="1"/>
      <c r="V7" s="4"/>
      <c r="X7" s="4"/>
      <c r="Y7" s="1078"/>
      <c r="Z7" s="4"/>
      <c r="AA7" s="1030"/>
      <c r="AB7" s="1"/>
      <c r="AC7" s="1"/>
      <c r="AD7" s="1"/>
      <c r="AE7" s="1"/>
      <c r="AF7" s="1"/>
    </row>
    <row r="8" spans="1:32" ht="24" customHeight="1">
      <c r="A8" s="1574"/>
      <c r="B8" s="1575"/>
      <c r="C8" s="1575"/>
      <c r="D8" s="1575"/>
      <c r="E8" s="1208"/>
      <c r="F8" s="1208"/>
      <c r="G8" s="1208"/>
      <c r="H8" s="1208"/>
      <c r="I8" s="1208"/>
      <c r="J8" s="1208"/>
      <c r="K8" s="1208"/>
      <c r="L8" s="1208"/>
      <c r="M8" s="207"/>
      <c r="N8" s="207"/>
      <c r="O8" s="1566"/>
      <c r="P8" s="1566"/>
      <c r="Q8" s="242"/>
      <c r="R8" s="123"/>
      <c r="S8" s="124"/>
      <c r="T8" s="46"/>
      <c r="U8" s="1"/>
      <c r="V8" s="4"/>
      <c r="X8" s="4"/>
      <c r="Y8" s="1078"/>
      <c r="Z8" s="4"/>
      <c r="AA8" s="1030"/>
      <c r="AB8" s="1"/>
      <c r="AC8" s="1"/>
      <c r="AD8" s="1"/>
      <c r="AE8" s="1"/>
      <c r="AF8" s="1"/>
    </row>
    <row r="9" spans="1:32" ht="24" customHeight="1" thickBot="1">
      <c r="A9" s="1570"/>
      <c r="B9" s="1571"/>
      <c r="C9" s="1571"/>
      <c r="D9" s="1571"/>
      <c r="E9" s="1210"/>
      <c r="F9" s="1210"/>
      <c r="G9" s="1210"/>
      <c r="H9" s="1210"/>
      <c r="I9" s="1210"/>
      <c r="J9" s="1210"/>
      <c r="K9" s="1210"/>
      <c r="L9" s="1210"/>
      <c r="M9" s="208"/>
      <c r="N9" s="208"/>
      <c r="O9" s="1567"/>
      <c r="P9" s="1567"/>
      <c r="Q9" s="243"/>
      <c r="R9" s="82"/>
      <c r="S9" s="125"/>
      <c r="T9" s="47"/>
      <c r="V9" s="4"/>
      <c r="X9" s="4"/>
      <c r="Y9" s="1078"/>
    </row>
    <row r="10" spans="1:32" ht="22.2" hidden="1" customHeight="1">
      <c r="A10" s="1478" t="s">
        <v>1367</v>
      </c>
      <c r="B10" s="1479"/>
      <c r="C10" s="1479"/>
      <c r="D10" s="1480"/>
      <c r="E10" s="1550" t="s">
        <v>67</v>
      </c>
      <c r="F10" s="1551"/>
      <c r="G10" s="1551"/>
      <c r="H10" s="1552"/>
      <c r="I10" s="1465" t="s">
        <v>79</v>
      </c>
      <c r="J10" s="1490"/>
      <c r="K10" s="1490"/>
      <c r="L10" s="1462"/>
      <c r="M10" s="897"/>
      <c r="N10" s="1462" t="s">
        <v>80</v>
      </c>
      <c r="O10" s="1465" t="s">
        <v>81</v>
      </c>
      <c r="P10" s="1462"/>
      <c r="Q10" s="898">
        <v>14.36</v>
      </c>
      <c r="R10" s="899" t="s">
        <v>331</v>
      </c>
      <c r="S10" s="900"/>
      <c r="T10" s="901">
        <f t="shared" ref="T10:T31" si="0">+S10*Q10</f>
        <v>0</v>
      </c>
      <c r="U10" s="461" t="s">
        <v>1146</v>
      </c>
      <c r="V10" s="4"/>
      <c r="X10" s="4"/>
      <c r="Y10" s="1078"/>
      <c r="Z10" s="791"/>
    </row>
    <row r="11" spans="1:32" ht="22.2" hidden="1" customHeight="1">
      <c r="A11" s="1481"/>
      <c r="B11" s="1482"/>
      <c r="C11" s="1482"/>
      <c r="D11" s="1483"/>
      <c r="E11" s="1468" t="s">
        <v>68</v>
      </c>
      <c r="F11" s="1474"/>
      <c r="G11" s="1474"/>
      <c r="H11" s="1475"/>
      <c r="I11" s="1466"/>
      <c r="J11" s="1491"/>
      <c r="K11" s="1491"/>
      <c r="L11" s="1463"/>
      <c r="M11" s="897"/>
      <c r="N11" s="1463"/>
      <c r="O11" s="1466"/>
      <c r="P11" s="1463"/>
      <c r="Q11" s="902">
        <v>15.31</v>
      </c>
      <c r="R11" s="903" t="s">
        <v>331</v>
      </c>
      <c r="S11" s="904"/>
      <c r="T11" s="905">
        <f t="shared" si="0"/>
        <v>0</v>
      </c>
      <c r="U11" s="461" t="s">
        <v>1146</v>
      </c>
      <c r="V11" s="4"/>
      <c r="X11" s="4"/>
      <c r="Y11" s="1078"/>
      <c r="Z11" s="791"/>
    </row>
    <row r="12" spans="1:32" ht="22.2" hidden="1" customHeight="1">
      <c r="A12" s="1481"/>
      <c r="B12" s="1482"/>
      <c r="C12" s="1482"/>
      <c r="D12" s="1483"/>
      <c r="E12" s="1468" t="s">
        <v>69</v>
      </c>
      <c r="F12" s="1474"/>
      <c r="G12" s="1474"/>
      <c r="H12" s="1475"/>
      <c r="I12" s="1466"/>
      <c r="J12" s="1491"/>
      <c r="K12" s="1491"/>
      <c r="L12" s="1463"/>
      <c r="M12" s="897"/>
      <c r="N12" s="1463"/>
      <c r="O12" s="1466"/>
      <c r="P12" s="1463"/>
      <c r="Q12" s="902">
        <v>17.2</v>
      </c>
      <c r="R12" s="903" t="s">
        <v>331</v>
      </c>
      <c r="S12" s="904"/>
      <c r="T12" s="905">
        <f t="shared" si="0"/>
        <v>0</v>
      </c>
      <c r="U12" s="461" t="s">
        <v>1146</v>
      </c>
      <c r="V12" s="4"/>
      <c r="X12" s="4"/>
      <c r="Y12" s="1078"/>
      <c r="Z12" s="791"/>
    </row>
    <row r="13" spans="1:32" ht="22.2" hidden="1" customHeight="1">
      <c r="A13" s="1481"/>
      <c r="B13" s="1482"/>
      <c r="C13" s="1482"/>
      <c r="D13" s="1483"/>
      <c r="E13" s="1468" t="s">
        <v>70</v>
      </c>
      <c r="F13" s="1474"/>
      <c r="G13" s="1474"/>
      <c r="H13" s="1475"/>
      <c r="I13" s="1466"/>
      <c r="J13" s="1491"/>
      <c r="K13" s="1491"/>
      <c r="L13" s="1463"/>
      <c r="M13" s="897"/>
      <c r="N13" s="1463"/>
      <c r="O13" s="1466"/>
      <c r="P13" s="1463"/>
      <c r="Q13" s="902">
        <v>18.7</v>
      </c>
      <c r="R13" s="903" t="s">
        <v>331</v>
      </c>
      <c r="S13" s="904"/>
      <c r="T13" s="905">
        <f t="shared" si="0"/>
        <v>0</v>
      </c>
      <c r="U13" s="461" t="s">
        <v>1146</v>
      </c>
      <c r="V13" s="4"/>
      <c r="X13" s="4"/>
      <c r="Y13" s="1078"/>
      <c r="Z13" s="791"/>
    </row>
    <row r="14" spans="1:32" ht="22.2" hidden="1" customHeight="1">
      <c r="A14" s="1481"/>
      <c r="B14" s="1482"/>
      <c r="C14" s="1482"/>
      <c r="D14" s="1483"/>
      <c r="E14" s="1468" t="s">
        <v>71</v>
      </c>
      <c r="F14" s="1474"/>
      <c r="G14" s="1474"/>
      <c r="H14" s="1475"/>
      <c r="I14" s="1466"/>
      <c r="J14" s="1491"/>
      <c r="K14" s="1491"/>
      <c r="L14" s="1463"/>
      <c r="M14" s="897"/>
      <c r="N14" s="1463"/>
      <c r="O14" s="1466"/>
      <c r="P14" s="1463"/>
      <c r="Q14" s="902">
        <v>20.399999999999999</v>
      </c>
      <c r="R14" s="903" t="s">
        <v>331</v>
      </c>
      <c r="S14" s="904"/>
      <c r="T14" s="905">
        <f t="shared" si="0"/>
        <v>0</v>
      </c>
      <c r="U14" s="461" t="s">
        <v>1146</v>
      </c>
      <c r="V14" s="4"/>
      <c r="X14" s="4"/>
      <c r="Y14" s="1078"/>
      <c r="Z14" s="791"/>
    </row>
    <row r="15" spans="1:32" ht="22.2" hidden="1" customHeight="1">
      <c r="A15" s="1481"/>
      <c r="B15" s="1482"/>
      <c r="C15" s="1482"/>
      <c r="D15" s="1483"/>
      <c r="E15" s="1468" t="s">
        <v>72</v>
      </c>
      <c r="F15" s="1474"/>
      <c r="G15" s="1474"/>
      <c r="H15" s="1475"/>
      <c r="I15" s="1466"/>
      <c r="J15" s="1491"/>
      <c r="K15" s="1491"/>
      <c r="L15" s="1463"/>
      <c r="M15" s="897"/>
      <c r="N15" s="1463"/>
      <c r="O15" s="1466"/>
      <c r="P15" s="1463"/>
      <c r="Q15" s="902">
        <v>22.1</v>
      </c>
      <c r="R15" s="903" t="s">
        <v>331</v>
      </c>
      <c r="S15" s="904"/>
      <c r="T15" s="905">
        <f t="shared" si="0"/>
        <v>0</v>
      </c>
      <c r="U15" s="461" t="s">
        <v>1146</v>
      </c>
      <c r="V15" s="4"/>
      <c r="X15" s="4"/>
      <c r="Y15" s="1078"/>
      <c r="Z15" s="791"/>
    </row>
    <row r="16" spans="1:32" ht="22.2" hidden="1" customHeight="1">
      <c r="A16" s="1481"/>
      <c r="B16" s="1482"/>
      <c r="C16" s="1482"/>
      <c r="D16" s="1483"/>
      <c r="E16" s="1468" t="s">
        <v>73</v>
      </c>
      <c r="F16" s="1474"/>
      <c r="G16" s="1474"/>
      <c r="H16" s="1475"/>
      <c r="I16" s="1466"/>
      <c r="J16" s="1491"/>
      <c r="K16" s="1491"/>
      <c r="L16" s="1463"/>
      <c r="M16" s="897"/>
      <c r="N16" s="1463"/>
      <c r="O16" s="1466"/>
      <c r="P16" s="1463"/>
      <c r="Q16" s="902">
        <v>23.8</v>
      </c>
      <c r="R16" s="903" t="s">
        <v>331</v>
      </c>
      <c r="S16" s="904"/>
      <c r="T16" s="905">
        <f t="shared" si="0"/>
        <v>0</v>
      </c>
      <c r="U16" s="461" t="s">
        <v>1146</v>
      </c>
      <c r="V16" s="4"/>
      <c r="X16" s="4"/>
      <c r="Y16" s="1078"/>
      <c r="Z16" s="791"/>
    </row>
    <row r="17" spans="1:26" ht="22.2" hidden="1" customHeight="1">
      <c r="A17" s="1481"/>
      <c r="B17" s="1482"/>
      <c r="C17" s="1482"/>
      <c r="D17" s="1483"/>
      <c r="E17" s="1471" t="s">
        <v>74</v>
      </c>
      <c r="F17" s="1476"/>
      <c r="G17" s="1476"/>
      <c r="H17" s="1477"/>
      <c r="I17" s="1466"/>
      <c r="J17" s="1491"/>
      <c r="K17" s="1491"/>
      <c r="L17" s="1463"/>
      <c r="M17" s="897"/>
      <c r="N17" s="1463"/>
      <c r="O17" s="1466"/>
      <c r="P17" s="1463"/>
      <c r="Q17" s="902">
        <v>25.5</v>
      </c>
      <c r="R17" s="906" t="s">
        <v>331</v>
      </c>
      <c r="S17" s="907"/>
      <c r="T17" s="908">
        <f t="shared" si="0"/>
        <v>0</v>
      </c>
      <c r="U17" s="461" t="s">
        <v>1146</v>
      </c>
      <c r="V17" s="4"/>
      <c r="X17" s="4"/>
      <c r="Y17" s="1078"/>
      <c r="Z17" s="791"/>
    </row>
    <row r="18" spans="1:26" ht="22.2" hidden="1" customHeight="1">
      <c r="A18" s="1481"/>
      <c r="B18" s="1482"/>
      <c r="C18" s="1482"/>
      <c r="D18" s="1483"/>
      <c r="E18" s="1471" t="s">
        <v>580</v>
      </c>
      <c r="F18" s="1476"/>
      <c r="G18" s="1476"/>
      <c r="H18" s="1477"/>
      <c r="I18" s="1466"/>
      <c r="J18" s="1491"/>
      <c r="K18" s="1491"/>
      <c r="L18" s="1463"/>
      <c r="M18" s="897"/>
      <c r="N18" s="1463"/>
      <c r="O18" s="1466"/>
      <c r="P18" s="1463"/>
      <c r="Q18" s="902">
        <v>27.2</v>
      </c>
      <c r="R18" s="906" t="s">
        <v>331</v>
      </c>
      <c r="S18" s="907"/>
      <c r="T18" s="908">
        <f t="shared" ref="T18:T24" si="1">+S18*Q18</f>
        <v>0</v>
      </c>
      <c r="U18" s="461" t="s">
        <v>1146</v>
      </c>
      <c r="V18" s="4"/>
      <c r="X18" s="4"/>
      <c r="Y18" s="1078"/>
      <c r="Z18" s="791"/>
    </row>
    <row r="19" spans="1:26" ht="22.2" hidden="1" customHeight="1">
      <c r="A19" s="1481"/>
      <c r="B19" s="1482"/>
      <c r="C19" s="1482"/>
      <c r="D19" s="1483"/>
      <c r="E19" s="1468" t="s">
        <v>581</v>
      </c>
      <c r="F19" s="1469"/>
      <c r="G19" s="1469"/>
      <c r="H19" s="1470"/>
      <c r="I19" s="1466"/>
      <c r="J19" s="1491"/>
      <c r="K19" s="1491"/>
      <c r="L19" s="1463"/>
      <c r="M19" s="897"/>
      <c r="N19" s="1463"/>
      <c r="O19" s="1466"/>
      <c r="P19" s="1463"/>
      <c r="Q19" s="902">
        <v>28.9</v>
      </c>
      <c r="R19" s="903" t="s">
        <v>331</v>
      </c>
      <c r="S19" s="904"/>
      <c r="T19" s="905">
        <f t="shared" si="1"/>
        <v>0</v>
      </c>
      <c r="U19" s="461" t="s">
        <v>1146</v>
      </c>
      <c r="V19" s="4"/>
      <c r="X19" s="4"/>
      <c r="Y19" s="1078"/>
      <c r="Z19" s="791"/>
    </row>
    <row r="20" spans="1:26" ht="22.2" hidden="1" customHeight="1">
      <c r="A20" s="1481"/>
      <c r="B20" s="1482"/>
      <c r="C20" s="1482"/>
      <c r="D20" s="1483"/>
      <c r="E20" s="1468" t="s">
        <v>582</v>
      </c>
      <c r="F20" s="1469"/>
      <c r="G20" s="1469"/>
      <c r="H20" s="1470"/>
      <c r="I20" s="1466"/>
      <c r="J20" s="1491"/>
      <c r="K20" s="1491"/>
      <c r="L20" s="1463"/>
      <c r="M20" s="897"/>
      <c r="N20" s="1463"/>
      <c r="O20" s="1466"/>
      <c r="P20" s="1463"/>
      <c r="Q20" s="902">
        <v>30.6</v>
      </c>
      <c r="R20" s="909" t="s">
        <v>331</v>
      </c>
      <c r="S20" s="910"/>
      <c r="T20" s="911">
        <f t="shared" si="1"/>
        <v>0</v>
      </c>
      <c r="U20" s="461" t="s">
        <v>1146</v>
      </c>
      <c r="V20" s="4"/>
      <c r="X20" s="4"/>
      <c r="Y20" s="1078"/>
      <c r="Z20" s="791"/>
    </row>
    <row r="21" spans="1:26" ht="22.2" hidden="1" customHeight="1">
      <c r="A21" s="1481"/>
      <c r="B21" s="1482"/>
      <c r="C21" s="1482"/>
      <c r="D21" s="1483"/>
      <c r="E21" s="1471" t="s">
        <v>765</v>
      </c>
      <c r="F21" s="1472"/>
      <c r="G21" s="1472"/>
      <c r="H21" s="1473"/>
      <c r="I21" s="1466"/>
      <c r="J21" s="1491"/>
      <c r="K21" s="1491"/>
      <c r="L21" s="1463"/>
      <c r="M21" s="897"/>
      <c r="N21" s="1463"/>
      <c r="O21" s="1466"/>
      <c r="P21" s="1463"/>
      <c r="Q21" s="902">
        <v>32.299999999999997</v>
      </c>
      <c r="R21" s="909" t="s">
        <v>331</v>
      </c>
      <c r="S21" s="910"/>
      <c r="T21" s="911">
        <f t="shared" si="1"/>
        <v>0</v>
      </c>
      <c r="U21" s="461" t="s">
        <v>1146</v>
      </c>
      <c r="V21" s="4"/>
      <c r="X21" s="4"/>
      <c r="Y21" s="1078"/>
      <c r="Z21" s="791"/>
    </row>
    <row r="22" spans="1:26" ht="22.2" hidden="1" customHeight="1">
      <c r="A22" s="1481"/>
      <c r="B22" s="1482"/>
      <c r="C22" s="1482"/>
      <c r="D22" s="1483"/>
      <c r="E22" s="1468"/>
      <c r="F22" s="1469"/>
      <c r="G22" s="1469"/>
      <c r="H22" s="1470"/>
      <c r="I22" s="1466"/>
      <c r="J22" s="1491"/>
      <c r="K22" s="1491"/>
      <c r="L22" s="1463"/>
      <c r="M22" s="897"/>
      <c r="N22" s="1463"/>
      <c r="O22" s="1466"/>
      <c r="P22" s="1463"/>
      <c r="Q22" s="912"/>
      <c r="R22" s="903"/>
      <c r="S22" s="904"/>
      <c r="T22" s="905">
        <f t="shared" si="1"/>
        <v>0</v>
      </c>
      <c r="U22" s="700"/>
      <c r="V22" s="4"/>
      <c r="X22" s="4"/>
      <c r="Y22" s="1078"/>
      <c r="Z22" s="791"/>
    </row>
    <row r="23" spans="1:26" ht="22.2" hidden="1" customHeight="1">
      <c r="A23" s="1481"/>
      <c r="B23" s="1482"/>
      <c r="C23" s="1482"/>
      <c r="D23" s="1483"/>
      <c r="E23" s="1468"/>
      <c r="F23" s="1469"/>
      <c r="G23" s="1469"/>
      <c r="H23" s="1470"/>
      <c r="I23" s="1466"/>
      <c r="J23" s="1491"/>
      <c r="K23" s="1491"/>
      <c r="L23" s="1463"/>
      <c r="M23" s="897"/>
      <c r="N23" s="1463"/>
      <c r="O23" s="1466"/>
      <c r="P23" s="1463"/>
      <c r="Q23" s="912"/>
      <c r="R23" s="903"/>
      <c r="S23" s="904"/>
      <c r="T23" s="905">
        <f t="shared" si="1"/>
        <v>0</v>
      </c>
      <c r="U23" s="700"/>
      <c r="V23" s="4"/>
      <c r="X23" s="4"/>
      <c r="Y23" s="1078"/>
      <c r="Z23" s="791"/>
    </row>
    <row r="24" spans="1:26" ht="22.2" hidden="1" customHeight="1">
      <c r="A24" s="1481"/>
      <c r="B24" s="1482"/>
      <c r="C24" s="1482"/>
      <c r="D24" s="1483"/>
      <c r="E24" s="1468"/>
      <c r="F24" s="1469"/>
      <c r="G24" s="1469"/>
      <c r="H24" s="1470"/>
      <c r="I24" s="1466"/>
      <c r="J24" s="1491"/>
      <c r="K24" s="1491"/>
      <c r="L24" s="1463"/>
      <c r="M24" s="897"/>
      <c r="N24" s="1463"/>
      <c r="O24" s="1466"/>
      <c r="P24" s="1463"/>
      <c r="Q24" s="912"/>
      <c r="R24" s="903"/>
      <c r="S24" s="904"/>
      <c r="T24" s="905">
        <f t="shared" si="1"/>
        <v>0</v>
      </c>
      <c r="U24" s="700"/>
      <c r="V24" s="4"/>
      <c r="X24" s="4"/>
      <c r="Y24" s="1078"/>
      <c r="Z24" s="791"/>
    </row>
    <row r="25" spans="1:26" ht="22.2" hidden="1" customHeight="1" thickBot="1">
      <c r="A25" s="1484"/>
      <c r="B25" s="1485"/>
      <c r="C25" s="1485"/>
      <c r="D25" s="1486"/>
      <c r="E25" s="1487"/>
      <c r="F25" s="1488"/>
      <c r="G25" s="1488"/>
      <c r="H25" s="1489"/>
      <c r="I25" s="1467"/>
      <c r="J25" s="1492"/>
      <c r="K25" s="1492"/>
      <c r="L25" s="1464"/>
      <c r="M25" s="897"/>
      <c r="N25" s="1464"/>
      <c r="O25" s="1467"/>
      <c r="P25" s="1464"/>
      <c r="Q25" s="913"/>
      <c r="R25" s="909"/>
      <c r="S25" s="910"/>
      <c r="T25" s="911"/>
      <c r="U25" s="700"/>
      <c r="V25" s="4"/>
      <c r="X25" s="4"/>
      <c r="Y25" s="1078"/>
      <c r="Z25" s="791"/>
    </row>
    <row r="26" spans="1:26" ht="22.2" hidden="1" customHeight="1">
      <c r="A26" s="1478" t="s">
        <v>1368</v>
      </c>
      <c r="B26" s="1479"/>
      <c r="C26" s="1479"/>
      <c r="D26" s="1480"/>
      <c r="E26" s="1541" t="s">
        <v>75</v>
      </c>
      <c r="F26" s="1542"/>
      <c r="G26" s="1542"/>
      <c r="H26" s="1543"/>
      <c r="I26" s="1465" t="s">
        <v>79</v>
      </c>
      <c r="J26" s="1490"/>
      <c r="K26" s="1490"/>
      <c r="L26" s="1462"/>
      <c r="M26" s="897"/>
      <c r="N26" s="1462" t="s">
        <v>80</v>
      </c>
      <c r="O26" s="1465" t="s">
        <v>81</v>
      </c>
      <c r="P26" s="1462"/>
      <c r="Q26" s="914">
        <v>10.5</v>
      </c>
      <c r="R26" s="915" t="s">
        <v>331</v>
      </c>
      <c r="S26" s="916"/>
      <c r="T26" s="917">
        <f t="shared" si="0"/>
        <v>0</v>
      </c>
      <c r="U26" s="461" t="s">
        <v>1146</v>
      </c>
      <c r="V26" s="4"/>
      <c r="X26" s="4"/>
      <c r="Y26" s="1078"/>
      <c r="Z26" s="791"/>
    </row>
    <row r="27" spans="1:26" ht="22.2" hidden="1" customHeight="1">
      <c r="A27" s="1481"/>
      <c r="B27" s="1482"/>
      <c r="C27" s="1482"/>
      <c r="D27" s="1483"/>
      <c r="E27" s="1468" t="s">
        <v>76</v>
      </c>
      <c r="F27" s="1469"/>
      <c r="G27" s="1469"/>
      <c r="H27" s="1470"/>
      <c r="I27" s="1466"/>
      <c r="J27" s="1491"/>
      <c r="K27" s="1491"/>
      <c r="L27" s="1463"/>
      <c r="M27" s="897"/>
      <c r="N27" s="1463"/>
      <c r="O27" s="1466"/>
      <c r="P27" s="1463"/>
      <c r="Q27" s="902">
        <v>12.6</v>
      </c>
      <c r="R27" s="903" t="s">
        <v>331</v>
      </c>
      <c r="S27" s="904"/>
      <c r="T27" s="905">
        <f t="shared" si="0"/>
        <v>0</v>
      </c>
      <c r="U27" s="461" t="s">
        <v>1146</v>
      </c>
      <c r="V27" s="4"/>
      <c r="X27" s="4"/>
      <c r="Y27" s="1078"/>
      <c r="Z27" s="791"/>
    </row>
    <row r="28" spans="1:26" ht="22.2" hidden="1" customHeight="1">
      <c r="A28" s="1481"/>
      <c r="B28" s="1482"/>
      <c r="C28" s="1482"/>
      <c r="D28" s="1483"/>
      <c r="E28" s="1468" t="s">
        <v>77</v>
      </c>
      <c r="F28" s="1469"/>
      <c r="G28" s="1469"/>
      <c r="H28" s="1470"/>
      <c r="I28" s="1466"/>
      <c r="J28" s="1491"/>
      <c r="K28" s="1491"/>
      <c r="L28" s="1463"/>
      <c r="M28" s="897"/>
      <c r="N28" s="1463"/>
      <c r="O28" s="1466"/>
      <c r="P28" s="1463"/>
      <c r="Q28" s="902">
        <v>14.7</v>
      </c>
      <c r="R28" s="903" t="s">
        <v>331</v>
      </c>
      <c r="S28" s="904"/>
      <c r="T28" s="905">
        <f t="shared" si="0"/>
        <v>0</v>
      </c>
      <c r="U28" s="461" t="s">
        <v>1146</v>
      </c>
      <c r="V28" s="4"/>
      <c r="X28" s="4"/>
      <c r="Y28" s="1078"/>
      <c r="Z28" s="791"/>
    </row>
    <row r="29" spans="1:26" ht="22.2" hidden="1" customHeight="1">
      <c r="A29" s="1481"/>
      <c r="B29" s="1482"/>
      <c r="C29" s="1482"/>
      <c r="D29" s="1483"/>
      <c r="E29" s="1468" t="s">
        <v>78</v>
      </c>
      <c r="F29" s="1469"/>
      <c r="G29" s="1469"/>
      <c r="H29" s="1470"/>
      <c r="I29" s="1466"/>
      <c r="J29" s="1491"/>
      <c r="K29" s="1491"/>
      <c r="L29" s="1463"/>
      <c r="M29" s="897"/>
      <c r="N29" s="1463"/>
      <c r="O29" s="1466"/>
      <c r="P29" s="1463"/>
      <c r="Q29" s="902">
        <v>15.2</v>
      </c>
      <c r="R29" s="903" t="s">
        <v>331</v>
      </c>
      <c r="S29" s="904"/>
      <c r="T29" s="905">
        <f t="shared" si="0"/>
        <v>0</v>
      </c>
      <c r="U29" s="461" t="s">
        <v>1146</v>
      </c>
      <c r="V29" s="4"/>
      <c r="X29" s="4"/>
      <c r="Y29" s="1078"/>
      <c r="Z29" s="791"/>
    </row>
    <row r="30" spans="1:26" ht="22.2" hidden="1" customHeight="1">
      <c r="A30" s="1481"/>
      <c r="B30" s="1482"/>
      <c r="C30" s="1482"/>
      <c r="D30" s="1483"/>
      <c r="E30" s="1468" t="s">
        <v>68</v>
      </c>
      <c r="F30" s="1469"/>
      <c r="G30" s="1469"/>
      <c r="H30" s="1470"/>
      <c r="I30" s="1466"/>
      <c r="J30" s="1491"/>
      <c r="K30" s="1491"/>
      <c r="L30" s="1463"/>
      <c r="M30" s="897"/>
      <c r="N30" s="1463"/>
      <c r="O30" s="1466"/>
      <c r="P30" s="1463"/>
      <c r="Q30" s="902">
        <v>17.100000000000001</v>
      </c>
      <c r="R30" s="903" t="s">
        <v>331</v>
      </c>
      <c r="S30" s="904"/>
      <c r="T30" s="905">
        <f t="shared" si="0"/>
        <v>0</v>
      </c>
      <c r="U30" s="461" t="s">
        <v>1146</v>
      </c>
      <c r="V30" s="4"/>
      <c r="X30" s="4"/>
      <c r="Y30" s="1078"/>
      <c r="Z30" s="791"/>
    </row>
    <row r="31" spans="1:26" ht="22.2" hidden="1" customHeight="1">
      <c r="A31" s="1481"/>
      <c r="B31" s="1482"/>
      <c r="C31" s="1482"/>
      <c r="D31" s="1483"/>
      <c r="E31" s="1468" t="s">
        <v>69</v>
      </c>
      <c r="F31" s="1469"/>
      <c r="G31" s="1469"/>
      <c r="H31" s="1470"/>
      <c r="I31" s="1466"/>
      <c r="J31" s="1491"/>
      <c r="K31" s="1491"/>
      <c r="L31" s="1463"/>
      <c r="M31" s="897"/>
      <c r="N31" s="1463"/>
      <c r="O31" s="1466"/>
      <c r="P31" s="1463"/>
      <c r="Q31" s="902">
        <v>19</v>
      </c>
      <c r="R31" s="903" t="s">
        <v>331</v>
      </c>
      <c r="S31" s="904"/>
      <c r="T31" s="905">
        <f t="shared" si="0"/>
        <v>0</v>
      </c>
      <c r="U31" s="461" t="s">
        <v>1146</v>
      </c>
      <c r="V31" s="4"/>
      <c r="X31" s="4"/>
      <c r="Y31" s="1078"/>
      <c r="Z31" s="791"/>
    </row>
    <row r="32" spans="1:26" ht="22.2" hidden="1" customHeight="1">
      <c r="A32" s="1481"/>
      <c r="B32" s="1482"/>
      <c r="C32" s="1482"/>
      <c r="D32" s="1483"/>
      <c r="E32" s="1468" t="s">
        <v>70</v>
      </c>
      <c r="F32" s="1469"/>
      <c r="G32" s="1469"/>
      <c r="H32" s="1470"/>
      <c r="I32" s="1466"/>
      <c r="J32" s="1491"/>
      <c r="K32" s="1491"/>
      <c r="L32" s="1463"/>
      <c r="M32" s="897"/>
      <c r="N32" s="1463"/>
      <c r="O32" s="1466"/>
      <c r="P32" s="1463"/>
      <c r="Q32" s="902">
        <v>20.9</v>
      </c>
      <c r="R32" s="903" t="s">
        <v>331</v>
      </c>
      <c r="S32" s="904"/>
      <c r="T32" s="905">
        <f t="shared" ref="T32:T37" si="2">+S32*Q32</f>
        <v>0</v>
      </c>
      <c r="U32" s="461" t="s">
        <v>1146</v>
      </c>
      <c r="V32" s="4"/>
      <c r="X32" s="4"/>
      <c r="Y32" s="1078"/>
      <c r="Z32" s="791"/>
    </row>
    <row r="33" spans="1:27" ht="22.2" hidden="1" customHeight="1">
      <c r="A33" s="1481"/>
      <c r="B33" s="1482"/>
      <c r="C33" s="1482"/>
      <c r="D33" s="1483"/>
      <c r="E33" s="1468" t="s">
        <v>583</v>
      </c>
      <c r="F33" s="1469"/>
      <c r="G33" s="1469"/>
      <c r="H33" s="1470"/>
      <c r="I33" s="1466"/>
      <c r="J33" s="1491"/>
      <c r="K33" s="1491"/>
      <c r="L33" s="1463"/>
      <c r="M33" s="897"/>
      <c r="N33" s="1463"/>
      <c r="O33" s="1466"/>
      <c r="P33" s="1463"/>
      <c r="Q33" s="902">
        <v>22.8</v>
      </c>
      <c r="R33" s="903" t="s">
        <v>331</v>
      </c>
      <c r="S33" s="904"/>
      <c r="T33" s="905">
        <f t="shared" si="2"/>
        <v>0</v>
      </c>
      <c r="U33" s="461" t="s">
        <v>1146</v>
      </c>
      <c r="V33" s="4"/>
      <c r="X33" s="4"/>
      <c r="Y33" s="1078"/>
      <c r="Z33" s="791"/>
    </row>
    <row r="34" spans="1:27" ht="22.2" hidden="1" customHeight="1">
      <c r="A34" s="1481"/>
      <c r="B34" s="1482"/>
      <c r="C34" s="1482"/>
      <c r="D34" s="1483"/>
      <c r="E34" s="1468" t="s">
        <v>72</v>
      </c>
      <c r="F34" s="1469"/>
      <c r="G34" s="1469"/>
      <c r="H34" s="1470"/>
      <c r="I34" s="1466"/>
      <c r="J34" s="1491"/>
      <c r="K34" s="1491"/>
      <c r="L34" s="1463"/>
      <c r="M34" s="897"/>
      <c r="N34" s="1463"/>
      <c r="O34" s="1466"/>
      <c r="P34" s="1463"/>
      <c r="Q34" s="902">
        <v>24.7</v>
      </c>
      <c r="R34" s="903" t="s">
        <v>331</v>
      </c>
      <c r="S34" s="904"/>
      <c r="T34" s="905">
        <f t="shared" si="2"/>
        <v>0</v>
      </c>
      <c r="U34" s="461" t="s">
        <v>1146</v>
      </c>
      <c r="V34" s="4"/>
      <c r="X34" s="4"/>
      <c r="Y34" s="1078"/>
      <c r="Z34" s="791"/>
    </row>
    <row r="35" spans="1:27" ht="22.2" hidden="1" customHeight="1">
      <c r="A35" s="1481"/>
      <c r="B35" s="1482"/>
      <c r="C35" s="1482"/>
      <c r="D35" s="1483"/>
      <c r="E35" s="1468" t="s">
        <v>73</v>
      </c>
      <c r="F35" s="1469"/>
      <c r="G35" s="1469"/>
      <c r="H35" s="1470"/>
      <c r="I35" s="1466"/>
      <c r="J35" s="1491"/>
      <c r="K35" s="1491"/>
      <c r="L35" s="1463"/>
      <c r="M35" s="897"/>
      <c r="N35" s="1463"/>
      <c r="O35" s="1466"/>
      <c r="P35" s="1463"/>
      <c r="Q35" s="902">
        <v>26.6</v>
      </c>
      <c r="R35" s="903" t="s">
        <v>331</v>
      </c>
      <c r="S35" s="904"/>
      <c r="T35" s="905">
        <f t="shared" si="2"/>
        <v>0</v>
      </c>
      <c r="U35" s="461" t="s">
        <v>1146</v>
      </c>
      <c r="V35" s="4"/>
      <c r="X35" s="4"/>
      <c r="Y35" s="1078"/>
      <c r="Z35" s="791"/>
    </row>
    <row r="36" spans="1:27" ht="22.2" hidden="1" customHeight="1">
      <c r="A36" s="1481"/>
      <c r="B36" s="1482"/>
      <c r="C36" s="1482"/>
      <c r="D36" s="1483"/>
      <c r="E36" s="1468" t="s">
        <v>74</v>
      </c>
      <c r="F36" s="1469"/>
      <c r="G36" s="1469"/>
      <c r="H36" s="1470"/>
      <c r="I36" s="1466"/>
      <c r="J36" s="1491"/>
      <c r="K36" s="1491"/>
      <c r="L36" s="1463"/>
      <c r="M36" s="897"/>
      <c r="N36" s="1463"/>
      <c r="O36" s="1466"/>
      <c r="P36" s="1463"/>
      <c r="Q36" s="902">
        <v>28.5</v>
      </c>
      <c r="R36" s="903" t="s">
        <v>331</v>
      </c>
      <c r="S36" s="904"/>
      <c r="T36" s="905">
        <f t="shared" si="2"/>
        <v>0</v>
      </c>
      <c r="U36" s="461" t="s">
        <v>1146</v>
      </c>
      <c r="V36" s="4"/>
      <c r="X36" s="4"/>
      <c r="Y36" s="1078"/>
      <c r="Z36" s="791"/>
    </row>
    <row r="37" spans="1:27" ht="22.2" hidden="1" customHeight="1">
      <c r="A37" s="1481"/>
      <c r="B37" s="1482"/>
      <c r="C37" s="1482"/>
      <c r="D37" s="1483"/>
      <c r="E37" s="1468" t="s">
        <v>580</v>
      </c>
      <c r="F37" s="1469"/>
      <c r="G37" s="1469"/>
      <c r="H37" s="1470"/>
      <c r="I37" s="1466"/>
      <c r="J37" s="1491"/>
      <c r="K37" s="1491"/>
      <c r="L37" s="1463"/>
      <c r="M37" s="897"/>
      <c r="N37" s="1463"/>
      <c r="O37" s="1466"/>
      <c r="P37" s="1463"/>
      <c r="Q37" s="902">
        <v>30.4</v>
      </c>
      <c r="R37" s="903" t="s">
        <v>331</v>
      </c>
      <c r="S37" s="904"/>
      <c r="T37" s="905">
        <f t="shared" si="2"/>
        <v>0</v>
      </c>
      <c r="U37" s="461" t="s">
        <v>1146</v>
      </c>
      <c r="V37" s="4"/>
      <c r="X37" s="4"/>
      <c r="Y37" s="1078"/>
      <c r="Z37" s="791"/>
    </row>
    <row r="38" spans="1:27" ht="22.2" hidden="1" customHeight="1">
      <c r="A38" s="1481"/>
      <c r="B38" s="1482"/>
      <c r="C38" s="1482"/>
      <c r="D38" s="1483"/>
      <c r="E38" s="1468" t="s">
        <v>581</v>
      </c>
      <c r="F38" s="1469"/>
      <c r="G38" s="1469"/>
      <c r="H38" s="1470"/>
      <c r="I38" s="1466"/>
      <c r="J38" s="1491"/>
      <c r="K38" s="1491"/>
      <c r="L38" s="1463"/>
      <c r="M38" s="897"/>
      <c r="N38" s="1463"/>
      <c r="O38" s="1466"/>
      <c r="P38" s="1463"/>
      <c r="Q38" s="902">
        <v>32.299999999999997</v>
      </c>
      <c r="R38" s="903" t="s">
        <v>331</v>
      </c>
      <c r="S38" s="904"/>
      <c r="T38" s="905">
        <f t="shared" ref="T38:T43" si="3">+S38*Q38</f>
        <v>0</v>
      </c>
      <c r="U38" s="461" t="s">
        <v>1146</v>
      </c>
      <c r="V38" s="4"/>
      <c r="X38" s="4"/>
      <c r="Y38" s="1078"/>
      <c r="Z38" s="791"/>
    </row>
    <row r="39" spans="1:27" ht="22.2" hidden="1" customHeight="1">
      <c r="A39" s="1481"/>
      <c r="B39" s="1482"/>
      <c r="C39" s="1482"/>
      <c r="D39" s="1483"/>
      <c r="E39" s="1468" t="s">
        <v>582</v>
      </c>
      <c r="F39" s="1469"/>
      <c r="G39" s="1469"/>
      <c r="H39" s="1470"/>
      <c r="I39" s="1466"/>
      <c r="J39" s="1491"/>
      <c r="K39" s="1491"/>
      <c r="L39" s="1463"/>
      <c r="M39" s="897"/>
      <c r="N39" s="1463"/>
      <c r="O39" s="1466"/>
      <c r="P39" s="1463"/>
      <c r="Q39" s="902">
        <v>34.200000000000003</v>
      </c>
      <c r="R39" s="903" t="s">
        <v>331</v>
      </c>
      <c r="S39" s="907"/>
      <c r="T39" s="908">
        <f t="shared" si="3"/>
        <v>0</v>
      </c>
      <c r="U39" s="461" t="s">
        <v>1146</v>
      </c>
      <c r="V39" s="4"/>
      <c r="X39" s="4"/>
      <c r="Y39" s="1078"/>
      <c r="Z39" s="791"/>
    </row>
    <row r="40" spans="1:27" ht="22.2" hidden="1" customHeight="1">
      <c r="A40" s="1481"/>
      <c r="B40" s="1482"/>
      <c r="C40" s="1482"/>
      <c r="D40" s="1483"/>
      <c r="E40" s="1468" t="s">
        <v>765</v>
      </c>
      <c r="F40" s="1469"/>
      <c r="G40" s="1469"/>
      <c r="H40" s="1470"/>
      <c r="I40" s="1466"/>
      <c r="J40" s="1491"/>
      <c r="K40" s="1491"/>
      <c r="L40" s="1463"/>
      <c r="M40" s="897"/>
      <c r="N40" s="1463"/>
      <c r="O40" s="1466"/>
      <c r="P40" s="1463"/>
      <c r="Q40" s="902">
        <v>36.1</v>
      </c>
      <c r="R40" s="906" t="s">
        <v>331</v>
      </c>
      <c r="S40" s="907"/>
      <c r="T40" s="908">
        <f t="shared" si="3"/>
        <v>0</v>
      </c>
      <c r="U40" s="461" t="s">
        <v>1146</v>
      </c>
      <c r="V40" s="4"/>
      <c r="X40" s="4"/>
      <c r="Y40" s="1078"/>
      <c r="Z40" s="791"/>
    </row>
    <row r="41" spans="1:27" ht="22.2" hidden="1" customHeight="1">
      <c r="A41" s="1481"/>
      <c r="B41" s="1482"/>
      <c r="C41" s="1482"/>
      <c r="D41" s="1483"/>
      <c r="E41" s="1468"/>
      <c r="F41" s="1469"/>
      <c r="G41" s="1469"/>
      <c r="H41" s="1470"/>
      <c r="I41" s="1466"/>
      <c r="J41" s="1491"/>
      <c r="K41" s="1491"/>
      <c r="L41" s="1463"/>
      <c r="M41" s="897"/>
      <c r="N41" s="1463"/>
      <c r="O41" s="1466"/>
      <c r="P41" s="1463"/>
      <c r="Q41" s="912"/>
      <c r="R41" s="903"/>
      <c r="S41" s="904"/>
      <c r="T41" s="905">
        <f t="shared" si="3"/>
        <v>0</v>
      </c>
      <c r="U41" s="701"/>
      <c r="V41" s="4"/>
      <c r="X41" s="4"/>
      <c r="Y41" s="1078"/>
      <c r="Z41" s="791"/>
    </row>
    <row r="42" spans="1:27" ht="22.2" hidden="1" customHeight="1">
      <c r="A42" s="1481"/>
      <c r="B42" s="1482"/>
      <c r="C42" s="1482"/>
      <c r="D42" s="1483"/>
      <c r="E42" s="1468"/>
      <c r="F42" s="1469"/>
      <c r="G42" s="1469"/>
      <c r="H42" s="1470"/>
      <c r="I42" s="1466"/>
      <c r="J42" s="1491"/>
      <c r="K42" s="1491"/>
      <c r="L42" s="1463"/>
      <c r="M42" s="897"/>
      <c r="N42" s="1463"/>
      <c r="O42" s="1466"/>
      <c r="P42" s="1463"/>
      <c r="Q42" s="912"/>
      <c r="R42" s="903"/>
      <c r="S42" s="904"/>
      <c r="T42" s="905">
        <f t="shared" si="3"/>
        <v>0</v>
      </c>
      <c r="U42" s="701"/>
      <c r="V42" s="4"/>
      <c r="X42" s="4"/>
      <c r="Y42" s="1078"/>
      <c r="Z42" s="791"/>
    </row>
    <row r="43" spans="1:27" ht="22.2" hidden="1" customHeight="1">
      <c r="A43" s="1481"/>
      <c r="B43" s="1482"/>
      <c r="C43" s="1482"/>
      <c r="D43" s="1483"/>
      <c r="E43" s="1468"/>
      <c r="F43" s="1469"/>
      <c r="G43" s="1469"/>
      <c r="H43" s="1470"/>
      <c r="I43" s="1466"/>
      <c r="J43" s="1491"/>
      <c r="K43" s="1491"/>
      <c r="L43" s="1463"/>
      <c r="M43" s="897"/>
      <c r="N43" s="1463"/>
      <c r="O43" s="1466"/>
      <c r="P43" s="1463"/>
      <c r="Q43" s="912"/>
      <c r="R43" s="903"/>
      <c r="S43" s="904"/>
      <c r="T43" s="905">
        <f t="shared" si="3"/>
        <v>0</v>
      </c>
      <c r="U43" s="701"/>
      <c r="V43" s="4"/>
      <c r="X43" s="4"/>
      <c r="Y43" s="1078"/>
      <c r="Z43" s="791"/>
    </row>
    <row r="44" spans="1:27" ht="22.2" hidden="1" customHeight="1" thickBot="1">
      <c r="A44" s="1484"/>
      <c r="B44" s="1485"/>
      <c r="C44" s="1485"/>
      <c r="D44" s="1486"/>
      <c r="E44" s="1468"/>
      <c r="F44" s="1469"/>
      <c r="G44" s="1469"/>
      <c r="H44" s="1470"/>
      <c r="I44" s="1467"/>
      <c r="J44" s="1492"/>
      <c r="K44" s="1492"/>
      <c r="L44" s="1464"/>
      <c r="M44" s="897"/>
      <c r="N44" s="1464"/>
      <c r="O44" s="1467"/>
      <c r="P44" s="1464"/>
      <c r="Q44" s="913"/>
      <c r="R44" s="918"/>
      <c r="S44" s="919"/>
      <c r="T44" s="920"/>
      <c r="U44" s="701"/>
      <c r="V44" s="4"/>
      <c r="X44" s="4"/>
      <c r="Y44" s="1078"/>
      <c r="Z44" s="791"/>
    </row>
    <row r="45" spans="1:27" ht="53.7" customHeight="1" thickBot="1">
      <c r="A45" s="1579" t="s">
        <v>696</v>
      </c>
      <c r="B45" s="1580"/>
      <c r="C45" s="1580"/>
      <c r="D45" s="1581"/>
      <c r="E45" s="1576" t="s">
        <v>1346</v>
      </c>
      <c r="F45" s="1577"/>
      <c r="G45" s="1577"/>
      <c r="H45" s="1578"/>
      <c r="I45" s="1538" t="s">
        <v>664</v>
      </c>
      <c r="J45" s="1539"/>
      <c r="K45" s="1539"/>
      <c r="L45" s="1540"/>
      <c r="M45" s="352"/>
      <c r="N45" s="384" t="s">
        <v>665</v>
      </c>
      <c r="O45" s="1538" t="s">
        <v>666</v>
      </c>
      <c r="P45" s="1540"/>
      <c r="Q45" s="348">
        <v>4.33</v>
      </c>
      <c r="R45" s="327" t="s">
        <v>331</v>
      </c>
      <c r="S45" s="349"/>
      <c r="T45" s="350">
        <f>+S45*Q45</f>
        <v>0</v>
      </c>
      <c r="U45" s="461" t="s">
        <v>1146</v>
      </c>
      <c r="V45" s="4"/>
      <c r="X45" s="4"/>
      <c r="Y45" s="1078"/>
      <c r="Z45" s="791"/>
    </row>
    <row r="46" spans="1:27" s="1" customFormat="1" ht="15.75" customHeight="1" thickBot="1">
      <c r="V46" s="4"/>
      <c r="W46" s="1044"/>
      <c r="X46" s="4"/>
      <c r="Y46" s="1078"/>
      <c r="Z46" s="791"/>
      <c r="AA46" s="1030"/>
    </row>
    <row r="47" spans="1:27" ht="40.200000000000003" customHeight="1">
      <c r="A47" s="1443" t="s">
        <v>524</v>
      </c>
      <c r="B47" s="1444"/>
      <c r="C47" s="1444"/>
      <c r="D47" s="1445"/>
      <c r="E47" s="1534" t="s">
        <v>349</v>
      </c>
      <c r="F47" s="1535"/>
      <c r="G47" s="1535"/>
      <c r="H47" s="1536"/>
      <c r="I47" s="1534" t="s">
        <v>350</v>
      </c>
      <c r="J47" s="1535"/>
      <c r="K47" s="1535"/>
      <c r="L47" s="1536"/>
      <c r="M47" s="1534" t="s">
        <v>351</v>
      </c>
      <c r="N47" s="1536"/>
      <c r="O47" s="1534" t="s">
        <v>352</v>
      </c>
      <c r="P47" s="1536"/>
      <c r="Q47" s="245">
        <v>1.625</v>
      </c>
      <c r="R47" s="78" t="s">
        <v>331</v>
      </c>
      <c r="S47" s="130">
        <v>52</v>
      </c>
      <c r="T47" s="45">
        <f t="shared" ref="T47:T73" si="4">+S47*Q47</f>
        <v>84.5</v>
      </c>
      <c r="U47" t="s">
        <v>1150</v>
      </c>
      <c r="V47" s="4"/>
      <c r="X47" s="4"/>
      <c r="Y47" s="1078"/>
      <c r="Z47" s="791"/>
    </row>
    <row r="48" spans="1:27" ht="46.5" customHeight="1">
      <c r="A48" s="1446"/>
      <c r="B48" s="1447"/>
      <c r="C48" s="1447"/>
      <c r="D48" s="1448"/>
      <c r="E48" s="1454" t="s">
        <v>852</v>
      </c>
      <c r="F48" s="1455"/>
      <c r="G48" s="1455"/>
      <c r="H48" s="1456"/>
      <c r="I48" s="1457" t="s">
        <v>350</v>
      </c>
      <c r="J48" s="1458"/>
      <c r="K48" s="1458"/>
      <c r="L48" s="1459"/>
      <c r="M48" s="1457" t="s">
        <v>354</v>
      </c>
      <c r="N48" s="1459"/>
      <c r="O48" s="1457" t="s">
        <v>355</v>
      </c>
      <c r="P48" s="1459"/>
      <c r="Q48" s="242">
        <v>1.46</v>
      </c>
      <c r="R48" s="201" t="s">
        <v>851</v>
      </c>
      <c r="S48" s="124">
        <v>56</v>
      </c>
      <c r="T48" s="46">
        <f t="shared" si="4"/>
        <v>81.759999999999991</v>
      </c>
      <c r="U48" t="s">
        <v>1150</v>
      </c>
      <c r="V48" s="4"/>
      <c r="X48" s="4"/>
      <c r="Y48" s="1078"/>
      <c r="Z48" s="791"/>
    </row>
    <row r="49" spans="1:26" ht="40.200000000000003" customHeight="1">
      <c r="A49" s="1446"/>
      <c r="B49" s="1447"/>
      <c r="C49" s="1447"/>
      <c r="D49" s="1448"/>
      <c r="E49" s="1457" t="s">
        <v>349</v>
      </c>
      <c r="F49" s="1458"/>
      <c r="G49" s="1458"/>
      <c r="H49" s="1459"/>
      <c r="I49" s="1457" t="s">
        <v>356</v>
      </c>
      <c r="J49" s="1458"/>
      <c r="K49" s="1458"/>
      <c r="L49" s="1459"/>
      <c r="M49" s="1457" t="s">
        <v>351</v>
      </c>
      <c r="N49" s="1459"/>
      <c r="O49" s="1457" t="s">
        <v>352</v>
      </c>
      <c r="P49" s="1459"/>
      <c r="Q49" s="244">
        <v>2.4849999999999999</v>
      </c>
      <c r="R49" s="123" t="s">
        <v>331</v>
      </c>
      <c r="S49" s="124">
        <v>63</v>
      </c>
      <c r="T49" s="46">
        <f t="shared" si="4"/>
        <v>156.55499999999998</v>
      </c>
      <c r="U49" t="s">
        <v>1150</v>
      </c>
      <c r="V49" s="4"/>
      <c r="X49" s="4"/>
      <c r="Y49" s="1078"/>
      <c r="Z49" s="791"/>
    </row>
    <row r="50" spans="1:26" ht="144" customHeight="1">
      <c r="A50" s="1446"/>
      <c r="B50" s="1447"/>
      <c r="C50" s="1447"/>
      <c r="D50" s="1448"/>
      <c r="E50" s="1454" t="s">
        <v>855</v>
      </c>
      <c r="F50" s="1455"/>
      <c r="G50" s="1455"/>
      <c r="H50" s="1456"/>
      <c r="I50" s="1457" t="s">
        <v>356</v>
      </c>
      <c r="J50" s="1458"/>
      <c r="K50" s="1458"/>
      <c r="L50" s="1459"/>
      <c r="M50" s="1457" t="s">
        <v>354</v>
      </c>
      <c r="N50" s="1459"/>
      <c r="O50" s="1457" t="s">
        <v>355</v>
      </c>
      <c r="P50" s="1459"/>
      <c r="Q50" s="242">
        <v>2.4350000000000001</v>
      </c>
      <c r="R50" s="572" t="s">
        <v>854</v>
      </c>
      <c r="S50" s="124">
        <v>64</v>
      </c>
      <c r="T50" s="46">
        <f t="shared" si="4"/>
        <v>155.84</v>
      </c>
      <c r="U50" t="s">
        <v>1150</v>
      </c>
      <c r="V50" s="4"/>
      <c r="X50" s="4"/>
      <c r="Y50" s="1078"/>
      <c r="Z50" s="791"/>
    </row>
    <row r="51" spans="1:26" ht="40.200000000000003" customHeight="1">
      <c r="A51" s="1446"/>
      <c r="B51" s="1447"/>
      <c r="C51" s="1447"/>
      <c r="D51" s="1448"/>
      <c r="E51" s="1457" t="s">
        <v>349</v>
      </c>
      <c r="F51" s="1458"/>
      <c r="G51" s="1458"/>
      <c r="H51" s="1459"/>
      <c r="I51" s="1457" t="s">
        <v>357</v>
      </c>
      <c r="J51" s="1458"/>
      <c r="K51" s="1458"/>
      <c r="L51" s="1459"/>
      <c r="M51" s="1457" t="s">
        <v>351</v>
      </c>
      <c r="N51" s="1459"/>
      <c r="O51" s="1457" t="s">
        <v>352</v>
      </c>
      <c r="P51" s="1459"/>
      <c r="Q51" s="244">
        <v>3.75</v>
      </c>
      <c r="R51" s="123" t="s">
        <v>331</v>
      </c>
      <c r="S51" s="124">
        <v>4</v>
      </c>
      <c r="T51" s="46">
        <f t="shared" si="4"/>
        <v>15</v>
      </c>
      <c r="U51" t="s">
        <v>1150</v>
      </c>
      <c r="V51" s="4"/>
      <c r="X51" s="4"/>
      <c r="Y51" s="1078"/>
      <c r="Z51" s="791"/>
    </row>
    <row r="52" spans="1:26" ht="40.200000000000003" customHeight="1">
      <c r="A52" s="1446"/>
      <c r="B52" s="1447"/>
      <c r="C52" s="1447"/>
      <c r="D52" s="1448"/>
      <c r="E52" s="1457" t="s">
        <v>353</v>
      </c>
      <c r="F52" s="1458"/>
      <c r="G52" s="1458"/>
      <c r="H52" s="1459"/>
      <c r="I52" s="1457" t="s">
        <v>357</v>
      </c>
      <c r="J52" s="1458"/>
      <c r="K52" s="1458"/>
      <c r="L52" s="1459"/>
      <c r="M52" s="1457" t="s">
        <v>354</v>
      </c>
      <c r="N52" s="1459"/>
      <c r="O52" s="1457" t="s">
        <v>355</v>
      </c>
      <c r="P52" s="1459"/>
      <c r="Q52" s="242">
        <v>3.2149999999999999</v>
      </c>
      <c r="R52" s="123" t="s">
        <v>331</v>
      </c>
      <c r="S52" s="124">
        <v>4</v>
      </c>
      <c r="T52" s="46">
        <f t="shared" si="4"/>
        <v>12.86</v>
      </c>
      <c r="U52" t="s">
        <v>1150</v>
      </c>
      <c r="V52" s="4"/>
      <c r="X52" s="4"/>
      <c r="Y52" s="1078"/>
      <c r="Z52" s="791"/>
    </row>
    <row r="53" spans="1:26" ht="40.200000000000003" customHeight="1">
      <c r="A53" s="1446"/>
      <c r="B53" s="1447"/>
      <c r="C53" s="1447"/>
      <c r="D53" s="1448"/>
      <c r="E53" s="1457" t="s">
        <v>349</v>
      </c>
      <c r="F53" s="1458"/>
      <c r="G53" s="1458"/>
      <c r="H53" s="1459"/>
      <c r="I53" s="1457" t="s">
        <v>358</v>
      </c>
      <c r="J53" s="1458"/>
      <c r="K53" s="1458"/>
      <c r="L53" s="1459"/>
      <c r="M53" s="1457" t="s">
        <v>351</v>
      </c>
      <c r="N53" s="1459"/>
      <c r="O53" s="1457" t="s">
        <v>352</v>
      </c>
      <c r="P53" s="1459"/>
      <c r="Q53" s="244">
        <v>5.9580000000000002</v>
      </c>
      <c r="R53" s="123" t="s">
        <v>331</v>
      </c>
      <c r="S53" s="124"/>
      <c r="T53" s="46">
        <f t="shared" si="4"/>
        <v>0</v>
      </c>
      <c r="U53" t="s">
        <v>1150</v>
      </c>
      <c r="V53" s="4"/>
      <c r="X53" s="4"/>
      <c r="Y53" s="1078"/>
      <c r="Z53" s="791"/>
    </row>
    <row r="54" spans="1:26" ht="40.200000000000003" customHeight="1">
      <c r="A54" s="1446"/>
      <c r="B54" s="1447"/>
      <c r="C54" s="1447"/>
      <c r="D54" s="1448"/>
      <c r="E54" s="1457" t="s">
        <v>353</v>
      </c>
      <c r="F54" s="1458"/>
      <c r="G54" s="1458"/>
      <c r="H54" s="1459"/>
      <c r="I54" s="1457" t="s">
        <v>358</v>
      </c>
      <c r="J54" s="1458"/>
      <c r="K54" s="1458"/>
      <c r="L54" s="1459"/>
      <c r="M54" s="1457" t="s">
        <v>354</v>
      </c>
      <c r="N54" s="1459"/>
      <c r="O54" s="1457" t="s">
        <v>355</v>
      </c>
      <c r="P54" s="1459"/>
      <c r="Q54" s="242">
        <v>7.141</v>
      </c>
      <c r="R54" s="123" t="s">
        <v>331</v>
      </c>
      <c r="S54" s="124"/>
      <c r="T54" s="46">
        <f t="shared" si="4"/>
        <v>0</v>
      </c>
      <c r="U54" t="s">
        <v>1150</v>
      </c>
      <c r="V54" s="4"/>
      <c r="X54" s="4"/>
      <c r="Y54" s="1078"/>
      <c r="Z54" s="791"/>
    </row>
    <row r="55" spans="1:26" ht="40.200000000000003" customHeight="1">
      <c r="A55" s="1446"/>
      <c r="B55" s="1447"/>
      <c r="C55" s="1447"/>
      <c r="D55" s="1448"/>
      <c r="E55" s="1457" t="s">
        <v>349</v>
      </c>
      <c r="F55" s="1458"/>
      <c r="G55" s="1458"/>
      <c r="H55" s="1459"/>
      <c r="I55" s="1457" t="s">
        <v>359</v>
      </c>
      <c r="J55" s="1458"/>
      <c r="K55" s="1458"/>
      <c r="L55" s="1459"/>
      <c r="M55" s="1457" t="s">
        <v>351</v>
      </c>
      <c r="N55" s="1459"/>
      <c r="O55" s="1457" t="s">
        <v>352</v>
      </c>
      <c r="P55" s="1459"/>
      <c r="Q55" s="244">
        <v>7.4764999999999997</v>
      </c>
      <c r="R55" s="123" t="s">
        <v>331</v>
      </c>
      <c r="S55" s="124"/>
      <c r="T55" s="46">
        <f t="shared" si="4"/>
        <v>0</v>
      </c>
      <c r="U55" t="s">
        <v>1150</v>
      </c>
      <c r="V55" s="4"/>
      <c r="X55" s="4"/>
      <c r="Y55" s="1078"/>
      <c r="Z55" s="791"/>
    </row>
    <row r="56" spans="1:26" ht="40.200000000000003" customHeight="1">
      <c r="A56" s="1446"/>
      <c r="B56" s="1447"/>
      <c r="C56" s="1447"/>
      <c r="D56" s="1448"/>
      <c r="E56" s="1457" t="s">
        <v>353</v>
      </c>
      <c r="F56" s="1458"/>
      <c r="G56" s="1458"/>
      <c r="H56" s="1459"/>
      <c r="I56" s="1457" t="s">
        <v>359</v>
      </c>
      <c r="J56" s="1458"/>
      <c r="K56" s="1458"/>
      <c r="L56" s="1459"/>
      <c r="M56" s="1457" t="s">
        <v>354</v>
      </c>
      <c r="N56" s="1459"/>
      <c r="O56" s="1457" t="s">
        <v>355</v>
      </c>
      <c r="P56" s="1459"/>
      <c r="Q56" s="242">
        <v>9.4995000000000012</v>
      </c>
      <c r="R56" s="123" t="s">
        <v>331</v>
      </c>
      <c r="S56" s="124"/>
      <c r="T56" s="46">
        <f t="shared" si="4"/>
        <v>0</v>
      </c>
      <c r="U56" t="s">
        <v>1146</v>
      </c>
      <c r="V56" s="4"/>
      <c r="X56" s="4"/>
      <c r="Y56" s="1078"/>
      <c r="Z56" s="791"/>
    </row>
    <row r="57" spans="1:26" ht="40.200000000000003" customHeight="1">
      <c r="A57" s="1446"/>
      <c r="B57" s="1447"/>
      <c r="C57" s="1447"/>
      <c r="D57" s="1448"/>
      <c r="E57" s="1457" t="s">
        <v>349</v>
      </c>
      <c r="F57" s="1458"/>
      <c r="G57" s="1458"/>
      <c r="H57" s="1459"/>
      <c r="I57" s="1457" t="s">
        <v>360</v>
      </c>
      <c r="J57" s="1458"/>
      <c r="K57" s="1458"/>
      <c r="L57" s="1459"/>
      <c r="M57" s="1457" t="s">
        <v>351</v>
      </c>
      <c r="N57" s="1459"/>
      <c r="O57" s="1457" t="s">
        <v>352</v>
      </c>
      <c r="P57" s="1459"/>
      <c r="Q57" s="244">
        <v>8.6920000000000002</v>
      </c>
      <c r="R57" s="123" t="s">
        <v>331</v>
      </c>
      <c r="S57" s="124"/>
      <c r="T57" s="46">
        <f t="shared" si="4"/>
        <v>0</v>
      </c>
      <c r="U57" t="s">
        <v>1150</v>
      </c>
      <c r="V57" s="4"/>
      <c r="X57" s="4"/>
      <c r="Y57" s="1078"/>
      <c r="Z57" s="791"/>
    </row>
    <row r="58" spans="1:26" ht="90" customHeight="1">
      <c r="A58" s="1446"/>
      <c r="B58" s="1447"/>
      <c r="C58" s="1447"/>
      <c r="D58" s="1448"/>
      <c r="E58" s="1454" t="s">
        <v>1180</v>
      </c>
      <c r="F58" s="1455"/>
      <c r="G58" s="1455"/>
      <c r="H58" s="1456"/>
      <c r="I58" s="1457" t="s">
        <v>360</v>
      </c>
      <c r="J58" s="1458"/>
      <c r="K58" s="1458"/>
      <c r="L58" s="1459"/>
      <c r="M58" s="1457" t="s">
        <v>354</v>
      </c>
      <c r="N58" s="1459"/>
      <c r="O58" s="1457" t="s">
        <v>355</v>
      </c>
      <c r="P58" s="1459"/>
      <c r="Q58" s="242">
        <v>11.924499999999998</v>
      </c>
      <c r="R58" s="123" t="s">
        <v>331</v>
      </c>
      <c r="S58" s="124"/>
      <c r="T58" s="46">
        <f t="shared" si="4"/>
        <v>0</v>
      </c>
      <c r="U58" t="s">
        <v>1146</v>
      </c>
      <c r="V58" s="4"/>
      <c r="X58" s="4"/>
      <c r="Y58" s="1078"/>
      <c r="Z58" s="791"/>
    </row>
    <row r="59" spans="1:26" ht="40.200000000000003" customHeight="1">
      <c r="A59" s="1446"/>
      <c r="B59" s="1447"/>
      <c r="C59" s="1447"/>
      <c r="D59" s="1448"/>
      <c r="E59" s="1457" t="s">
        <v>349</v>
      </c>
      <c r="F59" s="1458"/>
      <c r="G59" s="1458"/>
      <c r="H59" s="1459"/>
      <c r="I59" s="1457" t="s">
        <v>361</v>
      </c>
      <c r="J59" s="1458"/>
      <c r="K59" s="1458"/>
      <c r="L59" s="1459"/>
      <c r="M59" s="1457" t="s">
        <v>351</v>
      </c>
      <c r="N59" s="1459"/>
      <c r="O59" s="1457" t="s">
        <v>352</v>
      </c>
      <c r="P59" s="1459"/>
      <c r="Q59" s="244">
        <v>8.7899999999999991</v>
      </c>
      <c r="R59" s="123" t="s">
        <v>331</v>
      </c>
      <c r="S59" s="124"/>
      <c r="T59" s="46">
        <f t="shared" si="4"/>
        <v>0</v>
      </c>
      <c r="U59" t="s">
        <v>1150</v>
      </c>
      <c r="V59" s="4"/>
      <c r="X59" s="4"/>
      <c r="Y59" s="1078"/>
      <c r="Z59" s="791"/>
    </row>
    <row r="60" spans="1:26" ht="40.200000000000003" customHeight="1">
      <c r="A60" s="1446"/>
      <c r="B60" s="1447"/>
      <c r="C60" s="1447"/>
      <c r="D60" s="1448"/>
      <c r="E60" s="1457" t="s">
        <v>353</v>
      </c>
      <c r="F60" s="1458"/>
      <c r="G60" s="1458"/>
      <c r="H60" s="1459"/>
      <c r="I60" s="1457" t="s">
        <v>361</v>
      </c>
      <c r="J60" s="1458"/>
      <c r="K60" s="1458"/>
      <c r="L60" s="1459"/>
      <c r="M60" s="1457" t="s">
        <v>354</v>
      </c>
      <c r="N60" s="1459"/>
      <c r="O60" s="1457" t="s">
        <v>355</v>
      </c>
      <c r="P60" s="1459"/>
      <c r="Q60" s="242">
        <v>14.59</v>
      </c>
      <c r="R60" s="123" t="s">
        <v>331</v>
      </c>
      <c r="S60" s="124"/>
      <c r="T60" s="46">
        <f t="shared" si="4"/>
        <v>0</v>
      </c>
      <c r="U60" t="s">
        <v>1146</v>
      </c>
      <c r="V60" s="4"/>
      <c r="X60" s="4"/>
      <c r="Y60" s="1078"/>
      <c r="Z60" s="791"/>
    </row>
    <row r="61" spans="1:26" ht="40.200000000000003" customHeight="1">
      <c r="A61" s="1446"/>
      <c r="B61" s="1447"/>
      <c r="C61" s="1447"/>
      <c r="D61" s="1448"/>
      <c r="E61" s="1457" t="s">
        <v>349</v>
      </c>
      <c r="F61" s="1458"/>
      <c r="G61" s="1458"/>
      <c r="H61" s="1459"/>
      <c r="I61" s="1513" t="s">
        <v>362</v>
      </c>
      <c r="J61" s="1514"/>
      <c r="K61" s="1514"/>
      <c r="L61" s="1515"/>
      <c r="M61" s="1457" t="s">
        <v>351</v>
      </c>
      <c r="N61" s="1459"/>
      <c r="O61" s="1457" t="s">
        <v>352</v>
      </c>
      <c r="P61" s="1459"/>
      <c r="Q61" s="244">
        <v>10.130000000000001</v>
      </c>
      <c r="R61" s="123" t="s">
        <v>331</v>
      </c>
      <c r="S61" s="124"/>
      <c r="T61" s="46">
        <f t="shared" si="4"/>
        <v>0</v>
      </c>
      <c r="U61" t="s">
        <v>1150</v>
      </c>
      <c r="V61" s="4"/>
      <c r="X61" s="4"/>
      <c r="Y61" s="1078"/>
      <c r="Z61" s="791"/>
    </row>
    <row r="62" spans="1:26" ht="40.200000000000003" customHeight="1">
      <c r="A62" s="1446"/>
      <c r="B62" s="1447"/>
      <c r="C62" s="1447"/>
      <c r="D62" s="1448"/>
      <c r="E62" s="1457" t="s">
        <v>353</v>
      </c>
      <c r="F62" s="1458"/>
      <c r="G62" s="1458"/>
      <c r="H62" s="1459"/>
      <c r="I62" s="1457" t="s">
        <v>362</v>
      </c>
      <c r="J62" s="1458"/>
      <c r="K62" s="1458"/>
      <c r="L62" s="1459"/>
      <c r="M62" s="1457" t="s">
        <v>354</v>
      </c>
      <c r="N62" s="1459"/>
      <c r="O62" s="1457" t="s">
        <v>355</v>
      </c>
      <c r="P62" s="1459"/>
      <c r="Q62" s="242">
        <v>17.835000000000001</v>
      </c>
      <c r="R62" s="123" t="s">
        <v>331</v>
      </c>
      <c r="S62" s="124"/>
      <c r="T62" s="46">
        <f t="shared" si="4"/>
        <v>0</v>
      </c>
      <c r="U62" t="s">
        <v>1146</v>
      </c>
      <c r="V62" s="4"/>
      <c r="X62" s="4"/>
      <c r="Y62" s="1078"/>
      <c r="Z62" s="791"/>
    </row>
    <row r="63" spans="1:26" ht="40.200000000000003" customHeight="1">
      <c r="A63" s="1446"/>
      <c r="B63" s="1447"/>
      <c r="C63" s="1447"/>
      <c r="D63" s="1448"/>
      <c r="E63" s="1493" t="s">
        <v>349</v>
      </c>
      <c r="F63" s="1503"/>
      <c r="G63" s="1503"/>
      <c r="H63" s="1494"/>
      <c r="I63" s="1493" t="s">
        <v>363</v>
      </c>
      <c r="J63" s="1503"/>
      <c r="K63" s="1503"/>
      <c r="L63" s="1494"/>
      <c r="M63" s="1493" t="s">
        <v>351</v>
      </c>
      <c r="N63" s="1494"/>
      <c r="O63" s="1493" t="s">
        <v>352</v>
      </c>
      <c r="P63" s="1494"/>
      <c r="Q63" s="386">
        <v>13.221</v>
      </c>
      <c r="R63" s="123" t="s">
        <v>331</v>
      </c>
      <c r="S63" s="124"/>
      <c r="T63" s="46">
        <f t="shared" si="4"/>
        <v>0</v>
      </c>
      <c r="U63" t="s">
        <v>1150</v>
      </c>
      <c r="V63" s="4"/>
      <c r="X63" s="4"/>
      <c r="Y63" s="1078"/>
      <c r="Z63" s="791"/>
    </row>
    <row r="64" spans="1:26" ht="40.200000000000003" customHeight="1">
      <c r="A64" s="1446"/>
      <c r="B64" s="1447"/>
      <c r="C64" s="1447"/>
      <c r="D64" s="1448"/>
      <c r="E64" s="1457" t="s">
        <v>353</v>
      </c>
      <c r="F64" s="1458"/>
      <c r="G64" s="1458"/>
      <c r="H64" s="1459"/>
      <c r="I64" s="1457" t="s">
        <v>363</v>
      </c>
      <c r="J64" s="1458"/>
      <c r="K64" s="1458"/>
      <c r="L64" s="1459"/>
      <c r="M64" s="1457" t="s">
        <v>354</v>
      </c>
      <c r="N64" s="1459"/>
      <c r="O64" s="1457" t="s">
        <v>355</v>
      </c>
      <c r="P64" s="1459"/>
      <c r="Q64" s="387">
        <v>22.260999999999999</v>
      </c>
      <c r="R64" s="123" t="s">
        <v>331</v>
      </c>
      <c r="S64" s="124"/>
      <c r="T64" s="46">
        <f t="shared" si="4"/>
        <v>0</v>
      </c>
      <c r="U64" t="s">
        <v>1146</v>
      </c>
      <c r="V64" s="4"/>
      <c r="X64" s="4"/>
      <c r="Y64" s="1078"/>
      <c r="Z64" s="791"/>
    </row>
    <row r="65" spans="1:26" ht="40.200000000000003" customHeight="1">
      <c r="A65" s="1446"/>
      <c r="B65" s="1447"/>
      <c r="C65" s="1447"/>
      <c r="D65" s="1448"/>
      <c r="E65" s="1493" t="s">
        <v>349</v>
      </c>
      <c r="F65" s="1503"/>
      <c r="G65" s="1503"/>
      <c r="H65" s="1494"/>
      <c r="I65" s="1493" t="s">
        <v>364</v>
      </c>
      <c r="J65" s="1503"/>
      <c r="K65" s="1503"/>
      <c r="L65" s="1494"/>
      <c r="M65" s="1493" t="s">
        <v>351</v>
      </c>
      <c r="N65" s="1494"/>
      <c r="O65" s="1493" t="s">
        <v>352</v>
      </c>
      <c r="P65" s="1494"/>
      <c r="Q65" s="386">
        <v>14.321999999999999</v>
      </c>
      <c r="R65" s="123" t="s">
        <v>331</v>
      </c>
      <c r="S65" s="124"/>
      <c r="T65" s="46">
        <f t="shared" si="4"/>
        <v>0</v>
      </c>
      <c r="U65" t="s">
        <v>1150</v>
      </c>
      <c r="V65" s="4"/>
      <c r="X65" s="4"/>
      <c r="Y65" s="1078"/>
      <c r="Z65" s="791"/>
    </row>
    <row r="66" spans="1:26" ht="40.200000000000003" customHeight="1">
      <c r="A66" s="1446"/>
      <c r="B66" s="1447"/>
      <c r="C66" s="1447"/>
      <c r="D66" s="1448"/>
      <c r="E66" s="1457" t="s">
        <v>353</v>
      </c>
      <c r="F66" s="1458"/>
      <c r="G66" s="1458"/>
      <c r="H66" s="1459"/>
      <c r="I66" s="1457" t="s">
        <v>364</v>
      </c>
      <c r="J66" s="1458"/>
      <c r="K66" s="1458"/>
      <c r="L66" s="1459"/>
      <c r="M66" s="1457" t="s">
        <v>354</v>
      </c>
      <c r="N66" s="1459"/>
      <c r="O66" s="1457" t="s">
        <v>355</v>
      </c>
      <c r="P66" s="1459"/>
      <c r="Q66" s="387">
        <v>25.957999999999998</v>
      </c>
      <c r="R66" s="123" t="s">
        <v>331</v>
      </c>
      <c r="S66" s="124"/>
      <c r="T66" s="46">
        <f t="shared" si="4"/>
        <v>0</v>
      </c>
      <c r="U66" t="s">
        <v>1146</v>
      </c>
      <c r="V66" s="4"/>
      <c r="X66" s="4"/>
      <c r="Y66" s="1078"/>
      <c r="Z66" s="791"/>
    </row>
    <row r="67" spans="1:26" ht="40.200000000000003" customHeight="1">
      <c r="A67" s="1446"/>
      <c r="B67" s="1447"/>
      <c r="C67" s="1447"/>
      <c r="D67" s="1448"/>
      <c r="E67" s="1493" t="s">
        <v>349</v>
      </c>
      <c r="F67" s="1503"/>
      <c r="G67" s="1503"/>
      <c r="H67" s="1494"/>
      <c r="I67" s="1493" t="s">
        <v>365</v>
      </c>
      <c r="J67" s="1503"/>
      <c r="K67" s="1503"/>
      <c r="L67" s="1494"/>
      <c r="M67" s="1493" t="s">
        <v>351</v>
      </c>
      <c r="N67" s="1494"/>
      <c r="O67" s="1493" t="s">
        <v>352</v>
      </c>
      <c r="P67" s="1494"/>
      <c r="Q67" s="386">
        <v>15.215</v>
      </c>
      <c r="R67" s="123" t="s">
        <v>331</v>
      </c>
      <c r="S67" s="124"/>
      <c r="T67" s="46">
        <f t="shared" si="4"/>
        <v>0</v>
      </c>
      <c r="U67" t="s">
        <v>1150</v>
      </c>
      <c r="V67" s="4"/>
      <c r="X67" s="4"/>
      <c r="Y67" s="1078"/>
      <c r="Z67" s="791"/>
    </row>
    <row r="68" spans="1:26" ht="40.200000000000003" customHeight="1">
      <c r="A68" s="1446"/>
      <c r="B68" s="1447"/>
      <c r="C68" s="1447"/>
      <c r="D68" s="1448"/>
      <c r="E68" s="1457" t="s">
        <v>353</v>
      </c>
      <c r="F68" s="1458"/>
      <c r="G68" s="1458"/>
      <c r="H68" s="1459"/>
      <c r="I68" s="1457" t="s">
        <v>365</v>
      </c>
      <c r="J68" s="1458"/>
      <c r="K68" s="1458"/>
      <c r="L68" s="1459"/>
      <c r="M68" s="1457" t="s">
        <v>354</v>
      </c>
      <c r="N68" s="1459"/>
      <c r="O68" s="1457" t="s">
        <v>355</v>
      </c>
      <c r="P68" s="1459"/>
      <c r="Q68" s="387">
        <v>29.805</v>
      </c>
      <c r="R68" s="123" t="s">
        <v>331</v>
      </c>
      <c r="S68" s="124"/>
      <c r="T68" s="46">
        <f t="shared" si="4"/>
        <v>0</v>
      </c>
      <c r="U68" t="s">
        <v>1146</v>
      </c>
      <c r="V68" s="4"/>
      <c r="X68" s="4"/>
      <c r="Y68" s="1078"/>
      <c r="Z68" s="791"/>
    </row>
    <row r="69" spans="1:26" ht="40.200000000000003" customHeight="1">
      <c r="A69" s="1446"/>
      <c r="B69" s="1447"/>
      <c r="C69" s="1447"/>
      <c r="D69" s="1448"/>
      <c r="E69" s="1493" t="s">
        <v>349</v>
      </c>
      <c r="F69" s="1503"/>
      <c r="G69" s="1503"/>
      <c r="H69" s="1494"/>
      <c r="I69" s="1493" t="s">
        <v>366</v>
      </c>
      <c r="J69" s="1503"/>
      <c r="K69" s="1503"/>
      <c r="L69" s="1494"/>
      <c r="M69" s="1493" t="s">
        <v>351</v>
      </c>
      <c r="N69" s="1494"/>
      <c r="O69" s="1493" t="s">
        <v>352</v>
      </c>
      <c r="P69" s="1494"/>
      <c r="Q69" s="386">
        <v>16.213000000000001</v>
      </c>
      <c r="R69" s="123" t="s">
        <v>331</v>
      </c>
      <c r="S69" s="124"/>
      <c r="T69" s="46">
        <f t="shared" si="4"/>
        <v>0</v>
      </c>
      <c r="U69" t="s">
        <v>1150</v>
      </c>
      <c r="V69" s="4"/>
      <c r="X69" s="4"/>
      <c r="Y69" s="1078"/>
      <c r="Z69" s="791"/>
    </row>
    <row r="70" spans="1:26" ht="40.200000000000003" customHeight="1">
      <c r="A70" s="1446"/>
      <c r="B70" s="1447"/>
      <c r="C70" s="1447"/>
      <c r="D70" s="1448"/>
      <c r="E70" s="1457" t="s">
        <v>353</v>
      </c>
      <c r="F70" s="1458"/>
      <c r="G70" s="1458"/>
      <c r="H70" s="1459"/>
      <c r="I70" s="1457" t="s">
        <v>366</v>
      </c>
      <c r="J70" s="1458"/>
      <c r="K70" s="1458"/>
      <c r="L70" s="1459"/>
      <c r="M70" s="1457" t="s">
        <v>354</v>
      </c>
      <c r="N70" s="1459"/>
      <c r="O70" s="1457" t="s">
        <v>355</v>
      </c>
      <c r="P70" s="1459"/>
      <c r="Q70" s="387">
        <v>37.844999999999999</v>
      </c>
      <c r="R70" s="123" t="s">
        <v>331</v>
      </c>
      <c r="S70" s="124"/>
      <c r="T70" s="46">
        <f t="shared" si="4"/>
        <v>0</v>
      </c>
      <c r="U70" t="s">
        <v>1146</v>
      </c>
      <c r="V70" s="4"/>
      <c r="X70" s="4"/>
      <c r="Y70" s="1078"/>
      <c r="Z70" s="791"/>
    </row>
    <row r="71" spans="1:26" ht="55.5" customHeight="1">
      <c r="A71" s="1446"/>
      <c r="B71" s="1447"/>
      <c r="C71" s="1447"/>
      <c r="D71" s="1448"/>
      <c r="E71" s="1493" t="s">
        <v>349</v>
      </c>
      <c r="F71" s="1503"/>
      <c r="G71" s="1503"/>
      <c r="H71" s="1494"/>
      <c r="I71" s="1493" t="s">
        <v>367</v>
      </c>
      <c r="J71" s="1503"/>
      <c r="K71" s="1503"/>
      <c r="L71" s="1494"/>
      <c r="M71" s="1493" t="s">
        <v>351</v>
      </c>
      <c r="N71" s="1494"/>
      <c r="O71" s="1493" t="s">
        <v>352</v>
      </c>
      <c r="P71" s="1494"/>
      <c r="Q71" s="386">
        <v>17.216999999999999</v>
      </c>
      <c r="R71" s="123" t="s">
        <v>331</v>
      </c>
      <c r="S71" s="124"/>
      <c r="T71" s="46">
        <f t="shared" si="4"/>
        <v>0</v>
      </c>
      <c r="U71" s="97" t="s">
        <v>1150</v>
      </c>
      <c r="V71" s="4"/>
      <c r="X71" s="4"/>
      <c r="Y71" s="1078"/>
      <c r="Z71" s="791"/>
    </row>
    <row r="72" spans="1:26" ht="55.5" customHeight="1">
      <c r="A72" s="1446"/>
      <c r="B72" s="1447"/>
      <c r="C72" s="1447"/>
      <c r="D72" s="1448"/>
      <c r="E72" s="1584" t="s">
        <v>353</v>
      </c>
      <c r="F72" s="1503"/>
      <c r="G72" s="1503"/>
      <c r="H72" s="1494"/>
      <c r="I72" s="1493" t="s">
        <v>367</v>
      </c>
      <c r="J72" s="1503"/>
      <c r="K72" s="1503"/>
      <c r="L72" s="1494"/>
      <c r="M72" s="1493" t="s">
        <v>354</v>
      </c>
      <c r="N72" s="1494"/>
      <c r="O72" s="1493" t="s">
        <v>355</v>
      </c>
      <c r="P72" s="1494"/>
      <c r="Q72" s="386">
        <v>46.143000000000001</v>
      </c>
      <c r="R72" s="123" t="s">
        <v>331</v>
      </c>
      <c r="S72" s="394"/>
      <c r="T72" s="46">
        <f t="shared" si="4"/>
        <v>0</v>
      </c>
      <c r="U72" s="97" t="s">
        <v>1146</v>
      </c>
      <c r="V72" s="4"/>
      <c r="X72" s="4"/>
      <c r="Y72" s="1078"/>
      <c r="Z72" s="791"/>
    </row>
    <row r="73" spans="1:26" ht="55.5" customHeight="1">
      <c r="A73" s="1446"/>
      <c r="B73" s="1447"/>
      <c r="C73" s="1447"/>
      <c r="D73" s="1448"/>
      <c r="E73" s="1495" t="s">
        <v>353</v>
      </c>
      <c r="F73" s="1500"/>
      <c r="G73" s="1500"/>
      <c r="H73" s="573"/>
      <c r="I73" s="1495" t="s">
        <v>758</v>
      </c>
      <c r="J73" s="1500"/>
      <c r="K73" s="1500"/>
      <c r="L73" s="1501"/>
      <c r="M73" s="1502" t="s">
        <v>354</v>
      </c>
      <c r="N73" s="1501"/>
      <c r="O73" s="1502" t="s">
        <v>355</v>
      </c>
      <c r="P73" s="1501"/>
      <c r="Q73" s="462">
        <v>52.526299999999999</v>
      </c>
      <c r="R73" s="393" t="s">
        <v>331</v>
      </c>
      <c r="S73" s="394"/>
      <c r="T73" s="46">
        <f t="shared" si="4"/>
        <v>0</v>
      </c>
      <c r="U73" t="s">
        <v>1146</v>
      </c>
      <c r="V73" s="4"/>
      <c r="X73" s="4"/>
      <c r="Y73" s="1078"/>
      <c r="Z73" s="791"/>
    </row>
    <row r="74" spans="1:26" ht="40.200000000000003" customHeight="1" thickBot="1">
      <c r="A74" s="1446"/>
      <c r="B74" s="1447"/>
      <c r="C74" s="1447"/>
      <c r="D74" s="1448"/>
      <c r="E74" s="1506" t="s">
        <v>353</v>
      </c>
      <c r="F74" s="1507"/>
      <c r="G74" s="1507"/>
      <c r="H74" s="1508"/>
      <c r="I74" s="1506" t="s">
        <v>759</v>
      </c>
      <c r="J74" s="1507"/>
      <c r="K74" s="1507"/>
      <c r="L74" s="1508"/>
      <c r="M74" s="1498" t="s">
        <v>354</v>
      </c>
      <c r="N74" s="1499"/>
      <c r="O74" s="1498" t="s">
        <v>355</v>
      </c>
      <c r="P74" s="1499"/>
      <c r="Q74" s="702">
        <v>59.865000000000002</v>
      </c>
      <c r="R74" s="393" t="s">
        <v>331</v>
      </c>
      <c r="S74" s="394"/>
      <c r="T74" s="395">
        <f>+S74*Q74</f>
        <v>0</v>
      </c>
      <c r="U74" t="s">
        <v>1146</v>
      </c>
      <c r="V74" s="4"/>
      <c r="X74" s="4"/>
      <c r="Y74" s="1078"/>
      <c r="Z74" s="791"/>
    </row>
    <row r="75" spans="1:26" ht="12.75" customHeight="1">
      <c r="A75" s="1433"/>
      <c r="B75" s="1434"/>
      <c r="C75" s="1434"/>
      <c r="D75" s="1435"/>
      <c r="E75" s="1439"/>
      <c r="F75" s="1439"/>
      <c r="G75" s="1439"/>
      <c r="H75" s="1439"/>
      <c r="I75" s="1439"/>
      <c r="J75" s="1439"/>
      <c r="K75" s="1439"/>
      <c r="L75" s="1439"/>
      <c r="M75" s="151"/>
      <c r="N75" s="151"/>
      <c r="O75" s="1509"/>
      <c r="P75" s="1509"/>
      <c r="Q75" s="703"/>
      <c r="R75" s="78"/>
      <c r="S75" s="130"/>
      <c r="T75" s="45"/>
      <c r="V75" s="4"/>
      <c r="X75" s="4"/>
      <c r="Y75" s="1078"/>
      <c r="Z75" s="791"/>
    </row>
    <row r="76" spans="1:26" ht="12" customHeight="1">
      <c r="A76" s="1436"/>
      <c r="B76" s="1437"/>
      <c r="C76" s="1437"/>
      <c r="D76" s="1438"/>
      <c r="E76" s="1208"/>
      <c r="F76" s="1208"/>
      <c r="G76" s="1208"/>
      <c r="H76" s="1208"/>
      <c r="I76" s="1208"/>
      <c r="J76" s="1208"/>
      <c r="K76" s="1208"/>
      <c r="L76" s="1208"/>
      <c r="M76" s="152"/>
      <c r="N76" s="152"/>
      <c r="O76" s="1510"/>
      <c r="P76" s="1510"/>
      <c r="Q76" s="387"/>
      <c r="R76" s="123"/>
      <c r="S76" s="124"/>
      <c r="T76" s="46"/>
      <c r="V76" s="4"/>
      <c r="X76" s="4"/>
      <c r="Y76" s="1078"/>
      <c r="Z76" s="791"/>
    </row>
    <row r="77" spans="1:26" ht="15" customHeight="1">
      <c r="A77" s="1436"/>
      <c r="B77" s="1437"/>
      <c r="C77" s="1437"/>
      <c r="D77" s="1438"/>
      <c r="E77" s="1208"/>
      <c r="F77" s="1208"/>
      <c r="G77" s="1208"/>
      <c r="H77" s="1208"/>
      <c r="I77" s="1208"/>
      <c r="J77" s="1208"/>
      <c r="K77" s="1208"/>
      <c r="L77" s="1208"/>
      <c r="M77" s="152"/>
      <c r="N77" s="152"/>
      <c r="O77" s="1510"/>
      <c r="P77" s="1510"/>
      <c r="Q77" s="387"/>
      <c r="R77" s="123"/>
      <c r="S77" s="124"/>
      <c r="T77" s="46"/>
      <c r="V77" s="4"/>
      <c r="X77" s="4"/>
      <c r="Y77" s="1078"/>
      <c r="Z77" s="791"/>
    </row>
    <row r="78" spans="1:26" ht="12.75" customHeight="1" thickBot="1">
      <c r="A78" s="1436"/>
      <c r="B78" s="1437"/>
      <c r="C78" s="1437"/>
      <c r="D78" s="1438"/>
      <c r="E78" s="1440"/>
      <c r="F78" s="1441"/>
      <c r="G78" s="1441"/>
      <c r="H78" s="1442"/>
      <c r="I78" s="1440"/>
      <c r="J78" s="1441"/>
      <c r="K78" s="1441"/>
      <c r="L78" s="1442"/>
      <c r="M78" s="675"/>
      <c r="N78" s="675"/>
      <c r="O78" s="1511"/>
      <c r="P78" s="1512"/>
      <c r="Q78" s="348"/>
      <c r="R78" s="327"/>
      <c r="S78" s="349"/>
      <c r="T78" s="350"/>
      <c r="V78" s="4"/>
      <c r="X78" s="4"/>
      <c r="Y78" s="1078"/>
      <c r="Z78" s="791"/>
    </row>
    <row r="79" spans="1:26" ht="94.95" customHeight="1">
      <c r="A79" s="1443" t="s">
        <v>333</v>
      </c>
      <c r="B79" s="1444"/>
      <c r="C79" s="1444"/>
      <c r="D79" s="1445"/>
      <c r="E79" s="1449" t="s">
        <v>1385</v>
      </c>
      <c r="F79" s="1450"/>
      <c r="G79" s="1450"/>
      <c r="H79" s="1451"/>
      <c r="I79" s="1449" t="s">
        <v>1456</v>
      </c>
      <c r="J79" s="1450"/>
      <c r="K79" s="1450"/>
      <c r="L79" s="1451"/>
      <c r="M79" s="1452" t="s">
        <v>1014</v>
      </c>
      <c r="N79" s="1453"/>
      <c r="O79" s="1452" t="s">
        <v>1412</v>
      </c>
      <c r="P79" s="1453"/>
      <c r="Q79" s="599">
        <v>0.8</v>
      </c>
      <c r="R79" s="78" t="s">
        <v>331</v>
      </c>
      <c r="S79" s="130"/>
      <c r="T79" s="45">
        <f>+S79*Q79</f>
        <v>0</v>
      </c>
      <c r="U79" s="660" t="s">
        <v>1147</v>
      </c>
      <c r="V79" s="4"/>
      <c r="X79" s="4"/>
      <c r="Y79" s="1078"/>
      <c r="Z79" s="791"/>
    </row>
    <row r="80" spans="1:26" ht="37.200000000000003" customHeight="1">
      <c r="A80" s="1446"/>
      <c r="B80" s="1447"/>
      <c r="C80" s="1447"/>
      <c r="D80" s="1448"/>
      <c r="E80" s="1460" t="s">
        <v>334</v>
      </c>
      <c r="F80" s="1532"/>
      <c r="G80" s="1532"/>
      <c r="H80" s="1461"/>
      <c r="I80" s="1585" t="s">
        <v>1444</v>
      </c>
      <c r="J80" s="1586"/>
      <c r="K80" s="1586"/>
      <c r="L80" s="1587"/>
      <c r="M80" s="1460" t="s">
        <v>335</v>
      </c>
      <c r="N80" s="1461"/>
      <c r="O80" s="1460" t="s">
        <v>336</v>
      </c>
      <c r="P80" s="1461"/>
      <c r="Q80" s="599">
        <v>2.5</v>
      </c>
      <c r="R80" s="227" t="s">
        <v>331</v>
      </c>
      <c r="S80" s="638">
        <v>42</v>
      </c>
      <c r="T80" s="639">
        <f t="shared" ref="T80:T96" si="5">+S80*Q80</f>
        <v>105</v>
      </c>
      <c r="U80" s="772" t="s">
        <v>1146</v>
      </c>
      <c r="V80" s="4"/>
      <c r="X80" s="4"/>
      <c r="Y80" s="1078"/>
      <c r="Z80" s="791"/>
    </row>
    <row r="81" spans="1:26" ht="31.95" customHeight="1">
      <c r="A81" s="1446"/>
      <c r="B81" s="1447"/>
      <c r="C81" s="1447"/>
      <c r="D81" s="1448"/>
      <c r="E81" s="1454" t="s">
        <v>754</v>
      </c>
      <c r="F81" s="1455"/>
      <c r="G81" s="1455"/>
      <c r="H81" s="1456"/>
      <c r="I81" s="1457" t="s">
        <v>613</v>
      </c>
      <c r="J81" s="1458"/>
      <c r="K81" s="1458"/>
      <c r="L81" s="1459"/>
      <c r="M81" s="1457" t="s">
        <v>335</v>
      </c>
      <c r="N81" s="1459"/>
      <c r="O81" s="1457" t="s">
        <v>336</v>
      </c>
      <c r="P81" s="1459"/>
      <c r="Q81" s="242">
        <v>4</v>
      </c>
      <c r="R81" s="123" t="s">
        <v>331</v>
      </c>
      <c r="S81" s="124">
        <v>89</v>
      </c>
      <c r="T81" s="46">
        <f t="shared" si="5"/>
        <v>356</v>
      </c>
      <c r="U81" s="772" t="s">
        <v>1146</v>
      </c>
      <c r="V81" s="4"/>
      <c r="X81" s="4"/>
      <c r="Y81" s="1078"/>
      <c r="Z81" s="791"/>
    </row>
    <row r="82" spans="1:26" ht="32.4" customHeight="1">
      <c r="A82" s="1446"/>
      <c r="B82" s="1447"/>
      <c r="C82" s="1447"/>
      <c r="D82" s="1448"/>
      <c r="E82" s="1454" t="s">
        <v>691</v>
      </c>
      <c r="F82" s="1455"/>
      <c r="G82" s="1455"/>
      <c r="H82" s="1456"/>
      <c r="I82" s="1454" t="s">
        <v>4</v>
      </c>
      <c r="J82" s="1455"/>
      <c r="K82" s="1455"/>
      <c r="L82" s="1456"/>
      <c r="M82" s="1457" t="s">
        <v>37</v>
      </c>
      <c r="N82" s="1459"/>
      <c r="O82" s="1457" t="s">
        <v>341</v>
      </c>
      <c r="P82" s="1459"/>
      <c r="Q82" s="242">
        <v>3.125</v>
      </c>
      <c r="R82" s="123" t="s">
        <v>331</v>
      </c>
      <c r="S82" s="124"/>
      <c r="T82" s="46">
        <f t="shared" si="5"/>
        <v>0</v>
      </c>
      <c r="U82" s="772" t="s">
        <v>1146</v>
      </c>
      <c r="V82" s="4"/>
      <c r="X82" s="4"/>
      <c r="Y82" s="1078"/>
      <c r="Z82" s="791"/>
    </row>
    <row r="83" spans="1:26" ht="37.200000000000003" customHeight="1">
      <c r="A83" s="1446"/>
      <c r="B83" s="1447"/>
      <c r="C83" s="1447"/>
      <c r="D83" s="1448"/>
      <c r="E83" s="1457" t="s">
        <v>35</v>
      </c>
      <c r="F83" s="1458"/>
      <c r="G83" s="1458"/>
      <c r="H83" s="1459"/>
      <c r="I83" s="1454" t="s">
        <v>36</v>
      </c>
      <c r="J83" s="1455"/>
      <c r="K83" s="1455"/>
      <c r="L83" s="1456"/>
      <c r="M83" s="1457" t="s">
        <v>335</v>
      </c>
      <c r="N83" s="1459"/>
      <c r="O83" s="1457" t="s">
        <v>336</v>
      </c>
      <c r="P83" s="1459"/>
      <c r="Q83" s="242">
        <v>4.2</v>
      </c>
      <c r="R83" s="123" t="s">
        <v>331</v>
      </c>
      <c r="S83" s="124">
        <v>79</v>
      </c>
      <c r="T83" s="46">
        <f t="shared" si="5"/>
        <v>331.8</v>
      </c>
      <c r="U83" s="772" t="s">
        <v>1146</v>
      </c>
      <c r="V83" s="4"/>
      <c r="X83" s="4"/>
      <c r="Y83" s="1078"/>
      <c r="Z83" s="791"/>
    </row>
    <row r="84" spans="1:26" ht="13.8">
      <c r="A84" s="1446"/>
      <c r="B84" s="1447"/>
      <c r="C84" s="1447"/>
      <c r="D84" s="1448"/>
      <c r="E84" s="1311" t="s">
        <v>109</v>
      </c>
      <c r="F84" s="1496"/>
      <c r="G84" s="1496"/>
      <c r="H84" s="1370"/>
      <c r="I84" s="1495" t="s">
        <v>779</v>
      </c>
      <c r="J84" s="1455"/>
      <c r="K84" s="1455"/>
      <c r="L84" s="1456"/>
      <c r="M84" s="1311" t="s">
        <v>335</v>
      </c>
      <c r="N84" s="1529"/>
      <c r="O84" s="1311" t="s">
        <v>584</v>
      </c>
      <c r="P84" s="1529"/>
      <c r="Q84" s="1582">
        <v>6.5</v>
      </c>
      <c r="R84" s="143" t="s">
        <v>331</v>
      </c>
      <c r="S84" s="396"/>
      <c r="T84" s="397">
        <f t="shared" si="5"/>
        <v>0</v>
      </c>
      <c r="U84" s="772" t="s">
        <v>1146</v>
      </c>
      <c r="V84" s="4"/>
      <c r="X84" s="4"/>
      <c r="Y84" s="1078"/>
      <c r="Z84" s="791"/>
    </row>
    <row r="85" spans="1:26" ht="163.95" customHeight="1">
      <c r="A85" s="1446"/>
      <c r="B85" s="1447"/>
      <c r="C85" s="1447"/>
      <c r="D85" s="1448"/>
      <c r="E85" s="1312"/>
      <c r="F85" s="1497"/>
      <c r="G85" s="1497"/>
      <c r="H85" s="1371"/>
      <c r="I85" s="1526" t="s">
        <v>1011</v>
      </c>
      <c r="J85" s="1527"/>
      <c r="K85" s="1527"/>
      <c r="L85" s="1528"/>
      <c r="M85" s="1530"/>
      <c r="N85" s="1531"/>
      <c r="O85" s="1530"/>
      <c r="P85" s="1531"/>
      <c r="Q85" s="1583"/>
      <c r="R85" s="143" t="s">
        <v>331</v>
      </c>
      <c r="S85" s="396"/>
      <c r="T85" s="397">
        <f t="shared" si="5"/>
        <v>0</v>
      </c>
      <c r="U85" s="778" t="s">
        <v>1147</v>
      </c>
      <c r="V85" s="4"/>
      <c r="X85" s="4"/>
      <c r="Y85" s="1078"/>
      <c r="Z85" s="791"/>
    </row>
    <row r="86" spans="1:26" ht="42" customHeight="1">
      <c r="A86" s="1446"/>
      <c r="B86" s="1447"/>
      <c r="C86" s="1447"/>
      <c r="D86" s="1448"/>
      <c r="E86" s="1454" t="s">
        <v>682</v>
      </c>
      <c r="F86" s="1455"/>
      <c r="G86" s="1455"/>
      <c r="H86" s="1456"/>
      <c r="I86" s="1454" t="s">
        <v>683</v>
      </c>
      <c r="J86" s="1455"/>
      <c r="K86" s="1455"/>
      <c r="L86" s="1456"/>
      <c r="M86" s="1454" t="s">
        <v>335</v>
      </c>
      <c r="N86" s="1456"/>
      <c r="O86" s="1454" t="s">
        <v>336</v>
      </c>
      <c r="P86" s="1456"/>
      <c r="Q86" s="242">
        <v>4.49</v>
      </c>
      <c r="R86" s="123" t="s">
        <v>331</v>
      </c>
      <c r="S86" s="124"/>
      <c r="T86" s="46">
        <f t="shared" si="5"/>
        <v>0</v>
      </c>
      <c r="U86" s="772" t="s">
        <v>1146</v>
      </c>
      <c r="V86" s="4"/>
      <c r="X86" s="4"/>
      <c r="Y86" s="1078"/>
      <c r="Z86" s="791"/>
    </row>
    <row r="87" spans="1:26" ht="40.200000000000003" customHeight="1">
      <c r="A87" s="1446"/>
      <c r="B87" s="1447"/>
      <c r="C87" s="1447"/>
      <c r="D87" s="1448"/>
      <c r="E87" s="1454" t="s">
        <v>337</v>
      </c>
      <c r="F87" s="1455"/>
      <c r="G87" s="1455"/>
      <c r="H87" s="1456"/>
      <c r="I87" s="1454" t="s">
        <v>338</v>
      </c>
      <c r="J87" s="1455"/>
      <c r="K87" s="1455"/>
      <c r="L87" s="1456"/>
      <c r="M87" s="1457" t="s">
        <v>340</v>
      </c>
      <c r="N87" s="1459"/>
      <c r="O87" s="1457" t="s">
        <v>341</v>
      </c>
      <c r="P87" s="1459"/>
      <c r="Q87" s="242">
        <v>1.4</v>
      </c>
      <c r="R87" s="123" t="s">
        <v>331</v>
      </c>
      <c r="S87" s="124">
        <v>50</v>
      </c>
      <c r="T87" s="46">
        <f t="shared" si="5"/>
        <v>70</v>
      </c>
      <c r="U87" s="772" t="s">
        <v>1146</v>
      </c>
      <c r="V87" s="4"/>
      <c r="X87" s="1126"/>
      <c r="Y87" s="1127"/>
      <c r="Z87" s="1142"/>
    </row>
    <row r="88" spans="1:26" ht="40.200000000000003" customHeight="1">
      <c r="A88" s="1446"/>
      <c r="B88" s="1447"/>
      <c r="C88" s="1447"/>
      <c r="D88" s="1448"/>
      <c r="E88" s="1454" t="s">
        <v>569</v>
      </c>
      <c r="F88" s="1455"/>
      <c r="G88" s="1455"/>
      <c r="H88" s="1456"/>
      <c r="I88" s="1457" t="s">
        <v>339</v>
      </c>
      <c r="J88" s="1458"/>
      <c r="K88" s="1458"/>
      <c r="L88" s="1459"/>
      <c r="M88" s="1457" t="s">
        <v>340</v>
      </c>
      <c r="N88" s="1459"/>
      <c r="O88" s="1457" t="s">
        <v>341</v>
      </c>
      <c r="P88" s="1459"/>
      <c r="Q88" s="242">
        <v>2.2999999999999998</v>
      </c>
      <c r="R88" s="123" t="s">
        <v>331</v>
      </c>
      <c r="S88" s="124"/>
      <c r="T88" s="46">
        <f t="shared" si="5"/>
        <v>0</v>
      </c>
      <c r="U88" s="772" t="s">
        <v>1146</v>
      </c>
      <c r="V88" s="4"/>
      <c r="X88" s="4"/>
      <c r="Y88" s="1078"/>
      <c r="Z88" s="791"/>
    </row>
    <row r="89" spans="1:26" ht="48.75" customHeight="1">
      <c r="A89" s="1446"/>
      <c r="B89" s="1447"/>
      <c r="C89" s="1447"/>
      <c r="D89" s="1448"/>
      <c r="E89" s="1454" t="s">
        <v>585</v>
      </c>
      <c r="F89" s="1455"/>
      <c r="G89" s="1455"/>
      <c r="H89" s="1456"/>
      <c r="I89" s="1454" t="s">
        <v>107</v>
      </c>
      <c r="J89" s="1455"/>
      <c r="K89" s="1455"/>
      <c r="L89" s="1456"/>
      <c r="M89" s="1454" t="s">
        <v>108</v>
      </c>
      <c r="N89" s="1456"/>
      <c r="O89" s="1457" t="s">
        <v>336</v>
      </c>
      <c r="P89" s="1459"/>
      <c r="Q89" s="242">
        <v>4</v>
      </c>
      <c r="R89" s="123" t="s">
        <v>331</v>
      </c>
      <c r="S89" s="124">
        <v>5</v>
      </c>
      <c r="T89" s="46">
        <f>+S89*Q89</f>
        <v>20</v>
      </c>
      <c r="U89" s="778" t="s">
        <v>1151</v>
      </c>
      <c r="V89" s="4"/>
      <c r="X89" s="1126"/>
      <c r="Y89" s="1127"/>
      <c r="Z89" s="791"/>
    </row>
    <row r="90" spans="1:26" ht="40.200000000000003" customHeight="1">
      <c r="A90" s="1446"/>
      <c r="B90" s="1447"/>
      <c r="C90" s="1447"/>
      <c r="D90" s="1448"/>
      <c r="E90" s="1457" t="s">
        <v>342</v>
      </c>
      <c r="F90" s="1458"/>
      <c r="G90" s="1458"/>
      <c r="H90" s="1459"/>
      <c r="I90" s="1457" t="s">
        <v>343</v>
      </c>
      <c r="J90" s="1458"/>
      <c r="K90" s="1458"/>
      <c r="L90" s="1459"/>
      <c r="M90" s="1457" t="s">
        <v>344</v>
      </c>
      <c r="N90" s="1459"/>
      <c r="O90" s="1457" t="s">
        <v>336</v>
      </c>
      <c r="P90" s="1459"/>
      <c r="Q90" s="242">
        <v>1.74</v>
      </c>
      <c r="R90" s="123" t="s">
        <v>331</v>
      </c>
      <c r="S90" s="124">
        <v>3</v>
      </c>
      <c r="T90" s="46">
        <f t="shared" si="5"/>
        <v>5.22</v>
      </c>
      <c r="U90" s="461" t="s">
        <v>1151</v>
      </c>
      <c r="V90" s="4"/>
      <c r="X90" s="1126"/>
      <c r="Y90" s="1127"/>
      <c r="Z90" s="791"/>
    </row>
    <row r="91" spans="1:26" ht="40.200000000000003" customHeight="1">
      <c r="A91" s="1446"/>
      <c r="B91" s="1447"/>
      <c r="C91" s="1447"/>
      <c r="D91" s="1448"/>
      <c r="E91" s="1457" t="s">
        <v>345</v>
      </c>
      <c r="F91" s="1458"/>
      <c r="G91" s="1458"/>
      <c r="H91" s="1459"/>
      <c r="I91" s="1457" t="s">
        <v>345</v>
      </c>
      <c r="J91" s="1458"/>
      <c r="K91" s="1458"/>
      <c r="L91" s="1459"/>
      <c r="M91" s="1457" t="s">
        <v>335</v>
      </c>
      <c r="N91" s="1459"/>
      <c r="O91" s="1457" t="s">
        <v>336</v>
      </c>
      <c r="P91" s="1459"/>
      <c r="Q91" s="242">
        <v>5.5</v>
      </c>
      <c r="R91" s="123" t="s">
        <v>331</v>
      </c>
      <c r="S91" s="124"/>
      <c r="T91" s="46">
        <f t="shared" si="5"/>
        <v>0</v>
      </c>
      <c r="U91" s="461" t="s">
        <v>1146</v>
      </c>
      <c r="V91" s="4"/>
      <c r="X91" s="4"/>
      <c r="Y91" s="1078"/>
      <c r="Z91" s="791"/>
    </row>
    <row r="92" spans="1:26" ht="40.200000000000003" hidden="1" customHeight="1">
      <c r="A92" s="1446"/>
      <c r="B92" s="1447"/>
      <c r="C92" s="1447"/>
      <c r="D92" s="1448"/>
      <c r="E92" s="1521" t="s">
        <v>346</v>
      </c>
      <c r="F92" s="1522"/>
      <c r="G92" s="1522"/>
      <c r="H92" s="1523"/>
      <c r="I92" s="1518" t="s">
        <v>347</v>
      </c>
      <c r="J92" s="1520"/>
      <c r="K92" s="1520"/>
      <c r="L92" s="1519"/>
      <c r="M92" s="1518" t="s">
        <v>642</v>
      </c>
      <c r="N92" s="1519"/>
      <c r="O92" s="1518" t="s">
        <v>643</v>
      </c>
      <c r="P92" s="1519"/>
      <c r="Q92" s="855">
        <v>4</v>
      </c>
      <c r="R92" s="856" t="s">
        <v>331</v>
      </c>
      <c r="S92" s="124"/>
      <c r="T92" s="46">
        <f t="shared" si="5"/>
        <v>0</v>
      </c>
      <c r="U92" s="461" t="s">
        <v>1359</v>
      </c>
      <c r="V92" s="4"/>
      <c r="X92" s="4"/>
      <c r="Y92" s="1078"/>
      <c r="Z92" s="791"/>
    </row>
    <row r="93" spans="1:26" ht="40.200000000000003" customHeight="1">
      <c r="A93" s="1446"/>
      <c r="B93" s="1447"/>
      <c r="C93" s="1447"/>
      <c r="D93" s="1448"/>
      <c r="E93" s="1454" t="s">
        <v>658</v>
      </c>
      <c r="F93" s="1455"/>
      <c r="G93" s="1455"/>
      <c r="H93" s="1456"/>
      <c r="I93" s="1457" t="s">
        <v>571</v>
      </c>
      <c r="J93" s="1458"/>
      <c r="K93" s="1458"/>
      <c r="L93" s="1459"/>
      <c r="M93" s="1457" t="s">
        <v>348</v>
      </c>
      <c r="N93" s="1459"/>
      <c r="O93" s="1457" t="s">
        <v>641</v>
      </c>
      <c r="P93" s="1459"/>
      <c r="Q93" s="242">
        <v>6</v>
      </c>
      <c r="R93" s="123" t="s">
        <v>331</v>
      </c>
      <c r="S93" s="124"/>
      <c r="T93" s="46">
        <f t="shared" si="5"/>
        <v>0</v>
      </c>
      <c r="U93" s="461" t="s">
        <v>1147</v>
      </c>
      <c r="V93" s="4"/>
      <c r="X93" s="4"/>
      <c r="Y93" s="1078"/>
      <c r="Z93" s="791"/>
    </row>
    <row r="94" spans="1:26" ht="40.200000000000003" customHeight="1">
      <c r="A94" s="1446"/>
      <c r="B94" s="1447"/>
      <c r="C94" s="1447"/>
      <c r="D94" s="1448"/>
      <c r="E94" s="1506" t="s">
        <v>570</v>
      </c>
      <c r="F94" s="1507"/>
      <c r="G94" s="1507"/>
      <c r="H94" s="1508"/>
      <c r="I94" s="1516" t="s">
        <v>520</v>
      </c>
      <c r="J94" s="1525"/>
      <c r="K94" s="1525"/>
      <c r="L94" s="1517"/>
      <c r="M94" s="392"/>
      <c r="N94" s="413" t="s">
        <v>348</v>
      </c>
      <c r="O94" s="1516" t="s">
        <v>521</v>
      </c>
      <c r="P94" s="1517"/>
      <c r="Q94" s="416">
        <v>3.53</v>
      </c>
      <c r="R94" s="399" t="s">
        <v>331</v>
      </c>
      <c r="S94" s="400"/>
      <c r="T94" s="395">
        <f>+S94*Q94</f>
        <v>0</v>
      </c>
      <c r="U94" s="461" t="s">
        <v>1146</v>
      </c>
      <c r="V94" s="4"/>
      <c r="X94" s="4"/>
      <c r="Y94" s="1078"/>
      <c r="Z94" s="791"/>
    </row>
    <row r="95" spans="1:26" ht="105.75" customHeight="1">
      <c r="A95" s="1446"/>
      <c r="B95" s="1447"/>
      <c r="C95" s="1447"/>
      <c r="D95" s="1448"/>
      <c r="E95" s="1208" t="s">
        <v>702</v>
      </c>
      <c r="F95" s="1208"/>
      <c r="G95" s="1208"/>
      <c r="H95" s="1208"/>
      <c r="I95" s="1208" t="s">
        <v>826</v>
      </c>
      <c r="J95" s="1208"/>
      <c r="K95" s="1208"/>
      <c r="L95" s="1208"/>
      <c r="M95" s="460"/>
      <c r="N95" s="460" t="s">
        <v>348</v>
      </c>
      <c r="O95" s="1208" t="s">
        <v>703</v>
      </c>
      <c r="P95" s="1208"/>
      <c r="Q95" s="242">
        <v>9.75</v>
      </c>
      <c r="R95" s="123" t="s">
        <v>331</v>
      </c>
      <c r="S95" s="124"/>
      <c r="T95" s="46">
        <f t="shared" si="5"/>
        <v>0</v>
      </c>
      <c r="U95" s="461" t="s">
        <v>1146</v>
      </c>
      <c r="V95" s="4"/>
      <c r="X95" s="4"/>
      <c r="Y95" s="1078"/>
      <c r="Z95" s="791"/>
    </row>
    <row r="96" spans="1:26" ht="40.200000000000003" customHeight="1" thickBot="1">
      <c r="A96" s="1446"/>
      <c r="B96" s="1447"/>
      <c r="C96" s="1447"/>
      <c r="D96" s="1448"/>
      <c r="E96" s="1504" t="s">
        <v>110</v>
      </c>
      <c r="F96" s="1524"/>
      <c r="G96" s="1524"/>
      <c r="H96" s="1505"/>
      <c r="I96" s="1504" t="s">
        <v>522</v>
      </c>
      <c r="J96" s="1524"/>
      <c r="K96" s="1524"/>
      <c r="L96" s="1505"/>
      <c r="M96" s="1504" t="s">
        <v>111</v>
      </c>
      <c r="N96" s="1505"/>
      <c r="O96" s="1504" t="s">
        <v>112</v>
      </c>
      <c r="P96" s="1505"/>
      <c r="Q96" s="727">
        <v>6</v>
      </c>
      <c r="R96" s="399" t="s">
        <v>331</v>
      </c>
      <c r="S96" s="400">
        <v>1</v>
      </c>
      <c r="T96" s="479">
        <f t="shared" si="5"/>
        <v>6</v>
      </c>
      <c r="U96" s="461" t="s">
        <v>1146</v>
      </c>
      <c r="V96" s="4"/>
      <c r="X96" s="4"/>
      <c r="Y96" s="1078"/>
      <c r="Z96" s="791"/>
    </row>
    <row r="97" spans="1:26" ht="40.200000000000003" customHeight="1">
      <c r="A97" s="1426" t="s">
        <v>1106</v>
      </c>
      <c r="B97" s="1427"/>
      <c r="C97" s="1427"/>
      <c r="D97" s="1427"/>
      <c r="E97" s="1431" t="s">
        <v>1103</v>
      </c>
      <c r="F97" s="1431"/>
      <c r="G97" s="1431"/>
      <c r="H97" s="1431"/>
      <c r="I97" s="1431" t="s">
        <v>1096</v>
      </c>
      <c r="J97" s="1431"/>
      <c r="K97" s="1431"/>
      <c r="L97" s="1431"/>
      <c r="M97" s="1431" t="s">
        <v>1104</v>
      </c>
      <c r="N97" s="1431"/>
      <c r="O97" s="1431" t="s">
        <v>1105</v>
      </c>
      <c r="P97" s="1431"/>
      <c r="Q97" s="736">
        <v>0.11169999999999999</v>
      </c>
      <c r="R97" s="767" t="s">
        <v>331</v>
      </c>
      <c r="S97" s="730"/>
      <c r="T97" s="731">
        <f t="shared" ref="T97:T103" si="6">+S97*$Q97</f>
        <v>0</v>
      </c>
      <c r="U97" s="385"/>
      <c r="V97" s="4"/>
      <c r="X97" s="4"/>
      <c r="Y97" s="1078"/>
      <c r="Z97" s="791"/>
    </row>
    <row r="98" spans="1:26" ht="40.200000000000003" customHeight="1">
      <c r="A98" s="1321"/>
      <c r="B98" s="1428"/>
      <c r="C98" s="1428"/>
      <c r="D98" s="1428"/>
      <c r="E98" s="1432"/>
      <c r="F98" s="1432"/>
      <c r="G98" s="1432"/>
      <c r="H98" s="1432"/>
      <c r="I98" s="1432" t="s">
        <v>1097</v>
      </c>
      <c r="J98" s="1432"/>
      <c r="K98" s="1432"/>
      <c r="L98" s="1432"/>
      <c r="M98" s="1432" t="s">
        <v>1104</v>
      </c>
      <c r="N98" s="1432"/>
      <c r="O98" s="1432" t="s">
        <v>1105</v>
      </c>
      <c r="P98" s="1432"/>
      <c r="Q98" s="737">
        <v>0.33500000000000002</v>
      </c>
      <c r="R98" s="768" t="s">
        <v>331</v>
      </c>
      <c r="S98" s="728"/>
      <c r="T98" s="732">
        <f t="shared" si="6"/>
        <v>0</v>
      </c>
      <c r="U98" s="385"/>
      <c r="V98" s="4"/>
      <c r="X98" s="4"/>
      <c r="Y98" s="1078"/>
      <c r="Z98" s="791"/>
    </row>
    <row r="99" spans="1:26" ht="40.200000000000003" customHeight="1">
      <c r="A99" s="1321"/>
      <c r="B99" s="1428"/>
      <c r="C99" s="1428"/>
      <c r="D99" s="1428"/>
      <c r="E99" s="1432"/>
      <c r="F99" s="1432"/>
      <c r="G99" s="1432"/>
      <c r="H99" s="1432"/>
      <c r="I99" s="1432" t="s">
        <v>1098</v>
      </c>
      <c r="J99" s="1432"/>
      <c r="K99" s="1432"/>
      <c r="L99" s="1432"/>
      <c r="M99" s="1432" t="s">
        <v>1104</v>
      </c>
      <c r="N99" s="1432"/>
      <c r="O99" s="1432" t="s">
        <v>1105</v>
      </c>
      <c r="P99" s="1432"/>
      <c r="Q99" s="737">
        <v>0.5</v>
      </c>
      <c r="R99" s="768" t="s">
        <v>331</v>
      </c>
      <c r="S99" s="728"/>
      <c r="T99" s="732">
        <f t="shared" si="6"/>
        <v>0</v>
      </c>
      <c r="U99" s="735"/>
      <c r="V99" s="4"/>
      <c r="X99" s="4"/>
      <c r="Y99" s="1078"/>
      <c r="Z99" s="791"/>
    </row>
    <row r="100" spans="1:26" ht="40.200000000000003" customHeight="1">
      <c r="A100" s="1321"/>
      <c r="B100" s="1428"/>
      <c r="C100" s="1428"/>
      <c r="D100" s="1428"/>
      <c r="E100" s="1432"/>
      <c r="F100" s="1432"/>
      <c r="G100" s="1432"/>
      <c r="H100" s="1432"/>
      <c r="I100" s="1432" t="s">
        <v>1099</v>
      </c>
      <c r="J100" s="1432"/>
      <c r="K100" s="1432"/>
      <c r="L100" s="1432"/>
      <c r="M100" s="1432" t="s">
        <v>1104</v>
      </c>
      <c r="N100" s="1432"/>
      <c r="O100" s="1432" t="s">
        <v>1105</v>
      </c>
      <c r="P100" s="1432"/>
      <c r="Q100" s="737">
        <v>1</v>
      </c>
      <c r="R100" s="768" t="s">
        <v>331</v>
      </c>
      <c r="S100" s="728"/>
      <c r="T100" s="732">
        <f t="shared" si="6"/>
        <v>0</v>
      </c>
      <c r="U100" s="385"/>
      <c r="V100" s="4"/>
      <c r="X100" s="4"/>
      <c r="Y100" s="1078"/>
      <c r="Z100" s="791"/>
    </row>
    <row r="101" spans="1:26" ht="40.200000000000003" customHeight="1">
      <c r="A101" s="1321"/>
      <c r="B101" s="1428"/>
      <c r="C101" s="1428"/>
      <c r="D101" s="1428"/>
      <c r="E101" s="1432" t="s">
        <v>1108</v>
      </c>
      <c r="F101" s="1432"/>
      <c r="G101" s="1432"/>
      <c r="H101" s="1432"/>
      <c r="I101" s="1432" t="s">
        <v>1100</v>
      </c>
      <c r="J101" s="1432"/>
      <c r="K101" s="1432"/>
      <c r="L101" s="1432"/>
      <c r="M101" s="1432" t="s">
        <v>1104</v>
      </c>
      <c r="N101" s="1432"/>
      <c r="O101" s="1432" t="s">
        <v>1105</v>
      </c>
      <c r="P101" s="1432"/>
      <c r="Q101" s="737">
        <v>0.1983</v>
      </c>
      <c r="R101" s="768" t="s">
        <v>331</v>
      </c>
      <c r="S101" s="728"/>
      <c r="T101" s="732">
        <f t="shared" si="6"/>
        <v>0</v>
      </c>
      <c r="U101" s="385"/>
      <c r="V101" s="4"/>
      <c r="X101" s="4"/>
      <c r="Y101" s="1078"/>
      <c r="Z101" s="791"/>
    </row>
    <row r="102" spans="1:26" ht="40.200000000000003" customHeight="1">
      <c r="A102" s="1321"/>
      <c r="B102" s="1428"/>
      <c r="C102" s="1428"/>
      <c r="D102" s="1428"/>
      <c r="E102" s="1432"/>
      <c r="F102" s="1432"/>
      <c r="G102" s="1432"/>
      <c r="H102" s="1432"/>
      <c r="I102" s="1432" t="s">
        <v>1101</v>
      </c>
      <c r="J102" s="1432"/>
      <c r="K102" s="1432"/>
      <c r="L102" s="1432"/>
      <c r="M102" s="1432" t="s">
        <v>1104</v>
      </c>
      <c r="N102" s="1432"/>
      <c r="O102" s="1432" t="s">
        <v>1105</v>
      </c>
      <c r="P102" s="1432"/>
      <c r="Q102" s="737">
        <v>0.29749999999999999</v>
      </c>
      <c r="R102" s="768" t="s">
        <v>331</v>
      </c>
      <c r="S102" s="728"/>
      <c r="T102" s="732">
        <f t="shared" si="6"/>
        <v>0</v>
      </c>
      <c r="U102" s="385"/>
      <c r="V102" s="4"/>
      <c r="X102" s="4"/>
      <c r="Y102" s="1078"/>
      <c r="Z102" s="791"/>
    </row>
    <row r="103" spans="1:26" ht="46.5" customHeight="1">
      <c r="A103" s="1321"/>
      <c r="B103" s="1428"/>
      <c r="C103" s="1428"/>
      <c r="D103" s="1428"/>
      <c r="E103" s="1432"/>
      <c r="F103" s="1432"/>
      <c r="G103" s="1432"/>
      <c r="H103" s="1432"/>
      <c r="I103" s="1432" t="s">
        <v>1102</v>
      </c>
      <c r="J103" s="1432"/>
      <c r="K103" s="1432"/>
      <c r="L103" s="1432"/>
      <c r="M103" s="1432" t="s">
        <v>1104</v>
      </c>
      <c r="N103" s="1432"/>
      <c r="O103" s="1432" t="s">
        <v>1105</v>
      </c>
      <c r="P103" s="1432"/>
      <c r="Q103" s="737">
        <v>0.59499999999999997</v>
      </c>
      <c r="R103" s="768" t="s">
        <v>331</v>
      </c>
      <c r="S103" s="728"/>
      <c r="T103" s="732">
        <f t="shared" si="6"/>
        <v>0</v>
      </c>
      <c r="U103" s="385"/>
      <c r="V103" s="4"/>
      <c r="X103" s="4"/>
      <c r="Y103" s="1078"/>
    </row>
    <row r="104" spans="1:26" ht="57.45" customHeight="1" thickBot="1">
      <c r="A104" s="1429"/>
      <c r="B104" s="1430"/>
      <c r="C104" s="1430"/>
      <c r="D104" s="1430"/>
      <c r="E104" s="1425"/>
      <c r="F104" s="1425"/>
      <c r="G104" s="1425"/>
      <c r="H104" s="1425"/>
      <c r="I104" s="1423" t="s">
        <v>1115</v>
      </c>
      <c r="J104" s="1424"/>
      <c r="K104" s="1424"/>
      <c r="L104" s="1424"/>
      <c r="M104" s="1425" t="s">
        <v>1104</v>
      </c>
      <c r="N104" s="1425"/>
      <c r="O104" s="1425" t="s">
        <v>1105</v>
      </c>
      <c r="P104" s="1425"/>
      <c r="Q104" s="738">
        <v>2.38</v>
      </c>
      <c r="R104" s="769" t="s">
        <v>331</v>
      </c>
      <c r="S104" s="733"/>
      <c r="T104" s="734">
        <f>+S104*$Q104</f>
        <v>0</v>
      </c>
      <c r="U104" s="385"/>
      <c r="V104" s="4"/>
      <c r="X104" s="4"/>
      <c r="Y104" s="1078"/>
    </row>
    <row r="105" spans="1:26" ht="70.2" customHeight="1">
      <c r="A105" s="1588" t="s">
        <v>1245</v>
      </c>
      <c r="B105" s="1589"/>
      <c r="C105" s="1589"/>
      <c r="D105" s="1590"/>
      <c r="E105" s="1601" t="s">
        <v>1228</v>
      </c>
      <c r="F105" s="1602"/>
      <c r="G105" s="1602"/>
      <c r="H105" s="1603"/>
      <c r="I105" s="1604" t="s">
        <v>1221</v>
      </c>
      <c r="J105" s="1605"/>
      <c r="K105" s="1605"/>
      <c r="L105" s="1606"/>
      <c r="M105" s="469"/>
      <c r="N105" s="469" t="s">
        <v>1229</v>
      </c>
      <c r="O105" s="1601" t="s">
        <v>1230</v>
      </c>
      <c r="P105" s="1603"/>
      <c r="Q105" s="736">
        <v>27</v>
      </c>
      <c r="R105" s="767" t="s">
        <v>331</v>
      </c>
      <c r="S105" s="810"/>
      <c r="T105" s="731">
        <f t="shared" ref="T105:T111" si="7">+S105*$Q105</f>
        <v>0</v>
      </c>
      <c r="U105" s="474"/>
      <c r="V105" s="4"/>
      <c r="X105" s="4"/>
      <c r="Y105" s="1078"/>
    </row>
    <row r="106" spans="1:26" ht="42.6" customHeight="1">
      <c r="A106" s="1591"/>
      <c r="B106" s="1592"/>
      <c r="C106" s="1592"/>
      <c r="D106" s="1593"/>
      <c r="E106" s="1607" t="s">
        <v>1238</v>
      </c>
      <c r="F106" s="1608"/>
      <c r="G106" s="1608"/>
      <c r="H106" s="1269"/>
      <c r="I106" s="1597" t="s">
        <v>1232</v>
      </c>
      <c r="J106" s="1597"/>
      <c r="K106" s="1597"/>
      <c r="L106" s="1597"/>
      <c r="M106" s="832"/>
      <c r="N106" s="832" t="s">
        <v>1231</v>
      </c>
      <c r="O106" s="1432" t="s">
        <v>1222</v>
      </c>
      <c r="P106" s="1432"/>
      <c r="Q106" s="815">
        <v>4.2</v>
      </c>
      <c r="R106" s="768" t="s">
        <v>331</v>
      </c>
      <c r="S106" s="396"/>
      <c r="T106" s="811">
        <f t="shared" si="7"/>
        <v>0</v>
      </c>
      <c r="U106" s="474"/>
      <c r="V106" s="4"/>
      <c r="X106" s="4"/>
      <c r="Y106" s="1143"/>
    </row>
    <row r="107" spans="1:26" ht="55.2" customHeight="1">
      <c r="A107" s="1591"/>
      <c r="B107" s="1592"/>
      <c r="C107" s="1592"/>
      <c r="D107" s="1593"/>
      <c r="E107" s="1609"/>
      <c r="F107" s="1610"/>
      <c r="G107" s="1610"/>
      <c r="H107" s="1270"/>
      <c r="I107" s="1597" t="s">
        <v>1233</v>
      </c>
      <c r="J107" s="1597"/>
      <c r="K107" s="1597"/>
      <c r="L107" s="1597"/>
      <c r="M107" s="832"/>
      <c r="N107" s="832" t="s">
        <v>1231</v>
      </c>
      <c r="O107" s="1432" t="s">
        <v>1226</v>
      </c>
      <c r="P107" s="1432"/>
      <c r="Q107" s="737">
        <v>3.3</v>
      </c>
      <c r="R107" s="768" t="s">
        <v>331</v>
      </c>
      <c r="S107" s="396"/>
      <c r="T107" s="811">
        <f t="shared" si="7"/>
        <v>0</v>
      </c>
      <c r="U107" s="474"/>
      <c r="V107" s="4"/>
      <c r="X107" s="4"/>
      <c r="Y107" s="1143"/>
    </row>
    <row r="108" spans="1:26" ht="55.2" customHeight="1">
      <c r="A108" s="1591"/>
      <c r="B108" s="1592"/>
      <c r="C108" s="1592"/>
      <c r="D108" s="1593"/>
      <c r="E108" s="1607" t="s">
        <v>1237</v>
      </c>
      <c r="F108" s="1608"/>
      <c r="G108" s="1608"/>
      <c r="H108" s="1269"/>
      <c r="I108" s="1597" t="s">
        <v>1234</v>
      </c>
      <c r="J108" s="1597"/>
      <c r="K108" s="1597"/>
      <c r="L108" s="1597"/>
      <c r="M108" s="832"/>
      <c r="N108" s="832" t="s">
        <v>1227</v>
      </c>
      <c r="O108" s="1432" t="s">
        <v>1222</v>
      </c>
      <c r="P108" s="1432"/>
      <c r="Q108" s="737">
        <v>15.3</v>
      </c>
      <c r="R108" s="768" t="s">
        <v>331</v>
      </c>
      <c r="S108" s="396"/>
      <c r="T108" s="811">
        <f t="shared" si="7"/>
        <v>0</v>
      </c>
      <c r="U108" s="474"/>
      <c r="V108" s="4"/>
      <c r="X108" s="4"/>
      <c r="Y108" s="1078"/>
    </row>
    <row r="109" spans="1:26" ht="39" customHeight="1">
      <c r="A109" s="1591"/>
      <c r="B109" s="1592"/>
      <c r="C109" s="1592"/>
      <c r="D109" s="1593"/>
      <c r="E109" s="1611"/>
      <c r="F109" s="1612"/>
      <c r="G109" s="1612"/>
      <c r="H109" s="1613"/>
      <c r="I109" s="1597" t="s">
        <v>1235</v>
      </c>
      <c r="J109" s="1597"/>
      <c r="K109" s="1597"/>
      <c r="L109" s="1597"/>
      <c r="M109" s="832"/>
      <c r="N109" s="832" t="s">
        <v>1227</v>
      </c>
      <c r="O109" s="1432" t="s">
        <v>1222</v>
      </c>
      <c r="P109" s="1432"/>
      <c r="Q109" s="737">
        <v>10.9</v>
      </c>
      <c r="R109" s="768" t="s">
        <v>331</v>
      </c>
      <c r="S109" s="396"/>
      <c r="T109" s="811">
        <f t="shared" si="7"/>
        <v>0</v>
      </c>
      <c r="U109" s="474"/>
      <c r="V109" s="4"/>
      <c r="X109" s="4"/>
      <c r="Y109" s="1078"/>
    </row>
    <row r="110" spans="1:26" ht="49.95" customHeight="1">
      <c r="A110" s="1591"/>
      <c r="B110" s="1592"/>
      <c r="C110" s="1592"/>
      <c r="D110" s="1593"/>
      <c r="E110" s="1609"/>
      <c r="F110" s="1610"/>
      <c r="G110" s="1610"/>
      <c r="H110" s="1270"/>
      <c r="I110" s="1597" t="s">
        <v>1236</v>
      </c>
      <c r="J110" s="1597"/>
      <c r="K110" s="1597"/>
      <c r="L110" s="1597"/>
      <c r="M110" s="832"/>
      <c r="N110" s="832" t="s">
        <v>1240</v>
      </c>
      <c r="O110" s="1432" t="s">
        <v>1225</v>
      </c>
      <c r="P110" s="1432"/>
      <c r="Q110" s="737">
        <v>6</v>
      </c>
      <c r="R110" s="768" t="s">
        <v>331</v>
      </c>
      <c r="S110" s="396"/>
      <c r="T110" s="811">
        <f t="shared" si="7"/>
        <v>0</v>
      </c>
      <c r="U110" s="814"/>
      <c r="V110" s="4"/>
      <c r="X110" s="4"/>
      <c r="Y110" s="1078"/>
    </row>
    <row r="111" spans="1:26" ht="67.95" customHeight="1" thickBot="1">
      <c r="A111" s="1594"/>
      <c r="B111" s="1595"/>
      <c r="C111" s="1595"/>
      <c r="D111" s="1596"/>
      <c r="E111" s="1598" t="s">
        <v>1239</v>
      </c>
      <c r="F111" s="1599"/>
      <c r="G111" s="1599"/>
      <c r="H111" s="1600"/>
      <c r="I111" s="1423" t="s">
        <v>1221</v>
      </c>
      <c r="J111" s="1423"/>
      <c r="K111" s="1423"/>
      <c r="L111" s="1423"/>
      <c r="M111" s="833"/>
      <c r="N111" s="833" t="s">
        <v>1223</v>
      </c>
      <c r="O111" s="1425" t="s">
        <v>1224</v>
      </c>
      <c r="P111" s="1425"/>
      <c r="Q111" s="738">
        <v>22</v>
      </c>
      <c r="R111" s="769" t="s">
        <v>331</v>
      </c>
      <c r="S111" s="812"/>
      <c r="T111" s="813">
        <f t="shared" si="7"/>
        <v>0</v>
      </c>
      <c r="U111" s="777"/>
      <c r="V111" s="4"/>
      <c r="X111" s="4"/>
      <c r="Y111" s="1078"/>
    </row>
    <row r="112" spans="1:26">
      <c r="A112" s="353"/>
      <c r="B112" s="354"/>
      <c r="C112" s="354"/>
      <c r="D112" s="355"/>
      <c r="E112" s="726"/>
      <c r="F112" s="726"/>
      <c r="G112" s="726"/>
      <c r="H112" s="726"/>
      <c r="I112" s="726"/>
      <c r="J112" s="726"/>
      <c r="K112" s="726"/>
      <c r="L112" s="726"/>
      <c r="M112" s="726"/>
      <c r="N112" s="726"/>
      <c r="O112" s="726"/>
      <c r="P112" s="729"/>
      <c r="Q112" s="96" t="s">
        <v>368</v>
      </c>
      <c r="T112" s="356">
        <f>SUM(T4:T111)</f>
        <v>1497.5349999999999</v>
      </c>
    </row>
  </sheetData>
  <protectedRanges>
    <protectedRange password="C915" sqref="S1:T83 S86:T65536" name="Range1"/>
    <protectedRange password="C915" sqref="S84:T85" name="Range1_1"/>
  </protectedRanges>
  <mergeCells count="320">
    <mergeCell ref="A105:D111"/>
    <mergeCell ref="I107:L107"/>
    <mergeCell ref="O107:P107"/>
    <mergeCell ref="I108:L108"/>
    <mergeCell ref="O108:P108"/>
    <mergeCell ref="E111:H111"/>
    <mergeCell ref="I111:L111"/>
    <mergeCell ref="O111:P111"/>
    <mergeCell ref="I110:L110"/>
    <mergeCell ref="O110:P110"/>
    <mergeCell ref="E105:H105"/>
    <mergeCell ref="I105:L105"/>
    <mergeCell ref="O105:P105"/>
    <mergeCell ref="I106:L106"/>
    <mergeCell ref="O106:P106"/>
    <mergeCell ref="E106:H107"/>
    <mergeCell ref="E108:H110"/>
    <mergeCell ref="I109:L109"/>
    <mergeCell ref="O109:P109"/>
    <mergeCell ref="Q84:Q85"/>
    <mergeCell ref="E39:H39"/>
    <mergeCell ref="E72:H72"/>
    <mergeCell ref="I72:L72"/>
    <mergeCell ref="M72:N72"/>
    <mergeCell ref="O72:P72"/>
    <mergeCell ref="O82:P82"/>
    <mergeCell ref="I52:L52"/>
    <mergeCell ref="M52:N52"/>
    <mergeCell ref="E52:H52"/>
    <mergeCell ref="O50:P50"/>
    <mergeCell ref="E49:H49"/>
    <mergeCell ref="I49:L49"/>
    <mergeCell ref="O52:P52"/>
    <mergeCell ref="O51:P51"/>
    <mergeCell ref="I57:L57"/>
    <mergeCell ref="M57:N57"/>
    <mergeCell ref="O84:P85"/>
    <mergeCell ref="I80:L80"/>
    <mergeCell ref="E83:H83"/>
    <mergeCell ref="I83:L83"/>
    <mergeCell ref="M83:N83"/>
    <mergeCell ref="O83:P83"/>
    <mergeCell ref="O55:P55"/>
    <mergeCell ref="O3:P3"/>
    <mergeCell ref="E45:H45"/>
    <mergeCell ref="O45:P45"/>
    <mergeCell ref="E58:H58"/>
    <mergeCell ref="I58:L58"/>
    <mergeCell ref="O53:P53"/>
    <mergeCell ref="E56:H56"/>
    <mergeCell ref="A47:D74"/>
    <mergeCell ref="I51:L51"/>
    <mergeCell ref="M51:N51"/>
    <mergeCell ref="E47:H47"/>
    <mergeCell ref="M49:N49"/>
    <mergeCell ref="I48:L48"/>
    <mergeCell ref="M48:N48"/>
    <mergeCell ref="M47:N47"/>
    <mergeCell ref="M53:N53"/>
    <mergeCell ref="A45:D45"/>
    <mergeCell ref="O56:P56"/>
    <mergeCell ref="M54:N54"/>
    <mergeCell ref="I54:L54"/>
    <mergeCell ref="E55:H55"/>
    <mergeCell ref="I55:L55"/>
    <mergeCell ref="M55:N55"/>
    <mergeCell ref="E48:H48"/>
    <mergeCell ref="M5:N5"/>
    <mergeCell ref="O5:P5"/>
    <mergeCell ref="O4:P4"/>
    <mergeCell ref="O6:P6"/>
    <mergeCell ref="A9:D9"/>
    <mergeCell ref="A7:D7"/>
    <mergeCell ref="M4:N4"/>
    <mergeCell ref="A8:D8"/>
    <mergeCell ref="I4:L4"/>
    <mergeCell ref="M6:N6"/>
    <mergeCell ref="E7:H7"/>
    <mergeCell ref="I7:L7"/>
    <mergeCell ref="I9:L9"/>
    <mergeCell ref="E9:H9"/>
    <mergeCell ref="A2:T2"/>
    <mergeCell ref="I45:L45"/>
    <mergeCell ref="O47:P47"/>
    <mergeCell ref="E44:H44"/>
    <mergeCell ref="I26:L44"/>
    <mergeCell ref="E31:H31"/>
    <mergeCell ref="E26:H26"/>
    <mergeCell ref="E34:H34"/>
    <mergeCell ref="N26:N44"/>
    <mergeCell ref="O26:P44"/>
    <mergeCell ref="E3:H3"/>
    <mergeCell ref="I3:L3"/>
    <mergeCell ref="I6:L6"/>
    <mergeCell ref="E10:H10"/>
    <mergeCell ref="E27:H27"/>
    <mergeCell ref="E28:H28"/>
    <mergeCell ref="A4:D6"/>
    <mergeCell ref="E4:H6"/>
    <mergeCell ref="I8:L8"/>
    <mergeCell ref="A3:D3"/>
    <mergeCell ref="O8:P8"/>
    <mergeCell ref="O9:P9"/>
    <mergeCell ref="M3:N3"/>
    <mergeCell ref="I5:L5"/>
    <mergeCell ref="O65:P65"/>
    <mergeCell ref="I63:L63"/>
    <mergeCell ref="I87:L87"/>
    <mergeCell ref="E16:H16"/>
    <mergeCell ref="O7:P7"/>
    <mergeCell ref="E8:H8"/>
    <mergeCell ref="I47:L47"/>
    <mergeCell ref="E38:H38"/>
    <mergeCell ref="E37:H37"/>
    <mergeCell ref="E63:H63"/>
    <mergeCell ref="E50:H50"/>
    <mergeCell ref="M50:N50"/>
    <mergeCell ref="E53:H53"/>
    <mergeCell ref="I53:L53"/>
    <mergeCell ref="E73:G73"/>
    <mergeCell ref="E35:H35"/>
    <mergeCell ref="E36:H36"/>
    <mergeCell ref="E40:H40"/>
    <mergeCell ref="O87:P87"/>
    <mergeCell ref="E22:H22"/>
    <mergeCell ref="E30:H30"/>
    <mergeCell ref="M60:N60"/>
    <mergeCell ref="E64:H64"/>
    <mergeCell ref="I64:L64"/>
    <mergeCell ref="I94:L94"/>
    <mergeCell ref="I85:L85"/>
    <mergeCell ref="M84:N85"/>
    <mergeCell ref="E51:H51"/>
    <mergeCell ref="E57:H57"/>
    <mergeCell ref="M67:N67"/>
    <mergeCell ref="E70:H70"/>
    <mergeCell ref="E67:H67"/>
    <mergeCell ref="I67:L67"/>
    <mergeCell ref="E66:H66"/>
    <mergeCell ref="I66:L66"/>
    <mergeCell ref="I68:L68"/>
    <mergeCell ref="E74:H74"/>
    <mergeCell ref="E69:H69"/>
    <mergeCell ref="I69:L69"/>
    <mergeCell ref="E80:H80"/>
    <mergeCell ref="E68:H68"/>
    <mergeCell ref="E71:H71"/>
    <mergeCell ref="E54:H54"/>
    <mergeCell ref="M58:N58"/>
    <mergeCell ref="E62:H62"/>
    <mergeCell ref="E59:H59"/>
    <mergeCell ref="E60:H60"/>
    <mergeCell ref="I60:L60"/>
    <mergeCell ref="E61:H61"/>
    <mergeCell ref="I61:L61"/>
    <mergeCell ref="I65:L65"/>
    <mergeCell ref="M65:N65"/>
    <mergeCell ref="E65:H65"/>
    <mergeCell ref="M66:N66"/>
    <mergeCell ref="O96:P96"/>
    <mergeCell ref="O88:P88"/>
    <mergeCell ref="E90:H90"/>
    <mergeCell ref="E94:H94"/>
    <mergeCell ref="O94:P94"/>
    <mergeCell ref="I89:L89"/>
    <mergeCell ref="I95:L95"/>
    <mergeCell ref="M92:N92"/>
    <mergeCell ref="I92:L92"/>
    <mergeCell ref="E95:H95"/>
    <mergeCell ref="E92:H92"/>
    <mergeCell ref="O93:P93"/>
    <mergeCell ref="O92:P92"/>
    <mergeCell ref="O89:P89"/>
    <mergeCell ref="E89:H89"/>
    <mergeCell ref="O90:P90"/>
    <mergeCell ref="E96:H96"/>
    <mergeCell ref="I96:L96"/>
    <mergeCell ref="M96:N96"/>
    <mergeCell ref="I88:L88"/>
    <mergeCell ref="O91:P91"/>
    <mergeCell ref="O95:P95"/>
    <mergeCell ref="M68:N68"/>
    <mergeCell ref="O66:P66"/>
    <mergeCell ref="O86:P86"/>
    <mergeCell ref="M69:N69"/>
    <mergeCell ref="I74:L74"/>
    <mergeCell ref="M74:N74"/>
    <mergeCell ref="I90:L90"/>
    <mergeCell ref="M90:N90"/>
    <mergeCell ref="I82:L82"/>
    <mergeCell ref="O80:P80"/>
    <mergeCell ref="O69:P69"/>
    <mergeCell ref="O67:P67"/>
    <mergeCell ref="O73:P73"/>
    <mergeCell ref="O71:P71"/>
    <mergeCell ref="O75:P75"/>
    <mergeCell ref="O76:P76"/>
    <mergeCell ref="O77:P77"/>
    <mergeCell ref="O78:P78"/>
    <mergeCell ref="O68:P68"/>
    <mergeCell ref="O81:P81"/>
    <mergeCell ref="O74:P74"/>
    <mergeCell ref="O70:P70"/>
    <mergeCell ref="I76:L76"/>
    <mergeCell ref="M71:N71"/>
    <mergeCell ref="I81:L81"/>
    <mergeCell ref="M70:N70"/>
    <mergeCell ref="I73:L73"/>
    <mergeCell ref="M73:N73"/>
    <mergeCell ref="I70:L70"/>
    <mergeCell ref="M81:N81"/>
    <mergeCell ref="I71:L71"/>
    <mergeCell ref="M87:N87"/>
    <mergeCell ref="E82:H82"/>
    <mergeCell ref="E81:H81"/>
    <mergeCell ref="E88:H88"/>
    <mergeCell ref="M88:N88"/>
    <mergeCell ref="I84:L84"/>
    <mergeCell ref="I86:L86"/>
    <mergeCell ref="I91:L91"/>
    <mergeCell ref="M91:N91"/>
    <mergeCell ref="M89:N89"/>
    <mergeCell ref="M86:N86"/>
    <mergeCell ref="E87:H87"/>
    <mergeCell ref="E86:H86"/>
    <mergeCell ref="E84:H85"/>
    <mergeCell ref="M82:N82"/>
    <mergeCell ref="O48:P48"/>
    <mergeCell ref="O49:P49"/>
    <mergeCell ref="O64:P64"/>
    <mergeCell ref="O58:P58"/>
    <mergeCell ref="I50:L50"/>
    <mergeCell ref="M62:N62"/>
    <mergeCell ref="I62:L62"/>
    <mergeCell ref="I59:L59"/>
    <mergeCell ref="O54:P54"/>
    <mergeCell ref="O60:P60"/>
    <mergeCell ref="O63:P63"/>
    <mergeCell ref="O62:P62"/>
    <mergeCell ref="O61:P61"/>
    <mergeCell ref="M59:N59"/>
    <mergeCell ref="O59:P59"/>
    <mergeCell ref="O57:P57"/>
    <mergeCell ref="M61:N61"/>
    <mergeCell ref="I56:L56"/>
    <mergeCell ref="M56:N56"/>
    <mergeCell ref="M64:N64"/>
    <mergeCell ref="M63:N63"/>
    <mergeCell ref="N10:N25"/>
    <mergeCell ref="O10:P25"/>
    <mergeCell ref="E19:H19"/>
    <mergeCell ref="E21:H21"/>
    <mergeCell ref="E11:H11"/>
    <mergeCell ref="E18:H18"/>
    <mergeCell ref="A26:D44"/>
    <mergeCell ref="E41:H41"/>
    <mergeCell ref="E42:H42"/>
    <mergeCell ref="E43:H43"/>
    <mergeCell ref="A10:D25"/>
    <mergeCell ref="E12:H12"/>
    <mergeCell ref="E20:H20"/>
    <mergeCell ref="E13:H13"/>
    <mergeCell ref="E14:H14"/>
    <mergeCell ref="E17:H17"/>
    <mergeCell ref="E32:H32"/>
    <mergeCell ref="E33:H33"/>
    <mergeCell ref="E23:H23"/>
    <mergeCell ref="E24:H24"/>
    <mergeCell ref="E25:H25"/>
    <mergeCell ref="I10:L25"/>
    <mergeCell ref="E29:H29"/>
    <mergeCell ref="E15:H15"/>
    <mergeCell ref="I103:L103"/>
    <mergeCell ref="M103:N103"/>
    <mergeCell ref="O103:P103"/>
    <mergeCell ref="A75:D75"/>
    <mergeCell ref="A76:D76"/>
    <mergeCell ref="A77:D77"/>
    <mergeCell ref="A78:D78"/>
    <mergeCell ref="E75:H75"/>
    <mergeCell ref="E76:H76"/>
    <mergeCell ref="E77:H77"/>
    <mergeCell ref="E78:H78"/>
    <mergeCell ref="I75:L75"/>
    <mergeCell ref="I77:L77"/>
    <mergeCell ref="I78:L78"/>
    <mergeCell ref="A79:D96"/>
    <mergeCell ref="E79:H79"/>
    <mergeCell ref="I79:L79"/>
    <mergeCell ref="M79:N79"/>
    <mergeCell ref="O79:P79"/>
    <mergeCell ref="E93:H93"/>
    <mergeCell ref="I93:L93"/>
    <mergeCell ref="M93:N93"/>
    <mergeCell ref="E91:H91"/>
    <mergeCell ref="M80:N80"/>
    <mergeCell ref="I104:L104"/>
    <mergeCell ref="M104:N104"/>
    <mergeCell ref="O104:P104"/>
    <mergeCell ref="A97:D104"/>
    <mergeCell ref="E97:H100"/>
    <mergeCell ref="I97:L97"/>
    <mergeCell ref="M97:N97"/>
    <mergeCell ref="O97:P97"/>
    <mergeCell ref="I98:L98"/>
    <mergeCell ref="M98:N98"/>
    <mergeCell ref="O98:P98"/>
    <mergeCell ref="I99:L99"/>
    <mergeCell ref="M99:N99"/>
    <mergeCell ref="O99:P99"/>
    <mergeCell ref="I100:L100"/>
    <mergeCell ref="M100:N100"/>
    <mergeCell ref="O100:P100"/>
    <mergeCell ref="E101:H104"/>
    <mergeCell ref="I101:L101"/>
    <mergeCell ref="M101:N101"/>
    <mergeCell ref="O101:P101"/>
    <mergeCell ref="I102:L102"/>
    <mergeCell ref="M102:N102"/>
    <mergeCell ref="O102:P102"/>
  </mergeCells>
  <phoneticPr fontId="6" type="noConversion"/>
  <pageMargins left="0.75" right="0.75" top="0.69" bottom="0.67" header="0.5" footer="0.5"/>
  <pageSetup paperSize="9" scale="69" orientation="portrait" horizontalDpi="1200" verticalDpi="1200" r:id="rId1"/>
  <headerFooter alignWithMargins="0"/>
  <rowBreaks count="1" manualBreakCount="1">
    <brk id="46" max="19"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1:AY118"/>
  <sheetViews>
    <sheetView zoomScale="80" zoomScaleNormal="80" workbookViewId="0">
      <selection activeCell="L73" sqref="L73"/>
    </sheetView>
  </sheetViews>
  <sheetFormatPr defaultColWidth="9.33203125" defaultRowHeight="15.6"/>
  <cols>
    <col min="1" max="1" width="14" style="17" customWidth="1"/>
    <col min="2" max="2" width="10.5546875" style="18" customWidth="1"/>
    <col min="3" max="3" width="44" style="17" customWidth="1"/>
    <col min="4" max="4" width="38.5546875" style="19" customWidth="1"/>
    <col min="5" max="5" width="12.44140625" style="19" customWidth="1"/>
    <col min="6" max="6" width="13" style="19" customWidth="1"/>
    <col min="7" max="7" width="13.5546875" style="20" customWidth="1"/>
    <col min="8" max="8" width="9" style="17" customWidth="1"/>
    <col min="9" max="9" width="7.33203125" style="17" customWidth="1"/>
    <col min="10" max="10" width="13.5546875" style="17" customWidth="1"/>
    <col min="11" max="11" width="9.33203125" style="17"/>
    <col min="12" max="12" width="14.109375" style="1144" bestFit="1" customWidth="1"/>
    <col min="13" max="13" width="17.6640625" style="1145" bestFit="1" customWidth="1"/>
    <col min="14" max="14" width="16.33203125" style="1144" customWidth="1"/>
    <col min="15" max="15" width="18.44140625" style="1144" customWidth="1"/>
    <col min="16" max="16" width="65.109375" style="1144" bestFit="1" customWidth="1"/>
    <col min="17" max="17" width="9.33203125" style="1144"/>
    <col min="18" max="16384" width="9.33203125" style="17"/>
  </cols>
  <sheetData>
    <row r="1" spans="1:17" s="87" customFormat="1" ht="18" thickBot="1">
      <c r="A1" s="1638" t="s">
        <v>680</v>
      </c>
      <c r="B1" s="1638"/>
      <c r="C1" s="1638"/>
      <c r="D1" s="1638"/>
      <c r="E1" s="1638"/>
      <c r="F1" s="1638"/>
      <c r="G1" s="1638"/>
      <c r="H1" s="1638"/>
      <c r="I1" s="1638"/>
      <c r="J1" s="1638"/>
      <c r="L1" s="1139"/>
      <c r="M1" s="1140"/>
      <c r="N1" s="1139"/>
      <c r="O1" s="1139"/>
      <c r="P1" s="1139"/>
      <c r="Q1" s="1139"/>
    </row>
    <row r="2" spans="1:17" ht="26.4">
      <c r="A2" s="1639" t="s">
        <v>319</v>
      </c>
      <c r="B2" s="1640"/>
      <c r="C2" s="131" t="s">
        <v>320</v>
      </c>
      <c r="D2" s="131" t="s">
        <v>588</v>
      </c>
      <c r="E2" s="132" t="s">
        <v>369</v>
      </c>
      <c r="F2" s="132" t="s">
        <v>370</v>
      </c>
      <c r="G2" s="131" t="s">
        <v>551</v>
      </c>
      <c r="H2" s="133" t="s">
        <v>324</v>
      </c>
      <c r="I2" s="134" t="s">
        <v>295</v>
      </c>
      <c r="J2" s="135" t="s">
        <v>325</v>
      </c>
    </row>
    <row r="3" spans="1:17" s="22" customFormat="1" ht="37.5" customHeight="1">
      <c r="A3" s="1616" t="s">
        <v>371</v>
      </c>
      <c r="B3" s="1617"/>
      <c r="C3" s="136" t="s">
        <v>372</v>
      </c>
      <c r="D3" s="137" t="s">
        <v>373</v>
      </c>
      <c r="E3" s="137" t="s">
        <v>374</v>
      </c>
      <c r="F3" s="137" t="s">
        <v>375</v>
      </c>
      <c r="G3" s="246">
        <v>8.5</v>
      </c>
      <c r="H3" s="123" t="s">
        <v>331</v>
      </c>
      <c r="I3" s="138"/>
      <c r="J3" s="139">
        <f>+I3*G3</f>
        <v>0</v>
      </c>
      <c r="K3" s="22" t="s">
        <v>1147</v>
      </c>
      <c r="L3" s="466"/>
      <c r="M3" s="1146"/>
      <c r="N3" s="466"/>
      <c r="O3" s="1147"/>
      <c r="P3" s="466"/>
      <c r="Q3" s="466"/>
    </row>
    <row r="4" spans="1:17" s="22" customFormat="1" ht="40.200000000000003" thickBot="1">
      <c r="A4" s="1618"/>
      <c r="B4" s="1619"/>
      <c r="C4" s="298" t="s">
        <v>376</v>
      </c>
      <c r="D4" s="334" t="s">
        <v>377</v>
      </c>
      <c r="E4" s="334" t="s">
        <v>378</v>
      </c>
      <c r="F4" s="334" t="s">
        <v>379</v>
      </c>
      <c r="G4" s="335">
        <v>8.9999999999999993E-3</v>
      </c>
      <c r="H4" s="327" t="s">
        <v>380</v>
      </c>
      <c r="I4" s="328"/>
      <c r="J4" s="329">
        <f>+I4*G4</f>
        <v>0</v>
      </c>
      <c r="K4" s="22" t="s">
        <v>1147</v>
      </c>
      <c r="L4" s="466"/>
      <c r="M4" s="1146"/>
      <c r="N4" s="466"/>
      <c r="O4" s="1147"/>
      <c r="P4" s="466"/>
      <c r="Q4" s="466"/>
    </row>
    <row r="5" spans="1:17" s="22" customFormat="1" ht="14.4" thickBot="1">
      <c r="A5" s="26"/>
      <c r="B5" s="26"/>
      <c r="C5" s="26"/>
      <c r="D5" s="27"/>
      <c r="E5" s="27"/>
      <c r="F5" s="27"/>
      <c r="G5" s="28"/>
      <c r="H5" s="29"/>
      <c r="I5" s="72"/>
      <c r="J5" s="29"/>
      <c r="L5" s="466"/>
      <c r="M5" s="1146"/>
      <c r="N5" s="466"/>
      <c r="O5" s="1147"/>
      <c r="P5" s="466"/>
      <c r="Q5" s="466"/>
    </row>
    <row r="6" spans="1:17" s="22" customFormat="1" ht="13.8">
      <c r="A6" s="1641" t="s">
        <v>381</v>
      </c>
      <c r="B6" s="1642"/>
      <c r="C6" s="1647" t="s">
        <v>382</v>
      </c>
      <c r="D6" s="402" t="s">
        <v>90</v>
      </c>
      <c r="E6" s="1645" t="s">
        <v>383</v>
      </c>
      <c r="F6" s="1645" t="s">
        <v>384</v>
      </c>
      <c r="G6" s="248">
        <v>4.2</v>
      </c>
      <c r="H6" s="337" t="s">
        <v>331</v>
      </c>
      <c r="I6" s="79">
        <v>9</v>
      </c>
      <c r="J6" s="323">
        <f t="shared" ref="J6:J14" si="0">+I6*G6</f>
        <v>37.800000000000004</v>
      </c>
      <c r="K6" s="22" t="s">
        <v>1147</v>
      </c>
      <c r="L6" s="466"/>
      <c r="M6" s="1146"/>
      <c r="N6" s="466"/>
      <c r="O6" s="1147"/>
      <c r="P6" s="1146"/>
      <c r="Q6" s="466"/>
    </row>
    <row r="7" spans="1:17" s="22" customFormat="1" ht="13.8">
      <c r="A7" s="1643"/>
      <c r="B7" s="1644"/>
      <c r="C7" s="1648"/>
      <c r="D7" s="403" t="s">
        <v>89</v>
      </c>
      <c r="E7" s="1646"/>
      <c r="F7" s="1646"/>
      <c r="G7" s="324">
        <v>6.2</v>
      </c>
      <c r="H7" s="340" t="s">
        <v>331</v>
      </c>
      <c r="I7" s="138">
        <v>2</v>
      </c>
      <c r="J7" s="314">
        <f t="shared" si="0"/>
        <v>12.4</v>
      </c>
      <c r="K7" s="22" t="s">
        <v>1147</v>
      </c>
      <c r="L7" s="466"/>
      <c r="M7" s="1146"/>
      <c r="N7" s="466"/>
      <c r="O7" s="1147"/>
      <c r="P7" s="1146"/>
      <c r="Q7" s="466"/>
    </row>
    <row r="8" spans="1:17" s="22" customFormat="1" ht="13.8">
      <c r="A8" s="1643"/>
      <c r="B8" s="1644"/>
      <c r="C8" s="1649"/>
      <c r="D8" s="404" t="s">
        <v>8</v>
      </c>
      <c r="E8" s="1646"/>
      <c r="F8" s="1646"/>
      <c r="G8" s="324">
        <v>6.2</v>
      </c>
      <c r="H8" s="340" t="s">
        <v>331</v>
      </c>
      <c r="I8" s="138"/>
      <c r="J8" s="139">
        <f t="shared" si="0"/>
        <v>0</v>
      </c>
      <c r="K8" s="22" t="s">
        <v>1147</v>
      </c>
      <c r="L8" s="466"/>
      <c r="M8" s="1146"/>
      <c r="N8" s="466"/>
      <c r="O8" s="1147"/>
      <c r="P8" s="466"/>
      <c r="Q8" s="466"/>
    </row>
    <row r="9" spans="1:17" s="22" customFormat="1" ht="39.6">
      <c r="A9" s="1643"/>
      <c r="B9" s="1644"/>
      <c r="C9" s="359" t="s">
        <v>661</v>
      </c>
      <c r="D9" s="405" t="s">
        <v>684</v>
      </c>
      <c r="E9" s="152" t="s">
        <v>662</v>
      </c>
      <c r="F9" s="152" t="s">
        <v>663</v>
      </c>
      <c r="G9" s="344">
        <v>3</v>
      </c>
      <c r="H9" s="345" t="s">
        <v>331</v>
      </c>
      <c r="I9" s="138"/>
      <c r="J9" s="139">
        <f>+I9*G9</f>
        <v>0</v>
      </c>
      <c r="K9" s="22" t="s">
        <v>1146</v>
      </c>
      <c r="L9" s="466"/>
      <c r="M9" s="1146"/>
      <c r="N9" s="466"/>
      <c r="O9" s="1147"/>
      <c r="P9" s="466"/>
      <c r="Q9" s="466"/>
    </row>
    <row r="10" spans="1:17" s="22" customFormat="1" ht="39.6">
      <c r="A10" s="1643"/>
      <c r="B10" s="1644"/>
      <c r="C10" s="1650" t="s">
        <v>385</v>
      </c>
      <c r="D10" s="404" t="s">
        <v>573</v>
      </c>
      <c r="E10" s="1652" t="s">
        <v>383</v>
      </c>
      <c r="F10" s="1652" t="s">
        <v>384</v>
      </c>
      <c r="G10" s="324">
        <v>7.2</v>
      </c>
      <c r="H10" s="340" t="s">
        <v>331</v>
      </c>
      <c r="I10" s="138"/>
      <c r="J10" s="139">
        <f t="shared" si="0"/>
        <v>0</v>
      </c>
      <c r="K10" s="22" t="s">
        <v>1147</v>
      </c>
      <c r="L10" s="466"/>
      <c r="M10" s="1146"/>
      <c r="N10" s="466"/>
      <c r="O10" s="1147"/>
      <c r="P10" s="466"/>
      <c r="Q10" s="466"/>
    </row>
    <row r="11" spans="1:17" s="22" customFormat="1" ht="26.4">
      <c r="A11" s="1643"/>
      <c r="B11" s="1644"/>
      <c r="C11" s="1648"/>
      <c r="D11" s="404" t="s">
        <v>778</v>
      </c>
      <c r="E11" s="1652"/>
      <c r="F11" s="1652"/>
      <c r="G11" s="324">
        <v>7.2</v>
      </c>
      <c r="H11" s="340"/>
      <c r="I11" s="138"/>
      <c r="J11" s="139">
        <f t="shared" si="0"/>
        <v>0</v>
      </c>
      <c r="K11" s="22" t="s">
        <v>1147</v>
      </c>
      <c r="L11" s="466"/>
      <c r="M11" s="1146"/>
      <c r="N11" s="466"/>
      <c r="O11" s="1147"/>
      <c r="P11" s="466"/>
      <c r="Q11" s="466"/>
    </row>
    <row r="12" spans="1:17" s="22" customFormat="1" ht="26.4">
      <c r="A12" s="1643"/>
      <c r="B12" s="1644"/>
      <c r="C12" s="1648"/>
      <c r="D12" s="404" t="s">
        <v>777</v>
      </c>
      <c r="E12" s="1646"/>
      <c r="F12" s="1646"/>
      <c r="G12" s="324">
        <v>7.2</v>
      </c>
      <c r="H12" s="340" t="s">
        <v>331</v>
      </c>
      <c r="I12" s="138">
        <v>1</v>
      </c>
      <c r="J12" s="139">
        <f t="shared" si="0"/>
        <v>7.2</v>
      </c>
      <c r="K12" s="22" t="s">
        <v>1147</v>
      </c>
      <c r="L12" s="466"/>
      <c r="M12" s="1146"/>
      <c r="N12" s="1126"/>
      <c r="O12" s="1127"/>
      <c r="P12" s="466"/>
      <c r="Q12" s="466"/>
    </row>
    <row r="13" spans="1:17" s="22" customFormat="1" ht="39.6">
      <c r="A13" s="1643"/>
      <c r="B13" s="1644"/>
      <c r="C13" s="1648"/>
      <c r="D13" s="404" t="s">
        <v>589</v>
      </c>
      <c r="E13" s="1646"/>
      <c r="F13" s="1646"/>
      <c r="G13" s="324">
        <v>8.8000000000000007</v>
      </c>
      <c r="H13" s="340" t="s">
        <v>331</v>
      </c>
      <c r="I13" s="138">
        <v>70</v>
      </c>
      <c r="J13" s="139">
        <f t="shared" si="0"/>
        <v>616</v>
      </c>
      <c r="K13" s="22" t="s">
        <v>1147</v>
      </c>
      <c r="L13" s="466"/>
      <c r="M13" s="1146"/>
      <c r="N13" s="1126"/>
      <c r="O13" s="1127"/>
      <c r="P13" s="466"/>
      <c r="Q13" s="466"/>
    </row>
    <row r="14" spans="1:17" s="22" customFormat="1" ht="14.4" thickBot="1">
      <c r="A14" s="1626"/>
      <c r="B14" s="1627"/>
      <c r="C14" s="1651"/>
      <c r="D14" s="705" t="s">
        <v>572</v>
      </c>
      <c r="E14" s="1653"/>
      <c r="F14" s="1653"/>
      <c r="G14" s="247">
        <v>8.8000000000000007</v>
      </c>
      <c r="H14" s="343" t="s">
        <v>331</v>
      </c>
      <c r="I14" s="83"/>
      <c r="J14" s="84">
        <f t="shared" si="0"/>
        <v>0</v>
      </c>
      <c r="K14" s="22" t="s">
        <v>1147</v>
      </c>
      <c r="L14" s="466"/>
      <c r="M14" s="1146"/>
      <c r="N14" s="466"/>
      <c r="O14" s="1147"/>
      <c r="P14" s="466"/>
      <c r="Q14" s="466"/>
    </row>
    <row r="15" spans="1:17" s="22" customFormat="1" ht="49.5" customHeight="1" thickBot="1">
      <c r="A15" s="26"/>
      <c r="B15" s="26"/>
      <c r="C15" s="1654" t="s">
        <v>1246</v>
      </c>
      <c r="D15" s="1654"/>
      <c r="E15" s="1654"/>
      <c r="F15" s="1654"/>
      <c r="G15" s="28"/>
      <c r="H15" s="29"/>
      <c r="I15" s="72"/>
      <c r="J15" s="29"/>
      <c r="L15" s="466"/>
      <c r="M15" s="1146"/>
      <c r="N15" s="466"/>
      <c r="O15" s="1147"/>
      <c r="P15" s="466"/>
      <c r="Q15" s="466"/>
    </row>
    <row r="16" spans="1:17" s="22" customFormat="1" ht="26.4">
      <c r="A16" s="1630" t="s">
        <v>681</v>
      </c>
      <c r="B16" s="1533"/>
      <c r="C16" s="77" t="s">
        <v>566</v>
      </c>
      <c r="D16" s="458" t="s">
        <v>753</v>
      </c>
      <c r="E16" s="141" t="s">
        <v>408</v>
      </c>
      <c r="F16" s="77" t="s">
        <v>567</v>
      </c>
      <c r="G16" s="249">
        <v>5</v>
      </c>
      <c r="H16" s="78" t="s">
        <v>331</v>
      </c>
      <c r="I16" s="79">
        <v>9</v>
      </c>
      <c r="J16" s="1164">
        <f>(I16-L16)*G16</f>
        <v>45</v>
      </c>
      <c r="K16" s="22" t="s">
        <v>1147</v>
      </c>
      <c r="L16" s="1163"/>
      <c r="M16" s="1146">
        <f>I16-L16</f>
        <v>9</v>
      </c>
      <c r="N16" s="466"/>
      <c r="O16" s="1148"/>
      <c r="P16" s="1149"/>
      <c r="Q16" s="466"/>
    </row>
    <row r="17" spans="1:17" s="22" customFormat="1" ht="13.8">
      <c r="A17" s="1574" t="s">
        <v>381</v>
      </c>
      <c r="B17" s="1566"/>
      <c r="C17" s="1655" t="s">
        <v>755</v>
      </c>
      <c r="D17" s="137" t="s">
        <v>386</v>
      </c>
      <c r="E17" s="137" t="s">
        <v>387</v>
      </c>
      <c r="F17" s="137" t="s">
        <v>388</v>
      </c>
      <c r="G17" s="246">
        <v>5.1999999999999998E-2</v>
      </c>
      <c r="H17" s="340" t="s">
        <v>380</v>
      </c>
      <c r="I17" s="138"/>
      <c r="J17" s="139">
        <f t="shared" ref="J17:J34" si="1">+I17*G17</f>
        <v>0</v>
      </c>
      <c r="K17" s="22" t="s">
        <v>1147</v>
      </c>
      <c r="L17" s="466"/>
      <c r="M17" s="1146"/>
      <c r="N17" s="466"/>
      <c r="O17" s="1147"/>
      <c r="P17" s="466"/>
      <c r="Q17" s="466"/>
    </row>
    <row r="18" spans="1:17" s="22" customFormat="1" ht="13.8">
      <c r="A18" s="1614"/>
      <c r="B18" s="1566"/>
      <c r="C18" s="1201"/>
      <c r="D18" s="137" t="s">
        <v>389</v>
      </c>
      <c r="E18" s="137" t="s">
        <v>387</v>
      </c>
      <c r="F18" s="137" t="s">
        <v>388</v>
      </c>
      <c r="G18" s="246">
        <v>3.5999999999999997E-2</v>
      </c>
      <c r="H18" s="340" t="s">
        <v>380</v>
      </c>
      <c r="I18" s="138">
        <v>915</v>
      </c>
      <c r="J18" s="139">
        <f t="shared" si="1"/>
        <v>32.94</v>
      </c>
      <c r="K18" s="22" t="s">
        <v>1147</v>
      </c>
      <c r="L18" s="466"/>
      <c r="M18" s="1146"/>
      <c r="N18" s="466"/>
      <c r="O18" s="1147"/>
      <c r="P18" s="466"/>
      <c r="Q18" s="466"/>
    </row>
    <row r="19" spans="1:17" s="22" customFormat="1" ht="13.8">
      <c r="A19" s="1614"/>
      <c r="B19" s="1566"/>
      <c r="C19" s="1201"/>
      <c r="D19" s="137" t="s">
        <v>390</v>
      </c>
      <c r="E19" s="137" t="s">
        <v>387</v>
      </c>
      <c r="F19" s="137" t="s">
        <v>388</v>
      </c>
      <c r="G19" s="246">
        <v>3.2000000000000001E-2</v>
      </c>
      <c r="H19" s="340" t="s">
        <v>380</v>
      </c>
      <c r="I19" s="138"/>
      <c r="J19" s="139">
        <f t="shared" si="1"/>
        <v>0</v>
      </c>
      <c r="K19" s="22" t="s">
        <v>1147</v>
      </c>
      <c r="L19" s="466"/>
      <c r="M19" s="1146"/>
      <c r="N19" s="466"/>
      <c r="O19" s="1147"/>
      <c r="P19" s="466"/>
      <c r="Q19" s="466"/>
    </row>
    <row r="20" spans="1:17" s="22" customFormat="1" ht="13.8">
      <c r="A20" s="1614"/>
      <c r="B20" s="1566"/>
      <c r="C20" s="1201"/>
      <c r="D20" s="137" t="s">
        <v>394</v>
      </c>
      <c r="E20" s="137" t="s">
        <v>387</v>
      </c>
      <c r="F20" s="137" t="s">
        <v>388</v>
      </c>
      <c r="G20" s="246">
        <v>2.8000000000000001E-2</v>
      </c>
      <c r="H20" s="340" t="s">
        <v>380</v>
      </c>
      <c r="I20" s="138"/>
      <c r="J20" s="139">
        <f t="shared" si="1"/>
        <v>0</v>
      </c>
      <c r="K20" s="22" t="s">
        <v>1147</v>
      </c>
      <c r="L20" s="466"/>
      <c r="M20" s="1146"/>
      <c r="N20" s="466"/>
      <c r="O20" s="1147"/>
      <c r="P20" s="466"/>
      <c r="Q20" s="466"/>
    </row>
    <row r="21" spans="1:17" s="22" customFormat="1" ht="15" customHeight="1">
      <c r="A21" s="1614"/>
      <c r="B21" s="1566"/>
      <c r="C21" s="1656" t="s">
        <v>756</v>
      </c>
      <c r="D21" s="137" t="s">
        <v>389</v>
      </c>
      <c r="E21" s="137" t="s">
        <v>387</v>
      </c>
      <c r="F21" s="137" t="s">
        <v>388</v>
      </c>
      <c r="G21" s="246">
        <v>4.3999999999999997E-2</v>
      </c>
      <c r="H21" s="340" t="s">
        <v>380</v>
      </c>
      <c r="I21" s="138">
        <v>245</v>
      </c>
      <c r="J21" s="139">
        <f t="shared" si="1"/>
        <v>10.78</v>
      </c>
      <c r="K21" s="22" t="s">
        <v>1147</v>
      </c>
      <c r="L21" s="466"/>
      <c r="M21" s="1146"/>
      <c r="N21" s="466"/>
      <c r="O21" s="1147"/>
      <c r="P21" s="466"/>
      <c r="Q21" s="466"/>
    </row>
    <row r="22" spans="1:17" s="22" customFormat="1" ht="29.25" customHeight="1">
      <c r="A22" s="1614"/>
      <c r="B22" s="1566"/>
      <c r="C22" s="1657"/>
      <c r="D22" s="794" t="s">
        <v>1149</v>
      </c>
      <c r="E22" s="459" t="s">
        <v>387</v>
      </c>
      <c r="F22" s="459" t="s">
        <v>388</v>
      </c>
      <c r="G22" s="246">
        <v>5.8000000000000003E-2</v>
      </c>
      <c r="H22" s="123" t="s">
        <v>380</v>
      </c>
      <c r="I22" s="138"/>
      <c r="J22" s="139">
        <f t="shared" si="1"/>
        <v>0</v>
      </c>
      <c r="K22" s="22" t="s">
        <v>1147</v>
      </c>
      <c r="L22" s="466"/>
      <c r="M22" s="1146"/>
      <c r="N22" s="466"/>
      <c r="O22" s="1147"/>
      <c r="P22" s="466"/>
      <c r="Q22" s="466"/>
    </row>
    <row r="23" spans="1:17" s="22" customFormat="1" ht="13.8">
      <c r="A23" s="1614"/>
      <c r="B23" s="1566"/>
      <c r="C23" s="1658"/>
      <c r="D23" s="137" t="s">
        <v>390</v>
      </c>
      <c r="E23" s="137" t="s">
        <v>387</v>
      </c>
      <c r="F23" s="137" t="s">
        <v>388</v>
      </c>
      <c r="G23" s="246">
        <v>3.7999999999999999E-2</v>
      </c>
      <c r="H23" s="340" t="s">
        <v>380</v>
      </c>
      <c r="I23" s="138"/>
      <c r="J23" s="139">
        <f t="shared" si="1"/>
        <v>0</v>
      </c>
      <c r="K23" s="22" t="s">
        <v>1147</v>
      </c>
      <c r="L23" s="466"/>
      <c r="M23" s="1146"/>
      <c r="N23" s="466"/>
      <c r="O23" s="1147"/>
      <c r="P23" s="466"/>
      <c r="Q23" s="466"/>
    </row>
    <row r="24" spans="1:17" s="22" customFormat="1" ht="26.4">
      <c r="A24" s="1614"/>
      <c r="B24" s="1566"/>
      <c r="C24" s="1658"/>
      <c r="D24" s="949" t="s">
        <v>1372</v>
      </c>
      <c r="E24" s="950" t="s">
        <v>387</v>
      </c>
      <c r="F24" s="950" t="s">
        <v>388</v>
      </c>
      <c r="G24" s="951">
        <v>5.0999999999999997E-2</v>
      </c>
      <c r="H24" s="123" t="s">
        <v>380</v>
      </c>
      <c r="I24" s="138"/>
      <c r="J24" s="139">
        <f t="shared" si="1"/>
        <v>0</v>
      </c>
      <c r="L24" s="466"/>
      <c r="M24" s="634"/>
      <c r="N24" s="466"/>
      <c r="O24" s="1147"/>
      <c r="P24" s="466"/>
      <c r="Q24" s="466"/>
    </row>
    <row r="25" spans="1:17" s="22" customFormat="1" ht="13.8">
      <c r="A25" s="1614"/>
      <c r="B25" s="1566"/>
      <c r="C25" s="1659"/>
      <c r="D25" s="137" t="s">
        <v>394</v>
      </c>
      <c r="E25" s="137" t="s">
        <v>387</v>
      </c>
      <c r="F25" s="137" t="s">
        <v>388</v>
      </c>
      <c r="G25" s="251">
        <v>0.03</v>
      </c>
      <c r="H25" s="340" t="s">
        <v>380</v>
      </c>
      <c r="I25" s="138"/>
      <c r="J25" s="139">
        <f>+I25*G25</f>
        <v>0</v>
      </c>
      <c r="K25" s="22" t="s">
        <v>1147</v>
      </c>
      <c r="L25" s="466"/>
      <c r="M25" s="1146"/>
      <c r="N25" s="466"/>
      <c r="O25" s="1147"/>
      <c r="P25" s="466"/>
      <c r="Q25" s="466"/>
    </row>
    <row r="26" spans="1:17" s="22" customFormat="1" ht="13.8">
      <c r="A26" s="1614"/>
      <c r="B26" s="1566"/>
      <c r="C26" s="1655" t="s">
        <v>757</v>
      </c>
      <c r="D26" s="137" t="s">
        <v>389</v>
      </c>
      <c r="E26" s="137" t="s">
        <v>387</v>
      </c>
      <c r="F26" s="137" t="s">
        <v>388</v>
      </c>
      <c r="G26" s="246">
        <v>4.9000000000000002E-2</v>
      </c>
      <c r="H26" s="340" t="s">
        <v>380</v>
      </c>
      <c r="I26" s="138"/>
      <c r="J26" s="139">
        <f t="shared" si="1"/>
        <v>0</v>
      </c>
      <c r="K26" s="22" t="s">
        <v>1147</v>
      </c>
      <c r="L26" s="466"/>
      <c r="M26" s="1146"/>
      <c r="N26" s="466"/>
      <c r="O26" s="1147"/>
      <c r="P26" s="466"/>
      <c r="Q26" s="466"/>
    </row>
    <row r="27" spans="1:17" s="22" customFormat="1" ht="13.8">
      <c r="A27" s="1614"/>
      <c r="B27" s="1566"/>
      <c r="C27" s="1660"/>
      <c r="D27" s="137" t="s">
        <v>390</v>
      </c>
      <c r="E27" s="137" t="s">
        <v>387</v>
      </c>
      <c r="F27" s="137" t="s">
        <v>388</v>
      </c>
      <c r="G27" s="246">
        <v>3.9E-2</v>
      </c>
      <c r="H27" s="340" t="s">
        <v>380</v>
      </c>
      <c r="I27" s="138"/>
      <c r="J27" s="139">
        <f t="shared" si="1"/>
        <v>0</v>
      </c>
      <c r="K27" s="22" t="s">
        <v>1147</v>
      </c>
      <c r="L27" s="466"/>
      <c r="M27" s="1146"/>
      <c r="N27" s="466"/>
      <c r="O27" s="1147"/>
      <c r="P27" s="466"/>
      <c r="Q27" s="466"/>
    </row>
    <row r="28" spans="1:17" s="22" customFormat="1" ht="13.8">
      <c r="A28" s="1614"/>
      <c r="B28" s="1566"/>
      <c r="C28" s="1660"/>
      <c r="D28" s="137" t="s">
        <v>395</v>
      </c>
      <c r="E28" s="137" t="s">
        <v>387</v>
      </c>
      <c r="F28" s="137" t="s">
        <v>388</v>
      </c>
      <c r="G28" s="250">
        <v>2.7E-2</v>
      </c>
      <c r="H28" s="340" t="s">
        <v>380</v>
      </c>
      <c r="I28" s="138"/>
      <c r="J28" s="139">
        <f>+I28*G28</f>
        <v>0</v>
      </c>
      <c r="L28" s="466"/>
      <c r="M28" s="1146"/>
      <c r="N28" s="466"/>
      <c r="O28" s="1147"/>
      <c r="P28" s="466"/>
      <c r="Q28" s="466"/>
    </row>
    <row r="29" spans="1:17" s="22" customFormat="1" ht="26.4">
      <c r="A29" s="1614"/>
      <c r="B29" s="1566"/>
      <c r="C29" s="1660"/>
      <c r="D29" s="949" t="s">
        <v>1373</v>
      </c>
      <c r="E29" s="950" t="s">
        <v>387</v>
      </c>
      <c r="F29" s="950" t="s">
        <v>388</v>
      </c>
      <c r="G29" s="952">
        <v>3.9E-2</v>
      </c>
      <c r="H29" s="340" t="s">
        <v>380</v>
      </c>
      <c r="I29" s="138"/>
      <c r="J29" s="139">
        <f t="shared" si="1"/>
        <v>0</v>
      </c>
      <c r="K29" s="22" t="s">
        <v>1147</v>
      </c>
      <c r="L29" s="466"/>
      <c r="M29" s="634"/>
      <c r="N29" s="466"/>
      <c r="O29" s="1147"/>
      <c r="P29" s="466"/>
      <c r="Q29" s="466"/>
    </row>
    <row r="30" spans="1:17" s="22" customFormat="1" ht="13.8">
      <c r="A30" s="1614"/>
      <c r="B30" s="1566"/>
      <c r="C30" s="136" t="s">
        <v>396</v>
      </c>
      <c r="D30" s="137" t="s">
        <v>397</v>
      </c>
      <c r="E30" s="137" t="s">
        <v>387</v>
      </c>
      <c r="F30" s="137" t="s">
        <v>388</v>
      </c>
      <c r="G30" s="246">
        <v>0.08</v>
      </c>
      <c r="H30" s="340" t="s">
        <v>380</v>
      </c>
      <c r="I30" s="138"/>
      <c r="J30" s="139">
        <f t="shared" si="1"/>
        <v>0</v>
      </c>
      <c r="K30" s="22" t="s">
        <v>1147</v>
      </c>
      <c r="L30" s="466"/>
      <c r="M30" s="1146"/>
      <c r="N30" s="466"/>
      <c r="O30" s="1147"/>
      <c r="P30" s="466"/>
      <c r="Q30" s="466"/>
    </row>
    <row r="31" spans="1:17" s="22" customFormat="1" ht="13.8">
      <c r="A31" s="1620"/>
      <c r="B31" s="1621"/>
      <c r="C31" s="831" t="s">
        <v>1248</v>
      </c>
      <c r="D31" s="472" t="s">
        <v>1110</v>
      </c>
      <c r="E31" s="472" t="s">
        <v>387</v>
      </c>
      <c r="F31" s="472" t="s">
        <v>388</v>
      </c>
      <c r="G31" s="246">
        <v>4.8000000000000001E-2</v>
      </c>
      <c r="H31" s="143" t="s">
        <v>380</v>
      </c>
      <c r="I31" s="313"/>
      <c r="J31" s="139">
        <f t="shared" si="1"/>
        <v>0</v>
      </c>
      <c r="L31" s="466"/>
      <c r="M31" s="1146"/>
      <c r="N31" s="466"/>
      <c r="O31" s="1147"/>
      <c r="P31" s="466"/>
      <c r="Q31" s="466"/>
    </row>
    <row r="32" spans="1:17" s="22" customFormat="1" ht="13.8">
      <c r="A32" s="1620"/>
      <c r="B32" s="1621"/>
      <c r="C32" s="831" t="s">
        <v>1248</v>
      </c>
      <c r="D32" s="472" t="s">
        <v>1247</v>
      </c>
      <c r="E32" s="472" t="s">
        <v>387</v>
      </c>
      <c r="F32" s="472" t="s">
        <v>388</v>
      </c>
      <c r="G32" s="246">
        <v>0.06</v>
      </c>
      <c r="H32" s="143" t="s">
        <v>380</v>
      </c>
      <c r="I32" s="765"/>
      <c r="J32" s="305">
        <f t="shared" si="1"/>
        <v>0</v>
      </c>
      <c r="K32" s="22" t="s">
        <v>1147</v>
      </c>
      <c r="L32" s="466"/>
      <c r="M32" s="1146"/>
      <c r="N32" s="466"/>
      <c r="O32" s="1147"/>
      <c r="P32" s="466"/>
      <c r="Q32" s="466"/>
    </row>
    <row r="33" spans="1:17" s="22" customFormat="1" ht="38.25" customHeight="1">
      <c r="A33" s="1620"/>
      <c r="B33" s="1621"/>
      <c r="C33" s="1282" t="s">
        <v>751</v>
      </c>
      <c r="D33" s="310" t="s">
        <v>398</v>
      </c>
      <c r="E33" s="310" t="s">
        <v>387</v>
      </c>
      <c r="F33" s="310" t="s">
        <v>388</v>
      </c>
      <c r="G33" s="246">
        <v>0.04</v>
      </c>
      <c r="H33" s="340" t="s">
        <v>380</v>
      </c>
      <c r="I33" s="313"/>
      <c r="J33" s="139">
        <f t="shared" si="1"/>
        <v>0</v>
      </c>
      <c r="K33" s="22" t="s">
        <v>1147</v>
      </c>
      <c r="L33" s="466"/>
      <c r="M33" s="1146"/>
      <c r="N33" s="466"/>
      <c r="O33" s="1147"/>
      <c r="P33" s="466"/>
      <c r="Q33" s="466"/>
    </row>
    <row r="34" spans="1:17" s="22" customFormat="1" ht="13.8">
      <c r="A34" s="1620"/>
      <c r="B34" s="1621"/>
      <c r="C34" s="1661"/>
      <c r="D34" s="472" t="s">
        <v>113</v>
      </c>
      <c r="E34" s="310" t="s">
        <v>387</v>
      </c>
      <c r="F34" s="310" t="s">
        <v>388</v>
      </c>
      <c r="G34" s="246">
        <v>4.4999999999999998E-2</v>
      </c>
      <c r="H34" s="340" t="s">
        <v>380</v>
      </c>
      <c r="I34" s="313"/>
      <c r="J34" s="314">
        <f t="shared" si="1"/>
        <v>0</v>
      </c>
      <c r="K34" s="22" t="s">
        <v>1147</v>
      </c>
      <c r="L34" s="466"/>
      <c r="M34" s="1146"/>
      <c r="N34" s="466"/>
      <c r="O34" s="1147"/>
      <c r="P34" s="466"/>
      <c r="Q34" s="466"/>
    </row>
    <row r="35" spans="1:17" s="22" customFormat="1" ht="14.4" thickBot="1">
      <c r="A35" s="1615"/>
      <c r="B35" s="1567"/>
      <c r="C35" s="456"/>
      <c r="D35" s="140"/>
      <c r="E35" s="140"/>
      <c r="F35" s="140"/>
      <c r="G35" s="457"/>
      <c r="H35" s="146"/>
      <c r="I35" s="83"/>
      <c r="J35" s="84"/>
      <c r="K35" s="1033"/>
      <c r="L35" s="466"/>
      <c r="M35" s="1146"/>
      <c r="N35" s="466"/>
      <c r="O35" s="1147"/>
      <c r="P35" s="466"/>
      <c r="Q35" s="466"/>
    </row>
    <row r="36" spans="1:17" s="22" customFormat="1" ht="14.4" thickBot="1">
      <c r="A36" s="26"/>
      <c r="B36" s="26"/>
      <c r="C36" s="26"/>
      <c r="D36" s="27"/>
      <c r="E36" s="27"/>
      <c r="F36" s="27"/>
      <c r="G36" s="28"/>
      <c r="H36" s="29"/>
      <c r="I36" s="72"/>
      <c r="J36" s="29"/>
      <c r="L36" s="466"/>
      <c r="M36" s="1146"/>
      <c r="N36" s="466"/>
      <c r="O36" s="1147"/>
      <c r="P36" s="466"/>
      <c r="Q36" s="466"/>
    </row>
    <row r="37" spans="1:17" s="22" customFormat="1" ht="13.8">
      <c r="A37" s="1628" t="s">
        <v>381</v>
      </c>
      <c r="B37" s="1629"/>
      <c r="C37" s="1235" t="s">
        <v>399</v>
      </c>
      <c r="D37" s="141" t="s">
        <v>400</v>
      </c>
      <c r="E37" s="141" t="s">
        <v>387</v>
      </c>
      <c r="F37" s="141" t="s">
        <v>388</v>
      </c>
      <c r="G37" s="249">
        <v>2.9000000000000001E-2</v>
      </c>
      <c r="H37" s="142" t="s">
        <v>380</v>
      </c>
      <c r="I37" s="79"/>
      <c r="J37" s="80">
        <f t="shared" ref="J37:J48" si="2">+I37*G37</f>
        <v>0</v>
      </c>
      <c r="K37" s="22" t="s">
        <v>1147</v>
      </c>
      <c r="L37" s="466"/>
      <c r="M37" s="1146"/>
      <c r="N37" s="466"/>
      <c r="O37" s="1147"/>
      <c r="P37" s="466"/>
      <c r="Q37" s="466"/>
    </row>
    <row r="38" spans="1:17" s="22" customFormat="1" ht="13.8">
      <c r="A38" s="1631"/>
      <c r="B38" s="1632"/>
      <c r="C38" s="1201"/>
      <c r="D38" s="137" t="s">
        <v>386</v>
      </c>
      <c r="E38" s="137" t="s">
        <v>387</v>
      </c>
      <c r="F38" s="137" t="s">
        <v>388</v>
      </c>
      <c r="G38" s="246">
        <v>2.5000000000000001E-2</v>
      </c>
      <c r="H38" s="143" t="s">
        <v>380</v>
      </c>
      <c r="I38" s="138"/>
      <c r="J38" s="139">
        <f t="shared" si="2"/>
        <v>0</v>
      </c>
      <c r="K38" s="22" t="s">
        <v>1147</v>
      </c>
      <c r="L38" s="466"/>
      <c r="M38" s="1146"/>
      <c r="N38" s="466"/>
      <c r="O38" s="1147"/>
      <c r="P38" s="466"/>
      <c r="Q38" s="466"/>
    </row>
    <row r="39" spans="1:17" s="22" customFormat="1" ht="13.8">
      <c r="A39" s="1631"/>
      <c r="B39" s="1632"/>
      <c r="C39" s="1201"/>
      <c r="D39" s="137" t="s">
        <v>389</v>
      </c>
      <c r="E39" s="137" t="s">
        <v>387</v>
      </c>
      <c r="F39" s="137" t="s">
        <v>388</v>
      </c>
      <c r="G39" s="246">
        <v>0.02</v>
      </c>
      <c r="H39" s="143" t="s">
        <v>380</v>
      </c>
      <c r="I39" s="138">
        <v>595</v>
      </c>
      <c r="J39" s="139">
        <f t="shared" si="2"/>
        <v>11.9</v>
      </c>
      <c r="K39" s="22" t="s">
        <v>1147</v>
      </c>
      <c r="L39" s="466"/>
      <c r="M39" s="1146"/>
      <c r="N39" s="466"/>
      <c r="O39" s="1147"/>
      <c r="P39" s="466"/>
      <c r="Q39" s="466"/>
    </row>
    <row r="40" spans="1:17" s="22" customFormat="1" ht="13.8">
      <c r="A40" s="1631"/>
      <c r="B40" s="1632"/>
      <c r="C40" s="1201"/>
      <c r="D40" s="137" t="s">
        <v>390</v>
      </c>
      <c r="E40" s="137" t="s">
        <v>387</v>
      </c>
      <c r="F40" s="137" t="s">
        <v>388</v>
      </c>
      <c r="G40" s="246">
        <v>1.4999999999999999E-2</v>
      </c>
      <c r="H40" s="143" t="s">
        <v>380</v>
      </c>
      <c r="I40" s="138"/>
      <c r="J40" s="139">
        <f t="shared" si="2"/>
        <v>0</v>
      </c>
      <c r="K40" s="22" t="s">
        <v>1147</v>
      </c>
      <c r="L40" s="466"/>
      <c r="M40" s="1146"/>
      <c r="N40" s="466"/>
      <c r="O40" s="1147"/>
      <c r="P40" s="466"/>
      <c r="Q40" s="466"/>
    </row>
    <row r="41" spans="1:17" s="22" customFormat="1" ht="13.8">
      <c r="A41" s="1631"/>
      <c r="B41" s="1632"/>
      <c r="C41" s="1201"/>
      <c r="D41" s="137" t="s">
        <v>394</v>
      </c>
      <c r="E41" s="137" t="s">
        <v>387</v>
      </c>
      <c r="F41" s="137" t="s">
        <v>388</v>
      </c>
      <c r="G41" s="246">
        <v>1.7000000000000001E-2</v>
      </c>
      <c r="H41" s="143" t="s">
        <v>380</v>
      </c>
      <c r="I41" s="138"/>
      <c r="J41" s="139">
        <f t="shared" si="2"/>
        <v>0</v>
      </c>
      <c r="K41" s="22" t="s">
        <v>1147</v>
      </c>
      <c r="L41" s="466"/>
      <c r="M41" s="1146"/>
      <c r="N41" s="466"/>
      <c r="O41" s="1147"/>
      <c r="P41" s="466"/>
      <c r="Q41" s="466"/>
    </row>
    <row r="42" spans="1:17" s="22" customFormat="1" ht="13.8">
      <c r="A42" s="1631"/>
      <c r="B42" s="1632"/>
      <c r="C42" s="1660" t="s">
        <v>401</v>
      </c>
      <c r="D42" s="137" t="s">
        <v>400</v>
      </c>
      <c r="E42" s="137" t="s">
        <v>387</v>
      </c>
      <c r="F42" s="137" t="s">
        <v>388</v>
      </c>
      <c r="G42" s="246">
        <v>3.2000000000000001E-2</v>
      </c>
      <c r="H42" s="143" t="s">
        <v>380</v>
      </c>
      <c r="I42" s="138"/>
      <c r="J42" s="139">
        <f t="shared" si="2"/>
        <v>0</v>
      </c>
      <c r="K42" s="22" t="s">
        <v>1147</v>
      </c>
      <c r="L42" s="466"/>
      <c r="M42" s="1146"/>
      <c r="N42" s="466"/>
      <c r="O42" s="1147"/>
      <c r="P42" s="466"/>
      <c r="Q42" s="466"/>
    </row>
    <row r="43" spans="1:17" s="22" customFormat="1" ht="13.8">
      <c r="A43" s="1631"/>
      <c r="B43" s="1632"/>
      <c r="C43" s="1660"/>
      <c r="D43" s="137" t="s">
        <v>402</v>
      </c>
      <c r="E43" s="137" t="s">
        <v>387</v>
      </c>
      <c r="F43" s="137" t="s">
        <v>388</v>
      </c>
      <c r="G43" s="246">
        <v>2.5999999999999999E-2</v>
      </c>
      <c r="H43" s="143" t="s">
        <v>380</v>
      </c>
      <c r="I43" s="138"/>
      <c r="J43" s="139">
        <f t="shared" si="2"/>
        <v>0</v>
      </c>
      <c r="K43" s="22" t="s">
        <v>1147</v>
      </c>
      <c r="L43" s="466"/>
      <c r="M43" s="1146"/>
      <c r="N43" s="466"/>
      <c r="O43" s="1147"/>
      <c r="P43" s="466"/>
      <c r="Q43" s="466"/>
    </row>
    <row r="44" spans="1:17" s="22" customFormat="1" ht="13.8">
      <c r="A44" s="1631"/>
      <c r="B44" s="1632"/>
      <c r="C44" s="1660"/>
      <c r="D44" s="137" t="s">
        <v>389</v>
      </c>
      <c r="E44" s="137" t="s">
        <v>387</v>
      </c>
      <c r="F44" s="137" t="s">
        <v>388</v>
      </c>
      <c r="G44" s="246">
        <v>2.3E-2</v>
      </c>
      <c r="H44" s="143" t="s">
        <v>380</v>
      </c>
      <c r="I44" s="138"/>
      <c r="J44" s="139">
        <f t="shared" si="2"/>
        <v>0</v>
      </c>
      <c r="K44" s="22" t="s">
        <v>1147</v>
      </c>
      <c r="L44" s="466"/>
      <c r="M44" s="1146"/>
      <c r="N44" s="466"/>
      <c r="O44" s="1147"/>
      <c r="P44" s="466"/>
      <c r="Q44" s="466"/>
    </row>
    <row r="45" spans="1:17" s="22" customFormat="1" ht="13.8">
      <c r="A45" s="1631"/>
      <c r="B45" s="1632"/>
      <c r="C45" s="1660" t="s">
        <v>403</v>
      </c>
      <c r="D45" s="137" t="s">
        <v>400</v>
      </c>
      <c r="E45" s="137" t="s">
        <v>387</v>
      </c>
      <c r="F45" s="137" t="s">
        <v>388</v>
      </c>
      <c r="G45" s="246">
        <v>3.3000000000000002E-2</v>
      </c>
      <c r="H45" s="143" t="s">
        <v>380</v>
      </c>
      <c r="I45" s="138"/>
      <c r="J45" s="139">
        <f t="shared" si="2"/>
        <v>0</v>
      </c>
      <c r="K45" s="22" t="s">
        <v>1147</v>
      </c>
      <c r="L45" s="466"/>
      <c r="M45" s="1146"/>
      <c r="N45" s="466"/>
      <c r="O45" s="1147"/>
      <c r="P45" s="466"/>
      <c r="Q45" s="466"/>
    </row>
    <row r="46" spans="1:17" s="22" customFormat="1" ht="13.8">
      <c r="A46" s="1631"/>
      <c r="B46" s="1632"/>
      <c r="C46" s="1660"/>
      <c r="D46" s="137" t="s">
        <v>390</v>
      </c>
      <c r="E46" s="137" t="s">
        <v>387</v>
      </c>
      <c r="F46" s="137" t="s">
        <v>388</v>
      </c>
      <c r="G46" s="246">
        <v>1.7000000000000001E-2</v>
      </c>
      <c r="H46" s="143" t="s">
        <v>380</v>
      </c>
      <c r="I46" s="138"/>
      <c r="J46" s="139">
        <f t="shared" si="2"/>
        <v>0</v>
      </c>
      <c r="K46" s="22" t="s">
        <v>1147</v>
      </c>
      <c r="L46" s="466"/>
      <c r="M46" s="1146"/>
      <c r="N46" s="466"/>
      <c r="O46" s="1147"/>
      <c r="P46" s="466"/>
      <c r="Q46" s="466"/>
    </row>
    <row r="47" spans="1:17" s="22" customFormat="1" ht="13.8">
      <c r="A47" s="1631"/>
      <c r="B47" s="1632"/>
      <c r="C47" s="1660"/>
      <c r="D47" s="137" t="s">
        <v>395</v>
      </c>
      <c r="E47" s="137" t="s">
        <v>387</v>
      </c>
      <c r="F47" s="137" t="s">
        <v>388</v>
      </c>
      <c r="G47" s="246">
        <v>1.4E-2</v>
      </c>
      <c r="H47" s="143" t="s">
        <v>380</v>
      </c>
      <c r="I47" s="138"/>
      <c r="J47" s="139">
        <f t="shared" si="2"/>
        <v>0</v>
      </c>
      <c r="K47" s="22" t="s">
        <v>1147</v>
      </c>
      <c r="L47" s="466"/>
      <c r="M47" s="1146"/>
      <c r="N47" s="466"/>
      <c r="O47" s="1147"/>
      <c r="P47" s="466"/>
      <c r="Q47" s="466"/>
    </row>
    <row r="48" spans="1:17" s="22" customFormat="1" ht="14.4" thickBot="1">
      <c r="A48" s="1633"/>
      <c r="B48" s="1634"/>
      <c r="C48" s="145" t="s">
        <v>404</v>
      </c>
      <c r="D48" s="140" t="s">
        <v>397</v>
      </c>
      <c r="E48" s="140" t="s">
        <v>387</v>
      </c>
      <c r="F48" s="140" t="s">
        <v>388</v>
      </c>
      <c r="G48" s="247">
        <v>0.03</v>
      </c>
      <c r="H48" s="146" t="s">
        <v>380</v>
      </c>
      <c r="I48" s="83"/>
      <c r="J48" s="84">
        <f t="shared" si="2"/>
        <v>0</v>
      </c>
      <c r="K48" s="22" t="s">
        <v>1147</v>
      </c>
      <c r="L48" s="466"/>
      <c r="M48" s="1146"/>
      <c r="N48" s="466"/>
      <c r="O48" s="1147"/>
      <c r="P48" s="466"/>
      <c r="Q48" s="466"/>
    </row>
    <row r="49" spans="1:17" s="22" customFormat="1" ht="14.4" thickBot="1">
      <c r="A49" s="26"/>
      <c r="B49" s="26"/>
      <c r="C49" s="26"/>
      <c r="D49" s="27"/>
      <c r="E49" s="27"/>
      <c r="F49" s="27"/>
      <c r="G49" s="28"/>
      <c r="H49" s="29"/>
      <c r="I49" s="72"/>
      <c r="J49" s="29"/>
      <c r="L49" s="466"/>
      <c r="M49" s="1146"/>
      <c r="N49" s="466"/>
      <c r="O49" s="1147"/>
      <c r="P49" s="466"/>
      <c r="Q49" s="466"/>
    </row>
    <row r="50" spans="1:17" s="22" customFormat="1" ht="26.4">
      <c r="A50" s="1635" t="s">
        <v>1056</v>
      </c>
      <c r="B50" s="1635"/>
      <c r="C50" s="147" t="s">
        <v>405</v>
      </c>
      <c r="D50" s="141" t="s">
        <v>406</v>
      </c>
      <c r="E50" s="141" t="s">
        <v>554</v>
      </c>
      <c r="F50" s="141" t="s">
        <v>552</v>
      </c>
      <c r="G50" s="249">
        <v>4.9000000000000004</v>
      </c>
      <c r="H50" s="142" t="s">
        <v>331</v>
      </c>
      <c r="I50" s="79"/>
      <c r="J50" s="80">
        <f>+I50*G50</f>
        <v>0</v>
      </c>
      <c r="K50" s="22" t="s">
        <v>1147</v>
      </c>
      <c r="L50" s="466"/>
      <c r="M50" s="1146"/>
      <c r="N50" s="466"/>
      <c r="O50" s="1147"/>
      <c r="P50" s="466"/>
      <c r="Q50" s="466"/>
    </row>
    <row r="51" spans="1:17" s="22" customFormat="1" ht="26.4">
      <c r="A51" s="1636"/>
      <c r="B51" s="1636"/>
      <c r="C51" s="148" t="s">
        <v>1057</v>
      </c>
      <c r="D51" s="137" t="s">
        <v>397</v>
      </c>
      <c r="E51" s="137" t="s">
        <v>555</v>
      </c>
      <c r="F51" s="137" t="s">
        <v>409</v>
      </c>
      <c r="G51" s="246">
        <v>2.1000000000000001E-2</v>
      </c>
      <c r="H51" s="143" t="s">
        <v>380</v>
      </c>
      <c r="I51" s="138"/>
      <c r="J51" s="139">
        <f>+I51*G51</f>
        <v>0</v>
      </c>
      <c r="K51" s="22" t="s">
        <v>1147</v>
      </c>
      <c r="L51" s="466"/>
      <c r="M51" s="1146"/>
      <c r="N51" s="466"/>
      <c r="O51" s="1147"/>
      <c r="P51" s="466"/>
      <c r="Q51" s="466"/>
    </row>
    <row r="52" spans="1:17" s="22" customFormat="1" ht="26.4">
      <c r="A52" s="1636"/>
      <c r="B52" s="1636"/>
      <c r="C52" s="401" t="s">
        <v>1055</v>
      </c>
      <c r="D52" s="310" t="s">
        <v>590</v>
      </c>
      <c r="E52" s="137" t="s">
        <v>555</v>
      </c>
      <c r="F52" s="137" t="s">
        <v>409</v>
      </c>
      <c r="G52" s="246">
        <v>2.1000000000000001E-2</v>
      </c>
      <c r="H52" s="143" t="s">
        <v>380</v>
      </c>
      <c r="I52" s="313"/>
      <c r="J52" s="139">
        <f>+I52*G52</f>
        <v>0</v>
      </c>
      <c r="K52" s="22" t="s">
        <v>1147</v>
      </c>
      <c r="L52" s="466"/>
      <c r="M52" s="1146"/>
      <c r="N52" s="466"/>
      <c r="O52" s="1147"/>
      <c r="P52" s="466"/>
      <c r="Q52" s="466"/>
    </row>
    <row r="53" spans="1:17" s="22" customFormat="1" ht="26.4">
      <c r="A53" s="1636"/>
      <c r="B53" s="1636"/>
      <c r="C53" s="315" t="s">
        <v>407</v>
      </c>
      <c r="D53" s="310" t="s">
        <v>406</v>
      </c>
      <c r="E53" s="310" t="s">
        <v>408</v>
      </c>
      <c r="F53" s="310" t="s">
        <v>409</v>
      </c>
      <c r="G53" s="311">
        <v>6.4</v>
      </c>
      <c r="H53" s="312" t="s">
        <v>331</v>
      </c>
      <c r="I53" s="313"/>
      <c r="J53" s="314">
        <f>+I53*G53</f>
        <v>0</v>
      </c>
      <c r="K53" s="22" t="s">
        <v>1147</v>
      </c>
      <c r="L53" s="466"/>
      <c r="M53" s="1146"/>
      <c r="N53" s="466"/>
      <c r="O53" s="1147"/>
      <c r="P53" s="466"/>
      <c r="Q53" s="466"/>
    </row>
    <row r="54" spans="1:17" s="22" customFormat="1" ht="31.5" customHeight="1" thickBot="1">
      <c r="A54" s="1637"/>
      <c r="B54" s="1637"/>
      <c r="C54" s="145" t="s">
        <v>64</v>
      </c>
      <c r="D54" s="316" t="s">
        <v>65</v>
      </c>
      <c r="E54" s="316" t="s">
        <v>383</v>
      </c>
      <c r="F54" s="316" t="s">
        <v>66</v>
      </c>
      <c r="G54" s="247">
        <v>4</v>
      </c>
      <c r="H54" s="317" t="s">
        <v>331</v>
      </c>
      <c r="I54" s="83"/>
      <c r="J54" s="84">
        <f>+I54*G54</f>
        <v>0</v>
      </c>
      <c r="K54" s="22" t="s">
        <v>1147</v>
      </c>
      <c r="L54" s="466"/>
      <c r="M54" s="1146"/>
      <c r="N54" s="466"/>
      <c r="O54" s="1147"/>
      <c r="P54" s="466"/>
      <c r="Q54" s="466"/>
    </row>
    <row r="55" spans="1:17" s="22" customFormat="1" ht="14.4" thickBot="1">
      <c r="A55" s="26"/>
      <c r="B55" s="26"/>
      <c r="C55" s="26"/>
      <c r="D55" s="27"/>
      <c r="E55" s="27"/>
      <c r="F55" s="27"/>
      <c r="G55" s="28"/>
      <c r="H55" s="29"/>
      <c r="I55" s="72"/>
      <c r="J55" s="29"/>
      <c r="L55" s="466"/>
      <c r="M55" s="1146"/>
      <c r="N55" s="466"/>
      <c r="O55" s="1147"/>
      <c r="P55" s="466"/>
      <c r="Q55" s="466"/>
    </row>
    <row r="56" spans="1:17" s="22" customFormat="1" ht="26.4">
      <c r="A56" s="1628" t="s">
        <v>381</v>
      </c>
      <c r="B56" s="1629"/>
      <c r="C56" s="77" t="s">
        <v>410</v>
      </c>
      <c r="D56" s="141" t="s">
        <v>397</v>
      </c>
      <c r="E56" s="141" t="s">
        <v>408</v>
      </c>
      <c r="F56" s="141" t="s">
        <v>409</v>
      </c>
      <c r="G56" s="249">
        <v>1.7999999999999999E-2</v>
      </c>
      <c r="H56" s="142" t="s">
        <v>380</v>
      </c>
      <c r="I56" s="79"/>
      <c r="J56" s="80">
        <f>+I56*G56</f>
        <v>0</v>
      </c>
      <c r="K56" s="22" t="s">
        <v>1147</v>
      </c>
      <c r="L56" s="466"/>
      <c r="M56" s="1146"/>
      <c r="N56" s="466"/>
      <c r="O56" s="1147"/>
      <c r="P56" s="466"/>
      <c r="Q56" s="466"/>
    </row>
    <row r="57" spans="1:17" s="22" customFormat="1" ht="26.4">
      <c r="A57" s="1622" t="s">
        <v>381</v>
      </c>
      <c r="B57" s="1623"/>
      <c r="C57" s="1376" t="s">
        <v>1116</v>
      </c>
      <c r="D57" s="137" t="s">
        <v>412</v>
      </c>
      <c r="E57" s="137" t="s">
        <v>553</v>
      </c>
      <c r="F57" s="137" t="s">
        <v>552</v>
      </c>
      <c r="G57" s="246">
        <v>4.5</v>
      </c>
      <c r="H57" s="143" t="s">
        <v>331</v>
      </c>
      <c r="I57" s="138"/>
      <c r="J57" s="139">
        <f>+I57*G57</f>
        <v>0</v>
      </c>
      <c r="K57" s="22" t="s">
        <v>1147</v>
      </c>
      <c r="L57" s="466"/>
      <c r="M57" s="1146"/>
      <c r="N57" s="466"/>
      <c r="O57" s="1147"/>
      <c r="P57" s="466"/>
      <c r="Q57" s="466"/>
    </row>
    <row r="58" spans="1:17" s="22" customFormat="1" ht="27" thickBot="1">
      <c r="A58" s="1626"/>
      <c r="B58" s="1627"/>
      <c r="C58" s="1203"/>
      <c r="D58" s="766" t="s">
        <v>1107</v>
      </c>
      <c r="E58" s="140" t="s">
        <v>413</v>
      </c>
      <c r="F58" s="140" t="s">
        <v>409</v>
      </c>
      <c r="G58" s="247">
        <v>0.08</v>
      </c>
      <c r="H58" s="146" t="s">
        <v>380</v>
      </c>
      <c r="I58" s="83"/>
      <c r="J58" s="84">
        <f>+I58*G58</f>
        <v>0</v>
      </c>
      <c r="K58" s="22" t="s">
        <v>1147</v>
      </c>
      <c r="L58" s="466"/>
      <c r="M58" s="1146"/>
      <c r="N58" s="466"/>
      <c r="O58" s="1147"/>
      <c r="P58" s="466"/>
      <c r="Q58" s="466"/>
    </row>
    <row r="59" spans="1:17" s="22" customFormat="1" ht="14.4" thickBot="1">
      <c r="A59" s="26"/>
      <c r="B59" s="26"/>
      <c r="C59" s="26"/>
      <c r="D59" s="27"/>
      <c r="E59" s="27"/>
      <c r="F59" s="27"/>
      <c r="G59" s="28"/>
      <c r="H59" s="29"/>
      <c r="I59" s="72"/>
      <c r="J59" s="29"/>
      <c r="L59" s="466"/>
      <c r="M59" s="1146"/>
      <c r="N59" s="466"/>
      <c r="O59" s="1147"/>
      <c r="P59" s="466"/>
      <c r="Q59" s="466"/>
    </row>
    <row r="60" spans="1:17" s="22" customFormat="1" ht="26.4">
      <c r="A60" s="1622" t="s">
        <v>381</v>
      </c>
      <c r="B60" s="1623"/>
      <c r="C60" s="136" t="s">
        <v>414</v>
      </c>
      <c r="D60" s="137" t="s">
        <v>415</v>
      </c>
      <c r="E60" s="137" t="s">
        <v>383</v>
      </c>
      <c r="F60" s="137" t="s">
        <v>384</v>
      </c>
      <c r="G60" s="246">
        <v>5</v>
      </c>
      <c r="H60" s="143" t="s">
        <v>331</v>
      </c>
      <c r="I60" s="138">
        <v>1</v>
      </c>
      <c r="J60" s="139">
        <f t="shared" ref="J60:J68" si="3">+I60*G60</f>
        <v>5</v>
      </c>
      <c r="K60" s="22" t="s">
        <v>1147</v>
      </c>
      <c r="L60" s="466"/>
      <c r="M60" s="1146"/>
      <c r="N60" s="466"/>
      <c r="O60" s="1147"/>
      <c r="P60" s="466"/>
      <c r="Q60" s="466"/>
    </row>
    <row r="61" spans="1:17" s="22" customFormat="1" ht="26.4">
      <c r="A61" s="1622"/>
      <c r="B61" s="1623"/>
      <c r="C61" s="136" t="s">
        <v>106</v>
      </c>
      <c r="D61" s="137" t="s">
        <v>415</v>
      </c>
      <c r="E61" s="137" t="s">
        <v>383</v>
      </c>
      <c r="F61" s="137" t="s">
        <v>384</v>
      </c>
      <c r="G61" s="246">
        <v>7</v>
      </c>
      <c r="H61" s="143" t="s">
        <v>331</v>
      </c>
      <c r="I61" s="138">
        <v>19</v>
      </c>
      <c r="J61" s="139">
        <f t="shared" si="3"/>
        <v>133</v>
      </c>
      <c r="K61" s="22" t="s">
        <v>1147</v>
      </c>
      <c r="L61" s="466"/>
      <c r="M61" s="1146"/>
      <c r="N61" s="466"/>
      <c r="O61" s="466"/>
      <c r="P61" s="1150"/>
      <c r="Q61" s="466"/>
    </row>
    <row r="62" spans="1:17" s="22" customFormat="1" ht="26.4">
      <c r="A62" s="1624"/>
      <c r="B62" s="1625"/>
      <c r="C62" s="351" t="s">
        <v>114</v>
      </c>
      <c r="D62" s="310" t="s">
        <v>415</v>
      </c>
      <c r="E62" s="310" t="s">
        <v>383</v>
      </c>
      <c r="F62" s="310" t="s">
        <v>384</v>
      </c>
      <c r="G62" s="311">
        <v>3</v>
      </c>
      <c r="H62" s="312" t="s">
        <v>331</v>
      </c>
      <c r="I62" s="313">
        <v>17</v>
      </c>
      <c r="J62" s="314">
        <f t="shared" si="3"/>
        <v>51</v>
      </c>
      <c r="K62" s="22" t="s">
        <v>1147</v>
      </c>
      <c r="L62" s="466"/>
      <c r="M62" s="1146"/>
      <c r="N62" s="466"/>
      <c r="O62" s="466"/>
      <c r="P62" s="1150"/>
      <c r="Q62" s="466"/>
    </row>
    <row r="63" spans="1:17" s="22" customFormat="1" ht="27" thickBot="1">
      <c r="A63" s="1626"/>
      <c r="B63" s="1627"/>
      <c r="C63" s="574" t="s">
        <v>116</v>
      </c>
      <c r="D63" s="140" t="s">
        <v>115</v>
      </c>
      <c r="E63" s="140" t="s">
        <v>383</v>
      </c>
      <c r="F63" s="140" t="s">
        <v>384</v>
      </c>
      <c r="G63" s="247">
        <v>3</v>
      </c>
      <c r="H63" s="146" t="s">
        <v>331</v>
      </c>
      <c r="I63" s="83"/>
      <c r="J63" s="84">
        <f t="shared" si="3"/>
        <v>0</v>
      </c>
      <c r="K63" s="22" t="s">
        <v>1147</v>
      </c>
      <c r="L63" s="466"/>
      <c r="M63" s="1146"/>
      <c r="N63" s="466"/>
      <c r="O63" s="1147"/>
      <c r="P63" s="466"/>
      <c r="Q63" s="466"/>
    </row>
    <row r="64" spans="1:17" s="22" customFormat="1" ht="14.4" thickBot="1">
      <c r="A64" s="26"/>
      <c r="B64" s="26"/>
      <c r="C64" s="26"/>
      <c r="D64" s="27"/>
      <c r="E64" s="27"/>
      <c r="F64" s="27"/>
      <c r="G64" s="28"/>
      <c r="H64" s="29"/>
      <c r="I64" s="72"/>
      <c r="J64" s="29">
        <f t="shared" si="3"/>
        <v>0</v>
      </c>
      <c r="L64" s="466"/>
      <c r="M64" s="1146"/>
      <c r="N64" s="466"/>
      <c r="O64" s="1147"/>
      <c r="P64" s="466"/>
      <c r="Q64" s="466"/>
    </row>
    <row r="65" spans="1:51" s="22" customFormat="1" ht="26.4">
      <c r="A65" s="1572" t="s">
        <v>416</v>
      </c>
      <c r="B65" s="1573"/>
      <c r="C65" s="77" t="s">
        <v>417</v>
      </c>
      <c r="D65" s="141" t="s">
        <v>397</v>
      </c>
      <c r="E65" s="141" t="s">
        <v>383</v>
      </c>
      <c r="F65" s="141" t="s">
        <v>384</v>
      </c>
      <c r="G65" s="249">
        <v>4.9799999999999997E-2</v>
      </c>
      <c r="H65" s="142" t="s">
        <v>380</v>
      </c>
      <c r="I65" s="79"/>
      <c r="J65" s="80">
        <f t="shared" si="3"/>
        <v>0</v>
      </c>
      <c r="K65" s="22" t="s">
        <v>1147</v>
      </c>
      <c r="L65" s="466"/>
      <c r="M65" s="1146"/>
      <c r="N65" s="466"/>
      <c r="O65" s="1147"/>
      <c r="P65" s="466"/>
      <c r="Q65" s="466"/>
    </row>
    <row r="66" spans="1:51" s="22" customFormat="1" ht="26.4">
      <c r="A66" s="1574"/>
      <c r="B66" s="1575"/>
      <c r="C66" s="136" t="s">
        <v>418</v>
      </c>
      <c r="D66" s="137" t="s">
        <v>397</v>
      </c>
      <c r="E66" s="137" t="s">
        <v>383</v>
      </c>
      <c r="F66" s="137" t="s">
        <v>384</v>
      </c>
      <c r="G66" s="246">
        <v>2.9000000000000001E-2</v>
      </c>
      <c r="H66" s="143" t="s">
        <v>380</v>
      </c>
      <c r="I66" s="138"/>
      <c r="J66" s="139">
        <f t="shared" si="3"/>
        <v>0</v>
      </c>
      <c r="K66" s="22" t="s">
        <v>1147</v>
      </c>
      <c r="L66" s="466"/>
      <c r="M66" s="1146"/>
      <c r="N66" s="466"/>
      <c r="O66" s="1147"/>
      <c r="P66" s="466"/>
      <c r="Q66" s="466"/>
    </row>
    <row r="67" spans="1:51" s="22" customFormat="1" ht="26.4">
      <c r="A67" s="1574"/>
      <c r="B67" s="1575"/>
      <c r="C67" s="136" t="s">
        <v>419</v>
      </c>
      <c r="D67" s="137" t="s">
        <v>420</v>
      </c>
      <c r="E67" s="137" t="s">
        <v>383</v>
      </c>
      <c r="F67" s="137" t="s">
        <v>384</v>
      </c>
      <c r="G67" s="246">
        <v>0.04</v>
      </c>
      <c r="H67" s="143" t="s">
        <v>380</v>
      </c>
      <c r="I67" s="138"/>
      <c r="J67" s="139">
        <f t="shared" si="3"/>
        <v>0</v>
      </c>
      <c r="K67" s="22" t="s">
        <v>1147</v>
      </c>
      <c r="L67" s="466"/>
      <c r="M67" s="1146"/>
      <c r="N67" s="466"/>
      <c r="O67" s="1147"/>
      <c r="P67" s="466"/>
      <c r="Q67" s="466"/>
    </row>
    <row r="68" spans="1:51" s="22" customFormat="1" ht="27" thickBot="1">
      <c r="A68" s="1570"/>
      <c r="B68" s="1571"/>
      <c r="C68" s="81" t="s">
        <v>421</v>
      </c>
      <c r="D68" s="140" t="s">
        <v>397</v>
      </c>
      <c r="E68" s="140" t="s">
        <v>383</v>
      </c>
      <c r="F68" s="140" t="s">
        <v>384</v>
      </c>
      <c r="G68" s="247">
        <v>2.1999999999999999E-2</v>
      </c>
      <c r="H68" s="146" t="s">
        <v>380</v>
      </c>
      <c r="I68" s="83"/>
      <c r="J68" s="84">
        <f t="shared" si="3"/>
        <v>0</v>
      </c>
      <c r="K68" s="22" t="s">
        <v>1147</v>
      </c>
      <c r="L68" s="466"/>
      <c r="M68" s="1146"/>
      <c r="N68" s="466"/>
      <c r="O68" s="1147"/>
      <c r="P68" s="466"/>
      <c r="Q68" s="466"/>
    </row>
    <row r="69" spans="1:51" s="22" customFormat="1" ht="14.4" thickBot="1">
      <c r="A69" s="26"/>
      <c r="B69" s="26"/>
      <c r="C69" s="26"/>
      <c r="D69" s="27"/>
      <c r="E69" s="27"/>
      <c r="F69" s="27"/>
      <c r="G69" s="28"/>
      <c r="H69" s="29"/>
      <c r="I69" s="72"/>
      <c r="J69" s="29"/>
      <c r="L69" s="466"/>
      <c r="M69" s="1146"/>
      <c r="N69" s="466"/>
      <c r="O69" s="1147"/>
      <c r="P69" s="466"/>
      <c r="Q69" s="466"/>
    </row>
    <row r="70" spans="1:51" s="22" customFormat="1" ht="26.4">
      <c r="A70" s="1572" t="s">
        <v>416</v>
      </c>
      <c r="B70" s="1573"/>
      <c r="C70" s="77" t="s">
        <v>422</v>
      </c>
      <c r="D70" s="141" t="s">
        <v>397</v>
      </c>
      <c r="E70" s="141" t="s">
        <v>383</v>
      </c>
      <c r="F70" s="141" t="s">
        <v>384</v>
      </c>
      <c r="G70" s="249">
        <v>1.7999999999999999E-2</v>
      </c>
      <c r="H70" s="142" t="s">
        <v>380</v>
      </c>
      <c r="I70" s="79"/>
      <c r="J70" s="80">
        <f t="shared" ref="J70:J80" si="4">+I70*G70</f>
        <v>0</v>
      </c>
      <c r="K70" s="22" t="s">
        <v>1147</v>
      </c>
      <c r="L70" s="466"/>
      <c r="M70" s="1146"/>
      <c r="N70" s="466"/>
      <c r="O70" s="1147"/>
      <c r="P70" s="466"/>
      <c r="Q70" s="466"/>
    </row>
    <row r="71" spans="1:51" s="22" customFormat="1" ht="26.4">
      <c r="A71" s="1574"/>
      <c r="B71" s="1575"/>
      <c r="C71" s="136" t="s">
        <v>423</v>
      </c>
      <c r="D71" s="137" t="s">
        <v>424</v>
      </c>
      <c r="E71" s="137" t="s">
        <v>383</v>
      </c>
      <c r="F71" s="137" t="s">
        <v>384</v>
      </c>
      <c r="G71" s="246">
        <v>1.8</v>
      </c>
      <c r="H71" s="143" t="s">
        <v>331</v>
      </c>
      <c r="I71" s="138"/>
      <c r="J71" s="139">
        <f t="shared" si="4"/>
        <v>0</v>
      </c>
      <c r="K71" s="22" t="s">
        <v>1147</v>
      </c>
      <c r="L71" s="466"/>
      <c r="M71" s="1146"/>
      <c r="N71" s="466"/>
      <c r="O71" s="1147"/>
      <c r="P71" s="466"/>
      <c r="Q71" s="466"/>
    </row>
    <row r="72" spans="1:51" s="22" customFormat="1" ht="26.4">
      <c r="A72" s="1614"/>
      <c r="B72" s="1566"/>
      <c r="C72" s="136" t="s">
        <v>425</v>
      </c>
      <c r="D72" s="137" t="s">
        <v>397</v>
      </c>
      <c r="E72" s="137" t="s">
        <v>383</v>
      </c>
      <c r="F72" s="137" t="s">
        <v>384</v>
      </c>
      <c r="G72" s="246">
        <v>0.13700000000000001</v>
      </c>
      <c r="H72" s="143" t="s">
        <v>380</v>
      </c>
      <c r="I72" s="138"/>
      <c r="J72" s="139">
        <f t="shared" si="4"/>
        <v>0</v>
      </c>
      <c r="K72" s="22" t="s">
        <v>1147</v>
      </c>
      <c r="L72" s="466"/>
      <c r="M72" s="1146"/>
      <c r="N72" s="466"/>
      <c r="O72" s="1147"/>
      <c r="P72" s="466"/>
      <c r="Q72" s="466"/>
    </row>
    <row r="73" spans="1:51" s="22" customFormat="1" ht="39.75" customHeight="1">
      <c r="A73" s="1614"/>
      <c r="B73" s="1566"/>
      <c r="C73" s="463" t="s">
        <v>41</v>
      </c>
      <c r="D73" s="137" t="s">
        <v>86</v>
      </c>
      <c r="E73" s="137" t="s">
        <v>426</v>
      </c>
      <c r="F73" s="137" t="s">
        <v>384</v>
      </c>
      <c r="G73" s="246">
        <v>3.2160000000000002</v>
      </c>
      <c r="H73" s="143" t="s">
        <v>331</v>
      </c>
      <c r="I73" s="138">
        <v>1</v>
      </c>
      <c r="J73" s="1165">
        <f>(I73-L73)*G73</f>
        <v>3.2160000000000002</v>
      </c>
      <c r="K73" s="22" t="s">
        <v>1147</v>
      </c>
      <c r="L73" s="1163"/>
      <c r="M73" s="1146">
        <f>I73-L73</f>
        <v>1</v>
      </c>
      <c r="N73" s="466"/>
      <c r="O73" s="1148"/>
      <c r="P73" s="1149"/>
      <c r="Q73" s="466"/>
    </row>
    <row r="74" spans="1:51" s="22" customFormat="1" ht="39.75" customHeight="1">
      <c r="A74" s="1614"/>
      <c r="B74" s="1566"/>
      <c r="C74" s="463" t="s">
        <v>1249</v>
      </c>
      <c r="D74" s="786" t="s">
        <v>86</v>
      </c>
      <c r="E74" s="786" t="s">
        <v>426</v>
      </c>
      <c r="F74" s="786" t="s">
        <v>384</v>
      </c>
      <c r="G74" s="246">
        <v>4</v>
      </c>
      <c r="H74" s="143" t="s">
        <v>331</v>
      </c>
      <c r="I74" s="138"/>
      <c r="J74" s="1165">
        <f>(I74-L74)*G74</f>
        <v>0</v>
      </c>
      <c r="L74" s="1163"/>
      <c r="M74" s="1146">
        <f>I74-L74</f>
        <v>0</v>
      </c>
      <c r="N74" s="466"/>
      <c r="O74" s="1148"/>
      <c r="P74" s="1149"/>
      <c r="Q74" s="466"/>
    </row>
    <row r="75" spans="1:51" s="22" customFormat="1" ht="26.4">
      <c r="A75" s="1614"/>
      <c r="B75" s="1566"/>
      <c r="C75" s="136" t="s">
        <v>427</v>
      </c>
      <c r="D75" s="137" t="s">
        <v>397</v>
      </c>
      <c r="E75" s="137" t="s">
        <v>383</v>
      </c>
      <c r="F75" s="137" t="s">
        <v>384</v>
      </c>
      <c r="G75" s="246">
        <v>0.12</v>
      </c>
      <c r="H75" s="143" t="s">
        <v>380</v>
      </c>
      <c r="I75" s="138"/>
      <c r="J75" s="139">
        <f t="shared" si="4"/>
        <v>0</v>
      </c>
      <c r="K75" s="22" t="s">
        <v>1147</v>
      </c>
      <c r="L75" s="466"/>
      <c r="M75" s="1146"/>
      <c r="N75" s="466"/>
      <c r="O75" s="1147"/>
      <c r="P75" s="466"/>
      <c r="Q75" s="466"/>
    </row>
    <row r="76" spans="1:51" s="22" customFormat="1" ht="26.4">
      <c r="A76" s="1614"/>
      <c r="B76" s="1566"/>
      <c r="C76" s="463" t="s">
        <v>700</v>
      </c>
      <c r="D76" s="464" t="s">
        <v>701</v>
      </c>
      <c r="E76" s="137" t="s">
        <v>383</v>
      </c>
      <c r="F76" s="137" t="s">
        <v>519</v>
      </c>
      <c r="G76" s="246">
        <v>8</v>
      </c>
      <c r="H76" s="143" t="s">
        <v>331</v>
      </c>
      <c r="I76" s="138">
        <v>5</v>
      </c>
      <c r="J76" s="139">
        <f t="shared" si="4"/>
        <v>40</v>
      </c>
      <c r="K76" s="22" t="s">
        <v>1147</v>
      </c>
      <c r="L76" s="466"/>
      <c r="M76" s="1146"/>
      <c r="N76" s="466"/>
      <c r="O76" s="466"/>
      <c r="P76" s="1150"/>
      <c r="Q76" s="466"/>
    </row>
    <row r="77" spans="1:51" s="22" customFormat="1" ht="26.4">
      <c r="A77" s="1614"/>
      <c r="B77" s="1566"/>
      <c r="C77" s="136" t="s">
        <v>42</v>
      </c>
      <c r="D77" s="137" t="s">
        <v>46</v>
      </c>
      <c r="E77" s="137" t="s">
        <v>383</v>
      </c>
      <c r="F77" s="137" t="s">
        <v>384</v>
      </c>
      <c r="G77" s="246">
        <v>5.69</v>
      </c>
      <c r="H77" s="143" t="s">
        <v>331</v>
      </c>
      <c r="I77" s="138"/>
      <c r="J77" s="139">
        <f t="shared" si="4"/>
        <v>0</v>
      </c>
      <c r="K77" s="22" t="s">
        <v>1147</v>
      </c>
      <c r="L77" s="466"/>
      <c r="M77" s="1146"/>
      <c r="N77" s="466"/>
      <c r="O77" s="1147"/>
      <c r="P77" s="466"/>
      <c r="Q77" s="466"/>
    </row>
    <row r="78" spans="1:51" s="48" customFormat="1" ht="26.4">
      <c r="A78" s="1614"/>
      <c r="B78" s="1566"/>
      <c r="C78" s="136" t="s">
        <v>43</v>
      </c>
      <c r="D78" s="137" t="s">
        <v>47</v>
      </c>
      <c r="E78" s="137" t="s">
        <v>383</v>
      </c>
      <c r="F78" s="137" t="s">
        <v>384</v>
      </c>
      <c r="G78" s="246">
        <v>5.69</v>
      </c>
      <c r="H78" s="143" t="s">
        <v>331</v>
      </c>
      <c r="I78" s="138">
        <v>1</v>
      </c>
      <c r="J78" s="139">
        <f t="shared" si="4"/>
        <v>5.69</v>
      </c>
      <c r="K78" s="22" t="s">
        <v>1147</v>
      </c>
      <c r="L78" s="466"/>
      <c r="M78" s="1146"/>
      <c r="N78" s="466"/>
      <c r="O78" s="466"/>
      <c r="P78" s="1150"/>
      <c r="Q78" s="31"/>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row>
    <row r="79" spans="1:51" s="50" customFormat="1" ht="26.4">
      <c r="A79" s="1614"/>
      <c r="B79" s="1566"/>
      <c r="C79" s="136" t="s">
        <v>44</v>
      </c>
      <c r="D79" s="137" t="s">
        <v>48</v>
      </c>
      <c r="E79" s="137" t="s">
        <v>383</v>
      </c>
      <c r="F79" s="137" t="s">
        <v>384</v>
      </c>
      <c r="G79" s="246">
        <v>9.7799999999999994</v>
      </c>
      <c r="H79" s="143" t="s">
        <v>331</v>
      </c>
      <c r="I79" s="138"/>
      <c r="J79" s="139">
        <f t="shared" si="4"/>
        <v>0</v>
      </c>
      <c r="K79" s="22" t="s">
        <v>1147</v>
      </c>
      <c r="L79" s="466"/>
      <c r="M79" s="1146"/>
      <c r="N79" s="466"/>
      <c r="O79" s="466"/>
      <c r="P79" s="1150"/>
      <c r="Q79" s="31"/>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row>
    <row r="80" spans="1:51" s="37" customFormat="1" ht="27" thickBot="1">
      <c r="A80" s="1615"/>
      <c r="B80" s="1567"/>
      <c r="C80" s="81" t="s">
        <v>45</v>
      </c>
      <c r="D80" s="140" t="s">
        <v>49</v>
      </c>
      <c r="E80" s="140" t="s">
        <v>383</v>
      </c>
      <c r="F80" s="140" t="s">
        <v>384</v>
      </c>
      <c r="G80" s="247">
        <v>12.8</v>
      </c>
      <c r="H80" s="146" t="s">
        <v>331</v>
      </c>
      <c r="I80" s="83"/>
      <c r="J80" s="84">
        <f t="shared" si="4"/>
        <v>0</v>
      </c>
      <c r="K80" s="22" t="s">
        <v>1147</v>
      </c>
      <c r="L80" s="466"/>
      <c r="M80" s="1146"/>
      <c r="N80" s="466"/>
      <c r="O80" s="466"/>
      <c r="P80" s="1150"/>
      <c r="Q80" s="31"/>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row>
    <row r="81" spans="1:17" s="22" customFormat="1" ht="33.75" customHeight="1" thickBot="1">
      <c r="A81" s="32"/>
      <c r="B81" s="32"/>
      <c r="C81" s="23"/>
      <c r="D81" s="24"/>
      <c r="E81" s="24"/>
      <c r="F81" s="24"/>
      <c r="G81" s="465" t="s">
        <v>744</v>
      </c>
      <c r="H81" s="466"/>
      <c r="I81" s="466"/>
      <c r="J81" s="470">
        <f>SUM(J3:J75)</f>
        <v>966.23599999999988</v>
      </c>
      <c r="L81" s="466"/>
      <c r="M81" s="1146"/>
      <c r="N81" s="466"/>
      <c r="O81" s="1147"/>
      <c r="P81" s="466"/>
      <c r="Q81" s="466"/>
    </row>
    <row r="82" spans="1:17" s="22" customFormat="1" ht="38.25" customHeight="1">
      <c r="A82" s="32"/>
      <c r="B82" s="32"/>
      <c r="C82" s="23"/>
      <c r="D82" s="24"/>
      <c r="E82" s="24"/>
      <c r="F82" s="24"/>
      <c r="G82" s="465" t="s">
        <v>745</v>
      </c>
      <c r="H82" s="459"/>
      <c r="I82" s="459"/>
      <c r="J82" s="470">
        <f>SUM(J76:J80)</f>
        <v>45.69</v>
      </c>
      <c r="L82" s="466"/>
      <c r="M82" s="1146"/>
      <c r="N82" s="466"/>
      <c r="O82" s="1147"/>
      <c r="P82" s="466"/>
      <c r="Q82" s="466"/>
    </row>
    <row r="83" spans="1:17" s="22" customFormat="1" ht="13.8">
      <c r="A83" s="32"/>
      <c r="B83" s="32"/>
      <c r="C83" s="23"/>
      <c r="D83" s="24"/>
      <c r="E83" s="24"/>
      <c r="F83" s="24"/>
      <c r="G83" s="30"/>
      <c r="H83" s="31"/>
      <c r="L83" s="466"/>
      <c r="M83" s="1146"/>
      <c r="N83" s="466"/>
      <c r="O83" s="1147"/>
      <c r="P83" s="466"/>
      <c r="Q83" s="466"/>
    </row>
    <row r="84" spans="1:17" s="22" customFormat="1" ht="13.8">
      <c r="A84" s="32"/>
      <c r="B84" s="32"/>
      <c r="C84" s="23"/>
      <c r="D84" s="24"/>
      <c r="E84" s="24"/>
      <c r="F84" s="24"/>
      <c r="G84" s="30"/>
      <c r="H84" s="31"/>
      <c r="L84" s="466"/>
      <c r="M84" s="1146"/>
      <c r="N84" s="466"/>
      <c r="O84" s="466"/>
      <c r="P84" s="466"/>
      <c r="Q84" s="466"/>
    </row>
    <row r="85" spans="1:17" s="22" customFormat="1" ht="13.8">
      <c r="A85" s="32"/>
      <c r="B85" s="32"/>
      <c r="C85" s="23"/>
      <c r="D85" s="24"/>
      <c r="E85" s="24"/>
      <c r="F85" s="24"/>
      <c r="G85" s="30"/>
      <c r="H85" s="25"/>
      <c r="L85" s="466"/>
      <c r="M85" s="1146"/>
      <c r="N85" s="466"/>
      <c r="O85" s="466"/>
      <c r="P85" s="466"/>
      <c r="Q85" s="466"/>
    </row>
    <row r="86" spans="1:17" s="22" customFormat="1" ht="13.8">
      <c r="A86" s="32"/>
      <c r="B86" s="32"/>
      <c r="C86" s="23"/>
      <c r="D86" s="592"/>
      <c r="E86" s="592"/>
      <c r="F86" s="24"/>
      <c r="G86" s="30"/>
      <c r="H86" s="25"/>
      <c r="L86" s="466"/>
      <c r="M86" s="1146"/>
      <c r="N86" s="466"/>
      <c r="O86" s="466"/>
      <c r="P86" s="466"/>
      <c r="Q86" s="466"/>
    </row>
    <row r="87" spans="1:17" s="22" customFormat="1" ht="13.8">
      <c r="A87"/>
      <c r="B87"/>
      <c r="C87"/>
      <c r="D87" s="592"/>
      <c r="E87"/>
      <c r="F87"/>
      <c r="G87"/>
      <c r="H87"/>
      <c r="L87" s="466"/>
      <c r="M87" s="1146"/>
      <c r="N87" s="466"/>
      <c r="O87" s="466"/>
      <c r="P87" s="466"/>
      <c r="Q87" s="466"/>
    </row>
    <row r="88" spans="1:17" s="22" customFormat="1" ht="13.8">
      <c r="A88"/>
      <c r="B88"/>
      <c r="C88"/>
      <c r="D88"/>
      <c r="E88"/>
      <c r="F88"/>
      <c r="G88"/>
      <c r="H88"/>
      <c r="L88" s="466"/>
      <c r="M88" s="1146"/>
      <c r="N88" s="466"/>
      <c r="O88" s="466"/>
      <c r="P88" s="466"/>
      <c r="Q88" s="466"/>
    </row>
    <row r="89" spans="1:17" s="22" customFormat="1" ht="13.8">
      <c r="A89"/>
      <c r="B89"/>
      <c r="C89"/>
      <c r="D89"/>
      <c r="E89"/>
      <c r="F89"/>
      <c r="G89"/>
      <c r="H89"/>
      <c r="L89" s="466"/>
      <c r="M89" s="1146"/>
      <c r="N89" s="466"/>
      <c r="O89" s="466"/>
      <c r="P89" s="466"/>
      <c r="Q89" s="466"/>
    </row>
    <row r="90" spans="1:17" s="22" customFormat="1" ht="13.8">
      <c r="A90"/>
      <c r="B90"/>
      <c r="C90"/>
      <c r="D90"/>
      <c r="E90"/>
      <c r="F90"/>
      <c r="G90"/>
      <c r="H90"/>
      <c r="L90" s="466"/>
      <c r="M90" s="1146"/>
      <c r="N90" s="466"/>
      <c r="O90" s="466"/>
      <c r="P90" s="466"/>
      <c r="Q90" s="466"/>
    </row>
    <row r="91" spans="1:17" s="22" customFormat="1" ht="13.8">
      <c r="A91"/>
      <c r="B91"/>
      <c r="C91"/>
      <c r="D91"/>
      <c r="E91"/>
      <c r="F91"/>
      <c r="G91"/>
      <c r="H91"/>
      <c r="L91" s="466"/>
      <c r="M91" s="1146"/>
      <c r="N91" s="466"/>
      <c r="O91" s="466"/>
      <c r="P91" s="466"/>
      <c r="Q91" s="466"/>
    </row>
    <row r="92" spans="1:17" s="22" customFormat="1" ht="13.8">
      <c r="A92"/>
      <c r="B92"/>
      <c r="C92"/>
      <c r="D92"/>
      <c r="E92"/>
      <c r="F92"/>
      <c r="G92"/>
      <c r="H92"/>
      <c r="L92" s="466"/>
      <c r="M92" s="1146"/>
      <c r="N92" s="466"/>
      <c r="O92" s="466"/>
      <c r="P92" s="466"/>
      <c r="Q92" s="466"/>
    </row>
    <row r="93" spans="1:17" s="22" customFormat="1" ht="13.8">
      <c r="A93"/>
      <c r="B93"/>
      <c r="C93"/>
      <c r="D93"/>
      <c r="E93"/>
      <c r="F93"/>
      <c r="G93"/>
      <c r="H93"/>
      <c r="L93" s="466"/>
      <c r="M93" s="1146"/>
      <c r="N93" s="466"/>
      <c r="O93" s="466"/>
      <c r="P93" s="466"/>
      <c r="Q93" s="466"/>
    </row>
    <row r="94" spans="1:17" s="22" customFormat="1" ht="13.8">
      <c r="A94"/>
      <c r="B94"/>
      <c r="C94"/>
      <c r="D94"/>
      <c r="E94"/>
      <c r="F94"/>
      <c r="G94"/>
      <c r="H94"/>
      <c r="L94" s="466"/>
      <c r="M94" s="1146"/>
      <c r="N94" s="466"/>
      <c r="O94" s="466"/>
      <c r="P94" s="466"/>
      <c r="Q94" s="466"/>
    </row>
    <row r="95" spans="1:17" s="22" customFormat="1" ht="13.8">
      <c r="A95"/>
      <c r="B95"/>
      <c r="C95"/>
      <c r="D95"/>
      <c r="E95"/>
      <c r="F95"/>
      <c r="G95"/>
      <c r="H95"/>
      <c r="L95" s="466"/>
      <c r="M95" s="1146"/>
      <c r="N95" s="466"/>
      <c r="O95" s="466"/>
      <c r="P95" s="466"/>
      <c r="Q95" s="466"/>
    </row>
    <row r="96" spans="1:17" s="22" customFormat="1" ht="13.8">
      <c r="A96"/>
      <c r="B96"/>
      <c r="C96"/>
      <c r="D96"/>
      <c r="E96"/>
      <c r="F96"/>
      <c r="G96"/>
      <c r="H96"/>
      <c r="L96" s="466"/>
      <c r="M96" s="1146"/>
      <c r="N96" s="466"/>
      <c r="O96" s="466"/>
      <c r="P96" s="466"/>
      <c r="Q96" s="466"/>
    </row>
    <row r="97" spans="1:17" s="22" customFormat="1" ht="13.8">
      <c r="A97"/>
      <c r="B97"/>
      <c r="C97"/>
      <c r="D97"/>
      <c r="E97"/>
      <c r="F97"/>
      <c r="G97"/>
      <c r="H97"/>
      <c r="L97" s="466"/>
      <c r="M97" s="1146"/>
      <c r="N97" s="466"/>
      <c r="O97" s="466"/>
      <c r="P97" s="466"/>
      <c r="Q97" s="466"/>
    </row>
    <row r="98" spans="1:17" s="22" customFormat="1" ht="13.8">
      <c r="A98"/>
      <c r="B98"/>
      <c r="C98"/>
      <c r="D98"/>
      <c r="E98"/>
      <c r="F98"/>
      <c r="G98"/>
      <c r="H98"/>
      <c r="L98" s="466"/>
      <c r="M98" s="1146"/>
      <c r="N98" s="466"/>
      <c r="O98" s="466"/>
      <c r="P98" s="466"/>
      <c r="Q98" s="466"/>
    </row>
    <row r="99" spans="1:17" s="22" customFormat="1" ht="13.8">
      <c r="A99"/>
      <c r="B99"/>
      <c r="C99"/>
      <c r="D99"/>
      <c r="E99"/>
      <c r="F99"/>
      <c r="G99"/>
      <c r="H99"/>
      <c r="L99" s="466"/>
      <c r="M99" s="1146"/>
      <c r="N99" s="466"/>
      <c r="O99" s="466"/>
      <c r="P99" s="466"/>
      <c r="Q99" s="466"/>
    </row>
    <row r="100" spans="1:17" s="22" customFormat="1" ht="13.8">
      <c r="A100"/>
      <c r="B100"/>
      <c r="C100"/>
      <c r="D100"/>
      <c r="E100"/>
      <c r="F100"/>
      <c r="G100"/>
      <c r="H100"/>
      <c r="L100" s="466"/>
      <c r="M100" s="1146"/>
      <c r="N100" s="466"/>
      <c r="O100" s="466"/>
      <c r="P100" s="466"/>
      <c r="Q100" s="466"/>
    </row>
    <row r="101" spans="1:17" s="22" customFormat="1" ht="13.8">
      <c r="A101"/>
      <c r="B101"/>
      <c r="C101"/>
      <c r="D101"/>
      <c r="E101"/>
      <c r="F101"/>
      <c r="G101"/>
      <c r="H101"/>
      <c r="L101" s="466"/>
      <c r="M101" s="1146"/>
      <c r="N101" s="466"/>
      <c r="O101" s="466"/>
      <c r="P101" s="466"/>
      <c r="Q101" s="466"/>
    </row>
    <row r="102" spans="1:17" s="22" customFormat="1" ht="13.8">
      <c r="A102"/>
      <c r="B102"/>
      <c r="C102"/>
      <c r="D102"/>
      <c r="E102"/>
      <c r="F102"/>
      <c r="G102"/>
      <c r="H102"/>
      <c r="L102" s="466"/>
      <c r="M102" s="1146"/>
      <c r="N102" s="466"/>
      <c r="O102" s="466"/>
      <c r="P102" s="466"/>
      <c r="Q102" s="466"/>
    </row>
    <row r="103" spans="1:17" s="22" customFormat="1" ht="13.8">
      <c r="A103"/>
      <c r="B103"/>
      <c r="C103"/>
      <c r="D103"/>
      <c r="E103"/>
      <c r="F103"/>
      <c r="G103"/>
      <c r="H103"/>
      <c r="L103" s="466"/>
      <c r="M103" s="1146"/>
      <c r="N103" s="466"/>
      <c r="O103" s="466"/>
      <c r="P103" s="466"/>
      <c r="Q103" s="466"/>
    </row>
    <row r="104" spans="1:17" ht="15">
      <c r="A104"/>
      <c r="B104"/>
      <c r="C104"/>
      <c r="D104"/>
      <c r="E104"/>
      <c r="F104"/>
      <c r="G104"/>
      <c r="H104"/>
    </row>
    <row r="105" spans="1:17" ht="15">
      <c r="A105"/>
      <c r="B105"/>
      <c r="C105"/>
      <c r="D105"/>
      <c r="E105"/>
      <c r="F105"/>
      <c r="G105"/>
      <c r="H105"/>
    </row>
    <row r="106" spans="1:17" ht="15">
      <c r="A106"/>
      <c r="B106"/>
      <c r="C106"/>
      <c r="D106"/>
      <c r="E106"/>
      <c r="F106"/>
      <c r="G106"/>
      <c r="H106"/>
    </row>
    <row r="107" spans="1:17" ht="15">
      <c r="A107"/>
      <c r="B107"/>
      <c r="C107"/>
      <c r="D107"/>
      <c r="E107"/>
      <c r="F107"/>
      <c r="G107"/>
      <c r="H107"/>
    </row>
    <row r="108" spans="1:17" ht="15">
      <c r="A108"/>
      <c r="B108"/>
      <c r="C108"/>
      <c r="D108"/>
      <c r="E108"/>
      <c r="F108"/>
      <c r="G108"/>
      <c r="H108"/>
    </row>
    <row r="109" spans="1:17" ht="15">
      <c r="A109"/>
      <c r="B109"/>
      <c r="C109"/>
      <c r="D109"/>
      <c r="E109"/>
      <c r="F109"/>
      <c r="G109"/>
      <c r="H109"/>
    </row>
    <row r="110" spans="1:17" ht="15">
      <c r="A110"/>
      <c r="B110"/>
      <c r="C110"/>
      <c r="D110"/>
      <c r="E110"/>
      <c r="F110"/>
      <c r="G110"/>
      <c r="H110"/>
    </row>
    <row r="111" spans="1:17" ht="15">
      <c r="A111"/>
      <c r="B111"/>
      <c r="C111"/>
      <c r="D111"/>
      <c r="E111"/>
      <c r="F111"/>
      <c r="G111"/>
      <c r="H111"/>
    </row>
    <row r="112" spans="1:17" ht="15">
      <c r="A112"/>
      <c r="B112"/>
      <c r="C112"/>
      <c r="D112"/>
      <c r="E112"/>
      <c r="F112"/>
      <c r="G112"/>
      <c r="H112"/>
    </row>
    <row r="113" spans="1:8" ht="15">
      <c r="A113"/>
      <c r="B113"/>
      <c r="C113"/>
      <c r="D113"/>
      <c r="E113"/>
      <c r="F113"/>
      <c r="G113"/>
      <c r="H113"/>
    </row>
    <row r="114" spans="1:8" ht="15">
      <c r="A114"/>
      <c r="B114"/>
      <c r="C114"/>
      <c r="D114"/>
      <c r="E114"/>
      <c r="F114"/>
      <c r="G114"/>
      <c r="H114"/>
    </row>
    <row r="115" spans="1:8" ht="15">
      <c r="A115"/>
      <c r="B115"/>
      <c r="C115"/>
      <c r="D115"/>
      <c r="E115"/>
      <c r="F115"/>
      <c r="G115"/>
      <c r="H115"/>
    </row>
    <row r="116" spans="1:8" ht="15">
      <c r="A116"/>
      <c r="B116"/>
      <c r="C116"/>
      <c r="D116"/>
      <c r="E116"/>
      <c r="F116"/>
      <c r="G116"/>
      <c r="H116"/>
    </row>
    <row r="117" spans="1:8" ht="15">
      <c r="A117"/>
      <c r="B117"/>
      <c r="C117"/>
      <c r="D117"/>
      <c r="E117"/>
      <c r="F117"/>
      <c r="G117"/>
      <c r="H117"/>
    </row>
    <row r="118" spans="1:8" ht="15">
      <c r="A118"/>
      <c r="B118"/>
      <c r="C118"/>
      <c r="D118"/>
      <c r="E118"/>
      <c r="F118"/>
      <c r="G118"/>
      <c r="H118"/>
    </row>
  </sheetData>
  <protectedRanges>
    <protectedRange password="C915" sqref="I1:J31 I33:J65536" name="Range1"/>
    <protectedRange password="C915" sqref="I32:J32" name="Range1_1"/>
  </protectedRanges>
  <mergeCells count="28">
    <mergeCell ref="C15:F15"/>
    <mergeCell ref="C17:C20"/>
    <mergeCell ref="C21:C25"/>
    <mergeCell ref="C57:C58"/>
    <mergeCell ref="C42:C44"/>
    <mergeCell ref="C37:C41"/>
    <mergeCell ref="C26:C29"/>
    <mergeCell ref="C45:C47"/>
    <mergeCell ref="C33:C34"/>
    <mergeCell ref="A1:J1"/>
    <mergeCell ref="A2:B2"/>
    <mergeCell ref="A6:B14"/>
    <mergeCell ref="E6:E8"/>
    <mergeCell ref="C6:C8"/>
    <mergeCell ref="C10:C14"/>
    <mergeCell ref="F6:F8"/>
    <mergeCell ref="E10:E14"/>
    <mergeCell ref="F10:F14"/>
    <mergeCell ref="A70:B80"/>
    <mergeCell ref="A3:B4"/>
    <mergeCell ref="A17:B35"/>
    <mergeCell ref="A60:B63"/>
    <mergeCell ref="A56:B56"/>
    <mergeCell ref="A57:B58"/>
    <mergeCell ref="A16:B16"/>
    <mergeCell ref="A37:B48"/>
    <mergeCell ref="A65:B68"/>
    <mergeCell ref="A50:B54"/>
  </mergeCells>
  <phoneticPr fontId="6" type="noConversion"/>
  <printOptions horizontalCentered="1" verticalCentered="1"/>
  <pageMargins left="0.75" right="0.75" top="0.49" bottom="0.44" header="0.42" footer="0.39"/>
  <pageSetup paperSize="9" scale="47" orientation="portrait" horizontalDpi="1200" verticalDpi="1200" r:id="rId1"/>
  <headerFooter alignWithMargins="0"/>
  <rowBreaks count="1" manualBreakCount="1">
    <brk id="64" max="9" man="1"/>
  </rowBreaks>
  <colBreaks count="1" manualBreakCount="1">
    <brk id="10"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EN292"/>
  <sheetViews>
    <sheetView zoomScale="85" zoomScaleNormal="85" workbookViewId="0">
      <pane xSplit="4" ySplit="2" topLeftCell="E58" activePane="bottomRight" state="frozen"/>
      <selection pane="topRight" activeCell="E1" sqref="E1"/>
      <selection pane="bottomLeft" activeCell="A3" sqref="A3"/>
      <selection pane="bottomRight" activeCell="L2" sqref="L2"/>
    </sheetView>
  </sheetViews>
  <sheetFormatPr defaultColWidth="9.33203125" defaultRowHeight="15.6"/>
  <cols>
    <col min="1" max="1" width="18.6640625" style="17" customWidth="1"/>
    <col min="2" max="2" width="19" style="18" customWidth="1"/>
    <col min="3" max="3" width="14.5546875" style="18" customWidth="1"/>
    <col min="4" max="4" width="10.33203125" style="18" customWidth="1"/>
    <col min="5" max="5" width="23.6640625" style="18" customWidth="1"/>
    <col min="6" max="6" width="16.88671875" style="18" customWidth="1"/>
    <col min="7" max="7" width="16.6640625" style="18" customWidth="1"/>
    <col min="8" max="8" width="15.33203125" style="33" customWidth="1"/>
    <col min="9" max="9" width="11.33203125" style="17" customWidth="1"/>
    <col min="10" max="10" width="10.33203125" style="17" customWidth="1"/>
    <col min="11" max="11" width="9.5546875" style="17" customWidth="1"/>
    <col min="12" max="12" width="20.5546875" style="19" customWidth="1"/>
    <col min="13" max="13" width="19.44140625" style="1144" bestFit="1" customWidth="1"/>
    <col min="14" max="14" width="21.33203125" style="1145" bestFit="1" customWidth="1"/>
    <col min="15" max="15" width="13.5546875" style="1144" customWidth="1"/>
    <col min="16" max="16" width="39.88671875" style="1144" bestFit="1" customWidth="1"/>
    <col min="17" max="17" width="19.44140625" style="1144" customWidth="1"/>
    <col min="18" max="18" width="39.109375" style="1144" bestFit="1" customWidth="1"/>
    <col min="19" max="19" width="9.33203125" style="1144"/>
    <col min="20" max="20" width="12.44140625" style="1144" bestFit="1" customWidth="1"/>
    <col min="21" max="39" width="9.33203125" style="1144"/>
    <col min="40" max="16384" width="9.33203125" style="17"/>
  </cols>
  <sheetData>
    <row r="1" spans="1:69" ht="17.399999999999999" customHeight="1" thickBot="1">
      <c r="A1" s="1707" t="s">
        <v>428</v>
      </c>
      <c r="B1" s="1707"/>
      <c r="C1" s="1707"/>
      <c r="D1" s="1707"/>
      <c r="E1" s="1707"/>
      <c r="F1" s="1707"/>
      <c r="G1" s="1707"/>
      <c r="H1" s="1707"/>
      <c r="I1" s="1707"/>
      <c r="J1" s="1707"/>
      <c r="K1" s="1707"/>
      <c r="M1" s="4"/>
      <c r="N1" s="1044"/>
      <c r="O1" s="4"/>
      <c r="P1" s="4"/>
    </row>
    <row r="2" spans="1:69" ht="33.6" customHeight="1">
      <c r="A2" s="1715" t="s">
        <v>319</v>
      </c>
      <c r="B2" s="1716"/>
      <c r="C2" s="1717" t="s">
        <v>320</v>
      </c>
      <c r="D2" s="1717"/>
      <c r="E2" s="347" t="s">
        <v>588</v>
      </c>
      <c r="F2" s="149" t="s">
        <v>369</v>
      </c>
      <c r="G2" s="149" t="s">
        <v>370</v>
      </c>
      <c r="H2" s="149" t="s">
        <v>551</v>
      </c>
      <c r="I2" s="122" t="s">
        <v>324</v>
      </c>
      <c r="J2" s="149" t="s">
        <v>308</v>
      </c>
      <c r="K2" s="150" t="s">
        <v>325</v>
      </c>
    </row>
    <row r="3" spans="1:69" s="35" customFormat="1" ht="54" customHeight="1">
      <c r="A3" s="1662" t="s">
        <v>429</v>
      </c>
      <c r="B3" s="1370"/>
      <c r="C3" s="1655" t="s">
        <v>574</v>
      </c>
      <c r="D3" s="1660"/>
      <c r="E3" s="463" t="s">
        <v>1012</v>
      </c>
      <c r="F3" s="136" t="s">
        <v>430</v>
      </c>
      <c r="G3" s="136" t="s">
        <v>431</v>
      </c>
      <c r="H3" s="251">
        <v>4.5999999999999996</v>
      </c>
      <c r="I3" s="123" t="s">
        <v>331</v>
      </c>
      <c r="J3" s="138">
        <v>11</v>
      </c>
      <c r="K3" s="139">
        <f t="shared" ref="K3:K75" si="0">+J3*H3</f>
        <v>50.599999999999994</v>
      </c>
      <c r="L3" s="634" t="s">
        <v>1151</v>
      </c>
      <c r="M3" s="791"/>
      <c r="N3" s="1044"/>
      <c r="O3" s="791"/>
      <c r="P3" s="1151"/>
      <c r="Q3" s="791"/>
      <c r="R3" s="301"/>
      <c r="S3" s="301"/>
      <c r="T3" s="301"/>
      <c r="U3" s="301"/>
      <c r="V3" s="301"/>
      <c r="W3" s="301"/>
      <c r="X3" s="301"/>
      <c r="Y3" s="301"/>
      <c r="Z3" s="301"/>
      <c r="AA3" s="301"/>
      <c r="AB3" s="301"/>
      <c r="AC3" s="301"/>
      <c r="AD3" s="301"/>
      <c r="AE3" s="301"/>
      <c r="AF3" s="301"/>
      <c r="AG3" s="301"/>
      <c r="AH3" s="301"/>
      <c r="AI3" s="301"/>
      <c r="AJ3" s="301"/>
      <c r="AK3" s="301"/>
      <c r="AL3" s="301"/>
      <c r="AM3" s="301"/>
    </row>
    <row r="4" spans="1:69" s="35" customFormat="1" ht="53.25" customHeight="1">
      <c r="A4" s="1246"/>
      <c r="B4" s="1663"/>
      <c r="C4" s="1660"/>
      <c r="D4" s="1660"/>
      <c r="E4" s="136" t="s">
        <v>432</v>
      </c>
      <c r="F4" s="136" t="s">
        <v>329</v>
      </c>
      <c r="G4" s="136" t="s">
        <v>431</v>
      </c>
      <c r="H4" s="251">
        <v>1.49</v>
      </c>
      <c r="I4" s="123" t="s">
        <v>331</v>
      </c>
      <c r="J4" s="138">
        <v>22</v>
      </c>
      <c r="K4" s="139">
        <f t="shared" si="0"/>
        <v>32.78</v>
      </c>
      <c r="L4" s="634" t="s">
        <v>1146</v>
      </c>
      <c r="M4" s="791"/>
      <c r="N4" s="1044"/>
      <c r="O4" s="791"/>
      <c r="P4" s="1151"/>
      <c r="Q4" s="791"/>
      <c r="R4" s="301"/>
      <c r="S4" s="301"/>
      <c r="T4" s="301"/>
      <c r="U4" s="301"/>
      <c r="V4" s="301"/>
      <c r="W4" s="301"/>
      <c r="X4" s="301"/>
      <c r="Y4" s="301"/>
      <c r="Z4" s="301"/>
      <c r="AA4" s="301"/>
      <c r="AB4" s="301"/>
      <c r="AC4" s="301"/>
      <c r="AD4" s="301"/>
      <c r="AE4" s="301"/>
      <c r="AF4" s="301"/>
      <c r="AG4" s="301"/>
      <c r="AH4" s="301"/>
      <c r="AI4" s="301"/>
      <c r="AJ4" s="301"/>
      <c r="AK4" s="301"/>
      <c r="AL4" s="301"/>
      <c r="AM4" s="301"/>
    </row>
    <row r="5" spans="1:69" s="35" customFormat="1" ht="69.75" customHeight="1">
      <c r="A5" s="1246"/>
      <c r="B5" s="1663"/>
      <c r="C5" s="1660"/>
      <c r="D5" s="1660"/>
      <c r="E5" s="463" t="s">
        <v>1013</v>
      </c>
      <c r="F5" s="136" t="s">
        <v>430</v>
      </c>
      <c r="G5" s="136" t="s">
        <v>431</v>
      </c>
      <c r="H5" s="252">
        <v>15.49</v>
      </c>
      <c r="I5" s="123" t="s">
        <v>331</v>
      </c>
      <c r="J5" s="138">
        <v>3</v>
      </c>
      <c r="K5" s="139">
        <f t="shared" si="0"/>
        <v>46.47</v>
      </c>
      <c r="L5" s="634" t="s">
        <v>1151</v>
      </c>
      <c r="M5" s="791"/>
      <c r="N5" s="1044"/>
      <c r="O5" s="791"/>
      <c r="P5" s="1151"/>
      <c r="Q5" s="791"/>
      <c r="R5" s="301"/>
      <c r="S5" s="301"/>
      <c r="T5" s="301"/>
      <c r="U5" s="301"/>
      <c r="V5" s="301"/>
      <c r="W5" s="301"/>
      <c r="X5" s="301"/>
      <c r="Y5" s="301"/>
      <c r="Z5" s="301"/>
      <c r="AA5" s="301"/>
      <c r="AB5" s="301"/>
      <c r="AC5" s="301"/>
      <c r="AD5" s="301"/>
      <c r="AE5" s="301"/>
      <c r="AF5" s="301"/>
      <c r="AG5" s="301"/>
      <c r="AH5" s="301"/>
      <c r="AI5" s="301"/>
      <c r="AJ5" s="301"/>
      <c r="AK5" s="301"/>
      <c r="AL5" s="301"/>
      <c r="AM5" s="301"/>
    </row>
    <row r="6" spans="1:69" s="35" customFormat="1" ht="44.25" customHeight="1">
      <c r="A6" s="1246"/>
      <c r="B6" s="1663"/>
      <c r="C6" s="1495" t="s">
        <v>718</v>
      </c>
      <c r="D6" s="1456"/>
      <c r="E6" s="463" t="s">
        <v>719</v>
      </c>
      <c r="F6" s="152" t="s">
        <v>430</v>
      </c>
      <c r="G6" s="152" t="s">
        <v>431</v>
      </c>
      <c r="H6" s="252">
        <v>6</v>
      </c>
      <c r="I6" s="143" t="s">
        <v>331</v>
      </c>
      <c r="J6" s="304"/>
      <c r="K6" s="139">
        <f t="shared" si="0"/>
        <v>0</v>
      </c>
      <c r="L6" s="784" t="s">
        <v>1146</v>
      </c>
      <c r="M6" s="791"/>
      <c r="N6" s="1044"/>
      <c r="O6" s="791"/>
      <c r="P6" s="1151"/>
      <c r="Q6" s="791"/>
      <c r="R6" s="301"/>
      <c r="S6" s="301"/>
      <c r="T6" s="301"/>
      <c r="U6" s="301"/>
      <c r="V6" s="301"/>
      <c r="W6" s="301"/>
      <c r="X6" s="301"/>
      <c r="Y6" s="301"/>
      <c r="Z6" s="301"/>
      <c r="AA6" s="301"/>
      <c r="AB6" s="301"/>
      <c r="AC6" s="301"/>
      <c r="AD6" s="301"/>
      <c r="AE6" s="301"/>
      <c r="AF6" s="301"/>
      <c r="AG6" s="301"/>
      <c r="AH6" s="301"/>
      <c r="AI6" s="301"/>
      <c r="AJ6" s="301"/>
      <c r="AK6" s="301"/>
      <c r="AL6" s="301"/>
      <c r="AM6" s="301"/>
    </row>
    <row r="7" spans="1:69" s="35" customFormat="1" ht="44.25" customHeight="1">
      <c r="A7" s="1246"/>
      <c r="B7" s="1663"/>
      <c r="C7" s="1495" t="s">
        <v>750</v>
      </c>
      <c r="D7" s="1456"/>
      <c r="E7" s="463" t="s">
        <v>749</v>
      </c>
      <c r="F7" s="463" t="s">
        <v>720</v>
      </c>
      <c r="G7" s="463" t="s">
        <v>721</v>
      </c>
      <c r="H7" s="252">
        <v>6</v>
      </c>
      <c r="I7" s="143" t="s">
        <v>331</v>
      </c>
      <c r="J7" s="304"/>
      <c r="K7" s="139">
        <f t="shared" si="0"/>
        <v>0</v>
      </c>
      <c r="L7" s="784" t="s">
        <v>1146</v>
      </c>
      <c r="M7" s="791"/>
      <c r="N7" s="1044"/>
      <c r="O7" s="791"/>
      <c r="P7" s="1151"/>
      <c r="Q7" s="791"/>
      <c r="R7" s="301"/>
      <c r="S7" s="301"/>
      <c r="T7" s="301"/>
      <c r="U7" s="301"/>
      <c r="V7" s="301"/>
      <c r="W7" s="301"/>
      <c r="X7" s="301"/>
      <c r="Y7" s="301"/>
      <c r="Z7" s="301"/>
      <c r="AA7" s="301"/>
      <c r="AB7" s="301"/>
      <c r="AC7" s="301"/>
      <c r="AD7" s="301"/>
      <c r="AE7" s="301"/>
      <c r="AF7" s="301"/>
      <c r="AG7" s="301"/>
      <c r="AH7" s="301"/>
      <c r="AI7" s="301"/>
      <c r="AJ7" s="301"/>
      <c r="AK7" s="301"/>
      <c r="AL7" s="301"/>
      <c r="AM7" s="301"/>
    </row>
    <row r="8" spans="1:69" s="51" customFormat="1" ht="45" customHeight="1" thickBot="1">
      <c r="A8" s="1246"/>
      <c r="B8" s="1663"/>
      <c r="C8" s="1282" t="s">
        <v>433</v>
      </c>
      <c r="D8" s="1650"/>
      <c r="E8" s="351" t="s">
        <v>411</v>
      </c>
      <c r="F8" s="351" t="s">
        <v>434</v>
      </c>
      <c r="G8" s="351" t="s">
        <v>409</v>
      </c>
      <c r="H8" s="473">
        <v>6.3E-2</v>
      </c>
      <c r="I8" s="393" t="s">
        <v>380</v>
      </c>
      <c r="J8" s="313"/>
      <c r="K8" s="314">
        <f t="shared" si="0"/>
        <v>0</v>
      </c>
      <c r="L8" s="784" t="s">
        <v>1146</v>
      </c>
      <c r="M8" s="791"/>
      <c r="N8" s="1044"/>
      <c r="O8" s="791"/>
      <c r="P8" s="1151"/>
      <c r="Q8" s="791"/>
      <c r="R8" s="1152"/>
      <c r="S8" s="1152"/>
      <c r="T8" s="1152"/>
      <c r="U8" s="1152"/>
      <c r="V8" s="1152"/>
      <c r="W8" s="1152"/>
      <c r="X8" s="1152"/>
      <c r="Y8" s="1152"/>
      <c r="Z8" s="1152"/>
      <c r="AA8" s="1152"/>
      <c r="AB8" s="1152"/>
      <c r="AC8" s="1152"/>
      <c r="AD8" s="1152"/>
      <c r="AE8" s="1152"/>
      <c r="AF8" s="1152"/>
      <c r="AG8" s="1152"/>
      <c r="AH8" s="1152"/>
      <c r="AI8" s="1152"/>
      <c r="AJ8" s="1152"/>
      <c r="AK8" s="1152"/>
      <c r="AL8" s="1152"/>
      <c r="AM8" s="1152"/>
      <c r="AN8" s="710"/>
      <c r="AO8" s="710"/>
      <c r="AP8" s="710"/>
      <c r="AQ8" s="710"/>
      <c r="AR8" s="710"/>
      <c r="AS8" s="710"/>
      <c r="AT8" s="710"/>
      <c r="AU8" s="710"/>
      <c r="AV8" s="710"/>
      <c r="AW8" s="710"/>
      <c r="AX8" s="710"/>
      <c r="AY8" s="710"/>
      <c r="AZ8" s="710"/>
      <c r="BA8" s="710"/>
      <c r="BB8" s="710"/>
      <c r="BC8" s="710"/>
      <c r="BD8" s="710"/>
      <c r="BE8" s="710"/>
      <c r="BF8" s="710"/>
      <c r="BG8" s="710"/>
      <c r="BH8" s="710"/>
      <c r="BI8" s="710"/>
      <c r="BJ8" s="710"/>
      <c r="BK8" s="710"/>
      <c r="BL8" s="710"/>
      <c r="BM8" s="710"/>
      <c r="BN8" s="710"/>
      <c r="BO8" s="710"/>
      <c r="BP8" s="710"/>
      <c r="BQ8" s="710"/>
    </row>
    <row r="9" spans="1:69" s="51" customFormat="1" ht="45" customHeight="1">
      <c r="A9" s="1712" t="s">
        <v>1439</v>
      </c>
      <c r="B9" s="1713"/>
      <c r="C9" s="1773" t="s">
        <v>1333</v>
      </c>
      <c r="D9" s="1774"/>
      <c r="E9" s="834" t="s">
        <v>1317</v>
      </c>
      <c r="F9" s="834" t="s">
        <v>1323</v>
      </c>
      <c r="G9" s="834" t="s">
        <v>1334</v>
      </c>
      <c r="H9" s="849">
        <v>6</v>
      </c>
      <c r="I9" s="78" t="s">
        <v>331</v>
      </c>
      <c r="J9" s="79"/>
      <c r="K9" s="80">
        <f t="shared" si="0"/>
        <v>0</v>
      </c>
      <c r="L9" s="784"/>
      <c r="M9" s="791"/>
      <c r="N9" s="1044"/>
      <c r="O9" s="791"/>
      <c r="P9" s="1151"/>
      <c r="Q9" s="791"/>
      <c r="R9" s="1152"/>
      <c r="S9" s="1152"/>
      <c r="T9" s="1152"/>
      <c r="U9" s="1152"/>
      <c r="V9" s="1152"/>
      <c r="W9" s="1152"/>
      <c r="X9" s="1152"/>
      <c r="Y9" s="1152"/>
      <c r="Z9" s="1152"/>
      <c r="AA9" s="1152"/>
      <c r="AB9" s="1152"/>
      <c r="AC9" s="1152"/>
      <c r="AD9" s="1152"/>
      <c r="AE9" s="1152"/>
      <c r="AF9" s="1152"/>
      <c r="AG9" s="1152"/>
      <c r="AH9" s="1152"/>
      <c r="AI9" s="1152"/>
      <c r="AJ9" s="1152"/>
      <c r="AK9" s="1152"/>
      <c r="AL9" s="1152"/>
      <c r="AM9" s="1152"/>
      <c r="AN9" s="710"/>
      <c r="AO9" s="710"/>
      <c r="AP9" s="710"/>
      <c r="AQ9" s="710"/>
      <c r="AR9" s="710"/>
      <c r="AS9" s="710"/>
      <c r="AT9" s="710"/>
      <c r="AU9" s="710"/>
      <c r="AV9" s="710"/>
      <c r="AW9" s="710"/>
      <c r="AX9" s="710"/>
      <c r="AY9" s="710"/>
      <c r="AZ9" s="710"/>
      <c r="BA9" s="710"/>
      <c r="BB9" s="710"/>
      <c r="BC9" s="710"/>
      <c r="BD9" s="710"/>
      <c r="BE9" s="710"/>
      <c r="BF9" s="710"/>
      <c r="BG9" s="710"/>
      <c r="BH9" s="710"/>
      <c r="BI9" s="710"/>
      <c r="BJ9" s="710"/>
      <c r="BK9" s="710"/>
      <c r="BL9" s="710"/>
      <c r="BM9" s="710"/>
      <c r="BN9" s="710"/>
      <c r="BO9" s="710"/>
      <c r="BP9" s="710"/>
      <c r="BQ9" s="710"/>
    </row>
    <row r="10" spans="1:69" s="51" customFormat="1" ht="45" customHeight="1">
      <c r="A10" s="1283"/>
      <c r="B10" s="1714"/>
      <c r="C10" s="1720" t="s">
        <v>1330</v>
      </c>
      <c r="D10" s="1721"/>
      <c r="E10" s="471" t="s">
        <v>1317</v>
      </c>
      <c r="F10" s="471" t="s">
        <v>1331</v>
      </c>
      <c r="G10" s="471" t="s">
        <v>1332</v>
      </c>
      <c r="H10" s="850">
        <v>2.8</v>
      </c>
      <c r="I10" s="227" t="s">
        <v>331</v>
      </c>
      <c r="J10" s="228"/>
      <c r="K10" s="229">
        <f>+J10*H10</f>
        <v>0</v>
      </c>
      <c r="L10" s="784"/>
      <c r="M10" s="791"/>
      <c r="N10" s="1044"/>
      <c r="O10" s="791"/>
      <c r="P10" s="1151"/>
      <c r="Q10" s="791"/>
      <c r="R10" s="1152"/>
      <c r="S10" s="1152"/>
      <c r="T10" s="1152"/>
      <c r="U10" s="1152"/>
      <c r="V10" s="1152"/>
      <c r="W10" s="1152"/>
      <c r="X10" s="1152"/>
      <c r="Y10" s="1152"/>
      <c r="Z10" s="1152"/>
      <c r="AA10" s="1152"/>
      <c r="AB10" s="1152"/>
      <c r="AC10" s="1152"/>
      <c r="AD10" s="1152"/>
      <c r="AE10" s="1152"/>
      <c r="AF10" s="1152"/>
      <c r="AG10" s="1152"/>
      <c r="AH10" s="1152"/>
      <c r="AI10" s="1152"/>
      <c r="AJ10" s="1152"/>
      <c r="AK10" s="1152"/>
      <c r="AL10" s="1152"/>
      <c r="AM10" s="1152"/>
      <c r="AN10" s="710"/>
      <c r="AO10" s="710"/>
      <c r="AP10" s="710"/>
      <c r="AQ10" s="710"/>
      <c r="AR10" s="710"/>
      <c r="AS10" s="710"/>
      <c r="AT10" s="710"/>
      <c r="AU10" s="710"/>
      <c r="AV10" s="710"/>
      <c r="AW10" s="710"/>
      <c r="AX10" s="710"/>
      <c r="AY10" s="710"/>
      <c r="AZ10" s="710"/>
      <c r="BA10" s="710"/>
      <c r="BB10" s="710"/>
      <c r="BC10" s="710"/>
      <c r="BD10" s="710"/>
      <c r="BE10" s="710"/>
      <c r="BF10" s="710"/>
      <c r="BG10" s="710"/>
      <c r="BH10" s="710"/>
      <c r="BI10" s="710"/>
      <c r="BJ10" s="710"/>
      <c r="BK10" s="710"/>
      <c r="BL10" s="710"/>
      <c r="BM10" s="710"/>
      <c r="BN10" s="710"/>
      <c r="BO10" s="710"/>
      <c r="BP10" s="710"/>
      <c r="BQ10" s="710"/>
    </row>
    <row r="11" spans="1:69" s="51" customFormat="1" ht="45" customHeight="1">
      <c r="A11" s="1283"/>
      <c r="B11" s="1714"/>
      <c r="C11" s="1671" t="s">
        <v>1335</v>
      </c>
      <c r="D11" s="1672"/>
      <c r="E11" s="463" t="s">
        <v>1336</v>
      </c>
      <c r="F11" s="463" t="s">
        <v>1337</v>
      </c>
      <c r="G11" s="463" t="s">
        <v>1332</v>
      </c>
      <c r="H11" s="851">
        <v>2.8</v>
      </c>
      <c r="I11" s="123" t="s">
        <v>331</v>
      </c>
      <c r="J11" s="138"/>
      <c r="K11" s="139">
        <f>+J11*H11</f>
        <v>0</v>
      </c>
      <c r="L11" s="784"/>
      <c r="M11" s="791"/>
      <c r="N11" s="1044"/>
      <c r="O11" s="791"/>
      <c r="P11" s="1151"/>
      <c r="Q11" s="791"/>
      <c r="R11" s="1152"/>
      <c r="S11" s="1152"/>
      <c r="T11" s="1152"/>
      <c r="U11" s="1152"/>
      <c r="V11" s="1152"/>
      <c r="W11" s="1152"/>
      <c r="X11" s="1152"/>
      <c r="Y11" s="1152"/>
      <c r="Z11" s="1152"/>
      <c r="AA11" s="1152"/>
      <c r="AB11" s="1152"/>
      <c r="AC11" s="1152"/>
      <c r="AD11" s="1152"/>
      <c r="AE11" s="1152"/>
      <c r="AF11" s="1152"/>
      <c r="AG11" s="1152"/>
      <c r="AH11" s="1152"/>
      <c r="AI11" s="1152"/>
      <c r="AJ11" s="1152"/>
      <c r="AK11" s="1152"/>
      <c r="AL11" s="1152"/>
      <c r="AM11" s="1152"/>
      <c r="AN11" s="710"/>
      <c r="AO11" s="710"/>
      <c r="AP11" s="710"/>
      <c r="AQ11" s="710"/>
      <c r="AR11" s="710"/>
      <c r="AS11" s="710"/>
      <c r="AT11" s="710"/>
      <c r="AU11" s="710"/>
      <c r="AV11" s="710"/>
      <c r="AW11" s="710"/>
      <c r="AX11" s="710"/>
      <c r="AY11" s="710"/>
      <c r="AZ11" s="710"/>
      <c r="BA11" s="710"/>
      <c r="BB11" s="710"/>
      <c r="BC11" s="710"/>
      <c r="BD11" s="710"/>
      <c r="BE11" s="710"/>
      <c r="BF11" s="710"/>
      <c r="BG11" s="710"/>
      <c r="BH11" s="710"/>
      <c r="BI11" s="710"/>
      <c r="BJ11" s="710"/>
      <c r="BK11" s="710"/>
      <c r="BL11" s="710"/>
      <c r="BM11" s="710"/>
      <c r="BN11" s="710"/>
      <c r="BO11" s="710"/>
      <c r="BP11" s="710"/>
      <c r="BQ11" s="710"/>
    </row>
    <row r="12" spans="1:69" s="51" customFormat="1" ht="45" customHeight="1">
      <c r="A12" s="1283"/>
      <c r="B12" s="1714"/>
      <c r="C12" s="1671" t="s">
        <v>1338</v>
      </c>
      <c r="D12" s="1672"/>
      <c r="E12" s="463" t="s">
        <v>1336</v>
      </c>
      <c r="F12" s="463" t="s">
        <v>1332</v>
      </c>
      <c r="G12" s="463" t="s">
        <v>1339</v>
      </c>
      <c r="H12" s="851">
        <v>5</v>
      </c>
      <c r="I12" s="123" t="s">
        <v>331</v>
      </c>
      <c r="J12" s="138"/>
      <c r="K12" s="139">
        <f>+J12*H12</f>
        <v>0</v>
      </c>
      <c r="L12" s="784"/>
      <c r="M12" s="791"/>
      <c r="N12" s="1044"/>
      <c r="O12" s="791"/>
      <c r="P12" s="1151"/>
      <c r="Q12" s="791"/>
      <c r="R12" s="1152"/>
      <c r="S12" s="1152"/>
      <c r="T12" s="1152"/>
      <c r="U12" s="1152"/>
      <c r="V12" s="1152"/>
      <c r="W12" s="1152"/>
      <c r="X12" s="1152"/>
      <c r="Y12" s="1152"/>
      <c r="Z12" s="1152"/>
      <c r="AA12" s="1152"/>
      <c r="AB12" s="1152"/>
      <c r="AC12" s="1152"/>
      <c r="AD12" s="1152"/>
      <c r="AE12" s="1152"/>
      <c r="AF12" s="1152"/>
      <c r="AG12" s="1152"/>
      <c r="AH12" s="1152"/>
      <c r="AI12" s="1152"/>
      <c r="AJ12" s="1152"/>
      <c r="AK12" s="1152"/>
      <c r="AL12" s="1152"/>
      <c r="AM12" s="1152"/>
      <c r="AN12" s="710"/>
      <c r="AO12" s="710"/>
      <c r="AP12" s="710"/>
      <c r="AQ12" s="710"/>
      <c r="AR12" s="710"/>
      <c r="AS12" s="710"/>
      <c r="AT12" s="710"/>
      <c r="AU12" s="710"/>
      <c r="AV12" s="710"/>
      <c r="AW12" s="710"/>
      <c r="AX12" s="710"/>
      <c r="AY12" s="710"/>
      <c r="AZ12" s="710"/>
      <c r="BA12" s="710"/>
      <c r="BB12" s="710"/>
      <c r="BC12" s="710"/>
      <c r="BD12" s="710"/>
      <c r="BE12" s="710"/>
      <c r="BF12" s="710"/>
      <c r="BG12" s="710"/>
      <c r="BH12" s="710"/>
      <c r="BI12" s="710"/>
      <c r="BJ12" s="710"/>
      <c r="BK12" s="710"/>
      <c r="BL12" s="710"/>
      <c r="BM12" s="710"/>
      <c r="BN12" s="710"/>
      <c r="BO12" s="710"/>
      <c r="BP12" s="710"/>
      <c r="BQ12" s="710"/>
    </row>
    <row r="13" spans="1:69" s="49" customFormat="1" ht="45" customHeight="1">
      <c r="A13" s="1283"/>
      <c r="B13" s="1714"/>
      <c r="C13" s="1710" t="s">
        <v>1407</v>
      </c>
      <c r="D13" s="1711"/>
      <c r="E13" s="136" t="s">
        <v>614</v>
      </c>
      <c r="F13" s="136" t="s">
        <v>615</v>
      </c>
      <c r="G13" s="136" t="s">
        <v>616</v>
      </c>
      <c r="H13" s="252">
        <v>6.5</v>
      </c>
      <c r="I13" s="143" t="s">
        <v>331</v>
      </c>
      <c r="J13" s="304"/>
      <c r="K13" s="305">
        <f t="shared" si="0"/>
        <v>0</v>
      </c>
      <c r="L13" s="784" t="s">
        <v>1146</v>
      </c>
      <c r="M13" s="791"/>
      <c r="N13" s="1044"/>
      <c r="O13" s="791"/>
      <c r="P13" s="1151"/>
      <c r="Q13" s="791"/>
      <c r="R13" s="1152"/>
      <c r="S13" s="1152"/>
      <c r="T13" s="1152"/>
      <c r="U13" s="1152"/>
      <c r="V13" s="1152"/>
      <c r="W13" s="1152"/>
      <c r="X13" s="1152"/>
      <c r="Y13" s="1152"/>
      <c r="Z13" s="1152"/>
      <c r="AA13" s="1152"/>
      <c r="AB13" s="1152"/>
      <c r="AC13" s="1152"/>
      <c r="AD13" s="1152"/>
      <c r="AE13" s="1152"/>
      <c r="AF13" s="1152"/>
      <c r="AG13" s="1152"/>
      <c r="AH13" s="1152"/>
      <c r="AI13" s="1152"/>
      <c r="AJ13" s="1152"/>
      <c r="AK13" s="1152"/>
      <c r="AL13" s="1152"/>
      <c r="AM13" s="1152"/>
      <c r="AN13" s="710"/>
      <c r="AO13" s="710"/>
      <c r="AP13" s="710"/>
      <c r="AQ13" s="710"/>
      <c r="AR13" s="710"/>
      <c r="AS13" s="710"/>
      <c r="AT13" s="710"/>
      <c r="AU13" s="710"/>
      <c r="AV13" s="710"/>
      <c r="AW13" s="710"/>
      <c r="AX13" s="710"/>
      <c r="AY13" s="710"/>
      <c r="AZ13" s="710"/>
      <c r="BA13" s="710"/>
      <c r="BB13" s="710"/>
      <c r="BC13" s="710"/>
      <c r="BD13" s="710"/>
      <c r="BE13" s="710"/>
      <c r="BF13" s="710"/>
      <c r="BG13" s="710"/>
      <c r="BH13" s="710"/>
      <c r="BI13" s="710"/>
      <c r="BJ13" s="710"/>
      <c r="BK13" s="710"/>
      <c r="BL13" s="710"/>
      <c r="BM13" s="710"/>
      <c r="BN13" s="710"/>
      <c r="BO13" s="710"/>
      <c r="BP13" s="710"/>
      <c r="BQ13" s="710"/>
    </row>
    <row r="14" spans="1:69" s="49" customFormat="1" ht="45" customHeight="1">
      <c r="A14" s="1283"/>
      <c r="B14" s="1714"/>
      <c r="C14" s="1710" t="s">
        <v>1408</v>
      </c>
      <c r="D14" s="1711"/>
      <c r="E14" s="1039" t="s">
        <v>631</v>
      </c>
      <c r="F14" s="463" t="s">
        <v>1410</v>
      </c>
      <c r="G14" s="463" t="s">
        <v>628</v>
      </c>
      <c r="H14" s="252">
        <v>10</v>
      </c>
      <c r="I14" s="143" t="s">
        <v>331</v>
      </c>
      <c r="J14" s="304"/>
      <c r="K14" s="305">
        <f t="shared" si="0"/>
        <v>0</v>
      </c>
      <c r="L14" s="784" t="s">
        <v>1146</v>
      </c>
      <c r="M14" s="791"/>
      <c r="N14" s="1044"/>
      <c r="O14" s="791"/>
      <c r="P14" s="1151"/>
      <c r="Q14" s="791"/>
      <c r="R14" s="1152"/>
      <c r="S14" s="1152"/>
      <c r="T14" s="1152"/>
      <c r="U14" s="1152"/>
      <c r="V14" s="1152"/>
      <c r="W14" s="1152"/>
      <c r="X14" s="1152"/>
      <c r="Y14" s="1152"/>
      <c r="Z14" s="1152"/>
      <c r="AA14" s="1152"/>
      <c r="AB14" s="1152"/>
      <c r="AC14" s="1152"/>
      <c r="AD14" s="1152"/>
      <c r="AE14" s="1152"/>
      <c r="AF14" s="1152"/>
      <c r="AG14" s="1152"/>
      <c r="AH14" s="1152"/>
      <c r="AI14" s="1152"/>
      <c r="AJ14" s="1152"/>
      <c r="AK14" s="1152"/>
      <c r="AL14" s="1152"/>
      <c r="AM14" s="1152"/>
      <c r="AN14" s="710"/>
      <c r="AO14" s="710"/>
      <c r="AP14" s="710"/>
      <c r="AQ14" s="710"/>
      <c r="AR14" s="710"/>
      <c r="AS14" s="710"/>
      <c r="AT14" s="710"/>
      <c r="AU14" s="710"/>
      <c r="AV14" s="710"/>
      <c r="AW14" s="710"/>
      <c r="AX14" s="710"/>
      <c r="AY14" s="710"/>
      <c r="AZ14" s="710"/>
      <c r="BA14" s="710"/>
      <c r="BB14" s="710"/>
      <c r="BC14" s="710"/>
      <c r="BD14" s="710"/>
      <c r="BE14" s="710"/>
      <c r="BF14" s="710"/>
      <c r="BG14" s="710"/>
      <c r="BH14" s="710"/>
      <c r="BI14" s="710"/>
      <c r="BJ14" s="710"/>
      <c r="BK14" s="710"/>
      <c r="BL14" s="710"/>
      <c r="BM14" s="710"/>
      <c r="BN14" s="710"/>
      <c r="BO14" s="710"/>
      <c r="BP14" s="710"/>
      <c r="BQ14" s="710"/>
    </row>
    <row r="15" spans="1:69" s="49" customFormat="1" ht="45" hidden="1" customHeight="1">
      <c r="A15" s="1283"/>
      <c r="B15" s="1714"/>
      <c r="C15" s="1790" t="s">
        <v>627</v>
      </c>
      <c r="D15" s="1790"/>
      <c r="E15" s="968" t="s">
        <v>631</v>
      </c>
      <c r="F15" s="968" t="s">
        <v>629</v>
      </c>
      <c r="G15" s="968" t="s">
        <v>630</v>
      </c>
      <c r="H15" s="969">
        <v>8.8000000000000007</v>
      </c>
      <c r="I15" s="970" t="s">
        <v>331</v>
      </c>
      <c r="J15" s="304"/>
      <c r="K15" s="305">
        <f t="shared" si="0"/>
        <v>0</v>
      </c>
      <c r="L15" s="784" t="s">
        <v>1146</v>
      </c>
      <c r="M15" s="791"/>
      <c r="N15" s="1044"/>
      <c r="O15" s="791"/>
      <c r="P15" s="1151"/>
      <c r="Q15" s="791"/>
      <c r="R15" s="1152"/>
      <c r="S15" s="1152"/>
      <c r="T15" s="1152"/>
      <c r="U15" s="1152"/>
      <c r="V15" s="1152"/>
      <c r="W15" s="1152"/>
      <c r="X15" s="1152"/>
      <c r="Y15" s="1152"/>
      <c r="Z15" s="1152"/>
      <c r="AA15" s="1152"/>
      <c r="AB15" s="1152"/>
      <c r="AC15" s="1152"/>
      <c r="AD15" s="1152"/>
      <c r="AE15" s="1152"/>
      <c r="AF15" s="1152"/>
      <c r="AG15" s="1152"/>
      <c r="AH15" s="1152"/>
      <c r="AI15" s="1152"/>
      <c r="AJ15" s="1152"/>
      <c r="AK15" s="1152"/>
      <c r="AL15" s="1152"/>
      <c r="AM15" s="1152"/>
      <c r="AN15" s="710"/>
      <c r="AO15" s="710"/>
      <c r="AP15" s="710"/>
      <c r="AQ15" s="710"/>
      <c r="AR15" s="710"/>
      <c r="AS15" s="710"/>
      <c r="AT15" s="710"/>
      <c r="AU15" s="710"/>
      <c r="AV15" s="710"/>
      <c r="AW15" s="710"/>
      <c r="AX15" s="710"/>
      <c r="AY15" s="710"/>
      <c r="AZ15" s="710"/>
      <c r="BA15" s="710"/>
      <c r="BB15" s="710"/>
      <c r="BC15" s="710"/>
      <c r="BD15" s="710"/>
      <c r="BE15" s="710"/>
      <c r="BF15" s="710"/>
      <c r="BG15" s="710"/>
      <c r="BH15" s="710"/>
      <c r="BI15" s="710"/>
      <c r="BJ15" s="710"/>
      <c r="BK15" s="710"/>
      <c r="BL15" s="710"/>
      <c r="BM15" s="710"/>
      <c r="BN15" s="710"/>
      <c r="BO15" s="710"/>
      <c r="BP15" s="710"/>
      <c r="BQ15" s="710"/>
    </row>
    <row r="16" spans="1:69" s="52" customFormat="1" ht="45" customHeight="1">
      <c r="A16" s="1283"/>
      <c r="B16" s="1714"/>
      <c r="C16" s="1750" t="s">
        <v>1409</v>
      </c>
      <c r="D16" s="1775"/>
      <c r="E16" s="1039" t="s">
        <v>631</v>
      </c>
      <c r="F16" s="463" t="s">
        <v>1411</v>
      </c>
      <c r="G16" s="136" t="s">
        <v>628</v>
      </c>
      <c r="H16" s="252">
        <v>15</v>
      </c>
      <c r="I16" s="143" t="s">
        <v>331</v>
      </c>
      <c r="J16" s="304"/>
      <c r="K16" s="305">
        <f>+J16*H16</f>
        <v>0</v>
      </c>
      <c r="L16" s="784"/>
      <c r="M16" s="791"/>
      <c r="N16" s="1044"/>
      <c r="O16" s="791"/>
      <c r="P16" s="1151"/>
      <c r="Q16" s="791"/>
      <c r="R16" s="1152"/>
      <c r="S16" s="1152"/>
      <c r="T16" s="1152"/>
      <c r="U16" s="1152"/>
      <c r="V16" s="1152"/>
      <c r="W16" s="1152"/>
      <c r="X16" s="1152"/>
      <c r="Y16" s="1152"/>
      <c r="Z16" s="1152"/>
      <c r="AA16" s="1152"/>
      <c r="AB16" s="1152"/>
      <c r="AC16" s="1152"/>
      <c r="AD16" s="1152"/>
      <c r="AE16" s="1152"/>
      <c r="AF16" s="1152"/>
      <c r="AG16" s="1152"/>
      <c r="AH16" s="1152"/>
      <c r="AI16" s="1152"/>
      <c r="AJ16" s="1152"/>
      <c r="AK16" s="1152"/>
      <c r="AL16" s="1152"/>
      <c r="AM16" s="1152"/>
      <c r="AN16" s="710"/>
      <c r="AO16" s="710"/>
      <c r="AP16" s="710"/>
      <c r="AQ16" s="710"/>
      <c r="AR16" s="710"/>
      <c r="AS16" s="710"/>
      <c r="AT16" s="710"/>
      <c r="AU16" s="710"/>
      <c r="AV16" s="710"/>
      <c r="AW16" s="710"/>
      <c r="AX16" s="710"/>
      <c r="AY16" s="710"/>
      <c r="AZ16" s="710"/>
      <c r="BA16" s="710"/>
      <c r="BB16" s="710"/>
      <c r="BC16" s="710"/>
      <c r="BD16" s="710"/>
      <c r="BE16" s="710"/>
      <c r="BF16" s="710"/>
      <c r="BG16" s="710"/>
      <c r="BH16" s="710"/>
      <c r="BI16" s="710"/>
      <c r="BJ16" s="710"/>
      <c r="BK16" s="710"/>
      <c r="BL16" s="710"/>
      <c r="BM16" s="710"/>
      <c r="BN16" s="710"/>
      <c r="BO16" s="710"/>
      <c r="BP16" s="710"/>
      <c r="BQ16" s="710"/>
    </row>
    <row r="17" spans="1:69" s="52" customFormat="1" ht="45" customHeight="1" thickBot="1">
      <c r="A17" s="1283"/>
      <c r="B17" s="1714"/>
      <c r="C17" s="1671" t="s">
        <v>1340</v>
      </c>
      <c r="D17" s="1672"/>
      <c r="E17" s="463" t="s">
        <v>1336</v>
      </c>
      <c r="F17" s="463" t="s">
        <v>1341</v>
      </c>
      <c r="G17" s="463" t="s">
        <v>1342</v>
      </c>
      <c r="H17" s="851">
        <v>4</v>
      </c>
      <c r="I17" s="123" t="s">
        <v>331</v>
      </c>
      <c r="J17" s="138"/>
      <c r="K17" s="139">
        <f>+J17*H17</f>
        <v>0</v>
      </c>
      <c r="L17" s="784"/>
      <c r="M17" s="791"/>
      <c r="N17" s="1044"/>
      <c r="O17" s="791"/>
      <c r="P17" s="1151"/>
      <c r="Q17" s="791"/>
      <c r="R17" s="1152"/>
      <c r="S17" s="1152"/>
      <c r="T17" s="1152"/>
      <c r="U17" s="1152"/>
      <c r="V17" s="1152"/>
      <c r="W17" s="1152"/>
      <c r="X17" s="1152"/>
      <c r="Y17" s="1152"/>
      <c r="Z17" s="1152"/>
      <c r="AA17" s="1152"/>
      <c r="AB17" s="1152"/>
      <c r="AC17" s="1152"/>
      <c r="AD17" s="1152"/>
      <c r="AE17" s="1152"/>
      <c r="AF17" s="1152"/>
      <c r="AG17" s="1152"/>
      <c r="AH17" s="1152"/>
      <c r="AI17" s="1152"/>
      <c r="AJ17" s="1152"/>
      <c r="AK17" s="1152"/>
      <c r="AL17" s="1152"/>
      <c r="AM17" s="1152"/>
      <c r="AN17" s="710"/>
      <c r="AO17" s="710"/>
      <c r="AP17" s="710"/>
      <c r="AQ17" s="710"/>
      <c r="AR17" s="710"/>
      <c r="AS17" s="710"/>
      <c r="AT17" s="710"/>
      <c r="AU17" s="710"/>
      <c r="AV17" s="710"/>
      <c r="AW17" s="710"/>
      <c r="AX17" s="710"/>
      <c r="AY17" s="710"/>
      <c r="AZ17" s="710"/>
      <c r="BA17" s="710"/>
      <c r="BB17" s="710"/>
      <c r="BC17" s="710"/>
      <c r="BD17" s="710"/>
      <c r="BE17" s="710"/>
      <c r="BF17" s="710"/>
      <c r="BG17" s="710"/>
      <c r="BH17" s="710"/>
      <c r="BI17" s="710"/>
      <c r="BJ17" s="710"/>
      <c r="BK17" s="710"/>
      <c r="BL17" s="710"/>
      <c r="BM17" s="710"/>
      <c r="BN17" s="710"/>
      <c r="BO17" s="710"/>
      <c r="BP17" s="710"/>
      <c r="BQ17" s="710"/>
    </row>
    <row r="18" spans="1:69" s="35" customFormat="1" ht="27" customHeight="1">
      <c r="A18" s="1756" t="s">
        <v>617</v>
      </c>
      <c r="B18" s="1235"/>
      <c r="C18" s="1666" t="s">
        <v>1152</v>
      </c>
      <c r="D18" s="1235"/>
      <c r="E18" s="77" t="s">
        <v>618</v>
      </c>
      <c r="F18" s="77" t="s">
        <v>618</v>
      </c>
      <c r="G18" s="77" t="s">
        <v>657</v>
      </c>
      <c r="H18" s="254">
        <v>4.2</v>
      </c>
      <c r="I18" s="78" t="s">
        <v>331</v>
      </c>
      <c r="J18" s="79"/>
      <c r="K18" s="80">
        <f t="shared" si="0"/>
        <v>0</v>
      </c>
      <c r="L18" s="474" t="s">
        <v>1147</v>
      </c>
      <c r="M18" s="791"/>
      <c r="N18" s="1153"/>
      <c r="O18" s="301"/>
      <c r="P18" s="1151"/>
      <c r="Q18" s="791"/>
      <c r="R18" s="301"/>
      <c r="S18" s="301"/>
      <c r="T18" s="301"/>
      <c r="U18" s="301"/>
      <c r="V18" s="301"/>
      <c r="W18" s="301"/>
      <c r="X18" s="301"/>
      <c r="Y18" s="301"/>
      <c r="Z18" s="301"/>
      <c r="AA18" s="301"/>
      <c r="AB18" s="301"/>
      <c r="AC18" s="301"/>
      <c r="AD18" s="301"/>
      <c r="AE18" s="301"/>
      <c r="AF18" s="301"/>
      <c r="AG18" s="301"/>
      <c r="AH18" s="301"/>
      <c r="AI18" s="301"/>
      <c r="AJ18" s="301"/>
      <c r="AK18" s="301"/>
      <c r="AL18" s="301"/>
      <c r="AM18" s="301"/>
    </row>
    <row r="19" spans="1:69" s="35" customFormat="1" ht="30.75" customHeight="1" thickBot="1">
      <c r="A19" s="1700"/>
      <c r="B19" s="1237"/>
      <c r="C19" s="1237"/>
      <c r="D19" s="1237"/>
      <c r="E19" s="81" t="s">
        <v>619</v>
      </c>
      <c r="F19" s="81" t="s">
        <v>430</v>
      </c>
      <c r="G19" s="81" t="s">
        <v>431</v>
      </c>
      <c r="H19" s="255">
        <v>3.6</v>
      </c>
      <c r="I19" s="82" t="s">
        <v>331</v>
      </c>
      <c r="J19" s="83"/>
      <c r="K19" s="84">
        <f t="shared" si="0"/>
        <v>0</v>
      </c>
      <c r="L19" s="474" t="s">
        <v>1147</v>
      </c>
      <c r="M19" s="791"/>
      <c r="N19" s="1153"/>
      <c r="O19" s="301"/>
      <c r="P19" s="1151"/>
      <c r="Q19" s="791"/>
      <c r="R19" s="301"/>
      <c r="S19" s="301"/>
      <c r="T19" s="301"/>
      <c r="U19" s="301"/>
      <c r="V19" s="301"/>
      <c r="W19" s="301"/>
      <c r="X19" s="301"/>
      <c r="Y19" s="301"/>
      <c r="Z19" s="301"/>
      <c r="AA19" s="301"/>
      <c r="AB19" s="301"/>
      <c r="AC19" s="301"/>
      <c r="AD19" s="301"/>
      <c r="AE19" s="301"/>
      <c r="AF19" s="301"/>
      <c r="AG19" s="301"/>
      <c r="AH19" s="301"/>
      <c r="AI19" s="301"/>
      <c r="AJ19" s="301"/>
      <c r="AK19" s="301"/>
      <c r="AL19" s="301"/>
      <c r="AM19" s="301"/>
    </row>
    <row r="20" spans="1:69" s="35" customFormat="1" ht="42" customHeight="1">
      <c r="A20" s="1718" t="s">
        <v>632</v>
      </c>
      <c r="B20" s="1509"/>
      <c r="C20" s="1708" t="s">
        <v>633</v>
      </c>
      <c r="D20" s="1708"/>
      <c r="E20" s="151"/>
      <c r="F20" s="151" t="s">
        <v>650</v>
      </c>
      <c r="G20" s="151" t="s">
        <v>92</v>
      </c>
      <c r="H20" s="254">
        <v>6.05</v>
      </c>
      <c r="I20" s="78" t="s">
        <v>331</v>
      </c>
      <c r="J20" s="79"/>
      <c r="K20" s="80">
        <f t="shared" si="0"/>
        <v>0</v>
      </c>
      <c r="L20" s="474" t="s">
        <v>1146</v>
      </c>
      <c r="M20" s="791"/>
      <c r="N20" s="1153"/>
      <c r="O20" s="301"/>
      <c r="P20" s="1151"/>
      <c r="Q20" s="791"/>
      <c r="R20" s="301"/>
      <c r="S20" s="301"/>
      <c r="T20" s="301"/>
      <c r="U20" s="301"/>
      <c r="V20" s="301"/>
      <c r="W20" s="301"/>
      <c r="X20" s="301"/>
      <c r="Y20" s="301"/>
      <c r="Z20" s="301"/>
      <c r="AA20" s="301"/>
      <c r="AB20" s="301"/>
      <c r="AC20" s="301"/>
      <c r="AD20" s="301"/>
      <c r="AE20" s="301"/>
      <c r="AF20" s="301"/>
      <c r="AG20" s="301"/>
      <c r="AH20" s="301"/>
      <c r="AI20" s="301"/>
      <c r="AJ20" s="301"/>
      <c r="AK20" s="301"/>
      <c r="AL20" s="301"/>
      <c r="AM20" s="301"/>
    </row>
    <row r="21" spans="1:69" s="35" customFormat="1" ht="36" customHeight="1">
      <c r="A21" s="1719"/>
      <c r="B21" s="1510"/>
      <c r="C21" s="1709"/>
      <c r="D21" s="1709"/>
      <c r="E21" s="152"/>
      <c r="F21" s="152" t="s">
        <v>634</v>
      </c>
      <c r="G21" s="152" t="s">
        <v>635</v>
      </c>
      <c r="H21" s="251">
        <v>5.1999999999999998E-2</v>
      </c>
      <c r="I21" s="123" t="s">
        <v>380</v>
      </c>
      <c r="J21" s="138"/>
      <c r="K21" s="139">
        <f t="shared" si="0"/>
        <v>0</v>
      </c>
      <c r="L21" s="784" t="s">
        <v>1146</v>
      </c>
      <c r="M21" s="791"/>
      <c r="N21" s="1153"/>
      <c r="O21" s="301"/>
      <c r="P21" s="1151"/>
      <c r="Q21" s="791"/>
      <c r="R21" s="301"/>
      <c r="S21" s="301"/>
      <c r="T21" s="301"/>
      <c r="U21" s="301"/>
      <c r="V21" s="301"/>
      <c r="W21" s="301"/>
      <c r="X21" s="301"/>
      <c r="Y21" s="301"/>
      <c r="Z21" s="301"/>
      <c r="AA21" s="301"/>
      <c r="AB21" s="301"/>
      <c r="AC21" s="301"/>
      <c r="AD21" s="301"/>
      <c r="AE21" s="301"/>
      <c r="AF21" s="301"/>
      <c r="AG21" s="301"/>
      <c r="AH21" s="301"/>
      <c r="AI21" s="301"/>
      <c r="AJ21" s="301"/>
      <c r="AK21" s="301"/>
      <c r="AL21" s="301"/>
      <c r="AM21" s="301"/>
    </row>
    <row r="22" spans="1:69" s="35" customFormat="1" ht="66.75" customHeight="1">
      <c r="A22" s="1719" t="s">
        <v>636</v>
      </c>
      <c r="B22" s="1510"/>
      <c r="C22" s="1759"/>
      <c r="D22" s="1760"/>
      <c r="E22" s="152"/>
      <c r="F22" s="152" t="s">
        <v>637</v>
      </c>
      <c r="G22" s="152"/>
      <c r="H22" s="251">
        <v>20.5</v>
      </c>
      <c r="I22" s="123" t="s">
        <v>331</v>
      </c>
      <c r="J22" s="138"/>
      <c r="K22" s="139">
        <f t="shared" si="0"/>
        <v>0</v>
      </c>
      <c r="L22" s="784" t="s">
        <v>1146</v>
      </c>
      <c r="M22" s="791"/>
      <c r="N22" s="1153"/>
      <c r="O22" s="301"/>
      <c r="P22" s="1151"/>
      <c r="Q22" s="791"/>
      <c r="R22" s="301"/>
      <c r="S22" s="301"/>
      <c r="T22" s="301"/>
      <c r="U22" s="301"/>
      <c r="V22" s="301"/>
      <c r="W22" s="301"/>
      <c r="X22" s="301"/>
      <c r="Y22" s="301"/>
      <c r="Z22" s="301"/>
      <c r="AA22" s="301"/>
      <c r="AB22" s="301"/>
      <c r="AC22" s="301"/>
      <c r="AD22" s="301"/>
      <c r="AE22" s="301"/>
      <c r="AF22" s="301"/>
      <c r="AG22" s="301"/>
      <c r="AH22" s="301"/>
      <c r="AI22" s="301"/>
      <c r="AJ22" s="301"/>
      <c r="AK22" s="301"/>
      <c r="AL22" s="301"/>
      <c r="AM22" s="301"/>
    </row>
    <row r="23" spans="1:69" s="35" customFormat="1" ht="51.6" customHeight="1">
      <c r="A23" s="1719" t="s">
        <v>638</v>
      </c>
      <c r="B23" s="1510"/>
      <c r="C23" s="1759"/>
      <c r="D23" s="1760"/>
      <c r="E23" s="153"/>
      <c r="F23" s="152" t="s">
        <v>639</v>
      </c>
      <c r="G23" s="152"/>
      <c r="H23" s="251">
        <v>7.2999999999999995E-2</v>
      </c>
      <c r="I23" s="123" t="s">
        <v>380</v>
      </c>
      <c r="J23" s="138"/>
      <c r="K23" s="139">
        <f t="shared" si="0"/>
        <v>0</v>
      </c>
      <c r="L23" s="784" t="s">
        <v>1146</v>
      </c>
      <c r="M23" s="791"/>
      <c r="N23" s="1044"/>
      <c r="O23" s="791"/>
      <c r="P23" s="1151"/>
      <c r="Q23" s="791"/>
      <c r="R23" s="301"/>
      <c r="S23" s="301"/>
      <c r="T23" s="301"/>
      <c r="U23" s="301"/>
      <c r="V23" s="301"/>
      <c r="W23" s="301"/>
      <c r="X23" s="301"/>
      <c r="Y23" s="301"/>
      <c r="Z23" s="301"/>
      <c r="AA23" s="301"/>
      <c r="AB23" s="301"/>
      <c r="AC23" s="301"/>
      <c r="AD23" s="301"/>
      <c r="AE23" s="301"/>
      <c r="AF23" s="301"/>
      <c r="AG23" s="301"/>
      <c r="AH23" s="301"/>
      <c r="AI23" s="301"/>
      <c r="AJ23" s="301"/>
      <c r="AK23" s="301"/>
      <c r="AL23" s="301"/>
      <c r="AM23" s="301"/>
    </row>
    <row r="24" spans="1:69" s="35" customFormat="1" ht="71.400000000000006" customHeight="1" thickBot="1">
      <c r="A24" s="1757" t="s">
        <v>640</v>
      </c>
      <c r="B24" s="1758"/>
      <c r="C24" s="1776"/>
      <c r="D24" s="1777"/>
      <c r="E24" s="154"/>
      <c r="F24" s="155" t="s">
        <v>639</v>
      </c>
      <c r="G24" s="155"/>
      <c r="H24" s="255">
        <v>0.01</v>
      </c>
      <c r="I24" s="82" t="s">
        <v>380</v>
      </c>
      <c r="J24" s="83"/>
      <c r="K24" s="84">
        <f t="shared" si="0"/>
        <v>0</v>
      </c>
      <c r="L24" s="474" t="s">
        <v>1147</v>
      </c>
      <c r="M24" s="791"/>
      <c r="N24" s="1044"/>
      <c r="O24" s="791"/>
      <c r="P24" s="1151"/>
      <c r="Q24" s="791"/>
      <c r="R24" s="301"/>
      <c r="S24" s="301"/>
      <c r="T24" s="301"/>
      <c r="U24" s="301"/>
      <c r="V24" s="301"/>
      <c r="W24" s="301"/>
      <c r="X24" s="301"/>
      <c r="Y24" s="301"/>
      <c r="Z24" s="301"/>
      <c r="AA24" s="301"/>
      <c r="AB24" s="301"/>
      <c r="AC24" s="301"/>
      <c r="AD24" s="301"/>
      <c r="AE24" s="301"/>
      <c r="AF24" s="301"/>
      <c r="AG24" s="301"/>
      <c r="AH24" s="301"/>
      <c r="AI24" s="301"/>
      <c r="AJ24" s="301"/>
      <c r="AK24" s="301"/>
      <c r="AL24" s="301"/>
      <c r="AM24" s="301"/>
    </row>
    <row r="25" spans="1:69" s="35" customFormat="1" ht="38.25" customHeight="1">
      <c r="A25" s="1245" t="s">
        <v>767</v>
      </c>
      <c r="B25" s="1668"/>
      <c r="C25" s="1666" t="s">
        <v>769</v>
      </c>
      <c r="D25" s="1235"/>
      <c r="E25" s="147" t="s">
        <v>631</v>
      </c>
      <c r="F25" s="77" t="s">
        <v>436</v>
      </c>
      <c r="G25" s="77" t="s">
        <v>22</v>
      </c>
      <c r="H25" s="251">
        <v>5.9409999999999998</v>
      </c>
      <c r="I25" s="142" t="s">
        <v>331</v>
      </c>
      <c r="J25" s="302">
        <v>9</v>
      </c>
      <c r="K25" s="303">
        <f t="shared" si="0"/>
        <v>53.469000000000001</v>
      </c>
      <c r="L25" s="784" t="s">
        <v>1146</v>
      </c>
      <c r="M25" s="791"/>
      <c r="N25" s="1044"/>
      <c r="O25" s="791"/>
      <c r="P25" s="1151"/>
      <c r="Q25" s="791"/>
      <c r="R25" s="301"/>
      <c r="S25" s="301"/>
      <c r="T25" s="301"/>
      <c r="U25" s="301"/>
      <c r="V25" s="301"/>
      <c r="W25" s="301"/>
      <c r="X25" s="301"/>
      <c r="Y25" s="301"/>
      <c r="Z25" s="301"/>
      <c r="AA25" s="301"/>
      <c r="AB25" s="301"/>
      <c r="AC25" s="301"/>
      <c r="AD25" s="301"/>
      <c r="AE25" s="301"/>
      <c r="AF25" s="301"/>
      <c r="AG25" s="301"/>
      <c r="AH25" s="301"/>
      <c r="AI25" s="301"/>
      <c r="AJ25" s="301"/>
      <c r="AK25" s="301"/>
      <c r="AL25" s="301"/>
      <c r="AM25" s="301"/>
    </row>
    <row r="26" spans="1:69" s="35" customFormat="1" ht="38.25" customHeight="1">
      <c r="A26" s="1694"/>
      <c r="B26" s="1695"/>
      <c r="C26" s="1655" t="s">
        <v>770</v>
      </c>
      <c r="D26" s="1660"/>
      <c r="E26" s="148" t="s">
        <v>397</v>
      </c>
      <c r="F26" s="136" t="s">
        <v>23</v>
      </c>
      <c r="G26" s="136" t="s">
        <v>409</v>
      </c>
      <c r="H26" s="251">
        <v>1.213E-2</v>
      </c>
      <c r="I26" s="143" t="s">
        <v>380</v>
      </c>
      <c r="J26" s="304">
        <v>1125</v>
      </c>
      <c r="K26" s="305">
        <f t="shared" si="0"/>
        <v>13.64625</v>
      </c>
      <c r="L26" s="784" t="s">
        <v>1146</v>
      </c>
      <c r="M26" s="791"/>
      <c r="N26" s="1044"/>
      <c r="O26" s="791"/>
      <c r="P26" s="1151"/>
      <c r="Q26" s="791"/>
      <c r="R26" s="301"/>
      <c r="S26" s="301"/>
      <c r="T26" s="301"/>
      <c r="U26" s="301"/>
      <c r="V26" s="301"/>
      <c r="W26" s="301"/>
      <c r="X26" s="301"/>
      <c r="Y26" s="301"/>
      <c r="Z26" s="301"/>
      <c r="AA26" s="301"/>
      <c r="AB26" s="301"/>
      <c r="AC26" s="301"/>
      <c r="AD26" s="301"/>
      <c r="AE26" s="301"/>
      <c r="AF26" s="301"/>
      <c r="AG26" s="301"/>
      <c r="AH26" s="301"/>
      <c r="AI26" s="301"/>
      <c r="AJ26" s="301"/>
      <c r="AK26" s="301"/>
      <c r="AL26" s="301"/>
      <c r="AM26" s="301"/>
    </row>
    <row r="27" spans="1:69" s="35" customFormat="1" ht="93.75" customHeight="1">
      <c r="A27" s="1694"/>
      <c r="B27" s="1695"/>
      <c r="C27" s="1655" t="s">
        <v>1156</v>
      </c>
      <c r="D27" s="1660"/>
      <c r="E27" s="463" t="s">
        <v>768</v>
      </c>
      <c r="F27" s="136" t="s">
        <v>351</v>
      </c>
      <c r="G27" s="136" t="s">
        <v>409</v>
      </c>
      <c r="H27" s="251">
        <v>2.5950000000000002</v>
      </c>
      <c r="I27" s="143" t="s">
        <v>331</v>
      </c>
      <c r="J27" s="304">
        <v>39</v>
      </c>
      <c r="K27" s="305">
        <f t="shared" si="0"/>
        <v>101.20500000000001</v>
      </c>
      <c r="L27" s="784" t="s">
        <v>1146</v>
      </c>
      <c r="M27" s="791"/>
      <c r="N27" s="1044"/>
      <c r="O27" s="1126"/>
      <c r="P27" s="1127"/>
      <c r="Q27" s="1154"/>
      <c r="R27" s="1155"/>
      <c r="S27" s="301"/>
      <c r="T27" s="1156"/>
      <c r="U27" s="1149"/>
      <c r="V27" s="301"/>
      <c r="W27" s="301"/>
      <c r="X27" s="301"/>
      <c r="Y27" s="301"/>
      <c r="Z27" s="301"/>
      <c r="AA27" s="301"/>
      <c r="AB27" s="301"/>
      <c r="AC27" s="301"/>
      <c r="AD27" s="301"/>
      <c r="AE27" s="301"/>
      <c r="AF27" s="301"/>
      <c r="AG27" s="301"/>
      <c r="AH27" s="301"/>
      <c r="AI27" s="301"/>
      <c r="AJ27" s="301"/>
      <c r="AK27" s="301"/>
      <c r="AL27" s="301"/>
      <c r="AM27" s="301"/>
    </row>
    <row r="28" spans="1:69" s="35" customFormat="1" ht="93.75" customHeight="1" thickBot="1">
      <c r="A28" s="1696"/>
      <c r="B28" s="1677"/>
      <c r="C28" s="1236" t="s">
        <v>1157</v>
      </c>
      <c r="D28" s="1237"/>
      <c r="E28" s="574" t="s">
        <v>764</v>
      </c>
      <c r="F28" s="81" t="s">
        <v>351</v>
      </c>
      <c r="G28" s="81" t="s">
        <v>409</v>
      </c>
      <c r="H28" s="253">
        <v>6.48</v>
      </c>
      <c r="I28" s="146" t="s">
        <v>331</v>
      </c>
      <c r="J28" s="575"/>
      <c r="K28" s="576">
        <f t="shared" si="0"/>
        <v>0</v>
      </c>
      <c r="L28" s="784" t="s">
        <v>1146</v>
      </c>
      <c r="M28" s="791"/>
      <c r="N28" s="1044"/>
      <c r="O28" s="791"/>
      <c r="P28" s="1151"/>
      <c r="Q28" s="791"/>
      <c r="R28" s="301"/>
      <c r="S28" s="301"/>
      <c r="T28" s="301"/>
      <c r="U28" s="301"/>
      <c r="V28" s="301"/>
      <c r="W28" s="301"/>
      <c r="X28" s="301"/>
      <c r="Y28" s="301"/>
      <c r="Z28" s="301"/>
      <c r="AA28" s="301"/>
      <c r="AB28" s="301"/>
      <c r="AC28" s="301"/>
      <c r="AD28" s="301"/>
      <c r="AE28" s="301"/>
      <c r="AF28" s="301"/>
      <c r="AG28" s="301"/>
      <c r="AH28" s="301"/>
      <c r="AI28" s="301"/>
      <c r="AJ28" s="301"/>
      <c r="AK28" s="301"/>
      <c r="AL28" s="301"/>
      <c r="AM28" s="301"/>
    </row>
    <row r="29" spans="1:69" s="35" customFormat="1" ht="60.75" customHeight="1" thickBot="1">
      <c r="A29" s="1696" t="s">
        <v>697</v>
      </c>
      <c r="B29" s="1677"/>
      <c r="C29" s="1651" t="s">
        <v>55</v>
      </c>
      <c r="D29" s="1651"/>
      <c r="E29" s="298" t="s">
        <v>56</v>
      </c>
      <c r="F29" s="298" t="s">
        <v>57</v>
      </c>
      <c r="G29" s="298" t="s">
        <v>58</v>
      </c>
      <c r="H29" s="326">
        <v>31.99</v>
      </c>
      <c r="I29" s="327" t="s">
        <v>331</v>
      </c>
      <c r="J29" s="328"/>
      <c r="K29" s="329">
        <f t="shared" si="0"/>
        <v>0</v>
      </c>
      <c r="L29" s="784" t="s">
        <v>1146</v>
      </c>
      <c r="M29" s="791"/>
      <c r="N29" s="1044"/>
      <c r="O29" s="791"/>
      <c r="P29" s="1151"/>
      <c r="Q29" s="791"/>
      <c r="R29" s="301"/>
      <c r="S29" s="301"/>
      <c r="T29" s="301"/>
      <c r="U29" s="301"/>
      <c r="V29" s="301"/>
      <c r="W29" s="301"/>
      <c r="X29" s="301"/>
      <c r="Y29" s="301"/>
      <c r="Z29" s="301"/>
      <c r="AA29" s="301"/>
      <c r="AB29" s="301"/>
      <c r="AC29" s="301"/>
      <c r="AD29" s="301"/>
      <c r="AE29" s="301"/>
      <c r="AF29" s="301"/>
      <c r="AG29" s="301"/>
      <c r="AH29" s="301"/>
      <c r="AI29" s="301"/>
      <c r="AJ29" s="301"/>
      <c r="AK29" s="301"/>
      <c r="AL29" s="301"/>
      <c r="AM29" s="301"/>
    </row>
    <row r="30" spans="1:69" s="35" customFormat="1" ht="39" customHeight="1">
      <c r="A30" s="1693" t="s">
        <v>692</v>
      </c>
      <c r="B30" s="1668"/>
      <c r="C30" s="1649" t="s">
        <v>660</v>
      </c>
      <c r="D30" s="1723"/>
      <c r="E30" s="226" t="s">
        <v>575</v>
      </c>
      <c r="F30" s="226" t="s">
        <v>672</v>
      </c>
      <c r="G30" s="226" t="s">
        <v>673</v>
      </c>
      <c r="H30" s="256">
        <v>15.81</v>
      </c>
      <c r="I30" s="230" t="s">
        <v>447</v>
      </c>
      <c r="J30" s="228"/>
      <c r="K30" s="229">
        <f t="shared" si="0"/>
        <v>0</v>
      </c>
      <c r="L30" s="474" t="s">
        <v>1147</v>
      </c>
      <c r="M30" s="791"/>
      <c r="N30" s="1044"/>
      <c r="O30" s="791"/>
      <c r="P30" s="1151"/>
      <c r="Q30" s="791"/>
      <c r="R30" s="301"/>
      <c r="S30" s="301"/>
      <c r="T30" s="301"/>
      <c r="U30" s="301"/>
      <c r="V30" s="301"/>
      <c r="W30" s="301"/>
      <c r="X30" s="301"/>
      <c r="Y30" s="301"/>
      <c r="Z30" s="301"/>
      <c r="AA30" s="301"/>
      <c r="AB30" s="301"/>
      <c r="AC30" s="301"/>
      <c r="AD30" s="301"/>
      <c r="AE30" s="301"/>
      <c r="AF30" s="301"/>
      <c r="AG30" s="301"/>
      <c r="AH30" s="301"/>
      <c r="AI30" s="301"/>
      <c r="AJ30" s="301"/>
      <c r="AK30" s="301"/>
      <c r="AL30" s="301"/>
      <c r="AM30" s="301"/>
    </row>
    <row r="31" spans="1:69" s="35" customFormat="1" ht="34.5" customHeight="1">
      <c r="A31" s="1694"/>
      <c r="B31" s="1695"/>
      <c r="C31" s="1209"/>
      <c r="D31" s="1209"/>
      <c r="E31" s="136" t="s">
        <v>659</v>
      </c>
      <c r="F31" s="136" t="s">
        <v>672</v>
      </c>
      <c r="G31" s="136" t="s">
        <v>673</v>
      </c>
      <c r="H31" s="251">
        <v>6.1079999999999997</v>
      </c>
      <c r="I31" s="123" t="s">
        <v>331</v>
      </c>
      <c r="J31" s="138"/>
      <c r="K31" s="139">
        <f t="shared" si="0"/>
        <v>0</v>
      </c>
      <c r="L31" s="474" t="s">
        <v>1147</v>
      </c>
      <c r="M31" s="791"/>
      <c r="N31" s="1044"/>
      <c r="O31" s="791"/>
      <c r="P31" s="1151"/>
      <c r="Q31" s="791"/>
      <c r="R31" s="301"/>
      <c r="S31" s="301"/>
      <c r="T31" s="301"/>
      <c r="U31" s="301"/>
      <c r="V31" s="301"/>
      <c r="W31" s="301"/>
      <c r="X31" s="301"/>
      <c r="Y31" s="301"/>
      <c r="Z31" s="301"/>
      <c r="AA31" s="301"/>
      <c r="AB31" s="301"/>
      <c r="AC31" s="301"/>
      <c r="AD31" s="301"/>
      <c r="AE31" s="301"/>
      <c r="AF31" s="301"/>
      <c r="AG31" s="301"/>
      <c r="AH31" s="301"/>
      <c r="AI31" s="301"/>
      <c r="AJ31" s="301"/>
      <c r="AK31" s="301"/>
      <c r="AL31" s="301"/>
      <c r="AM31" s="301"/>
    </row>
    <row r="32" spans="1:69" s="35" customFormat="1" ht="34.5" customHeight="1">
      <c r="A32" s="1694"/>
      <c r="B32" s="1695"/>
      <c r="C32" s="1454" t="s">
        <v>695</v>
      </c>
      <c r="D32" s="1456"/>
      <c r="E32" s="136" t="s">
        <v>59</v>
      </c>
      <c r="F32" s="136" t="s">
        <v>60</v>
      </c>
      <c r="G32" s="136" t="s">
        <v>92</v>
      </c>
      <c r="H32" s="251">
        <v>26.44</v>
      </c>
      <c r="I32" s="123" t="s">
        <v>331</v>
      </c>
      <c r="J32" s="138"/>
      <c r="K32" s="139">
        <f t="shared" si="0"/>
        <v>0</v>
      </c>
      <c r="L32" s="474" t="s">
        <v>1146</v>
      </c>
      <c r="M32" s="791"/>
      <c r="N32" s="1044"/>
      <c r="O32" s="791"/>
      <c r="P32" s="1151"/>
      <c r="Q32" s="791"/>
      <c r="R32" s="301"/>
      <c r="S32" s="301"/>
      <c r="T32" s="301"/>
      <c r="U32" s="301"/>
      <c r="V32" s="301"/>
      <c r="W32" s="301"/>
      <c r="X32" s="301"/>
      <c r="Y32" s="301"/>
      <c r="Z32" s="301"/>
      <c r="AA32" s="301"/>
      <c r="AB32" s="301"/>
      <c r="AC32" s="301"/>
      <c r="AD32" s="301"/>
      <c r="AE32" s="301"/>
      <c r="AF32" s="301"/>
      <c r="AG32" s="301"/>
      <c r="AH32" s="301"/>
      <c r="AI32" s="301"/>
      <c r="AJ32" s="301"/>
      <c r="AK32" s="301"/>
      <c r="AL32" s="301"/>
      <c r="AM32" s="301"/>
    </row>
    <row r="33" spans="1:39" s="35" customFormat="1" ht="34.5" customHeight="1">
      <c r="A33" s="1722"/>
      <c r="B33" s="1531"/>
      <c r="C33" s="1705" t="s">
        <v>83</v>
      </c>
      <c r="D33" s="1706"/>
      <c r="E33" s="136" t="s">
        <v>85</v>
      </c>
      <c r="F33" s="136" t="s">
        <v>84</v>
      </c>
      <c r="G33" s="136" t="s">
        <v>92</v>
      </c>
      <c r="H33" s="251">
        <v>25.001999999999999</v>
      </c>
      <c r="I33" s="123" t="s">
        <v>331</v>
      </c>
      <c r="J33" s="138"/>
      <c r="K33" s="139">
        <f t="shared" si="0"/>
        <v>0</v>
      </c>
      <c r="L33" s="474" t="s">
        <v>1147</v>
      </c>
      <c r="M33" s="791"/>
      <c r="N33" s="1044"/>
      <c r="O33" s="791"/>
      <c r="P33" s="1151"/>
      <c r="Q33" s="791"/>
      <c r="R33" s="301"/>
      <c r="S33" s="301"/>
      <c r="T33" s="301"/>
      <c r="U33" s="301"/>
      <c r="V33" s="301"/>
      <c r="W33" s="301"/>
      <c r="X33" s="301"/>
      <c r="Y33" s="301"/>
      <c r="Z33" s="301"/>
      <c r="AA33" s="301"/>
      <c r="AB33" s="301"/>
      <c r="AC33" s="301"/>
      <c r="AD33" s="301"/>
      <c r="AE33" s="301"/>
      <c r="AF33" s="301"/>
      <c r="AG33" s="301"/>
      <c r="AH33" s="301"/>
      <c r="AI33" s="301"/>
      <c r="AJ33" s="301"/>
      <c r="AK33" s="301"/>
      <c r="AL33" s="301"/>
      <c r="AM33" s="301"/>
    </row>
    <row r="34" spans="1:39" s="35" customFormat="1" ht="55.5" customHeight="1">
      <c r="A34" s="1742" t="s">
        <v>435</v>
      </c>
      <c r="B34" s="1660"/>
      <c r="C34" s="1750" t="s">
        <v>1344</v>
      </c>
      <c r="D34" s="1751"/>
      <c r="E34" s="136" t="s">
        <v>437</v>
      </c>
      <c r="F34" s="136" t="s">
        <v>438</v>
      </c>
      <c r="G34" s="136" t="s">
        <v>439</v>
      </c>
      <c r="H34" s="252">
        <v>4.0090000000000003</v>
      </c>
      <c r="I34" s="143" t="s">
        <v>331</v>
      </c>
      <c r="J34" s="138">
        <v>40</v>
      </c>
      <c r="K34" s="139">
        <f t="shared" si="0"/>
        <v>160.36000000000001</v>
      </c>
      <c r="L34" s="784" t="s">
        <v>1146</v>
      </c>
      <c r="M34" s="791"/>
      <c r="N34" s="1044"/>
      <c r="O34" s="791"/>
      <c r="P34" s="1151"/>
      <c r="Q34" s="791"/>
      <c r="R34" s="301"/>
      <c r="S34" s="301"/>
      <c r="T34" s="301"/>
      <c r="U34" s="301"/>
      <c r="V34" s="301"/>
      <c r="W34" s="301"/>
      <c r="X34" s="301"/>
      <c r="Y34" s="301"/>
      <c r="Z34" s="301"/>
      <c r="AA34" s="301"/>
      <c r="AB34" s="301"/>
      <c r="AC34" s="301"/>
      <c r="AD34" s="301"/>
      <c r="AE34" s="301"/>
      <c r="AF34" s="301"/>
      <c r="AG34" s="301"/>
      <c r="AH34" s="301"/>
      <c r="AI34" s="301"/>
      <c r="AJ34" s="301"/>
      <c r="AK34" s="301"/>
      <c r="AL34" s="301"/>
      <c r="AM34" s="301"/>
    </row>
    <row r="35" spans="1:39" s="35" customFormat="1" ht="39.6">
      <c r="A35" s="1743"/>
      <c r="B35" s="1660"/>
      <c r="C35" s="1746" t="s">
        <v>39</v>
      </c>
      <c r="D35" s="1747"/>
      <c r="E35" s="463" t="s">
        <v>440</v>
      </c>
      <c r="F35" s="136" t="s">
        <v>441</v>
      </c>
      <c r="G35" s="136" t="s">
        <v>442</v>
      </c>
      <c r="H35" s="252">
        <v>8.9999999999999993E-3</v>
      </c>
      <c r="I35" s="143" t="s">
        <v>380</v>
      </c>
      <c r="J35" s="138">
        <v>5530</v>
      </c>
      <c r="K35" s="139">
        <f t="shared" si="0"/>
        <v>49.769999999999996</v>
      </c>
      <c r="L35" s="784" t="s">
        <v>1146</v>
      </c>
      <c r="M35" s="791"/>
      <c r="N35" s="1044"/>
      <c r="O35" s="791"/>
      <c r="P35" s="1151"/>
      <c r="Q35" s="791"/>
      <c r="R35" s="301"/>
      <c r="S35" s="301"/>
      <c r="T35" s="301"/>
      <c r="U35" s="301"/>
      <c r="V35" s="301"/>
      <c r="W35" s="301"/>
      <c r="X35" s="301"/>
      <c r="Y35" s="301"/>
      <c r="Z35" s="301"/>
      <c r="AA35" s="301"/>
      <c r="AB35" s="301"/>
      <c r="AC35" s="301"/>
      <c r="AD35" s="301"/>
      <c r="AE35" s="301"/>
      <c r="AF35" s="301"/>
      <c r="AG35" s="301"/>
      <c r="AH35" s="301"/>
      <c r="AI35" s="301"/>
      <c r="AJ35" s="301"/>
      <c r="AK35" s="301"/>
      <c r="AL35" s="301"/>
      <c r="AM35" s="301"/>
    </row>
    <row r="36" spans="1:39" s="35" customFormat="1" ht="94.5" customHeight="1">
      <c r="A36" s="1743"/>
      <c r="B36" s="1660"/>
      <c r="C36" s="1747"/>
      <c r="D36" s="1747"/>
      <c r="E36" s="152" t="s">
        <v>40</v>
      </c>
      <c r="F36" s="136" t="s">
        <v>443</v>
      </c>
      <c r="G36" s="136" t="s">
        <v>444</v>
      </c>
      <c r="H36" s="251">
        <v>1.0999999999999999E-2</v>
      </c>
      <c r="I36" s="143" t="s">
        <v>380</v>
      </c>
      <c r="J36" s="138">
        <v>714</v>
      </c>
      <c r="K36" s="139">
        <f t="shared" si="0"/>
        <v>7.8539999999999992</v>
      </c>
      <c r="L36" s="784" t="s">
        <v>1146</v>
      </c>
      <c r="M36" s="791"/>
      <c r="N36" s="1044"/>
      <c r="O36" s="791"/>
      <c r="P36" s="1151"/>
      <c r="Q36" s="791"/>
      <c r="R36" s="301"/>
      <c r="S36" s="301"/>
      <c r="T36" s="301"/>
      <c r="U36" s="301"/>
      <c r="V36" s="301"/>
      <c r="W36" s="301"/>
      <c r="X36" s="301"/>
      <c r="Y36" s="301"/>
      <c r="Z36" s="301"/>
      <c r="AA36" s="301"/>
      <c r="AB36" s="301"/>
      <c r="AC36" s="301"/>
      <c r="AD36" s="301"/>
      <c r="AE36" s="301"/>
      <c r="AF36" s="301"/>
      <c r="AG36" s="301"/>
      <c r="AH36" s="301"/>
      <c r="AI36" s="301"/>
      <c r="AJ36" s="301"/>
      <c r="AK36" s="301"/>
      <c r="AL36" s="301"/>
      <c r="AM36" s="301"/>
    </row>
    <row r="37" spans="1:39" s="35" customFormat="1" ht="39.75" customHeight="1">
      <c r="A37" s="1743"/>
      <c r="B37" s="1660"/>
      <c r="C37" s="1660" t="s">
        <v>445</v>
      </c>
      <c r="D37" s="1660"/>
      <c r="E37" s="136" t="s">
        <v>446</v>
      </c>
      <c r="F37" s="136" t="s">
        <v>434</v>
      </c>
      <c r="G37" s="136" t="s">
        <v>409</v>
      </c>
      <c r="H37" s="251">
        <v>9.9</v>
      </c>
      <c r="I37" s="144" t="s">
        <v>447</v>
      </c>
      <c r="J37" s="138"/>
      <c r="K37" s="139">
        <f t="shared" si="0"/>
        <v>0</v>
      </c>
      <c r="L37" s="474" t="s">
        <v>1147</v>
      </c>
      <c r="M37" s="791"/>
      <c r="N37" s="1044"/>
      <c r="O37" s="791"/>
      <c r="P37" s="1151"/>
      <c r="Q37" s="791"/>
      <c r="R37" s="301"/>
      <c r="S37" s="301"/>
      <c r="T37" s="301"/>
      <c r="U37" s="301"/>
      <c r="V37" s="301"/>
      <c r="W37" s="301"/>
      <c r="X37" s="301"/>
      <c r="Y37" s="301"/>
      <c r="Z37" s="301"/>
      <c r="AA37" s="301"/>
      <c r="AB37" s="301"/>
      <c r="AC37" s="301"/>
      <c r="AD37" s="301"/>
      <c r="AE37" s="301"/>
      <c r="AF37" s="301"/>
      <c r="AG37" s="301"/>
      <c r="AH37" s="301"/>
      <c r="AI37" s="301"/>
      <c r="AJ37" s="301"/>
      <c r="AK37" s="301"/>
      <c r="AL37" s="301"/>
      <c r="AM37" s="301"/>
    </row>
    <row r="38" spans="1:39" s="35" customFormat="1" ht="29.25" customHeight="1">
      <c r="A38" s="1743" t="s">
        <v>448</v>
      </c>
      <c r="B38" s="1660"/>
      <c r="C38" s="1311" t="s">
        <v>449</v>
      </c>
      <c r="D38" s="1529"/>
      <c r="E38" s="463" t="s">
        <v>450</v>
      </c>
      <c r="F38" s="136" t="s">
        <v>459</v>
      </c>
      <c r="G38" s="136" t="s">
        <v>409</v>
      </c>
      <c r="H38" s="251">
        <v>5.048</v>
      </c>
      <c r="I38" s="143" t="s">
        <v>331</v>
      </c>
      <c r="J38" s="138">
        <v>2</v>
      </c>
      <c r="K38" s="139">
        <f t="shared" si="0"/>
        <v>10.096</v>
      </c>
      <c r="L38" s="474" t="s">
        <v>1146</v>
      </c>
      <c r="M38" s="791"/>
      <c r="N38" s="1044"/>
      <c r="O38" s="1126"/>
      <c r="P38" s="1127"/>
      <c r="Q38" s="791"/>
      <c r="R38" s="301"/>
      <c r="S38" s="301"/>
      <c r="T38" s="301"/>
      <c r="U38" s="301"/>
      <c r="V38" s="301"/>
      <c r="W38" s="301"/>
      <c r="X38" s="301"/>
      <c r="Y38" s="301"/>
      <c r="Z38" s="301"/>
      <c r="AA38" s="301"/>
      <c r="AB38" s="301"/>
      <c r="AC38" s="301"/>
      <c r="AD38" s="301"/>
      <c r="AE38" s="301"/>
      <c r="AF38" s="301"/>
      <c r="AG38" s="301"/>
      <c r="AH38" s="301"/>
      <c r="AI38" s="301"/>
      <c r="AJ38" s="301"/>
      <c r="AK38" s="301"/>
      <c r="AL38" s="301"/>
      <c r="AM38" s="301"/>
    </row>
    <row r="39" spans="1:39" s="35" customFormat="1" ht="25.5" customHeight="1">
      <c r="A39" s="1743"/>
      <c r="B39" s="1660"/>
      <c r="C39" s="1752"/>
      <c r="D39" s="1695"/>
      <c r="E39" s="463" t="s">
        <v>766</v>
      </c>
      <c r="F39" s="136"/>
      <c r="G39" s="136"/>
      <c r="H39" s="251">
        <v>4.2</v>
      </c>
      <c r="I39" s="143" t="s">
        <v>331</v>
      </c>
      <c r="J39" s="138">
        <v>1</v>
      </c>
      <c r="K39" s="139">
        <f t="shared" si="0"/>
        <v>4.2</v>
      </c>
      <c r="L39" s="474" t="s">
        <v>1147</v>
      </c>
      <c r="M39" s="791"/>
      <c r="N39" s="1044"/>
      <c r="O39" s="1126"/>
      <c r="P39" s="1127"/>
      <c r="Q39" s="791"/>
      <c r="R39" s="301"/>
      <c r="S39" s="301"/>
      <c r="T39" s="301"/>
      <c r="U39" s="301"/>
      <c r="V39" s="301"/>
      <c r="W39" s="301"/>
      <c r="X39" s="301"/>
      <c r="Y39" s="301"/>
      <c r="Z39" s="301"/>
      <c r="AA39" s="301"/>
      <c r="AB39" s="301"/>
      <c r="AC39" s="301"/>
      <c r="AD39" s="301"/>
      <c r="AE39" s="301"/>
      <c r="AF39" s="301"/>
      <c r="AG39" s="301"/>
      <c r="AH39" s="301"/>
      <c r="AI39" s="301"/>
      <c r="AJ39" s="301"/>
      <c r="AK39" s="301"/>
      <c r="AL39" s="301"/>
      <c r="AM39" s="301"/>
    </row>
    <row r="40" spans="1:39" s="35" customFormat="1" ht="41.25" customHeight="1">
      <c r="A40" s="1780"/>
      <c r="B40" s="1650"/>
      <c r="C40" s="1752"/>
      <c r="D40" s="1695"/>
      <c r="E40" s="463" t="s">
        <v>763</v>
      </c>
      <c r="F40" s="463" t="s">
        <v>761</v>
      </c>
      <c r="G40" s="136" t="s">
        <v>409</v>
      </c>
      <c r="H40" s="251">
        <v>9.798</v>
      </c>
      <c r="I40" s="312" t="s">
        <v>331</v>
      </c>
      <c r="J40" s="313"/>
      <c r="K40" s="139">
        <f t="shared" si="0"/>
        <v>0</v>
      </c>
      <c r="L40" s="780" t="s">
        <v>1146</v>
      </c>
      <c r="M40" s="791"/>
      <c r="N40" s="1044"/>
      <c r="O40" s="1126"/>
      <c r="P40" s="1127"/>
      <c r="Q40" s="791"/>
      <c r="R40" s="301"/>
      <c r="S40" s="301"/>
      <c r="T40" s="301"/>
      <c r="U40" s="301"/>
      <c r="V40" s="301"/>
      <c r="W40" s="301"/>
      <c r="X40" s="301"/>
      <c r="Y40" s="301"/>
      <c r="Z40" s="301"/>
      <c r="AA40" s="301"/>
      <c r="AB40" s="301"/>
      <c r="AC40" s="301"/>
      <c r="AD40" s="301"/>
      <c r="AE40" s="301"/>
      <c r="AF40" s="301"/>
      <c r="AG40" s="301"/>
      <c r="AH40" s="301"/>
      <c r="AI40" s="301"/>
      <c r="AJ40" s="301"/>
      <c r="AK40" s="301"/>
      <c r="AL40" s="301"/>
      <c r="AM40" s="301"/>
    </row>
    <row r="41" spans="1:39" s="35" customFormat="1" ht="39" customHeight="1" thickBot="1">
      <c r="A41" s="1780"/>
      <c r="B41" s="1650"/>
      <c r="C41" s="1752"/>
      <c r="D41" s="1695"/>
      <c r="E41" s="463" t="s">
        <v>762</v>
      </c>
      <c r="F41" s="463" t="s">
        <v>760</v>
      </c>
      <c r="G41" s="152" t="s">
        <v>409</v>
      </c>
      <c r="H41" s="473">
        <v>2.4</v>
      </c>
      <c r="I41" s="312" t="s">
        <v>331</v>
      </c>
      <c r="J41" s="313"/>
      <c r="K41" s="139">
        <f t="shared" si="0"/>
        <v>0</v>
      </c>
      <c r="L41" s="780" t="s">
        <v>1147</v>
      </c>
      <c r="M41" s="791"/>
      <c r="N41" s="1044"/>
      <c r="O41" s="791"/>
      <c r="P41" s="1151"/>
      <c r="Q41" s="791"/>
      <c r="R41" s="301"/>
      <c r="S41" s="301"/>
      <c r="T41" s="301"/>
      <c r="U41" s="301"/>
      <c r="V41" s="301"/>
      <c r="W41" s="301"/>
      <c r="X41" s="301"/>
      <c r="Y41" s="301"/>
      <c r="Z41" s="301"/>
      <c r="AA41" s="301"/>
      <c r="AB41" s="301"/>
      <c r="AC41" s="301"/>
      <c r="AD41" s="301"/>
      <c r="AE41" s="301"/>
      <c r="AF41" s="301"/>
      <c r="AG41" s="301"/>
      <c r="AH41" s="301"/>
      <c r="AI41" s="301"/>
      <c r="AJ41" s="301"/>
      <c r="AK41" s="301"/>
      <c r="AL41" s="301"/>
      <c r="AM41" s="301"/>
    </row>
    <row r="42" spans="1:39" s="35" customFormat="1" ht="24.75" customHeight="1">
      <c r="A42" s="1693" t="s">
        <v>50</v>
      </c>
      <c r="B42" s="1668"/>
      <c r="C42" s="1235" t="s">
        <v>460</v>
      </c>
      <c r="D42" s="1235"/>
      <c r="E42" s="77" t="s">
        <v>461</v>
      </c>
      <c r="F42" s="77" t="s">
        <v>462</v>
      </c>
      <c r="G42" s="77" t="s">
        <v>463</v>
      </c>
      <c r="H42" s="336">
        <v>26.292999999999999</v>
      </c>
      <c r="I42" s="337" t="s">
        <v>331</v>
      </c>
      <c r="J42" s="338"/>
      <c r="K42" s="339">
        <f t="shared" si="0"/>
        <v>0</v>
      </c>
      <c r="L42" s="474" t="s">
        <v>1146</v>
      </c>
      <c r="M42" s="791"/>
      <c r="N42" s="1044"/>
      <c r="O42" s="791"/>
      <c r="P42" s="1151"/>
      <c r="Q42" s="791"/>
      <c r="R42" s="301"/>
      <c r="S42" s="301"/>
      <c r="T42" s="301"/>
      <c r="U42" s="301"/>
      <c r="V42" s="301"/>
      <c r="W42" s="301"/>
      <c r="X42" s="301"/>
      <c r="Y42" s="301"/>
      <c r="Z42" s="301"/>
      <c r="AA42" s="301"/>
      <c r="AB42" s="301"/>
      <c r="AC42" s="301"/>
      <c r="AD42" s="301"/>
      <c r="AE42" s="301"/>
      <c r="AF42" s="301"/>
      <c r="AG42" s="301"/>
      <c r="AH42" s="301"/>
      <c r="AI42" s="301"/>
      <c r="AJ42" s="301"/>
      <c r="AK42" s="301"/>
      <c r="AL42" s="301"/>
      <c r="AM42" s="301"/>
    </row>
    <row r="43" spans="1:39" s="35" customFormat="1" ht="28.5" customHeight="1">
      <c r="A43" s="1694"/>
      <c r="B43" s="1695"/>
      <c r="C43" s="1660" t="s">
        <v>460</v>
      </c>
      <c r="D43" s="1660"/>
      <c r="E43" s="136" t="s">
        <v>464</v>
      </c>
      <c r="F43" s="136" t="s">
        <v>462</v>
      </c>
      <c r="G43" s="136" t="s">
        <v>465</v>
      </c>
      <c r="H43" s="250">
        <v>24</v>
      </c>
      <c r="I43" s="340" t="s">
        <v>331</v>
      </c>
      <c r="J43" s="341"/>
      <c r="K43" s="342">
        <f t="shared" si="0"/>
        <v>0</v>
      </c>
      <c r="L43" s="474" t="s">
        <v>1147</v>
      </c>
      <c r="M43" s="791"/>
      <c r="N43" s="1044"/>
      <c r="O43" s="791"/>
      <c r="P43" s="1151"/>
      <c r="Q43" s="791"/>
      <c r="R43" s="301"/>
      <c r="S43" s="301"/>
      <c r="T43" s="301"/>
      <c r="U43" s="301"/>
      <c r="V43" s="301"/>
      <c r="W43" s="301"/>
      <c r="X43" s="301"/>
      <c r="Y43" s="301"/>
      <c r="Z43" s="301"/>
      <c r="AA43" s="301"/>
      <c r="AB43" s="301"/>
      <c r="AC43" s="301"/>
      <c r="AD43" s="301"/>
      <c r="AE43" s="301"/>
      <c r="AF43" s="301"/>
      <c r="AG43" s="301"/>
      <c r="AH43" s="301"/>
      <c r="AI43" s="301"/>
      <c r="AJ43" s="301"/>
      <c r="AK43" s="301"/>
      <c r="AL43" s="301"/>
      <c r="AM43" s="301"/>
    </row>
    <row r="44" spans="1:39" s="35" customFormat="1" ht="13.8">
      <c r="A44" s="1694"/>
      <c r="B44" s="1695"/>
      <c r="C44" s="1510" t="s">
        <v>517</v>
      </c>
      <c r="D44" s="1660"/>
      <c r="E44" s="136" t="s">
        <v>461</v>
      </c>
      <c r="F44" s="152" t="s">
        <v>462</v>
      </c>
      <c r="G44" s="136" t="s">
        <v>465</v>
      </c>
      <c r="H44" s="250">
        <v>4.2249999999999996</v>
      </c>
      <c r="I44" s="340" t="s">
        <v>331</v>
      </c>
      <c r="J44" s="341"/>
      <c r="K44" s="342">
        <f t="shared" si="0"/>
        <v>0</v>
      </c>
      <c r="L44" s="784" t="s">
        <v>1146</v>
      </c>
      <c r="M44" s="791"/>
      <c r="N44" s="1044"/>
      <c r="O44" s="791"/>
      <c r="P44" s="1151"/>
      <c r="Q44" s="791"/>
      <c r="R44" s="301"/>
      <c r="S44" s="301"/>
      <c r="T44" s="301"/>
      <c r="U44" s="301"/>
      <c r="V44" s="301"/>
      <c r="W44" s="301"/>
      <c r="X44" s="301"/>
      <c r="Y44" s="301"/>
      <c r="Z44" s="301"/>
      <c r="AA44" s="301"/>
      <c r="AB44" s="301"/>
      <c r="AC44" s="301"/>
      <c r="AD44" s="301"/>
      <c r="AE44" s="301"/>
      <c r="AF44" s="301"/>
      <c r="AG44" s="301"/>
      <c r="AH44" s="301"/>
      <c r="AI44" s="301"/>
      <c r="AJ44" s="301"/>
      <c r="AK44" s="301"/>
      <c r="AL44" s="301"/>
      <c r="AM44" s="301"/>
    </row>
    <row r="45" spans="1:39" s="35" customFormat="1" ht="13.8">
      <c r="A45" s="1694"/>
      <c r="B45" s="1695"/>
      <c r="C45" s="1510" t="s">
        <v>5</v>
      </c>
      <c r="D45" s="1660"/>
      <c r="E45" s="136" t="s">
        <v>461</v>
      </c>
      <c r="F45" s="152" t="s">
        <v>6</v>
      </c>
      <c r="G45" s="136" t="s">
        <v>465</v>
      </c>
      <c r="H45" s="250">
        <v>4.2249999999999996</v>
      </c>
      <c r="I45" s="340" t="s">
        <v>331</v>
      </c>
      <c r="J45" s="341">
        <v>1</v>
      </c>
      <c r="K45" s="342">
        <f t="shared" si="0"/>
        <v>4.2249999999999996</v>
      </c>
      <c r="L45" s="784" t="s">
        <v>1146</v>
      </c>
      <c r="M45" s="791"/>
      <c r="N45" s="1044"/>
      <c r="O45" s="791"/>
      <c r="P45" s="1151"/>
      <c r="Q45" s="791"/>
      <c r="R45" s="301"/>
      <c r="S45" s="301"/>
      <c r="T45" s="301"/>
      <c r="U45" s="301"/>
      <c r="V45" s="301"/>
      <c r="W45" s="301"/>
      <c r="X45" s="301"/>
      <c r="Y45" s="301"/>
      <c r="Z45" s="301"/>
      <c r="AA45" s="301"/>
      <c r="AB45" s="301"/>
      <c r="AC45" s="301"/>
      <c r="AD45" s="301"/>
      <c r="AE45" s="301"/>
      <c r="AF45" s="301"/>
      <c r="AG45" s="301"/>
      <c r="AH45" s="301"/>
      <c r="AI45" s="301"/>
      <c r="AJ45" s="301"/>
      <c r="AK45" s="301"/>
      <c r="AL45" s="301"/>
      <c r="AM45" s="301"/>
    </row>
    <row r="46" spans="1:39" s="35" customFormat="1" ht="27" customHeight="1">
      <c r="A46" s="1694"/>
      <c r="B46" s="1695"/>
      <c r="C46" s="1660" t="s">
        <v>591</v>
      </c>
      <c r="D46" s="1660"/>
      <c r="E46" s="136" t="s">
        <v>467</v>
      </c>
      <c r="F46" s="136" t="s">
        <v>462</v>
      </c>
      <c r="G46" s="136" t="s">
        <v>465</v>
      </c>
      <c r="H46" s="250">
        <v>11</v>
      </c>
      <c r="I46" s="340" t="s">
        <v>331</v>
      </c>
      <c r="J46" s="341"/>
      <c r="K46" s="342">
        <f t="shared" si="0"/>
        <v>0</v>
      </c>
      <c r="L46" s="784" t="s">
        <v>1146</v>
      </c>
      <c r="M46" s="791"/>
      <c r="N46" s="1044"/>
      <c r="O46" s="791"/>
      <c r="P46" s="1151"/>
      <c r="Q46" s="791"/>
      <c r="R46" s="301"/>
      <c r="S46" s="301"/>
      <c r="T46" s="301"/>
      <c r="U46" s="301"/>
      <c r="V46" s="301"/>
      <c r="W46" s="301"/>
      <c r="X46" s="301"/>
      <c r="Y46" s="301"/>
      <c r="Z46" s="301"/>
      <c r="AA46" s="301"/>
      <c r="AB46" s="301"/>
      <c r="AC46" s="301"/>
      <c r="AD46" s="301"/>
      <c r="AE46" s="301"/>
      <c r="AF46" s="301"/>
      <c r="AG46" s="301"/>
      <c r="AH46" s="301"/>
      <c r="AI46" s="301"/>
      <c r="AJ46" s="301"/>
      <c r="AK46" s="301"/>
      <c r="AL46" s="301"/>
      <c r="AM46" s="301"/>
    </row>
    <row r="47" spans="1:39" s="35" customFormat="1" ht="39.6">
      <c r="A47" s="1694"/>
      <c r="B47" s="1695"/>
      <c r="C47" s="1660" t="s">
        <v>518</v>
      </c>
      <c r="D47" s="1660"/>
      <c r="E47" s="136" t="s">
        <v>461</v>
      </c>
      <c r="F47" s="136" t="s">
        <v>466</v>
      </c>
      <c r="G47" s="136" t="s">
        <v>465</v>
      </c>
      <c r="H47" s="250">
        <v>15.211</v>
      </c>
      <c r="I47" s="340" t="s">
        <v>331</v>
      </c>
      <c r="J47" s="341"/>
      <c r="K47" s="342">
        <f t="shared" si="0"/>
        <v>0</v>
      </c>
      <c r="L47" s="784" t="s">
        <v>1146</v>
      </c>
      <c r="M47" s="791"/>
      <c r="N47" s="1044"/>
      <c r="O47" s="791"/>
      <c r="P47" s="1151"/>
      <c r="Q47" s="791"/>
      <c r="R47" s="301"/>
      <c r="S47" s="301"/>
      <c r="T47" s="301"/>
      <c r="U47" s="301"/>
      <c r="V47" s="301"/>
      <c r="W47" s="301"/>
      <c r="X47" s="301"/>
      <c r="Y47" s="301"/>
      <c r="Z47" s="301"/>
      <c r="AA47" s="301"/>
      <c r="AB47" s="301"/>
      <c r="AC47" s="301"/>
      <c r="AD47" s="301"/>
      <c r="AE47" s="301"/>
      <c r="AF47" s="301"/>
      <c r="AG47" s="301"/>
      <c r="AH47" s="301"/>
      <c r="AI47" s="301"/>
      <c r="AJ47" s="301"/>
      <c r="AK47" s="301"/>
      <c r="AL47" s="301"/>
      <c r="AM47" s="301"/>
    </row>
    <row r="48" spans="1:39" s="35" customFormat="1" ht="39.6">
      <c r="A48" s="1694"/>
      <c r="B48" s="1695"/>
      <c r="C48" s="1510" t="s">
        <v>7</v>
      </c>
      <c r="D48" s="1660"/>
      <c r="E48" s="136" t="s">
        <v>468</v>
      </c>
      <c r="F48" s="136" t="s">
        <v>466</v>
      </c>
      <c r="G48" s="136" t="s">
        <v>465</v>
      </c>
      <c r="H48" s="250">
        <v>13.551</v>
      </c>
      <c r="I48" s="340" t="s">
        <v>331</v>
      </c>
      <c r="J48" s="341"/>
      <c r="K48" s="342">
        <f t="shared" si="0"/>
        <v>0</v>
      </c>
      <c r="L48" s="784" t="s">
        <v>1146</v>
      </c>
      <c r="M48" s="791"/>
      <c r="N48" s="1044"/>
      <c r="O48" s="791"/>
      <c r="P48" s="1151"/>
      <c r="Q48" s="791"/>
      <c r="R48" s="301"/>
      <c r="S48" s="301"/>
      <c r="T48" s="301"/>
      <c r="U48" s="301"/>
      <c r="V48" s="301"/>
      <c r="W48" s="301"/>
      <c r="X48" s="301"/>
      <c r="Y48" s="301"/>
      <c r="Z48" s="301"/>
      <c r="AA48" s="301"/>
      <c r="AB48" s="301"/>
      <c r="AC48" s="301"/>
      <c r="AD48" s="301"/>
      <c r="AE48" s="301"/>
      <c r="AF48" s="301"/>
      <c r="AG48" s="301"/>
      <c r="AH48" s="301"/>
      <c r="AI48" s="301"/>
      <c r="AJ48" s="301"/>
      <c r="AK48" s="301"/>
      <c r="AL48" s="301"/>
      <c r="AM48" s="301"/>
    </row>
    <row r="49" spans="1:39" s="35" customFormat="1" ht="75.75" customHeight="1">
      <c r="A49" s="1694"/>
      <c r="B49" s="1695"/>
      <c r="C49" s="1655" t="s">
        <v>1048</v>
      </c>
      <c r="D49" s="1660"/>
      <c r="E49" s="136" t="s">
        <v>469</v>
      </c>
      <c r="F49" s="136" t="s">
        <v>470</v>
      </c>
      <c r="G49" s="136" t="s">
        <v>471</v>
      </c>
      <c r="H49" s="250">
        <v>2.4129999999999998</v>
      </c>
      <c r="I49" s="340" t="s">
        <v>331</v>
      </c>
      <c r="J49" s="341"/>
      <c r="K49" s="342">
        <f t="shared" si="0"/>
        <v>0</v>
      </c>
      <c r="L49" s="474" t="s">
        <v>1146</v>
      </c>
      <c r="M49" s="791"/>
      <c r="N49" s="1044"/>
      <c r="O49" s="1126"/>
      <c r="P49" s="1127"/>
      <c r="Q49" s="1157"/>
      <c r="R49" s="1158"/>
      <c r="S49" s="301"/>
      <c r="T49" s="1159"/>
      <c r="U49" s="1149"/>
      <c r="V49" s="301"/>
      <c r="W49" s="301"/>
      <c r="X49" s="301"/>
      <c r="Y49" s="301"/>
      <c r="Z49" s="301"/>
      <c r="AA49" s="301"/>
      <c r="AB49" s="301"/>
      <c r="AC49" s="301"/>
      <c r="AD49" s="301"/>
      <c r="AE49" s="301"/>
      <c r="AF49" s="301"/>
      <c r="AG49" s="301"/>
      <c r="AH49" s="301"/>
      <c r="AI49" s="301"/>
      <c r="AJ49" s="301"/>
      <c r="AK49" s="301"/>
      <c r="AL49" s="301"/>
      <c r="AM49" s="301"/>
    </row>
    <row r="50" spans="1:39" s="35" customFormat="1" ht="39" customHeight="1" thickBot="1">
      <c r="A50" s="1696"/>
      <c r="B50" s="1677"/>
      <c r="C50" s="1236" t="s">
        <v>829</v>
      </c>
      <c r="D50" s="1237"/>
      <c r="E50" s="81"/>
      <c r="F50" s="574" t="s">
        <v>841</v>
      </c>
      <c r="G50" s="574" t="s">
        <v>61</v>
      </c>
      <c r="H50" s="250">
        <v>8.64</v>
      </c>
      <c r="I50" s="146" t="s">
        <v>331</v>
      </c>
      <c r="J50" s="577"/>
      <c r="K50" s="578">
        <f t="shared" si="0"/>
        <v>0</v>
      </c>
      <c r="L50" s="474" t="s">
        <v>1146</v>
      </c>
      <c r="M50" s="791"/>
      <c r="N50" s="1044"/>
      <c r="O50" s="791"/>
      <c r="P50" s="1151"/>
      <c r="Q50" s="791"/>
      <c r="R50" s="301"/>
      <c r="S50" s="301"/>
      <c r="T50" s="301"/>
      <c r="U50" s="301"/>
      <c r="V50" s="301"/>
      <c r="W50" s="301"/>
      <c r="X50" s="301"/>
      <c r="Y50" s="301"/>
      <c r="Z50" s="301"/>
      <c r="AA50" s="301"/>
      <c r="AB50" s="301"/>
      <c r="AC50" s="301"/>
      <c r="AD50" s="301"/>
      <c r="AE50" s="301"/>
      <c r="AF50" s="301"/>
      <c r="AG50" s="301"/>
      <c r="AH50" s="301"/>
      <c r="AI50" s="301"/>
      <c r="AJ50" s="301"/>
      <c r="AK50" s="301"/>
      <c r="AL50" s="301"/>
      <c r="AM50" s="301"/>
    </row>
    <row r="51" spans="1:39" s="35" customFormat="1" ht="42.75" customHeight="1" thickBot="1">
      <c r="A51" s="1744" t="s">
        <v>523</v>
      </c>
      <c r="B51" s="1745"/>
      <c r="C51" s="1748" t="s">
        <v>699</v>
      </c>
      <c r="D51" s="1749"/>
      <c r="E51" s="469" t="s">
        <v>654</v>
      </c>
      <c r="F51" s="468" t="s">
        <v>655</v>
      </c>
      <c r="G51" s="468" t="s">
        <v>656</v>
      </c>
      <c r="H51" s="391">
        <v>18.760000000000002</v>
      </c>
      <c r="I51" s="541" t="s">
        <v>331</v>
      </c>
      <c r="J51" s="390"/>
      <c r="K51" s="517">
        <f t="shared" si="0"/>
        <v>0</v>
      </c>
      <c r="L51" s="784" t="s">
        <v>1146</v>
      </c>
      <c r="M51" s="791"/>
      <c r="N51" s="1044"/>
      <c r="O51" s="791"/>
      <c r="P51" s="1151"/>
      <c r="Q51" s="791"/>
      <c r="R51" s="301"/>
      <c r="S51" s="301"/>
      <c r="T51" s="301"/>
      <c r="U51" s="301"/>
      <c r="V51" s="301"/>
      <c r="W51" s="301"/>
      <c r="X51" s="301"/>
      <c r="Y51" s="301"/>
      <c r="Z51" s="301"/>
      <c r="AA51" s="301"/>
      <c r="AB51" s="301"/>
      <c r="AC51" s="301"/>
      <c r="AD51" s="301"/>
      <c r="AE51" s="301"/>
      <c r="AF51" s="301"/>
      <c r="AG51" s="301"/>
      <c r="AH51" s="301"/>
      <c r="AI51" s="301"/>
      <c r="AJ51" s="301"/>
      <c r="AK51" s="301"/>
      <c r="AL51" s="301"/>
      <c r="AM51" s="301"/>
    </row>
    <row r="52" spans="1:39" s="35" customFormat="1" ht="33" customHeight="1" thickBot="1">
      <c r="A52" s="1756" t="s">
        <v>693</v>
      </c>
      <c r="B52" s="1235"/>
      <c r="C52" s="1235" t="s">
        <v>30</v>
      </c>
      <c r="D52" s="1235"/>
      <c r="E52" s="77" t="s">
        <v>31</v>
      </c>
      <c r="F52" s="77" t="s">
        <v>32</v>
      </c>
      <c r="G52" s="77" t="s">
        <v>33</v>
      </c>
      <c r="H52" s="254">
        <v>4.1579999999999995</v>
      </c>
      <c r="I52" s="78" t="s">
        <v>331</v>
      </c>
      <c r="J52" s="79"/>
      <c r="K52" s="80">
        <f>+J52*H52</f>
        <v>0</v>
      </c>
      <c r="L52" s="784" t="s">
        <v>1146</v>
      </c>
      <c r="M52" s="791"/>
      <c r="N52" s="1044"/>
      <c r="O52" s="791"/>
      <c r="P52" s="1151"/>
      <c r="Q52" s="791"/>
      <c r="R52" s="301"/>
      <c r="S52" s="301"/>
      <c r="T52" s="301"/>
      <c r="U52" s="301"/>
      <c r="V52" s="301"/>
      <c r="W52" s="301"/>
      <c r="X52" s="301"/>
      <c r="Y52" s="301"/>
      <c r="Z52" s="301"/>
      <c r="AA52" s="301"/>
      <c r="AB52" s="301"/>
      <c r="AC52" s="301"/>
      <c r="AD52" s="301"/>
      <c r="AE52" s="301"/>
      <c r="AF52" s="301"/>
      <c r="AG52" s="301"/>
      <c r="AH52" s="301"/>
      <c r="AI52" s="301"/>
      <c r="AJ52" s="301"/>
      <c r="AK52" s="301"/>
      <c r="AL52" s="301"/>
      <c r="AM52" s="301"/>
    </row>
    <row r="53" spans="1:39" s="35" customFormat="1" ht="24.75" customHeight="1">
      <c r="A53" s="1756" t="s">
        <v>620</v>
      </c>
      <c r="B53" s="1235"/>
      <c r="C53" s="1235" t="s">
        <v>621</v>
      </c>
      <c r="D53" s="1235"/>
      <c r="E53" s="77" t="s">
        <v>568</v>
      </c>
      <c r="F53" s="77" t="s">
        <v>625</v>
      </c>
      <c r="G53" s="77" t="s">
        <v>626</v>
      </c>
      <c r="H53" s="254">
        <v>10.09</v>
      </c>
      <c r="I53" s="78" t="s">
        <v>331</v>
      </c>
      <c r="J53" s="79"/>
      <c r="K53" s="80">
        <f t="shared" si="0"/>
        <v>0</v>
      </c>
      <c r="L53" s="784" t="s">
        <v>1146</v>
      </c>
      <c r="M53" s="791"/>
      <c r="N53" s="1044"/>
      <c r="O53" s="791"/>
      <c r="P53" s="1151"/>
      <c r="Q53" s="791"/>
      <c r="R53" s="301"/>
      <c r="S53" s="301"/>
      <c r="T53" s="301"/>
      <c r="U53" s="301"/>
      <c r="V53" s="301"/>
      <c r="W53" s="301"/>
      <c r="X53" s="301"/>
      <c r="Y53" s="301"/>
      <c r="Z53" s="301"/>
      <c r="AA53" s="301"/>
      <c r="AB53" s="301"/>
      <c r="AC53" s="301"/>
      <c r="AD53" s="301"/>
      <c r="AE53" s="301"/>
      <c r="AF53" s="301"/>
      <c r="AG53" s="301"/>
      <c r="AH53" s="301"/>
      <c r="AI53" s="301"/>
      <c r="AJ53" s="301"/>
      <c r="AK53" s="301"/>
      <c r="AL53" s="301"/>
      <c r="AM53" s="301"/>
    </row>
    <row r="54" spans="1:39" s="35" customFormat="1" ht="13.8">
      <c r="A54" s="1743"/>
      <c r="B54" s="1660"/>
      <c r="C54" s="1660" t="s">
        <v>622</v>
      </c>
      <c r="D54" s="1660"/>
      <c r="E54" s="136" t="s">
        <v>568</v>
      </c>
      <c r="F54" s="136" t="s">
        <v>625</v>
      </c>
      <c r="G54" s="136" t="s">
        <v>626</v>
      </c>
      <c r="H54" s="251">
        <v>18.86</v>
      </c>
      <c r="I54" s="123" t="s">
        <v>331</v>
      </c>
      <c r="J54" s="138"/>
      <c r="K54" s="139">
        <f t="shared" si="0"/>
        <v>0</v>
      </c>
      <c r="L54" s="784" t="s">
        <v>1146</v>
      </c>
      <c r="M54" s="791"/>
      <c r="N54" s="1044"/>
      <c r="O54" s="791"/>
      <c r="P54" s="1151"/>
      <c r="Q54" s="791"/>
      <c r="R54" s="301"/>
      <c r="S54" s="301"/>
      <c r="T54" s="301"/>
      <c r="U54" s="301"/>
      <c r="V54" s="301"/>
      <c r="W54" s="301"/>
      <c r="X54" s="301"/>
      <c r="Y54" s="301"/>
      <c r="Z54" s="301"/>
      <c r="AA54" s="301"/>
      <c r="AB54" s="301"/>
      <c r="AC54" s="301"/>
      <c r="AD54" s="301"/>
      <c r="AE54" s="301"/>
      <c r="AF54" s="301"/>
      <c r="AG54" s="301"/>
      <c r="AH54" s="301"/>
      <c r="AI54" s="301"/>
      <c r="AJ54" s="301"/>
      <c r="AK54" s="301"/>
      <c r="AL54" s="301"/>
      <c r="AM54" s="301"/>
    </row>
    <row r="55" spans="1:39" s="35" customFormat="1" ht="14.4" thickBot="1">
      <c r="A55" s="1700"/>
      <c r="B55" s="1237"/>
      <c r="C55" s="1237" t="s">
        <v>623</v>
      </c>
      <c r="D55" s="1237"/>
      <c r="E55" s="81" t="s">
        <v>568</v>
      </c>
      <c r="F55" s="81" t="s">
        <v>625</v>
      </c>
      <c r="G55" s="81" t="s">
        <v>626</v>
      </c>
      <c r="H55" s="253">
        <v>34</v>
      </c>
      <c r="I55" s="82" t="s">
        <v>331</v>
      </c>
      <c r="J55" s="83"/>
      <c r="K55" s="84">
        <f t="shared" si="0"/>
        <v>0</v>
      </c>
      <c r="L55" s="784" t="s">
        <v>1146</v>
      </c>
      <c r="M55" s="791"/>
      <c r="N55" s="1044"/>
      <c r="O55" s="791"/>
      <c r="P55" s="1151"/>
      <c r="Q55" s="791"/>
      <c r="R55" s="301"/>
      <c r="S55" s="301"/>
      <c r="T55" s="301"/>
      <c r="U55" s="301"/>
      <c r="V55" s="301"/>
      <c r="W55" s="301"/>
      <c r="X55" s="301"/>
      <c r="Y55" s="301"/>
      <c r="Z55" s="301"/>
      <c r="AA55" s="301"/>
      <c r="AB55" s="301"/>
      <c r="AC55" s="301"/>
      <c r="AD55" s="301"/>
      <c r="AE55" s="301"/>
      <c r="AF55" s="301"/>
      <c r="AG55" s="301"/>
      <c r="AH55" s="301"/>
      <c r="AI55" s="301"/>
      <c r="AJ55" s="301"/>
      <c r="AK55" s="301"/>
      <c r="AL55" s="301"/>
      <c r="AM55" s="301"/>
    </row>
    <row r="56" spans="1:39" s="35" customFormat="1" ht="25.5" hidden="1" customHeight="1">
      <c r="A56" s="1781" t="s">
        <v>472</v>
      </c>
      <c r="B56" s="1782"/>
      <c r="C56" s="1762" t="s">
        <v>1300</v>
      </c>
      <c r="D56" s="1763"/>
      <c r="E56" s="860" t="s">
        <v>568</v>
      </c>
      <c r="F56" s="860" t="s">
        <v>1301</v>
      </c>
      <c r="G56" s="860" t="s">
        <v>1302</v>
      </c>
      <c r="H56" s="869">
        <v>9.0399999999999991</v>
      </c>
      <c r="I56" s="862" t="s">
        <v>331</v>
      </c>
      <c r="J56" s="870"/>
      <c r="K56" s="871">
        <f t="shared" si="0"/>
        <v>0</v>
      </c>
      <c r="L56" s="921" t="s">
        <v>1359</v>
      </c>
      <c r="M56" s="791"/>
      <c r="N56" s="1044"/>
      <c r="O56" s="791"/>
      <c r="P56" s="1151"/>
      <c r="Q56" s="791"/>
      <c r="R56" s="301"/>
      <c r="S56" s="301"/>
      <c r="T56" s="301"/>
      <c r="U56" s="301"/>
      <c r="V56" s="301"/>
      <c r="W56" s="301"/>
      <c r="X56" s="301"/>
      <c r="Y56" s="301"/>
      <c r="Z56" s="301"/>
      <c r="AA56" s="301"/>
      <c r="AB56" s="301"/>
      <c r="AC56" s="301"/>
      <c r="AD56" s="301"/>
      <c r="AE56" s="301"/>
      <c r="AF56" s="301"/>
      <c r="AG56" s="301"/>
      <c r="AH56" s="301"/>
      <c r="AI56" s="301"/>
      <c r="AJ56" s="301"/>
      <c r="AK56" s="301"/>
      <c r="AL56" s="301"/>
      <c r="AM56" s="301"/>
    </row>
    <row r="57" spans="1:39" s="35" customFormat="1" ht="13.8">
      <c r="A57" s="1783"/>
      <c r="B57" s="1784"/>
      <c r="C57" s="1649" t="s">
        <v>473</v>
      </c>
      <c r="D57" s="1649"/>
      <c r="E57" s="226" t="s">
        <v>474</v>
      </c>
      <c r="F57" s="226" t="s">
        <v>475</v>
      </c>
      <c r="G57" s="226" t="s">
        <v>409</v>
      </c>
      <c r="H57" s="291">
        <v>25.376999999999999</v>
      </c>
      <c r="I57" s="292" t="s">
        <v>331</v>
      </c>
      <c r="J57" s="228"/>
      <c r="K57" s="229">
        <f t="shared" si="0"/>
        <v>0</v>
      </c>
      <c r="L57" s="474" t="s">
        <v>1151</v>
      </c>
      <c r="M57" s="791"/>
      <c r="N57" s="1044"/>
      <c r="O57" s="791"/>
      <c r="P57" s="1151"/>
      <c r="Q57" s="791"/>
      <c r="R57" s="301"/>
      <c r="S57" s="301"/>
      <c r="T57" s="301"/>
      <c r="U57" s="301"/>
      <c r="V57" s="301"/>
      <c r="W57" s="301"/>
      <c r="X57" s="301"/>
      <c r="Y57" s="301"/>
      <c r="Z57" s="301"/>
      <c r="AA57" s="301"/>
      <c r="AB57" s="301"/>
      <c r="AC57" s="301"/>
      <c r="AD57" s="301"/>
      <c r="AE57" s="301"/>
      <c r="AF57" s="301"/>
      <c r="AG57" s="301"/>
      <c r="AH57" s="301"/>
      <c r="AI57" s="301"/>
      <c r="AJ57" s="301"/>
      <c r="AK57" s="301"/>
      <c r="AL57" s="301"/>
      <c r="AM57" s="301"/>
    </row>
    <row r="58" spans="1:39" s="35" customFormat="1" ht="13.8">
      <c r="A58" s="1783"/>
      <c r="B58" s="1784"/>
      <c r="C58" s="1660"/>
      <c r="D58" s="1660"/>
      <c r="E58" s="136" t="s">
        <v>476</v>
      </c>
      <c r="F58" s="136" t="s">
        <v>475</v>
      </c>
      <c r="G58" s="136" t="s">
        <v>409</v>
      </c>
      <c r="H58" s="257">
        <v>44.195999999999998</v>
      </c>
      <c r="I58" s="143" t="s">
        <v>331</v>
      </c>
      <c r="J58" s="138"/>
      <c r="K58" s="139">
        <f t="shared" si="0"/>
        <v>0</v>
      </c>
      <c r="L58" s="474" t="s">
        <v>1147</v>
      </c>
      <c r="M58" s="791"/>
      <c r="N58" s="1044"/>
      <c r="O58" s="791"/>
      <c r="P58" s="1151"/>
      <c r="Q58" s="791"/>
      <c r="R58" s="301"/>
      <c r="S58" s="301"/>
      <c r="T58" s="301"/>
      <c r="U58" s="301"/>
      <c r="V58" s="301"/>
      <c r="W58" s="301"/>
      <c r="X58" s="301"/>
      <c r="Y58" s="301"/>
      <c r="Z58" s="301"/>
      <c r="AA58" s="301"/>
      <c r="AB58" s="301"/>
      <c r="AC58" s="301"/>
      <c r="AD58" s="301"/>
      <c r="AE58" s="301"/>
      <c r="AF58" s="301"/>
      <c r="AG58" s="301"/>
      <c r="AH58" s="301"/>
      <c r="AI58" s="301"/>
      <c r="AJ58" s="301"/>
      <c r="AK58" s="301"/>
      <c r="AL58" s="301"/>
      <c r="AM58" s="301"/>
    </row>
    <row r="59" spans="1:39" s="35" customFormat="1" ht="32.25" customHeight="1" thickBot="1">
      <c r="A59" s="1785"/>
      <c r="B59" s="1786"/>
      <c r="C59" s="1237"/>
      <c r="D59" s="1237"/>
      <c r="E59" s="81" t="s">
        <v>477</v>
      </c>
      <c r="F59" s="81" t="s">
        <v>475</v>
      </c>
      <c r="G59" s="81" t="s">
        <v>409</v>
      </c>
      <c r="H59" s="260">
        <v>59.17</v>
      </c>
      <c r="I59" s="146" t="s">
        <v>331</v>
      </c>
      <c r="J59" s="83"/>
      <c r="K59" s="84">
        <f t="shared" si="0"/>
        <v>0</v>
      </c>
      <c r="L59" s="474" t="s">
        <v>1147</v>
      </c>
      <c r="M59" s="791"/>
      <c r="N59" s="1044"/>
      <c r="O59" s="791"/>
      <c r="P59" s="1151"/>
      <c r="Q59" s="791"/>
      <c r="R59" s="301"/>
      <c r="S59" s="301"/>
      <c r="T59" s="301"/>
      <c r="U59" s="301"/>
      <c r="V59" s="301"/>
      <c r="W59" s="301"/>
      <c r="X59" s="301"/>
      <c r="Y59" s="301"/>
      <c r="Z59" s="301"/>
      <c r="AA59" s="301"/>
      <c r="AB59" s="301"/>
      <c r="AC59" s="301"/>
      <c r="AD59" s="301"/>
      <c r="AE59" s="301"/>
      <c r="AF59" s="301"/>
      <c r="AG59" s="301"/>
      <c r="AH59" s="301"/>
      <c r="AI59" s="301"/>
      <c r="AJ59" s="301"/>
      <c r="AK59" s="301"/>
      <c r="AL59" s="301"/>
      <c r="AM59" s="301"/>
    </row>
    <row r="60" spans="1:39" s="35" customFormat="1" ht="32.25" customHeight="1">
      <c r="A60" s="1283" t="s">
        <v>1427</v>
      </c>
      <c r="B60" s="1684"/>
      <c r="C60" s="1688" t="s">
        <v>1426</v>
      </c>
      <c r="D60" s="1689"/>
      <c r="E60" s="971" t="s">
        <v>1147</v>
      </c>
      <c r="F60" s="972" t="s">
        <v>1420</v>
      </c>
      <c r="G60" s="972" t="s">
        <v>409</v>
      </c>
      <c r="H60" s="973">
        <v>13.458000000000002</v>
      </c>
      <c r="I60" s="974" t="s">
        <v>331</v>
      </c>
      <c r="J60" s="228"/>
      <c r="K60" s="80">
        <f t="shared" si="0"/>
        <v>0</v>
      </c>
      <c r="L60" s="474"/>
      <c r="M60" s="791"/>
      <c r="N60" s="1153"/>
      <c r="O60" s="301"/>
      <c r="P60" s="1151"/>
      <c r="Q60" s="791"/>
      <c r="R60" s="301"/>
      <c r="S60" s="301"/>
      <c r="T60" s="301"/>
      <c r="U60" s="301"/>
      <c r="V60" s="301"/>
      <c r="W60" s="301"/>
      <c r="X60" s="301"/>
      <c r="Y60" s="301"/>
      <c r="Z60" s="301"/>
      <c r="AA60" s="301"/>
      <c r="AB60" s="301"/>
      <c r="AC60" s="301"/>
      <c r="AD60" s="301"/>
      <c r="AE60" s="301"/>
      <c r="AF60" s="301"/>
      <c r="AG60" s="301"/>
      <c r="AH60" s="301"/>
      <c r="AI60" s="301"/>
      <c r="AJ60" s="301"/>
      <c r="AK60" s="301"/>
      <c r="AL60" s="301"/>
      <c r="AM60" s="301"/>
    </row>
    <row r="61" spans="1:39" s="35" customFormat="1" ht="32.25" customHeight="1">
      <c r="A61" s="1685"/>
      <c r="B61" s="1684"/>
      <c r="C61" s="1671" t="s">
        <v>1428</v>
      </c>
      <c r="D61" s="1690"/>
      <c r="E61" s="966" t="s">
        <v>1147</v>
      </c>
      <c r="F61" s="971" t="s">
        <v>1430</v>
      </c>
      <c r="G61" s="971" t="s">
        <v>1431</v>
      </c>
      <c r="H61" s="973">
        <v>5.806</v>
      </c>
      <c r="I61" s="974" t="s">
        <v>331</v>
      </c>
      <c r="J61" s="228"/>
      <c r="K61" s="229">
        <f t="shared" si="0"/>
        <v>0</v>
      </c>
      <c r="L61" s="474"/>
      <c r="M61" s="791"/>
      <c r="N61" s="1153"/>
      <c r="O61" s="301"/>
      <c r="P61" s="1151"/>
      <c r="Q61" s="791"/>
      <c r="R61" s="301"/>
      <c r="S61" s="301"/>
      <c r="T61" s="301"/>
      <c r="U61" s="301"/>
      <c r="V61" s="301"/>
      <c r="W61" s="301"/>
      <c r="X61" s="301"/>
      <c r="Y61" s="301"/>
      <c r="Z61" s="301"/>
      <c r="AA61" s="301"/>
      <c r="AB61" s="301"/>
      <c r="AC61" s="301"/>
      <c r="AD61" s="301"/>
      <c r="AE61" s="301"/>
      <c r="AF61" s="301"/>
      <c r="AG61" s="301"/>
      <c r="AH61" s="301"/>
      <c r="AI61" s="301"/>
      <c r="AJ61" s="301"/>
      <c r="AK61" s="301"/>
      <c r="AL61" s="301"/>
      <c r="AM61" s="301"/>
    </row>
    <row r="62" spans="1:39" s="35" customFormat="1" ht="32.25" customHeight="1">
      <c r="A62" s="1685"/>
      <c r="B62" s="1684"/>
      <c r="C62" s="1671" t="s">
        <v>1429</v>
      </c>
      <c r="D62" s="1690"/>
      <c r="E62" s="966" t="s">
        <v>1147</v>
      </c>
      <c r="F62" s="972" t="s">
        <v>1421</v>
      </c>
      <c r="G62" s="972" t="s">
        <v>341</v>
      </c>
      <c r="H62" s="973">
        <v>2.6710000000000003</v>
      </c>
      <c r="I62" s="974" t="s">
        <v>331</v>
      </c>
      <c r="J62" s="228"/>
      <c r="K62" s="139">
        <f t="shared" si="0"/>
        <v>0</v>
      </c>
      <c r="L62" s="474"/>
      <c r="M62" s="791"/>
      <c r="N62" s="1153"/>
      <c r="O62" s="301"/>
      <c r="P62" s="1151"/>
      <c r="Q62" s="791"/>
      <c r="R62" s="301"/>
      <c r="S62" s="301"/>
      <c r="T62" s="301"/>
      <c r="U62" s="301"/>
      <c r="V62" s="301"/>
      <c r="W62" s="301"/>
      <c r="X62" s="301"/>
      <c r="Y62" s="301"/>
      <c r="Z62" s="301"/>
      <c r="AA62" s="301"/>
      <c r="AB62" s="301"/>
      <c r="AC62" s="301"/>
      <c r="AD62" s="301"/>
      <c r="AE62" s="301"/>
      <c r="AF62" s="301"/>
      <c r="AG62" s="301"/>
      <c r="AH62" s="301"/>
      <c r="AI62" s="301"/>
      <c r="AJ62" s="301"/>
      <c r="AK62" s="301"/>
      <c r="AL62" s="301"/>
      <c r="AM62" s="301"/>
    </row>
    <row r="63" spans="1:39" s="35" customFormat="1" ht="32.25" customHeight="1">
      <c r="A63" s="1685"/>
      <c r="B63" s="1684"/>
      <c r="C63" s="1671" t="s">
        <v>1432</v>
      </c>
      <c r="D63" s="1690"/>
      <c r="E63" s="966" t="s">
        <v>1147</v>
      </c>
      <c r="F63" s="972" t="s">
        <v>1421</v>
      </c>
      <c r="G63" s="972" t="s">
        <v>341</v>
      </c>
      <c r="H63" s="973">
        <v>2.4180000000000001</v>
      </c>
      <c r="I63" s="974" t="s">
        <v>331</v>
      </c>
      <c r="J63" s="228"/>
      <c r="K63" s="139">
        <f t="shared" si="0"/>
        <v>0</v>
      </c>
      <c r="L63" s="474"/>
      <c r="M63" s="791"/>
      <c r="N63" s="1153"/>
      <c r="O63" s="301"/>
      <c r="P63" s="1151"/>
      <c r="Q63" s="791"/>
      <c r="R63" s="301"/>
      <c r="S63" s="301"/>
      <c r="T63" s="301"/>
      <c r="U63" s="301"/>
      <c r="V63" s="301"/>
      <c r="W63" s="301"/>
      <c r="X63" s="301"/>
      <c r="Y63" s="301"/>
      <c r="Z63" s="301"/>
      <c r="AA63" s="301"/>
      <c r="AB63" s="301"/>
      <c r="AC63" s="301"/>
      <c r="AD63" s="301"/>
      <c r="AE63" s="301"/>
      <c r="AF63" s="301"/>
      <c r="AG63" s="301"/>
      <c r="AH63" s="301"/>
      <c r="AI63" s="301"/>
      <c r="AJ63" s="301"/>
      <c r="AK63" s="301"/>
      <c r="AL63" s="301"/>
      <c r="AM63" s="301"/>
    </row>
    <row r="64" spans="1:39" s="35" customFormat="1" ht="32.25" customHeight="1">
      <c r="A64" s="1685"/>
      <c r="B64" s="1684"/>
      <c r="C64" s="1671" t="s">
        <v>1433</v>
      </c>
      <c r="D64" s="1690"/>
      <c r="E64" s="966" t="s">
        <v>1434</v>
      </c>
      <c r="F64" s="972" t="s">
        <v>1422</v>
      </c>
      <c r="G64" s="972" t="s">
        <v>409</v>
      </c>
      <c r="H64" s="973">
        <v>7.9319999999999986</v>
      </c>
      <c r="I64" s="974" t="s">
        <v>331</v>
      </c>
      <c r="J64" s="228"/>
      <c r="K64" s="139">
        <f t="shared" si="0"/>
        <v>0</v>
      </c>
      <c r="L64" s="474"/>
      <c r="M64" s="791"/>
      <c r="N64" s="1153"/>
      <c r="O64" s="301"/>
      <c r="P64" s="1151"/>
      <c r="Q64" s="791"/>
      <c r="R64" s="301"/>
      <c r="S64" s="301"/>
      <c r="T64" s="301"/>
      <c r="U64" s="301"/>
      <c r="V64" s="301"/>
      <c r="W64" s="301"/>
      <c r="X64" s="301"/>
      <c r="Y64" s="301"/>
      <c r="Z64" s="301"/>
      <c r="AA64" s="301"/>
      <c r="AB64" s="301"/>
      <c r="AC64" s="301"/>
      <c r="AD64" s="301"/>
      <c r="AE64" s="301"/>
      <c r="AF64" s="301"/>
      <c r="AG64" s="301"/>
      <c r="AH64" s="301"/>
      <c r="AI64" s="301"/>
      <c r="AJ64" s="301"/>
      <c r="AK64" s="301"/>
      <c r="AL64" s="301"/>
      <c r="AM64" s="301"/>
    </row>
    <row r="65" spans="1:39" s="35" customFormat="1" ht="32.25" customHeight="1">
      <c r="A65" s="1685"/>
      <c r="B65" s="1684"/>
      <c r="C65" s="1671" t="s">
        <v>1435</v>
      </c>
      <c r="D65" s="1690"/>
      <c r="E65" s="966" t="s">
        <v>1436</v>
      </c>
      <c r="F65" s="972" t="s">
        <v>1423</v>
      </c>
      <c r="G65" s="972" t="s">
        <v>409</v>
      </c>
      <c r="H65" s="973">
        <v>12.723000000000001</v>
      </c>
      <c r="I65" s="974" t="s">
        <v>331</v>
      </c>
      <c r="J65" s="228"/>
      <c r="K65" s="139">
        <f t="shared" si="0"/>
        <v>0</v>
      </c>
      <c r="L65" s="474"/>
      <c r="M65" s="791"/>
      <c r="N65" s="1153"/>
      <c r="O65" s="301"/>
      <c r="P65" s="1151"/>
      <c r="Q65" s="791"/>
      <c r="R65" s="301"/>
      <c r="S65" s="301"/>
      <c r="T65" s="301"/>
      <c r="U65" s="301"/>
      <c r="V65" s="301"/>
      <c r="W65" s="301"/>
      <c r="X65" s="301"/>
      <c r="Y65" s="301"/>
      <c r="Z65" s="301"/>
      <c r="AA65" s="301"/>
      <c r="AB65" s="301"/>
      <c r="AC65" s="301"/>
      <c r="AD65" s="301"/>
      <c r="AE65" s="301"/>
      <c r="AF65" s="301"/>
      <c r="AG65" s="301"/>
      <c r="AH65" s="301"/>
      <c r="AI65" s="301"/>
      <c r="AJ65" s="301"/>
      <c r="AK65" s="301"/>
      <c r="AL65" s="301"/>
      <c r="AM65" s="301"/>
    </row>
    <row r="66" spans="1:39" s="35" customFormat="1" ht="32.25" customHeight="1">
      <c r="A66" s="1685"/>
      <c r="B66" s="1684"/>
      <c r="C66" s="1671" t="s">
        <v>1437</v>
      </c>
      <c r="D66" s="1690"/>
      <c r="E66" s="966" t="s">
        <v>1147</v>
      </c>
      <c r="F66" s="972" t="s">
        <v>408</v>
      </c>
      <c r="G66" s="972" t="s">
        <v>388</v>
      </c>
      <c r="H66" s="973">
        <v>3.5999999999999997E-2</v>
      </c>
      <c r="I66" s="974" t="s">
        <v>380</v>
      </c>
      <c r="J66" s="228"/>
      <c r="K66" s="139">
        <f t="shared" si="0"/>
        <v>0</v>
      </c>
      <c r="L66" s="474"/>
      <c r="M66" s="791"/>
      <c r="N66" s="1153"/>
      <c r="O66" s="301"/>
      <c r="P66" s="1151"/>
      <c r="Q66" s="791"/>
      <c r="R66" s="301"/>
      <c r="S66" s="301"/>
      <c r="T66" s="301"/>
      <c r="U66" s="301"/>
      <c r="V66" s="301"/>
      <c r="W66" s="301"/>
      <c r="X66" s="301"/>
      <c r="Y66" s="301"/>
      <c r="Z66" s="301"/>
      <c r="AA66" s="301"/>
      <c r="AB66" s="301"/>
      <c r="AC66" s="301"/>
      <c r="AD66" s="301"/>
      <c r="AE66" s="301"/>
      <c r="AF66" s="301"/>
      <c r="AG66" s="301"/>
      <c r="AH66" s="301"/>
      <c r="AI66" s="301"/>
      <c r="AJ66" s="301"/>
      <c r="AK66" s="301"/>
      <c r="AL66" s="301"/>
      <c r="AM66" s="301"/>
    </row>
    <row r="67" spans="1:39" s="35" customFormat="1" ht="39.450000000000003" customHeight="1" thickBot="1">
      <c r="A67" s="1686"/>
      <c r="B67" s="1687"/>
      <c r="C67" s="1673" t="s">
        <v>1438</v>
      </c>
      <c r="D67" s="1761"/>
      <c r="E67" s="975" t="s">
        <v>1147</v>
      </c>
      <c r="F67" s="972" t="s">
        <v>1424</v>
      </c>
      <c r="G67" s="972" t="s">
        <v>1425</v>
      </c>
      <c r="H67" s="973">
        <v>6.5059999999999985</v>
      </c>
      <c r="I67" s="974" t="s">
        <v>331</v>
      </c>
      <c r="J67" s="228"/>
      <c r="K67" s="84">
        <f t="shared" si="0"/>
        <v>0</v>
      </c>
      <c r="L67" s="474"/>
      <c r="M67" s="791"/>
      <c r="N67" s="1153"/>
      <c r="O67" s="301"/>
      <c r="P67" s="1151"/>
      <c r="Q67" s="791"/>
      <c r="R67" s="301"/>
      <c r="S67" s="301"/>
      <c r="T67" s="301"/>
      <c r="U67" s="301"/>
      <c r="V67" s="301"/>
      <c r="W67" s="301"/>
      <c r="X67" s="301"/>
      <c r="Y67" s="301"/>
      <c r="Z67" s="301"/>
      <c r="AA67" s="301"/>
      <c r="AB67" s="301"/>
      <c r="AC67" s="301"/>
      <c r="AD67" s="301"/>
      <c r="AE67" s="301"/>
      <c r="AF67" s="301"/>
      <c r="AG67" s="301"/>
      <c r="AH67" s="301"/>
      <c r="AI67" s="301"/>
      <c r="AJ67" s="301"/>
      <c r="AK67" s="301"/>
      <c r="AL67" s="301"/>
      <c r="AM67" s="301"/>
    </row>
    <row r="68" spans="1:39" s="35" customFormat="1" ht="26.25" customHeight="1">
      <c r="A68" s="1756" t="s">
        <v>478</v>
      </c>
      <c r="B68" s="1235"/>
      <c r="C68" s="1235" t="s">
        <v>479</v>
      </c>
      <c r="D68" s="1235"/>
      <c r="E68" s="77" t="s">
        <v>480</v>
      </c>
      <c r="F68" s="77" t="s">
        <v>481</v>
      </c>
      <c r="G68" s="77" t="s">
        <v>465</v>
      </c>
      <c r="H68" s="254">
        <v>3.9E-2</v>
      </c>
      <c r="I68" s="142" t="s">
        <v>380</v>
      </c>
      <c r="J68" s="79">
        <v>795</v>
      </c>
      <c r="K68" s="80">
        <f t="shared" si="0"/>
        <v>31.004999999999999</v>
      </c>
      <c r="L68" s="474" t="s">
        <v>1146</v>
      </c>
      <c r="M68" s="791"/>
      <c r="N68" s="1044"/>
      <c r="O68" s="791"/>
      <c r="P68" s="1151"/>
      <c r="Q68" s="791"/>
      <c r="R68" s="301"/>
      <c r="S68" s="301"/>
      <c r="T68" s="301"/>
      <c r="U68" s="301"/>
      <c r="V68" s="301"/>
      <c r="W68" s="301"/>
      <c r="X68" s="301"/>
      <c r="Y68" s="301"/>
      <c r="Z68" s="301"/>
      <c r="AA68" s="301"/>
      <c r="AB68" s="301"/>
      <c r="AC68" s="301"/>
      <c r="AD68" s="301"/>
      <c r="AE68" s="301"/>
      <c r="AF68" s="301"/>
      <c r="AG68" s="301"/>
      <c r="AH68" s="301"/>
      <c r="AI68" s="301"/>
      <c r="AJ68" s="301"/>
      <c r="AK68" s="301"/>
      <c r="AL68" s="301"/>
      <c r="AM68" s="301"/>
    </row>
    <row r="69" spans="1:39" s="35" customFormat="1" ht="32.25" customHeight="1">
      <c r="A69" s="1743"/>
      <c r="B69" s="1660"/>
      <c r="C69" s="1660"/>
      <c r="D69" s="1660"/>
      <c r="E69" s="136" t="s">
        <v>482</v>
      </c>
      <c r="F69" s="136"/>
      <c r="G69" s="136"/>
      <c r="H69" s="251">
        <v>2.4</v>
      </c>
      <c r="I69" s="143" t="s">
        <v>331</v>
      </c>
      <c r="J69" s="138">
        <v>6</v>
      </c>
      <c r="K69" s="139">
        <f t="shared" si="0"/>
        <v>14.399999999999999</v>
      </c>
      <c r="L69" s="474" t="s">
        <v>1146</v>
      </c>
      <c r="M69" s="791"/>
      <c r="N69" s="1044"/>
      <c r="O69" s="791"/>
      <c r="P69" s="1151"/>
      <c r="Q69" s="791"/>
      <c r="R69" s="301"/>
      <c r="S69" s="301"/>
      <c r="T69" s="301"/>
      <c r="U69" s="301"/>
      <c r="V69" s="301"/>
      <c r="W69" s="301"/>
      <c r="X69" s="301"/>
      <c r="Y69" s="301"/>
      <c r="Z69" s="301"/>
      <c r="AA69" s="301"/>
      <c r="AB69" s="301"/>
      <c r="AC69" s="301"/>
      <c r="AD69" s="301"/>
      <c r="AE69" s="301"/>
      <c r="AF69" s="301"/>
      <c r="AG69" s="301"/>
      <c r="AH69" s="301"/>
      <c r="AI69" s="301"/>
      <c r="AJ69" s="301"/>
      <c r="AK69" s="301"/>
      <c r="AL69" s="301"/>
      <c r="AM69" s="301"/>
    </row>
    <row r="70" spans="1:39" s="35" customFormat="1" ht="28.5" customHeight="1">
      <c r="A70" s="1743"/>
      <c r="B70" s="1660"/>
      <c r="C70" s="1660" t="s">
        <v>483</v>
      </c>
      <c r="D70" s="1660"/>
      <c r="E70" s="136" t="s">
        <v>480</v>
      </c>
      <c r="F70" s="136" t="s">
        <v>484</v>
      </c>
      <c r="G70" s="136" t="s">
        <v>465</v>
      </c>
      <c r="H70" s="251">
        <v>0.02</v>
      </c>
      <c r="I70" s="143" t="s">
        <v>380</v>
      </c>
      <c r="J70" s="138"/>
      <c r="K70" s="139">
        <f t="shared" si="0"/>
        <v>0</v>
      </c>
      <c r="L70" s="474" t="s">
        <v>1146</v>
      </c>
      <c r="M70" s="791"/>
      <c r="N70" s="1044"/>
      <c r="O70" s="791"/>
      <c r="P70" s="1151"/>
      <c r="Q70" s="791"/>
      <c r="R70" s="301"/>
      <c r="S70" s="301"/>
      <c r="T70" s="301"/>
      <c r="U70" s="301"/>
      <c r="V70" s="301"/>
      <c r="W70" s="301"/>
      <c r="X70" s="301"/>
      <c r="Y70" s="301"/>
      <c r="Z70" s="301"/>
      <c r="AA70" s="301"/>
      <c r="AB70" s="301"/>
      <c r="AC70" s="301"/>
      <c r="AD70" s="301"/>
      <c r="AE70" s="301"/>
      <c r="AF70" s="301"/>
      <c r="AG70" s="301"/>
      <c r="AH70" s="301"/>
      <c r="AI70" s="301"/>
      <c r="AJ70" s="301"/>
      <c r="AK70" s="301"/>
      <c r="AL70" s="301"/>
      <c r="AM70" s="301"/>
    </row>
    <row r="71" spans="1:39" s="35" customFormat="1" ht="38.25" customHeight="1">
      <c r="A71" s="1743"/>
      <c r="B71" s="1660"/>
      <c r="C71" s="1660"/>
      <c r="D71" s="1660"/>
      <c r="E71" s="136" t="s">
        <v>482</v>
      </c>
      <c r="F71" s="136"/>
      <c r="G71" s="136"/>
      <c r="H71" s="257">
        <v>1.6</v>
      </c>
      <c r="I71" s="143" t="s">
        <v>331</v>
      </c>
      <c r="J71" s="138"/>
      <c r="K71" s="139">
        <f t="shared" si="0"/>
        <v>0</v>
      </c>
      <c r="L71" s="474" t="s">
        <v>1146</v>
      </c>
      <c r="M71" s="791"/>
      <c r="N71" s="1044"/>
      <c r="O71" s="791"/>
      <c r="P71" s="1151"/>
      <c r="Q71" s="791"/>
      <c r="R71" s="301"/>
      <c r="S71" s="301"/>
      <c r="T71" s="301"/>
      <c r="U71" s="301"/>
      <c r="V71" s="301"/>
      <c r="W71" s="301"/>
      <c r="X71" s="301"/>
      <c r="Y71" s="301"/>
      <c r="Z71" s="301"/>
      <c r="AA71" s="301"/>
      <c r="AB71" s="301"/>
      <c r="AC71" s="301"/>
      <c r="AD71" s="301"/>
      <c r="AE71" s="301"/>
      <c r="AF71" s="301"/>
      <c r="AG71" s="301"/>
      <c r="AH71" s="301"/>
      <c r="AI71" s="301"/>
      <c r="AJ71" s="301"/>
      <c r="AK71" s="301"/>
      <c r="AL71" s="301"/>
      <c r="AM71" s="301"/>
    </row>
    <row r="72" spans="1:39" s="35" customFormat="1" ht="38.25" customHeight="1">
      <c r="A72" s="1743"/>
      <c r="B72" s="1660"/>
      <c r="C72" s="1495" t="s">
        <v>1070</v>
      </c>
      <c r="D72" s="1706"/>
      <c r="E72" s="463" t="s">
        <v>486</v>
      </c>
      <c r="F72" s="463" t="s">
        <v>53</v>
      </c>
      <c r="G72" s="463" t="s">
        <v>54</v>
      </c>
      <c r="H72" s="257">
        <v>5.5</v>
      </c>
      <c r="I72" s="143" t="s">
        <v>331</v>
      </c>
      <c r="J72" s="138">
        <v>9</v>
      </c>
      <c r="K72" s="139">
        <f t="shared" si="0"/>
        <v>49.5</v>
      </c>
      <c r="L72" s="634" t="s">
        <v>1146</v>
      </c>
      <c r="M72" s="791"/>
      <c r="N72" s="1044"/>
      <c r="O72" s="1126"/>
      <c r="P72" s="1127"/>
      <c r="Q72" s="791"/>
      <c r="R72" s="301"/>
      <c r="S72" s="301"/>
      <c r="T72" s="301"/>
      <c r="U72" s="301"/>
      <c r="V72" s="301"/>
      <c r="W72" s="301"/>
      <c r="X72" s="301"/>
      <c r="Y72" s="301"/>
      <c r="Z72" s="301"/>
      <c r="AA72" s="301"/>
      <c r="AB72" s="301"/>
      <c r="AC72" s="301"/>
      <c r="AD72" s="301"/>
      <c r="AE72" s="301"/>
      <c r="AF72" s="301"/>
      <c r="AG72" s="301"/>
      <c r="AH72" s="301"/>
      <c r="AI72" s="301"/>
      <c r="AJ72" s="301"/>
      <c r="AK72" s="301"/>
      <c r="AL72" s="301"/>
      <c r="AM72" s="301"/>
    </row>
    <row r="73" spans="1:39" s="35" customFormat="1" ht="42" customHeight="1" thickBot="1">
      <c r="A73" s="1700"/>
      <c r="B73" s="1237"/>
      <c r="C73" s="1236" t="s">
        <v>1345</v>
      </c>
      <c r="D73" s="1237"/>
      <c r="E73" s="81" t="s">
        <v>487</v>
      </c>
      <c r="F73" s="81" t="s">
        <v>488</v>
      </c>
      <c r="G73" s="81" t="s">
        <v>485</v>
      </c>
      <c r="H73" s="260">
        <v>2.5</v>
      </c>
      <c r="I73" s="146" t="s">
        <v>331</v>
      </c>
      <c r="J73" s="83"/>
      <c r="K73" s="84">
        <f t="shared" si="0"/>
        <v>0</v>
      </c>
      <c r="L73" s="634" t="s">
        <v>1151</v>
      </c>
      <c r="M73" s="791"/>
      <c r="N73" s="1044"/>
      <c r="O73" s="1126"/>
      <c r="P73" s="1127"/>
      <c r="Q73" s="791"/>
      <c r="R73" s="301"/>
      <c r="S73" s="301"/>
      <c r="T73" s="301"/>
      <c r="U73" s="301"/>
      <c r="V73" s="301"/>
      <c r="W73" s="301"/>
      <c r="X73" s="301"/>
      <c r="Y73" s="301"/>
      <c r="Z73" s="301"/>
      <c r="AA73" s="301"/>
      <c r="AB73" s="301"/>
      <c r="AC73" s="301"/>
      <c r="AD73" s="301"/>
      <c r="AE73" s="301"/>
      <c r="AF73" s="301"/>
      <c r="AG73" s="301"/>
      <c r="AH73" s="301"/>
      <c r="AI73" s="301"/>
      <c r="AJ73" s="301"/>
      <c r="AK73" s="301"/>
      <c r="AL73" s="301"/>
      <c r="AM73" s="301"/>
    </row>
    <row r="74" spans="1:39" s="35" customFormat="1" ht="42" hidden="1" customHeight="1">
      <c r="A74" s="1693" t="s">
        <v>489</v>
      </c>
      <c r="B74" s="1668"/>
      <c r="C74" s="1765" t="s">
        <v>52</v>
      </c>
      <c r="D74" s="1765"/>
      <c r="E74" s="860" t="s">
        <v>487</v>
      </c>
      <c r="F74" s="860" t="s">
        <v>53</v>
      </c>
      <c r="G74" s="860" t="s">
        <v>54</v>
      </c>
      <c r="H74" s="861">
        <v>3</v>
      </c>
      <c r="I74" s="862" t="s">
        <v>331</v>
      </c>
      <c r="J74" s="863"/>
      <c r="K74" s="864">
        <f t="shared" si="0"/>
        <v>0</v>
      </c>
      <c r="L74" s="953" t="s">
        <v>1359</v>
      </c>
      <c r="M74" s="791"/>
      <c r="N74" s="1044"/>
      <c r="O74" s="791"/>
      <c r="P74" s="1151"/>
      <c r="Q74" s="791"/>
      <c r="R74" s="301"/>
      <c r="S74" s="301"/>
      <c r="T74" s="301"/>
      <c r="U74" s="301"/>
      <c r="V74" s="301"/>
      <c r="W74" s="301"/>
      <c r="X74" s="301"/>
      <c r="Y74" s="301"/>
      <c r="Z74" s="301"/>
      <c r="AA74" s="301"/>
      <c r="AB74" s="301"/>
      <c r="AC74" s="301"/>
      <c r="AD74" s="301"/>
      <c r="AE74" s="301"/>
      <c r="AF74" s="301"/>
      <c r="AG74" s="301"/>
      <c r="AH74" s="301"/>
      <c r="AI74" s="301"/>
      <c r="AJ74" s="301"/>
      <c r="AK74" s="301"/>
      <c r="AL74" s="301"/>
      <c r="AM74" s="301"/>
    </row>
    <row r="75" spans="1:39" s="35" customFormat="1" ht="88.5" customHeight="1">
      <c r="A75" s="1694"/>
      <c r="B75" s="1695"/>
      <c r="C75" s="1495" t="s">
        <v>1453</v>
      </c>
      <c r="D75" s="1706"/>
      <c r="E75" s="471" t="s">
        <v>1071</v>
      </c>
      <c r="F75" s="226" t="s">
        <v>490</v>
      </c>
      <c r="G75" s="226" t="s">
        <v>491</v>
      </c>
      <c r="H75" s="257">
        <v>8</v>
      </c>
      <c r="I75" s="292" t="s">
        <v>331</v>
      </c>
      <c r="J75" s="228">
        <v>46</v>
      </c>
      <c r="K75" s="229">
        <f t="shared" si="0"/>
        <v>368</v>
      </c>
      <c r="L75" s="634" t="s">
        <v>1146</v>
      </c>
      <c r="M75" s="791"/>
      <c r="N75" s="1044"/>
      <c r="O75" s="1126"/>
      <c r="P75" s="1127"/>
      <c r="Q75" s="791"/>
      <c r="R75" s="1159"/>
      <c r="S75" s="301"/>
      <c r="T75" s="301"/>
      <c r="U75" s="301"/>
      <c r="V75" s="301"/>
      <c r="W75" s="301"/>
      <c r="X75" s="301"/>
      <c r="Y75" s="301"/>
      <c r="Z75" s="301"/>
      <c r="AA75" s="301"/>
      <c r="AB75" s="301"/>
      <c r="AC75" s="301"/>
      <c r="AD75" s="301"/>
      <c r="AE75" s="301"/>
      <c r="AF75" s="301"/>
      <c r="AG75" s="301"/>
      <c r="AH75" s="301"/>
      <c r="AI75" s="301"/>
      <c r="AJ75" s="301"/>
      <c r="AK75" s="301"/>
      <c r="AL75" s="301"/>
      <c r="AM75" s="301"/>
    </row>
    <row r="76" spans="1:39" s="35" customFormat="1" ht="24.75" customHeight="1">
      <c r="A76" s="1694"/>
      <c r="B76" s="1695"/>
      <c r="C76" s="1764" t="s">
        <v>492</v>
      </c>
      <c r="D76" s="1764"/>
      <c r="E76" s="136" t="s">
        <v>493</v>
      </c>
      <c r="F76" s="136"/>
      <c r="G76" s="136"/>
      <c r="H76" s="257">
        <v>6.58</v>
      </c>
      <c r="I76" s="143" t="s">
        <v>331</v>
      </c>
      <c r="J76" s="138"/>
      <c r="K76" s="139">
        <f t="shared" ref="K76:K121" si="1">+J76*H76</f>
        <v>0</v>
      </c>
      <c r="L76" s="474" t="s">
        <v>1147</v>
      </c>
      <c r="M76" s="791"/>
      <c r="N76" s="1044"/>
      <c r="O76" s="791"/>
      <c r="P76" s="1126"/>
      <c r="Q76" s="1127"/>
      <c r="R76" s="301"/>
      <c r="S76" s="301"/>
      <c r="T76" s="301"/>
      <c r="U76" s="301"/>
      <c r="V76" s="301"/>
      <c r="W76" s="301"/>
      <c r="X76" s="301"/>
      <c r="Y76" s="301"/>
      <c r="Z76" s="301"/>
      <c r="AA76" s="301"/>
      <c r="AB76" s="301"/>
      <c r="AC76" s="301"/>
      <c r="AD76" s="301"/>
      <c r="AE76" s="301"/>
      <c r="AF76" s="301"/>
      <c r="AG76" s="301"/>
      <c r="AH76" s="301"/>
      <c r="AI76" s="301"/>
      <c r="AJ76" s="301"/>
      <c r="AK76" s="301"/>
      <c r="AL76" s="301"/>
      <c r="AM76" s="301"/>
    </row>
    <row r="77" spans="1:39" s="35" customFormat="1" ht="48" customHeight="1" thickBot="1">
      <c r="A77" s="1696"/>
      <c r="B77" s="1677"/>
      <c r="C77" s="1237" t="s">
        <v>494</v>
      </c>
      <c r="D77" s="1237"/>
      <c r="E77" s="81" t="s">
        <v>495</v>
      </c>
      <c r="F77" s="81" t="s">
        <v>496</v>
      </c>
      <c r="G77" s="81" t="s">
        <v>431</v>
      </c>
      <c r="H77" s="258">
        <v>4.2300000000000004</v>
      </c>
      <c r="I77" s="146" t="s">
        <v>331</v>
      </c>
      <c r="J77" s="83"/>
      <c r="K77" s="84">
        <f t="shared" si="1"/>
        <v>0</v>
      </c>
      <c r="L77" s="634" t="s">
        <v>1146</v>
      </c>
      <c r="M77" s="791"/>
      <c r="N77" s="1044"/>
      <c r="O77" s="1126"/>
      <c r="P77" s="1127"/>
      <c r="Q77" s="791"/>
      <c r="R77" s="301"/>
      <c r="S77" s="301"/>
      <c r="T77" s="301"/>
      <c r="U77" s="301"/>
      <c r="V77" s="301"/>
      <c r="W77" s="301"/>
      <c r="X77" s="301"/>
      <c r="Y77" s="301"/>
      <c r="Z77" s="301"/>
      <c r="AA77" s="301"/>
      <c r="AB77" s="301"/>
      <c r="AC77" s="301"/>
      <c r="AD77" s="301"/>
      <c r="AE77" s="301"/>
      <c r="AF77" s="301"/>
      <c r="AG77" s="301"/>
      <c r="AH77" s="301"/>
      <c r="AI77" s="301"/>
      <c r="AJ77" s="301"/>
      <c r="AK77" s="301"/>
      <c r="AL77" s="301"/>
      <c r="AM77" s="301"/>
    </row>
    <row r="78" spans="1:39" s="35" customFormat="1" ht="48" customHeight="1">
      <c r="A78" s="1699" t="s">
        <v>592</v>
      </c>
      <c r="B78" s="1235"/>
      <c r="C78" s="1734" t="s">
        <v>593</v>
      </c>
      <c r="D78" s="1735"/>
      <c r="E78" s="77" t="s">
        <v>594</v>
      </c>
      <c r="F78" s="77" t="s">
        <v>595</v>
      </c>
      <c r="G78" s="77" t="s">
        <v>596</v>
      </c>
      <c r="H78" s="254">
        <v>16.82</v>
      </c>
      <c r="I78" s="78" t="s">
        <v>331</v>
      </c>
      <c r="J78" s="79"/>
      <c r="K78" s="80">
        <f t="shared" si="1"/>
        <v>0</v>
      </c>
      <c r="L78" s="784" t="s">
        <v>1147</v>
      </c>
      <c r="M78" s="791"/>
      <c r="N78" s="1044"/>
      <c r="O78" s="791"/>
      <c r="P78" s="1151"/>
      <c r="Q78" s="791"/>
      <c r="R78" s="301"/>
      <c r="S78" s="301"/>
      <c r="T78" s="301"/>
      <c r="U78" s="301"/>
      <c r="V78" s="301"/>
      <c r="W78" s="301"/>
      <c r="X78" s="301"/>
      <c r="Y78" s="301"/>
      <c r="Z78" s="301"/>
      <c r="AA78" s="301"/>
      <c r="AB78" s="301"/>
      <c r="AC78" s="301"/>
      <c r="AD78" s="301"/>
      <c r="AE78" s="301"/>
      <c r="AF78" s="301"/>
      <c r="AG78" s="301"/>
      <c r="AH78" s="301"/>
      <c r="AI78" s="301"/>
      <c r="AJ78" s="301"/>
      <c r="AK78" s="301"/>
      <c r="AL78" s="301"/>
      <c r="AM78" s="301"/>
    </row>
    <row r="79" spans="1:39" s="35" customFormat="1" ht="48" customHeight="1" thickBot="1">
      <c r="A79" s="1700"/>
      <c r="B79" s="1237"/>
      <c r="C79" s="1787" t="s">
        <v>593</v>
      </c>
      <c r="D79" s="1727"/>
      <c r="E79" s="81" t="s">
        <v>597</v>
      </c>
      <c r="F79" s="81"/>
      <c r="G79" s="81"/>
      <c r="H79" s="253">
        <v>2.66</v>
      </c>
      <c r="I79" s="82" t="s">
        <v>598</v>
      </c>
      <c r="J79" s="83"/>
      <c r="K79" s="84">
        <f t="shared" si="1"/>
        <v>0</v>
      </c>
      <c r="L79" s="784" t="s">
        <v>1147</v>
      </c>
      <c r="M79" s="791"/>
      <c r="N79" s="1044"/>
      <c r="O79" s="1126"/>
      <c r="P79" s="1127"/>
      <c r="Q79" s="791"/>
      <c r="R79" s="301"/>
      <c r="S79" s="301"/>
      <c r="T79" s="301"/>
      <c r="U79" s="301"/>
      <c r="V79" s="301"/>
      <c r="W79" s="301"/>
      <c r="X79" s="301"/>
      <c r="Y79" s="301"/>
      <c r="Z79" s="301"/>
      <c r="AA79" s="301"/>
      <c r="AB79" s="301"/>
      <c r="AC79" s="301"/>
      <c r="AD79" s="301"/>
      <c r="AE79" s="301"/>
      <c r="AF79" s="301"/>
      <c r="AG79" s="301"/>
      <c r="AH79" s="301"/>
      <c r="AI79" s="301"/>
      <c r="AJ79" s="301"/>
      <c r="AK79" s="301"/>
      <c r="AL79" s="301"/>
      <c r="AM79" s="301"/>
    </row>
    <row r="80" spans="1:39" s="35" customFormat="1" ht="48" customHeight="1" thickBot="1">
      <c r="A80" s="1788" t="s">
        <v>599</v>
      </c>
      <c r="B80" s="1789"/>
      <c r="C80" s="1703" t="s">
        <v>600</v>
      </c>
      <c r="D80" s="1704"/>
      <c r="E80" s="293" t="s">
        <v>601</v>
      </c>
      <c r="F80" s="293" t="s">
        <v>602</v>
      </c>
      <c r="G80" s="293" t="s">
        <v>603</v>
      </c>
      <c r="H80" s="294">
        <v>1.6</v>
      </c>
      <c r="I80" s="299" t="s">
        <v>514</v>
      </c>
      <c r="J80" s="296"/>
      <c r="K80" s="297">
        <f t="shared" si="1"/>
        <v>0</v>
      </c>
      <c r="L80" s="784" t="s">
        <v>1147</v>
      </c>
      <c r="M80" s="791"/>
      <c r="N80" s="1044"/>
      <c r="O80" s="791"/>
      <c r="P80" s="1151"/>
      <c r="Q80" s="791"/>
      <c r="R80" s="301"/>
      <c r="S80" s="301"/>
      <c r="T80" s="301"/>
      <c r="U80" s="301"/>
      <c r="V80" s="301"/>
      <c r="W80" s="301"/>
      <c r="X80" s="301"/>
      <c r="Y80" s="301"/>
      <c r="Z80" s="301"/>
      <c r="AA80" s="301"/>
      <c r="AB80" s="301"/>
      <c r="AC80" s="301"/>
      <c r="AD80" s="301"/>
      <c r="AE80" s="301"/>
      <c r="AF80" s="301"/>
      <c r="AG80" s="301"/>
      <c r="AH80" s="301"/>
      <c r="AI80" s="301"/>
      <c r="AJ80" s="301"/>
      <c r="AK80" s="301"/>
      <c r="AL80" s="301"/>
      <c r="AM80" s="301"/>
    </row>
    <row r="81" spans="1:39" s="35" customFormat="1" ht="48" customHeight="1" thickBot="1">
      <c r="A81" s="1788" t="s">
        <v>604</v>
      </c>
      <c r="B81" s="1789"/>
      <c r="C81" s="1703" t="s">
        <v>600</v>
      </c>
      <c r="D81" s="1704"/>
      <c r="E81" s="293" t="s">
        <v>605</v>
      </c>
      <c r="F81" s="293" t="s">
        <v>606</v>
      </c>
      <c r="G81" s="293" t="s">
        <v>607</v>
      </c>
      <c r="H81" s="300">
        <v>8.5</v>
      </c>
      <c r="I81" s="295" t="s">
        <v>331</v>
      </c>
      <c r="J81" s="296"/>
      <c r="K81" s="297">
        <f t="shared" si="1"/>
        <v>0</v>
      </c>
      <c r="L81" s="784" t="s">
        <v>1147</v>
      </c>
      <c r="M81" s="791"/>
      <c r="N81" s="1044"/>
      <c r="O81" s="791"/>
      <c r="P81" s="1151"/>
      <c r="Q81" s="791"/>
      <c r="R81" s="301"/>
      <c r="S81" s="301"/>
      <c r="T81" s="301"/>
      <c r="U81" s="301"/>
      <c r="V81" s="301"/>
      <c r="W81" s="301"/>
      <c r="X81" s="301"/>
      <c r="Y81" s="301"/>
      <c r="Z81" s="301"/>
      <c r="AA81" s="301"/>
      <c r="AB81" s="301"/>
      <c r="AC81" s="301"/>
      <c r="AD81" s="301"/>
      <c r="AE81" s="301"/>
      <c r="AF81" s="301"/>
      <c r="AG81" s="301"/>
      <c r="AH81" s="301"/>
      <c r="AI81" s="301"/>
      <c r="AJ81" s="301"/>
      <c r="AK81" s="301"/>
      <c r="AL81" s="301"/>
      <c r="AM81" s="301"/>
    </row>
    <row r="82" spans="1:39" s="35" customFormat="1" ht="48" customHeight="1">
      <c r="A82" s="1699" t="s">
        <v>608</v>
      </c>
      <c r="B82" s="1235"/>
      <c r="C82" s="1667" t="s">
        <v>609</v>
      </c>
      <c r="D82" s="1668"/>
      <c r="E82" s="77" t="s">
        <v>610</v>
      </c>
      <c r="F82" s="77" t="s">
        <v>611</v>
      </c>
      <c r="G82" s="77" t="s">
        <v>612</v>
      </c>
      <c r="H82" s="254">
        <v>4</v>
      </c>
      <c r="I82" s="78" t="s">
        <v>331</v>
      </c>
      <c r="J82" s="79"/>
      <c r="K82" s="80">
        <f t="shared" si="1"/>
        <v>0</v>
      </c>
      <c r="L82" s="784" t="s">
        <v>1147</v>
      </c>
      <c r="M82" s="791"/>
      <c r="N82" s="1044"/>
      <c r="O82" s="791"/>
      <c r="P82" s="1151"/>
      <c r="Q82" s="791"/>
      <c r="R82" s="301"/>
      <c r="S82" s="301"/>
      <c r="T82" s="301"/>
      <c r="U82" s="301"/>
      <c r="V82" s="301"/>
      <c r="W82" s="301"/>
      <c r="X82" s="301"/>
      <c r="Y82" s="301"/>
      <c r="Z82" s="301"/>
      <c r="AA82" s="301"/>
      <c r="AB82" s="301"/>
      <c r="AC82" s="301"/>
      <c r="AD82" s="301"/>
      <c r="AE82" s="301"/>
      <c r="AF82" s="301"/>
      <c r="AG82" s="301"/>
      <c r="AH82" s="301"/>
      <c r="AI82" s="301"/>
      <c r="AJ82" s="301"/>
      <c r="AK82" s="301"/>
      <c r="AL82" s="301"/>
      <c r="AM82" s="301"/>
    </row>
    <row r="83" spans="1:39" s="35" customFormat="1" ht="48" customHeight="1" thickBot="1">
      <c r="A83" s="1700"/>
      <c r="B83" s="1237"/>
      <c r="C83" s="1676"/>
      <c r="D83" s="1677"/>
      <c r="E83" s="81" t="s">
        <v>117</v>
      </c>
      <c r="F83" s="298"/>
      <c r="G83" s="298"/>
      <c r="H83" s="253">
        <v>3</v>
      </c>
      <c r="I83" s="82" t="s">
        <v>644</v>
      </c>
      <c r="J83" s="83"/>
      <c r="K83" s="84">
        <f t="shared" si="1"/>
        <v>0</v>
      </c>
      <c r="L83" s="784" t="s">
        <v>1147</v>
      </c>
      <c r="M83" s="791"/>
      <c r="N83" s="1044"/>
      <c r="O83" s="791"/>
      <c r="P83" s="1151"/>
      <c r="Q83" s="791"/>
      <c r="R83" s="301"/>
      <c r="S83" s="301"/>
      <c r="T83" s="301"/>
      <c r="U83" s="301"/>
      <c r="V83" s="301"/>
      <c r="W83" s="301"/>
      <c r="X83" s="301"/>
      <c r="Y83" s="301"/>
      <c r="Z83" s="301"/>
      <c r="AA83" s="301"/>
      <c r="AB83" s="301"/>
      <c r="AC83" s="301"/>
      <c r="AD83" s="301"/>
      <c r="AE83" s="301"/>
      <c r="AF83" s="301"/>
      <c r="AG83" s="301"/>
      <c r="AH83" s="301"/>
      <c r="AI83" s="301"/>
      <c r="AJ83" s="301"/>
      <c r="AK83" s="301"/>
      <c r="AL83" s="301"/>
      <c r="AM83" s="301"/>
    </row>
    <row r="84" spans="1:39" s="35" customFormat="1" ht="33" customHeight="1">
      <c r="A84" s="1778" t="s">
        <v>497</v>
      </c>
      <c r="B84" s="1779"/>
      <c r="C84" s="1734" t="s">
        <v>498</v>
      </c>
      <c r="D84" s="1735"/>
      <c r="E84" s="77" t="s">
        <v>499</v>
      </c>
      <c r="F84" s="77" t="s">
        <v>500</v>
      </c>
      <c r="G84" s="77" t="s">
        <v>501</v>
      </c>
      <c r="H84" s="418">
        <v>11</v>
      </c>
      <c r="I84" s="78" t="s">
        <v>331</v>
      </c>
      <c r="J84" s="79"/>
      <c r="K84" s="80">
        <f t="shared" si="1"/>
        <v>0</v>
      </c>
      <c r="L84" s="474" t="s">
        <v>1146</v>
      </c>
      <c r="M84" s="791"/>
      <c r="N84" s="1044"/>
      <c r="O84" s="791"/>
      <c r="P84" s="1151"/>
      <c r="Q84" s="791"/>
      <c r="R84" s="301"/>
      <c r="S84" s="301"/>
      <c r="T84" s="301"/>
      <c r="U84" s="301"/>
      <c r="V84" s="301"/>
      <c r="W84" s="301"/>
      <c r="X84" s="301"/>
      <c r="Y84" s="301"/>
      <c r="Z84" s="301"/>
      <c r="AA84" s="301"/>
      <c r="AB84" s="301"/>
      <c r="AC84" s="301"/>
      <c r="AD84" s="301"/>
      <c r="AE84" s="301"/>
      <c r="AF84" s="301"/>
      <c r="AG84" s="301"/>
      <c r="AH84" s="301"/>
      <c r="AI84" s="301"/>
      <c r="AJ84" s="301"/>
      <c r="AK84" s="301"/>
      <c r="AL84" s="301"/>
      <c r="AM84" s="301"/>
    </row>
    <row r="85" spans="1:39" s="35" customFormat="1" ht="38.25" customHeight="1">
      <c r="A85" s="1724" t="s">
        <v>502</v>
      </c>
      <c r="B85" s="1725"/>
      <c r="C85" s="1705" t="s">
        <v>503</v>
      </c>
      <c r="D85" s="1706"/>
      <c r="E85" s="136" t="s">
        <v>487</v>
      </c>
      <c r="F85" s="136" t="s">
        <v>504</v>
      </c>
      <c r="G85" s="136" t="s">
        <v>465</v>
      </c>
      <c r="H85" s="419">
        <v>0.72</v>
      </c>
      <c r="I85" s="123" t="s">
        <v>331</v>
      </c>
      <c r="J85" s="138">
        <v>76</v>
      </c>
      <c r="K85" s="139">
        <f t="shared" si="1"/>
        <v>54.72</v>
      </c>
      <c r="L85" s="474" t="s">
        <v>1146</v>
      </c>
      <c r="M85" s="791"/>
      <c r="N85" s="1044"/>
      <c r="O85" s="791"/>
      <c r="P85" s="1151"/>
      <c r="Q85" s="791"/>
      <c r="R85" s="301"/>
      <c r="S85" s="301"/>
      <c r="T85" s="301"/>
      <c r="U85" s="301"/>
      <c r="V85" s="301"/>
      <c r="W85" s="301"/>
      <c r="X85" s="301"/>
      <c r="Y85" s="301"/>
      <c r="Z85" s="301"/>
      <c r="AA85" s="301"/>
      <c r="AB85" s="301"/>
      <c r="AC85" s="301"/>
      <c r="AD85" s="301"/>
      <c r="AE85" s="301"/>
      <c r="AF85" s="301"/>
      <c r="AG85" s="301"/>
      <c r="AH85" s="301"/>
      <c r="AI85" s="301"/>
      <c r="AJ85" s="301"/>
      <c r="AK85" s="301"/>
      <c r="AL85" s="301"/>
      <c r="AM85" s="301"/>
    </row>
    <row r="86" spans="1:39" s="35" customFormat="1" ht="38.25" customHeight="1">
      <c r="A86" s="1662" t="s">
        <v>709</v>
      </c>
      <c r="B86" s="1370"/>
      <c r="C86" s="1705" t="s">
        <v>668</v>
      </c>
      <c r="D86" s="1706"/>
      <c r="E86" s="785" t="s">
        <v>1025</v>
      </c>
      <c r="F86" s="463" t="s">
        <v>707</v>
      </c>
      <c r="G86" s="463" t="s">
        <v>708</v>
      </c>
      <c r="H86" s="420">
        <v>81.599999999999994</v>
      </c>
      <c r="I86" s="123" t="s">
        <v>705</v>
      </c>
      <c r="J86" s="138"/>
      <c r="K86" s="139">
        <f t="shared" si="1"/>
        <v>0</v>
      </c>
      <c r="L86" s="784" t="s">
        <v>1147</v>
      </c>
      <c r="M86" s="791"/>
      <c r="N86" s="1044"/>
      <c r="O86" s="791"/>
      <c r="P86" s="1151"/>
      <c r="Q86" s="791"/>
      <c r="R86" s="301"/>
      <c r="S86" s="301"/>
      <c r="T86" s="301"/>
      <c r="U86" s="301"/>
      <c r="V86" s="301"/>
      <c r="W86" s="301"/>
      <c r="X86" s="301"/>
      <c r="Y86" s="301"/>
      <c r="Z86" s="301"/>
      <c r="AA86" s="301"/>
      <c r="AB86" s="301"/>
      <c r="AC86" s="301"/>
      <c r="AD86" s="301"/>
      <c r="AE86" s="301"/>
      <c r="AF86" s="301"/>
      <c r="AG86" s="301"/>
      <c r="AH86" s="301"/>
      <c r="AI86" s="301"/>
      <c r="AJ86" s="301"/>
      <c r="AK86" s="301"/>
      <c r="AL86" s="301"/>
      <c r="AM86" s="301"/>
    </row>
    <row r="87" spans="1:39" s="35" customFormat="1" ht="38.25" customHeight="1">
      <c r="A87" s="1246"/>
      <c r="B87" s="1663"/>
      <c r="C87" s="1705" t="s">
        <v>1026</v>
      </c>
      <c r="D87" s="1706"/>
      <c r="E87" s="785" t="s">
        <v>1025</v>
      </c>
      <c r="F87" s="463" t="s">
        <v>504</v>
      </c>
      <c r="G87" s="463" t="s">
        <v>1029</v>
      </c>
      <c r="H87" s="257">
        <v>50</v>
      </c>
      <c r="I87" s="123" t="s">
        <v>331</v>
      </c>
      <c r="J87" s="138"/>
      <c r="K87" s="139">
        <f t="shared" si="1"/>
        <v>0</v>
      </c>
      <c r="L87" s="784" t="s">
        <v>1147</v>
      </c>
      <c r="M87" s="791"/>
      <c r="N87" s="1044"/>
      <c r="O87" s="791"/>
      <c r="P87" s="1151"/>
      <c r="Q87" s="791"/>
      <c r="R87" s="301"/>
      <c r="S87" s="301"/>
      <c r="T87" s="301"/>
      <c r="U87" s="301"/>
      <c r="V87" s="301"/>
      <c r="W87" s="301"/>
      <c r="X87" s="301"/>
      <c r="Y87" s="301"/>
      <c r="Z87" s="301"/>
      <c r="AA87" s="301"/>
      <c r="AB87" s="301"/>
      <c r="AC87" s="301"/>
      <c r="AD87" s="301"/>
      <c r="AE87" s="301"/>
      <c r="AF87" s="301"/>
      <c r="AG87" s="301"/>
      <c r="AH87" s="301"/>
      <c r="AI87" s="301"/>
      <c r="AJ87" s="301"/>
      <c r="AK87" s="301"/>
      <c r="AL87" s="301"/>
      <c r="AM87" s="301"/>
    </row>
    <row r="88" spans="1:39" s="35" customFormat="1" ht="38.25" customHeight="1">
      <c r="A88" s="1664"/>
      <c r="B88" s="1371"/>
      <c r="C88" s="1705" t="s">
        <v>1027</v>
      </c>
      <c r="D88" s="1706"/>
      <c r="E88" s="785" t="s">
        <v>1025</v>
      </c>
      <c r="F88" s="464" t="s">
        <v>504</v>
      </c>
      <c r="G88" s="463" t="s">
        <v>706</v>
      </c>
      <c r="H88" s="257">
        <v>25</v>
      </c>
      <c r="I88" s="123" t="s">
        <v>331</v>
      </c>
      <c r="J88" s="138"/>
      <c r="K88" s="139">
        <f t="shared" si="1"/>
        <v>0</v>
      </c>
      <c r="L88" s="784" t="s">
        <v>1147</v>
      </c>
      <c r="M88" s="791"/>
      <c r="N88" s="1044"/>
      <c r="O88" s="791"/>
      <c r="P88" s="1151"/>
      <c r="Q88" s="791"/>
      <c r="R88" s="301"/>
      <c r="S88" s="301"/>
      <c r="T88" s="301"/>
      <c r="U88" s="301"/>
      <c r="V88" s="301"/>
      <c r="W88" s="301"/>
      <c r="X88" s="301"/>
      <c r="Y88" s="301"/>
      <c r="Z88" s="301"/>
      <c r="AA88" s="301"/>
      <c r="AB88" s="301"/>
      <c r="AC88" s="301"/>
      <c r="AD88" s="301"/>
      <c r="AE88" s="301"/>
      <c r="AF88" s="301"/>
      <c r="AG88" s="301"/>
      <c r="AH88" s="301"/>
      <c r="AI88" s="301"/>
      <c r="AJ88" s="301"/>
      <c r="AK88" s="301"/>
      <c r="AL88" s="301"/>
      <c r="AM88" s="301"/>
    </row>
    <row r="89" spans="1:39" s="35" customFormat="1" ht="38.25" customHeight="1" thickBot="1">
      <c r="A89" s="1726" t="s">
        <v>710</v>
      </c>
      <c r="B89" s="1727"/>
      <c r="C89" s="1495" t="s">
        <v>1028</v>
      </c>
      <c r="D89" s="1706"/>
      <c r="E89" s="464" t="s">
        <v>246</v>
      </c>
      <c r="F89" s="464" t="s">
        <v>504</v>
      </c>
      <c r="G89" s="463" t="s">
        <v>706</v>
      </c>
      <c r="H89" s="257">
        <v>20.75</v>
      </c>
      <c r="I89" s="123" t="s">
        <v>331</v>
      </c>
      <c r="J89" s="138"/>
      <c r="K89" s="139">
        <f t="shared" si="1"/>
        <v>0</v>
      </c>
      <c r="L89" s="784" t="s">
        <v>1147</v>
      </c>
      <c r="M89" s="791"/>
      <c r="N89" s="1044"/>
      <c r="O89" s="791"/>
      <c r="P89" s="1151"/>
      <c r="Q89" s="791"/>
      <c r="R89" s="301"/>
      <c r="S89" s="301"/>
      <c r="T89" s="301"/>
      <c r="U89" s="301"/>
      <c r="V89" s="301"/>
      <c r="W89" s="301"/>
      <c r="X89" s="301"/>
      <c r="Y89" s="301"/>
      <c r="Z89" s="301"/>
      <c r="AA89" s="301"/>
      <c r="AB89" s="301"/>
      <c r="AC89" s="301"/>
      <c r="AD89" s="301"/>
      <c r="AE89" s="301"/>
      <c r="AF89" s="301"/>
      <c r="AG89" s="301"/>
      <c r="AH89" s="301"/>
      <c r="AI89" s="301"/>
      <c r="AJ89" s="301"/>
      <c r="AK89" s="301"/>
      <c r="AL89" s="301"/>
      <c r="AM89" s="301"/>
    </row>
    <row r="90" spans="1:39" s="35" customFormat="1" ht="25.5" customHeight="1">
      <c r="A90" s="1736" t="s">
        <v>1119</v>
      </c>
      <c r="B90" s="1737"/>
      <c r="C90" s="1682" t="s">
        <v>1177</v>
      </c>
      <c r="D90" s="1683"/>
      <c r="E90" s="852" t="s">
        <v>512</v>
      </c>
      <c r="F90" s="852" t="s">
        <v>513</v>
      </c>
      <c r="G90" s="852" t="s">
        <v>511</v>
      </c>
      <c r="H90" s="259">
        <v>2.8</v>
      </c>
      <c r="I90" s="78" t="s">
        <v>331</v>
      </c>
      <c r="J90" s="79"/>
      <c r="K90" s="80">
        <f t="shared" si="1"/>
        <v>0</v>
      </c>
      <c r="L90" s="781"/>
      <c r="M90" s="791"/>
      <c r="N90" s="1044"/>
      <c r="O90" s="791"/>
      <c r="P90" s="1151"/>
      <c r="Q90" s="791"/>
      <c r="R90" s="301"/>
      <c r="S90" s="301"/>
      <c r="T90" s="301"/>
      <c r="U90" s="301"/>
      <c r="V90" s="301"/>
      <c r="W90" s="301"/>
      <c r="X90" s="301"/>
      <c r="Y90" s="301"/>
      <c r="Z90" s="301"/>
      <c r="AA90" s="301"/>
      <c r="AB90" s="301"/>
      <c r="AC90" s="301"/>
      <c r="AD90" s="301"/>
      <c r="AE90" s="301"/>
      <c r="AF90" s="301"/>
      <c r="AG90" s="301"/>
      <c r="AH90" s="301"/>
      <c r="AI90" s="301"/>
      <c r="AJ90" s="301"/>
      <c r="AK90" s="301"/>
      <c r="AL90" s="301"/>
      <c r="AM90" s="301"/>
    </row>
    <row r="91" spans="1:39" s="35" customFormat="1" ht="79.95" customHeight="1">
      <c r="A91" s="1524"/>
      <c r="B91" s="1505"/>
      <c r="C91" s="1516" t="s">
        <v>51</v>
      </c>
      <c r="D91" s="1517"/>
      <c r="E91" s="1079" t="s">
        <v>1037</v>
      </c>
      <c r="F91" s="1038" t="s">
        <v>1120</v>
      </c>
      <c r="G91" s="10" t="s">
        <v>1357</v>
      </c>
      <c r="H91" s="291">
        <f>180.93/100*60</f>
        <v>108.55800000000001</v>
      </c>
      <c r="I91" s="292" t="s">
        <v>331</v>
      </c>
      <c r="J91" s="358"/>
      <c r="K91" s="305">
        <f t="shared" si="1"/>
        <v>0</v>
      </c>
      <c r="L91" s="781" t="s">
        <v>1146</v>
      </c>
      <c r="M91" s="791"/>
      <c r="N91" s="1044"/>
      <c r="O91" s="791"/>
      <c r="P91" s="1151"/>
      <c r="Q91" s="791"/>
      <c r="R91" s="301"/>
      <c r="S91" s="301"/>
      <c r="T91" s="301"/>
      <c r="U91" s="301"/>
      <c r="V91" s="301"/>
      <c r="W91" s="301"/>
      <c r="X91" s="301"/>
      <c r="Y91" s="301"/>
      <c r="Z91" s="301"/>
      <c r="AA91" s="301"/>
      <c r="AB91" s="301"/>
      <c r="AC91" s="301"/>
      <c r="AD91" s="301"/>
      <c r="AE91" s="301"/>
      <c r="AF91" s="301"/>
      <c r="AG91" s="301"/>
      <c r="AH91" s="301"/>
      <c r="AI91" s="301"/>
      <c r="AJ91" s="301"/>
      <c r="AK91" s="301"/>
      <c r="AL91" s="301"/>
      <c r="AM91" s="301"/>
    </row>
    <row r="92" spans="1:39" s="35" customFormat="1" ht="37.950000000000003" customHeight="1" thickBot="1">
      <c r="A92" s="1563"/>
      <c r="B92" s="1564"/>
      <c r="C92" s="1738"/>
      <c r="D92" s="1739"/>
      <c r="E92" s="853" t="s">
        <v>1358</v>
      </c>
      <c r="F92" s="853"/>
      <c r="G92" s="853"/>
      <c r="H92" s="854">
        <v>29.64</v>
      </c>
      <c r="I92" s="827" t="s">
        <v>331</v>
      </c>
      <c r="J92" s="828"/>
      <c r="K92" s="829">
        <f t="shared" si="1"/>
        <v>0</v>
      </c>
      <c r="L92" s="826"/>
      <c r="M92" s="791"/>
      <c r="N92" s="1044"/>
      <c r="O92" s="791"/>
      <c r="P92" s="1151"/>
      <c r="Q92" s="791"/>
      <c r="R92" s="301"/>
      <c r="S92" s="301"/>
      <c r="T92" s="301"/>
      <c r="U92" s="301"/>
      <c r="V92" s="301"/>
      <c r="W92" s="301"/>
      <c r="X92" s="301"/>
      <c r="Y92" s="301"/>
      <c r="Z92" s="301"/>
      <c r="AA92" s="301"/>
      <c r="AB92" s="301"/>
      <c r="AC92" s="301"/>
      <c r="AD92" s="301"/>
      <c r="AE92" s="301"/>
      <c r="AF92" s="301"/>
      <c r="AG92" s="301"/>
      <c r="AH92" s="301"/>
      <c r="AI92" s="301"/>
      <c r="AJ92" s="301"/>
      <c r="AK92" s="301"/>
      <c r="AL92" s="301"/>
      <c r="AM92" s="301"/>
    </row>
    <row r="93" spans="1:39" s="35" customFormat="1" ht="36.450000000000003" customHeight="1">
      <c r="A93" s="1249" t="s">
        <v>1326</v>
      </c>
      <c r="B93" s="1691"/>
      <c r="C93" s="1666" t="s">
        <v>1177</v>
      </c>
      <c r="D93" s="1235"/>
      <c r="E93" s="1040" t="s">
        <v>512</v>
      </c>
      <c r="F93" s="77" t="s">
        <v>513</v>
      </c>
      <c r="G93" s="77" t="s">
        <v>511</v>
      </c>
      <c r="H93" s="259">
        <v>2.8</v>
      </c>
      <c r="I93" s="78" t="s">
        <v>331</v>
      </c>
      <c r="J93" s="79"/>
      <c r="K93" s="80">
        <f>+J93*H93</f>
        <v>0</v>
      </c>
      <c r="L93" s="826"/>
      <c r="M93" s="791"/>
      <c r="N93" s="634"/>
      <c r="O93" s="301"/>
      <c r="P93" s="1151"/>
      <c r="Q93" s="791"/>
      <c r="R93" s="301"/>
      <c r="S93" s="301"/>
      <c r="T93" s="301"/>
      <c r="U93" s="301"/>
      <c r="V93" s="301"/>
      <c r="W93" s="301"/>
      <c r="X93" s="301"/>
      <c r="Y93" s="301"/>
      <c r="Z93" s="301"/>
      <c r="AA93" s="301"/>
      <c r="AB93" s="301"/>
      <c r="AC93" s="301"/>
      <c r="AD93" s="301"/>
      <c r="AE93" s="301"/>
      <c r="AF93" s="301"/>
      <c r="AG93" s="301"/>
      <c r="AH93" s="301"/>
      <c r="AI93" s="301"/>
      <c r="AJ93" s="301"/>
      <c r="AK93" s="301"/>
      <c r="AL93" s="301"/>
      <c r="AM93" s="301"/>
    </row>
    <row r="94" spans="1:39" s="35" customFormat="1" ht="228" customHeight="1">
      <c r="A94" s="1251"/>
      <c r="B94" s="1663"/>
      <c r="C94" s="1609" t="s">
        <v>1308</v>
      </c>
      <c r="D94" s="1698"/>
      <c r="E94" s="226" t="s">
        <v>675</v>
      </c>
      <c r="F94" s="226" t="s">
        <v>488</v>
      </c>
      <c r="G94" s="226" t="s">
        <v>465</v>
      </c>
      <c r="H94" s="256">
        <v>1.8</v>
      </c>
      <c r="I94" s="227" t="s">
        <v>331</v>
      </c>
      <c r="J94" s="228">
        <v>76</v>
      </c>
      <c r="K94" s="229">
        <f t="shared" si="1"/>
        <v>136.80000000000001</v>
      </c>
      <c r="L94" s="474" t="s">
        <v>1151</v>
      </c>
      <c r="M94" s="791"/>
      <c r="N94" s="1044"/>
      <c r="O94" s="1126"/>
      <c r="P94" s="1127"/>
      <c r="Q94" s="1126"/>
      <c r="R94" s="1127"/>
      <c r="S94" s="301"/>
      <c r="T94" s="301"/>
      <c r="U94" s="301"/>
      <c r="V94" s="301"/>
      <c r="W94" s="301"/>
      <c r="X94" s="301"/>
      <c r="Y94" s="301"/>
      <c r="Z94" s="301"/>
      <c r="AA94" s="301"/>
      <c r="AB94" s="301"/>
      <c r="AC94" s="301"/>
      <c r="AD94" s="301"/>
      <c r="AE94" s="301"/>
      <c r="AF94" s="301"/>
      <c r="AG94" s="301"/>
      <c r="AH94" s="301"/>
      <c r="AI94" s="301"/>
      <c r="AJ94" s="301"/>
      <c r="AK94" s="301"/>
      <c r="AL94" s="301"/>
      <c r="AM94" s="301"/>
    </row>
    <row r="95" spans="1:39" s="35" customFormat="1" ht="25.5" hidden="1" customHeight="1">
      <c r="A95" s="1251"/>
      <c r="B95" s="1663"/>
      <c r="C95" s="1701" t="s">
        <v>1312</v>
      </c>
      <c r="D95" s="1702"/>
      <c r="E95" s="928" t="s">
        <v>487</v>
      </c>
      <c r="F95" s="928" t="s">
        <v>488</v>
      </c>
      <c r="G95" s="928" t="s">
        <v>465</v>
      </c>
      <c r="H95" s="929">
        <v>4</v>
      </c>
      <c r="I95" s="930" t="s">
        <v>331</v>
      </c>
      <c r="J95" s="931"/>
      <c r="K95" s="932">
        <f t="shared" si="1"/>
        <v>0</v>
      </c>
      <c r="L95" s="922" t="s">
        <v>1146</v>
      </c>
      <c r="M95" s="791"/>
      <c r="N95" s="1044"/>
      <c r="O95" s="791"/>
      <c r="P95" s="1151"/>
      <c r="Q95" s="791"/>
      <c r="R95" s="301"/>
      <c r="S95" s="301"/>
      <c r="T95" s="301"/>
      <c r="U95" s="301"/>
      <c r="V95" s="301"/>
      <c r="W95" s="301"/>
      <c r="X95" s="301"/>
      <c r="Y95" s="301"/>
      <c r="Z95" s="301"/>
      <c r="AA95" s="301"/>
      <c r="AB95" s="301"/>
      <c r="AC95" s="301"/>
      <c r="AD95" s="301"/>
      <c r="AE95" s="301"/>
      <c r="AF95" s="301"/>
      <c r="AG95" s="301"/>
      <c r="AH95" s="301"/>
      <c r="AI95" s="301"/>
      <c r="AJ95" s="301"/>
      <c r="AK95" s="301"/>
      <c r="AL95" s="301"/>
      <c r="AM95" s="301"/>
    </row>
    <row r="96" spans="1:39" s="35" customFormat="1" ht="239.7" customHeight="1">
      <c r="A96" s="1251"/>
      <c r="B96" s="1663"/>
      <c r="C96" s="1376" t="s">
        <v>1309</v>
      </c>
      <c r="D96" s="1665"/>
      <c r="E96" s="463" t="s">
        <v>1072</v>
      </c>
      <c r="F96" s="136" t="s">
        <v>505</v>
      </c>
      <c r="G96" s="136" t="s">
        <v>506</v>
      </c>
      <c r="H96" s="257">
        <v>1.655</v>
      </c>
      <c r="I96" s="123" t="s">
        <v>331</v>
      </c>
      <c r="J96" s="138">
        <v>96</v>
      </c>
      <c r="K96" s="139">
        <f t="shared" si="1"/>
        <v>158.88</v>
      </c>
      <c r="L96" s="782" t="s">
        <v>1151</v>
      </c>
      <c r="M96" s="791"/>
      <c r="N96" s="1044"/>
      <c r="O96" s="1126"/>
      <c r="P96" s="1127"/>
      <c r="Q96" s="791"/>
      <c r="R96" s="301"/>
      <c r="S96" s="301"/>
      <c r="T96" s="301"/>
      <c r="U96" s="301"/>
      <c r="V96" s="301"/>
      <c r="W96" s="301"/>
      <c r="X96" s="301"/>
      <c r="Y96" s="301"/>
      <c r="Z96" s="301"/>
      <c r="AA96" s="301"/>
      <c r="AB96" s="301"/>
      <c r="AC96" s="301"/>
      <c r="AD96" s="301"/>
      <c r="AE96" s="301"/>
      <c r="AF96" s="301"/>
      <c r="AG96" s="301"/>
      <c r="AH96" s="301"/>
      <c r="AI96" s="301"/>
      <c r="AJ96" s="301"/>
      <c r="AK96" s="301"/>
      <c r="AL96" s="301"/>
      <c r="AM96" s="301"/>
    </row>
    <row r="97" spans="1:39" s="35" customFormat="1" ht="40.5" customHeight="1">
      <c r="A97" s="1251"/>
      <c r="B97" s="1663"/>
      <c r="C97" s="1655" t="s">
        <v>1177</v>
      </c>
      <c r="D97" s="1660"/>
      <c r="E97" s="136" t="s">
        <v>512</v>
      </c>
      <c r="F97" s="136" t="s">
        <v>513</v>
      </c>
      <c r="G97" s="136" t="s">
        <v>511</v>
      </c>
      <c r="H97" s="257">
        <v>2.8</v>
      </c>
      <c r="I97" s="123" t="s">
        <v>331</v>
      </c>
      <c r="J97" s="138">
        <v>1</v>
      </c>
      <c r="K97" s="139">
        <f>+J97*H97</f>
        <v>2.8</v>
      </c>
      <c r="L97" s="592"/>
      <c r="M97" s="791"/>
      <c r="N97" s="1153"/>
      <c r="O97" s="301"/>
      <c r="P97" s="1151"/>
      <c r="Q97" s="791"/>
      <c r="R97" s="301"/>
      <c r="S97" s="301"/>
      <c r="T97" s="301"/>
      <c r="U97" s="301"/>
      <c r="V97" s="301"/>
      <c r="W97" s="301"/>
      <c r="X97" s="301"/>
      <c r="Y97" s="301"/>
      <c r="Z97" s="301"/>
      <c r="AA97" s="301"/>
      <c r="AB97" s="301"/>
      <c r="AC97" s="301"/>
      <c r="AD97" s="301"/>
      <c r="AE97" s="301"/>
      <c r="AF97" s="301"/>
      <c r="AG97" s="301"/>
      <c r="AH97" s="301"/>
      <c r="AI97" s="301"/>
      <c r="AJ97" s="301"/>
      <c r="AK97" s="301"/>
      <c r="AL97" s="301"/>
      <c r="AM97" s="301"/>
    </row>
    <row r="98" spans="1:39" s="35" customFormat="1" ht="45" customHeight="1">
      <c r="A98" s="1251"/>
      <c r="B98" s="1663"/>
      <c r="C98" s="1665" t="s">
        <v>576</v>
      </c>
      <c r="D98" s="1665"/>
      <c r="E98" s="136" t="s">
        <v>499</v>
      </c>
      <c r="F98" s="136" t="s">
        <v>500</v>
      </c>
      <c r="G98" s="136" t="s">
        <v>511</v>
      </c>
      <c r="H98" s="262">
        <v>6.9160000000000004</v>
      </c>
      <c r="I98" s="123" t="s">
        <v>331</v>
      </c>
      <c r="J98" s="138">
        <v>1</v>
      </c>
      <c r="K98" s="139">
        <f>+J98*H98</f>
        <v>6.9160000000000004</v>
      </c>
      <c r="L98" s="592"/>
      <c r="M98" s="791"/>
      <c r="N98" s="1153"/>
      <c r="O98" s="301"/>
      <c r="P98" s="1151"/>
      <c r="Q98" s="791"/>
      <c r="R98" s="301"/>
      <c r="S98" s="301"/>
      <c r="T98" s="301"/>
      <c r="U98" s="301"/>
      <c r="V98" s="301"/>
      <c r="W98" s="301"/>
      <c r="X98" s="301"/>
      <c r="Y98" s="301"/>
      <c r="Z98" s="301"/>
      <c r="AA98" s="301"/>
      <c r="AB98" s="301"/>
      <c r="AC98" s="301"/>
      <c r="AD98" s="301"/>
      <c r="AE98" s="301"/>
      <c r="AF98" s="301"/>
      <c r="AG98" s="301"/>
      <c r="AH98" s="301"/>
      <c r="AI98" s="301"/>
      <c r="AJ98" s="301"/>
      <c r="AK98" s="301"/>
      <c r="AL98" s="301"/>
      <c r="AM98" s="301"/>
    </row>
    <row r="99" spans="1:39" s="35" customFormat="1" ht="45" customHeight="1">
      <c r="A99" s="1251"/>
      <c r="B99" s="1663"/>
      <c r="C99" s="1660" t="s">
        <v>38</v>
      </c>
      <c r="D99" s="1660"/>
      <c r="E99" s="136" t="s">
        <v>514</v>
      </c>
      <c r="F99" s="136" t="s">
        <v>515</v>
      </c>
      <c r="G99" s="136" t="s">
        <v>516</v>
      </c>
      <c r="H99" s="257">
        <v>2.65</v>
      </c>
      <c r="I99" s="123" t="s">
        <v>331</v>
      </c>
      <c r="J99" s="138"/>
      <c r="K99" s="139">
        <f>+J99*H99</f>
        <v>0</v>
      </c>
      <c r="L99" s="592"/>
      <c r="M99" s="791"/>
      <c r="N99" s="1153"/>
      <c r="O99" s="301"/>
      <c r="P99" s="1151"/>
      <c r="Q99" s="791"/>
      <c r="R99" s="301"/>
      <c r="S99" s="301"/>
      <c r="T99" s="301"/>
      <c r="U99" s="301"/>
      <c r="V99" s="301"/>
      <c r="W99" s="301"/>
      <c r="X99" s="301"/>
      <c r="Y99" s="301"/>
      <c r="Z99" s="301"/>
      <c r="AA99" s="301"/>
      <c r="AB99" s="301"/>
      <c r="AC99" s="301"/>
      <c r="AD99" s="301"/>
      <c r="AE99" s="301"/>
      <c r="AF99" s="301"/>
      <c r="AG99" s="301"/>
      <c r="AH99" s="301"/>
      <c r="AI99" s="301"/>
      <c r="AJ99" s="301"/>
      <c r="AK99" s="301"/>
      <c r="AL99" s="301"/>
      <c r="AM99" s="301"/>
    </row>
    <row r="100" spans="1:39" s="35" customFormat="1" ht="45" customHeight="1">
      <c r="A100" s="1251"/>
      <c r="B100" s="1663"/>
      <c r="C100" s="1312" t="s">
        <v>827</v>
      </c>
      <c r="D100" s="1531"/>
      <c r="E100" s="471" t="s">
        <v>828</v>
      </c>
      <c r="F100" s="471" t="s">
        <v>506</v>
      </c>
      <c r="G100" s="471" t="s">
        <v>842</v>
      </c>
      <c r="H100" s="257">
        <v>3.3571</v>
      </c>
      <c r="I100" s="123" t="s">
        <v>331</v>
      </c>
      <c r="J100" s="138"/>
      <c r="K100" s="139">
        <f>+J100*H100</f>
        <v>0</v>
      </c>
      <c r="L100" s="592"/>
      <c r="M100" s="791"/>
      <c r="N100" s="1153"/>
      <c r="O100" s="301"/>
      <c r="P100" s="1151"/>
      <c r="Q100" s="79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row>
    <row r="101" spans="1:39" s="35" customFormat="1" ht="55.2" customHeight="1" thickBot="1">
      <c r="A101" s="1253"/>
      <c r="B101" s="1692"/>
      <c r="C101" s="1237" t="s">
        <v>694</v>
      </c>
      <c r="D101" s="1237"/>
      <c r="E101" s="81" t="s">
        <v>525</v>
      </c>
      <c r="F101" s="81" t="s">
        <v>329</v>
      </c>
      <c r="G101" s="81" t="s">
        <v>431</v>
      </c>
      <c r="H101" s="260">
        <v>5</v>
      </c>
      <c r="I101" s="146" t="s">
        <v>331</v>
      </c>
      <c r="J101" s="83"/>
      <c r="K101" s="84">
        <f>+J101*H101</f>
        <v>0</v>
      </c>
      <c r="L101" s="592"/>
      <c r="M101" s="791"/>
      <c r="N101" s="1153"/>
      <c r="O101" s="301"/>
      <c r="P101" s="1151"/>
      <c r="Q101" s="79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row>
    <row r="102" spans="1:39" s="35" customFormat="1" ht="39.450000000000003" customHeight="1">
      <c r="A102" s="1246" t="s">
        <v>1327</v>
      </c>
      <c r="B102" s="1663"/>
      <c r="C102" s="1688" t="s">
        <v>1310</v>
      </c>
      <c r="D102" s="1697"/>
      <c r="E102" s="471" t="s">
        <v>1317</v>
      </c>
      <c r="F102" s="471" t="s">
        <v>504</v>
      </c>
      <c r="G102" s="471" t="s">
        <v>1318</v>
      </c>
      <c r="H102" s="927">
        <v>6</v>
      </c>
      <c r="I102" s="227" t="s">
        <v>331</v>
      </c>
      <c r="J102" s="228">
        <v>1</v>
      </c>
      <c r="K102" s="229">
        <f t="shared" si="1"/>
        <v>6</v>
      </c>
      <c r="L102" s="592"/>
      <c r="M102" s="791"/>
      <c r="N102" s="1044"/>
      <c r="O102" s="791"/>
      <c r="P102" s="1151"/>
      <c r="Q102" s="79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row>
    <row r="103" spans="1:39" s="35" customFormat="1" ht="24.45" customHeight="1">
      <c r="A103" s="1246"/>
      <c r="B103" s="1663"/>
      <c r="C103" s="1671" t="s">
        <v>1314</v>
      </c>
      <c r="D103" s="1672"/>
      <c r="E103" s="463" t="s">
        <v>508</v>
      </c>
      <c r="F103" s="463" t="s">
        <v>1319</v>
      </c>
      <c r="G103" s="463" t="s">
        <v>1320</v>
      </c>
      <c r="H103" s="925">
        <v>6</v>
      </c>
      <c r="I103" s="123" t="s">
        <v>331</v>
      </c>
      <c r="J103" s="138">
        <v>1</v>
      </c>
      <c r="K103" s="139">
        <f t="shared" si="1"/>
        <v>6</v>
      </c>
      <c r="L103" s="772"/>
      <c r="M103" s="791"/>
      <c r="N103" s="1044"/>
      <c r="O103" s="791"/>
      <c r="P103" s="1151"/>
      <c r="Q103" s="79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row>
    <row r="104" spans="1:39" s="35" customFormat="1" ht="24.45" customHeight="1" thickBot="1">
      <c r="A104" s="1246"/>
      <c r="B104" s="1663"/>
      <c r="C104" s="1671" t="s">
        <v>1313</v>
      </c>
      <c r="D104" s="1672"/>
      <c r="E104" s="463"/>
      <c r="F104" s="463" t="s">
        <v>1321</v>
      </c>
      <c r="G104" s="463" t="s">
        <v>1322</v>
      </c>
      <c r="H104" s="257">
        <v>2.8</v>
      </c>
      <c r="I104" s="123" t="s">
        <v>331</v>
      </c>
      <c r="J104" s="138">
        <v>1</v>
      </c>
      <c r="K104" s="305">
        <f t="shared" si="1"/>
        <v>2.8</v>
      </c>
      <c r="L104" s="592"/>
      <c r="M104" s="791"/>
      <c r="N104" s="1044"/>
      <c r="O104" s="791"/>
      <c r="P104" s="1151"/>
      <c r="Q104" s="79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row>
    <row r="105" spans="1:39" s="35" customFormat="1" ht="24.45" customHeight="1" thickBot="1">
      <c r="A105" s="1246"/>
      <c r="B105" s="1663"/>
      <c r="C105" s="1732" t="s">
        <v>1448</v>
      </c>
      <c r="D105" s="1733"/>
      <c r="E105" s="967" t="s">
        <v>1413</v>
      </c>
      <c r="F105" s="967" t="s">
        <v>1414</v>
      </c>
      <c r="G105" s="967" t="s">
        <v>1415</v>
      </c>
      <c r="H105" s="925">
        <v>6</v>
      </c>
      <c r="I105" s="123" t="s">
        <v>331</v>
      </c>
      <c r="J105" s="138"/>
      <c r="K105" s="139">
        <f t="shared" si="1"/>
        <v>0</v>
      </c>
      <c r="L105" s="592"/>
      <c r="M105" s="791"/>
      <c r="N105" s="1044"/>
      <c r="O105" s="791"/>
      <c r="P105" s="1151"/>
      <c r="Q105" s="79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row>
    <row r="106" spans="1:39" s="35" customFormat="1" ht="82.95" customHeight="1">
      <c r="A106" s="1246"/>
      <c r="B106" s="1663"/>
      <c r="C106" s="1376" t="s">
        <v>1416</v>
      </c>
      <c r="D106" s="1665"/>
      <c r="E106" s="463" t="s">
        <v>1311</v>
      </c>
      <c r="F106" s="136" t="s">
        <v>488</v>
      </c>
      <c r="G106" s="136" t="s">
        <v>465</v>
      </c>
      <c r="H106" s="925">
        <v>3</v>
      </c>
      <c r="I106" s="123" t="s">
        <v>331</v>
      </c>
      <c r="J106" s="138">
        <v>12</v>
      </c>
      <c r="K106" s="305">
        <f t="shared" si="1"/>
        <v>36</v>
      </c>
      <c r="L106" s="780"/>
      <c r="M106" s="791"/>
      <c r="N106" s="1044"/>
      <c r="O106" s="1160"/>
      <c r="P106" s="1151"/>
      <c r="Q106" s="79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row>
    <row r="107" spans="1:39" s="35" customFormat="1" ht="24" customHeight="1">
      <c r="A107" s="1246"/>
      <c r="B107" s="1663"/>
      <c r="C107" s="1671" t="s">
        <v>1315</v>
      </c>
      <c r="D107" s="1672"/>
      <c r="E107" s="926" t="s">
        <v>508</v>
      </c>
      <c r="F107" s="926" t="s">
        <v>1323</v>
      </c>
      <c r="G107" s="926" t="s">
        <v>1324</v>
      </c>
      <c r="H107" s="925">
        <v>6</v>
      </c>
      <c r="I107" s="123" t="s">
        <v>331</v>
      </c>
      <c r="J107" s="138">
        <v>1</v>
      </c>
      <c r="K107" s="305">
        <f t="shared" si="1"/>
        <v>6</v>
      </c>
      <c r="L107" s="830"/>
      <c r="M107" s="791"/>
      <c r="N107" s="1044"/>
      <c r="O107" s="791"/>
      <c r="P107" s="1151"/>
      <c r="Q107" s="79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row>
    <row r="108" spans="1:39" s="35" customFormat="1" ht="26.4">
      <c r="A108" s="1246"/>
      <c r="B108" s="1663"/>
      <c r="C108" s="1665" t="s">
        <v>507</v>
      </c>
      <c r="D108" s="1665"/>
      <c r="E108" s="136" t="s">
        <v>508</v>
      </c>
      <c r="F108" s="136" t="s">
        <v>509</v>
      </c>
      <c r="G108" s="136" t="s">
        <v>510</v>
      </c>
      <c r="H108" s="257">
        <v>21.65</v>
      </c>
      <c r="I108" s="123" t="s">
        <v>331</v>
      </c>
      <c r="J108" s="138">
        <v>1</v>
      </c>
      <c r="K108" s="305">
        <f t="shared" si="1"/>
        <v>21.65</v>
      </c>
      <c r="L108" s="781" t="s">
        <v>1151</v>
      </c>
      <c r="M108" s="791"/>
      <c r="N108" s="1044"/>
      <c r="O108" s="791"/>
      <c r="P108" s="1151"/>
      <c r="Q108" s="79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row>
    <row r="109" spans="1:39" s="35" customFormat="1" ht="54" customHeight="1">
      <c r="A109" s="1246"/>
      <c r="B109" s="1663"/>
      <c r="C109" s="1680" t="s">
        <v>1369</v>
      </c>
      <c r="D109" s="1681"/>
      <c r="E109" s="471" t="s">
        <v>508</v>
      </c>
      <c r="F109" s="136" t="s">
        <v>1154</v>
      </c>
      <c r="G109" s="136" t="s">
        <v>1155</v>
      </c>
      <c r="H109" s="925">
        <v>16</v>
      </c>
      <c r="I109" s="123" t="s">
        <v>331</v>
      </c>
      <c r="J109" s="138">
        <v>1</v>
      </c>
      <c r="K109" s="139">
        <f t="shared" si="1"/>
        <v>16</v>
      </c>
      <c r="L109" s="781"/>
      <c r="M109" s="791"/>
      <c r="N109" s="1044"/>
      <c r="O109" s="791"/>
      <c r="P109" s="1151"/>
      <c r="Q109" s="79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row>
    <row r="110" spans="1:39" s="35" customFormat="1" ht="54" customHeight="1">
      <c r="A110" s="1246"/>
      <c r="B110" s="1663"/>
      <c r="C110" s="1671" t="s">
        <v>1440</v>
      </c>
      <c r="D110" s="1672"/>
      <c r="E110" s="597" t="s">
        <v>1441</v>
      </c>
      <c r="F110" s="597" t="s">
        <v>1442</v>
      </c>
      <c r="G110" s="597" t="s">
        <v>1443</v>
      </c>
      <c r="H110" s="977">
        <v>1</v>
      </c>
      <c r="I110" s="393" t="s">
        <v>331</v>
      </c>
      <c r="J110" s="313"/>
      <c r="K110" s="314">
        <f t="shared" si="1"/>
        <v>0</v>
      </c>
      <c r="L110" s="781"/>
      <c r="M110" s="791"/>
      <c r="N110" s="1044"/>
      <c r="O110" s="791"/>
      <c r="P110" s="1151"/>
      <c r="Q110" s="79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row>
    <row r="111" spans="1:39" s="35" customFormat="1" ht="49.5" customHeight="1" thickBot="1">
      <c r="A111" s="1247"/>
      <c r="B111" s="1692"/>
      <c r="C111" s="1673" t="s">
        <v>1316</v>
      </c>
      <c r="D111" s="1674"/>
      <c r="E111" s="923" t="s">
        <v>508</v>
      </c>
      <c r="F111" s="923" t="s">
        <v>504</v>
      </c>
      <c r="G111" s="923" t="s">
        <v>1325</v>
      </c>
      <c r="H111" s="924">
        <v>6</v>
      </c>
      <c r="I111" s="82" t="s">
        <v>331</v>
      </c>
      <c r="J111" s="83">
        <v>1</v>
      </c>
      <c r="K111" s="84">
        <f t="shared" si="1"/>
        <v>6</v>
      </c>
      <c r="L111" s="634"/>
      <c r="M111" s="791"/>
      <c r="N111" s="1044"/>
      <c r="O111" s="791"/>
      <c r="P111" s="1151"/>
      <c r="Q111" s="79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row>
    <row r="112" spans="1:39" s="35" customFormat="1" ht="94.2" customHeight="1">
      <c r="A112" s="1728" t="s">
        <v>1445</v>
      </c>
      <c r="B112" s="1729"/>
      <c r="C112" s="1678" t="s">
        <v>1446</v>
      </c>
      <c r="D112" s="1679"/>
      <c r="E112" s="984" t="s">
        <v>1447</v>
      </c>
      <c r="F112" s="985" t="s">
        <v>1451</v>
      </c>
      <c r="G112" s="985" t="s">
        <v>1452</v>
      </c>
      <c r="H112" s="986">
        <v>75</v>
      </c>
      <c r="I112" s="978" t="s">
        <v>331</v>
      </c>
      <c r="J112" s="979"/>
      <c r="K112" s="980">
        <f t="shared" si="1"/>
        <v>0</v>
      </c>
      <c r="L112" s="806"/>
      <c r="M112" s="791"/>
      <c r="N112" s="1044"/>
      <c r="O112" s="791"/>
      <c r="P112" s="1151"/>
      <c r="Q112" s="791"/>
      <c r="R112" s="301"/>
      <c r="S112" s="301"/>
      <c r="T112" s="301"/>
      <c r="U112" s="301"/>
      <c r="V112" s="301"/>
      <c r="W112" s="301"/>
      <c r="X112" s="301"/>
      <c r="Y112" s="301"/>
      <c r="Z112" s="301"/>
      <c r="AA112" s="301"/>
      <c r="AB112" s="301"/>
      <c r="AC112" s="301"/>
      <c r="AD112" s="301"/>
      <c r="AE112" s="301"/>
      <c r="AF112" s="301"/>
      <c r="AG112" s="301"/>
      <c r="AH112" s="301"/>
      <c r="AI112" s="301"/>
      <c r="AJ112" s="301"/>
      <c r="AK112" s="301"/>
      <c r="AL112" s="301"/>
      <c r="AM112" s="301"/>
    </row>
    <row r="113" spans="1:144" s="35" customFormat="1" ht="84.45" customHeight="1" thickBot="1">
      <c r="A113" s="1730"/>
      <c r="B113" s="1731"/>
      <c r="C113" s="1669" t="s">
        <v>1449</v>
      </c>
      <c r="D113" s="1670"/>
      <c r="E113" s="984" t="s">
        <v>1450</v>
      </c>
      <c r="F113" s="985" t="s">
        <v>1451</v>
      </c>
      <c r="G113" s="985" t="s">
        <v>1452</v>
      </c>
      <c r="H113" s="986">
        <v>37.5</v>
      </c>
      <c r="I113" s="981" t="s">
        <v>331</v>
      </c>
      <c r="J113" s="982"/>
      <c r="K113" s="983">
        <f t="shared" si="1"/>
        <v>0</v>
      </c>
      <c r="L113" s="806"/>
      <c r="M113" s="791"/>
      <c r="N113" s="1044"/>
      <c r="O113" s="791"/>
      <c r="P113" s="1151"/>
      <c r="Q113" s="79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row>
    <row r="114" spans="1:144" s="35" customFormat="1" ht="63" customHeight="1">
      <c r="A114" s="1249" t="s">
        <v>526</v>
      </c>
      <c r="B114" s="1668"/>
      <c r="C114" s="1682" t="s">
        <v>1177</v>
      </c>
      <c r="D114" s="1683"/>
      <c r="E114" s="852" t="s">
        <v>512</v>
      </c>
      <c r="F114" s="852" t="s">
        <v>513</v>
      </c>
      <c r="G114" s="852" t="s">
        <v>511</v>
      </c>
      <c r="H114" s="259">
        <v>2.8</v>
      </c>
      <c r="I114" s="78" t="s">
        <v>331</v>
      </c>
      <c r="J114" s="79"/>
      <c r="K114" s="80">
        <f>+J114*H114</f>
        <v>0</v>
      </c>
      <c r="L114" s="806"/>
      <c r="M114" s="791"/>
      <c r="N114" s="634"/>
      <c r="O114" s="301"/>
      <c r="P114" s="1151"/>
      <c r="Q114" s="79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row>
    <row r="115" spans="1:144" s="35" customFormat="1" ht="43.5" customHeight="1">
      <c r="A115" s="1740"/>
      <c r="B115" s="1695"/>
      <c r="C115" s="1530" t="s">
        <v>24</v>
      </c>
      <c r="D115" s="1531"/>
      <c r="E115" s="226" t="s">
        <v>62</v>
      </c>
      <c r="F115" s="226" t="s">
        <v>63</v>
      </c>
      <c r="G115" s="226" t="s">
        <v>465</v>
      </c>
      <c r="H115" s="835">
        <v>10</v>
      </c>
      <c r="I115" s="836" t="s">
        <v>331</v>
      </c>
      <c r="J115" s="227">
        <v>1</v>
      </c>
      <c r="K115" s="229">
        <f t="shared" si="1"/>
        <v>10</v>
      </c>
      <c r="L115" s="806"/>
      <c r="M115" s="791"/>
      <c r="N115" s="1044"/>
      <c r="O115" s="791"/>
      <c r="P115" s="1151"/>
      <c r="Q115" s="79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row>
    <row r="116" spans="1:144" s="35" customFormat="1" ht="37.5" customHeight="1">
      <c r="A116" s="1740"/>
      <c r="B116" s="1695"/>
      <c r="C116" s="1675" t="s">
        <v>527</v>
      </c>
      <c r="D116" s="1529"/>
      <c r="E116" s="136" t="s">
        <v>528</v>
      </c>
      <c r="F116" s="136" t="s">
        <v>504</v>
      </c>
      <c r="G116" s="136" t="s">
        <v>529</v>
      </c>
      <c r="H116" s="251">
        <v>3.0000000000000001E-3</v>
      </c>
      <c r="I116" s="123" t="s">
        <v>380</v>
      </c>
      <c r="J116" s="138">
        <v>2645</v>
      </c>
      <c r="K116" s="139">
        <f t="shared" si="1"/>
        <v>7.9350000000000005</v>
      </c>
      <c r="L116" s="806"/>
      <c r="M116" s="791"/>
      <c r="N116" s="1044"/>
      <c r="O116" s="791"/>
      <c r="P116" s="1151"/>
      <c r="Q116" s="79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row>
    <row r="117" spans="1:144" s="35" customFormat="1" ht="40.5" customHeight="1" thickBot="1">
      <c r="A117" s="1740"/>
      <c r="B117" s="1695"/>
      <c r="C117" s="1676"/>
      <c r="D117" s="1677"/>
      <c r="E117" s="81" t="s">
        <v>530</v>
      </c>
      <c r="F117" s="81"/>
      <c r="G117" s="81"/>
      <c r="H117" s="260">
        <v>2.7949999999999999</v>
      </c>
      <c r="I117" s="82" t="s">
        <v>331</v>
      </c>
      <c r="J117" s="83">
        <v>40</v>
      </c>
      <c r="K117" s="84">
        <f t="shared" si="1"/>
        <v>111.8</v>
      </c>
      <c r="L117" s="806"/>
      <c r="M117" s="791"/>
      <c r="N117" s="1044"/>
      <c r="O117" s="791"/>
      <c r="P117" s="1151"/>
      <c r="Q117" s="79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row>
    <row r="118" spans="1:144" s="35" customFormat="1" ht="26.4">
      <c r="A118" s="1740"/>
      <c r="B118" s="1695"/>
      <c r="C118" s="1667" t="s">
        <v>531</v>
      </c>
      <c r="D118" s="1668"/>
      <c r="E118" s="226" t="s">
        <v>532</v>
      </c>
      <c r="F118" s="226" t="s">
        <v>504</v>
      </c>
      <c r="G118" s="226" t="s">
        <v>533</v>
      </c>
      <c r="H118" s="526">
        <f>29*0.6</f>
        <v>17.399999999999999</v>
      </c>
      <c r="I118" s="227" t="s">
        <v>331</v>
      </c>
      <c r="J118" s="228"/>
      <c r="K118" s="229">
        <f t="shared" si="1"/>
        <v>0</v>
      </c>
      <c r="L118" s="806"/>
      <c r="M118" s="791"/>
      <c r="N118" s="1044"/>
      <c r="O118" s="791"/>
      <c r="P118" s="1151"/>
      <c r="Q118" s="79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row>
    <row r="119" spans="1:144" s="35" customFormat="1" ht="21" customHeight="1">
      <c r="A119" s="1740"/>
      <c r="B119" s="1695"/>
      <c r="C119" s="1530"/>
      <c r="D119" s="1531"/>
      <c r="E119" s="136" t="s">
        <v>534</v>
      </c>
      <c r="F119" s="136" t="s">
        <v>504</v>
      </c>
      <c r="G119" s="136" t="s">
        <v>533</v>
      </c>
      <c r="H119" s="261">
        <f>49*0.6</f>
        <v>29.4</v>
      </c>
      <c r="I119" s="123" t="s">
        <v>331</v>
      </c>
      <c r="J119" s="138"/>
      <c r="K119" s="139">
        <f t="shared" si="1"/>
        <v>0</v>
      </c>
      <c r="L119" s="806"/>
      <c r="M119" s="791"/>
      <c r="N119" s="1044"/>
      <c r="O119" s="791"/>
      <c r="P119" s="1151"/>
      <c r="Q119" s="79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row>
    <row r="120" spans="1:144" s="35" customFormat="1" ht="26.4">
      <c r="A120" s="1740"/>
      <c r="B120" s="1695"/>
      <c r="C120" s="1675" t="s">
        <v>535</v>
      </c>
      <c r="D120" s="1529"/>
      <c r="E120" s="136" t="s">
        <v>536</v>
      </c>
      <c r="F120" s="136" t="s">
        <v>504</v>
      </c>
      <c r="G120" s="136" t="s">
        <v>537</v>
      </c>
      <c r="H120" s="257">
        <v>54.6</v>
      </c>
      <c r="I120" s="123" t="s">
        <v>331</v>
      </c>
      <c r="J120" s="138"/>
      <c r="K120" s="139">
        <f t="shared" si="1"/>
        <v>0</v>
      </c>
      <c r="L120" s="806"/>
      <c r="M120" s="791"/>
      <c r="N120" s="1044"/>
      <c r="O120" s="791"/>
      <c r="P120" s="1151"/>
      <c r="Q120" s="79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row>
    <row r="121" spans="1:144" s="35" customFormat="1" ht="27" thickBot="1">
      <c r="A121" s="1741"/>
      <c r="B121" s="1677"/>
      <c r="C121" s="1676"/>
      <c r="D121" s="1677"/>
      <c r="E121" s="81" t="s">
        <v>538</v>
      </c>
      <c r="F121" s="81" t="s">
        <v>504</v>
      </c>
      <c r="G121" s="81" t="s">
        <v>537</v>
      </c>
      <c r="H121" s="260">
        <v>153.6</v>
      </c>
      <c r="I121" s="82" t="s">
        <v>331</v>
      </c>
      <c r="J121" s="83"/>
      <c r="K121" s="84">
        <f t="shared" si="1"/>
        <v>0</v>
      </c>
      <c r="L121" s="806"/>
      <c r="M121" s="791"/>
      <c r="N121" s="1044"/>
      <c r="O121" s="791"/>
      <c r="P121" s="115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row>
    <row r="122" spans="1:144" s="35" customFormat="1" ht="49.5" customHeight="1">
      <c r="A122" s="1766" t="s">
        <v>1343</v>
      </c>
      <c r="B122" s="1767"/>
      <c r="C122" s="1770" t="s">
        <v>1374</v>
      </c>
      <c r="D122" s="1771"/>
      <c r="E122" s="933" t="s">
        <v>528</v>
      </c>
      <c r="F122" s="933" t="s">
        <v>504</v>
      </c>
      <c r="G122" s="933" t="s">
        <v>529</v>
      </c>
      <c r="H122" s="934">
        <v>3.0000000000000001E-3</v>
      </c>
      <c r="I122" s="143" t="s">
        <v>380</v>
      </c>
      <c r="J122" s="304"/>
      <c r="K122" s="305">
        <f>+J122*H122</f>
        <v>0</v>
      </c>
      <c r="L122" s="806"/>
      <c r="M122" s="791"/>
      <c r="N122" s="1044"/>
      <c r="O122" s="791"/>
      <c r="P122" s="115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row>
    <row r="123" spans="1:144" s="35" customFormat="1" ht="70.5" customHeight="1" thickBot="1">
      <c r="A123" s="1768"/>
      <c r="B123" s="1769"/>
      <c r="C123" s="1772"/>
      <c r="D123" s="1769"/>
      <c r="E123" s="935" t="s">
        <v>530</v>
      </c>
      <c r="F123" s="935"/>
      <c r="G123" s="935"/>
      <c r="H123" s="924">
        <v>2.7949999999999999</v>
      </c>
      <c r="I123" s="146" t="s">
        <v>331</v>
      </c>
      <c r="J123" s="575"/>
      <c r="K123" s="576">
        <f>+J123*H123</f>
        <v>0</v>
      </c>
      <c r="L123" s="806"/>
      <c r="M123" s="791"/>
      <c r="N123" s="1044"/>
      <c r="O123" s="791"/>
      <c r="P123" s="1151"/>
      <c r="Q123" s="301"/>
      <c r="R123" s="301"/>
      <c r="S123" s="301"/>
      <c r="T123" s="301"/>
      <c r="U123" s="301"/>
      <c r="V123" s="301"/>
      <c r="W123" s="301"/>
      <c r="X123" s="301"/>
      <c r="Y123" s="301"/>
      <c r="Z123" s="301"/>
      <c r="AA123" s="301"/>
      <c r="AB123" s="301"/>
      <c r="AC123" s="301"/>
      <c r="AD123" s="301"/>
      <c r="AE123" s="301"/>
      <c r="AF123" s="301"/>
      <c r="AG123" s="301"/>
      <c r="AH123" s="301"/>
      <c r="AI123" s="301"/>
      <c r="AJ123" s="301"/>
      <c r="AK123" s="301"/>
      <c r="AL123" s="301"/>
      <c r="AM123" s="301"/>
    </row>
    <row r="124" spans="1:144" s="35" customFormat="1" ht="13.8">
      <c r="A124" s="1080" t="s">
        <v>1457</v>
      </c>
      <c r="B124" s="1081"/>
      <c r="C124" s="1082"/>
      <c r="D124" s="1082"/>
      <c r="E124" s="1082"/>
      <c r="F124" s="1081" t="s">
        <v>1458</v>
      </c>
      <c r="G124" s="1082"/>
      <c r="H124" s="1083">
        <v>2.0919918000000002</v>
      </c>
      <c r="I124" s="1084" t="s">
        <v>331</v>
      </c>
      <c r="J124" s="1085"/>
      <c r="K124" s="1086">
        <f t="shared" ref="K124:K128" si="2">+J124*H124</f>
        <v>0</v>
      </c>
      <c r="L124" s="784"/>
      <c r="M124" s="791"/>
      <c r="N124" s="1044"/>
      <c r="O124" s="791"/>
      <c r="P124" s="459"/>
      <c r="Q124" s="459"/>
      <c r="R124" s="459"/>
      <c r="S124" s="459"/>
      <c r="T124" s="459"/>
      <c r="U124" s="459"/>
      <c r="V124" s="459"/>
      <c r="W124" s="459"/>
      <c r="X124" s="459"/>
      <c r="Y124" s="459"/>
      <c r="Z124" s="459"/>
      <c r="AA124" s="459"/>
      <c r="AB124" s="459"/>
      <c r="AC124" s="459"/>
      <c r="AD124" s="459"/>
      <c r="AE124" s="459"/>
      <c r="AF124" s="459"/>
      <c r="AG124" s="459"/>
      <c r="AH124" s="459"/>
      <c r="AI124" s="459"/>
      <c r="AJ124" s="459"/>
      <c r="AK124" s="459"/>
      <c r="AL124" s="459"/>
      <c r="AM124" s="459"/>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row>
    <row r="125" spans="1:144" s="35" customFormat="1" ht="13.8">
      <c r="A125" s="1753" t="s">
        <v>1459</v>
      </c>
      <c r="B125" s="1754"/>
      <c r="C125" s="1754"/>
      <c r="D125" s="1754"/>
      <c r="E125" s="1755"/>
      <c r="F125" s="1087" t="s">
        <v>1460</v>
      </c>
      <c r="G125" s="1088"/>
      <c r="H125" s="1089">
        <v>4</v>
      </c>
      <c r="I125" s="1090" t="s">
        <v>331</v>
      </c>
      <c r="J125" s="1091"/>
      <c r="K125" s="1092">
        <f t="shared" si="2"/>
        <v>0</v>
      </c>
      <c r="L125" s="784"/>
      <c r="M125" s="791"/>
      <c r="N125" s="1044"/>
      <c r="O125" s="791"/>
      <c r="P125" s="459"/>
      <c r="Q125" s="459"/>
      <c r="R125" s="459"/>
      <c r="S125" s="459"/>
      <c r="T125" s="459"/>
      <c r="U125" s="459"/>
      <c r="V125" s="459"/>
      <c r="W125" s="459"/>
      <c r="X125" s="459"/>
      <c r="Y125" s="459"/>
      <c r="Z125" s="459"/>
      <c r="AA125" s="459"/>
      <c r="AB125" s="459"/>
      <c r="AC125" s="459"/>
      <c r="AD125" s="459"/>
      <c r="AE125" s="459"/>
      <c r="AF125" s="459"/>
      <c r="AG125" s="459"/>
      <c r="AH125" s="459"/>
      <c r="AI125" s="459"/>
      <c r="AJ125" s="459"/>
      <c r="AK125" s="459"/>
      <c r="AL125" s="459"/>
      <c r="AM125" s="459"/>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row>
    <row r="126" spans="1:144" s="35" customFormat="1" ht="13.8">
      <c r="A126" s="1753" t="s">
        <v>1461</v>
      </c>
      <c r="B126" s="1754"/>
      <c r="C126" s="1754"/>
      <c r="D126" s="1754"/>
      <c r="E126" s="1755"/>
      <c r="F126" s="1087" t="s">
        <v>1460</v>
      </c>
      <c r="G126" s="1088"/>
      <c r="H126" s="1089">
        <v>3</v>
      </c>
      <c r="I126" s="1090" t="s">
        <v>331</v>
      </c>
      <c r="J126" s="1091"/>
      <c r="K126" s="1092">
        <f t="shared" si="2"/>
        <v>0</v>
      </c>
      <c r="L126" s="784"/>
      <c r="M126" s="791"/>
      <c r="N126" s="1044"/>
      <c r="O126" s="791"/>
      <c r="P126" s="459"/>
      <c r="Q126" s="459"/>
      <c r="R126" s="459"/>
      <c r="S126" s="459"/>
      <c r="T126" s="459"/>
      <c r="U126" s="459"/>
      <c r="V126" s="459"/>
      <c r="W126" s="459"/>
      <c r="X126" s="459"/>
      <c r="Y126" s="459"/>
      <c r="Z126" s="459"/>
      <c r="AA126" s="459"/>
      <c r="AB126" s="459"/>
      <c r="AC126" s="459"/>
      <c r="AD126" s="459"/>
      <c r="AE126" s="459"/>
      <c r="AF126" s="459"/>
      <c r="AG126" s="459"/>
      <c r="AH126" s="459"/>
      <c r="AI126" s="459"/>
      <c r="AJ126" s="459"/>
      <c r="AK126" s="459"/>
      <c r="AL126" s="459"/>
      <c r="AM126" s="459"/>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row>
    <row r="127" spans="1:144" s="35" customFormat="1" ht="13.8">
      <c r="A127" s="1753" t="s">
        <v>1461</v>
      </c>
      <c r="B127" s="1754"/>
      <c r="C127" s="1754"/>
      <c r="D127" s="1754"/>
      <c r="E127" s="1755"/>
      <c r="F127" s="1087" t="s">
        <v>1460</v>
      </c>
      <c r="G127" s="1088"/>
      <c r="H127" s="1089">
        <v>3</v>
      </c>
      <c r="I127" s="1090" t="s">
        <v>331</v>
      </c>
      <c r="J127" s="1091"/>
      <c r="K127" s="1092">
        <f t="shared" si="2"/>
        <v>0</v>
      </c>
      <c r="L127" s="784"/>
      <c r="M127" s="791"/>
      <c r="N127" s="1044"/>
      <c r="O127" s="791"/>
      <c r="P127" s="459"/>
      <c r="Q127" s="459"/>
      <c r="R127" s="459"/>
      <c r="S127" s="459"/>
      <c r="T127" s="459"/>
      <c r="U127" s="459"/>
      <c r="V127" s="459"/>
      <c r="W127" s="459"/>
      <c r="X127" s="459"/>
      <c r="Y127" s="459"/>
      <c r="Z127" s="459"/>
      <c r="AA127" s="459"/>
      <c r="AB127" s="459"/>
      <c r="AC127" s="459"/>
      <c r="AD127" s="459"/>
      <c r="AE127" s="459"/>
      <c r="AF127" s="459"/>
      <c r="AG127" s="459"/>
      <c r="AH127" s="459"/>
      <c r="AI127" s="459"/>
      <c r="AJ127" s="459"/>
      <c r="AK127" s="459"/>
      <c r="AL127" s="459"/>
      <c r="AM127" s="459"/>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row>
    <row r="128" spans="1:144" s="35" customFormat="1" ht="13.8">
      <c r="A128" s="1753" t="s">
        <v>1462</v>
      </c>
      <c r="B128" s="1754"/>
      <c r="C128" s="1754"/>
      <c r="D128" s="1754"/>
      <c r="E128" s="1755"/>
      <c r="F128" s="1087" t="s">
        <v>1463</v>
      </c>
      <c r="G128" s="1088"/>
      <c r="H128" s="1089">
        <f>21.51*60</f>
        <v>1290.6000000000001</v>
      </c>
      <c r="I128" s="1090" t="s">
        <v>331</v>
      </c>
      <c r="J128" s="1091"/>
      <c r="K128" s="1092">
        <f t="shared" si="2"/>
        <v>0</v>
      </c>
      <c r="L128" s="784"/>
      <c r="M128" s="791"/>
      <c r="N128" s="1044"/>
      <c r="O128" s="791"/>
      <c r="P128" s="459"/>
      <c r="Q128" s="459"/>
      <c r="R128" s="459"/>
      <c r="S128" s="459"/>
      <c r="T128" s="459"/>
      <c r="U128" s="459"/>
      <c r="V128" s="459"/>
      <c r="W128" s="459"/>
      <c r="X128" s="459"/>
      <c r="Y128" s="459"/>
      <c r="Z128" s="459"/>
      <c r="AA128" s="459"/>
      <c r="AB128" s="459"/>
      <c r="AC128" s="459"/>
      <c r="AD128" s="459"/>
      <c r="AE128" s="459"/>
      <c r="AF128" s="459"/>
      <c r="AG128" s="459"/>
      <c r="AH128" s="459"/>
      <c r="AI128" s="459"/>
      <c r="AJ128" s="459"/>
      <c r="AK128" s="459"/>
      <c r="AL128" s="459"/>
      <c r="AM128" s="459"/>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row>
    <row r="129" spans="1:144" s="35" customFormat="1" ht="13.8">
      <c r="A129"/>
      <c r="B129"/>
      <c r="C129"/>
      <c r="D129"/>
      <c r="E129"/>
      <c r="F129"/>
      <c r="G129"/>
      <c r="H129"/>
      <c r="I129" s="39"/>
      <c r="J129" s="36"/>
      <c r="K129" s="36"/>
      <c r="L129" s="784"/>
      <c r="M129" s="791"/>
      <c r="N129" s="1044"/>
      <c r="O129" s="791"/>
      <c r="P129" s="459"/>
      <c r="Q129" s="459"/>
      <c r="R129" s="459"/>
      <c r="S129" s="459"/>
      <c r="T129" s="459"/>
      <c r="U129" s="459"/>
      <c r="V129" s="459"/>
      <c r="W129" s="459"/>
      <c r="X129" s="459"/>
      <c r="Y129" s="459"/>
      <c r="Z129" s="459"/>
      <c r="AA129" s="459"/>
      <c r="AB129" s="459"/>
      <c r="AC129" s="459"/>
      <c r="AD129" s="459"/>
      <c r="AE129" s="459"/>
      <c r="AF129" s="459"/>
      <c r="AG129" s="459"/>
      <c r="AH129" s="459"/>
      <c r="AI129" s="459"/>
      <c r="AJ129" s="459"/>
      <c r="AK129" s="459"/>
      <c r="AL129" s="459"/>
      <c r="AM129" s="45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row>
    <row r="130" spans="1:144" s="35" customFormat="1" ht="13.8">
      <c r="A130"/>
      <c r="B130"/>
      <c r="C130"/>
      <c r="D130"/>
      <c r="E130"/>
      <c r="F130"/>
      <c r="G130"/>
      <c r="H130"/>
      <c r="I130" s="39"/>
      <c r="J130" s="36"/>
      <c r="K130" s="36"/>
      <c r="L130" s="784"/>
      <c r="M130" s="459"/>
      <c r="N130" s="1044"/>
      <c r="O130" s="791"/>
      <c r="P130" s="459"/>
      <c r="Q130" s="459"/>
      <c r="R130" s="459"/>
      <c r="S130" s="459"/>
      <c r="T130" s="459"/>
      <c r="U130" s="459"/>
      <c r="V130" s="459"/>
      <c r="W130" s="459"/>
      <c r="X130" s="459"/>
      <c r="Y130" s="459"/>
      <c r="Z130" s="459"/>
      <c r="AA130" s="459"/>
      <c r="AB130" s="459"/>
      <c r="AC130" s="459"/>
      <c r="AD130" s="459"/>
      <c r="AE130" s="459"/>
      <c r="AF130" s="459"/>
      <c r="AG130" s="459"/>
      <c r="AH130" s="459"/>
      <c r="AI130" s="459"/>
      <c r="AJ130" s="459"/>
      <c r="AK130" s="459"/>
      <c r="AL130" s="459"/>
      <c r="AM130" s="459"/>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row>
    <row r="131" spans="1:144" s="35" customFormat="1" ht="13.8">
      <c r="A131"/>
      <c r="B131"/>
      <c r="C131"/>
      <c r="D131"/>
      <c r="E131"/>
      <c r="F131"/>
      <c r="G131"/>
      <c r="H131"/>
      <c r="I131" s="39"/>
      <c r="J131" s="36"/>
      <c r="K131" s="36"/>
      <c r="L131" s="784"/>
      <c r="M131" s="459"/>
      <c r="N131" s="1044"/>
      <c r="O131" s="791"/>
      <c r="P131" s="459"/>
      <c r="Q131" s="459"/>
      <c r="R131" s="459"/>
      <c r="S131" s="459"/>
      <c r="T131" s="459"/>
      <c r="U131" s="459"/>
      <c r="V131" s="459"/>
      <c r="W131" s="459"/>
      <c r="X131" s="459"/>
      <c r="Y131" s="459"/>
      <c r="Z131" s="459"/>
      <c r="AA131" s="459"/>
      <c r="AB131" s="459"/>
      <c r="AC131" s="459"/>
      <c r="AD131" s="459"/>
      <c r="AE131" s="459"/>
      <c r="AF131" s="459"/>
      <c r="AG131" s="459"/>
      <c r="AH131" s="459"/>
      <c r="AI131" s="459"/>
      <c r="AJ131" s="459"/>
      <c r="AK131" s="459"/>
      <c r="AL131" s="459"/>
      <c r="AM131" s="459"/>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row>
    <row r="132" spans="1:144" s="35" customFormat="1" ht="13.8">
      <c r="A132"/>
      <c r="B132"/>
      <c r="C132"/>
      <c r="D132"/>
      <c r="E132"/>
      <c r="F132"/>
      <c r="G132"/>
      <c r="H132"/>
      <c r="I132" s="39"/>
      <c r="J132" s="36"/>
      <c r="K132" s="36"/>
      <c r="L132" s="784"/>
      <c r="M132" s="459"/>
      <c r="N132" s="1044"/>
      <c r="O132" s="791"/>
      <c r="P132" s="459"/>
      <c r="Q132" s="459"/>
      <c r="R132" s="459"/>
      <c r="S132" s="459"/>
      <c r="T132" s="459"/>
      <c r="U132" s="459"/>
      <c r="V132" s="459"/>
      <c r="W132" s="459"/>
      <c r="X132" s="459"/>
      <c r="Y132" s="459"/>
      <c r="Z132" s="459"/>
      <c r="AA132" s="459"/>
      <c r="AB132" s="459"/>
      <c r="AC132" s="459"/>
      <c r="AD132" s="459"/>
      <c r="AE132" s="459"/>
      <c r="AF132" s="459"/>
      <c r="AG132" s="459"/>
      <c r="AH132" s="459"/>
      <c r="AI132" s="459"/>
      <c r="AJ132" s="459"/>
      <c r="AK132" s="459"/>
      <c r="AL132" s="459"/>
      <c r="AM132" s="459"/>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row>
    <row r="133" spans="1:144" s="35" customFormat="1" ht="13.8">
      <c r="A133"/>
      <c r="B133"/>
      <c r="C133"/>
      <c r="D133"/>
      <c r="E133"/>
      <c r="F133"/>
      <c r="G133"/>
      <c r="H133"/>
      <c r="I133" s="39"/>
      <c r="J133" s="36"/>
      <c r="K133" s="36"/>
      <c r="L133" s="784"/>
      <c r="M133" s="459"/>
      <c r="N133" s="1044"/>
      <c r="O133" s="791"/>
      <c r="P133" s="459"/>
      <c r="Q133" s="459"/>
      <c r="R133" s="459"/>
      <c r="S133" s="459"/>
      <c r="T133" s="459"/>
      <c r="U133" s="459"/>
      <c r="V133" s="459"/>
      <c r="W133" s="459"/>
      <c r="X133" s="459"/>
      <c r="Y133" s="459"/>
      <c r="Z133" s="459"/>
      <c r="AA133" s="459"/>
      <c r="AB133" s="459"/>
      <c r="AC133" s="459"/>
      <c r="AD133" s="459"/>
      <c r="AE133" s="459"/>
      <c r="AF133" s="459"/>
      <c r="AG133" s="459"/>
      <c r="AH133" s="459"/>
      <c r="AI133" s="459"/>
      <c r="AJ133" s="459"/>
      <c r="AK133" s="459"/>
      <c r="AL133" s="459"/>
      <c r="AM133" s="459"/>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row>
    <row r="134" spans="1:144" s="35" customFormat="1" ht="13.8">
      <c r="A134"/>
      <c r="B134"/>
      <c r="C134"/>
      <c r="D134"/>
      <c r="E134"/>
      <c r="F134"/>
      <c r="G134"/>
      <c r="H134"/>
      <c r="I134" s="39"/>
      <c r="J134" s="36"/>
      <c r="K134" s="36"/>
      <c r="L134" s="784"/>
      <c r="M134" s="459"/>
      <c r="N134" s="1044"/>
      <c r="O134" s="791"/>
      <c r="P134" s="459"/>
      <c r="Q134" s="459"/>
      <c r="R134" s="459"/>
      <c r="S134" s="459"/>
      <c r="T134" s="459"/>
      <c r="U134" s="459"/>
      <c r="V134" s="459"/>
      <c r="W134" s="459"/>
      <c r="X134" s="459"/>
      <c r="Y134" s="459"/>
      <c r="Z134" s="459"/>
      <c r="AA134" s="459"/>
      <c r="AB134" s="459"/>
      <c r="AC134" s="459"/>
      <c r="AD134" s="459"/>
      <c r="AE134" s="459"/>
      <c r="AF134" s="459"/>
      <c r="AG134" s="459"/>
      <c r="AH134" s="459"/>
      <c r="AI134" s="459"/>
      <c r="AJ134" s="459"/>
      <c r="AK134" s="459"/>
      <c r="AL134" s="459"/>
      <c r="AM134" s="459"/>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row>
    <row r="135" spans="1:144" s="35" customFormat="1" ht="13.8">
      <c r="A135"/>
      <c r="B135"/>
      <c r="C135"/>
      <c r="D135"/>
      <c r="E135"/>
      <c r="F135"/>
      <c r="G135"/>
      <c r="H135"/>
      <c r="I135" s="39"/>
      <c r="J135" s="36"/>
      <c r="K135" s="36"/>
      <c r="L135" s="784"/>
      <c r="M135" s="459"/>
      <c r="N135" s="1044"/>
      <c r="O135" s="791"/>
      <c r="P135" s="459"/>
      <c r="Q135" s="459"/>
      <c r="R135" s="459"/>
      <c r="S135" s="459"/>
      <c r="T135" s="459"/>
      <c r="U135" s="459"/>
      <c r="V135" s="459"/>
      <c r="W135" s="459"/>
      <c r="X135" s="459"/>
      <c r="Y135" s="459"/>
      <c r="Z135" s="459"/>
      <c r="AA135" s="459"/>
      <c r="AB135" s="459"/>
      <c r="AC135" s="459"/>
      <c r="AD135" s="459"/>
      <c r="AE135" s="459"/>
      <c r="AF135" s="459"/>
      <c r="AG135" s="459"/>
      <c r="AH135" s="459"/>
      <c r="AI135" s="459"/>
      <c r="AJ135" s="459"/>
      <c r="AK135" s="459"/>
      <c r="AL135" s="459"/>
      <c r="AM135" s="459"/>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row>
    <row r="136" spans="1:144" s="35" customFormat="1" ht="13.8">
      <c r="A136"/>
      <c r="B136"/>
      <c r="C136"/>
      <c r="D136"/>
      <c r="E136"/>
      <c r="F136"/>
      <c r="G136"/>
      <c r="H136"/>
      <c r="I136" s="39"/>
      <c r="J136" s="36"/>
      <c r="K136" s="36"/>
      <c r="L136" s="784"/>
      <c r="M136" s="459"/>
      <c r="N136" s="1044"/>
      <c r="O136" s="791"/>
      <c r="P136" s="459"/>
      <c r="Q136" s="459"/>
      <c r="R136" s="459"/>
      <c r="S136" s="459"/>
      <c r="T136" s="459"/>
      <c r="U136" s="459"/>
      <c r="V136" s="459"/>
      <c r="W136" s="459"/>
      <c r="X136" s="459"/>
      <c r="Y136" s="459"/>
      <c r="Z136" s="459"/>
      <c r="AA136" s="459"/>
      <c r="AB136" s="459"/>
      <c r="AC136" s="459"/>
      <c r="AD136" s="459"/>
      <c r="AE136" s="459"/>
      <c r="AF136" s="459"/>
      <c r="AG136" s="459"/>
      <c r="AH136" s="459"/>
      <c r="AI136" s="459"/>
      <c r="AJ136" s="459"/>
      <c r="AK136" s="459"/>
      <c r="AL136" s="459"/>
      <c r="AM136" s="459"/>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row>
    <row r="137" spans="1:144" s="35" customFormat="1" ht="13.8">
      <c r="A137"/>
      <c r="B137"/>
      <c r="C137"/>
      <c r="D137"/>
      <c r="E137"/>
      <c r="F137"/>
      <c r="G137"/>
      <c r="H137"/>
      <c r="I137" s="39"/>
      <c r="J137" s="36"/>
      <c r="K137" s="36"/>
      <c r="L137" s="784"/>
      <c r="M137" s="459"/>
      <c r="N137" s="1044"/>
      <c r="O137" s="791"/>
      <c r="P137" s="459"/>
      <c r="Q137" s="459"/>
      <c r="R137" s="459"/>
      <c r="S137" s="459"/>
      <c r="T137" s="459"/>
      <c r="U137" s="459"/>
      <c r="V137" s="459"/>
      <c r="W137" s="459"/>
      <c r="X137" s="459"/>
      <c r="Y137" s="459"/>
      <c r="Z137" s="459"/>
      <c r="AA137" s="459"/>
      <c r="AB137" s="459"/>
      <c r="AC137" s="459"/>
      <c r="AD137" s="459"/>
      <c r="AE137" s="459"/>
      <c r="AF137" s="459"/>
      <c r="AG137" s="459"/>
      <c r="AH137" s="459"/>
      <c r="AI137" s="459"/>
      <c r="AJ137" s="459"/>
      <c r="AK137" s="459"/>
      <c r="AL137" s="459"/>
      <c r="AM137" s="459"/>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row>
    <row r="138" spans="1:144" s="35" customFormat="1" ht="13.8">
      <c r="A138"/>
      <c r="B138"/>
      <c r="C138"/>
      <c r="D138"/>
      <c r="E138"/>
      <c r="F138"/>
      <c r="G138"/>
      <c r="H138"/>
      <c r="I138" s="39"/>
      <c r="J138" s="36"/>
      <c r="K138" s="36"/>
      <c r="L138" s="784"/>
      <c r="M138" s="459"/>
      <c r="N138" s="1044"/>
      <c r="O138" s="791"/>
      <c r="P138" s="459"/>
      <c r="Q138" s="459"/>
      <c r="R138" s="459"/>
      <c r="S138" s="459"/>
      <c r="T138" s="459"/>
      <c r="U138" s="459"/>
      <c r="V138" s="459"/>
      <c r="W138" s="459"/>
      <c r="X138" s="459"/>
      <c r="Y138" s="459"/>
      <c r="Z138" s="459"/>
      <c r="AA138" s="459"/>
      <c r="AB138" s="459"/>
      <c r="AC138" s="459"/>
      <c r="AD138" s="459"/>
      <c r="AE138" s="459"/>
      <c r="AF138" s="459"/>
      <c r="AG138" s="459"/>
      <c r="AH138" s="459"/>
      <c r="AI138" s="459"/>
      <c r="AJ138" s="459"/>
      <c r="AK138" s="459"/>
      <c r="AL138" s="459"/>
      <c r="AM138" s="459"/>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row>
    <row r="139" spans="1:144" s="35" customFormat="1" ht="13.8">
      <c r="A139"/>
      <c r="B139"/>
      <c r="C139"/>
      <c r="D139"/>
      <c r="E139"/>
      <c r="F139"/>
      <c r="G139"/>
      <c r="H139"/>
      <c r="I139" s="39"/>
      <c r="J139" s="36"/>
      <c r="K139" s="36"/>
      <c r="L139" s="784"/>
      <c r="M139" s="459"/>
      <c r="N139" s="1044"/>
      <c r="O139" s="791"/>
      <c r="P139" s="459"/>
      <c r="Q139" s="459"/>
      <c r="R139" s="459"/>
      <c r="S139" s="459"/>
      <c r="T139" s="459"/>
      <c r="U139" s="459"/>
      <c r="V139" s="459"/>
      <c r="W139" s="459"/>
      <c r="X139" s="459"/>
      <c r="Y139" s="459"/>
      <c r="Z139" s="459"/>
      <c r="AA139" s="459"/>
      <c r="AB139" s="459"/>
      <c r="AC139" s="459"/>
      <c r="AD139" s="459"/>
      <c r="AE139" s="459"/>
      <c r="AF139" s="459"/>
      <c r="AG139" s="459"/>
      <c r="AH139" s="459"/>
      <c r="AI139" s="459"/>
      <c r="AJ139" s="459"/>
      <c r="AK139" s="459"/>
      <c r="AL139" s="459"/>
      <c r="AM139" s="45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row>
    <row r="140" spans="1:144" s="35" customFormat="1" ht="14.4" thickBot="1">
      <c r="A140"/>
      <c r="B140"/>
      <c r="C140"/>
      <c r="D140"/>
      <c r="E140"/>
      <c r="F140"/>
      <c r="G140"/>
      <c r="H140"/>
      <c r="I140" s="39"/>
      <c r="J140" s="36"/>
      <c r="K140" s="36"/>
      <c r="L140" s="784"/>
      <c r="M140" s="459"/>
      <c r="N140" s="1044"/>
      <c r="O140" s="791"/>
      <c r="P140" s="459"/>
      <c r="Q140" s="459"/>
      <c r="R140" s="459"/>
      <c r="S140" s="459"/>
      <c r="T140" s="459"/>
      <c r="U140" s="459"/>
      <c r="V140" s="459"/>
      <c r="W140" s="459"/>
      <c r="X140" s="459"/>
      <c r="Y140" s="459"/>
      <c r="Z140" s="459"/>
      <c r="AA140" s="459"/>
      <c r="AB140" s="459"/>
      <c r="AC140" s="459"/>
      <c r="AD140" s="459"/>
      <c r="AE140" s="459"/>
      <c r="AF140" s="459"/>
      <c r="AG140" s="459"/>
      <c r="AH140" s="459"/>
      <c r="AI140" s="459"/>
      <c r="AJ140" s="459"/>
      <c r="AK140" s="459"/>
      <c r="AL140" s="459"/>
      <c r="AM140" s="459"/>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row>
    <row r="141" spans="1:144" s="301" customFormat="1" ht="27" customHeight="1" thickBot="1">
      <c r="A141" s="23"/>
      <c r="B141" s="23"/>
      <c r="C141" s="23"/>
      <c r="D141" s="23"/>
      <c r="E141" s="23"/>
      <c r="F141" s="23"/>
      <c r="G141" s="23"/>
      <c r="H141" s="465" t="s">
        <v>744</v>
      </c>
      <c r="J141" s="466"/>
      <c r="K141" s="467">
        <f>SUM(K3:K89)+SUM(K124:K127)</f>
        <v>1052.30025</v>
      </c>
      <c r="L141" s="806"/>
      <c r="N141" s="1044"/>
      <c r="O141" s="791"/>
      <c r="P141" s="1151"/>
    </row>
    <row r="142" spans="1:144" s="35" customFormat="1" ht="24.75" customHeight="1" thickBot="1">
      <c r="A142" s="23"/>
      <c r="B142" s="23"/>
      <c r="C142" s="23"/>
      <c r="D142" s="23"/>
      <c r="E142" s="23"/>
      <c r="F142" s="23"/>
      <c r="G142" s="23"/>
      <c r="H142" s="465" t="s">
        <v>746</v>
      </c>
      <c r="I142" s="301"/>
      <c r="J142" s="466"/>
      <c r="K142" s="467">
        <f>SUM(K90:K113)</f>
        <v>405.846</v>
      </c>
      <c r="L142" s="806"/>
      <c r="M142" s="301"/>
      <c r="N142" s="1044"/>
      <c r="O142" s="791"/>
      <c r="P142" s="1151"/>
      <c r="Q142" s="301"/>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row>
    <row r="143" spans="1:144" s="35" customFormat="1" ht="24.75" customHeight="1">
      <c r="A143" s="23"/>
      <c r="B143" s="23"/>
      <c r="C143" s="23"/>
      <c r="D143" s="23"/>
      <c r="E143" s="23"/>
      <c r="F143" s="23"/>
      <c r="G143" s="23"/>
      <c r="H143" s="465" t="s">
        <v>745</v>
      </c>
      <c r="I143" s="301"/>
      <c r="J143" s="466"/>
      <c r="K143" s="467">
        <f>SUM(K114:K123)+K128</f>
        <v>129.73500000000001</v>
      </c>
      <c r="L143" s="806"/>
      <c r="M143" s="301"/>
      <c r="N143" s="1044"/>
      <c r="O143" s="791"/>
      <c r="P143" s="301"/>
      <c r="Q143" s="301"/>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row>
    <row r="144" spans="1:144" s="35" customFormat="1" ht="13.8">
      <c r="A144" s="23"/>
      <c r="B144" s="23"/>
      <c r="C144" s="23"/>
      <c r="D144" s="23"/>
      <c r="E144" s="23"/>
      <c r="F144" s="23"/>
      <c r="G144" s="23"/>
      <c r="H144" s="38"/>
      <c r="J144" s="22"/>
      <c r="K144" s="22"/>
      <c r="L144" s="806"/>
      <c r="M144" s="301"/>
      <c r="N144" s="1044"/>
      <c r="O144" s="791"/>
      <c r="P144" s="301"/>
      <c r="Q144" s="301"/>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row>
    <row r="145" spans="1:144" s="35" customFormat="1" ht="13.8">
      <c r="A145" s="23"/>
      <c r="B145" s="23"/>
      <c r="C145" s="23"/>
      <c r="D145" s="23"/>
      <c r="E145" s="23"/>
      <c r="F145" s="23"/>
      <c r="G145" s="23"/>
      <c r="H145" s="38"/>
      <c r="J145" s="22"/>
      <c r="K145" s="22"/>
      <c r="L145" s="806"/>
      <c r="M145" s="301"/>
      <c r="N145" s="1044"/>
      <c r="O145" s="791"/>
      <c r="P145" s="301"/>
      <c r="Q145" s="301"/>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row>
    <row r="146" spans="1:144" s="35" customFormat="1" ht="13.8">
      <c r="A146" s="23"/>
      <c r="B146" s="23"/>
      <c r="C146" s="23"/>
      <c r="D146" s="23"/>
      <c r="E146" s="23"/>
      <c r="F146" s="23"/>
      <c r="G146" s="23"/>
      <c r="H146" s="38"/>
      <c r="J146" s="22"/>
      <c r="K146" s="22"/>
      <c r="L146" s="783"/>
      <c r="M146" s="301"/>
      <c r="N146" s="1044"/>
      <c r="O146" s="791"/>
      <c r="P146" s="301"/>
      <c r="Q146" s="301"/>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row>
    <row r="147" spans="1:144" s="35" customFormat="1" ht="13.8">
      <c r="A147"/>
      <c r="B147"/>
      <c r="C147"/>
      <c r="D147"/>
      <c r="E147"/>
      <c r="F147"/>
      <c r="G147"/>
      <c r="H147"/>
      <c r="I147" s="39"/>
      <c r="J147" s="36"/>
      <c r="K147" s="36"/>
      <c r="L147" s="784"/>
      <c r="M147" s="459"/>
      <c r="N147" s="1044"/>
      <c r="O147" s="791"/>
      <c r="P147" s="459"/>
      <c r="Q147" s="459"/>
      <c r="R147" s="459"/>
      <c r="S147" s="459"/>
      <c r="T147" s="459"/>
      <c r="U147" s="459"/>
      <c r="V147" s="459"/>
      <c r="W147" s="459"/>
      <c r="X147" s="459"/>
      <c r="Y147" s="459"/>
      <c r="Z147" s="459"/>
      <c r="AA147" s="459"/>
      <c r="AB147" s="459"/>
      <c r="AC147" s="459"/>
      <c r="AD147" s="459"/>
      <c r="AE147" s="459"/>
      <c r="AF147" s="459"/>
      <c r="AG147" s="459"/>
      <c r="AH147" s="459"/>
      <c r="AI147" s="459"/>
      <c r="AJ147" s="459"/>
      <c r="AK147" s="459"/>
      <c r="AL147" s="459"/>
      <c r="AM147" s="459"/>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row>
    <row r="148" spans="1:144" s="35" customFormat="1" ht="13.8">
      <c r="A148"/>
      <c r="B148"/>
      <c r="C148"/>
      <c r="D148"/>
      <c r="E148"/>
      <c r="F148"/>
      <c r="G148"/>
      <c r="H148"/>
      <c r="I148" s="39"/>
      <c r="J148" s="36"/>
      <c r="K148" s="36"/>
      <c r="L148" s="784"/>
      <c r="M148" s="459"/>
      <c r="N148" s="1044"/>
      <c r="O148" s="791"/>
      <c r="P148" s="459"/>
      <c r="Q148" s="459"/>
      <c r="R148" s="459"/>
      <c r="S148" s="459"/>
      <c r="T148" s="459"/>
      <c r="U148" s="459"/>
      <c r="V148" s="459"/>
      <c r="W148" s="459"/>
      <c r="X148" s="459"/>
      <c r="Y148" s="459"/>
      <c r="Z148" s="459"/>
      <c r="AA148" s="459"/>
      <c r="AB148" s="459"/>
      <c r="AC148" s="459"/>
      <c r="AD148" s="459"/>
      <c r="AE148" s="459"/>
      <c r="AF148" s="459"/>
      <c r="AG148" s="459"/>
      <c r="AH148" s="459"/>
      <c r="AI148" s="459"/>
      <c r="AJ148" s="459"/>
      <c r="AK148" s="459"/>
      <c r="AL148" s="459"/>
      <c r="AM148" s="459"/>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row>
    <row r="149" spans="1:144" s="35" customFormat="1" ht="25.2" customHeight="1">
      <c r="A149"/>
      <c r="B149"/>
      <c r="C149"/>
      <c r="D149"/>
      <c r="E149"/>
      <c r="F149"/>
      <c r="G149"/>
      <c r="H149"/>
      <c r="I149" s="39"/>
      <c r="J149" s="36"/>
      <c r="K149" s="36"/>
      <c r="L149" s="784"/>
      <c r="M149" s="459"/>
      <c r="N149" s="1044"/>
      <c r="O149" s="791"/>
      <c r="P149" s="459"/>
      <c r="Q149" s="459"/>
      <c r="R149" s="459"/>
      <c r="S149" s="459"/>
      <c r="T149" s="459"/>
      <c r="U149" s="459"/>
      <c r="V149" s="459"/>
      <c r="W149" s="459"/>
      <c r="X149" s="459"/>
      <c r="Y149" s="459"/>
      <c r="Z149" s="459"/>
      <c r="AA149" s="459"/>
      <c r="AB149" s="459"/>
      <c r="AC149" s="459"/>
      <c r="AD149" s="459"/>
      <c r="AE149" s="459"/>
      <c r="AF149" s="459"/>
      <c r="AG149" s="459"/>
      <c r="AH149" s="459"/>
      <c r="AI149" s="459"/>
      <c r="AJ149" s="459"/>
      <c r="AK149" s="459"/>
      <c r="AL149" s="459"/>
      <c r="AM149" s="45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row>
    <row r="150" spans="1:144" s="35" customFormat="1" ht="13.8">
      <c r="A150"/>
      <c r="B150"/>
      <c r="C150"/>
      <c r="D150"/>
      <c r="E150"/>
      <c r="F150"/>
      <c r="G150"/>
      <c r="H150"/>
      <c r="I150"/>
      <c r="J150" s="36"/>
      <c r="K150" s="36"/>
      <c r="L150" s="784"/>
      <c r="M150" s="459"/>
      <c r="N150" s="1044"/>
      <c r="O150" s="791"/>
      <c r="P150" s="459"/>
      <c r="Q150" s="459"/>
      <c r="R150" s="459"/>
      <c r="S150" s="459"/>
      <c r="T150" s="459"/>
      <c r="U150" s="459"/>
      <c r="V150" s="459"/>
      <c r="W150" s="459"/>
      <c r="X150" s="459"/>
      <c r="Y150" s="459"/>
      <c r="Z150" s="459"/>
      <c r="AA150" s="459"/>
      <c r="AB150" s="459"/>
      <c r="AC150" s="459"/>
      <c r="AD150" s="459"/>
      <c r="AE150" s="459"/>
      <c r="AF150" s="459"/>
      <c r="AG150" s="459"/>
      <c r="AH150" s="459"/>
      <c r="AI150" s="459"/>
      <c r="AJ150" s="459"/>
      <c r="AK150" s="459"/>
      <c r="AL150" s="459"/>
      <c r="AM150" s="459"/>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row>
    <row r="151" spans="1:144" s="35" customFormat="1" ht="13.8">
      <c r="A151"/>
      <c r="B151"/>
      <c r="C151"/>
      <c r="D151"/>
      <c r="E151"/>
      <c r="F151"/>
      <c r="G151"/>
      <c r="H151"/>
      <c r="I151"/>
      <c r="J151" s="36"/>
      <c r="K151" s="36"/>
      <c r="L151" s="784"/>
      <c r="M151" s="459"/>
      <c r="N151" s="1044"/>
      <c r="O151" s="791"/>
      <c r="P151" s="459"/>
      <c r="Q151" s="459"/>
      <c r="R151" s="459"/>
      <c r="S151" s="459"/>
      <c r="T151" s="459"/>
      <c r="U151" s="459"/>
      <c r="V151" s="459"/>
      <c r="W151" s="459"/>
      <c r="X151" s="459"/>
      <c r="Y151" s="459"/>
      <c r="Z151" s="459"/>
      <c r="AA151" s="459"/>
      <c r="AB151" s="459"/>
      <c r="AC151" s="459"/>
      <c r="AD151" s="459"/>
      <c r="AE151" s="459"/>
      <c r="AF151" s="459"/>
      <c r="AG151" s="459"/>
      <c r="AH151" s="459"/>
      <c r="AI151" s="459"/>
      <c r="AJ151" s="459"/>
      <c r="AK151" s="459"/>
      <c r="AL151" s="459"/>
      <c r="AM151" s="459"/>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row>
    <row r="152" spans="1:144" s="35" customFormat="1" ht="13.8">
      <c r="A152"/>
      <c r="B152"/>
      <c r="C152"/>
      <c r="D152"/>
      <c r="E152"/>
      <c r="F152"/>
      <c r="G152"/>
      <c r="H152"/>
      <c r="I152"/>
      <c r="J152" s="36"/>
      <c r="K152" s="36"/>
      <c r="L152" s="784"/>
      <c r="M152" s="459"/>
      <c r="N152" s="1044"/>
      <c r="O152" s="791"/>
      <c r="P152" s="459"/>
      <c r="Q152" s="459"/>
      <c r="R152" s="459"/>
      <c r="S152" s="459"/>
      <c r="T152" s="459"/>
      <c r="U152" s="459"/>
      <c r="V152" s="459"/>
      <c r="W152" s="459"/>
      <c r="X152" s="459"/>
      <c r="Y152" s="459"/>
      <c r="Z152" s="459"/>
      <c r="AA152" s="459"/>
      <c r="AB152" s="459"/>
      <c r="AC152" s="459"/>
      <c r="AD152" s="459"/>
      <c r="AE152" s="459"/>
      <c r="AF152" s="459"/>
      <c r="AG152" s="459"/>
      <c r="AH152" s="459"/>
      <c r="AI152" s="459"/>
      <c r="AJ152" s="459"/>
      <c r="AK152" s="459"/>
      <c r="AL152" s="459"/>
      <c r="AM152" s="459"/>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row>
    <row r="153" spans="1:144" s="22" customFormat="1" ht="13.8">
      <c r="A153"/>
      <c r="B153"/>
      <c r="C153"/>
      <c r="D153"/>
      <c r="E153"/>
      <c r="F153"/>
      <c r="G153"/>
      <c r="H153"/>
      <c r="I153"/>
      <c r="J153" s="36"/>
      <c r="K153" s="36"/>
      <c r="L153" s="784"/>
      <c r="M153" s="459"/>
      <c r="N153" s="1044"/>
      <c r="O153" s="791"/>
      <c r="P153" s="459"/>
      <c r="Q153" s="459"/>
      <c r="R153" s="459"/>
      <c r="S153" s="459"/>
      <c r="T153" s="459"/>
      <c r="U153" s="459"/>
      <c r="V153" s="459"/>
      <c r="W153" s="459"/>
      <c r="X153" s="459"/>
      <c r="Y153" s="459"/>
      <c r="Z153" s="459"/>
      <c r="AA153" s="459"/>
      <c r="AB153" s="459"/>
      <c r="AC153" s="459"/>
      <c r="AD153" s="459"/>
      <c r="AE153" s="459"/>
      <c r="AF153" s="459"/>
      <c r="AG153" s="459"/>
      <c r="AH153" s="459"/>
      <c r="AI153" s="459"/>
      <c r="AJ153" s="459"/>
      <c r="AK153" s="459"/>
      <c r="AL153" s="459"/>
      <c r="AM153" s="459"/>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row>
    <row r="154" spans="1:144" s="22" customFormat="1" ht="13.8">
      <c r="A154"/>
      <c r="B154"/>
      <c r="C154"/>
      <c r="D154"/>
      <c r="E154"/>
      <c r="F154"/>
      <c r="G154"/>
      <c r="H154"/>
      <c r="I154"/>
      <c r="J154" s="36"/>
      <c r="K154" s="36"/>
      <c r="L154" s="784"/>
      <c r="M154" s="459"/>
      <c r="N154" s="1044"/>
      <c r="O154" s="791"/>
      <c r="P154" s="459"/>
      <c r="Q154" s="459"/>
      <c r="R154" s="459"/>
      <c r="S154" s="459"/>
      <c r="T154" s="459"/>
      <c r="U154" s="459"/>
      <c r="V154" s="459"/>
      <c r="W154" s="459"/>
      <c r="X154" s="459"/>
      <c r="Y154" s="459"/>
      <c r="Z154" s="459"/>
      <c r="AA154" s="459"/>
      <c r="AB154" s="459"/>
      <c r="AC154" s="459"/>
      <c r="AD154" s="459"/>
      <c r="AE154" s="459"/>
      <c r="AF154" s="459"/>
      <c r="AG154" s="459"/>
      <c r="AH154" s="459"/>
      <c r="AI154" s="459"/>
      <c r="AJ154" s="459"/>
      <c r="AK154" s="459"/>
      <c r="AL154" s="459"/>
      <c r="AM154" s="459"/>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row>
    <row r="155" spans="1:144" s="22" customFormat="1" ht="13.8">
      <c r="A155"/>
      <c r="B155"/>
      <c r="C155"/>
      <c r="D155"/>
      <c r="E155"/>
      <c r="F155"/>
      <c r="G155"/>
      <c r="H155"/>
      <c r="I155"/>
      <c r="J155" s="36"/>
      <c r="K155" s="36"/>
      <c r="L155" s="784"/>
      <c r="M155" s="459"/>
      <c r="N155" s="1044"/>
      <c r="O155" s="791"/>
      <c r="P155" s="459"/>
      <c r="Q155" s="459"/>
      <c r="R155" s="459"/>
      <c r="S155" s="459"/>
      <c r="T155" s="459"/>
      <c r="U155" s="459"/>
      <c r="V155" s="459"/>
      <c r="W155" s="459"/>
      <c r="X155" s="459"/>
      <c r="Y155" s="459"/>
      <c r="Z155" s="459"/>
      <c r="AA155" s="459"/>
      <c r="AB155" s="459"/>
      <c r="AC155" s="459"/>
      <c r="AD155" s="459"/>
      <c r="AE155" s="459"/>
      <c r="AF155" s="459"/>
      <c r="AG155" s="459"/>
      <c r="AH155" s="459"/>
      <c r="AI155" s="459"/>
      <c r="AJ155" s="459"/>
      <c r="AK155" s="459"/>
      <c r="AL155" s="459"/>
      <c r="AM155" s="459"/>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row>
    <row r="156" spans="1:144" s="22" customFormat="1" ht="13.8">
      <c r="A156"/>
      <c r="B156"/>
      <c r="C156"/>
      <c r="D156"/>
      <c r="E156"/>
      <c r="F156"/>
      <c r="G156"/>
      <c r="H156"/>
      <c r="I156"/>
      <c r="J156" s="36"/>
      <c r="K156" s="36"/>
      <c r="L156" s="784"/>
      <c r="M156" s="459"/>
      <c r="N156" s="1044"/>
      <c r="O156" s="791"/>
      <c r="P156" s="459"/>
      <c r="Q156" s="459"/>
      <c r="R156" s="459"/>
      <c r="S156" s="459"/>
      <c r="T156" s="459"/>
      <c r="U156" s="459"/>
      <c r="V156" s="459"/>
      <c r="W156" s="459"/>
      <c r="X156" s="459"/>
      <c r="Y156" s="459"/>
      <c r="Z156" s="459"/>
      <c r="AA156" s="459"/>
      <c r="AB156" s="459"/>
      <c r="AC156" s="459"/>
      <c r="AD156" s="459"/>
      <c r="AE156" s="459"/>
      <c r="AF156" s="459"/>
      <c r="AG156" s="459"/>
      <c r="AH156" s="459"/>
      <c r="AI156" s="459"/>
      <c r="AJ156" s="459"/>
      <c r="AK156" s="459"/>
      <c r="AL156" s="459"/>
      <c r="AM156" s="459"/>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row>
    <row r="157" spans="1:144" s="22" customFormat="1" ht="25.5" customHeight="1">
      <c r="A157"/>
      <c r="B157"/>
      <c r="C157"/>
      <c r="D157"/>
      <c r="E157"/>
      <c r="F157"/>
      <c r="G157"/>
      <c r="H157"/>
      <c r="I157"/>
      <c r="J157" s="36"/>
      <c r="K157" s="36"/>
      <c r="L157" s="784"/>
      <c r="M157" s="459"/>
      <c r="N157" s="1044"/>
      <c r="O157" s="791"/>
      <c r="P157" s="459"/>
      <c r="Q157" s="459"/>
      <c r="R157" s="459"/>
      <c r="S157" s="459"/>
      <c r="T157" s="459"/>
      <c r="U157" s="459"/>
      <c r="V157" s="459"/>
      <c r="W157" s="459"/>
      <c r="X157" s="459"/>
      <c r="Y157" s="459"/>
      <c r="Z157" s="459"/>
      <c r="AA157" s="459"/>
      <c r="AB157" s="459"/>
      <c r="AC157" s="459"/>
      <c r="AD157" s="459"/>
      <c r="AE157" s="459"/>
      <c r="AF157" s="459"/>
      <c r="AG157" s="459"/>
      <c r="AH157" s="459"/>
      <c r="AI157" s="459"/>
      <c r="AJ157" s="459"/>
      <c r="AK157" s="459"/>
      <c r="AL157" s="459"/>
      <c r="AM157" s="459"/>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row>
    <row r="158" spans="1:144" s="22" customFormat="1" ht="13.8">
      <c r="A158"/>
      <c r="B158"/>
      <c r="C158"/>
      <c r="D158"/>
      <c r="E158"/>
      <c r="F158"/>
      <c r="G158"/>
      <c r="H158"/>
      <c r="I158"/>
      <c r="J158"/>
      <c r="K158"/>
      <c r="L158" s="784"/>
      <c r="M158" s="459"/>
      <c r="N158" s="1044"/>
      <c r="O158" s="791"/>
      <c r="P158" s="459"/>
      <c r="Q158" s="459"/>
      <c r="R158" s="459"/>
      <c r="S158" s="459"/>
      <c r="T158" s="459"/>
      <c r="U158" s="459"/>
      <c r="V158" s="459"/>
      <c r="W158" s="459"/>
      <c r="X158" s="459"/>
      <c r="Y158" s="459"/>
      <c r="Z158" s="459"/>
      <c r="AA158" s="459"/>
      <c r="AB158" s="459"/>
      <c r="AC158" s="459"/>
      <c r="AD158" s="459"/>
      <c r="AE158" s="459"/>
      <c r="AF158" s="459"/>
      <c r="AG158" s="459"/>
      <c r="AH158" s="459"/>
      <c r="AI158" s="459"/>
      <c r="AJ158" s="459"/>
      <c r="AK158" s="459"/>
      <c r="AL158" s="459"/>
      <c r="AM158" s="459"/>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row>
    <row r="159" spans="1:144" s="22" customFormat="1" ht="13.8">
      <c r="A159"/>
      <c r="B159"/>
      <c r="C159"/>
      <c r="D159"/>
      <c r="E159"/>
      <c r="F159"/>
      <c r="G159"/>
      <c r="H159"/>
      <c r="I159"/>
      <c r="J159"/>
      <c r="K159"/>
      <c r="L159" s="784"/>
      <c r="M159" s="459"/>
      <c r="N159" s="1044"/>
      <c r="O159" s="791"/>
      <c r="P159" s="459"/>
      <c r="Q159" s="459"/>
      <c r="R159" s="459"/>
      <c r="S159" s="459"/>
      <c r="T159" s="459"/>
      <c r="U159" s="459"/>
      <c r="V159" s="459"/>
      <c r="W159" s="459"/>
      <c r="X159" s="459"/>
      <c r="Y159" s="459"/>
      <c r="Z159" s="459"/>
      <c r="AA159" s="459"/>
      <c r="AB159" s="459"/>
      <c r="AC159" s="459"/>
      <c r="AD159" s="459"/>
      <c r="AE159" s="459"/>
      <c r="AF159" s="459"/>
      <c r="AG159" s="459"/>
      <c r="AH159" s="459"/>
      <c r="AI159" s="459"/>
      <c r="AJ159" s="459"/>
      <c r="AK159" s="459"/>
      <c r="AL159" s="459"/>
      <c r="AM159" s="4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row>
    <row r="160" spans="1:144" s="22" customFormat="1" ht="13.8">
      <c r="A160"/>
      <c r="B160"/>
      <c r="C160"/>
      <c r="D160"/>
      <c r="E160"/>
      <c r="F160"/>
      <c r="G160"/>
      <c r="H160"/>
      <c r="I160"/>
      <c r="J160"/>
      <c r="K160"/>
      <c r="L160" s="784"/>
      <c r="M160" s="459"/>
      <c r="N160" s="1044"/>
      <c r="O160" s="791"/>
      <c r="P160" s="459"/>
      <c r="Q160" s="459"/>
      <c r="R160" s="459"/>
      <c r="S160" s="459"/>
      <c r="T160" s="459"/>
      <c r="U160" s="459"/>
      <c r="V160" s="459"/>
      <c r="W160" s="459"/>
      <c r="X160" s="459"/>
      <c r="Y160" s="459"/>
      <c r="Z160" s="459"/>
      <c r="AA160" s="459"/>
      <c r="AB160" s="459"/>
      <c r="AC160" s="459"/>
      <c r="AD160" s="459"/>
      <c r="AE160" s="459"/>
      <c r="AF160" s="459"/>
      <c r="AG160" s="459"/>
      <c r="AH160" s="459"/>
      <c r="AI160" s="459"/>
      <c r="AJ160" s="459"/>
      <c r="AK160" s="459"/>
      <c r="AL160" s="459"/>
      <c r="AM160" s="459"/>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row>
    <row r="161" spans="1:144" s="22" customFormat="1" ht="13.8">
      <c r="A161"/>
      <c r="B161"/>
      <c r="C161"/>
      <c r="D161"/>
      <c r="E161"/>
      <c r="F161"/>
      <c r="G161"/>
      <c r="H161"/>
      <c r="I161"/>
      <c r="J161"/>
      <c r="K161"/>
      <c r="L161" s="784"/>
      <c r="M161" s="459"/>
      <c r="N161" s="1044"/>
      <c r="O161" s="791"/>
      <c r="P161" s="459"/>
      <c r="Q161" s="459"/>
      <c r="R161" s="459"/>
      <c r="S161" s="459"/>
      <c r="T161" s="459"/>
      <c r="U161" s="459"/>
      <c r="V161" s="459"/>
      <c r="W161" s="459"/>
      <c r="X161" s="459"/>
      <c r="Y161" s="459"/>
      <c r="Z161" s="459"/>
      <c r="AA161" s="459"/>
      <c r="AB161" s="459"/>
      <c r="AC161" s="459"/>
      <c r="AD161" s="459"/>
      <c r="AE161" s="459"/>
      <c r="AF161" s="459"/>
      <c r="AG161" s="459"/>
      <c r="AH161" s="459"/>
      <c r="AI161" s="459"/>
      <c r="AJ161" s="459"/>
      <c r="AK161" s="459"/>
      <c r="AL161" s="459"/>
      <c r="AM161" s="459"/>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row>
    <row r="162" spans="1:144" s="22" customFormat="1" ht="13.8">
      <c r="A162"/>
      <c r="B162"/>
      <c r="C162"/>
      <c r="D162"/>
      <c r="E162"/>
      <c r="F162"/>
      <c r="G162"/>
      <c r="H162"/>
      <c r="I162"/>
      <c r="J162"/>
      <c r="K162"/>
      <c r="L162" s="784"/>
      <c r="M162" s="459"/>
      <c r="N162" s="1044"/>
      <c r="O162" s="791"/>
      <c r="P162" s="459"/>
      <c r="Q162" s="459"/>
      <c r="R162" s="459"/>
      <c r="S162" s="459"/>
      <c r="T162" s="459"/>
      <c r="U162" s="459"/>
      <c r="V162" s="459"/>
      <c r="W162" s="459"/>
      <c r="X162" s="459"/>
      <c r="Y162" s="459"/>
      <c r="Z162" s="459"/>
      <c r="AA162" s="459"/>
      <c r="AB162" s="459"/>
      <c r="AC162" s="459"/>
      <c r="AD162" s="459"/>
      <c r="AE162" s="459"/>
      <c r="AF162" s="459"/>
      <c r="AG162" s="459"/>
      <c r="AH162" s="459"/>
      <c r="AI162" s="459"/>
      <c r="AJ162" s="459"/>
      <c r="AK162" s="459"/>
      <c r="AL162" s="459"/>
      <c r="AM162" s="459"/>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row>
    <row r="163" spans="1:144" s="22" customFormat="1" ht="13.8">
      <c r="A163"/>
      <c r="B163"/>
      <c r="C163"/>
      <c r="D163"/>
      <c r="E163"/>
      <c r="F163"/>
      <c r="G163"/>
      <c r="H163"/>
      <c r="I163"/>
      <c r="J163"/>
      <c r="K163"/>
      <c r="L163" s="784"/>
      <c r="M163" s="459"/>
      <c r="N163" s="1044"/>
      <c r="O163" s="459"/>
      <c r="P163" s="459"/>
      <c r="Q163" s="459"/>
      <c r="R163" s="459"/>
      <c r="S163" s="459"/>
      <c r="T163" s="459"/>
      <c r="U163" s="459"/>
      <c r="V163" s="459"/>
      <c r="W163" s="459"/>
      <c r="X163" s="459"/>
      <c r="Y163" s="459"/>
      <c r="Z163" s="459"/>
      <c r="AA163" s="459"/>
      <c r="AB163" s="459"/>
      <c r="AC163" s="459"/>
      <c r="AD163" s="459"/>
      <c r="AE163" s="459"/>
      <c r="AF163" s="459"/>
      <c r="AG163" s="459"/>
      <c r="AH163" s="459"/>
      <c r="AI163" s="459"/>
      <c r="AJ163" s="459"/>
      <c r="AK163" s="459"/>
      <c r="AL163" s="459"/>
      <c r="AM163" s="459"/>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row>
    <row r="164" spans="1:144" s="22" customFormat="1" ht="13.8">
      <c r="A164"/>
      <c r="B164"/>
      <c r="C164"/>
      <c r="D164"/>
      <c r="E164"/>
      <c r="F164"/>
      <c r="G164"/>
      <c r="H164"/>
      <c r="I164"/>
      <c r="J164"/>
      <c r="K164"/>
      <c r="L164" s="784"/>
      <c r="M164" s="459"/>
      <c r="N164" s="1044"/>
      <c r="O164" s="459"/>
      <c r="P164" s="459"/>
      <c r="Q164" s="459"/>
      <c r="R164" s="459"/>
      <c r="S164" s="459"/>
      <c r="T164" s="459"/>
      <c r="U164" s="459"/>
      <c r="V164" s="459"/>
      <c r="W164" s="459"/>
      <c r="X164" s="459"/>
      <c r="Y164" s="459"/>
      <c r="Z164" s="459"/>
      <c r="AA164" s="459"/>
      <c r="AB164" s="459"/>
      <c r="AC164" s="459"/>
      <c r="AD164" s="459"/>
      <c r="AE164" s="459"/>
      <c r="AF164" s="459"/>
      <c r="AG164" s="459"/>
      <c r="AH164" s="459"/>
      <c r="AI164" s="459"/>
      <c r="AJ164" s="459"/>
      <c r="AK164" s="459"/>
      <c r="AL164" s="459"/>
      <c r="AM164" s="459"/>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row>
    <row r="165" spans="1:144" ht="15">
      <c r="A165"/>
      <c r="B165"/>
      <c r="C165"/>
      <c r="D165"/>
      <c r="E165"/>
      <c r="F165"/>
      <c r="G165"/>
      <c r="H165"/>
      <c r="I165"/>
      <c r="J165"/>
      <c r="K165"/>
      <c r="L165" s="784"/>
      <c r="M165" s="459"/>
      <c r="N165" s="1044"/>
      <c r="O165" s="459"/>
      <c r="P165" s="459"/>
      <c r="Q165" s="459"/>
      <c r="R165" s="459"/>
      <c r="S165" s="459"/>
      <c r="T165" s="459"/>
      <c r="U165" s="459"/>
      <c r="V165" s="459"/>
      <c r="W165" s="459"/>
      <c r="X165" s="459"/>
      <c r="Y165" s="459"/>
      <c r="Z165" s="459"/>
      <c r="AA165" s="459"/>
      <c r="AB165" s="459"/>
      <c r="AC165" s="459"/>
      <c r="AD165" s="459"/>
      <c r="AE165" s="459"/>
      <c r="AF165" s="459"/>
      <c r="AG165" s="459"/>
      <c r="AH165" s="459"/>
      <c r="AI165" s="459"/>
      <c r="AJ165" s="459"/>
      <c r="AK165" s="459"/>
      <c r="AL165" s="459"/>
      <c r="AM165" s="459"/>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row>
    <row r="166" spans="1:144" ht="15">
      <c r="A166"/>
      <c r="B166"/>
      <c r="C166"/>
      <c r="D166"/>
      <c r="E166"/>
      <c r="F166"/>
      <c r="G166"/>
      <c r="H166"/>
      <c r="I166"/>
      <c r="J166"/>
      <c r="K166"/>
      <c r="L166" s="784"/>
      <c r="M166" s="459"/>
      <c r="N166" s="1044"/>
      <c r="O166" s="459"/>
      <c r="P166" s="459"/>
      <c r="Q166" s="459"/>
      <c r="R166" s="459"/>
      <c r="S166" s="459"/>
      <c r="T166" s="459"/>
      <c r="U166" s="459"/>
      <c r="V166" s="459"/>
      <c r="W166" s="459"/>
      <c r="X166" s="459"/>
      <c r="Y166" s="459"/>
      <c r="Z166" s="459"/>
      <c r="AA166" s="459"/>
      <c r="AB166" s="459"/>
      <c r="AC166" s="459"/>
      <c r="AD166" s="459"/>
      <c r="AE166" s="459"/>
      <c r="AF166" s="459"/>
      <c r="AG166" s="459"/>
      <c r="AH166" s="459"/>
      <c r="AI166" s="459"/>
      <c r="AJ166" s="459"/>
      <c r="AK166" s="459"/>
      <c r="AL166" s="459"/>
      <c r="AM166" s="459"/>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row>
    <row r="167" spans="1:144" ht="15">
      <c r="A167"/>
      <c r="B167"/>
      <c r="C167"/>
      <c r="D167"/>
      <c r="E167"/>
      <c r="F167"/>
      <c r="G167"/>
      <c r="H167"/>
      <c r="I167"/>
      <c r="J167"/>
      <c r="K167"/>
      <c r="L167" s="784"/>
      <c r="M167" s="459"/>
      <c r="N167" s="1044"/>
      <c r="O167" s="459"/>
      <c r="P167" s="459"/>
      <c r="Q167" s="459"/>
      <c r="R167" s="459"/>
      <c r="S167" s="459"/>
      <c r="T167" s="459"/>
      <c r="U167" s="459"/>
      <c r="V167" s="459"/>
      <c r="W167" s="459"/>
      <c r="X167" s="459"/>
      <c r="Y167" s="459"/>
      <c r="Z167" s="459"/>
      <c r="AA167" s="459"/>
      <c r="AB167" s="459"/>
      <c r="AC167" s="459"/>
      <c r="AD167" s="459"/>
      <c r="AE167" s="459"/>
      <c r="AF167" s="459"/>
      <c r="AG167" s="459"/>
      <c r="AH167" s="459"/>
      <c r="AI167" s="459"/>
      <c r="AJ167" s="459"/>
      <c r="AK167" s="459"/>
      <c r="AL167" s="459"/>
      <c r="AM167" s="459"/>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row>
    <row r="168" spans="1:144" ht="15">
      <c r="A168"/>
      <c r="B168"/>
      <c r="C168"/>
      <c r="D168"/>
      <c r="E168"/>
      <c r="F168"/>
      <c r="G168"/>
      <c r="H168"/>
      <c r="I168"/>
      <c r="J168"/>
      <c r="K168"/>
      <c r="L168" s="784"/>
      <c r="M168" s="459"/>
      <c r="N168" s="1044"/>
      <c r="O168" s="459"/>
      <c r="P168" s="459"/>
      <c r="Q168" s="459"/>
      <c r="R168" s="459"/>
      <c r="S168" s="459"/>
      <c r="T168" s="459"/>
      <c r="U168" s="459"/>
      <c r="V168" s="459"/>
      <c r="W168" s="459"/>
      <c r="X168" s="459"/>
      <c r="Y168" s="459"/>
      <c r="Z168" s="459"/>
      <c r="AA168" s="459"/>
      <c r="AB168" s="459"/>
      <c r="AC168" s="459"/>
      <c r="AD168" s="459"/>
      <c r="AE168" s="459"/>
      <c r="AF168" s="459"/>
      <c r="AG168" s="459"/>
      <c r="AH168" s="459"/>
      <c r="AI168" s="459"/>
      <c r="AJ168" s="459"/>
      <c r="AK168" s="459"/>
      <c r="AL168" s="459"/>
      <c r="AM168" s="459"/>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row>
    <row r="169" spans="1:144" ht="15">
      <c r="A169"/>
      <c r="B169"/>
      <c r="C169"/>
      <c r="D169"/>
      <c r="E169"/>
      <c r="F169"/>
      <c r="G169"/>
      <c r="H169"/>
      <c r="I169"/>
      <c r="J169"/>
      <c r="K169"/>
      <c r="L169" s="784"/>
      <c r="M169" s="459"/>
      <c r="N169" s="1044"/>
      <c r="O169" s="459"/>
      <c r="P169" s="459"/>
      <c r="Q169" s="459"/>
      <c r="R169" s="459"/>
      <c r="S169" s="459"/>
      <c r="T169" s="459"/>
      <c r="U169" s="459"/>
      <c r="V169" s="459"/>
      <c r="W169" s="459"/>
      <c r="X169" s="459"/>
      <c r="Y169" s="459"/>
      <c r="Z169" s="459"/>
      <c r="AA169" s="459"/>
      <c r="AB169" s="459"/>
      <c r="AC169" s="459"/>
      <c r="AD169" s="459"/>
      <c r="AE169" s="459"/>
      <c r="AF169" s="459"/>
      <c r="AG169" s="459"/>
      <c r="AH169" s="459"/>
      <c r="AI169" s="459"/>
      <c r="AJ169" s="459"/>
      <c r="AK169" s="459"/>
      <c r="AL169" s="459"/>
      <c r="AM169" s="45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row>
    <row r="170" spans="1:144" ht="15">
      <c r="A170"/>
      <c r="B170"/>
      <c r="C170"/>
      <c r="D170"/>
      <c r="E170"/>
      <c r="F170"/>
      <c r="G170"/>
      <c r="H170"/>
      <c r="I170"/>
      <c r="J170"/>
      <c r="K170"/>
      <c r="L170" s="784"/>
      <c r="M170" s="459"/>
      <c r="N170" s="1044"/>
      <c r="O170" s="459"/>
      <c r="P170" s="459"/>
      <c r="Q170" s="459"/>
      <c r="R170" s="459"/>
      <c r="S170" s="459"/>
      <c r="T170" s="459"/>
      <c r="U170" s="459"/>
      <c r="V170" s="459"/>
      <c r="W170" s="459"/>
      <c r="X170" s="459"/>
      <c r="Y170" s="459"/>
      <c r="Z170" s="459"/>
      <c r="AA170" s="459"/>
      <c r="AB170" s="459"/>
      <c r="AC170" s="459"/>
      <c r="AD170" s="459"/>
      <c r="AE170" s="459"/>
      <c r="AF170" s="459"/>
      <c r="AG170" s="459"/>
      <c r="AH170" s="459"/>
      <c r="AI170" s="459"/>
      <c r="AJ170" s="459"/>
      <c r="AK170" s="459"/>
      <c r="AL170" s="459"/>
      <c r="AM170" s="459"/>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row>
    <row r="171" spans="1:144" ht="15">
      <c r="A171"/>
      <c r="B171"/>
      <c r="C171"/>
      <c r="D171"/>
      <c r="E171"/>
      <c r="F171"/>
      <c r="G171"/>
      <c r="H171"/>
      <c r="I171"/>
      <c r="J171"/>
      <c r="K171"/>
      <c r="L171" s="784"/>
      <c r="M171" s="459"/>
      <c r="N171" s="1044"/>
      <c r="O171" s="459"/>
      <c r="P171" s="459"/>
      <c r="Q171" s="459"/>
      <c r="R171" s="459"/>
      <c r="S171" s="459"/>
      <c r="T171" s="459"/>
      <c r="U171" s="459"/>
      <c r="V171" s="459"/>
      <c r="W171" s="459"/>
      <c r="X171" s="459"/>
      <c r="Y171" s="459"/>
      <c r="Z171" s="459"/>
      <c r="AA171" s="459"/>
      <c r="AB171" s="459"/>
      <c r="AC171" s="459"/>
      <c r="AD171" s="459"/>
      <c r="AE171" s="459"/>
      <c r="AF171" s="459"/>
      <c r="AG171" s="459"/>
      <c r="AH171" s="459"/>
      <c r="AI171" s="459"/>
      <c r="AJ171" s="459"/>
      <c r="AK171" s="459"/>
      <c r="AL171" s="459"/>
      <c r="AM171" s="459"/>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row>
    <row r="172" spans="1:144" ht="15">
      <c r="A172"/>
      <c r="B172"/>
      <c r="C172"/>
      <c r="D172"/>
      <c r="E172"/>
      <c r="F172"/>
      <c r="G172"/>
      <c r="H172"/>
      <c r="I172"/>
      <c r="J172"/>
      <c r="K172"/>
      <c r="L172" s="784"/>
      <c r="M172" s="459"/>
      <c r="N172" s="1044"/>
      <c r="O172" s="459"/>
      <c r="P172" s="459"/>
      <c r="Q172" s="459"/>
      <c r="R172" s="459"/>
      <c r="S172" s="459"/>
      <c r="T172" s="459"/>
      <c r="U172" s="459"/>
      <c r="V172" s="459"/>
      <c r="W172" s="459"/>
      <c r="X172" s="459"/>
      <c r="Y172" s="459"/>
      <c r="Z172" s="459"/>
      <c r="AA172" s="459"/>
      <c r="AB172" s="459"/>
      <c r="AC172" s="459"/>
      <c r="AD172" s="459"/>
      <c r="AE172" s="459"/>
      <c r="AF172" s="459"/>
      <c r="AG172" s="459"/>
      <c r="AH172" s="459"/>
      <c r="AI172" s="459"/>
      <c r="AJ172" s="459"/>
      <c r="AK172" s="459"/>
      <c r="AL172" s="459"/>
      <c r="AM172" s="459"/>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row>
    <row r="173" spans="1:144" ht="15">
      <c r="A173"/>
      <c r="B173"/>
      <c r="C173"/>
      <c r="D173"/>
      <c r="E173"/>
      <c r="F173"/>
      <c r="G173"/>
      <c r="H173"/>
      <c r="I173"/>
      <c r="J173"/>
      <c r="K173"/>
      <c r="L173" s="784"/>
      <c r="M173" s="459"/>
      <c r="N173" s="1044"/>
      <c r="O173" s="459"/>
      <c r="P173" s="459"/>
      <c r="Q173" s="459"/>
      <c r="R173" s="459"/>
      <c r="S173" s="459"/>
      <c r="T173" s="459"/>
      <c r="U173" s="459"/>
      <c r="V173" s="459"/>
      <c r="W173" s="459"/>
      <c r="X173" s="459"/>
      <c r="Y173" s="459"/>
      <c r="Z173" s="459"/>
      <c r="AA173" s="459"/>
      <c r="AB173" s="459"/>
      <c r="AC173" s="459"/>
      <c r="AD173" s="459"/>
      <c r="AE173" s="459"/>
      <c r="AF173" s="459"/>
      <c r="AG173" s="459"/>
      <c r="AH173" s="459"/>
      <c r="AI173" s="459"/>
      <c r="AJ173" s="459"/>
      <c r="AK173" s="459"/>
      <c r="AL173" s="459"/>
      <c r="AM173" s="459"/>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row>
    <row r="174" spans="1:144" ht="15">
      <c r="A174"/>
      <c r="B174"/>
      <c r="C174"/>
      <c r="D174"/>
      <c r="E174"/>
      <c r="F174"/>
      <c r="G174"/>
      <c r="H174"/>
      <c r="I174"/>
      <c r="J174"/>
      <c r="K174"/>
      <c r="L174" s="784"/>
      <c r="M174" s="459"/>
      <c r="N174" s="1044"/>
      <c r="O174" s="459"/>
      <c r="P174" s="459"/>
      <c r="Q174" s="459"/>
      <c r="R174" s="459"/>
      <c r="S174" s="459"/>
      <c r="T174" s="459"/>
      <c r="U174" s="459"/>
      <c r="V174" s="459"/>
      <c r="W174" s="459"/>
      <c r="X174" s="459"/>
      <c r="Y174" s="459"/>
      <c r="Z174" s="459"/>
      <c r="AA174" s="459"/>
      <c r="AB174" s="459"/>
      <c r="AC174" s="459"/>
      <c r="AD174" s="459"/>
      <c r="AE174" s="459"/>
      <c r="AF174" s="459"/>
      <c r="AG174" s="459"/>
      <c r="AH174" s="459"/>
      <c r="AI174" s="459"/>
      <c r="AJ174" s="459"/>
      <c r="AK174" s="459"/>
      <c r="AL174" s="459"/>
      <c r="AM174" s="459"/>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row>
    <row r="175" spans="1:144" ht="15">
      <c r="A175"/>
      <c r="B175"/>
      <c r="C175"/>
      <c r="D175"/>
      <c r="E175"/>
      <c r="F175"/>
      <c r="G175"/>
      <c r="H175"/>
      <c r="I175"/>
      <c r="J175"/>
      <c r="K175"/>
      <c r="L175" s="784"/>
      <c r="M175" s="459"/>
      <c r="N175" s="1044"/>
      <c r="O175" s="459"/>
      <c r="P175" s="459"/>
      <c r="Q175" s="459"/>
      <c r="R175" s="459"/>
      <c r="S175" s="459"/>
      <c r="T175" s="459"/>
      <c r="U175" s="459"/>
      <c r="V175" s="459"/>
      <c r="W175" s="459"/>
      <c r="X175" s="459"/>
      <c r="Y175" s="459"/>
      <c r="Z175" s="459"/>
      <c r="AA175" s="459"/>
      <c r="AB175" s="459"/>
      <c r="AC175" s="459"/>
      <c r="AD175" s="459"/>
      <c r="AE175" s="459"/>
      <c r="AF175" s="459"/>
      <c r="AG175" s="459"/>
      <c r="AH175" s="459"/>
      <c r="AI175" s="459"/>
      <c r="AJ175" s="459"/>
      <c r="AK175" s="459"/>
      <c r="AL175" s="459"/>
      <c r="AM175" s="459"/>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row>
    <row r="176" spans="1:144" ht="15">
      <c r="A176"/>
      <c r="B176"/>
      <c r="C176"/>
      <c r="D176"/>
      <c r="E176"/>
      <c r="F176"/>
      <c r="G176"/>
      <c r="H176"/>
      <c r="I176"/>
      <c r="J176"/>
      <c r="K176"/>
      <c r="L176" s="784"/>
      <c r="M176" s="459"/>
      <c r="N176" s="1044"/>
      <c r="O176" s="459"/>
      <c r="P176" s="459"/>
      <c r="Q176" s="459"/>
      <c r="R176" s="459"/>
      <c r="S176" s="459"/>
      <c r="T176" s="459"/>
      <c r="U176" s="459"/>
      <c r="V176" s="459"/>
      <c r="W176" s="459"/>
      <c r="X176" s="459"/>
      <c r="Y176" s="459"/>
      <c r="Z176" s="459"/>
      <c r="AA176" s="459"/>
      <c r="AB176" s="459"/>
      <c r="AC176" s="459"/>
      <c r="AD176" s="459"/>
      <c r="AE176" s="459"/>
      <c r="AF176" s="459"/>
      <c r="AG176" s="459"/>
      <c r="AH176" s="459"/>
      <c r="AI176" s="459"/>
      <c r="AJ176" s="459"/>
      <c r="AK176" s="459"/>
      <c r="AL176" s="459"/>
      <c r="AM176" s="459"/>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row>
    <row r="177" spans="1:144" ht="15">
      <c r="A177"/>
      <c r="B177"/>
      <c r="C177"/>
      <c r="D177"/>
      <c r="E177"/>
      <c r="F177"/>
      <c r="G177"/>
      <c r="H177"/>
      <c r="I177"/>
      <c r="J177"/>
      <c r="K177"/>
      <c r="L177" s="784"/>
      <c r="M177" s="459"/>
      <c r="N177" s="1044"/>
      <c r="O177" s="459"/>
      <c r="P177" s="459"/>
      <c r="Q177" s="459"/>
      <c r="R177" s="459"/>
      <c r="S177" s="459"/>
      <c r="T177" s="459"/>
      <c r="U177" s="459"/>
      <c r="V177" s="459"/>
      <c r="W177" s="459"/>
      <c r="X177" s="459"/>
      <c r="Y177" s="459"/>
      <c r="Z177" s="459"/>
      <c r="AA177" s="459"/>
      <c r="AB177" s="459"/>
      <c r="AC177" s="459"/>
      <c r="AD177" s="459"/>
      <c r="AE177" s="459"/>
      <c r="AF177" s="459"/>
      <c r="AG177" s="459"/>
      <c r="AH177" s="459"/>
      <c r="AI177" s="459"/>
      <c r="AJ177" s="459"/>
      <c r="AK177" s="459"/>
      <c r="AL177" s="459"/>
      <c r="AM177" s="459"/>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row>
    <row r="178" spans="1:144" ht="15">
      <c r="A178"/>
      <c r="B178"/>
      <c r="C178"/>
      <c r="D178"/>
      <c r="E178"/>
      <c r="F178"/>
      <c r="G178"/>
      <c r="H178"/>
      <c r="I178"/>
      <c r="J178"/>
      <c r="K178"/>
      <c r="L178" s="784"/>
      <c r="M178" s="459"/>
      <c r="N178" s="1044"/>
      <c r="O178" s="459"/>
      <c r="P178" s="459"/>
      <c r="Q178" s="459"/>
      <c r="R178" s="459"/>
      <c r="S178" s="459"/>
      <c r="T178" s="459"/>
      <c r="U178" s="459"/>
      <c r="V178" s="459"/>
      <c r="W178" s="459"/>
      <c r="X178" s="459"/>
      <c r="Y178" s="459"/>
      <c r="Z178" s="459"/>
      <c r="AA178" s="459"/>
      <c r="AB178" s="459"/>
      <c r="AC178" s="459"/>
      <c r="AD178" s="459"/>
      <c r="AE178" s="459"/>
      <c r="AF178" s="459"/>
      <c r="AG178" s="459"/>
      <c r="AH178" s="459"/>
      <c r="AI178" s="459"/>
      <c r="AJ178" s="459"/>
      <c r="AK178" s="459"/>
      <c r="AL178" s="459"/>
      <c r="AM178" s="459"/>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row>
    <row r="179" spans="1:144" ht="15">
      <c r="A179"/>
      <c r="B179"/>
      <c r="C179"/>
      <c r="D179"/>
      <c r="E179"/>
      <c r="F179"/>
      <c r="G179"/>
      <c r="H179"/>
      <c r="I179"/>
      <c r="J179"/>
      <c r="K179"/>
      <c r="L179" s="784"/>
      <c r="M179" s="459"/>
      <c r="N179" s="1044"/>
      <c r="O179" s="459"/>
      <c r="P179" s="459"/>
      <c r="Q179" s="459"/>
      <c r="R179" s="459"/>
      <c r="S179" s="459"/>
      <c r="T179" s="459"/>
      <c r="U179" s="459"/>
      <c r="V179" s="459"/>
      <c r="W179" s="459"/>
      <c r="X179" s="459"/>
      <c r="Y179" s="459"/>
      <c r="Z179" s="459"/>
      <c r="AA179" s="459"/>
      <c r="AB179" s="459"/>
      <c r="AC179" s="459"/>
      <c r="AD179" s="459"/>
      <c r="AE179" s="459"/>
      <c r="AF179" s="459"/>
      <c r="AG179" s="459"/>
      <c r="AH179" s="459"/>
      <c r="AI179" s="459"/>
      <c r="AJ179" s="459"/>
      <c r="AK179" s="459"/>
      <c r="AL179" s="459"/>
      <c r="AM179" s="45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row>
    <row r="180" spans="1:144" ht="15">
      <c r="A180"/>
      <c r="B180"/>
      <c r="C180"/>
      <c r="D180"/>
      <c r="E180"/>
      <c r="F180"/>
      <c r="G180"/>
      <c r="H180"/>
      <c r="I180"/>
      <c r="J180"/>
      <c r="K180"/>
      <c r="L180" s="784"/>
      <c r="M180" s="459"/>
      <c r="N180" s="1044"/>
      <c r="O180" s="459"/>
      <c r="P180" s="459"/>
      <c r="Q180" s="459"/>
      <c r="R180" s="459"/>
      <c r="S180" s="459"/>
      <c r="T180" s="459"/>
      <c r="U180" s="459"/>
      <c r="V180" s="459"/>
      <c r="W180" s="459"/>
      <c r="X180" s="459"/>
      <c r="Y180" s="459"/>
      <c r="Z180" s="459"/>
      <c r="AA180" s="459"/>
      <c r="AB180" s="459"/>
      <c r="AC180" s="459"/>
      <c r="AD180" s="459"/>
      <c r="AE180" s="459"/>
      <c r="AF180" s="459"/>
      <c r="AG180" s="459"/>
      <c r="AH180" s="459"/>
      <c r="AI180" s="459"/>
      <c r="AJ180" s="459"/>
      <c r="AK180" s="459"/>
      <c r="AL180" s="459"/>
      <c r="AM180" s="459"/>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row>
    <row r="181" spans="1:144" ht="15">
      <c r="A181"/>
      <c r="B181"/>
      <c r="C181"/>
      <c r="D181"/>
      <c r="E181"/>
      <c r="F181"/>
      <c r="G181"/>
      <c r="H181"/>
      <c r="I181"/>
      <c r="J181"/>
      <c r="K181"/>
      <c r="L181" s="784"/>
      <c r="M181" s="459"/>
      <c r="N181" s="1044"/>
      <c r="O181" s="459"/>
      <c r="P181" s="459"/>
      <c r="Q181" s="459"/>
      <c r="R181" s="459"/>
      <c r="S181" s="459"/>
      <c r="T181" s="459"/>
      <c r="U181" s="459"/>
      <c r="V181" s="459"/>
      <c r="W181" s="459"/>
      <c r="X181" s="459"/>
      <c r="Y181" s="459"/>
      <c r="Z181" s="459"/>
      <c r="AA181" s="459"/>
      <c r="AB181" s="459"/>
      <c r="AC181" s="459"/>
      <c r="AD181" s="459"/>
      <c r="AE181" s="459"/>
      <c r="AF181" s="459"/>
      <c r="AG181" s="459"/>
      <c r="AH181" s="459"/>
      <c r="AI181" s="459"/>
      <c r="AJ181" s="459"/>
      <c r="AK181" s="459"/>
      <c r="AL181" s="459"/>
      <c r="AM181" s="459"/>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row>
    <row r="182" spans="1:144" ht="15">
      <c r="A182"/>
      <c r="B182"/>
      <c r="C182"/>
      <c r="D182"/>
      <c r="E182"/>
      <c r="F182"/>
      <c r="G182"/>
      <c r="H182"/>
      <c r="I182"/>
      <c r="J182"/>
      <c r="K182"/>
      <c r="L182" s="784"/>
      <c r="M182" s="459"/>
      <c r="N182" s="1044"/>
      <c r="O182" s="459"/>
      <c r="P182" s="459"/>
      <c r="Q182" s="459"/>
      <c r="R182" s="459"/>
      <c r="S182" s="459"/>
      <c r="T182" s="459"/>
      <c r="U182" s="459"/>
      <c r="V182" s="459"/>
      <c r="W182" s="459"/>
      <c r="X182" s="459"/>
      <c r="Y182" s="459"/>
      <c r="Z182" s="459"/>
      <c r="AA182" s="459"/>
      <c r="AB182" s="459"/>
      <c r="AC182" s="459"/>
      <c r="AD182" s="459"/>
      <c r="AE182" s="459"/>
      <c r="AF182" s="459"/>
      <c r="AG182" s="459"/>
      <c r="AH182" s="459"/>
      <c r="AI182" s="459"/>
      <c r="AJ182" s="459"/>
      <c r="AK182" s="459"/>
      <c r="AL182" s="459"/>
      <c r="AM182" s="459"/>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row>
    <row r="183" spans="1:144" ht="15">
      <c r="A183"/>
      <c r="B183"/>
      <c r="C183"/>
      <c r="D183"/>
      <c r="E183"/>
      <c r="F183"/>
      <c r="G183"/>
      <c r="H183"/>
      <c r="I183"/>
      <c r="J183"/>
      <c r="K183"/>
      <c r="L183" s="784"/>
      <c r="M183" s="459"/>
      <c r="N183" s="1044"/>
      <c r="O183" s="459"/>
      <c r="P183" s="459"/>
      <c r="Q183" s="459"/>
      <c r="R183" s="459"/>
      <c r="S183" s="459"/>
      <c r="T183" s="459"/>
      <c r="U183" s="459"/>
      <c r="V183" s="459"/>
      <c r="W183" s="459"/>
      <c r="X183" s="459"/>
      <c r="Y183" s="459"/>
      <c r="Z183" s="459"/>
      <c r="AA183" s="459"/>
      <c r="AB183" s="459"/>
      <c r="AC183" s="459"/>
      <c r="AD183" s="459"/>
      <c r="AE183" s="459"/>
      <c r="AF183" s="459"/>
      <c r="AG183" s="459"/>
      <c r="AH183" s="459"/>
      <c r="AI183" s="459"/>
      <c r="AJ183" s="459"/>
      <c r="AK183" s="459"/>
      <c r="AL183" s="459"/>
      <c r="AM183" s="459"/>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row>
    <row r="184" spans="1:144" ht="15">
      <c r="A184"/>
      <c r="B184"/>
      <c r="C184"/>
      <c r="D184"/>
      <c r="E184"/>
      <c r="F184"/>
      <c r="G184"/>
      <c r="H184"/>
      <c r="I184"/>
      <c r="J184"/>
      <c r="K184"/>
      <c r="L184" s="784"/>
      <c r="M184" s="459"/>
      <c r="N184" s="1044"/>
      <c r="O184" s="459"/>
      <c r="P184" s="459"/>
      <c r="Q184" s="459"/>
      <c r="R184" s="459"/>
      <c r="S184" s="459"/>
      <c r="T184" s="459"/>
      <c r="U184" s="459"/>
      <c r="V184" s="459"/>
      <c r="W184" s="459"/>
      <c r="X184" s="459"/>
      <c r="Y184" s="459"/>
      <c r="Z184" s="459"/>
      <c r="AA184" s="459"/>
      <c r="AB184" s="459"/>
      <c r="AC184" s="459"/>
      <c r="AD184" s="459"/>
      <c r="AE184" s="459"/>
      <c r="AF184" s="459"/>
      <c r="AG184" s="459"/>
      <c r="AH184" s="459"/>
      <c r="AI184" s="459"/>
      <c r="AJ184" s="459"/>
      <c r="AK184" s="459"/>
      <c r="AL184" s="459"/>
      <c r="AM184" s="459"/>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row>
    <row r="185" spans="1:144" ht="15">
      <c r="A185"/>
      <c r="B185"/>
      <c r="C185"/>
      <c r="D185"/>
      <c r="E185"/>
      <c r="F185"/>
      <c r="G185"/>
      <c r="H185"/>
      <c r="I185"/>
      <c r="J185"/>
      <c r="K185"/>
      <c r="L185" s="784"/>
      <c r="M185" s="459"/>
      <c r="N185" s="1044"/>
      <c r="O185" s="459"/>
      <c r="P185" s="459"/>
      <c r="Q185" s="459"/>
      <c r="R185" s="459"/>
      <c r="S185" s="459"/>
      <c r="T185" s="459"/>
      <c r="U185" s="459"/>
      <c r="V185" s="459"/>
      <c r="W185" s="459"/>
      <c r="X185" s="459"/>
      <c r="Y185" s="459"/>
      <c r="Z185" s="459"/>
      <c r="AA185" s="459"/>
      <c r="AB185" s="459"/>
      <c r="AC185" s="459"/>
      <c r="AD185" s="459"/>
      <c r="AE185" s="459"/>
      <c r="AF185" s="459"/>
      <c r="AG185" s="459"/>
      <c r="AH185" s="459"/>
      <c r="AI185" s="459"/>
      <c r="AJ185" s="459"/>
      <c r="AK185" s="459"/>
      <c r="AL185" s="459"/>
      <c r="AM185" s="459"/>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row>
    <row r="186" spans="1:144" ht="15">
      <c r="A186"/>
      <c r="B186"/>
      <c r="C186"/>
      <c r="D186"/>
      <c r="E186"/>
      <c r="F186"/>
      <c r="G186"/>
      <c r="H186"/>
      <c r="I186"/>
      <c r="J186"/>
      <c r="K186"/>
      <c r="L186" s="784"/>
      <c r="M186" s="459"/>
      <c r="N186" s="1044"/>
      <c r="O186" s="459"/>
      <c r="P186" s="459"/>
      <c r="Q186" s="459"/>
      <c r="R186" s="459"/>
      <c r="S186" s="459"/>
      <c r="T186" s="459"/>
      <c r="U186" s="459"/>
      <c r="V186" s="459"/>
      <c r="W186" s="459"/>
      <c r="X186" s="459"/>
      <c r="Y186" s="459"/>
      <c r="Z186" s="459"/>
      <c r="AA186" s="459"/>
      <c r="AB186" s="459"/>
      <c r="AC186" s="459"/>
      <c r="AD186" s="459"/>
      <c r="AE186" s="459"/>
      <c r="AF186" s="459"/>
      <c r="AG186" s="459"/>
      <c r="AH186" s="459"/>
      <c r="AI186" s="459"/>
      <c r="AJ186" s="459"/>
      <c r="AK186" s="459"/>
      <c r="AL186" s="459"/>
      <c r="AM186" s="459"/>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row>
    <row r="187" spans="1:144" ht="15">
      <c r="A187"/>
      <c r="B187"/>
      <c r="C187"/>
      <c r="D187"/>
      <c r="E187"/>
      <c r="F187"/>
      <c r="G187"/>
      <c r="H187"/>
      <c r="I187"/>
      <c r="J187"/>
      <c r="K187"/>
      <c r="L187" s="784"/>
      <c r="M187" s="459"/>
      <c r="N187" s="1044"/>
      <c r="O187" s="459"/>
      <c r="P187" s="459"/>
      <c r="Q187" s="459"/>
      <c r="R187" s="459"/>
      <c r="S187" s="459"/>
      <c r="T187" s="459"/>
      <c r="U187" s="459"/>
      <c r="V187" s="459"/>
      <c r="W187" s="459"/>
      <c r="X187" s="459"/>
      <c r="Y187" s="459"/>
      <c r="Z187" s="459"/>
      <c r="AA187" s="459"/>
      <c r="AB187" s="459"/>
      <c r="AC187" s="459"/>
      <c r="AD187" s="459"/>
      <c r="AE187" s="459"/>
      <c r="AF187" s="459"/>
      <c r="AG187" s="459"/>
      <c r="AH187" s="459"/>
      <c r="AI187" s="459"/>
      <c r="AJ187" s="459"/>
      <c r="AK187" s="459"/>
      <c r="AL187" s="459"/>
      <c r="AM187" s="459"/>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row>
    <row r="188" spans="1:144" ht="15">
      <c r="A188"/>
      <c r="B188"/>
      <c r="C188"/>
      <c r="D188"/>
      <c r="E188"/>
      <c r="F188"/>
      <c r="G188"/>
      <c r="H188"/>
      <c r="I188"/>
      <c r="J188"/>
      <c r="K188"/>
      <c r="L188" s="784"/>
      <c r="M188" s="459"/>
      <c r="N188" s="1044"/>
      <c r="O188" s="459"/>
      <c r="P188" s="459"/>
      <c r="Q188" s="459"/>
      <c r="R188" s="459"/>
      <c r="S188" s="459"/>
      <c r="T188" s="459"/>
      <c r="U188" s="459"/>
      <c r="V188" s="459"/>
      <c r="W188" s="459"/>
      <c r="X188" s="459"/>
      <c r="Y188" s="459"/>
      <c r="Z188" s="459"/>
      <c r="AA188" s="459"/>
      <c r="AB188" s="459"/>
      <c r="AC188" s="459"/>
      <c r="AD188" s="459"/>
      <c r="AE188" s="459"/>
      <c r="AF188" s="459"/>
      <c r="AG188" s="459"/>
      <c r="AH188" s="459"/>
      <c r="AI188" s="459"/>
      <c r="AJ188" s="459"/>
      <c r="AK188" s="459"/>
      <c r="AL188" s="459"/>
      <c r="AM188" s="459"/>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row>
    <row r="189" spans="1:144" ht="15">
      <c r="A189"/>
      <c r="B189"/>
      <c r="C189"/>
      <c r="D189"/>
      <c r="E189"/>
      <c r="F189"/>
      <c r="G189"/>
      <c r="H189"/>
      <c r="I189"/>
      <c r="J189"/>
      <c r="K189"/>
      <c r="L189" s="784"/>
      <c r="M189" s="459"/>
      <c r="N189" s="1044"/>
      <c r="O189" s="459"/>
      <c r="P189" s="459"/>
      <c r="Q189" s="459"/>
      <c r="R189" s="459"/>
      <c r="S189" s="459"/>
      <c r="T189" s="459"/>
      <c r="U189" s="459"/>
      <c r="V189" s="459"/>
      <c r="W189" s="459"/>
      <c r="X189" s="459"/>
      <c r="Y189" s="459"/>
      <c r="Z189" s="459"/>
      <c r="AA189" s="459"/>
      <c r="AB189" s="459"/>
      <c r="AC189" s="459"/>
      <c r="AD189" s="459"/>
      <c r="AE189" s="459"/>
      <c r="AF189" s="459"/>
      <c r="AG189" s="459"/>
      <c r="AH189" s="459"/>
      <c r="AI189" s="459"/>
      <c r="AJ189" s="459"/>
      <c r="AK189" s="459"/>
      <c r="AL189" s="459"/>
      <c r="AM189" s="45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row>
    <row r="190" spans="1:144" ht="15">
      <c r="A190"/>
      <c r="B190"/>
      <c r="C190"/>
      <c r="D190"/>
      <c r="E190"/>
      <c r="F190"/>
      <c r="G190"/>
      <c r="H190"/>
      <c r="I190"/>
      <c r="J190"/>
      <c r="K190"/>
      <c r="L190" s="784"/>
      <c r="M190" s="459"/>
      <c r="N190" s="1044"/>
      <c r="O190" s="459"/>
      <c r="P190" s="459"/>
      <c r="Q190" s="459"/>
      <c r="R190" s="459"/>
      <c r="S190" s="459"/>
      <c r="T190" s="459"/>
      <c r="U190" s="459"/>
      <c r="V190" s="459"/>
      <c r="W190" s="459"/>
      <c r="X190" s="459"/>
      <c r="Y190" s="459"/>
      <c r="Z190" s="459"/>
      <c r="AA190" s="459"/>
      <c r="AB190" s="459"/>
      <c r="AC190" s="459"/>
      <c r="AD190" s="459"/>
      <c r="AE190" s="459"/>
      <c r="AF190" s="459"/>
      <c r="AG190" s="459"/>
      <c r="AH190" s="459"/>
      <c r="AI190" s="459"/>
      <c r="AJ190" s="459"/>
      <c r="AK190" s="459"/>
      <c r="AL190" s="459"/>
      <c r="AM190" s="459"/>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row>
    <row r="191" spans="1:144" ht="15">
      <c r="A191"/>
      <c r="B191"/>
      <c r="C191"/>
      <c r="D191"/>
      <c r="E191"/>
      <c r="F191"/>
      <c r="G191"/>
      <c r="H191"/>
      <c r="I191"/>
      <c r="J191"/>
      <c r="K191"/>
      <c r="L191" s="784"/>
      <c r="M191" s="459"/>
      <c r="N191" s="1044"/>
      <c r="O191" s="459"/>
      <c r="P191" s="459"/>
      <c r="Q191" s="459"/>
      <c r="R191" s="459"/>
      <c r="S191" s="459"/>
      <c r="T191" s="459"/>
      <c r="U191" s="459"/>
      <c r="V191" s="459"/>
      <c r="W191" s="459"/>
      <c r="X191" s="459"/>
      <c r="Y191" s="459"/>
      <c r="Z191" s="459"/>
      <c r="AA191" s="459"/>
      <c r="AB191" s="459"/>
      <c r="AC191" s="459"/>
      <c r="AD191" s="459"/>
      <c r="AE191" s="459"/>
      <c r="AF191" s="459"/>
      <c r="AG191" s="459"/>
      <c r="AH191" s="459"/>
      <c r="AI191" s="459"/>
      <c r="AJ191" s="459"/>
      <c r="AK191" s="459"/>
      <c r="AL191" s="459"/>
      <c r="AM191" s="459"/>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row>
    <row r="192" spans="1:144" ht="15">
      <c r="A192"/>
      <c r="B192"/>
      <c r="C192"/>
      <c r="D192"/>
      <c r="E192"/>
      <c r="F192"/>
      <c r="G192"/>
      <c r="H192"/>
      <c r="I192"/>
      <c r="J192"/>
      <c r="K192"/>
      <c r="L192" s="784"/>
      <c r="M192" s="459"/>
      <c r="N192" s="1044"/>
      <c r="O192" s="459"/>
      <c r="P192" s="459"/>
      <c r="Q192" s="459"/>
      <c r="R192" s="459"/>
      <c r="S192" s="459"/>
      <c r="T192" s="459"/>
      <c r="U192" s="459"/>
      <c r="V192" s="459"/>
      <c r="W192" s="459"/>
      <c r="X192" s="459"/>
      <c r="Y192" s="459"/>
      <c r="Z192" s="459"/>
      <c r="AA192" s="459"/>
      <c r="AB192" s="459"/>
      <c r="AC192" s="459"/>
      <c r="AD192" s="459"/>
      <c r="AE192" s="459"/>
      <c r="AF192" s="459"/>
      <c r="AG192" s="459"/>
      <c r="AH192" s="459"/>
      <c r="AI192" s="459"/>
      <c r="AJ192" s="459"/>
      <c r="AK192" s="459"/>
      <c r="AL192" s="459"/>
      <c r="AM192" s="459"/>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row>
    <row r="193" spans="1:144" ht="15">
      <c r="A193"/>
      <c r="B193"/>
      <c r="C193"/>
      <c r="D193"/>
      <c r="E193"/>
      <c r="F193"/>
      <c r="G193"/>
      <c r="H193"/>
      <c r="I193"/>
      <c r="J193"/>
      <c r="K193"/>
      <c r="L193" s="784"/>
      <c r="M193" s="459"/>
      <c r="N193" s="1044"/>
      <c r="O193" s="459"/>
      <c r="P193" s="459"/>
      <c r="Q193" s="459"/>
      <c r="R193" s="459"/>
      <c r="S193" s="459"/>
      <c r="T193" s="459"/>
      <c r="U193" s="459"/>
      <c r="V193" s="459"/>
      <c r="W193" s="459"/>
      <c r="X193" s="459"/>
      <c r="Y193" s="459"/>
      <c r="Z193" s="459"/>
      <c r="AA193" s="459"/>
      <c r="AB193" s="459"/>
      <c r="AC193" s="459"/>
      <c r="AD193" s="459"/>
      <c r="AE193" s="459"/>
      <c r="AF193" s="459"/>
      <c r="AG193" s="459"/>
      <c r="AH193" s="459"/>
      <c r="AI193" s="459"/>
      <c r="AJ193" s="459"/>
      <c r="AK193" s="459"/>
      <c r="AL193" s="459"/>
      <c r="AM193" s="459"/>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row>
    <row r="194" spans="1:144" ht="15">
      <c r="A194"/>
      <c r="B194"/>
      <c r="C194"/>
      <c r="D194"/>
      <c r="E194"/>
      <c r="F194"/>
      <c r="G194"/>
      <c r="H194"/>
      <c r="I194"/>
      <c r="J194"/>
      <c r="K194"/>
      <c r="L194" s="784"/>
      <c r="M194" s="459"/>
      <c r="N194" s="1044"/>
      <c r="O194" s="459"/>
      <c r="P194" s="459"/>
      <c r="Q194" s="459"/>
      <c r="R194" s="459"/>
      <c r="S194" s="459"/>
      <c r="T194" s="459"/>
      <c r="U194" s="459"/>
      <c r="V194" s="459"/>
      <c r="W194" s="459"/>
      <c r="X194" s="459"/>
      <c r="Y194" s="459"/>
      <c r="Z194" s="459"/>
      <c r="AA194" s="459"/>
      <c r="AB194" s="459"/>
      <c r="AC194" s="459"/>
      <c r="AD194" s="459"/>
      <c r="AE194" s="459"/>
      <c r="AF194" s="459"/>
      <c r="AG194" s="459"/>
      <c r="AH194" s="459"/>
      <c r="AI194" s="459"/>
      <c r="AJ194" s="459"/>
      <c r="AK194" s="459"/>
      <c r="AL194" s="459"/>
      <c r="AM194" s="459"/>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row>
    <row r="195" spans="1:144" ht="15">
      <c r="A195"/>
      <c r="B195"/>
      <c r="C195"/>
      <c r="D195"/>
      <c r="E195"/>
      <c r="F195"/>
      <c r="G195"/>
      <c r="H195"/>
      <c r="I195"/>
      <c r="J195"/>
      <c r="K195"/>
      <c r="L195" s="784"/>
      <c r="M195" s="459"/>
      <c r="N195" s="1044"/>
      <c r="O195" s="459"/>
      <c r="P195" s="459"/>
      <c r="Q195" s="459"/>
      <c r="R195" s="459"/>
      <c r="S195" s="459"/>
      <c r="T195" s="459"/>
      <c r="U195" s="459"/>
      <c r="V195" s="459"/>
      <c r="W195" s="459"/>
      <c r="X195" s="459"/>
      <c r="Y195" s="459"/>
      <c r="Z195" s="459"/>
      <c r="AA195" s="459"/>
      <c r="AB195" s="459"/>
      <c r="AC195" s="459"/>
      <c r="AD195" s="459"/>
      <c r="AE195" s="459"/>
      <c r="AF195" s="459"/>
      <c r="AG195" s="459"/>
      <c r="AH195" s="459"/>
      <c r="AI195" s="459"/>
      <c r="AJ195" s="459"/>
      <c r="AK195" s="459"/>
      <c r="AL195" s="459"/>
      <c r="AM195" s="459"/>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row>
    <row r="196" spans="1:144" ht="15">
      <c r="A196"/>
      <c r="B196"/>
      <c r="C196"/>
      <c r="D196"/>
      <c r="E196"/>
      <c r="F196"/>
      <c r="G196"/>
      <c r="H196"/>
      <c r="I196"/>
      <c r="J196"/>
      <c r="K196"/>
      <c r="L196" s="784"/>
      <c r="M196" s="459"/>
      <c r="N196" s="1044"/>
      <c r="O196" s="459"/>
      <c r="P196" s="459"/>
      <c r="Q196" s="459"/>
      <c r="R196" s="459"/>
      <c r="S196" s="459"/>
      <c r="T196" s="459"/>
      <c r="U196" s="459"/>
      <c r="V196" s="459"/>
      <c r="W196" s="459"/>
      <c r="X196" s="459"/>
      <c r="Y196" s="459"/>
      <c r="Z196" s="459"/>
      <c r="AA196" s="459"/>
      <c r="AB196" s="459"/>
      <c r="AC196" s="459"/>
      <c r="AD196" s="459"/>
      <c r="AE196" s="459"/>
      <c r="AF196" s="459"/>
      <c r="AG196" s="459"/>
      <c r="AH196" s="459"/>
      <c r="AI196" s="459"/>
      <c r="AJ196" s="459"/>
      <c r="AK196" s="459"/>
      <c r="AL196" s="459"/>
      <c r="AM196" s="459"/>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row>
    <row r="197" spans="1:144" ht="15">
      <c r="A197"/>
      <c r="B197"/>
      <c r="C197"/>
      <c r="D197"/>
      <c r="E197"/>
      <c r="F197"/>
      <c r="G197"/>
      <c r="H197"/>
      <c r="I197"/>
      <c r="J197"/>
      <c r="K197"/>
      <c r="L197" s="784"/>
      <c r="M197" s="459"/>
      <c r="N197" s="1044"/>
      <c r="O197" s="459"/>
      <c r="P197" s="459"/>
      <c r="Q197" s="459"/>
      <c r="R197" s="459"/>
      <c r="S197" s="459"/>
      <c r="T197" s="459"/>
      <c r="U197" s="459"/>
      <c r="V197" s="459"/>
      <c r="W197" s="459"/>
      <c r="X197" s="459"/>
      <c r="Y197" s="459"/>
      <c r="Z197" s="459"/>
      <c r="AA197" s="459"/>
      <c r="AB197" s="459"/>
      <c r="AC197" s="459"/>
      <c r="AD197" s="459"/>
      <c r="AE197" s="459"/>
      <c r="AF197" s="459"/>
      <c r="AG197" s="459"/>
      <c r="AH197" s="459"/>
      <c r="AI197" s="459"/>
      <c r="AJ197" s="459"/>
      <c r="AK197" s="459"/>
      <c r="AL197" s="459"/>
      <c r="AM197" s="459"/>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row>
    <row r="198" spans="1:144" ht="15">
      <c r="A198"/>
      <c r="B198"/>
      <c r="C198"/>
      <c r="D198"/>
      <c r="E198"/>
      <c r="F198"/>
      <c r="G198"/>
      <c r="H198"/>
      <c r="I198"/>
      <c r="J198"/>
      <c r="K198"/>
      <c r="L198" s="784"/>
      <c r="M198" s="459"/>
      <c r="N198" s="1044"/>
      <c r="O198" s="459"/>
      <c r="P198" s="459"/>
      <c r="Q198" s="459"/>
      <c r="R198" s="459"/>
      <c r="S198" s="459"/>
      <c r="T198" s="459"/>
      <c r="U198" s="459"/>
      <c r="V198" s="459"/>
      <c r="W198" s="459"/>
      <c r="X198" s="459"/>
      <c r="Y198" s="459"/>
      <c r="Z198" s="459"/>
      <c r="AA198" s="459"/>
      <c r="AB198" s="459"/>
      <c r="AC198" s="459"/>
      <c r="AD198" s="459"/>
      <c r="AE198" s="459"/>
      <c r="AF198" s="459"/>
      <c r="AG198" s="459"/>
      <c r="AH198" s="459"/>
      <c r="AI198" s="459"/>
      <c r="AJ198" s="459"/>
      <c r="AK198" s="459"/>
      <c r="AL198" s="459"/>
      <c r="AM198" s="459"/>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row>
    <row r="199" spans="1:144" ht="15">
      <c r="A199"/>
      <c r="B199"/>
      <c r="C199"/>
      <c r="D199"/>
      <c r="E199"/>
      <c r="F199"/>
      <c r="G199"/>
      <c r="H199"/>
      <c r="I199"/>
      <c r="J199"/>
      <c r="K199"/>
      <c r="L199" s="784"/>
      <c r="M199" s="459"/>
      <c r="N199" s="1044"/>
      <c r="O199" s="459"/>
      <c r="P199" s="459"/>
      <c r="Q199" s="459"/>
      <c r="R199" s="459"/>
      <c r="S199" s="459"/>
      <c r="T199" s="459"/>
      <c r="U199" s="459"/>
      <c r="V199" s="459"/>
      <c r="W199" s="459"/>
      <c r="X199" s="459"/>
      <c r="Y199" s="459"/>
      <c r="Z199" s="459"/>
      <c r="AA199" s="459"/>
      <c r="AB199" s="459"/>
      <c r="AC199" s="459"/>
      <c r="AD199" s="459"/>
      <c r="AE199" s="459"/>
      <c r="AF199" s="459"/>
      <c r="AG199" s="459"/>
      <c r="AH199" s="459"/>
      <c r="AI199" s="459"/>
      <c r="AJ199" s="459"/>
      <c r="AK199" s="459"/>
      <c r="AL199" s="459"/>
      <c r="AM199" s="45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row>
    <row r="200" spans="1:144" ht="15">
      <c r="A200"/>
      <c r="B200"/>
      <c r="C200"/>
      <c r="D200"/>
      <c r="E200"/>
      <c r="F200"/>
      <c r="G200"/>
      <c r="H200"/>
      <c r="I200"/>
      <c r="J200"/>
      <c r="K200"/>
      <c r="L200" s="784"/>
      <c r="M200" s="459"/>
      <c r="N200" s="1044"/>
      <c r="O200" s="459"/>
      <c r="P200" s="459"/>
      <c r="Q200" s="459"/>
      <c r="R200" s="459"/>
      <c r="S200" s="459"/>
      <c r="T200" s="459"/>
      <c r="U200" s="459"/>
      <c r="V200" s="459"/>
      <c r="W200" s="459"/>
      <c r="X200" s="459"/>
      <c r="Y200" s="459"/>
      <c r="Z200" s="459"/>
      <c r="AA200" s="459"/>
      <c r="AB200" s="459"/>
      <c r="AC200" s="459"/>
      <c r="AD200" s="459"/>
      <c r="AE200" s="459"/>
      <c r="AF200" s="459"/>
      <c r="AG200" s="459"/>
      <c r="AH200" s="459"/>
      <c r="AI200" s="459"/>
      <c r="AJ200" s="459"/>
      <c r="AK200" s="459"/>
      <c r="AL200" s="459"/>
      <c r="AM200" s="459"/>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row>
    <row r="201" spans="1:144" ht="15">
      <c r="A201"/>
      <c r="B201"/>
      <c r="C201"/>
      <c r="D201"/>
      <c r="E201"/>
      <c r="F201"/>
      <c r="G201"/>
      <c r="H201"/>
      <c r="I201"/>
      <c r="J201"/>
      <c r="K201"/>
      <c r="L201" s="784"/>
      <c r="M201" s="459"/>
      <c r="N201" s="1044"/>
      <c r="O201" s="459"/>
      <c r="P201" s="459"/>
      <c r="Q201" s="459"/>
      <c r="R201" s="459"/>
      <c r="S201" s="459"/>
      <c r="T201" s="459"/>
      <c r="U201" s="459"/>
      <c r="V201" s="459"/>
      <c r="W201" s="459"/>
      <c r="X201" s="459"/>
      <c r="Y201" s="459"/>
      <c r="Z201" s="459"/>
      <c r="AA201" s="459"/>
      <c r="AB201" s="459"/>
      <c r="AC201" s="459"/>
      <c r="AD201" s="459"/>
      <c r="AE201" s="459"/>
      <c r="AF201" s="459"/>
      <c r="AG201" s="459"/>
      <c r="AH201" s="459"/>
      <c r="AI201" s="459"/>
      <c r="AJ201" s="459"/>
      <c r="AK201" s="459"/>
      <c r="AL201" s="459"/>
      <c r="AM201" s="459"/>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row>
    <row r="202" spans="1:144" ht="15">
      <c r="A202"/>
      <c r="B202"/>
      <c r="C202"/>
      <c r="D202"/>
      <c r="E202"/>
      <c r="F202"/>
      <c r="G202"/>
      <c r="H202"/>
      <c r="I202"/>
      <c r="J202"/>
      <c r="K202"/>
      <c r="L202" s="784"/>
      <c r="M202" s="459"/>
      <c r="N202" s="1044"/>
      <c r="O202" s="459"/>
      <c r="P202" s="459"/>
      <c r="Q202" s="459"/>
      <c r="R202" s="459"/>
      <c r="S202" s="459"/>
      <c r="T202" s="459"/>
      <c r="U202" s="459"/>
      <c r="V202" s="459"/>
      <c r="W202" s="459"/>
      <c r="X202" s="459"/>
      <c r="Y202" s="459"/>
      <c r="Z202" s="459"/>
      <c r="AA202" s="459"/>
      <c r="AB202" s="459"/>
      <c r="AC202" s="459"/>
      <c r="AD202" s="459"/>
      <c r="AE202" s="459"/>
      <c r="AF202" s="459"/>
      <c r="AG202" s="459"/>
      <c r="AH202" s="459"/>
      <c r="AI202" s="459"/>
      <c r="AJ202" s="459"/>
      <c r="AK202" s="459"/>
      <c r="AL202" s="459"/>
      <c r="AM202" s="459"/>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row>
    <row r="203" spans="1:144" ht="15">
      <c r="A203"/>
      <c r="B203"/>
      <c r="C203"/>
      <c r="D203"/>
      <c r="E203"/>
      <c r="F203"/>
      <c r="G203"/>
      <c r="H203"/>
      <c r="I203"/>
      <c r="J203"/>
      <c r="K203"/>
      <c r="L203" s="784"/>
      <c r="M203" s="459"/>
      <c r="N203" s="1044"/>
      <c r="O203" s="459"/>
      <c r="P203" s="459"/>
      <c r="Q203" s="459"/>
      <c r="R203" s="459"/>
      <c r="S203" s="459"/>
      <c r="T203" s="459"/>
      <c r="U203" s="459"/>
      <c r="V203" s="459"/>
      <c r="W203" s="459"/>
      <c r="X203" s="459"/>
      <c r="Y203" s="459"/>
      <c r="Z203" s="459"/>
      <c r="AA203" s="459"/>
      <c r="AB203" s="459"/>
      <c r="AC203" s="459"/>
      <c r="AD203" s="459"/>
      <c r="AE203" s="459"/>
      <c r="AF203" s="459"/>
      <c r="AG203" s="459"/>
      <c r="AH203" s="459"/>
      <c r="AI203" s="459"/>
      <c r="AJ203" s="459"/>
      <c r="AK203" s="459"/>
      <c r="AL203" s="459"/>
      <c r="AM203" s="459"/>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row>
    <row r="204" spans="1:144" ht="15">
      <c r="A204"/>
      <c r="B204"/>
      <c r="C204"/>
      <c r="D204"/>
      <c r="E204"/>
      <c r="F204"/>
      <c r="G204"/>
      <c r="H204"/>
      <c r="I204"/>
      <c r="J204"/>
      <c r="K204"/>
      <c r="L204" s="784"/>
      <c r="M204" s="459"/>
      <c r="N204" s="1044"/>
      <c r="O204" s="459"/>
      <c r="P204" s="459"/>
      <c r="Q204" s="459"/>
      <c r="R204" s="459"/>
      <c r="S204" s="459"/>
      <c r="T204" s="459"/>
      <c r="U204" s="459"/>
      <c r="V204" s="459"/>
      <c r="W204" s="459"/>
      <c r="X204" s="459"/>
      <c r="Y204" s="459"/>
      <c r="Z204" s="459"/>
      <c r="AA204" s="459"/>
      <c r="AB204" s="459"/>
      <c r="AC204" s="459"/>
      <c r="AD204" s="459"/>
      <c r="AE204" s="459"/>
      <c r="AF204" s="459"/>
      <c r="AG204" s="459"/>
      <c r="AH204" s="459"/>
      <c r="AI204" s="459"/>
      <c r="AJ204" s="459"/>
      <c r="AK204" s="459"/>
      <c r="AL204" s="459"/>
      <c r="AM204" s="459"/>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row>
    <row r="205" spans="1:144" ht="15">
      <c r="A205"/>
      <c r="B205"/>
      <c r="C205"/>
      <c r="D205"/>
      <c r="E205"/>
      <c r="F205"/>
      <c r="G205"/>
      <c r="H205"/>
      <c r="I205"/>
      <c r="J205"/>
      <c r="K205"/>
      <c r="L205" s="784"/>
      <c r="M205" s="459"/>
      <c r="N205" s="1044"/>
      <c r="O205" s="459"/>
      <c r="P205" s="459"/>
      <c r="Q205" s="459"/>
      <c r="R205" s="459"/>
      <c r="S205" s="459"/>
      <c r="T205" s="459"/>
      <c r="U205" s="459"/>
      <c r="V205" s="459"/>
      <c r="W205" s="459"/>
      <c r="X205" s="459"/>
      <c r="Y205" s="459"/>
      <c r="Z205" s="459"/>
      <c r="AA205" s="459"/>
      <c r="AB205" s="459"/>
      <c r="AC205" s="459"/>
      <c r="AD205" s="459"/>
      <c r="AE205" s="459"/>
      <c r="AF205" s="459"/>
      <c r="AG205" s="459"/>
      <c r="AH205" s="459"/>
      <c r="AI205" s="459"/>
      <c r="AJ205" s="459"/>
      <c r="AK205" s="459"/>
      <c r="AL205" s="459"/>
      <c r="AM205" s="459"/>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row>
    <row r="206" spans="1:144" ht="15">
      <c r="A206"/>
      <c r="B206"/>
      <c r="C206"/>
      <c r="D206"/>
      <c r="E206"/>
      <c r="F206"/>
      <c r="G206"/>
      <c r="H206"/>
      <c r="I206"/>
      <c r="J206"/>
      <c r="K206"/>
      <c r="L206" s="784"/>
      <c r="M206" s="459"/>
      <c r="N206" s="1044"/>
      <c r="O206" s="459"/>
      <c r="P206" s="459"/>
      <c r="Q206" s="459"/>
      <c r="R206" s="459"/>
      <c r="S206" s="459"/>
      <c r="T206" s="459"/>
      <c r="U206" s="459"/>
      <c r="V206" s="459"/>
      <c r="W206" s="459"/>
      <c r="X206" s="459"/>
      <c r="Y206" s="459"/>
      <c r="Z206" s="459"/>
      <c r="AA206" s="459"/>
      <c r="AB206" s="459"/>
      <c r="AC206" s="459"/>
      <c r="AD206" s="459"/>
      <c r="AE206" s="459"/>
      <c r="AF206" s="459"/>
      <c r="AG206" s="459"/>
      <c r="AH206" s="459"/>
      <c r="AI206" s="459"/>
      <c r="AJ206" s="459"/>
      <c r="AK206" s="459"/>
      <c r="AL206" s="459"/>
      <c r="AM206" s="459"/>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row>
    <row r="207" spans="1:144" ht="15">
      <c r="A207"/>
      <c r="B207"/>
      <c r="C207"/>
      <c r="D207"/>
      <c r="E207"/>
      <c r="F207"/>
      <c r="G207"/>
      <c r="H207"/>
      <c r="I207"/>
      <c r="J207"/>
      <c r="K207"/>
      <c r="L207" s="784"/>
      <c r="M207" s="459"/>
      <c r="N207" s="1044"/>
      <c r="O207" s="459"/>
      <c r="P207" s="459"/>
      <c r="Q207" s="459"/>
      <c r="R207" s="459"/>
      <c r="S207" s="459"/>
      <c r="T207" s="459"/>
      <c r="U207" s="459"/>
      <c r="V207" s="459"/>
      <c r="W207" s="459"/>
      <c r="X207" s="459"/>
      <c r="Y207" s="459"/>
      <c r="Z207" s="459"/>
      <c r="AA207" s="459"/>
      <c r="AB207" s="459"/>
      <c r="AC207" s="459"/>
      <c r="AD207" s="459"/>
      <c r="AE207" s="459"/>
      <c r="AF207" s="459"/>
      <c r="AG207" s="459"/>
      <c r="AH207" s="459"/>
      <c r="AI207" s="459"/>
      <c r="AJ207" s="459"/>
      <c r="AK207" s="459"/>
      <c r="AL207" s="459"/>
      <c r="AM207" s="459"/>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row>
    <row r="208" spans="1:144" ht="15">
      <c r="A208"/>
      <c r="B208"/>
      <c r="C208"/>
      <c r="D208"/>
      <c r="E208"/>
      <c r="F208"/>
      <c r="G208"/>
      <c r="H208"/>
      <c r="I208"/>
      <c r="J208"/>
      <c r="K208"/>
      <c r="L208" s="784"/>
      <c r="M208" s="459"/>
      <c r="N208" s="1044"/>
      <c r="O208" s="459"/>
      <c r="P208" s="459"/>
      <c r="Q208" s="459"/>
      <c r="R208" s="459"/>
      <c r="S208" s="459"/>
      <c r="T208" s="459"/>
      <c r="U208" s="459"/>
      <c r="V208" s="459"/>
      <c r="W208" s="459"/>
      <c r="X208" s="459"/>
      <c r="Y208" s="459"/>
      <c r="Z208" s="459"/>
      <c r="AA208" s="459"/>
      <c r="AB208" s="459"/>
      <c r="AC208" s="459"/>
      <c r="AD208" s="459"/>
      <c r="AE208" s="459"/>
      <c r="AF208" s="459"/>
      <c r="AG208" s="459"/>
      <c r="AH208" s="459"/>
      <c r="AI208" s="459"/>
      <c r="AJ208" s="459"/>
      <c r="AK208" s="459"/>
      <c r="AL208" s="459"/>
      <c r="AM208" s="459"/>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row>
    <row r="209" spans="1:144" ht="15">
      <c r="A209"/>
      <c r="B209"/>
      <c r="C209"/>
      <c r="D209"/>
      <c r="E209"/>
      <c r="F209"/>
      <c r="G209"/>
      <c r="H209"/>
      <c r="I209"/>
      <c r="J209"/>
      <c r="K209"/>
      <c r="L209" s="784"/>
      <c r="M209" s="459"/>
      <c r="N209" s="1044"/>
      <c r="O209" s="459"/>
      <c r="P209" s="459"/>
      <c r="Q209" s="459"/>
      <c r="R209" s="459"/>
      <c r="S209" s="459"/>
      <c r="T209" s="459"/>
      <c r="U209" s="459"/>
      <c r="V209" s="459"/>
      <c r="W209" s="459"/>
      <c r="X209" s="459"/>
      <c r="Y209" s="459"/>
      <c r="Z209" s="459"/>
      <c r="AA209" s="459"/>
      <c r="AB209" s="459"/>
      <c r="AC209" s="459"/>
      <c r="AD209" s="459"/>
      <c r="AE209" s="459"/>
      <c r="AF209" s="459"/>
      <c r="AG209" s="459"/>
      <c r="AH209" s="459"/>
      <c r="AI209" s="459"/>
      <c r="AJ209" s="459"/>
      <c r="AK209" s="459"/>
      <c r="AL209" s="459"/>
      <c r="AM209" s="45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row>
    <row r="210" spans="1:144" ht="15">
      <c r="A210"/>
      <c r="B210"/>
      <c r="C210"/>
      <c r="D210"/>
      <c r="E210"/>
      <c r="F210"/>
      <c r="G210"/>
      <c r="H210"/>
      <c r="I210"/>
      <c r="J210"/>
      <c r="K210"/>
      <c r="L210" s="784"/>
      <c r="M210" s="459"/>
      <c r="N210" s="1044"/>
      <c r="O210" s="459"/>
      <c r="P210" s="459"/>
      <c r="Q210" s="459"/>
      <c r="R210" s="459"/>
      <c r="S210" s="459"/>
      <c r="T210" s="459"/>
      <c r="U210" s="459"/>
      <c r="V210" s="459"/>
      <c r="W210" s="459"/>
      <c r="X210" s="459"/>
      <c r="Y210" s="459"/>
      <c r="Z210" s="459"/>
      <c r="AA210" s="459"/>
      <c r="AB210" s="459"/>
      <c r="AC210" s="459"/>
      <c r="AD210" s="459"/>
      <c r="AE210" s="459"/>
      <c r="AF210" s="459"/>
      <c r="AG210" s="459"/>
      <c r="AH210" s="459"/>
      <c r="AI210" s="459"/>
      <c r="AJ210" s="459"/>
      <c r="AK210" s="459"/>
      <c r="AL210" s="459"/>
      <c r="AM210" s="459"/>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row>
    <row r="211" spans="1:144" ht="15">
      <c r="A211"/>
      <c r="B211"/>
      <c r="C211"/>
      <c r="D211"/>
      <c r="E211"/>
      <c r="F211"/>
      <c r="G211"/>
      <c r="H211"/>
      <c r="I211"/>
      <c r="J211"/>
      <c r="K211"/>
      <c r="L211" s="784"/>
      <c r="M211" s="459"/>
      <c r="N211" s="1044"/>
      <c r="O211" s="459"/>
      <c r="P211" s="459"/>
      <c r="Q211" s="459"/>
      <c r="R211" s="459"/>
      <c r="S211" s="459"/>
      <c r="T211" s="459"/>
      <c r="U211" s="459"/>
      <c r="V211" s="459"/>
      <c r="W211" s="459"/>
      <c r="X211" s="459"/>
      <c r="Y211" s="459"/>
      <c r="Z211" s="459"/>
      <c r="AA211" s="459"/>
      <c r="AB211" s="459"/>
      <c r="AC211" s="459"/>
      <c r="AD211" s="459"/>
      <c r="AE211" s="459"/>
      <c r="AF211" s="459"/>
      <c r="AG211" s="459"/>
      <c r="AH211" s="459"/>
      <c r="AI211" s="459"/>
      <c r="AJ211" s="459"/>
      <c r="AK211" s="459"/>
      <c r="AL211" s="459"/>
      <c r="AM211" s="459"/>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row>
    <row r="212" spans="1:144" ht="15">
      <c r="A212"/>
      <c r="B212"/>
      <c r="C212"/>
      <c r="D212"/>
      <c r="E212"/>
      <c r="F212"/>
      <c r="G212"/>
      <c r="H212"/>
      <c r="I212"/>
      <c r="J212"/>
      <c r="K212"/>
      <c r="L212" s="784"/>
      <c r="M212" s="459"/>
      <c r="N212" s="1044"/>
      <c r="O212" s="459"/>
      <c r="P212" s="459"/>
      <c r="Q212" s="459"/>
      <c r="R212" s="459"/>
      <c r="S212" s="459"/>
      <c r="T212" s="459"/>
      <c r="U212" s="459"/>
      <c r="V212" s="459"/>
      <c r="W212" s="459"/>
      <c r="X212" s="459"/>
      <c r="Y212" s="459"/>
      <c r="Z212" s="459"/>
      <c r="AA212" s="459"/>
      <c r="AB212" s="459"/>
      <c r="AC212" s="459"/>
      <c r="AD212" s="459"/>
      <c r="AE212" s="459"/>
      <c r="AF212" s="459"/>
      <c r="AG212" s="459"/>
      <c r="AH212" s="459"/>
      <c r="AI212" s="459"/>
      <c r="AJ212" s="459"/>
      <c r="AK212" s="459"/>
      <c r="AL212" s="459"/>
      <c r="AM212" s="459"/>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row>
    <row r="213" spans="1:144" ht="15">
      <c r="A213"/>
      <c r="B213"/>
      <c r="C213"/>
      <c r="D213"/>
      <c r="E213"/>
      <c r="F213"/>
      <c r="G213"/>
      <c r="H213"/>
      <c r="I213"/>
      <c r="J213"/>
      <c r="K213"/>
      <c r="L213" s="784"/>
      <c r="M213" s="459"/>
      <c r="N213" s="1044"/>
      <c r="O213" s="459"/>
      <c r="P213" s="459"/>
      <c r="Q213" s="459"/>
      <c r="R213" s="459"/>
      <c r="S213" s="459"/>
      <c r="T213" s="459"/>
      <c r="U213" s="459"/>
      <c r="V213" s="459"/>
      <c r="W213" s="459"/>
      <c r="X213" s="459"/>
      <c r="Y213" s="459"/>
      <c r="Z213" s="459"/>
      <c r="AA213" s="459"/>
      <c r="AB213" s="459"/>
      <c r="AC213" s="459"/>
      <c r="AD213" s="459"/>
      <c r="AE213" s="459"/>
      <c r="AF213" s="459"/>
      <c r="AG213" s="459"/>
      <c r="AH213" s="459"/>
      <c r="AI213" s="459"/>
      <c r="AJ213" s="459"/>
      <c r="AK213" s="459"/>
      <c r="AL213" s="459"/>
      <c r="AM213" s="459"/>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row>
    <row r="214" spans="1:144" ht="15">
      <c r="A214"/>
      <c r="B214"/>
      <c r="C214"/>
      <c r="D214"/>
      <c r="E214"/>
      <c r="F214"/>
      <c r="G214"/>
      <c r="H214"/>
      <c r="I214"/>
      <c r="J214"/>
      <c r="K214"/>
      <c r="L214" s="784"/>
      <c r="M214" s="459"/>
      <c r="N214" s="1044"/>
      <c r="O214" s="459"/>
      <c r="P214" s="459"/>
      <c r="Q214" s="459"/>
      <c r="R214" s="459"/>
      <c r="S214" s="459"/>
      <c r="T214" s="459"/>
      <c r="U214" s="459"/>
      <c r="V214" s="459"/>
      <c r="W214" s="459"/>
      <c r="X214" s="459"/>
      <c r="Y214" s="459"/>
      <c r="Z214" s="459"/>
      <c r="AA214" s="459"/>
      <c r="AB214" s="459"/>
      <c r="AC214" s="459"/>
      <c r="AD214" s="459"/>
      <c r="AE214" s="459"/>
      <c r="AF214" s="459"/>
      <c r="AG214" s="459"/>
      <c r="AH214" s="459"/>
      <c r="AI214" s="459"/>
      <c r="AJ214" s="459"/>
      <c r="AK214" s="459"/>
      <c r="AL214" s="459"/>
      <c r="AM214" s="459"/>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row>
    <row r="215" spans="1:144" ht="15">
      <c r="A215"/>
      <c r="B215"/>
      <c r="C215"/>
      <c r="D215"/>
      <c r="E215"/>
      <c r="F215"/>
      <c r="G215"/>
      <c r="H215"/>
      <c r="I215"/>
      <c r="J215"/>
      <c r="K215"/>
      <c r="L215" s="784"/>
      <c r="M215" s="459"/>
      <c r="N215" s="1044"/>
      <c r="O215" s="459"/>
      <c r="P215" s="459"/>
      <c r="Q215" s="459"/>
      <c r="R215" s="459"/>
      <c r="S215" s="459"/>
      <c r="T215" s="459"/>
      <c r="U215" s="459"/>
      <c r="V215" s="459"/>
      <c r="W215" s="459"/>
      <c r="X215" s="459"/>
      <c r="Y215" s="459"/>
      <c r="Z215" s="459"/>
      <c r="AA215" s="459"/>
      <c r="AB215" s="459"/>
      <c r="AC215" s="459"/>
      <c r="AD215" s="459"/>
      <c r="AE215" s="459"/>
      <c r="AF215" s="459"/>
      <c r="AG215" s="459"/>
      <c r="AH215" s="459"/>
      <c r="AI215" s="459"/>
      <c r="AJ215" s="459"/>
      <c r="AK215" s="459"/>
      <c r="AL215" s="459"/>
      <c r="AM215" s="459"/>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row>
    <row r="216" spans="1:144" ht="15">
      <c r="A216"/>
      <c r="B216"/>
      <c r="C216"/>
      <c r="D216"/>
      <c r="E216"/>
      <c r="F216"/>
      <c r="G216"/>
      <c r="H216"/>
      <c r="I216"/>
      <c r="J216"/>
      <c r="K216"/>
      <c r="L216" s="784"/>
      <c r="M216" s="459"/>
      <c r="N216" s="1044"/>
      <c r="O216" s="459"/>
      <c r="P216" s="459"/>
      <c r="Q216" s="459"/>
      <c r="R216" s="459"/>
      <c r="S216" s="459"/>
      <c r="T216" s="459"/>
      <c r="U216" s="459"/>
      <c r="V216" s="459"/>
      <c r="W216" s="459"/>
      <c r="X216" s="459"/>
      <c r="Y216" s="459"/>
      <c r="Z216" s="459"/>
      <c r="AA216" s="459"/>
      <c r="AB216" s="459"/>
      <c r="AC216" s="459"/>
      <c r="AD216" s="459"/>
      <c r="AE216" s="459"/>
      <c r="AF216" s="459"/>
      <c r="AG216" s="459"/>
      <c r="AH216" s="459"/>
      <c r="AI216" s="459"/>
      <c r="AJ216" s="459"/>
      <c r="AK216" s="459"/>
      <c r="AL216" s="459"/>
      <c r="AM216" s="459"/>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row>
    <row r="217" spans="1:144" ht="15">
      <c r="A217"/>
      <c r="B217"/>
      <c r="C217"/>
      <c r="D217"/>
      <c r="E217"/>
      <c r="F217"/>
      <c r="G217"/>
      <c r="H217"/>
      <c r="I217"/>
      <c r="J217"/>
      <c r="K217"/>
      <c r="L217" s="784"/>
      <c r="M217" s="459"/>
      <c r="N217" s="1044"/>
      <c r="O217" s="459"/>
      <c r="P217" s="459"/>
      <c r="Q217" s="459"/>
      <c r="R217" s="459"/>
      <c r="S217" s="459"/>
      <c r="T217" s="459"/>
      <c r="U217" s="459"/>
      <c r="V217" s="459"/>
      <c r="W217" s="459"/>
      <c r="X217" s="459"/>
      <c r="Y217" s="459"/>
      <c r="Z217" s="459"/>
      <c r="AA217" s="459"/>
      <c r="AB217" s="459"/>
      <c r="AC217" s="459"/>
      <c r="AD217" s="459"/>
      <c r="AE217" s="459"/>
      <c r="AF217" s="459"/>
      <c r="AG217" s="459"/>
      <c r="AH217" s="459"/>
      <c r="AI217" s="459"/>
      <c r="AJ217" s="459"/>
      <c r="AK217" s="459"/>
      <c r="AL217" s="459"/>
      <c r="AM217" s="459"/>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row>
    <row r="218" spans="1:144" s="40" customFormat="1" ht="15">
      <c r="A218"/>
      <c r="B218"/>
      <c r="C218"/>
      <c r="D218"/>
      <c r="E218"/>
      <c r="F218"/>
      <c r="G218"/>
      <c r="H218"/>
      <c r="I218"/>
      <c r="J218"/>
      <c r="K218"/>
      <c r="L218" s="784"/>
      <c r="M218" s="459"/>
      <c r="N218" s="1044"/>
      <c r="O218" s="459"/>
      <c r="P218" s="459"/>
      <c r="Q218" s="459"/>
      <c r="R218" s="459"/>
      <c r="S218" s="459"/>
      <c r="T218" s="459"/>
      <c r="U218" s="459"/>
      <c r="V218" s="459"/>
      <c r="W218" s="459"/>
      <c r="X218" s="459"/>
      <c r="Y218" s="459"/>
      <c r="Z218" s="459"/>
      <c r="AA218" s="459"/>
      <c r="AB218" s="459"/>
      <c r="AC218" s="459"/>
      <c r="AD218" s="459"/>
      <c r="AE218" s="459"/>
      <c r="AF218" s="459"/>
      <c r="AG218" s="459"/>
      <c r="AH218" s="459"/>
      <c r="AI218" s="459"/>
      <c r="AJ218" s="459"/>
      <c r="AK218" s="459"/>
      <c r="AL218" s="459"/>
      <c r="AM218" s="459"/>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row>
    <row r="219" spans="1:144" s="40" customFormat="1" ht="15">
      <c r="A219"/>
      <c r="B219"/>
      <c r="C219"/>
      <c r="D219"/>
      <c r="E219"/>
      <c r="F219"/>
      <c r="G219"/>
      <c r="H219"/>
      <c r="I219"/>
      <c r="J219"/>
      <c r="K219"/>
      <c r="L219" s="784"/>
      <c r="M219" s="459"/>
      <c r="N219" s="1044"/>
      <c r="O219" s="459"/>
      <c r="P219" s="459"/>
      <c r="Q219" s="459"/>
      <c r="R219" s="459"/>
      <c r="S219" s="459"/>
      <c r="T219" s="459"/>
      <c r="U219" s="459"/>
      <c r="V219" s="459"/>
      <c r="W219" s="459"/>
      <c r="X219" s="459"/>
      <c r="Y219" s="459"/>
      <c r="Z219" s="459"/>
      <c r="AA219" s="459"/>
      <c r="AB219" s="459"/>
      <c r="AC219" s="459"/>
      <c r="AD219" s="459"/>
      <c r="AE219" s="459"/>
      <c r="AF219" s="459"/>
      <c r="AG219" s="459"/>
      <c r="AH219" s="459"/>
      <c r="AI219" s="459"/>
      <c r="AJ219" s="459"/>
      <c r="AK219" s="459"/>
      <c r="AL219" s="459"/>
      <c r="AM219" s="45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row>
    <row r="220" spans="1:144" ht="15">
      <c r="A220"/>
      <c r="B220"/>
      <c r="C220"/>
      <c r="D220"/>
      <c r="E220"/>
      <c r="F220"/>
      <c r="G220"/>
      <c r="H220"/>
      <c r="I220"/>
      <c r="J220"/>
      <c r="K220"/>
      <c r="L220" s="784"/>
      <c r="M220" s="459"/>
      <c r="N220" s="1044"/>
      <c r="O220" s="459"/>
      <c r="P220" s="459"/>
      <c r="Q220" s="459"/>
      <c r="R220" s="459"/>
      <c r="S220" s="459"/>
      <c r="T220" s="459"/>
      <c r="U220" s="459"/>
      <c r="V220" s="459"/>
      <c r="W220" s="459"/>
      <c r="X220" s="459"/>
      <c r="Y220" s="459"/>
      <c r="Z220" s="459"/>
      <c r="AA220" s="459"/>
      <c r="AB220" s="459"/>
      <c r="AC220" s="459"/>
      <c r="AD220" s="459"/>
      <c r="AE220" s="459"/>
      <c r="AF220" s="459"/>
      <c r="AG220" s="459"/>
      <c r="AH220" s="459"/>
      <c r="AI220" s="459"/>
      <c r="AJ220" s="459"/>
      <c r="AK220" s="459"/>
      <c r="AL220" s="459"/>
      <c r="AM220" s="459"/>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row>
    <row r="221" spans="1:144" ht="15">
      <c r="A221"/>
      <c r="B221"/>
      <c r="C221"/>
      <c r="D221"/>
      <c r="E221"/>
      <c r="F221"/>
      <c r="G221"/>
      <c r="H221"/>
      <c r="I221"/>
      <c r="J221"/>
      <c r="K221"/>
      <c r="L221" s="784"/>
      <c r="M221" s="459"/>
      <c r="N221" s="1044"/>
      <c r="O221" s="459"/>
      <c r="P221" s="459"/>
      <c r="Q221" s="459"/>
      <c r="R221" s="459"/>
      <c r="S221" s="459"/>
      <c r="T221" s="459"/>
      <c r="U221" s="459"/>
      <c r="V221" s="459"/>
      <c r="W221" s="459"/>
      <c r="X221" s="459"/>
      <c r="Y221" s="459"/>
      <c r="Z221" s="459"/>
      <c r="AA221" s="459"/>
      <c r="AB221" s="459"/>
      <c r="AC221" s="459"/>
      <c r="AD221" s="459"/>
      <c r="AE221" s="459"/>
      <c r="AF221" s="459"/>
      <c r="AG221" s="459"/>
      <c r="AH221" s="459"/>
      <c r="AI221" s="459"/>
      <c r="AJ221" s="459"/>
      <c r="AK221" s="459"/>
      <c r="AL221" s="459"/>
      <c r="AM221" s="459"/>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row>
    <row r="222" spans="1:144" ht="15">
      <c r="A222"/>
      <c r="B222"/>
      <c r="C222"/>
      <c r="D222"/>
      <c r="E222"/>
      <c r="F222"/>
      <c r="G222"/>
      <c r="H222"/>
      <c r="I222"/>
      <c r="J222"/>
      <c r="K222"/>
      <c r="L222" s="784"/>
      <c r="M222" s="459"/>
      <c r="N222" s="1044"/>
      <c r="O222" s="459"/>
      <c r="P222" s="459"/>
      <c r="Q222" s="459"/>
      <c r="R222" s="459"/>
      <c r="S222" s="459"/>
      <c r="T222" s="459"/>
      <c r="U222" s="459"/>
      <c r="V222" s="459"/>
      <c r="W222" s="459"/>
      <c r="X222" s="459"/>
      <c r="Y222" s="459"/>
      <c r="Z222" s="459"/>
      <c r="AA222" s="459"/>
      <c r="AB222" s="459"/>
      <c r="AC222" s="459"/>
      <c r="AD222" s="459"/>
      <c r="AE222" s="459"/>
      <c r="AF222" s="459"/>
      <c r="AG222" s="459"/>
      <c r="AH222" s="459"/>
      <c r="AI222" s="459"/>
      <c r="AJ222" s="459"/>
      <c r="AK222" s="459"/>
      <c r="AL222" s="459"/>
      <c r="AM222" s="459"/>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row>
    <row r="223" spans="1:144" ht="15">
      <c r="A223"/>
      <c r="B223"/>
      <c r="C223"/>
      <c r="D223"/>
      <c r="E223"/>
      <c r="F223"/>
      <c r="G223"/>
      <c r="H223"/>
      <c r="I223"/>
      <c r="J223"/>
      <c r="K223"/>
      <c r="L223" s="784"/>
      <c r="M223" s="459"/>
      <c r="N223" s="1044"/>
      <c r="O223" s="459"/>
      <c r="P223" s="459"/>
      <c r="Q223" s="459"/>
      <c r="R223" s="459"/>
      <c r="S223" s="459"/>
      <c r="T223" s="459"/>
      <c r="U223" s="459"/>
      <c r="V223" s="459"/>
      <c r="W223" s="459"/>
      <c r="X223" s="459"/>
      <c r="Y223" s="459"/>
      <c r="Z223" s="459"/>
      <c r="AA223" s="459"/>
      <c r="AB223" s="459"/>
      <c r="AC223" s="459"/>
      <c r="AD223" s="459"/>
      <c r="AE223" s="459"/>
      <c r="AF223" s="459"/>
      <c r="AG223" s="459"/>
      <c r="AH223" s="459"/>
      <c r="AI223" s="459"/>
      <c r="AJ223" s="459"/>
      <c r="AK223" s="459"/>
      <c r="AL223" s="459"/>
      <c r="AM223" s="459"/>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row>
    <row r="224" spans="1:144" ht="15">
      <c r="A224"/>
      <c r="B224"/>
      <c r="C224"/>
      <c r="D224"/>
      <c r="E224"/>
      <c r="F224"/>
      <c r="G224"/>
      <c r="H224"/>
      <c r="I224"/>
      <c r="J224"/>
      <c r="K224"/>
      <c r="L224" s="784"/>
      <c r="M224" s="459"/>
      <c r="N224" s="1044"/>
      <c r="O224" s="459"/>
      <c r="P224" s="459"/>
      <c r="Q224" s="459"/>
      <c r="R224" s="459"/>
      <c r="S224" s="459"/>
      <c r="T224" s="459"/>
      <c r="U224" s="459"/>
      <c r="V224" s="459"/>
      <c r="W224" s="459"/>
      <c r="X224" s="459"/>
      <c r="Y224" s="459"/>
      <c r="Z224" s="459"/>
      <c r="AA224" s="459"/>
      <c r="AB224" s="459"/>
      <c r="AC224" s="459"/>
      <c r="AD224" s="459"/>
      <c r="AE224" s="459"/>
      <c r="AF224" s="459"/>
      <c r="AG224" s="459"/>
      <c r="AH224" s="459"/>
      <c r="AI224" s="459"/>
      <c r="AJ224" s="459"/>
      <c r="AK224" s="459"/>
      <c r="AL224" s="459"/>
      <c r="AM224" s="459"/>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row>
    <row r="225" spans="1:144" ht="15">
      <c r="A225"/>
      <c r="B225"/>
      <c r="C225"/>
      <c r="D225"/>
      <c r="E225"/>
      <c r="F225"/>
      <c r="G225"/>
      <c r="H225"/>
      <c r="I225"/>
      <c r="J225"/>
      <c r="K225"/>
      <c r="L225" s="784"/>
      <c r="M225" s="459"/>
      <c r="N225" s="1044"/>
      <c r="O225" s="459"/>
      <c r="P225" s="459"/>
      <c r="Q225" s="459"/>
      <c r="R225" s="459"/>
      <c r="S225" s="459"/>
      <c r="T225" s="459"/>
      <c r="U225" s="459"/>
      <c r="V225" s="459"/>
      <c r="W225" s="459"/>
      <c r="X225" s="459"/>
      <c r="Y225" s="459"/>
      <c r="Z225" s="459"/>
      <c r="AA225" s="459"/>
      <c r="AB225" s="459"/>
      <c r="AC225" s="459"/>
      <c r="AD225" s="459"/>
      <c r="AE225" s="459"/>
      <c r="AF225" s="459"/>
      <c r="AG225" s="459"/>
      <c r="AH225" s="459"/>
      <c r="AI225" s="459"/>
      <c r="AJ225" s="459"/>
      <c r="AK225" s="459"/>
      <c r="AL225" s="459"/>
      <c r="AM225" s="459"/>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row>
    <row r="226" spans="1:144" ht="15">
      <c r="A226"/>
      <c r="B226"/>
      <c r="C226"/>
      <c r="D226"/>
      <c r="E226"/>
      <c r="F226"/>
      <c r="G226"/>
      <c r="H226"/>
      <c r="I226"/>
      <c r="J226"/>
      <c r="K226"/>
      <c r="L226" s="784"/>
      <c r="M226" s="459"/>
      <c r="N226" s="1044"/>
      <c r="O226" s="459"/>
      <c r="P226" s="459"/>
      <c r="Q226" s="459"/>
      <c r="R226" s="459"/>
      <c r="S226" s="459"/>
      <c r="T226" s="459"/>
      <c r="U226" s="459"/>
      <c r="V226" s="459"/>
      <c r="W226" s="459"/>
      <c r="X226" s="459"/>
      <c r="Y226" s="459"/>
      <c r="Z226" s="459"/>
      <c r="AA226" s="459"/>
      <c r="AB226" s="459"/>
      <c r="AC226" s="459"/>
      <c r="AD226" s="459"/>
      <c r="AE226" s="459"/>
      <c r="AF226" s="459"/>
      <c r="AG226" s="459"/>
      <c r="AH226" s="459"/>
      <c r="AI226" s="459"/>
      <c r="AJ226" s="459"/>
      <c r="AK226" s="459"/>
      <c r="AL226" s="459"/>
      <c r="AM226" s="459"/>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row>
    <row r="227" spans="1:144" ht="15">
      <c r="A227"/>
      <c r="B227"/>
      <c r="C227"/>
      <c r="D227"/>
      <c r="E227"/>
      <c r="F227"/>
      <c r="G227"/>
      <c r="H227"/>
      <c r="I227"/>
      <c r="J227"/>
      <c r="K227"/>
      <c r="L227" s="784"/>
      <c r="M227" s="459"/>
      <c r="N227" s="1044"/>
      <c r="O227" s="459"/>
      <c r="P227" s="459"/>
      <c r="Q227" s="459"/>
      <c r="R227" s="459"/>
      <c r="S227" s="459"/>
      <c r="T227" s="459"/>
      <c r="U227" s="459"/>
      <c r="V227" s="459"/>
      <c r="W227" s="459"/>
      <c r="X227" s="459"/>
      <c r="Y227" s="459"/>
      <c r="Z227" s="459"/>
      <c r="AA227" s="459"/>
      <c r="AB227" s="459"/>
      <c r="AC227" s="459"/>
      <c r="AD227" s="459"/>
      <c r="AE227" s="459"/>
      <c r="AF227" s="459"/>
      <c r="AG227" s="459"/>
      <c r="AH227" s="459"/>
      <c r="AI227" s="459"/>
      <c r="AJ227" s="459"/>
      <c r="AK227" s="459"/>
      <c r="AL227" s="459"/>
      <c r="AM227" s="459"/>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row>
    <row r="228" spans="1:144" ht="15">
      <c r="A228"/>
      <c r="B228"/>
      <c r="C228"/>
      <c r="D228"/>
      <c r="E228"/>
      <c r="F228"/>
      <c r="G228"/>
      <c r="H228"/>
      <c r="I228"/>
      <c r="J228"/>
      <c r="K228"/>
      <c r="L228" s="784"/>
      <c r="M228" s="459"/>
      <c r="N228" s="1044"/>
      <c r="O228" s="459"/>
      <c r="P228" s="459"/>
      <c r="Q228" s="459"/>
      <c r="R228" s="459"/>
      <c r="S228" s="459"/>
      <c r="T228" s="459"/>
      <c r="U228" s="459"/>
      <c r="V228" s="459"/>
      <c r="W228" s="459"/>
      <c r="X228" s="459"/>
      <c r="Y228" s="459"/>
      <c r="Z228" s="459"/>
      <c r="AA228" s="459"/>
      <c r="AB228" s="459"/>
      <c r="AC228" s="459"/>
      <c r="AD228" s="459"/>
      <c r="AE228" s="459"/>
      <c r="AF228" s="459"/>
      <c r="AG228" s="459"/>
      <c r="AH228" s="459"/>
      <c r="AI228" s="459"/>
      <c r="AJ228" s="459"/>
      <c r="AK228" s="459"/>
      <c r="AL228" s="459"/>
      <c r="AM228" s="459"/>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row>
    <row r="229" spans="1:144" ht="15">
      <c r="A229"/>
      <c r="B229"/>
      <c r="C229"/>
      <c r="D229"/>
      <c r="E229"/>
      <c r="F229"/>
      <c r="G229"/>
      <c r="H229"/>
      <c r="I229"/>
      <c r="J229"/>
      <c r="K229"/>
      <c r="L229" s="784"/>
      <c r="M229" s="459"/>
      <c r="N229" s="1044"/>
      <c r="O229" s="459"/>
      <c r="P229" s="459"/>
      <c r="Q229" s="459"/>
      <c r="R229" s="459"/>
      <c r="S229" s="459"/>
      <c r="T229" s="459"/>
      <c r="U229" s="459"/>
      <c r="V229" s="459"/>
      <c r="W229" s="459"/>
      <c r="X229" s="459"/>
      <c r="Y229" s="459"/>
      <c r="Z229" s="459"/>
      <c r="AA229" s="459"/>
      <c r="AB229" s="459"/>
      <c r="AC229" s="459"/>
      <c r="AD229" s="459"/>
      <c r="AE229" s="459"/>
      <c r="AF229" s="459"/>
      <c r="AG229" s="459"/>
      <c r="AH229" s="459"/>
      <c r="AI229" s="459"/>
      <c r="AJ229" s="459"/>
      <c r="AK229" s="459"/>
      <c r="AL229" s="459"/>
      <c r="AM229" s="45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row>
    <row r="230" spans="1:144" ht="15">
      <c r="A230"/>
      <c r="B230"/>
      <c r="C230"/>
      <c r="D230"/>
      <c r="E230"/>
      <c r="F230"/>
      <c r="G230"/>
      <c r="H230"/>
      <c r="I230"/>
      <c r="J230"/>
      <c r="K230"/>
      <c r="L230" s="784"/>
      <c r="M230" s="459"/>
      <c r="N230" s="1044"/>
      <c r="O230" s="459"/>
      <c r="P230" s="459"/>
      <c r="Q230" s="459"/>
      <c r="R230" s="459"/>
      <c r="S230" s="459"/>
      <c r="T230" s="459"/>
      <c r="U230" s="459"/>
      <c r="V230" s="459"/>
      <c r="W230" s="459"/>
      <c r="X230" s="459"/>
      <c r="Y230" s="459"/>
      <c r="Z230" s="459"/>
      <c r="AA230" s="459"/>
      <c r="AB230" s="459"/>
      <c r="AC230" s="459"/>
      <c r="AD230" s="459"/>
      <c r="AE230" s="459"/>
      <c r="AF230" s="459"/>
      <c r="AG230" s="459"/>
      <c r="AH230" s="459"/>
      <c r="AI230" s="459"/>
      <c r="AJ230" s="459"/>
      <c r="AK230" s="459"/>
      <c r="AL230" s="459"/>
      <c r="AM230" s="459"/>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row>
    <row r="231" spans="1:144" ht="15">
      <c r="A231"/>
      <c r="B231"/>
      <c r="C231"/>
      <c r="D231"/>
      <c r="E231"/>
      <c r="F231"/>
      <c r="G231"/>
      <c r="H231"/>
      <c r="I231"/>
      <c r="J231"/>
      <c r="K231"/>
      <c r="L231" s="784"/>
      <c r="M231" s="459"/>
      <c r="N231" s="1044"/>
      <c r="O231" s="459"/>
      <c r="P231" s="459"/>
      <c r="Q231" s="459"/>
      <c r="R231" s="459"/>
      <c r="S231" s="459"/>
      <c r="T231" s="459"/>
      <c r="U231" s="459"/>
      <c r="V231" s="459"/>
      <c r="W231" s="459"/>
      <c r="X231" s="459"/>
      <c r="Y231" s="459"/>
      <c r="Z231" s="459"/>
      <c r="AA231" s="459"/>
      <c r="AB231" s="459"/>
      <c r="AC231" s="459"/>
      <c r="AD231" s="459"/>
      <c r="AE231" s="459"/>
      <c r="AF231" s="459"/>
      <c r="AG231" s="459"/>
      <c r="AH231" s="459"/>
      <c r="AI231" s="459"/>
      <c r="AJ231" s="459"/>
      <c r="AK231" s="459"/>
      <c r="AL231" s="459"/>
      <c r="AM231" s="459"/>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row>
    <row r="232" spans="1:144" ht="15">
      <c r="A232"/>
      <c r="B232"/>
      <c r="C232"/>
      <c r="D232"/>
      <c r="E232"/>
      <c r="F232"/>
      <c r="G232"/>
      <c r="H232"/>
      <c r="I232"/>
      <c r="J232"/>
      <c r="K232"/>
      <c r="L232" s="784"/>
      <c r="M232" s="459"/>
      <c r="N232" s="1044"/>
      <c r="O232" s="459"/>
      <c r="P232" s="459"/>
      <c r="Q232" s="459"/>
      <c r="R232" s="459"/>
      <c r="S232" s="459"/>
      <c r="T232" s="459"/>
      <c r="U232" s="459"/>
      <c r="V232" s="459"/>
      <c r="W232" s="459"/>
      <c r="X232" s="459"/>
      <c r="Y232" s="459"/>
      <c r="Z232" s="459"/>
      <c r="AA232" s="459"/>
      <c r="AB232" s="459"/>
      <c r="AC232" s="459"/>
      <c r="AD232" s="459"/>
      <c r="AE232" s="459"/>
      <c r="AF232" s="459"/>
      <c r="AG232" s="459"/>
      <c r="AH232" s="459"/>
      <c r="AI232" s="459"/>
      <c r="AJ232" s="459"/>
      <c r="AK232" s="459"/>
      <c r="AL232" s="459"/>
      <c r="AM232" s="459"/>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row>
    <row r="233" spans="1:144" ht="15">
      <c r="A233"/>
      <c r="B233"/>
      <c r="C233"/>
      <c r="D233"/>
      <c r="E233"/>
      <c r="F233"/>
      <c r="G233"/>
      <c r="H233"/>
      <c r="I233"/>
      <c r="J233"/>
      <c r="K233"/>
      <c r="L233" s="784"/>
      <c r="M233" s="459"/>
      <c r="N233" s="1044"/>
      <c r="O233" s="459"/>
      <c r="P233" s="459"/>
      <c r="Q233" s="459"/>
      <c r="R233" s="459"/>
      <c r="S233" s="459"/>
      <c r="T233" s="459"/>
      <c r="U233" s="459"/>
      <c r="V233" s="459"/>
      <c r="W233" s="459"/>
      <c r="X233" s="459"/>
      <c r="Y233" s="459"/>
      <c r="Z233" s="459"/>
      <c r="AA233" s="459"/>
      <c r="AB233" s="459"/>
      <c r="AC233" s="459"/>
      <c r="AD233" s="459"/>
      <c r="AE233" s="459"/>
      <c r="AF233" s="459"/>
      <c r="AG233" s="459"/>
      <c r="AH233" s="459"/>
      <c r="AI233" s="459"/>
      <c r="AJ233" s="459"/>
      <c r="AK233" s="459"/>
      <c r="AL233" s="459"/>
      <c r="AM233" s="459"/>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row>
    <row r="234" spans="1:144" ht="15">
      <c r="A234"/>
      <c r="B234"/>
      <c r="C234"/>
      <c r="D234"/>
      <c r="E234"/>
      <c r="F234"/>
      <c r="G234"/>
      <c r="H234"/>
      <c r="I234"/>
      <c r="J234"/>
      <c r="K234"/>
      <c r="L234" s="784"/>
      <c r="M234" s="459"/>
      <c r="N234" s="1044"/>
      <c r="O234" s="459"/>
      <c r="P234" s="459"/>
      <c r="Q234" s="459"/>
      <c r="R234" s="459"/>
      <c r="S234" s="459"/>
      <c r="T234" s="459"/>
      <c r="U234" s="459"/>
      <c r="V234" s="459"/>
      <c r="W234" s="459"/>
      <c r="X234" s="459"/>
      <c r="Y234" s="459"/>
      <c r="Z234" s="459"/>
      <c r="AA234" s="459"/>
      <c r="AB234" s="459"/>
      <c r="AC234" s="459"/>
      <c r="AD234" s="459"/>
      <c r="AE234" s="459"/>
      <c r="AF234" s="459"/>
      <c r="AG234" s="459"/>
      <c r="AH234" s="459"/>
      <c r="AI234" s="459"/>
      <c r="AJ234" s="459"/>
      <c r="AK234" s="459"/>
      <c r="AL234" s="459"/>
      <c r="AM234" s="459"/>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row>
    <row r="235" spans="1:144" ht="15">
      <c r="A235"/>
      <c r="B235"/>
      <c r="C235"/>
      <c r="D235"/>
      <c r="E235"/>
      <c r="F235"/>
      <c r="G235"/>
      <c r="H235"/>
      <c r="I235"/>
      <c r="J235"/>
      <c r="K235"/>
      <c r="L235" s="784"/>
      <c r="M235" s="459"/>
      <c r="N235" s="1044"/>
      <c r="O235" s="459"/>
      <c r="P235" s="459"/>
      <c r="Q235" s="459"/>
      <c r="R235" s="459"/>
      <c r="S235" s="459"/>
      <c r="T235" s="459"/>
      <c r="U235" s="459"/>
      <c r="V235" s="459"/>
      <c r="W235" s="459"/>
      <c r="X235" s="459"/>
      <c r="Y235" s="459"/>
      <c r="Z235" s="459"/>
      <c r="AA235" s="459"/>
      <c r="AB235" s="459"/>
      <c r="AC235" s="459"/>
      <c r="AD235" s="459"/>
      <c r="AE235" s="459"/>
      <c r="AF235" s="459"/>
      <c r="AG235" s="459"/>
      <c r="AH235" s="459"/>
      <c r="AI235" s="459"/>
      <c r="AJ235" s="459"/>
      <c r="AK235" s="459"/>
      <c r="AL235" s="459"/>
      <c r="AM235" s="459"/>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row>
    <row r="236" spans="1:144" ht="15">
      <c r="A236"/>
      <c r="B236"/>
      <c r="C236"/>
      <c r="D236"/>
      <c r="E236"/>
      <c r="F236"/>
      <c r="G236"/>
      <c r="H236"/>
      <c r="I236"/>
      <c r="J236"/>
      <c r="K236"/>
      <c r="L236" s="784"/>
      <c r="M236" s="459"/>
      <c r="N236" s="1044"/>
      <c r="O236" s="459"/>
      <c r="P236" s="459"/>
      <c r="Q236" s="459"/>
      <c r="R236" s="459"/>
      <c r="S236" s="459"/>
      <c r="T236" s="459"/>
      <c r="U236" s="459"/>
      <c r="V236" s="459"/>
      <c r="W236" s="459"/>
      <c r="X236" s="459"/>
      <c r="Y236" s="459"/>
      <c r="Z236" s="459"/>
      <c r="AA236" s="459"/>
      <c r="AB236" s="459"/>
      <c r="AC236" s="459"/>
      <c r="AD236" s="459"/>
      <c r="AE236" s="459"/>
      <c r="AF236" s="459"/>
      <c r="AG236" s="459"/>
      <c r="AH236" s="459"/>
      <c r="AI236" s="459"/>
      <c r="AJ236" s="459"/>
      <c r="AK236" s="459"/>
      <c r="AL236" s="459"/>
      <c r="AM236" s="459"/>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row>
    <row r="237" spans="1:144" ht="15">
      <c r="A237"/>
      <c r="B237"/>
      <c r="C237"/>
      <c r="D237"/>
      <c r="E237"/>
      <c r="F237"/>
      <c r="G237"/>
      <c r="H237"/>
      <c r="I237"/>
      <c r="J237"/>
      <c r="K237"/>
      <c r="L237" s="784"/>
      <c r="M237" s="459"/>
      <c r="N237" s="1044"/>
      <c r="O237" s="459"/>
      <c r="P237" s="459"/>
      <c r="Q237" s="459"/>
      <c r="R237" s="459"/>
      <c r="S237" s="459"/>
      <c r="T237" s="459"/>
      <c r="U237" s="459"/>
      <c r="V237" s="459"/>
      <c r="W237" s="459"/>
      <c r="X237" s="459"/>
      <c r="Y237" s="459"/>
      <c r="Z237" s="459"/>
      <c r="AA237" s="459"/>
      <c r="AB237" s="459"/>
      <c r="AC237" s="459"/>
      <c r="AD237" s="459"/>
      <c r="AE237" s="459"/>
      <c r="AF237" s="459"/>
      <c r="AG237" s="459"/>
      <c r="AH237" s="459"/>
      <c r="AI237" s="459"/>
      <c r="AJ237" s="459"/>
      <c r="AK237" s="459"/>
      <c r="AL237" s="459"/>
      <c r="AM237" s="459"/>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row>
    <row r="238" spans="1:144" ht="15">
      <c r="A238"/>
      <c r="B238"/>
      <c r="C238"/>
      <c r="D238"/>
      <c r="E238"/>
      <c r="F238"/>
      <c r="G238"/>
      <c r="H238"/>
      <c r="I238"/>
      <c r="J238"/>
      <c r="K238"/>
      <c r="L238" s="784"/>
      <c r="M238" s="459"/>
      <c r="N238" s="1044"/>
      <c r="O238" s="459"/>
      <c r="P238" s="459"/>
      <c r="Q238" s="459"/>
      <c r="R238" s="459"/>
      <c r="S238" s="459"/>
      <c r="T238" s="459"/>
      <c r="U238" s="459"/>
      <c r="V238" s="459"/>
      <c r="W238" s="459"/>
      <c r="X238" s="459"/>
      <c r="Y238" s="459"/>
      <c r="Z238" s="459"/>
      <c r="AA238" s="459"/>
      <c r="AB238" s="459"/>
      <c r="AC238" s="459"/>
      <c r="AD238" s="459"/>
      <c r="AE238" s="459"/>
      <c r="AF238" s="459"/>
      <c r="AG238" s="459"/>
      <c r="AH238" s="459"/>
      <c r="AI238" s="459"/>
      <c r="AJ238" s="459"/>
      <c r="AK238" s="459"/>
      <c r="AL238" s="459"/>
      <c r="AM238" s="459"/>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row>
    <row r="239" spans="1:144" ht="15">
      <c r="A239"/>
      <c r="B239"/>
      <c r="C239"/>
      <c r="D239"/>
      <c r="E239"/>
      <c r="F239"/>
      <c r="G239"/>
      <c r="H239"/>
      <c r="I239"/>
      <c r="J239"/>
      <c r="K239"/>
      <c r="L239" s="784"/>
      <c r="M239" s="459"/>
      <c r="N239" s="1044"/>
      <c r="O239" s="459"/>
      <c r="P239" s="459"/>
      <c r="Q239" s="459"/>
      <c r="R239" s="459"/>
      <c r="S239" s="459"/>
      <c r="T239" s="459"/>
      <c r="U239" s="459"/>
      <c r="V239" s="459"/>
      <c r="W239" s="459"/>
      <c r="X239" s="459"/>
      <c r="Y239" s="459"/>
      <c r="Z239" s="459"/>
      <c r="AA239" s="459"/>
      <c r="AB239" s="459"/>
      <c r="AC239" s="459"/>
      <c r="AD239" s="459"/>
      <c r="AE239" s="459"/>
      <c r="AF239" s="459"/>
      <c r="AG239" s="459"/>
      <c r="AH239" s="459"/>
      <c r="AI239" s="459"/>
      <c r="AJ239" s="459"/>
      <c r="AK239" s="459"/>
      <c r="AL239" s="459"/>
      <c r="AM239" s="45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row>
    <row r="240" spans="1:144" ht="15">
      <c r="A240"/>
      <c r="B240"/>
      <c r="C240"/>
      <c r="D240"/>
      <c r="E240"/>
      <c r="F240"/>
      <c r="G240"/>
      <c r="H240"/>
      <c r="I240"/>
      <c r="J240"/>
      <c r="K240"/>
      <c r="L240" s="784"/>
      <c r="M240" s="459"/>
      <c r="N240" s="1044"/>
      <c r="O240" s="459"/>
      <c r="P240" s="459"/>
      <c r="Q240" s="459"/>
      <c r="R240" s="459"/>
      <c r="S240" s="459"/>
      <c r="T240" s="459"/>
      <c r="U240" s="459"/>
      <c r="V240" s="459"/>
      <c r="W240" s="459"/>
      <c r="X240" s="459"/>
      <c r="Y240" s="459"/>
      <c r="Z240" s="459"/>
      <c r="AA240" s="459"/>
      <c r="AB240" s="459"/>
      <c r="AC240" s="459"/>
      <c r="AD240" s="459"/>
      <c r="AE240" s="459"/>
      <c r="AF240" s="459"/>
      <c r="AG240" s="459"/>
      <c r="AH240" s="459"/>
      <c r="AI240" s="459"/>
      <c r="AJ240" s="459"/>
      <c r="AK240" s="459"/>
      <c r="AL240" s="459"/>
      <c r="AM240" s="459"/>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row>
    <row r="241" spans="1:144" ht="15">
      <c r="A241"/>
      <c r="B241"/>
      <c r="C241"/>
      <c r="D241"/>
      <c r="E241"/>
      <c r="F241"/>
      <c r="G241"/>
      <c r="H241"/>
      <c r="I241"/>
      <c r="J241"/>
      <c r="K241"/>
      <c r="L241" s="784"/>
      <c r="M241" s="459"/>
      <c r="N241" s="1044"/>
      <c r="O241" s="459"/>
      <c r="P241" s="459"/>
      <c r="Q241" s="459"/>
      <c r="R241" s="459"/>
      <c r="S241" s="459"/>
      <c r="T241" s="459"/>
      <c r="U241" s="459"/>
      <c r="V241" s="459"/>
      <c r="W241" s="459"/>
      <c r="X241" s="459"/>
      <c r="Y241" s="459"/>
      <c r="Z241" s="459"/>
      <c r="AA241" s="459"/>
      <c r="AB241" s="459"/>
      <c r="AC241" s="459"/>
      <c r="AD241" s="459"/>
      <c r="AE241" s="459"/>
      <c r="AF241" s="459"/>
      <c r="AG241" s="459"/>
      <c r="AH241" s="459"/>
      <c r="AI241" s="459"/>
      <c r="AJ241" s="459"/>
      <c r="AK241" s="459"/>
      <c r="AL241" s="459"/>
      <c r="AM241" s="459"/>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row>
    <row r="242" spans="1:144" ht="15">
      <c r="A242"/>
      <c r="B242"/>
      <c r="C242"/>
      <c r="D242"/>
      <c r="E242"/>
      <c r="F242"/>
      <c r="G242"/>
      <c r="H242"/>
      <c r="I242"/>
      <c r="J242"/>
      <c r="K242"/>
      <c r="L242" s="784"/>
      <c r="M242" s="459"/>
      <c r="N242" s="1044"/>
      <c r="O242" s="459"/>
      <c r="P242" s="459"/>
      <c r="Q242" s="459"/>
      <c r="R242" s="459"/>
      <c r="S242" s="459"/>
      <c r="T242" s="459"/>
      <c r="U242" s="459"/>
      <c r="V242" s="459"/>
      <c r="W242" s="459"/>
      <c r="X242" s="459"/>
      <c r="Y242" s="459"/>
      <c r="Z242" s="459"/>
      <c r="AA242" s="459"/>
      <c r="AB242" s="459"/>
      <c r="AC242" s="459"/>
      <c r="AD242" s="459"/>
      <c r="AE242" s="459"/>
      <c r="AF242" s="459"/>
      <c r="AG242" s="459"/>
      <c r="AH242" s="459"/>
      <c r="AI242" s="459"/>
      <c r="AJ242" s="459"/>
      <c r="AK242" s="459"/>
      <c r="AL242" s="459"/>
      <c r="AM242" s="459"/>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row>
    <row r="243" spans="1:144" ht="15">
      <c r="A243"/>
      <c r="B243"/>
      <c r="C243"/>
      <c r="D243"/>
      <c r="E243"/>
      <c r="F243"/>
      <c r="G243"/>
      <c r="H243"/>
      <c r="I243"/>
      <c r="J243"/>
      <c r="K243"/>
      <c r="L243" s="784"/>
      <c r="M243" s="459"/>
      <c r="N243" s="1044"/>
      <c r="O243" s="459"/>
      <c r="P243" s="459"/>
      <c r="Q243" s="459"/>
      <c r="R243" s="459"/>
      <c r="S243" s="459"/>
      <c r="T243" s="459"/>
      <c r="U243" s="459"/>
      <c r="V243" s="459"/>
      <c r="W243" s="459"/>
      <c r="X243" s="459"/>
      <c r="Y243" s="459"/>
      <c r="Z243" s="459"/>
      <c r="AA243" s="459"/>
      <c r="AB243" s="459"/>
      <c r="AC243" s="459"/>
      <c r="AD243" s="459"/>
      <c r="AE243" s="459"/>
      <c r="AF243" s="459"/>
      <c r="AG243" s="459"/>
      <c r="AH243" s="459"/>
      <c r="AI243" s="459"/>
      <c r="AJ243" s="459"/>
      <c r="AK243" s="459"/>
      <c r="AL243" s="459"/>
      <c r="AM243" s="459"/>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row>
    <row r="244" spans="1:144" ht="15">
      <c r="A244"/>
      <c r="B244"/>
      <c r="C244"/>
      <c r="D244"/>
      <c r="E244"/>
      <c r="F244"/>
      <c r="G244"/>
      <c r="H244"/>
      <c r="I244"/>
      <c r="J244"/>
      <c r="K244"/>
      <c r="L244" s="784"/>
      <c r="M244" s="459"/>
      <c r="N244" s="1044"/>
      <c r="O244" s="459"/>
      <c r="P244" s="459"/>
      <c r="Q244" s="459"/>
      <c r="R244" s="459"/>
      <c r="S244" s="459"/>
      <c r="T244" s="459"/>
      <c r="U244" s="459"/>
      <c r="V244" s="459"/>
      <c r="W244" s="459"/>
      <c r="X244" s="459"/>
      <c r="Y244" s="459"/>
      <c r="Z244" s="459"/>
      <c r="AA244" s="459"/>
      <c r="AB244" s="459"/>
      <c r="AC244" s="459"/>
      <c r="AD244" s="459"/>
      <c r="AE244" s="459"/>
      <c r="AF244" s="459"/>
      <c r="AG244" s="459"/>
      <c r="AH244" s="459"/>
      <c r="AI244" s="459"/>
      <c r="AJ244" s="459"/>
      <c r="AK244" s="459"/>
      <c r="AL244" s="459"/>
      <c r="AM244" s="459"/>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row>
    <row r="245" spans="1:144" ht="15">
      <c r="A245"/>
      <c r="B245"/>
      <c r="C245"/>
      <c r="D245"/>
      <c r="E245"/>
      <c r="F245"/>
      <c r="G245"/>
      <c r="H245"/>
      <c r="I245"/>
      <c r="J245"/>
      <c r="K245"/>
      <c r="L245" s="784"/>
      <c r="M245" s="459"/>
      <c r="N245" s="1044"/>
      <c r="O245" s="459"/>
      <c r="P245" s="459"/>
      <c r="Q245" s="459"/>
      <c r="R245" s="459"/>
      <c r="S245" s="459"/>
      <c r="T245" s="459"/>
      <c r="U245" s="459"/>
      <c r="V245" s="459"/>
      <c r="W245" s="459"/>
      <c r="X245" s="459"/>
      <c r="Y245" s="459"/>
      <c r="Z245" s="459"/>
      <c r="AA245" s="459"/>
      <c r="AB245" s="459"/>
      <c r="AC245" s="459"/>
      <c r="AD245" s="459"/>
      <c r="AE245" s="459"/>
      <c r="AF245" s="459"/>
      <c r="AG245" s="459"/>
      <c r="AH245" s="459"/>
      <c r="AI245" s="459"/>
      <c r="AJ245" s="459"/>
      <c r="AK245" s="459"/>
      <c r="AL245" s="459"/>
      <c r="AM245" s="459"/>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row>
    <row r="246" spans="1:144" ht="15">
      <c r="A246"/>
      <c r="B246"/>
      <c r="C246"/>
      <c r="D246"/>
      <c r="E246"/>
      <c r="F246"/>
      <c r="G246"/>
      <c r="H246"/>
      <c r="I246"/>
      <c r="J246"/>
      <c r="K246"/>
      <c r="L246" s="784"/>
      <c r="M246" s="459"/>
      <c r="N246" s="1044"/>
      <c r="O246" s="459"/>
      <c r="P246" s="459"/>
      <c r="Q246" s="459"/>
      <c r="R246" s="459"/>
      <c r="S246" s="459"/>
      <c r="T246" s="459"/>
      <c r="U246" s="459"/>
      <c r="V246" s="459"/>
      <c r="W246" s="459"/>
      <c r="X246" s="459"/>
      <c r="Y246" s="459"/>
      <c r="Z246" s="459"/>
      <c r="AA246" s="459"/>
      <c r="AB246" s="459"/>
      <c r="AC246" s="459"/>
      <c r="AD246" s="459"/>
      <c r="AE246" s="459"/>
      <c r="AF246" s="459"/>
      <c r="AG246" s="459"/>
      <c r="AH246" s="459"/>
      <c r="AI246" s="459"/>
      <c r="AJ246" s="459"/>
      <c r="AK246" s="459"/>
      <c r="AL246" s="459"/>
      <c r="AM246" s="459"/>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row>
    <row r="247" spans="1:144" ht="15">
      <c r="A247"/>
      <c r="B247"/>
      <c r="C247"/>
      <c r="D247"/>
      <c r="E247"/>
      <c r="F247"/>
      <c r="G247"/>
      <c r="H247"/>
      <c r="I247"/>
      <c r="J247"/>
      <c r="K247"/>
      <c r="L247" s="784"/>
      <c r="M247" s="459"/>
      <c r="N247" s="1044"/>
      <c r="O247" s="459"/>
      <c r="P247" s="459"/>
      <c r="Q247" s="459"/>
      <c r="R247" s="459"/>
      <c r="S247" s="459"/>
      <c r="T247" s="459"/>
      <c r="U247" s="459"/>
      <c r="V247" s="459"/>
      <c r="W247" s="459"/>
      <c r="X247" s="459"/>
      <c r="Y247" s="459"/>
      <c r="Z247" s="459"/>
      <c r="AA247" s="459"/>
      <c r="AB247" s="459"/>
      <c r="AC247" s="459"/>
      <c r="AD247" s="459"/>
      <c r="AE247" s="459"/>
      <c r="AF247" s="459"/>
      <c r="AG247" s="459"/>
      <c r="AH247" s="459"/>
      <c r="AI247" s="459"/>
      <c r="AJ247" s="459"/>
      <c r="AK247" s="459"/>
      <c r="AL247" s="459"/>
      <c r="AM247" s="459"/>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row>
    <row r="248" spans="1:144" ht="15">
      <c r="A248"/>
      <c r="B248"/>
      <c r="C248"/>
      <c r="D248"/>
      <c r="E248"/>
      <c r="F248"/>
      <c r="G248"/>
      <c r="H248"/>
      <c r="I248"/>
      <c r="J248"/>
      <c r="K248"/>
      <c r="L248" s="784"/>
      <c r="M248" s="459"/>
      <c r="N248" s="1044"/>
      <c r="O248" s="459"/>
      <c r="P248" s="459"/>
      <c r="Q248" s="459"/>
      <c r="R248" s="459"/>
      <c r="S248" s="459"/>
      <c r="T248" s="459"/>
      <c r="U248" s="459"/>
      <c r="V248" s="459"/>
      <c r="W248" s="459"/>
      <c r="X248" s="459"/>
      <c r="Y248" s="459"/>
      <c r="Z248" s="459"/>
      <c r="AA248" s="459"/>
      <c r="AB248" s="459"/>
      <c r="AC248" s="459"/>
      <c r="AD248" s="459"/>
      <c r="AE248" s="459"/>
      <c r="AF248" s="459"/>
      <c r="AG248" s="459"/>
      <c r="AH248" s="459"/>
      <c r="AI248" s="459"/>
      <c r="AJ248" s="459"/>
      <c r="AK248" s="459"/>
      <c r="AL248" s="459"/>
      <c r="AM248" s="459"/>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row>
    <row r="249" spans="1:144" ht="15">
      <c r="A249"/>
      <c r="B249"/>
      <c r="C249"/>
      <c r="D249"/>
      <c r="E249"/>
      <c r="F249"/>
      <c r="G249"/>
      <c r="H249"/>
      <c r="I249"/>
      <c r="J249"/>
      <c r="K249"/>
      <c r="L249" s="784"/>
      <c r="M249" s="459"/>
      <c r="N249" s="1044"/>
      <c r="O249" s="459"/>
      <c r="P249" s="459"/>
      <c r="Q249" s="459"/>
      <c r="R249" s="459"/>
      <c r="S249" s="459"/>
      <c r="T249" s="459"/>
      <c r="U249" s="459"/>
      <c r="V249" s="459"/>
      <c r="W249" s="459"/>
      <c r="X249" s="459"/>
      <c r="Y249" s="459"/>
      <c r="Z249" s="459"/>
      <c r="AA249" s="459"/>
      <c r="AB249" s="459"/>
      <c r="AC249" s="459"/>
      <c r="AD249" s="459"/>
      <c r="AE249" s="459"/>
      <c r="AF249" s="459"/>
      <c r="AG249" s="459"/>
      <c r="AH249" s="459"/>
      <c r="AI249" s="459"/>
      <c r="AJ249" s="459"/>
      <c r="AK249" s="459"/>
      <c r="AL249" s="459"/>
      <c r="AM249" s="45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row>
    <row r="250" spans="1:144" ht="15">
      <c r="A250"/>
      <c r="B250"/>
      <c r="C250"/>
      <c r="D250"/>
      <c r="E250"/>
      <c r="F250"/>
      <c r="G250"/>
      <c r="H250"/>
      <c r="I250"/>
      <c r="J250"/>
      <c r="K250"/>
      <c r="L250" s="784"/>
      <c r="M250" s="459"/>
      <c r="N250" s="1044"/>
      <c r="O250" s="459"/>
      <c r="P250" s="459"/>
      <c r="Q250" s="459"/>
      <c r="R250" s="459"/>
      <c r="S250" s="459"/>
      <c r="T250" s="459"/>
      <c r="U250" s="459"/>
      <c r="V250" s="459"/>
      <c r="W250" s="459"/>
      <c r="X250" s="459"/>
      <c r="Y250" s="459"/>
      <c r="Z250" s="459"/>
      <c r="AA250" s="459"/>
      <c r="AB250" s="459"/>
      <c r="AC250" s="459"/>
      <c r="AD250" s="459"/>
      <c r="AE250" s="459"/>
      <c r="AF250" s="459"/>
      <c r="AG250" s="459"/>
      <c r="AH250" s="459"/>
      <c r="AI250" s="459"/>
      <c r="AJ250" s="459"/>
      <c r="AK250" s="459"/>
      <c r="AL250" s="459"/>
      <c r="AM250" s="459"/>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row>
    <row r="251" spans="1:144" ht="15">
      <c r="A251"/>
      <c r="B251"/>
      <c r="C251"/>
      <c r="D251"/>
      <c r="E251"/>
      <c r="F251"/>
      <c r="G251"/>
      <c r="H251"/>
      <c r="I251"/>
      <c r="J251"/>
      <c r="K251"/>
      <c r="L251" s="784"/>
      <c r="M251" s="459"/>
      <c r="N251" s="1044"/>
      <c r="O251" s="459"/>
      <c r="P251" s="459"/>
      <c r="Q251" s="459"/>
      <c r="R251" s="459"/>
      <c r="S251" s="459"/>
      <c r="T251" s="459"/>
      <c r="U251" s="459"/>
      <c r="V251" s="459"/>
      <c r="W251" s="459"/>
      <c r="X251" s="459"/>
      <c r="Y251" s="459"/>
      <c r="Z251" s="459"/>
      <c r="AA251" s="459"/>
      <c r="AB251" s="459"/>
      <c r="AC251" s="459"/>
      <c r="AD251" s="459"/>
      <c r="AE251" s="459"/>
      <c r="AF251" s="459"/>
      <c r="AG251" s="459"/>
      <c r="AH251" s="459"/>
      <c r="AI251" s="459"/>
      <c r="AJ251" s="459"/>
      <c r="AK251" s="459"/>
      <c r="AL251" s="459"/>
      <c r="AM251" s="459"/>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row>
    <row r="252" spans="1:144" ht="15">
      <c r="A252"/>
      <c r="B252"/>
      <c r="C252"/>
      <c r="D252"/>
      <c r="E252"/>
      <c r="F252"/>
      <c r="G252"/>
      <c r="H252"/>
      <c r="I252"/>
      <c r="J252"/>
      <c r="K252"/>
      <c r="L252" s="784"/>
      <c r="M252" s="459"/>
      <c r="N252" s="1044"/>
      <c r="O252" s="459"/>
      <c r="P252" s="459"/>
      <c r="Q252" s="459"/>
      <c r="R252" s="459"/>
      <c r="S252" s="459"/>
      <c r="T252" s="459"/>
      <c r="U252" s="459"/>
      <c r="V252" s="459"/>
      <c r="W252" s="459"/>
      <c r="X252" s="459"/>
      <c r="Y252" s="459"/>
      <c r="Z252" s="459"/>
      <c r="AA252" s="459"/>
      <c r="AB252" s="459"/>
      <c r="AC252" s="459"/>
      <c r="AD252" s="459"/>
      <c r="AE252" s="459"/>
      <c r="AF252" s="459"/>
      <c r="AG252" s="459"/>
      <c r="AH252" s="459"/>
      <c r="AI252" s="459"/>
      <c r="AJ252" s="459"/>
      <c r="AK252" s="459"/>
      <c r="AL252" s="459"/>
      <c r="AM252" s="459"/>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row>
    <row r="253" spans="1:144" ht="15">
      <c r="A253"/>
      <c r="B253"/>
      <c r="C253"/>
      <c r="D253"/>
      <c r="E253"/>
      <c r="F253"/>
      <c r="G253"/>
      <c r="H253"/>
      <c r="I253"/>
      <c r="J253"/>
      <c r="K253"/>
      <c r="L253" s="784"/>
      <c r="M253" s="459"/>
      <c r="N253" s="1044"/>
      <c r="O253" s="459"/>
      <c r="P253" s="459"/>
      <c r="Q253" s="459"/>
      <c r="R253" s="459"/>
      <c r="S253" s="459"/>
      <c r="T253" s="459"/>
      <c r="U253" s="459"/>
      <c r="V253" s="459"/>
      <c r="W253" s="459"/>
      <c r="X253" s="459"/>
      <c r="Y253" s="459"/>
      <c r="Z253" s="459"/>
      <c r="AA253" s="459"/>
      <c r="AB253" s="459"/>
      <c r="AC253" s="459"/>
      <c r="AD253" s="459"/>
      <c r="AE253" s="459"/>
      <c r="AF253" s="459"/>
      <c r="AG253" s="459"/>
      <c r="AH253" s="459"/>
      <c r="AI253" s="459"/>
      <c r="AJ253" s="459"/>
      <c r="AK253" s="459"/>
      <c r="AL253" s="459"/>
      <c r="AM253" s="459"/>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row>
    <row r="254" spans="1:144" ht="15">
      <c r="A254"/>
      <c r="B254"/>
      <c r="C254"/>
      <c r="D254"/>
      <c r="E254"/>
      <c r="F254"/>
      <c r="G254"/>
      <c r="H254"/>
      <c r="I254"/>
      <c r="J254"/>
      <c r="K254"/>
      <c r="L254" s="784"/>
      <c r="M254" s="459"/>
      <c r="N254" s="1044"/>
      <c r="O254" s="459"/>
      <c r="P254" s="459"/>
      <c r="Q254" s="459"/>
      <c r="R254" s="459"/>
      <c r="S254" s="459"/>
      <c r="T254" s="459"/>
      <c r="U254" s="459"/>
      <c r="V254" s="459"/>
      <c r="W254" s="459"/>
      <c r="X254" s="459"/>
      <c r="Y254" s="459"/>
      <c r="Z254" s="459"/>
      <c r="AA254" s="459"/>
      <c r="AB254" s="459"/>
      <c r="AC254" s="459"/>
      <c r="AD254" s="459"/>
      <c r="AE254" s="459"/>
      <c r="AF254" s="459"/>
      <c r="AG254" s="459"/>
      <c r="AH254" s="459"/>
      <c r="AI254" s="459"/>
      <c r="AJ254" s="459"/>
      <c r="AK254" s="459"/>
      <c r="AL254" s="459"/>
      <c r="AM254" s="459"/>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row>
    <row r="255" spans="1:144" ht="15">
      <c r="A255"/>
      <c r="B255"/>
      <c r="C255"/>
      <c r="D255"/>
      <c r="E255"/>
      <c r="F255"/>
      <c r="G255"/>
      <c r="H255"/>
      <c r="I255"/>
      <c r="J255"/>
      <c r="K255"/>
      <c r="L255" s="784"/>
      <c r="M255" s="459"/>
      <c r="N255" s="1044"/>
      <c r="O255" s="459"/>
      <c r="P255" s="459"/>
      <c r="Q255" s="459"/>
      <c r="R255" s="459"/>
      <c r="S255" s="459"/>
      <c r="T255" s="459"/>
      <c r="U255" s="459"/>
      <c r="V255" s="459"/>
      <c r="W255" s="459"/>
      <c r="X255" s="459"/>
      <c r="Y255" s="459"/>
      <c r="Z255" s="459"/>
      <c r="AA255" s="459"/>
      <c r="AB255" s="459"/>
      <c r="AC255" s="459"/>
      <c r="AD255" s="459"/>
      <c r="AE255" s="459"/>
      <c r="AF255" s="459"/>
      <c r="AG255" s="459"/>
      <c r="AH255" s="459"/>
      <c r="AI255" s="459"/>
      <c r="AJ255" s="459"/>
      <c r="AK255" s="459"/>
      <c r="AL255" s="459"/>
      <c r="AM255" s="459"/>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row>
    <row r="256" spans="1:144" ht="15">
      <c r="A256"/>
      <c r="B256"/>
      <c r="C256"/>
      <c r="D256"/>
      <c r="E256"/>
      <c r="F256"/>
      <c r="G256"/>
      <c r="H256"/>
      <c r="I256"/>
      <c r="J256"/>
      <c r="K256"/>
      <c r="L256" s="784"/>
      <c r="M256" s="459"/>
      <c r="N256" s="1044"/>
      <c r="O256" s="459"/>
      <c r="P256" s="459"/>
      <c r="Q256" s="459"/>
      <c r="R256" s="459"/>
      <c r="S256" s="459"/>
      <c r="T256" s="459"/>
      <c r="U256" s="459"/>
      <c r="V256" s="459"/>
      <c r="W256" s="459"/>
      <c r="X256" s="459"/>
      <c r="Y256" s="459"/>
      <c r="Z256" s="459"/>
      <c r="AA256" s="459"/>
      <c r="AB256" s="459"/>
      <c r="AC256" s="459"/>
      <c r="AD256" s="459"/>
      <c r="AE256" s="459"/>
      <c r="AF256" s="459"/>
      <c r="AG256" s="459"/>
      <c r="AH256" s="459"/>
      <c r="AI256" s="459"/>
      <c r="AJ256" s="459"/>
      <c r="AK256" s="459"/>
      <c r="AL256" s="459"/>
      <c r="AM256" s="459"/>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row>
    <row r="257" spans="1:144" ht="15">
      <c r="A257"/>
      <c r="B257"/>
      <c r="C257"/>
      <c r="D257"/>
      <c r="E257"/>
      <c r="F257"/>
      <c r="G257"/>
      <c r="H257"/>
      <c r="I257"/>
      <c r="J257"/>
      <c r="K257"/>
      <c r="L257" s="784"/>
      <c r="M257" s="459"/>
      <c r="N257" s="1044"/>
      <c r="O257" s="459"/>
      <c r="P257" s="459"/>
      <c r="Q257" s="459"/>
      <c r="R257" s="459"/>
      <c r="S257" s="459"/>
      <c r="T257" s="459"/>
      <c r="U257" s="459"/>
      <c r="V257" s="459"/>
      <c r="W257" s="459"/>
      <c r="X257" s="459"/>
      <c r="Y257" s="459"/>
      <c r="Z257" s="459"/>
      <c r="AA257" s="459"/>
      <c r="AB257" s="459"/>
      <c r="AC257" s="459"/>
      <c r="AD257" s="459"/>
      <c r="AE257" s="459"/>
      <c r="AF257" s="459"/>
      <c r="AG257" s="459"/>
      <c r="AH257" s="459"/>
      <c r="AI257" s="459"/>
      <c r="AJ257" s="459"/>
      <c r="AK257" s="459"/>
      <c r="AL257" s="459"/>
      <c r="AM257" s="459"/>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row>
    <row r="258" spans="1:144" ht="15">
      <c r="A258"/>
      <c r="B258"/>
      <c r="C258"/>
      <c r="D258"/>
      <c r="E258"/>
      <c r="F258"/>
      <c r="G258"/>
      <c r="H258"/>
      <c r="I258"/>
      <c r="J258"/>
      <c r="K258"/>
      <c r="L258" s="784"/>
      <c r="M258" s="459"/>
      <c r="N258" s="1044"/>
      <c r="O258" s="459"/>
      <c r="P258" s="459"/>
      <c r="Q258" s="459"/>
      <c r="R258" s="459"/>
      <c r="S258" s="459"/>
      <c r="T258" s="459"/>
      <c r="U258" s="459"/>
      <c r="V258" s="459"/>
      <c r="W258" s="459"/>
      <c r="X258" s="459"/>
      <c r="Y258" s="459"/>
      <c r="Z258" s="459"/>
      <c r="AA258" s="459"/>
      <c r="AB258" s="459"/>
      <c r="AC258" s="459"/>
      <c r="AD258" s="459"/>
      <c r="AE258" s="459"/>
      <c r="AF258" s="459"/>
      <c r="AG258" s="459"/>
      <c r="AH258" s="459"/>
      <c r="AI258" s="459"/>
      <c r="AJ258" s="459"/>
      <c r="AK258" s="459"/>
      <c r="AL258" s="459"/>
      <c r="AM258" s="459"/>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row>
    <row r="259" spans="1:144" ht="15">
      <c r="A259"/>
      <c r="B259"/>
      <c r="C259"/>
      <c r="D259"/>
      <c r="E259"/>
      <c r="F259"/>
      <c r="G259"/>
      <c r="H259"/>
      <c r="I259"/>
      <c r="J259"/>
      <c r="K259"/>
      <c r="L259" s="784"/>
      <c r="M259" s="459"/>
      <c r="N259" s="1044"/>
      <c r="O259" s="459"/>
      <c r="P259" s="459"/>
      <c r="Q259" s="459"/>
      <c r="R259" s="459"/>
      <c r="S259" s="459"/>
      <c r="T259" s="459"/>
      <c r="U259" s="459"/>
      <c r="V259" s="459"/>
      <c r="W259" s="459"/>
      <c r="X259" s="459"/>
      <c r="Y259" s="459"/>
      <c r="Z259" s="459"/>
      <c r="AA259" s="459"/>
      <c r="AB259" s="459"/>
      <c r="AC259" s="459"/>
      <c r="AD259" s="459"/>
      <c r="AE259" s="459"/>
      <c r="AF259" s="459"/>
      <c r="AG259" s="459"/>
      <c r="AH259" s="459"/>
      <c r="AI259" s="459"/>
      <c r="AJ259" s="459"/>
      <c r="AK259" s="459"/>
      <c r="AL259" s="459"/>
      <c r="AM259" s="4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row>
    <row r="260" spans="1:144" ht="15">
      <c r="A260"/>
      <c r="B260"/>
      <c r="C260"/>
      <c r="D260"/>
      <c r="E260"/>
      <c r="F260"/>
      <c r="G260"/>
      <c r="H260"/>
      <c r="I260"/>
      <c r="J260"/>
      <c r="K260"/>
      <c r="L260" s="784"/>
      <c r="M260" s="459"/>
      <c r="N260" s="1044"/>
      <c r="O260" s="459"/>
      <c r="P260" s="459"/>
      <c r="Q260" s="459"/>
      <c r="R260" s="459"/>
      <c r="S260" s="459"/>
      <c r="T260" s="459"/>
      <c r="U260" s="459"/>
      <c r="V260" s="459"/>
      <c r="W260" s="459"/>
      <c r="X260" s="459"/>
      <c r="Y260" s="459"/>
      <c r="Z260" s="459"/>
      <c r="AA260" s="459"/>
      <c r="AB260" s="459"/>
      <c r="AC260" s="459"/>
      <c r="AD260" s="459"/>
      <c r="AE260" s="459"/>
      <c r="AF260" s="459"/>
      <c r="AG260" s="459"/>
      <c r="AH260" s="459"/>
      <c r="AI260" s="459"/>
      <c r="AJ260" s="459"/>
      <c r="AK260" s="459"/>
      <c r="AL260" s="459"/>
      <c r="AM260" s="459"/>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row>
    <row r="261" spans="1:144" ht="15">
      <c r="A261"/>
      <c r="B261"/>
      <c r="C261"/>
      <c r="D261"/>
      <c r="E261"/>
      <c r="F261"/>
      <c r="G261"/>
      <c r="H261"/>
      <c r="I261"/>
      <c r="J261"/>
      <c r="K261"/>
      <c r="L261" s="784"/>
      <c r="M261" s="459"/>
      <c r="N261" s="1044"/>
      <c r="O261" s="459"/>
      <c r="P261" s="459"/>
      <c r="Q261" s="459"/>
      <c r="R261" s="459"/>
      <c r="S261" s="459"/>
      <c r="T261" s="459"/>
      <c r="U261" s="459"/>
      <c r="V261" s="459"/>
      <c r="W261" s="459"/>
      <c r="X261" s="459"/>
      <c r="Y261" s="459"/>
      <c r="Z261" s="459"/>
      <c r="AA261" s="459"/>
      <c r="AB261" s="459"/>
      <c r="AC261" s="459"/>
      <c r="AD261" s="459"/>
      <c r="AE261" s="459"/>
      <c r="AF261" s="459"/>
      <c r="AG261" s="459"/>
      <c r="AH261" s="459"/>
      <c r="AI261" s="459"/>
      <c r="AJ261" s="459"/>
      <c r="AK261" s="459"/>
      <c r="AL261" s="459"/>
      <c r="AM261" s="459"/>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row>
    <row r="262" spans="1:144" ht="15">
      <c r="A262"/>
      <c r="B262"/>
      <c r="C262"/>
      <c r="D262"/>
      <c r="E262"/>
      <c r="F262"/>
      <c r="G262"/>
      <c r="H262"/>
      <c r="I262"/>
      <c r="J262"/>
      <c r="K262"/>
      <c r="L262" s="784"/>
      <c r="M262" s="459"/>
      <c r="N262" s="1044"/>
      <c r="O262" s="459"/>
      <c r="P262" s="459"/>
      <c r="Q262" s="459"/>
      <c r="R262" s="459"/>
      <c r="S262" s="459"/>
      <c r="T262" s="459"/>
      <c r="U262" s="459"/>
      <c r="V262" s="459"/>
      <c r="W262" s="459"/>
      <c r="X262" s="459"/>
      <c r="Y262" s="459"/>
      <c r="Z262" s="459"/>
      <c r="AA262" s="459"/>
      <c r="AB262" s="459"/>
      <c r="AC262" s="459"/>
      <c r="AD262" s="459"/>
      <c r="AE262" s="459"/>
      <c r="AF262" s="459"/>
      <c r="AG262" s="459"/>
      <c r="AH262" s="459"/>
      <c r="AI262" s="459"/>
      <c r="AJ262" s="459"/>
      <c r="AK262" s="459"/>
      <c r="AL262" s="459"/>
      <c r="AM262" s="459"/>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row>
    <row r="263" spans="1:144" ht="15">
      <c r="A263"/>
      <c r="B263"/>
      <c r="C263"/>
      <c r="D263"/>
      <c r="E263"/>
      <c r="F263"/>
      <c r="G263"/>
      <c r="H263"/>
      <c r="I263"/>
      <c r="J263"/>
      <c r="K263"/>
      <c r="L263" s="784"/>
      <c r="M263" s="459"/>
      <c r="N263" s="1044"/>
      <c r="O263" s="459"/>
      <c r="P263" s="459"/>
      <c r="Q263" s="459"/>
      <c r="R263" s="459"/>
      <c r="S263" s="459"/>
      <c r="T263" s="459"/>
      <c r="U263" s="459"/>
      <c r="V263" s="459"/>
      <c r="W263" s="459"/>
      <c r="X263" s="459"/>
      <c r="Y263" s="459"/>
      <c r="Z263" s="459"/>
      <c r="AA263" s="459"/>
      <c r="AB263" s="459"/>
      <c r="AC263" s="459"/>
      <c r="AD263" s="459"/>
      <c r="AE263" s="459"/>
      <c r="AF263" s="459"/>
      <c r="AG263" s="459"/>
      <c r="AH263" s="459"/>
      <c r="AI263" s="459"/>
      <c r="AJ263" s="459"/>
      <c r="AK263" s="459"/>
      <c r="AL263" s="459"/>
      <c r="AM263" s="459"/>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row>
    <row r="264" spans="1:144" ht="15">
      <c r="A264"/>
      <c r="B264"/>
      <c r="C264"/>
      <c r="D264"/>
      <c r="E264"/>
      <c r="F264"/>
      <c r="G264"/>
      <c r="H264"/>
      <c r="I264"/>
      <c r="J264"/>
      <c r="K264"/>
      <c r="L264" s="784"/>
      <c r="M264" s="459"/>
      <c r="N264" s="1044"/>
      <c r="O264" s="459"/>
      <c r="P264" s="459"/>
      <c r="Q264" s="459"/>
      <c r="R264" s="459"/>
      <c r="S264" s="459"/>
      <c r="T264" s="459"/>
      <c r="U264" s="459"/>
      <c r="V264" s="459"/>
      <c r="W264" s="459"/>
      <c r="X264" s="459"/>
      <c r="Y264" s="459"/>
      <c r="Z264" s="459"/>
      <c r="AA264" s="459"/>
      <c r="AB264" s="459"/>
      <c r="AC264" s="459"/>
      <c r="AD264" s="459"/>
      <c r="AE264" s="459"/>
      <c r="AF264" s="459"/>
      <c r="AG264" s="459"/>
      <c r="AH264" s="459"/>
      <c r="AI264" s="459"/>
      <c r="AJ264" s="459"/>
      <c r="AK264" s="459"/>
      <c r="AL264" s="459"/>
      <c r="AM264" s="459"/>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row>
    <row r="265" spans="1:144" ht="15">
      <c r="A265"/>
      <c r="B265"/>
      <c r="C265"/>
      <c r="D265"/>
      <c r="E265"/>
      <c r="F265"/>
      <c r="G265"/>
      <c r="H265"/>
      <c r="I265"/>
      <c r="J265"/>
      <c r="K265"/>
      <c r="L265" s="784"/>
      <c r="M265" s="459"/>
      <c r="N265" s="1044"/>
      <c r="O265" s="459"/>
      <c r="P265" s="459"/>
      <c r="Q265" s="459"/>
      <c r="R265" s="459"/>
      <c r="S265" s="459"/>
      <c r="T265" s="459"/>
      <c r="U265" s="459"/>
      <c r="V265" s="459"/>
      <c r="W265" s="459"/>
      <c r="X265" s="459"/>
      <c r="Y265" s="459"/>
      <c r="Z265" s="459"/>
      <c r="AA265" s="459"/>
      <c r="AB265" s="459"/>
      <c r="AC265" s="459"/>
      <c r="AD265" s="459"/>
      <c r="AE265" s="459"/>
      <c r="AF265" s="459"/>
      <c r="AG265" s="459"/>
      <c r="AH265" s="459"/>
      <c r="AI265" s="459"/>
      <c r="AJ265" s="459"/>
      <c r="AK265" s="459"/>
      <c r="AL265" s="459"/>
      <c r="AM265" s="459"/>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row>
    <row r="266" spans="1:144" ht="15">
      <c r="A266"/>
      <c r="B266"/>
      <c r="C266"/>
      <c r="D266"/>
      <c r="E266"/>
      <c r="F266"/>
      <c r="G266"/>
      <c r="H266"/>
      <c r="I266"/>
      <c r="J266"/>
      <c r="K266"/>
      <c r="L266" s="784"/>
      <c r="M266" s="459"/>
      <c r="N266" s="1044"/>
      <c r="O266" s="459"/>
      <c r="P266" s="459"/>
      <c r="Q266" s="459"/>
      <c r="R266" s="459"/>
      <c r="S266" s="459"/>
      <c r="T266" s="459"/>
      <c r="U266" s="459"/>
      <c r="V266" s="459"/>
      <c r="W266" s="459"/>
      <c r="X266" s="459"/>
      <c r="Y266" s="459"/>
      <c r="Z266" s="459"/>
      <c r="AA266" s="459"/>
      <c r="AB266" s="459"/>
      <c r="AC266" s="459"/>
      <c r="AD266" s="459"/>
      <c r="AE266" s="459"/>
      <c r="AF266" s="459"/>
      <c r="AG266" s="459"/>
      <c r="AH266" s="459"/>
      <c r="AI266" s="459"/>
      <c r="AJ266" s="459"/>
      <c r="AK266" s="459"/>
      <c r="AL266" s="459"/>
      <c r="AM266" s="459"/>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row>
    <row r="267" spans="1:144" ht="15">
      <c r="A267"/>
      <c r="B267"/>
      <c r="C267"/>
      <c r="D267"/>
      <c r="E267"/>
      <c r="F267"/>
      <c r="G267"/>
      <c r="H267"/>
      <c r="I267"/>
      <c r="J267"/>
      <c r="K267"/>
      <c r="L267" s="784"/>
      <c r="M267" s="459"/>
      <c r="N267" s="1044"/>
      <c r="O267" s="459"/>
      <c r="P267" s="459"/>
      <c r="Q267" s="459"/>
      <c r="R267" s="459"/>
      <c r="S267" s="459"/>
      <c r="T267" s="459"/>
      <c r="U267" s="459"/>
      <c r="V267" s="459"/>
      <c r="W267" s="459"/>
      <c r="X267" s="459"/>
      <c r="Y267" s="459"/>
      <c r="Z267" s="459"/>
      <c r="AA267" s="459"/>
      <c r="AB267" s="459"/>
      <c r="AC267" s="459"/>
      <c r="AD267" s="459"/>
      <c r="AE267" s="459"/>
      <c r="AF267" s="459"/>
      <c r="AG267" s="459"/>
      <c r="AH267" s="459"/>
      <c r="AI267" s="459"/>
      <c r="AJ267" s="459"/>
      <c r="AK267" s="459"/>
      <c r="AL267" s="459"/>
      <c r="AM267" s="459"/>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row>
    <row r="268" spans="1:144" ht="15">
      <c r="A268"/>
      <c r="B268"/>
      <c r="C268"/>
      <c r="D268"/>
      <c r="E268"/>
      <c r="F268"/>
      <c r="G268"/>
      <c r="H268"/>
      <c r="I268"/>
      <c r="J268"/>
      <c r="K268"/>
      <c r="L268" s="784"/>
      <c r="M268" s="459"/>
      <c r="N268" s="1044"/>
      <c r="O268" s="459"/>
      <c r="P268" s="459"/>
      <c r="Q268" s="459"/>
      <c r="R268" s="459"/>
      <c r="S268" s="459"/>
      <c r="T268" s="459"/>
      <c r="U268" s="459"/>
      <c r="V268" s="459"/>
      <c r="W268" s="459"/>
      <c r="X268" s="459"/>
      <c r="Y268" s="459"/>
      <c r="Z268" s="459"/>
      <c r="AA268" s="459"/>
      <c r="AB268" s="459"/>
      <c r="AC268" s="459"/>
      <c r="AD268" s="459"/>
      <c r="AE268" s="459"/>
      <c r="AF268" s="459"/>
      <c r="AG268" s="459"/>
      <c r="AH268" s="459"/>
      <c r="AI268" s="459"/>
      <c r="AJ268" s="459"/>
      <c r="AK268" s="459"/>
      <c r="AL268" s="459"/>
      <c r="AM268" s="459"/>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row>
    <row r="269" spans="1:144" ht="15">
      <c r="A269"/>
      <c r="B269"/>
      <c r="C269"/>
      <c r="D269"/>
      <c r="E269"/>
      <c r="F269"/>
      <c r="G269"/>
      <c r="H269"/>
      <c r="I269"/>
      <c r="J269"/>
      <c r="K269"/>
      <c r="L269" s="784"/>
      <c r="M269" s="459"/>
      <c r="N269" s="1044"/>
      <c r="O269" s="459"/>
      <c r="P269" s="459"/>
      <c r="Q269" s="459"/>
      <c r="R269" s="459"/>
      <c r="S269" s="459"/>
      <c r="T269" s="459"/>
      <c r="U269" s="459"/>
      <c r="V269" s="459"/>
      <c r="W269" s="459"/>
      <c r="X269" s="459"/>
      <c r="Y269" s="459"/>
      <c r="Z269" s="459"/>
      <c r="AA269" s="459"/>
      <c r="AB269" s="459"/>
      <c r="AC269" s="459"/>
      <c r="AD269" s="459"/>
      <c r="AE269" s="459"/>
      <c r="AF269" s="459"/>
      <c r="AG269" s="459"/>
      <c r="AH269" s="459"/>
      <c r="AI269" s="459"/>
      <c r="AJ269" s="459"/>
      <c r="AK269" s="459"/>
      <c r="AL269" s="459"/>
      <c r="AM269" s="45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row>
    <row r="270" spans="1:144" ht="15">
      <c r="A270"/>
      <c r="B270"/>
      <c r="C270"/>
      <c r="D270"/>
      <c r="E270"/>
      <c r="F270"/>
      <c r="G270"/>
      <c r="H270"/>
      <c r="I270"/>
      <c r="J270"/>
      <c r="K270"/>
      <c r="L270" s="784"/>
      <c r="M270" s="459"/>
      <c r="N270" s="1044"/>
      <c r="O270" s="459"/>
      <c r="P270" s="459"/>
      <c r="Q270" s="459"/>
      <c r="R270" s="459"/>
      <c r="S270" s="459"/>
      <c r="T270" s="459"/>
      <c r="U270" s="459"/>
      <c r="V270" s="459"/>
      <c r="W270" s="459"/>
      <c r="X270" s="459"/>
      <c r="Y270" s="459"/>
      <c r="Z270" s="459"/>
      <c r="AA270" s="459"/>
      <c r="AB270" s="459"/>
      <c r="AC270" s="459"/>
      <c r="AD270" s="459"/>
      <c r="AE270" s="459"/>
      <c r="AF270" s="459"/>
      <c r="AG270" s="459"/>
      <c r="AH270" s="459"/>
      <c r="AI270" s="459"/>
      <c r="AJ270" s="459"/>
      <c r="AK270" s="459"/>
      <c r="AL270" s="459"/>
      <c r="AM270" s="459"/>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row>
    <row r="271" spans="1:144" ht="15">
      <c r="A271"/>
      <c r="B271"/>
      <c r="C271"/>
      <c r="D271"/>
      <c r="E271"/>
      <c r="F271"/>
      <c r="G271"/>
      <c r="H271"/>
      <c r="I271"/>
      <c r="J271"/>
      <c r="K271"/>
      <c r="L271" s="784"/>
      <c r="M271" s="459"/>
      <c r="N271" s="1044"/>
      <c r="O271" s="459"/>
      <c r="P271" s="459"/>
      <c r="Q271" s="459"/>
      <c r="R271" s="459"/>
      <c r="S271" s="459"/>
      <c r="T271" s="459"/>
      <c r="U271" s="459"/>
      <c r="V271" s="459"/>
      <c r="W271" s="459"/>
      <c r="X271" s="459"/>
      <c r="Y271" s="459"/>
      <c r="Z271" s="459"/>
      <c r="AA271" s="459"/>
      <c r="AB271" s="459"/>
      <c r="AC271" s="459"/>
      <c r="AD271" s="459"/>
      <c r="AE271" s="459"/>
      <c r="AF271" s="459"/>
      <c r="AG271" s="459"/>
      <c r="AH271" s="459"/>
      <c r="AI271" s="459"/>
      <c r="AJ271" s="459"/>
      <c r="AK271" s="459"/>
      <c r="AL271" s="459"/>
      <c r="AM271" s="459"/>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row>
    <row r="272" spans="1:144" ht="15">
      <c r="A272"/>
      <c r="B272"/>
      <c r="C272"/>
      <c r="D272"/>
      <c r="E272"/>
      <c r="F272"/>
      <c r="G272"/>
      <c r="H272"/>
      <c r="I272"/>
      <c r="J272"/>
      <c r="K272"/>
      <c r="L272" s="784"/>
      <c r="M272" s="459"/>
      <c r="N272" s="1044"/>
      <c r="O272" s="459"/>
      <c r="P272" s="459"/>
      <c r="Q272" s="459"/>
      <c r="R272" s="459"/>
      <c r="S272" s="459"/>
      <c r="T272" s="459"/>
      <c r="U272" s="459"/>
      <c r="V272" s="459"/>
      <c r="W272" s="459"/>
      <c r="X272" s="459"/>
      <c r="Y272" s="459"/>
      <c r="Z272" s="459"/>
      <c r="AA272" s="459"/>
      <c r="AB272" s="459"/>
      <c r="AC272" s="459"/>
      <c r="AD272" s="459"/>
      <c r="AE272" s="459"/>
      <c r="AF272" s="459"/>
      <c r="AG272" s="459"/>
      <c r="AH272" s="459"/>
      <c r="AI272" s="459"/>
      <c r="AJ272" s="459"/>
      <c r="AK272" s="459"/>
      <c r="AL272" s="459"/>
      <c r="AM272" s="459"/>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row>
    <row r="273" spans="1:144" ht="15">
      <c r="A273"/>
      <c r="B273"/>
      <c r="C273"/>
      <c r="D273"/>
      <c r="E273"/>
      <c r="F273"/>
      <c r="G273"/>
      <c r="H273"/>
      <c r="I273"/>
      <c r="J273"/>
      <c r="K273"/>
      <c r="L273" s="784"/>
      <c r="M273" s="459"/>
      <c r="N273" s="1044"/>
      <c r="O273" s="459"/>
      <c r="P273" s="459"/>
      <c r="Q273" s="459"/>
      <c r="R273" s="459"/>
      <c r="S273" s="459"/>
      <c r="T273" s="459"/>
      <c r="U273" s="459"/>
      <c r="V273" s="459"/>
      <c r="W273" s="459"/>
      <c r="X273" s="459"/>
      <c r="Y273" s="459"/>
      <c r="Z273" s="459"/>
      <c r="AA273" s="459"/>
      <c r="AB273" s="459"/>
      <c r="AC273" s="459"/>
      <c r="AD273" s="459"/>
      <c r="AE273" s="459"/>
      <c r="AF273" s="459"/>
      <c r="AG273" s="459"/>
      <c r="AH273" s="459"/>
      <c r="AI273" s="459"/>
      <c r="AJ273" s="459"/>
      <c r="AK273" s="459"/>
      <c r="AL273" s="459"/>
      <c r="AM273" s="459"/>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row>
    <row r="274" spans="1:144" ht="15">
      <c r="A274"/>
      <c r="B274"/>
      <c r="C274"/>
      <c r="D274"/>
      <c r="E274"/>
      <c r="F274"/>
      <c r="G274"/>
      <c r="H274"/>
      <c r="I274"/>
      <c r="J274"/>
      <c r="K274"/>
      <c r="L274" s="784"/>
      <c r="M274" s="459"/>
      <c r="N274" s="1044"/>
      <c r="O274" s="459"/>
      <c r="P274" s="459"/>
      <c r="Q274" s="459"/>
      <c r="R274" s="459"/>
      <c r="S274" s="459"/>
      <c r="T274" s="459"/>
      <c r="U274" s="459"/>
      <c r="V274" s="459"/>
      <c r="W274" s="459"/>
      <c r="X274" s="459"/>
      <c r="Y274" s="459"/>
      <c r="Z274" s="459"/>
      <c r="AA274" s="459"/>
      <c r="AB274" s="459"/>
      <c r="AC274" s="459"/>
      <c r="AD274" s="459"/>
      <c r="AE274" s="459"/>
      <c r="AF274" s="459"/>
      <c r="AG274" s="459"/>
      <c r="AH274" s="459"/>
      <c r="AI274" s="459"/>
      <c r="AJ274" s="459"/>
      <c r="AK274" s="459"/>
      <c r="AL274" s="459"/>
      <c r="AM274" s="459"/>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row>
    <row r="275" spans="1:144" ht="15">
      <c r="A275"/>
      <c r="B275"/>
      <c r="C275"/>
      <c r="D275"/>
      <c r="E275"/>
      <c r="F275"/>
      <c r="G275"/>
      <c r="H275"/>
      <c r="I275"/>
      <c r="J275"/>
      <c r="K275"/>
      <c r="L275" s="784"/>
      <c r="M275" s="459"/>
      <c r="N275" s="1044"/>
      <c r="O275" s="459"/>
      <c r="P275" s="459"/>
      <c r="Q275" s="459"/>
      <c r="R275" s="459"/>
      <c r="S275" s="459"/>
      <c r="T275" s="459"/>
      <c r="U275" s="459"/>
      <c r="V275" s="459"/>
      <c r="W275" s="459"/>
      <c r="X275" s="459"/>
      <c r="Y275" s="459"/>
      <c r="Z275" s="459"/>
      <c r="AA275" s="459"/>
      <c r="AB275" s="459"/>
      <c r="AC275" s="459"/>
      <c r="AD275" s="459"/>
      <c r="AE275" s="459"/>
      <c r="AF275" s="459"/>
      <c r="AG275" s="459"/>
      <c r="AH275" s="459"/>
      <c r="AI275" s="459"/>
      <c r="AJ275" s="459"/>
      <c r="AK275" s="459"/>
      <c r="AL275" s="459"/>
      <c r="AM275" s="459"/>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row>
    <row r="276" spans="1:144" ht="15">
      <c r="A276"/>
      <c r="B276"/>
      <c r="C276"/>
      <c r="D276"/>
      <c r="E276"/>
      <c r="F276"/>
      <c r="G276"/>
      <c r="H276"/>
      <c r="I276"/>
      <c r="J276"/>
      <c r="K276"/>
      <c r="L276" s="784"/>
      <c r="M276" s="459"/>
      <c r="N276" s="1044"/>
      <c r="O276" s="459"/>
      <c r="P276" s="459"/>
      <c r="Q276" s="459"/>
      <c r="R276" s="459"/>
      <c r="S276" s="459"/>
      <c r="T276" s="459"/>
      <c r="U276" s="459"/>
      <c r="V276" s="459"/>
      <c r="W276" s="459"/>
      <c r="X276" s="459"/>
      <c r="Y276" s="459"/>
      <c r="Z276" s="459"/>
      <c r="AA276" s="459"/>
      <c r="AB276" s="459"/>
      <c r="AC276" s="459"/>
      <c r="AD276" s="459"/>
      <c r="AE276" s="459"/>
      <c r="AF276" s="459"/>
      <c r="AG276" s="459"/>
      <c r="AH276" s="459"/>
      <c r="AI276" s="459"/>
      <c r="AJ276" s="459"/>
      <c r="AK276" s="459"/>
      <c r="AL276" s="459"/>
      <c r="AM276" s="459"/>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row>
    <row r="277" spans="1:144" ht="15">
      <c r="A277"/>
      <c r="B277"/>
      <c r="C277"/>
      <c r="D277"/>
      <c r="E277"/>
      <c r="F277"/>
      <c r="G277"/>
      <c r="H277"/>
      <c r="I277"/>
      <c r="J277"/>
      <c r="K277"/>
      <c r="L277" s="784"/>
      <c r="M277" s="459"/>
      <c r="N277" s="1044"/>
      <c r="O277" s="459"/>
      <c r="P277" s="459"/>
      <c r="Q277" s="459"/>
      <c r="R277" s="459"/>
      <c r="S277" s="459"/>
      <c r="T277" s="459"/>
      <c r="U277" s="459"/>
      <c r="V277" s="459"/>
      <c r="W277" s="459"/>
      <c r="X277" s="459"/>
      <c r="Y277" s="459"/>
      <c r="Z277" s="459"/>
      <c r="AA277" s="459"/>
      <c r="AB277" s="459"/>
      <c r="AC277" s="459"/>
      <c r="AD277" s="459"/>
      <c r="AE277" s="459"/>
      <c r="AF277" s="459"/>
      <c r="AG277" s="459"/>
      <c r="AH277" s="459"/>
      <c r="AI277" s="459"/>
      <c r="AJ277" s="459"/>
      <c r="AK277" s="459"/>
      <c r="AL277" s="459"/>
      <c r="AM277" s="459"/>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row>
    <row r="278" spans="1:144" ht="15">
      <c r="A278"/>
      <c r="B278"/>
      <c r="C278"/>
      <c r="D278"/>
      <c r="E278"/>
      <c r="F278"/>
      <c r="G278"/>
      <c r="H278"/>
      <c r="I278"/>
      <c r="J278"/>
      <c r="K278"/>
      <c r="L278" s="784"/>
      <c r="M278" s="459"/>
      <c r="N278" s="1044"/>
      <c r="O278" s="459"/>
      <c r="P278" s="459"/>
      <c r="Q278" s="459"/>
      <c r="R278" s="459"/>
      <c r="S278" s="459"/>
      <c r="T278" s="459"/>
      <c r="U278" s="459"/>
      <c r="V278" s="459"/>
      <c r="W278" s="459"/>
      <c r="X278" s="459"/>
      <c r="Y278" s="459"/>
      <c r="Z278" s="459"/>
      <c r="AA278" s="459"/>
      <c r="AB278" s="459"/>
      <c r="AC278" s="459"/>
      <c r="AD278" s="459"/>
      <c r="AE278" s="459"/>
      <c r="AF278" s="459"/>
      <c r="AG278" s="459"/>
      <c r="AH278" s="459"/>
      <c r="AI278" s="459"/>
      <c r="AJ278" s="459"/>
      <c r="AK278" s="459"/>
      <c r="AL278" s="459"/>
      <c r="AM278" s="459"/>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row>
    <row r="279" spans="1:144" ht="15">
      <c r="A279"/>
      <c r="B279"/>
      <c r="C279"/>
      <c r="D279"/>
      <c r="E279"/>
      <c r="F279"/>
      <c r="G279"/>
      <c r="H279"/>
      <c r="I279"/>
      <c r="J279"/>
      <c r="K279"/>
      <c r="L279" s="784"/>
      <c r="M279" s="459"/>
      <c r="N279" s="1044"/>
      <c r="O279" s="459"/>
      <c r="P279" s="459"/>
      <c r="Q279" s="459"/>
      <c r="R279" s="459"/>
      <c r="S279" s="459"/>
      <c r="T279" s="459"/>
      <c r="U279" s="459"/>
      <c r="V279" s="459"/>
      <c r="W279" s="459"/>
      <c r="X279" s="459"/>
      <c r="Y279" s="459"/>
      <c r="Z279" s="459"/>
      <c r="AA279" s="459"/>
      <c r="AB279" s="459"/>
      <c r="AC279" s="459"/>
      <c r="AD279" s="459"/>
      <c r="AE279" s="459"/>
      <c r="AF279" s="459"/>
      <c r="AG279" s="459"/>
      <c r="AH279" s="459"/>
      <c r="AI279" s="459"/>
      <c r="AJ279" s="459"/>
      <c r="AK279" s="459"/>
      <c r="AL279" s="459"/>
      <c r="AM279" s="45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row>
    <row r="280" spans="1:144" ht="15">
      <c r="A280"/>
      <c r="B280"/>
      <c r="C280"/>
      <c r="D280"/>
      <c r="E280"/>
      <c r="F280"/>
      <c r="G280"/>
      <c r="H280"/>
      <c r="I280"/>
      <c r="J280"/>
      <c r="K280"/>
      <c r="L280" s="784"/>
      <c r="M280" s="459"/>
      <c r="N280" s="1044"/>
      <c r="O280" s="459"/>
      <c r="P280" s="459"/>
      <c r="Q280" s="459"/>
      <c r="R280" s="459"/>
      <c r="S280" s="459"/>
      <c r="T280" s="459"/>
      <c r="U280" s="459"/>
      <c r="V280" s="459"/>
      <c r="W280" s="459"/>
      <c r="X280" s="459"/>
      <c r="Y280" s="459"/>
      <c r="Z280" s="459"/>
      <c r="AA280" s="459"/>
      <c r="AB280" s="459"/>
      <c r="AC280" s="459"/>
      <c r="AD280" s="459"/>
      <c r="AE280" s="459"/>
      <c r="AF280" s="459"/>
      <c r="AG280" s="459"/>
      <c r="AH280" s="459"/>
      <c r="AI280" s="459"/>
      <c r="AJ280" s="459"/>
      <c r="AK280" s="459"/>
      <c r="AL280" s="459"/>
      <c r="AM280" s="459"/>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row>
    <row r="281" spans="1:144" ht="15">
      <c r="A281"/>
      <c r="B281"/>
      <c r="C281"/>
      <c r="D281"/>
      <c r="E281"/>
      <c r="F281"/>
      <c r="G281"/>
      <c r="H281"/>
      <c r="I281"/>
      <c r="J281"/>
      <c r="K281"/>
      <c r="L281" s="784"/>
      <c r="M281" s="459"/>
      <c r="N281" s="1044"/>
      <c r="O281" s="459"/>
      <c r="P281" s="459"/>
      <c r="Q281" s="459"/>
      <c r="R281" s="459"/>
      <c r="S281" s="459"/>
      <c r="T281" s="459"/>
      <c r="U281" s="459"/>
      <c r="V281" s="459"/>
      <c r="W281" s="459"/>
      <c r="X281" s="459"/>
      <c r="Y281" s="459"/>
      <c r="Z281" s="459"/>
      <c r="AA281" s="459"/>
      <c r="AB281" s="459"/>
      <c r="AC281" s="459"/>
      <c r="AD281" s="459"/>
      <c r="AE281" s="459"/>
      <c r="AF281" s="459"/>
      <c r="AG281" s="459"/>
      <c r="AH281" s="459"/>
      <c r="AI281" s="459"/>
      <c r="AJ281" s="459"/>
      <c r="AK281" s="459"/>
      <c r="AL281" s="459"/>
      <c r="AM281" s="459"/>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row>
    <row r="282" spans="1:144" ht="15">
      <c r="A282"/>
      <c r="B282"/>
      <c r="C282"/>
      <c r="D282"/>
      <c r="E282"/>
      <c r="F282"/>
      <c r="G282"/>
      <c r="H282"/>
      <c r="I282"/>
      <c r="J282"/>
      <c r="K282"/>
      <c r="L282" s="784"/>
      <c r="M282" s="459"/>
      <c r="N282" s="1044"/>
      <c r="O282" s="459"/>
      <c r="P282" s="459"/>
      <c r="Q282" s="459"/>
      <c r="R282" s="459"/>
      <c r="S282" s="459"/>
      <c r="T282" s="459"/>
      <c r="U282" s="459"/>
      <c r="V282" s="459"/>
      <c r="W282" s="459"/>
      <c r="X282" s="459"/>
      <c r="Y282" s="459"/>
      <c r="Z282" s="459"/>
      <c r="AA282" s="459"/>
      <c r="AB282" s="459"/>
      <c r="AC282" s="459"/>
      <c r="AD282" s="459"/>
      <c r="AE282" s="459"/>
      <c r="AF282" s="459"/>
      <c r="AG282" s="459"/>
      <c r="AH282" s="459"/>
      <c r="AI282" s="459"/>
      <c r="AJ282" s="459"/>
      <c r="AK282" s="459"/>
      <c r="AL282" s="459"/>
      <c r="AM282" s="459"/>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row>
    <row r="283" spans="1:144" ht="15">
      <c r="A283"/>
      <c r="B283"/>
      <c r="C283"/>
      <c r="D283"/>
      <c r="E283"/>
      <c r="F283"/>
      <c r="G283"/>
      <c r="H283"/>
      <c r="I283"/>
      <c r="J283"/>
      <c r="K283"/>
      <c r="L283" s="784"/>
      <c r="M283" s="459"/>
      <c r="N283" s="1044"/>
      <c r="O283" s="459"/>
      <c r="P283" s="459"/>
      <c r="Q283" s="459"/>
      <c r="R283" s="459"/>
      <c r="S283" s="459"/>
      <c r="T283" s="459"/>
      <c r="U283" s="459"/>
      <c r="V283" s="459"/>
      <c r="W283" s="459"/>
      <c r="X283" s="459"/>
      <c r="Y283" s="459"/>
      <c r="Z283" s="459"/>
      <c r="AA283" s="459"/>
      <c r="AB283" s="459"/>
      <c r="AC283" s="459"/>
      <c r="AD283" s="459"/>
      <c r="AE283" s="459"/>
      <c r="AF283" s="459"/>
      <c r="AG283" s="459"/>
      <c r="AH283" s="459"/>
      <c r="AI283" s="459"/>
      <c r="AJ283" s="459"/>
      <c r="AK283" s="459"/>
      <c r="AL283" s="459"/>
      <c r="AM283" s="459"/>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row>
    <row r="284" spans="1:144" customFormat="1" ht="13.2">
      <c r="L284" s="784"/>
      <c r="M284" s="459"/>
      <c r="N284" s="1044"/>
      <c r="O284" s="459"/>
      <c r="P284" s="459"/>
      <c r="Q284" s="459"/>
      <c r="R284" s="459"/>
      <c r="S284" s="459"/>
      <c r="T284" s="459"/>
      <c r="U284" s="459"/>
      <c r="V284" s="459"/>
      <c r="W284" s="459"/>
      <c r="X284" s="459"/>
      <c r="Y284" s="459"/>
      <c r="Z284" s="459"/>
      <c r="AA284" s="459"/>
      <c r="AB284" s="459"/>
      <c r="AC284" s="459"/>
      <c r="AD284" s="459"/>
      <c r="AE284" s="459"/>
      <c r="AF284" s="459"/>
      <c r="AG284" s="459"/>
      <c r="AH284" s="459"/>
      <c r="AI284" s="459"/>
      <c r="AJ284" s="459"/>
      <c r="AK284" s="459"/>
      <c r="AL284" s="459"/>
      <c r="AM284" s="459"/>
    </row>
    <row r="285" spans="1:144" customFormat="1" ht="13.2">
      <c r="L285" s="784"/>
      <c r="M285" s="459"/>
      <c r="N285" s="1044"/>
      <c r="O285" s="459"/>
      <c r="P285" s="459"/>
      <c r="Q285" s="459"/>
      <c r="R285" s="459"/>
      <c r="S285" s="459"/>
      <c r="T285" s="459"/>
      <c r="U285" s="459"/>
      <c r="V285" s="459"/>
      <c r="W285" s="459"/>
      <c r="X285" s="459"/>
      <c r="Y285" s="459"/>
      <c r="Z285" s="459"/>
      <c r="AA285" s="459"/>
      <c r="AB285" s="459"/>
      <c r="AC285" s="459"/>
      <c r="AD285" s="459"/>
      <c r="AE285" s="459"/>
      <c r="AF285" s="459"/>
      <c r="AG285" s="459"/>
      <c r="AH285" s="459"/>
      <c r="AI285" s="459"/>
      <c r="AJ285" s="459"/>
      <c r="AK285" s="459"/>
      <c r="AL285" s="459"/>
      <c r="AM285" s="459"/>
    </row>
    <row r="286" spans="1:144" customFormat="1" ht="13.2">
      <c r="L286" s="784"/>
      <c r="M286" s="459"/>
      <c r="N286" s="1044"/>
      <c r="O286" s="459"/>
      <c r="P286" s="459"/>
      <c r="Q286" s="459"/>
      <c r="R286" s="459"/>
      <c r="S286" s="459"/>
      <c r="T286" s="459"/>
      <c r="U286" s="459"/>
      <c r="V286" s="459"/>
      <c r="W286" s="459"/>
      <c r="X286" s="459"/>
      <c r="Y286" s="459"/>
      <c r="Z286" s="459"/>
      <c r="AA286" s="459"/>
      <c r="AB286" s="459"/>
      <c r="AC286" s="459"/>
      <c r="AD286" s="459"/>
      <c r="AE286" s="459"/>
      <c r="AF286" s="459"/>
      <c r="AG286" s="459"/>
      <c r="AH286" s="459"/>
      <c r="AI286" s="459"/>
      <c r="AJ286" s="459"/>
      <c r="AK286" s="459"/>
      <c r="AL286" s="459"/>
      <c r="AM286" s="459"/>
    </row>
    <row r="287" spans="1:144" customFormat="1" ht="13.2">
      <c r="L287" s="784"/>
      <c r="M287" s="459"/>
      <c r="N287" s="1044"/>
      <c r="O287" s="459"/>
      <c r="P287" s="459"/>
      <c r="Q287" s="459"/>
      <c r="R287" s="459"/>
      <c r="S287" s="459"/>
      <c r="T287" s="459"/>
      <c r="U287" s="459"/>
      <c r="V287" s="459"/>
      <c r="W287" s="459"/>
      <c r="X287" s="459"/>
      <c r="Y287" s="459"/>
      <c r="Z287" s="459"/>
      <c r="AA287" s="459"/>
      <c r="AB287" s="459"/>
      <c r="AC287" s="459"/>
      <c r="AD287" s="459"/>
      <c r="AE287" s="459"/>
      <c r="AF287" s="459"/>
      <c r="AG287" s="459"/>
      <c r="AH287" s="459"/>
      <c r="AI287" s="459"/>
      <c r="AJ287" s="459"/>
      <c r="AK287" s="459"/>
      <c r="AL287" s="459"/>
      <c r="AM287" s="459"/>
    </row>
    <row r="288" spans="1:144" customFormat="1" ht="13.2">
      <c r="L288" s="784"/>
      <c r="M288" s="459"/>
      <c r="N288" s="1044"/>
      <c r="O288" s="459"/>
      <c r="P288" s="459"/>
      <c r="Q288" s="459"/>
      <c r="R288" s="459"/>
      <c r="S288" s="459"/>
      <c r="T288" s="459"/>
      <c r="U288" s="459"/>
      <c r="V288" s="459"/>
      <c r="W288" s="459"/>
      <c r="X288" s="459"/>
      <c r="Y288" s="459"/>
      <c r="Z288" s="459"/>
      <c r="AA288" s="459"/>
      <c r="AB288" s="459"/>
      <c r="AC288" s="459"/>
      <c r="AD288" s="459"/>
      <c r="AE288" s="459"/>
      <c r="AF288" s="459"/>
      <c r="AG288" s="459"/>
      <c r="AH288" s="459"/>
      <c r="AI288" s="459"/>
      <c r="AJ288" s="459"/>
      <c r="AK288" s="459"/>
      <c r="AL288" s="459"/>
      <c r="AM288" s="459"/>
    </row>
    <row r="289" spans="1:8" ht="15">
      <c r="A289" s="21"/>
      <c r="B289" s="21"/>
      <c r="C289" s="34"/>
      <c r="D289" s="34"/>
      <c r="E289" s="34"/>
      <c r="F289" s="34"/>
      <c r="G289" s="34"/>
      <c r="H289" s="41"/>
    </row>
    <row r="290" spans="1:8" ht="15">
      <c r="A290" s="21"/>
      <c r="B290" s="21"/>
      <c r="C290" s="34"/>
      <c r="D290" s="34"/>
      <c r="E290" s="34"/>
      <c r="F290" s="34"/>
      <c r="G290" s="34"/>
      <c r="H290" s="41"/>
    </row>
    <row r="291" spans="1:8" ht="15">
      <c r="A291" s="21"/>
      <c r="B291" s="21"/>
      <c r="C291" s="34"/>
      <c r="D291" s="34"/>
      <c r="E291" s="34"/>
      <c r="F291" s="34"/>
      <c r="G291" s="34"/>
      <c r="H291" s="41"/>
    </row>
    <row r="292" spans="1:8" ht="15">
      <c r="A292" s="42"/>
      <c r="B292" s="42"/>
      <c r="C292" s="42"/>
      <c r="D292" s="42"/>
      <c r="E292" s="43"/>
      <c r="F292" s="42"/>
      <c r="G292" s="43"/>
      <c r="H292" s="43"/>
    </row>
  </sheetData>
  <protectedRanges>
    <protectedRange password="C915" sqref="J1:K5 K6:K7 J8:K8 J13:K16 J18:K123 J129:K65553" name="Range1"/>
    <protectedRange password="C915" sqref="J6:J7" name="Range1_1"/>
    <protectedRange password="C915" sqref="J9:K12" name="Range1_3"/>
    <protectedRange password="C915" sqref="J17:K17" name="Range1_4"/>
    <protectedRange password="C915" sqref="J124:K124" name="Range1_2"/>
    <protectedRange password="C915" sqref="J125:K127" name="Range1_5"/>
    <protectedRange password="C915" sqref="J128:K128" name="Range1_2_1"/>
  </protectedRanges>
  <mergeCells count="143">
    <mergeCell ref="A126:E126"/>
    <mergeCell ref="A127:E127"/>
    <mergeCell ref="A128:E128"/>
    <mergeCell ref="A122:B123"/>
    <mergeCell ref="C122:D123"/>
    <mergeCell ref="C9:D9"/>
    <mergeCell ref="C11:D11"/>
    <mergeCell ref="C12:D12"/>
    <mergeCell ref="C16:D16"/>
    <mergeCell ref="C29:D29"/>
    <mergeCell ref="C24:D24"/>
    <mergeCell ref="A68:B73"/>
    <mergeCell ref="A84:B84"/>
    <mergeCell ref="C84:D84"/>
    <mergeCell ref="A38:B41"/>
    <mergeCell ref="A42:B50"/>
    <mergeCell ref="A56:B59"/>
    <mergeCell ref="A82:B83"/>
    <mergeCell ref="C79:D79"/>
    <mergeCell ref="A80:B80"/>
    <mergeCell ref="A81:B81"/>
    <mergeCell ref="A53:B55"/>
    <mergeCell ref="C50:D50"/>
    <mergeCell ref="C15:D15"/>
    <mergeCell ref="C25:D25"/>
    <mergeCell ref="C67:D67"/>
    <mergeCell ref="C72:D72"/>
    <mergeCell ref="C86:D86"/>
    <mergeCell ref="C82:D83"/>
    <mergeCell ref="C80:D80"/>
    <mergeCell ref="C54:D54"/>
    <mergeCell ref="C55:D55"/>
    <mergeCell ref="C75:D75"/>
    <mergeCell ref="C56:D56"/>
    <mergeCell ref="C64:D64"/>
    <mergeCell ref="C57:D59"/>
    <mergeCell ref="C76:D76"/>
    <mergeCell ref="C77:D77"/>
    <mergeCell ref="C74:D74"/>
    <mergeCell ref="C73:D73"/>
    <mergeCell ref="C49:D49"/>
    <mergeCell ref="C28:D28"/>
    <mergeCell ref="A34:B37"/>
    <mergeCell ref="A51:B51"/>
    <mergeCell ref="C35:D36"/>
    <mergeCell ref="C51:D51"/>
    <mergeCell ref="C34:D34"/>
    <mergeCell ref="C38:D41"/>
    <mergeCell ref="A125:E125"/>
    <mergeCell ref="A18:B19"/>
    <mergeCell ref="A24:B24"/>
    <mergeCell ref="C22:D22"/>
    <mergeCell ref="C23:D23"/>
    <mergeCell ref="A23:B23"/>
    <mergeCell ref="A29:B29"/>
    <mergeCell ref="C32:D32"/>
    <mergeCell ref="C33:D33"/>
    <mergeCell ref="A52:B52"/>
    <mergeCell ref="C47:D47"/>
    <mergeCell ref="C42:D42"/>
    <mergeCell ref="C44:D44"/>
    <mergeCell ref="C46:D46"/>
    <mergeCell ref="C45:D45"/>
    <mergeCell ref="C43:D43"/>
    <mergeCell ref="C27:D27"/>
    <mergeCell ref="A25:B28"/>
    <mergeCell ref="A22:B22"/>
    <mergeCell ref="A30:B33"/>
    <mergeCell ref="C30:D31"/>
    <mergeCell ref="C26:D26"/>
    <mergeCell ref="C37:D37"/>
    <mergeCell ref="C52:D52"/>
    <mergeCell ref="C48:D48"/>
    <mergeCell ref="C116:D117"/>
    <mergeCell ref="C115:D115"/>
    <mergeCell ref="A85:B85"/>
    <mergeCell ref="A89:B89"/>
    <mergeCell ref="C110:D110"/>
    <mergeCell ref="C97:D97"/>
    <mergeCell ref="A112:B113"/>
    <mergeCell ref="C105:D105"/>
    <mergeCell ref="C53:D53"/>
    <mergeCell ref="C78:D78"/>
    <mergeCell ref="C62:D62"/>
    <mergeCell ref="C63:D63"/>
    <mergeCell ref="C65:D65"/>
    <mergeCell ref="C66:D66"/>
    <mergeCell ref="A90:B92"/>
    <mergeCell ref="C91:D92"/>
    <mergeCell ref="A114:B121"/>
    <mergeCell ref="A1:K1"/>
    <mergeCell ref="C20:D21"/>
    <mergeCell ref="C18:D19"/>
    <mergeCell ref="C14:D14"/>
    <mergeCell ref="A3:B8"/>
    <mergeCell ref="C7:D7"/>
    <mergeCell ref="C8:D8"/>
    <mergeCell ref="A9:B17"/>
    <mergeCell ref="A2:B2"/>
    <mergeCell ref="C2:D2"/>
    <mergeCell ref="C3:D5"/>
    <mergeCell ref="C13:D13"/>
    <mergeCell ref="C17:D17"/>
    <mergeCell ref="C6:D6"/>
    <mergeCell ref="A20:B21"/>
    <mergeCell ref="C10:D10"/>
    <mergeCell ref="A60:B67"/>
    <mergeCell ref="C60:D60"/>
    <mergeCell ref="C61:D61"/>
    <mergeCell ref="A93:B101"/>
    <mergeCell ref="C90:D90"/>
    <mergeCell ref="C108:D108"/>
    <mergeCell ref="C103:D103"/>
    <mergeCell ref="A74:B77"/>
    <mergeCell ref="C68:D69"/>
    <mergeCell ref="C70:D71"/>
    <mergeCell ref="C102:D102"/>
    <mergeCell ref="C96:D96"/>
    <mergeCell ref="C94:D94"/>
    <mergeCell ref="A78:B79"/>
    <mergeCell ref="C95:D95"/>
    <mergeCell ref="A102:B111"/>
    <mergeCell ref="C100:D100"/>
    <mergeCell ref="C81:D81"/>
    <mergeCell ref="C87:D87"/>
    <mergeCell ref="C88:D88"/>
    <mergeCell ref="C89:D89"/>
    <mergeCell ref="C101:D101"/>
    <mergeCell ref="C106:D106"/>
    <mergeCell ref="C85:D85"/>
    <mergeCell ref="A86:B88"/>
    <mergeCell ref="C98:D98"/>
    <mergeCell ref="C93:D93"/>
    <mergeCell ref="C118:D119"/>
    <mergeCell ref="C113:D113"/>
    <mergeCell ref="C104:D104"/>
    <mergeCell ref="C111:D111"/>
    <mergeCell ref="C107:D107"/>
    <mergeCell ref="C120:D121"/>
    <mergeCell ref="C112:D112"/>
    <mergeCell ref="C109:D109"/>
    <mergeCell ref="C114:D114"/>
    <mergeCell ref="C99:D99"/>
  </mergeCells>
  <phoneticPr fontId="6" type="noConversion"/>
  <pageMargins left="0.75" right="0.75" top="0.45" bottom="0.45" header="0.37" footer="0.35"/>
  <pageSetup paperSize="9" scale="63" fitToHeight="3" orientation="portrait" horizontalDpi="1200" verticalDpi="1200" r:id="rId1"/>
  <headerFooter alignWithMargins="0"/>
  <rowBreaks count="2" manualBreakCount="2">
    <brk id="29" max="10" man="1"/>
    <brk id="72" max="10"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ItemUpdatedEventHandlerForConceptSearch</Name>
    <Synchronization>Asynchronous</Synchronization>
    <Type>10002</Type>
    <SequenceNumber>10001</SequenceNumber>
    <Assembly>conceptSearching.Sharepoint.ContentTypes2010, Version=1.0.0.0, Culture=neutral, PublicKeyToken=858f8f13980e4745</Assembly>
    <Class>conceptSearching.Sharepoint.ContentTypes2010.CSHandleEvent</Class>
    <Data/>
    <Filter/>
  </Receiver>
  <Receiver>
    <Name>ItemUpdatingEventHandlerForConceptSearch</Name>
    <Synchronization>Synchronous</Synchronization>
    <Type>2</Type>
    <SequenceNumber>10001</SequenceNumber>
    <Assembly>conceptSearching.Sharepoint.ContentTypes2010, Version=1.0.0.0, Culture=neutral, PublicKeyToken=858f8f13980e4745</Assembly>
    <Class>conceptSearching.Sharepoint.ContentTypes2010.CSHandleEvent</Class>
    <Data/>
    <Filter/>
  </Receiver>
  <Receiver>
    <Name>ItemCheckedInEventHandlerForConceptSearch</Name>
    <Synchronization>Asynchronous</Synchronization>
    <Type>10004</Type>
    <SequenceNumber>10002</SequenceNumber>
    <Assembly>conceptSearching.Sharepoint.ContentTypes2010, Version=1.0.0.0, Culture=neutral, PublicKeyToken=858f8f13980e4745</Assembly>
    <Class>conceptSearching.Sharepoint.ContentTypes2010.CSHandleEvent</Class>
    <Data/>
    <Filter/>
  </Receiver>
  <Receiver>
    <Name>ItemUncheckedOutEventHandlerForConceptSearch</Name>
    <Synchronization>Asynchronous</Synchronization>
    <Type>10006</Type>
    <SequenceNumber>10003</SequenceNumber>
    <Assembly>conceptSearching.Sharepoint.ContentTypes2010, Version=1.0.0.0, Culture=neutral, PublicKeyToken=858f8f13980e4745</Assembly>
    <Class>conceptSearching.Sharepoint.ContentTypes2010.CSHandleEvent</Class>
    <Data/>
    <Filter/>
  </Receiver>
  <Receiver>
    <Name>ItemAddedEventHandlerForConceptSearch</Name>
    <Synchronization>Asynchronous</Synchronization>
    <Type>10001</Type>
    <SequenceNumber>10004</SequenceNumber>
    <Assembly>conceptSearching.Sharepoint.ContentTypes2010, Version=1.0.0.0, Culture=neutral, PublicKeyToken=858f8f13980e4745</Assembly>
    <Class>conceptSearching.Sharepoint.ContentTypes2010.CSHandleEvent</Class>
    <Data/>
    <Filter/>
  </Receiver>
  <Receiver>
    <Name>ItemFileMovedEventHandlerForConceptSearch</Name>
    <Synchronization>Asynchronous</Synchronization>
    <Type>10009</Type>
    <SequenceNumber>10005</SequenceNumber>
    <Assembly>conceptSearching.Sharepoint.ContentTypes2010, Version=1.0.0.0, Culture=neutral, PublicKeyToken=858f8f13980e4745</Assembly>
    <Class>conceptSearching.Sharepoint.ContentTypes2010.CSHandleEvent</Class>
    <Data/>
    <Filter/>
  </Receiver>
  <Receiver>
    <Name>ItemDeletedEventHandlerForConceptSearch</Name>
    <Synchronization>Asynchronous</Synchronization>
    <Type>10003</Type>
    <SequenceNumber>10006</SequenceNumber>
    <Assembly>conceptSearching.Sharepoint.ContentTypes2010, Version=1.0.0.0, Culture=neutral, PublicKeyToken=858f8f13980e4745</Assembly>
    <Class>conceptSearching.Sharepoint.ContentTypes2010.CSHandleEvent</Class>
    <Data/>
    <Filter/>
  </Receiver>
  <Receiver>
    <Name>Nintex conditional workflow start</Name>
    <Synchronization>Synchronous</Synchronization>
    <Type>10001</Type>
    <SequenceNumber>50000</SequenceNumber>
    <Assembly>Nintex.Workflow, Version=1.0.0.0, Culture=neutral, PublicKeyToken=913f6bae0ca5ae12</Assembly>
    <Class>Nintex.Workflow.ConditionalWorkflowStartReceiver</Class>
    <Data>636728519689402888</Data>
    <Filter/>
  </Receiver>
  <Receiver>
    <Name>Nintex conditional workflow start</Name>
    <Synchronization>Synchronous</Synchronization>
    <Type>10002</Type>
    <SequenceNumber>50000</SequenceNumber>
    <Assembly>Nintex.Workflow, Version=1.0.0.0, Culture=neutral, PublicKeyToken=913f6bae0ca5ae12</Assembly>
    <Class>Nintex.Workflow.ConditionalWorkflowStartReceiver</Class>
    <Data>636728519689402888</Data>
    <Filter/>
  </Receiver>
  <Receiver>
    <Name>Nintex conditional workflow start</Name>
    <Synchronization>Synchronous</Synchronization>
    <Type>2</Type>
    <SequenceNumber>50000</SequenceNumber>
    <Assembly>Nintex.Workflow, Version=1.0.0.0, Culture=neutral, PublicKeyToken=913f6bae0ca5ae12</Assembly>
    <Class>Nintex.Workflow.ConditionalWorkflowStartReceiver</Class>
    <Data>636728519689402888</Data>
    <Filter/>
  </Receiver>
  <Receiver>
    <Name>Nintex conditional workflow start</Name>
    <Synchronization>Synchronous</Synchronization>
    <Type>10004</Type>
    <SequenceNumber>50000</SequenceNumber>
    <Assembly>Nintex.Workflow, Version=1.0.0.0, Culture=neutral, PublicKeyToken=913f6bae0ca5ae12</Assembly>
    <Class>Nintex.Workflow.ConditionalWorkflowStartReceiver</Class>
    <Data>636728519689402888</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698927FBD62C3346AC288DB96AF032F4" ma:contentTypeVersion="68" ma:contentTypeDescription="Create a new document." ma:contentTypeScope="" ma:versionID="624192ea82751a59e0baa53e7bc50f67">
  <xsd:schema xmlns:xsd="http://www.w3.org/2001/XMLSchema" xmlns:xs="http://www.w3.org/2001/XMLSchema" xmlns:p="http://schemas.microsoft.com/office/2006/metadata/properties" xmlns:ns1="http://schemas.microsoft.com/sharepoint/v3" xmlns:ns2="b07804b3-f8ec-425e-9508-9bee58886a91" targetNamespace="http://schemas.microsoft.com/office/2006/metadata/properties" ma:root="true" ma:fieldsID="24b7cc887d5369cf8f0d0c434187b6b9" ns1:_="" ns2:_="">
    <xsd:import namespace="http://schemas.microsoft.com/sharepoint/v3"/>
    <xsd:import namespace="b07804b3-f8ec-425e-9508-9bee58886a91"/>
    <xsd:element name="properties">
      <xsd:complexType>
        <xsd:sequence>
          <xsd:element name="documentManagement">
            <xsd:complexType>
              <xsd:all>
                <xsd:element ref="ns2:o3d4a57d459c41b294c55908ed11bae8" minOccurs="0"/>
                <xsd:element ref="ns2:TaxCatchAll" minOccurs="0"/>
                <xsd:element ref="ns2:TaxCatchAllLabel" minOccurs="0"/>
                <xsd:element ref="ns2:d4e1cdc1e8884ad9a1abd3eeee348cd0" minOccurs="0"/>
                <xsd:element ref="ns2:l812b064fc494a32beba07917f4feaa3" minOccurs="0"/>
                <xsd:element ref="ns1:CSMeta2010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SMeta2010Field" ma:index="10" nillable="true" ma:displayName="Classification Status" ma:internalName="CSMeta2010Fiel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07804b3-f8ec-425e-9508-9bee58886a91" elementFormDefault="qualified">
    <xsd:import namespace="http://schemas.microsoft.com/office/2006/documentManagement/types"/>
    <xsd:import namespace="http://schemas.microsoft.com/office/infopath/2007/PartnerControls"/>
    <xsd:element name="o3d4a57d459c41b294c55908ed11bae8" ma:index="2" nillable="true" ma:taxonomy="true" ma:internalName="o3d4a57d459c41b294c55908ed11bae8" ma:taxonomyFieldName="emm_Division" ma:displayName="emm_Division" ma:default="" ma:fieldId="{83d4a57d-459c-41b2-94c5-5908ed11bae8}" ma:sspId="cf713c62-fdf9-4ba1-a9c8-920b71b66035" ma:termSetId="5dde4a48-55d5-4c0a-9779-582059f53b16" ma:anchorId="00000000-0000-0000-0000-000000000000" ma:open="false" ma:isKeyword="false">
      <xsd:complexType>
        <xsd:sequence>
          <xsd:element ref="pc:Terms" minOccurs="0" maxOccurs="1"/>
        </xsd:sequence>
      </xsd:complexType>
    </xsd:element>
    <xsd:element name="TaxCatchAll" ma:index="3" nillable="true" ma:displayName="Taxonomy Catch All Column" ma:hidden="true" ma:list="{9fd560a6-a19b-46ea-9e81-23c3688fc452}" ma:internalName="TaxCatchAll" ma:showField="CatchAllData" ma:web="b3a891ac-46b0-452c-805c-8e9a27ab5368">
      <xsd:complexType>
        <xsd:complexContent>
          <xsd:extension base="dms:MultiChoiceLookup">
            <xsd:sequence>
              <xsd:element name="Value" type="dms:Lookup" maxOccurs="unbounded" minOccurs="0" nillable="true"/>
            </xsd:sequence>
          </xsd:extension>
        </xsd:complexContent>
      </xsd:complexType>
    </xsd:element>
    <xsd:element name="TaxCatchAllLabel" ma:index="4" nillable="true" ma:displayName="Taxonomy Catch All Column1" ma:hidden="true" ma:list="{9fd560a6-a19b-46ea-9e81-23c3688fc452}" ma:internalName="TaxCatchAllLabel" ma:readOnly="true" ma:showField="CatchAllDataLabel" ma:web="b3a891ac-46b0-452c-805c-8e9a27ab5368">
      <xsd:complexType>
        <xsd:complexContent>
          <xsd:extension base="dms:MultiChoiceLookup">
            <xsd:sequence>
              <xsd:element name="Value" type="dms:Lookup" maxOccurs="unbounded" minOccurs="0" nillable="true"/>
            </xsd:sequence>
          </xsd:extension>
        </xsd:complexContent>
      </xsd:complexType>
    </xsd:element>
    <xsd:element name="d4e1cdc1e8884ad9a1abd3eeee348cd0" ma:index="6" nillable="true" ma:taxonomy="true" ma:internalName="d4e1cdc1e8884ad9a1abd3eeee348cd0" ma:taxonomyFieldName="emm_Function" ma:displayName="emm_Function" ma:default="" ma:fieldId="{d4e1cdc1-e888-4ad9-a1ab-d3eeee348cd0}" ma:sspId="cf713c62-fdf9-4ba1-a9c8-920b71b66035" ma:termSetId="2cdd7b0f-fc41-4bc0-b507-1083be529d14" ma:anchorId="00000000-0000-0000-0000-000000000000" ma:open="false" ma:isKeyword="false">
      <xsd:complexType>
        <xsd:sequence>
          <xsd:element ref="pc:Terms" minOccurs="0" maxOccurs="1"/>
        </xsd:sequence>
      </xsd:complexType>
    </xsd:element>
    <xsd:element name="l812b064fc494a32beba07917f4feaa3" ma:index="8" nillable="true" ma:taxonomy="true" ma:internalName="l812b064fc494a32beba07917f4feaa3" ma:taxonomyFieldName="emm_Language" ma:displayName="emm_Language" ma:default="" ma:fieldId="{5812b064-fc49-4a32-beba-07917f4feaa3}" ma:sspId="cf713c62-fdf9-4ba1-a9c8-920b71b66035" ma:termSetId="628d4a0e-43e1-471b-bfbd-4dccf339dc98"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cf713c62-fdf9-4ba1-a9c8-920b71b66035" ContentTypeId="0x01" PreviousValue="false"/>
</file>

<file path=customXml/item4.xml><?xml version="1.0" encoding="utf-8"?>
<p:properties xmlns:p="http://schemas.microsoft.com/office/2006/metadata/properties" xmlns:xsi="http://www.w3.org/2001/XMLSchema-instance" xmlns:pc="http://schemas.microsoft.com/office/infopath/2007/PartnerControls">
  <documentManagement>
    <d4e1cdc1e8884ad9a1abd3eeee348cd0 xmlns="b07804b3-f8ec-425e-9508-9bee58886a91">
      <Terms xmlns="http://schemas.microsoft.com/office/infopath/2007/PartnerControls">
        <TermInfo xmlns="http://schemas.microsoft.com/office/infopath/2007/PartnerControls">
          <TermName xmlns="http://schemas.microsoft.com/office/infopath/2007/PartnerControls">Engineering</TermName>
          <TermId xmlns="http://schemas.microsoft.com/office/infopath/2007/PartnerControls">a1d44d62-8157-4985-9fc4-632efe96a83e</TermId>
        </TermInfo>
      </Terms>
    </d4e1cdc1e8884ad9a1abd3eeee348cd0>
    <l812b064fc494a32beba07917f4feaa3 xmlns="b07804b3-f8ec-425e-9508-9bee58886a91">
      <Terms xmlns="http://schemas.microsoft.com/office/infopath/2007/PartnerControls"/>
    </l812b064fc494a32beba07917f4feaa3>
    <TaxCatchAll xmlns="b07804b3-f8ec-425e-9508-9bee58886a91">
      <Value>2</Value>
    </TaxCatchAll>
    <o3d4a57d459c41b294c55908ed11bae8 xmlns="b07804b3-f8ec-425e-9508-9bee58886a91">
      <Terms xmlns="http://schemas.microsoft.com/office/infopath/2007/PartnerControls"/>
    </o3d4a57d459c41b294c55908ed11bae8>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LongProperties xmlns="http://schemas.microsoft.com/office/2006/metadata/longProperties">
  <LongProp xmlns="" name="CSMeta2010Field"><![CDATA[821dda94-fadd-443b-8205-49829271b6e5;2016-05-25 08:09:44;AUTOCLASSIFIED;emm_Division:2016-05-25 08:09:44|False||AUTOCLASSIFIED|2016-05-25 08:09:44|UNDEFINED|83d4a57d-459c-41b2-94c5-5908ed11bae8;emm_Function:2016-05-25 08:09:44|False||AUTOCLASSIFIED|2016-05-25 08:09:44|UNDEFINED|d4e1cdc1-e888-4ad9-a1ab-d3eeee348cd0;emm_Language:2016-05-25 08:09:44|False||AUTOCLASSIFIED|2016-05-25 08:09:44|UNDEFINED|5812b064-fc49-4a32-beba-07917f4feaa3;False]]></LongProp>
</LongProperties>
</file>

<file path=customXml/itemProps1.xml><?xml version="1.0" encoding="utf-8"?>
<ds:datastoreItem xmlns:ds="http://schemas.openxmlformats.org/officeDocument/2006/customXml" ds:itemID="{438427BA-ED13-4AF6-9EAE-F5B541F3E0E7}">
  <ds:schemaRefs>
    <ds:schemaRef ds:uri="http://schemas.microsoft.com/sharepoint/events"/>
  </ds:schemaRefs>
</ds:datastoreItem>
</file>

<file path=customXml/itemProps2.xml><?xml version="1.0" encoding="utf-8"?>
<ds:datastoreItem xmlns:ds="http://schemas.openxmlformats.org/officeDocument/2006/customXml" ds:itemID="{C793EC2F-F13D-4F25-AD33-69901EAEA4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07804b3-f8ec-425e-9508-9bee58886a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258DB3-0ACA-4F3D-B11A-249505134EEA}">
  <ds:schemaRefs>
    <ds:schemaRef ds:uri="Microsoft.SharePoint.Taxonomy.ContentTypeSync"/>
  </ds:schemaRefs>
</ds:datastoreItem>
</file>

<file path=customXml/itemProps4.xml><?xml version="1.0" encoding="utf-8"?>
<ds:datastoreItem xmlns:ds="http://schemas.openxmlformats.org/officeDocument/2006/customXml" ds:itemID="{F66B89E2-9B7F-4DF2-A3D2-BDC386B1A17B}">
  <ds:schemaRefs>
    <ds:schemaRef ds:uri="http://schemas.microsoft.com/office/2006/metadata/properties"/>
    <ds:schemaRef ds:uri="http://schemas.microsoft.com/office/infopath/2007/PartnerControls"/>
    <ds:schemaRef ds:uri="b07804b3-f8ec-425e-9508-9bee58886a91"/>
  </ds:schemaRefs>
</ds:datastoreItem>
</file>

<file path=customXml/itemProps5.xml><?xml version="1.0" encoding="utf-8"?>
<ds:datastoreItem xmlns:ds="http://schemas.openxmlformats.org/officeDocument/2006/customXml" ds:itemID="{23B9112A-23C8-4A71-A5C2-24369DB26456}">
  <ds:schemaRefs>
    <ds:schemaRef ds:uri="http://schemas.microsoft.com/sharepoint/v3/contenttype/forms"/>
  </ds:schemaRefs>
</ds:datastoreItem>
</file>

<file path=customXml/itemProps6.xml><?xml version="1.0" encoding="utf-8"?>
<ds:datastoreItem xmlns:ds="http://schemas.openxmlformats.org/officeDocument/2006/customXml" ds:itemID="{261D0FFB-A72E-4F75-8C75-11DD227AC7A3}">
  <ds:schemaRefs>
    <ds:schemaRef ds:uri="http://schemas.microsoft.com/office/2006/metadata/longProperties"/>
    <ds:schemaRef ds:uri=""/>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9</vt:i4>
      </vt:variant>
    </vt:vector>
  </HeadingPairs>
  <TitlesOfParts>
    <vt:vector size="17" baseType="lpstr">
      <vt:lpstr>TOTAL values GCSD</vt:lpstr>
      <vt:lpstr>CUTTING</vt:lpstr>
      <vt:lpstr>LEAD PREP</vt:lpstr>
      <vt:lpstr>LEAD PREP FA</vt:lpstr>
      <vt:lpstr>High Voltage</vt:lpstr>
      <vt:lpstr>FA Conns and wires</vt:lpstr>
      <vt:lpstr>FA Taping</vt:lpstr>
      <vt:lpstr>FA Miscellaneos</vt:lpstr>
      <vt:lpstr>CUTTING!Заголовки_для_печати</vt:lpstr>
      <vt:lpstr>CUTTING!Область_печати</vt:lpstr>
      <vt:lpstr>'FA Conns and wires'!Область_печати</vt:lpstr>
      <vt:lpstr>'FA Miscellaneos'!Область_печати</vt:lpstr>
      <vt:lpstr>'FA Taping'!Область_печати</vt:lpstr>
      <vt:lpstr>'High Voltage'!Область_печати</vt:lpstr>
      <vt:lpstr>'LEAD PREP'!Область_печати</vt:lpstr>
      <vt:lpstr>'LEAD PREP FA'!Область_печати</vt:lpstr>
      <vt:lpstr>'TOTAL values GCSD'!Область_печати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dznrxt</dc:creator>
  <cp:lastModifiedBy>Kirill Andreevich</cp:lastModifiedBy>
  <cp:lastPrinted>2015-03-25T13:36:57Z</cp:lastPrinted>
  <dcterms:created xsi:type="dcterms:W3CDTF">2008-10-06T10:48:05Z</dcterms:created>
  <dcterms:modified xsi:type="dcterms:W3CDTF">2026-04-23T13:03:36Z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
    <vt:lpwstr/>
  </property>
  <property fmtid="{D5CDD505-2E9C-101B-9397-08002B2CF9AE}" pid="3" name="emm_Division">
    <vt:lpwstr/>
  </property>
  <property fmtid="{D5CDD505-2E9C-101B-9397-08002B2CF9AE}" pid="4" name="emm_Function">
    <vt:lpwstr>2;#Engineering|a1d44d62-8157-4985-9fc4-632efe96a83e</vt:lpwstr>
  </property>
  <property fmtid="{D5CDD505-2E9C-101B-9397-08002B2CF9AE}" pid="5" name="CSMeta2010Field">
    <vt:lpwstr>821dda94-fadd-443b-8205-49829271b6e5;2016-05-25 08:09:44;AUTOCLASSIFIED;emm_Division:2016-05-25 08:09:44|False||AUTOCLASSIFIED|2016-05-25 08:09:44|UNDEFINED|83d4a57d-459c-41b2-94c5-5908ed11bae8;emm_Function:2016-05-25 08:09:44|False||AUTOCLASSIFIED|2016-0</vt:lpwstr>
  </property>
  <property fmtid="{D5CDD505-2E9C-101B-9397-08002B2CF9AE}" pid="6" name="emm_Language">
    <vt:lpwstr/>
  </property>
</Properties>
</file>